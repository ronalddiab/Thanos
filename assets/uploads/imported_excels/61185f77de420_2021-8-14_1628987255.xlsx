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4000" windowHeight="9600" tabRatio="598" activeTab="6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2" i="2" l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P5" i="2"/>
  <c r="P6" i="2" s="1"/>
  <c r="P8" i="2" s="1"/>
  <c r="P9" i="2" s="1"/>
  <c r="P10" i="2" s="1"/>
  <c r="P11" i="2" s="1"/>
  <c r="P12" i="2" s="1"/>
  <c r="P13" i="2" s="1"/>
  <c r="P14" i="2" s="1"/>
  <c r="P15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12" i="2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12" i="2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H12" i="2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12" i="2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12" i="2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12" i="2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V13" i="4"/>
  <c r="V14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R13" i="4"/>
  <c r="R14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P13" i="4"/>
  <c r="P14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N13" i="4"/>
  <c r="N14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L13" i="4"/>
  <c r="L14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G13" i="4"/>
  <c r="G14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E17" i="4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Z2" i="4"/>
  <c r="X2" i="4"/>
  <c r="I2" i="4"/>
  <c r="H6" i="3"/>
  <c r="D4" i="3"/>
  <c r="D6" i="3" s="1"/>
  <c r="D3" i="3"/>
  <c r="C17" i="4" l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D14" i="4"/>
  <c r="Y2" i="4"/>
  <c r="Q5" i="1"/>
  <c r="N5" i="1"/>
  <c r="K5" i="1"/>
  <c r="H5" i="1"/>
  <c r="E5" i="1"/>
  <c r="B5" i="1"/>
  <c r="D15" i="4" l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D24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G16" i="3" l="1"/>
  <c r="G17" i="3"/>
  <c r="G18" i="3"/>
  <c r="C11" i="5" l="1"/>
  <c r="I33" i="1" l="1"/>
  <c r="J33" i="1" s="1"/>
  <c r="I32" i="1"/>
  <c r="J32" i="1" s="1"/>
  <c r="L33" i="1"/>
  <c r="M33" i="1" s="1"/>
  <c r="L32" i="1"/>
  <c r="M32" i="1" s="1"/>
  <c r="C33" i="1"/>
  <c r="D33" i="1" s="1"/>
  <c r="C32" i="1"/>
  <c r="D32" i="1" s="1"/>
  <c r="O33" i="1"/>
  <c r="P33" i="1" s="1"/>
  <c r="O32" i="1"/>
  <c r="P32" i="1" s="1"/>
  <c r="F33" i="1"/>
  <c r="G33" i="1" s="1"/>
  <c r="F32" i="1"/>
  <c r="G32" i="1" s="1"/>
  <c r="R33" i="1"/>
  <c r="S33" i="1" s="1"/>
  <c r="R32" i="1"/>
  <c r="S32" i="1" s="1"/>
  <c r="N26" i="10"/>
  <c r="Q22" i="2" l="1"/>
  <c r="U3" i="2" l="1"/>
  <c r="R3" i="2"/>
  <c r="S3" i="2" s="1"/>
  <c r="Q3" i="2"/>
  <c r="O3" i="2"/>
  <c r="M3" i="2"/>
  <c r="J3" i="2"/>
  <c r="K3" i="2" s="1"/>
  <c r="I3" i="2"/>
  <c r="G3" i="2"/>
  <c r="E3" i="2"/>
  <c r="C3" i="2"/>
  <c r="I3" i="3"/>
  <c r="G3" i="3"/>
  <c r="E3" i="3"/>
  <c r="C3" i="3"/>
  <c r="R3" i="1"/>
  <c r="S3" i="1" s="1"/>
  <c r="O3" i="1"/>
  <c r="P3" i="1" s="1"/>
  <c r="M3" i="1"/>
  <c r="I3" i="1"/>
  <c r="J3" i="1" s="1"/>
  <c r="F3" i="1"/>
  <c r="G3" i="1" s="1"/>
  <c r="C3" i="1"/>
  <c r="D3" i="1" s="1"/>
  <c r="C6" i="5"/>
  <c r="W3" i="4"/>
  <c r="S3" i="4"/>
  <c r="Q3" i="4"/>
  <c r="O3" i="4"/>
  <c r="M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N32" i="8" l="1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K8" i="4"/>
  <c r="H8" i="4"/>
  <c r="F8" i="4"/>
  <c r="D8" i="4"/>
  <c r="I8" i="4" l="1"/>
  <c r="T8" i="1"/>
  <c r="U8" i="1" s="1"/>
  <c r="Z8" i="4"/>
  <c r="X8" i="4"/>
  <c r="J8" i="3"/>
  <c r="K8" i="3" s="1"/>
  <c r="Y8" i="4" l="1"/>
  <c r="C4" i="5"/>
  <c r="U34" i="4" l="1"/>
  <c r="B34" i="4"/>
  <c r="K8" i="2" l="1"/>
  <c r="N94" i="10"/>
  <c r="D34" i="1" l="1"/>
  <c r="C34" i="1"/>
  <c r="C32" i="5"/>
  <c r="C31" i="5"/>
  <c r="K11" i="11" l="1"/>
  <c r="I3" i="11"/>
  <c r="I4" i="11"/>
  <c r="I6" i="11"/>
  <c r="I7" i="11"/>
  <c r="I8" i="11"/>
  <c r="I9" i="11"/>
  <c r="I10" i="11"/>
  <c r="I12" i="11"/>
  <c r="G25" i="3" l="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U32" i="8"/>
  <c r="S32" i="8"/>
  <c r="W32" i="8" l="1"/>
  <c r="V32" i="8"/>
  <c r="S8" i="2"/>
  <c r="E33" i="2"/>
  <c r="Q33" i="4"/>
  <c r="K9" i="11"/>
  <c r="G33" i="2"/>
  <c r="I33" i="3"/>
  <c r="M33" i="4"/>
  <c r="K7" i="11"/>
  <c r="S33" i="4"/>
  <c r="K10" i="11"/>
  <c r="K33" i="2"/>
  <c r="O33" i="2"/>
  <c r="AB32" i="8" s="1"/>
  <c r="H33" i="4"/>
  <c r="J32" i="8" s="1"/>
  <c r="K4" i="11"/>
  <c r="C33" i="3"/>
  <c r="E32" i="8" s="1"/>
  <c r="K31" i="2"/>
  <c r="Q33" i="2"/>
  <c r="F33" i="4"/>
  <c r="K3" i="11"/>
  <c r="O33" i="4"/>
  <c r="K8" i="11"/>
  <c r="C33" i="2"/>
  <c r="M33" i="2"/>
  <c r="S33" i="2"/>
  <c r="K33" i="4"/>
  <c r="K6" i="11"/>
  <c r="E33" i="3"/>
  <c r="I33" i="2"/>
  <c r="U33" i="2"/>
  <c r="K32" i="2"/>
  <c r="U30" i="2"/>
  <c r="C32" i="2"/>
  <c r="M32" i="4"/>
  <c r="H31" i="4"/>
  <c r="J30" i="8" s="1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S32" i="2"/>
  <c r="AC31" i="8" s="1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F25" i="4"/>
  <c r="AE30" i="8" l="1"/>
  <c r="I30" i="9" s="1"/>
  <c r="AE31" i="8"/>
  <c r="I31" i="9" s="1"/>
  <c r="Y32" i="8"/>
  <c r="E32" i="9" s="1"/>
  <c r="T30" i="8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H23" i="4"/>
  <c r="T32" i="8" l="1"/>
  <c r="I34" i="1"/>
  <c r="J34" i="1"/>
  <c r="T31" i="8"/>
  <c r="X33" i="4"/>
  <c r="Y33" i="4" s="1"/>
  <c r="F21" i="4"/>
  <c r="I20" i="3" l="1"/>
  <c r="Q20" i="2" l="1"/>
  <c r="G29" i="9"/>
  <c r="S30" i="2"/>
  <c r="W29" i="8" l="1"/>
  <c r="U29" i="8"/>
  <c r="V29" i="8"/>
  <c r="T29" i="8"/>
  <c r="S29" i="8"/>
  <c r="W15" i="4" l="1"/>
  <c r="S15" i="4"/>
  <c r="Q15" i="4"/>
  <c r="O15" i="4"/>
  <c r="M15" i="4"/>
  <c r="K15" i="4"/>
  <c r="H15" i="4"/>
  <c r="F15" i="4"/>
  <c r="W14" i="4"/>
  <c r="S14" i="4"/>
  <c r="Q14" i="4"/>
  <c r="O14" i="4"/>
  <c r="M14" i="4"/>
  <c r="K14" i="4"/>
  <c r="H14" i="4"/>
  <c r="F14" i="4"/>
  <c r="C14" i="5"/>
  <c r="I15" i="3"/>
  <c r="G15" i="3"/>
  <c r="E15" i="3"/>
  <c r="C15" i="3"/>
  <c r="I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F5" i="4"/>
  <c r="F6" i="4"/>
  <c r="T15" i="1" l="1"/>
  <c r="U15" i="1" s="1"/>
  <c r="E11" i="2"/>
  <c r="C5" i="5" l="1"/>
  <c r="C7" i="5"/>
  <c r="C8" i="5"/>
  <c r="C9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H10" i="4" l="1"/>
  <c r="H12" i="4" l="1"/>
  <c r="H11" i="4"/>
  <c r="H5" i="4"/>
  <c r="H6" i="4"/>
  <c r="I6" i="4" s="1"/>
  <c r="H7" i="4"/>
  <c r="C4" i="3"/>
  <c r="C5" i="3"/>
  <c r="C6" i="3"/>
  <c r="C7" i="3"/>
  <c r="H13" i="4" l="1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D4" i="4"/>
  <c r="F4" i="4"/>
  <c r="H4" i="4"/>
  <c r="K4" i="4"/>
  <c r="M4" i="4"/>
  <c r="O4" i="4"/>
  <c r="Q4" i="4"/>
  <c r="S4" i="4"/>
  <c r="W4" i="4"/>
  <c r="D5" i="4"/>
  <c r="Q4" i="8" s="1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P5" i="8" s="1"/>
  <c r="U6" i="8"/>
  <c r="D7" i="4"/>
  <c r="Q6" i="8" s="1"/>
  <c r="J6" i="8"/>
  <c r="K7" i="8"/>
  <c r="M7" i="8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9" i="4"/>
  <c r="K8" i="8" s="1"/>
  <c r="F9" i="4"/>
  <c r="I8" i="8" s="1"/>
  <c r="I7" i="8"/>
  <c r="W19" i="8"/>
  <c r="H9" i="4"/>
  <c r="J8" i="8" s="1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P9" i="8" s="1"/>
  <c r="W11" i="4"/>
  <c r="P10" i="8" s="1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F11" i="4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5" i="8"/>
  <c r="G14" i="8"/>
  <c r="K13" i="8"/>
  <c r="K14" i="8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E17" i="3"/>
  <c r="F16" i="8" s="1"/>
  <c r="Q16" i="2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F20" i="4"/>
  <c r="I19" i="8" s="1"/>
  <c r="G16" i="9"/>
  <c r="U23" i="2"/>
  <c r="E20" i="2"/>
  <c r="E21" i="2"/>
  <c r="C20" i="2"/>
  <c r="S22" i="4"/>
  <c r="O21" i="8" s="1"/>
  <c r="K20" i="4"/>
  <c r="K19" i="8" s="1"/>
  <c r="G18" i="9"/>
  <c r="G19" i="9"/>
  <c r="U17" i="8"/>
  <c r="U24" i="2"/>
  <c r="M20" i="2"/>
  <c r="AA19" i="8" s="1"/>
  <c r="C21" i="2"/>
  <c r="S20" i="4"/>
  <c r="O19" i="8" s="1"/>
  <c r="K21" i="4"/>
  <c r="K20" i="8" s="1"/>
  <c r="U25" i="2"/>
  <c r="Q21" i="2"/>
  <c r="C22" i="2"/>
  <c r="C23" i="2"/>
  <c r="O20" i="4"/>
  <c r="M19" i="8" s="1"/>
  <c r="K22" i="4"/>
  <c r="K21" i="8" s="1"/>
  <c r="G20" i="9"/>
  <c r="S20" i="8"/>
  <c r="U26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F23" i="4"/>
  <c r="F22" i="4"/>
  <c r="I21" i="8" s="1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M26" i="2"/>
  <c r="C25" i="2"/>
  <c r="G28" i="2"/>
  <c r="W28" i="4"/>
  <c r="P27" i="8" s="1"/>
  <c r="Q28" i="4"/>
  <c r="N27" i="8" s="1"/>
  <c r="K28" i="4"/>
  <c r="K27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8" i="8" l="1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H16" i="4"/>
  <c r="I16" i="4" s="1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K13" i="4"/>
  <c r="K12" i="4"/>
  <c r="F13" i="4"/>
  <c r="I13" i="4" s="1"/>
  <c r="F12" i="4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K17" i="4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H17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H19" i="4"/>
  <c r="I19" i="4" s="1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H20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H21" i="4"/>
  <c r="AA12" i="8"/>
  <c r="T33" i="1" l="1"/>
  <c r="U33" i="1" s="1"/>
  <c r="R31" i="8"/>
  <c r="T32" i="1"/>
  <c r="U32" i="1" s="1"/>
  <c r="I21" i="4"/>
  <c r="Y21" i="4" s="1"/>
  <c r="J20" i="8"/>
  <c r="Y20" i="8" s="1"/>
  <c r="H22" i="4"/>
  <c r="I22" i="4" l="1"/>
  <c r="Y22" i="4" s="1"/>
  <c r="J21" i="8"/>
  <c r="Y21" i="8" s="1"/>
  <c r="H24" i="4" l="1"/>
  <c r="I23" i="4"/>
  <c r="Y23" i="4" s="1"/>
  <c r="J22" i="8"/>
  <c r="Y22" i="8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H34" i="4" s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T22" i="1"/>
  <c r="U22" i="1" s="1"/>
  <c r="R22" i="8" l="1"/>
  <c r="T23" i="1"/>
  <c r="U23" i="1" s="1"/>
  <c r="R23" i="8" l="1"/>
  <c r="T24" i="1"/>
  <c r="U24" i="1" s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F24" i="4"/>
  <c r="I23" i="8" l="1"/>
  <c r="Y23" i="8" s="1"/>
  <c r="I25" i="4"/>
  <c r="Y25" i="4" s="1"/>
  <c r="I24" i="8"/>
  <c r="Y24" i="8" s="1"/>
  <c r="F27" i="4"/>
  <c r="I24" i="4"/>
  <c r="Y24" i="4" s="1"/>
  <c r="F26" i="4"/>
  <c r="I27" i="4" l="1"/>
  <c r="Y27" i="4" s="1"/>
  <c r="I26" i="8"/>
  <c r="Y26" i="8" s="1"/>
  <c r="I26" i="4"/>
  <c r="Y26" i="4" s="1"/>
  <c r="I25" i="8"/>
  <c r="Y25" i="8" s="1"/>
  <c r="F28" i="4"/>
  <c r="F29" i="4" l="1"/>
  <c r="F31" i="4"/>
  <c r="I31" i="4" s="1"/>
  <c r="I28" i="4"/>
  <c r="Y28" i="4" s="1"/>
  <c r="I27" i="8"/>
  <c r="Y27" i="8" s="1"/>
  <c r="F30" i="4" l="1"/>
  <c r="F34" i="4" s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D12" i="4"/>
  <c r="Q11" i="8" s="1"/>
  <c r="E11" i="9" s="1"/>
  <c r="D13" i="4" l="1"/>
  <c r="Q12" i="8" s="1"/>
  <c r="E12" i="9" s="1"/>
  <c r="Q13" i="8" l="1"/>
  <c r="E13" i="9" s="1"/>
  <c r="Q14" i="8" l="1"/>
  <c r="E14" i="9" s="1"/>
  <c r="D16" i="4" l="1"/>
  <c r="Q15" i="8" s="1"/>
  <c r="E15" i="9" s="1"/>
  <c r="D17" i="4" l="1"/>
  <c r="Q16" i="8" s="1"/>
  <c r="E16" i="9" s="1"/>
  <c r="D18" i="4" l="1"/>
  <c r="Q17" i="8" s="1"/>
  <c r="E17" i="9" s="1"/>
  <c r="D19" i="4" l="1"/>
  <c r="Q18" i="8" s="1"/>
  <c r="E18" i="9" s="1"/>
  <c r="D20" i="4" l="1"/>
  <c r="Q19" i="8" s="1"/>
  <c r="E19" i="9" s="1"/>
  <c r="D21" i="4" l="1"/>
  <c r="Q20" i="8" s="1"/>
  <c r="E20" i="9" s="1"/>
  <c r="D22" i="4" l="1"/>
  <c r="Q21" i="8" s="1"/>
  <c r="E21" i="9" s="1"/>
  <c r="D23" i="4" l="1"/>
  <c r="Q22" i="8" s="1"/>
  <c r="E22" i="9" s="1"/>
  <c r="D24" i="4" l="1"/>
  <c r="Q23" i="8" s="1"/>
  <c r="E23" i="9" s="1"/>
  <c r="D25" i="4" l="1"/>
  <c r="Q24" i="8" s="1"/>
  <c r="E24" i="9" s="1"/>
  <c r="D26" i="4" l="1"/>
  <c r="Q25" i="8" s="1"/>
  <c r="E25" i="9" s="1"/>
  <c r="D27" i="4" l="1"/>
  <c r="Q26" i="8" s="1"/>
  <c r="E26" i="9" s="1"/>
  <c r="D28" i="4" l="1"/>
  <c r="Q27" i="8" s="1"/>
  <c r="E27" i="9" s="1"/>
  <c r="D29" i="4" l="1"/>
  <c r="Q28" i="8" s="1"/>
  <c r="E28" i="9" s="1"/>
  <c r="D30" i="4" l="1"/>
  <c r="Q29" i="8" s="1"/>
  <c r="E29" i="9" s="1"/>
  <c r="D31" i="4" l="1"/>
  <c r="D32" i="4" l="1"/>
  <c r="D33" i="4" l="1"/>
  <c r="D34" i="4" s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<sst xmlns="http://schemas.openxmlformats.org/spreadsheetml/2006/main" count="441" uniqueCount="144">
  <si>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</si>
  <si>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</si>
  <si>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</si>
  <si>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</si>
  <si>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</si>
  <si>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</si>
  <si>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</si>
  <si>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</si>
  <si>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</si>
  <si>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</si>
  <si>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</si>
  <si>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</si>
  <si>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</si>
  <si>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</si>
  <si>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</si>
  <si>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</si>
  <si>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</si>
  <si>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</si>
  <si>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</si>
  <si>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</si>
  <si>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</si>
  <si>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</si>
  <si>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</si>
  <si>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</si>
  <si>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</si>
  <si>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</si>
  <si>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</si>
  <si>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</si>
  <si>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</si>
  <si>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</si>
  <si>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</si>
  <si>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</si>
  <si>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</si>
  <si>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</si>
  <si>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</si>
  <si>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</si>
  <si>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</si>
  <si>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</si>
  <si>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</si>
  <si>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</si>
  <si>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</si>
  <si>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</si>
  <si>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</si>
  <si>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</si>
  <si>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</si>
  <si>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</si>
  <si>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</si>
  <si>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</si>
  <si>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</si>
  <si>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</si>
  <si>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</si>
  <si>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</si>
  <si>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</si>
  <si>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</si>
  <si>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</si>
  <si>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</si>
  <si>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</si>
  <si>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</si>
  <si>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</si>
  <si>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</si>
  <si>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</si>
  <si>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</si>
  <si>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</si>
  <si>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</si>
  <si>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</si>
  <si>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</si>
  <si>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</si>
  <si>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</si>
  <si>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</si>
  <si>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</si>
  <si>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</si>
  <si>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</si>
  <si>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</si>
  <si>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</si>
  <si>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</si>
  <si>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</si>
  <si>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</si>
  <si>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</si>
  <si>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</si>
  <si>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</si>
  <si>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</si>
  <si>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</si>
  <si>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</si>
  <si>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</si>
  <si>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</si>
  <si>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</si>
  <si>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</si>
  <si>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</si>
  <si>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</si>
  <si>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</si>
  <si>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</si>
  <si>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</si>
  <si>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</si>
  <si>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</si>
  <si>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</si>
  <si>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</si>
  <si>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</si>
  <si>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</si>
  <si>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</si>
  <si>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</si>
  <si>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</si>
  <si>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</si>
  <si>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</si>
  <si>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</si>
  <si>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</si>
  <si>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</si>
  <si>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</si>
  <si>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</si>
  <si>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</si>
  <si>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</si>
  <si>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</si>
  <si>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</si>
  <si>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</si>
  <si>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</si>
  <si>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</si>
  <si>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</si>
  <si>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</si>
  <si>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</si>
  <si>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</si>
  <si>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</si>
  <si>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</si>
  <si>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</si>
  <si>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</si>
  <si>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</si>
  <si>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</si>
  <si>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</si>
  <si>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</si>
  <si>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</si>
  <si>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</si>
  <si>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</si>
  <si>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</si>
  <si>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</si>
  <si>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</si>
  <si>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</si>
  <si>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</si>
  <si>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</si>
  <si>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</si>
  <si>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</si>
  <si>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</si>
  <si>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Acutal till May  2021</t>
  </si>
  <si>
    <t>.</t>
  </si>
  <si>
    <t>Acutal till June  2021</t>
  </si>
  <si>
    <t>Acutal till July 2021</t>
  </si>
  <si>
    <t>Energy Monthly Statement August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</si>
</sst>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4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3" tint="-0.249977111117893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8" fillId="0" borderId="0"/>
    <xf numFmtId="0" fontId="1" fillId="0" borderId="0"/>
    <xf numFmtId="0" fontId="1" fillId="0" borderId="0"/>
    <xf numFmtId="165" fontId="42" fillId="0" borderId="0"/>
  </cellStyleXfs>
  <cellXfs count="190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29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2" fillId="0" borderId="1" xfId="0" applyNumberFormat="1" applyFont="1" applyBorder="1" applyAlignment="1">
      <alignment horizontal="center" vertical="center"/>
    </xf>
    <xf numFmtId="1" fontId="33" fillId="0" borderId="0" xfId="0" applyNumberFormat="1" applyFont="1"/>
    <xf numFmtId="1" fontId="32" fillId="0" borderId="0" xfId="0" applyNumberFormat="1" applyFont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2" fillId="0" borderId="1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36" fillId="0" borderId="5" xfId="0" applyFont="1" applyBorder="1"/>
    <xf numFmtId="0" fontId="37" fillId="0" borderId="0" xfId="0" applyFont="1"/>
    <xf numFmtId="1" fontId="29" fillId="0" borderId="5" xfId="0" applyNumberFormat="1" applyFont="1" applyBorder="1" applyAlignment="1">
      <alignment wrapText="1"/>
    </xf>
    <xf numFmtId="0" fontId="29" fillId="0" borderId="5" xfId="0" applyFont="1" applyBorder="1" applyAlignment="1">
      <alignment horizontal="center" wrapText="1"/>
    </xf>
    <xf numFmtId="0" fontId="38" fillId="0" borderId="5" xfId="0" applyFont="1" applyBorder="1" applyAlignment="1">
      <alignment horizontal="center"/>
    </xf>
    <xf numFmtId="1" fontId="29" fillId="0" borderId="5" xfId="0" applyNumberFormat="1" applyFont="1" applyBorder="1" applyAlignment="1">
      <alignment horizontal="center" wrapText="1"/>
    </xf>
    <xf numFmtId="0" fontId="37" fillId="0" borderId="0" xfId="0" applyFont="1" applyAlignment="1">
      <alignment horizontal="center"/>
    </xf>
    <xf numFmtId="2" fontId="29" fillId="0" borderId="5" xfId="0" applyNumberFormat="1" applyFont="1" applyBorder="1" applyAlignment="1">
      <alignment horizontal="center" wrapText="1"/>
    </xf>
    <xf numFmtId="166" fontId="19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0" fillId="4" borderId="4" xfId="8" applyFont="1" applyFill="1" applyBorder="1" applyAlignment="1">
      <alignment horizontal="center" vertical="center" wrapText="1"/>
    </xf>
    <xf numFmtId="0" fontId="20" fillId="4" borderId="4" xfId="8" applyFont="1" applyFill="1" applyBorder="1" applyAlignment="1">
      <alignment horizontal="left" vertical="center" wrapText="1"/>
    </xf>
    <xf numFmtId="0" fontId="21" fillId="4" borderId="4" xfId="8" applyFont="1" applyFill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3" fontId="20" fillId="0" borderId="4" xfId="8" applyNumberFormat="1" applyFont="1" applyBorder="1" applyAlignment="1">
      <alignment horizontal="left" vertical="center" wrapText="1"/>
    </xf>
    <xf numFmtId="0" fontId="23" fillId="0" borderId="4" xfId="8" applyFont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4" fillId="5" borderId="4" xfId="8" applyNumberFormat="1" applyFont="1" applyFill="1" applyBorder="1" applyAlignment="1">
      <alignment horizontal="left" vertical="center" wrapText="1"/>
    </xf>
    <xf numFmtId="0" fontId="23" fillId="3" borderId="4" xfId="8" applyFont="1" applyFill="1" applyBorder="1" applyAlignment="1">
      <alignment horizontal="center" vertical="center" wrapText="1"/>
    </xf>
    <xf numFmtId="0" fontId="20" fillId="6" borderId="7" xfId="8" applyFont="1" applyFill="1" applyBorder="1" applyAlignment="1">
      <alignment horizontal="center" vertical="center" wrapText="1"/>
    </xf>
    <xf numFmtId="0" fontId="22" fillId="6" borderId="4" xfId="8" applyFont="1" applyFill="1" applyBorder="1" applyAlignment="1">
      <alignment horizontal="left" vertical="center" wrapText="1"/>
    </xf>
    <xf numFmtId="3" fontId="22" fillId="6" borderId="4" xfId="8" applyNumberFormat="1" applyFont="1" applyFill="1" applyBorder="1" applyAlignment="1">
      <alignment horizontal="left" vertical="center" wrapText="1"/>
    </xf>
    <xf numFmtId="0" fontId="23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0" fontId="20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center" vertical="center" wrapText="1"/>
    </xf>
    <xf numFmtId="0" fontId="25" fillId="0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3" fontId="26" fillId="4" borderId="4" xfId="8" applyNumberFormat="1" applyFont="1" applyFill="1" applyBorder="1" applyAlignment="1">
      <alignment horizontal="left" vertical="center"/>
    </xf>
    <xf numFmtId="0" fontId="27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/>
    </xf>
    <xf numFmtId="43" fontId="37" fillId="0" borderId="1" xfId="0" applyNumberFormat="1" applyFont="1" applyFill="1" applyBorder="1" applyAlignment="1">
      <alignment horizontal="center" vertical="center"/>
    </xf>
    <xf numFmtId="43" fontId="37" fillId="0" borderId="0" xfId="0" applyNumberFormat="1" applyFont="1" applyFill="1" applyBorder="1" applyAlignment="1">
      <alignment horizontal="center" vertical="center"/>
    </xf>
    <xf numFmtId="0" fontId="37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7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164" fontId="37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7" fillId="0" borderId="1" xfId="13" applyFont="1" applyFill="1" applyBorder="1" applyAlignment="1">
      <alignment horizontal="center" vertical="center"/>
    </xf>
    <xf numFmtId="164" fontId="37" fillId="0" borderId="1" xfId="13" applyNumberFormat="1" applyFont="1" applyFill="1" applyBorder="1" applyAlignment="1">
      <alignment horizontal="center" vertical="center"/>
    </xf>
    <xf numFmtId="164" fontId="37" fillId="0" borderId="0" xfId="13" applyNumberFormat="1" applyFont="1" applyFill="1" applyBorder="1" applyAlignment="1">
      <alignment horizontal="center" vertical="center"/>
    </xf>
    <xf numFmtId="164" fontId="37" fillId="0" borderId="1" xfId="3" applyNumberFormat="1" applyFont="1" applyFill="1" applyBorder="1" applyAlignment="1">
      <alignment horizontal="center" vertical="center"/>
    </xf>
    <xf numFmtId="0" fontId="37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7" fillId="0" borderId="8" xfId="13" applyNumberFormat="1" applyFont="1" applyFill="1" applyBorder="1" applyAlignment="1">
      <alignment horizontal="center" vertical="center"/>
    </xf>
    <xf numFmtId="164" fontId="40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7" fillId="0" borderId="0" xfId="13" applyFont="1" applyFill="1" applyBorder="1" applyAlignment="1">
      <alignment horizontal="center"/>
    </xf>
    <xf numFmtId="0" fontId="37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7" fillId="0" borderId="1" xfId="3" applyNumberFormat="1" applyFont="1" applyFill="1" applyBorder="1" applyAlignment="1">
      <alignment horizontal="center" vertical="center"/>
    </xf>
    <xf numFmtId="1" fontId="29" fillId="0" borderId="0" xfId="0" applyNumberFormat="1" applyFont="1" applyBorder="1" applyAlignment="1">
      <alignment wrapText="1"/>
    </xf>
    <xf numFmtId="0" fontId="29" fillId="0" borderId="0" xfId="0" applyFont="1" applyAlignment="1">
      <alignment horizontal="center" vertical="center" wrapText="1"/>
    </xf>
    <xf numFmtId="1" fontId="32" fillId="13" borderId="1" xfId="0" applyNumberFormat="1" applyFont="1" applyFill="1" applyBorder="1" applyAlignment="1">
      <alignment horizontal="center" vertical="center"/>
    </xf>
    <xf numFmtId="0" fontId="14" fillId="13" borderId="0" xfId="0" applyFont="1" applyFill="1"/>
    <xf numFmtId="1" fontId="18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5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2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3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0" borderId="0" xfId="0" applyFont="1"/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1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6" fillId="4" borderId="4" xfId="8" applyFont="1" applyFill="1" applyBorder="1" applyAlignment="1">
      <alignment horizontal="center" vertical="center"/>
    </xf>
    <xf numFmtId="0" fontId="20" fillId="0" borderId="12" xfId="8" applyFont="1" applyBorder="1" applyAlignment="1">
      <alignment horizontal="center" vertical="center" wrapText="1"/>
    </xf>
    <xf numFmtId="0" fontId="20" fillId="0" borderId="13" xfId="8" applyFont="1" applyBorder="1" applyAlignment="1">
      <alignment horizontal="center" vertical="center" wrapText="1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20" fillId="0" borderId="7" xfId="8" applyFont="1" applyBorder="1" applyAlignment="1">
      <alignment horizontal="center" vertical="center" wrapText="1"/>
    </xf>
    <xf numFmtId="0" fontId="20" fillId="0" borderId="12" xfId="8" applyFont="1" applyFill="1" applyBorder="1" applyAlignment="1">
      <alignment horizontal="center" vertical="center" wrapText="1"/>
    </xf>
    <xf numFmtId="0" fontId="20" fillId="0" borderId="7" xfId="8" applyFont="1" applyFill="1" applyBorder="1" applyAlignment="1">
      <alignment horizontal="center" vertical="center" wrapText="1"/>
    </xf>
    <xf numFmtId="0" fontId="20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H13" sqref="H13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6" width="12.5703125" style="15" customWidth="1"/>
    <col min="7" max="11" width="11.5703125" style="15"/>
  </cols>
  <sheetData>
    <row r="1" spans="1:14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5" t="s">
        <v>48</v>
      </c>
      <c r="F1" s="55" t="s">
        <v>49</v>
      </c>
      <c r="G1" s="55" t="s">
        <v>74</v>
      </c>
      <c r="H1" s="55" t="s">
        <v>75</v>
      </c>
      <c r="I1" s="55" t="s">
        <v>50</v>
      </c>
      <c r="J1" s="55" t="s">
        <v>51</v>
      </c>
      <c r="K1" s="55" t="s">
        <v>52</v>
      </c>
    </row>
    <row r="2" spans="1:14" x14ac:dyDescent="0.2">
      <c r="A2" s="53" t="s">
        <v>53</v>
      </c>
      <c r="B2" s="58">
        <v>1</v>
      </c>
      <c r="C2" s="58">
        <v>8</v>
      </c>
      <c r="D2" s="58">
        <v>2021</v>
      </c>
      <c r="E2" s="42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65967.370211999994</v>
      </c>
      <c r="F2" s="146">
        <v>1.27</v>
      </c>
      <c r="G2" s="42">
        <f>Gas!C3*0.9147</f>
        <v>2167.8389999999999</v>
      </c>
      <c r="H2" s="147">
        <v>3.65</v>
      </c>
      <c r="I2" s="148">
        <f>Submetering!H2+Submetering!AD2+Submetering!AE2</f>
        <v>976</v>
      </c>
      <c r="J2" s="149">
        <v>10.029999999999999</v>
      </c>
      <c r="K2" s="42">
        <f>ELECT.!B3</f>
        <v>238</v>
      </c>
    </row>
    <row r="3" spans="1:14" x14ac:dyDescent="0.2">
      <c r="A3" s="53" t="s">
        <v>53</v>
      </c>
      <c r="B3" s="58">
        <f>B2+1</f>
        <v>2</v>
      </c>
      <c r="C3" s="58">
        <v>8</v>
      </c>
      <c r="D3" s="58">
        <v>2021</v>
      </c>
      <c r="E3" s="42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80067.542372000011</v>
      </c>
      <c r="F3" s="146">
        <v>1.27</v>
      </c>
      <c r="G3" s="42">
        <f>Gas!C4*0.9147</f>
        <v>2014.1694</v>
      </c>
      <c r="H3" s="147">
        <v>3.65</v>
      </c>
      <c r="I3" s="149">
        <f>Submetering!H3+Submetering!AD3+Submetering!AE3</f>
        <v>1206</v>
      </c>
      <c r="J3" s="149">
        <v>10.029999999999999</v>
      </c>
      <c r="K3" s="42">
        <f>ELECT.!B4</f>
        <v>263</v>
      </c>
    </row>
    <row r="4" spans="1:14" x14ac:dyDescent="0.2">
      <c r="A4" s="53" t="s">
        <v>53</v>
      </c>
      <c r="B4" s="58">
        <f t="shared" ref="B4:B31" si="0">B3+1</f>
        <v>3</v>
      </c>
      <c r="C4" s="58">
        <v>8</v>
      </c>
      <c r="D4" s="58">
        <v>2021</v>
      </c>
      <c r="E4" s="42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75534.599736000004</v>
      </c>
      <c r="F4" s="146">
        <v>1.27</v>
      </c>
      <c r="G4" s="42">
        <f>Gas!C5*0.9147</f>
        <v>2048.9279999999999</v>
      </c>
      <c r="H4" s="147">
        <v>3.65</v>
      </c>
      <c r="I4" s="149">
        <f>Submetering!H4+Submetering!AD4+Submetering!AE4</f>
        <v>1336</v>
      </c>
      <c r="J4" s="149">
        <v>10.029999999999999</v>
      </c>
      <c r="K4" s="42">
        <f>ELECT.!B5</f>
        <v>260</v>
      </c>
    </row>
    <row r="5" spans="1:14" x14ac:dyDescent="0.2">
      <c r="A5" s="53" t="s">
        <v>53</v>
      </c>
      <c r="B5" s="58">
        <f t="shared" si="0"/>
        <v>4</v>
      </c>
      <c r="C5" s="58">
        <v>8</v>
      </c>
      <c r="D5" s="58">
        <v>2021</v>
      </c>
      <c r="E5" s="42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14677.184196</v>
      </c>
      <c r="F5" s="146">
        <v>1.27</v>
      </c>
      <c r="G5" s="42">
        <f>Gas!C6*0.9147</f>
        <v>1973.9225999999999</v>
      </c>
      <c r="H5" s="147">
        <v>3.65</v>
      </c>
      <c r="I5" s="149">
        <f>Submetering!H5+Submetering!AD5+Submetering!AE5</f>
        <v>1296</v>
      </c>
      <c r="J5" s="149">
        <v>10.029999999999999</v>
      </c>
      <c r="K5" s="42">
        <f>ELECT.!B6</f>
        <v>266</v>
      </c>
    </row>
    <row r="6" spans="1:14" x14ac:dyDescent="0.2">
      <c r="A6" s="53" t="s">
        <v>53</v>
      </c>
      <c r="B6" s="58">
        <f t="shared" si="0"/>
        <v>5</v>
      </c>
      <c r="C6" s="58">
        <v>8</v>
      </c>
      <c r="D6" s="58">
        <v>2021</v>
      </c>
      <c r="E6" s="42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122150.629772</v>
      </c>
      <c r="F6" s="146">
        <v>1.27</v>
      </c>
      <c r="G6" s="42">
        <f>Gas!C7*0.9147</f>
        <v>1908.9788999999998</v>
      </c>
      <c r="H6" s="147">
        <v>3.65</v>
      </c>
      <c r="I6" s="149">
        <f>Submetering!H6+Submetering!AD6+Submetering!AE6</f>
        <v>976</v>
      </c>
      <c r="J6" s="149">
        <v>10.029999999999999</v>
      </c>
      <c r="K6" s="42">
        <f>ELECT.!B7</f>
        <v>250</v>
      </c>
    </row>
    <row r="7" spans="1:14" x14ac:dyDescent="0.2">
      <c r="A7" s="53" t="s">
        <v>53</v>
      </c>
      <c r="B7" s="58">
        <f t="shared" si="0"/>
        <v>6</v>
      </c>
      <c r="C7" s="58">
        <v>8</v>
      </c>
      <c r="D7" s="58">
        <v>2021</v>
      </c>
      <c r="E7" s="42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75301.434267999997</v>
      </c>
      <c r="F7" s="146">
        <v>1.27</v>
      </c>
      <c r="G7" s="42">
        <f>Gas!C8*0.9147</f>
        <v>2451.3959999999997</v>
      </c>
      <c r="H7" s="147">
        <v>3.65</v>
      </c>
      <c r="I7" s="149">
        <f>Submetering!H7+Submetering!AD7+Submetering!AE7</f>
        <v>1066</v>
      </c>
      <c r="J7" s="149">
        <v>10.029999999999999</v>
      </c>
      <c r="K7" s="42">
        <f>ELECT.!B8</f>
        <v>255</v>
      </c>
    </row>
    <row r="8" spans="1:14" x14ac:dyDescent="0.2">
      <c r="A8" s="53" t="s">
        <v>53</v>
      </c>
      <c r="B8" s="58">
        <f t="shared" si="0"/>
        <v>7</v>
      </c>
      <c r="C8" s="58">
        <v>8</v>
      </c>
      <c r="D8" s="58">
        <v>2021</v>
      </c>
      <c r="E8" s="42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56387.613003999992</v>
      </c>
      <c r="F8" s="146">
        <v>1.27</v>
      </c>
      <c r="G8" s="42">
        <f>Gas!C9*0.9147</f>
        <v>1880.6232</v>
      </c>
      <c r="H8" s="147">
        <v>3.65</v>
      </c>
      <c r="I8" s="149">
        <f>Submetering!H8+Submetering!AD8+Submetering!AE8</f>
        <v>896</v>
      </c>
      <c r="J8" s="149">
        <v>10.029999999999999</v>
      </c>
      <c r="K8" s="42">
        <f>ELECT.!B9</f>
        <v>204</v>
      </c>
    </row>
    <row r="9" spans="1:14" x14ac:dyDescent="0.2">
      <c r="A9" s="53" t="s">
        <v>53</v>
      </c>
      <c r="B9" s="58">
        <f t="shared" si="0"/>
        <v>8</v>
      </c>
      <c r="C9" s="58">
        <v>8</v>
      </c>
      <c r="D9" s="58">
        <v>2021</v>
      </c>
      <c r="E9" s="42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81339.287308000014</v>
      </c>
      <c r="F9" s="146">
        <v>1.27</v>
      </c>
      <c r="G9" s="42">
        <f>Gas!C10*0.9147</f>
        <v>1948.3109999999999</v>
      </c>
      <c r="H9" s="147">
        <v>3.65</v>
      </c>
      <c r="I9" s="149">
        <f>Submetering!H9+Submetering!AD9+Submetering!AE9</f>
        <v>1245.9999999999998</v>
      </c>
      <c r="J9" s="149">
        <v>10.029999999999999</v>
      </c>
      <c r="K9" s="42">
        <f>ELECT.!B10</f>
        <v>213</v>
      </c>
      <c r="N9" t="s">
        <v>12</v>
      </c>
    </row>
    <row r="10" spans="1:14" x14ac:dyDescent="0.2">
      <c r="A10" s="53" t="s">
        <v>53</v>
      </c>
      <c r="B10" s="58">
        <f t="shared" si="0"/>
        <v>9</v>
      </c>
      <c r="C10" s="58">
        <v>8</v>
      </c>
      <c r="D10" s="58">
        <v>2021</v>
      </c>
      <c r="E10" s="42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170148.85151199999</v>
      </c>
      <c r="F10" s="146">
        <v>1.27</v>
      </c>
      <c r="G10" s="42">
        <f>Gas!C11*0.9147</f>
        <v>2146.8008999999997</v>
      </c>
      <c r="H10" s="147">
        <v>3.65</v>
      </c>
      <c r="I10" s="149">
        <f>Submetering!H10+Submetering!AD10+Submetering!AE10</f>
        <v>885.99999999999989</v>
      </c>
      <c r="J10" s="149">
        <v>10.029999999999999</v>
      </c>
      <c r="K10" s="42">
        <f>ELECT.!B11</f>
        <v>210</v>
      </c>
    </row>
    <row r="11" spans="1:14" x14ac:dyDescent="0.2">
      <c r="A11" s="53" t="s">
        <v>53</v>
      </c>
      <c r="B11" s="58">
        <f t="shared" si="0"/>
        <v>10</v>
      </c>
      <c r="C11" s="58">
        <v>8</v>
      </c>
      <c r="D11" s="58">
        <v>2021</v>
      </c>
      <c r="E11" s="42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85706.904896000007</v>
      </c>
      <c r="F11" s="146">
        <v>1.27</v>
      </c>
      <c r="G11" s="42">
        <f>Gas!C12*0.9147</f>
        <v>2012.34</v>
      </c>
      <c r="H11" s="147">
        <v>3.65</v>
      </c>
      <c r="I11" s="149">
        <f>Submetering!H11+Submetering!AD11+Submetering!AE11</f>
        <v>1036</v>
      </c>
      <c r="J11" s="149">
        <v>10.029999999999999</v>
      </c>
      <c r="K11" s="42">
        <f>ELECT.!B12</f>
        <v>220</v>
      </c>
    </row>
    <row r="12" spans="1:14" x14ac:dyDescent="0.2">
      <c r="A12" s="53" t="s">
        <v>53</v>
      </c>
      <c r="B12" s="58">
        <f t="shared" si="0"/>
        <v>11</v>
      </c>
      <c r="C12" s="58">
        <v>8</v>
      </c>
      <c r="D12" s="58">
        <v>2021</v>
      </c>
      <c r="E12" s="42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9499.8176000000003</v>
      </c>
      <c r="F12" s="146">
        <v>1.27</v>
      </c>
      <c r="G12" s="42">
        <f>Gas!C13*0.9147</f>
        <v>2058.0749999999998</v>
      </c>
      <c r="H12" s="147">
        <v>3.65</v>
      </c>
      <c r="I12" s="149">
        <f>Submetering!H12+Submetering!AD12+Submetering!AE12</f>
        <v>1026</v>
      </c>
      <c r="J12" s="149">
        <v>10.029999999999999</v>
      </c>
      <c r="K12" s="42">
        <f>ELECT.!B13</f>
        <v>225</v>
      </c>
    </row>
    <row r="13" spans="1:14" x14ac:dyDescent="0.2">
      <c r="A13" s="53" t="s">
        <v>53</v>
      </c>
      <c r="B13" s="58">
        <f t="shared" si="0"/>
        <v>12</v>
      </c>
      <c r="C13" s="58">
        <v>8</v>
      </c>
      <c r="D13" s="58">
        <v>2021</v>
      </c>
      <c r="E13" s="42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17727.113600000001</v>
      </c>
      <c r="F13" s="146">
        <v>1.27</v>
      </c>
      <c r="G13" s="42">
        <f>Gas!C14*0.9147</f>
        <v>1883.3672999999999</v>
      </c>
      <c r="H13" s="147">
        <v>3.65</v>
      </c>
      <c r="I13" s="149">
        <f>Submetering!H13+Submetering!AD13+Submetering!AE13</f>
        <v>-194</v>
      </c>
      <c r="J13" s="149">
        <v>10.029999999999999</v>
      </c>
      <c r="K13" s="42">
        <f>ELECT.!B14</f>
        <v>216</v>
      </c>
    </row>
    <row r="14" spans="1:14" x14ac:dyDescent="0.2">
      <c r="A14" s="53" t="s">
        <v>53</v>
      </c>
      <c r="B14" s="58">
        <f t="shared" si="0"/>
        <v>13</v>
      </c>
      <c r="C14" s="58">
        <v>8</v>
      </c>
      <c r="D14" s="58">
        <v>2021</v>
      </c>
      <c r="E14" s="42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73581.148331999997</v>
      </c>
      <c r="F14" s="146">
        <v>1.27</v>
      </c>
      <c r="G14" s="42">
        <f>Gas!C15*0.9147</f>
        <v>1860.4997999999998</v>
      </c>
      <c r="H14" s="147">
        <v>3.65</v>
      </c>
      <c r="I14" s="149">
        <f>Submetering!H14+Submetering!AD14+Submetering!AE14</f>
        <v>3486</v>
      </c>
      <c r="J14" s="149">
        <v>10.029999999999999</v>
      </c>
      <c r="K14" s="42">
        <f>ELECT.!B15</f>
        <v>222</v>
      </c>
    </row>
    <row r="15" spans="1:14" x14ac:dyDescent="0.2">
      <c r="A15" s="53" t="s">
        <v>53</v>
      </c>
      <c r="B15" s="58">
        <f t="shared" si="0"/>
        <v>14</v>
      </c>
      <c r="C15" s="58">
        <v>8</v>
      </c>
      <c r="D15" s="58">
        <v>2021</v>
      </c>
      <c r="E15" s="42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44622.876983999995</v>
      </c>
      <c r="F15" s="146">
        <v>1.27</v>
      </c>
      <c r="G15" s="42">
        <f>Gas!C16*0.9147</f>
        <v>2100.1511999999998</v>
      </c>
      <c r="H15" s="147">
        <v>3.65</v>
      </c>
      <c r="I15" s="149">
        <f>Submetering!H15+Submetering!AD15+Submetering!AE15</f>
        <v>955.99999999999989</v>
      </c>
      <c r="J15" s="149">
        <v>10.029999999999999</v>
      </c>
      <c r="K15" s="42">
        <f>ELECT.!B16</f>
        <v>299</v>
      </c>
    </row>
    <row r="16" spans="1:14" x14ac:dyDescent="0.2">
      <c r="A16" s="53" t="s">
        <v>53</v>
      </c>
      <c r="B16" s="58">
        <f t="shared" si="0"/>
        <v>15</v>
      </c>
      <c r="C16" s="58">
        <v>8</v>
      </c>
      <c r="D16" s="58">
        <v>2021</v>
      </c>
      <c r="E16" s="42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46">
        <v>1.27</v>
      </c>
      <c r="G16" s="42">
        <f>Gas!C17*0.9147</f>
        <v>0</v>
      </c>
      <c r="H16" s="147">
        <v>3.65</v>
      </c>
      <c r="I16" s="149">
        <f>Submetering!H16+Submetering!AD16+Submetering!AE16</f>
        <v>-194</v>
      </c>
      <c r="J16" s="149">
        <v>10.029999999999999</v>
      </c>
      <c r="K16" s="42">
        <f>ELECT.!B17</f>
        <v>0</v>
      </c>
    </row>
    <row r="17" spans="1:13" x14ac:dyDescent="0.2">
      <c r="A17" s="53" t="s">
        <v>53</v>
      </c>
      <c r="B17" s="58">
        <f t="shared" si="0"/>
        <v>16</v>
      </c>
      <c r="C17" s="58">
        <v>8</v>
      </c>
      <c r="D17" s="58">
        <v>2021</v>
      </c>
      <c r="E17" s="42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46">
        <v>1.27</v>
      </c>
      <c r="G17" s="42">
        <f>Gas!C18*0.9147</f>
        <v>0</v>
      </c>
      <c r="H17" s="147">
        <v>3.65</v>
      </c>
      <c r="I17" s="149">
        <f>Submetering!H17+Submetering!AD17+Submetering!AE17</f>
        <v>-194</v>
      </c>
      <c r="J17" s="149">
        <v>10.029999999999999</v>
      </c>
      <c r="K17" s="42">
        <f>ELECT.!B18</f>
        <v>0</v>
      </c>
    </row>
    <row r="18" spans="1:13" x14ac:dyDescent="0.2">
      <c r="A18" s="53" t="s">
        <v>53</v>
      </c>
      <c r="B18" s="58">
        <f t="shared" si="0"/>
        <v>17</v>
      </c>
      <c r="C18" s="58">
        <v>8</v>
      </c>
      <c r="D18" s="58">
        <v>2021</v>
      </c>
      <c r="E18" s="42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6">
        <v>1.27</v>
      </c>
      <c r="G18" s="42">
        <f>Gas!C19*0.9147</f>
        <v>0</v>
      </c>
      <c r="H18" s="147">
        <v>3.65</v>
      </c>
      <c r="I18" s="149">
        <f>Submetering!H18+Submetering!AD18+Submetering!AE18</f>
        <v>-194</v>
      </c>
      <c r="J18" s="149">
        <v>10.029999999999999</v>
      </c>
      <c r="K18" s="42">
        <f>ELECT.!B19</f>
        <v>0</v>
      </c>
    </row>
    <row r="19" spans="1:13" x14ac:dyDescent="0.2">
      <c r="A19" s="53" t="s">
        <v>53</v>
      </c>
      <c r="B19" s="58">
        <f t="shared" si="0"/>
        <v>18</v>
      </c>
      <c r="C19" s="58">
        <v>8</v>
      </c>
      <c r="D19" s="58">
        <v>2021</v>
      </c>
      <c r="E19" s="42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6">
        <v>1.27</v>
      </c>
      <c r="G19" s="42">
        <f>Gas!C20*0.9147</f>
        <v>0</v>
      </c>
      <c r="H19" s="147">
        <v>3.65</v>
      </c>
      <c r="I19" s="149">
        <f>Submetering!H19+Submetering!AD19+Submetering!AE19</f>
        <v>-194</v>
      </c>
      <c r="J19" s="149">
        <v>10.029999999999999</v>
      </c>
      <c r="K19" s="42">
        <f>ELECT.!B20</f>
        <v>0</v>
      </c>
    </row>
    <row r="20" spans="1:13" x14ac:dyDescent="0.2">
      <c r="A20" s="53" t="s">
        <v>53</v>
      </c>
      <c r="B20" s="58">
        <f t="shared" si="0"/>
        <v>19</v>
      </c>
      <c r="C20" s="58">
        <v>8</v>
      </c>
      <c r="D20" s="58">
        <v>2021</v>
      </c>
      <c r="E20" s="42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6">
        <v>1.27</v>
      </c>
      <c r="G20" s="42">
        <f>Gas!C21*0.9147</f>
        <v>0</v>
      </c>
      <c r="H20" s="147">
        <v>3.65</v>
      </c>
      <c r="I20" s="149">
        <f>Submetering!H20+Submetering!AD20+Submetering!AE20</f>
        <v>-194</v>
      </c>
      <c r="J20" s="149">
        <v>10.029999999999999</v>
      </c>
      <c r="K20" s="42">
        <f>ELECT.!B21</f>
        <v>0</v>
      </c>
    </row>
    <row r="21" spans="1:13" x14ac:dyDescent="0.2">
      <c r="A21" s="53" t="s">
        <v>53</v>
      </c>
      <c r="B21" s="58">
        <f t="shared" si="0"/>
        <v>20</v>
      </c>
      <c r="C21" s="58">
        <v>8</v>
      </c>
      <c r="D21" s="58">
        <v>2021</v>
      </c>
      <c r="E21" s="42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6">
        <v>1.27</v>
      </c>
      <c r="G21" s="42">
        <f>Gas!C22*0.9147</f>
        <v>0</v>
      </c>
      <c r="H21" s="147">
        <v>3.65</v>
      </c>
      <c r="I21" s="149">
        <f>Submetering!H21+Submetering!AD21+Submetering!AE21</f>
        <v>-194</v>
      </c>
      <c r="J21" s="149">
        <v>10.029999999999999</v>
      </c>
      <c r="K21" s="42">
        <f>ELECT.!B22</f>
        <v>0</v>
      </c>
    </row>
    <row r="22" spans="1:13" x14ac:dyDescent="0.2">
      <c r="A22" s="53" t="s">
        <v>53</v>
      </c>
      <c r="B22" s="58">
        <f t="shared" si="0"/>
        <v>21</v>
      </c>
      <c r="C22" s="58">
        <v>8</v>
      </c>
      <c r="D22" s="58">
        <v>2021</v>
      </c>
      <c r="E22" s="42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6">
        <v>1.27</v>
      </c>
      <c r="G22" s="42">
        <f>Gas!C23*0.9147</f>
        <v>0</v>
      </c>
      <c r="H22" s="147">
        <v>3.65</v>
      </c>
      <c r="I22" s="149">
        <f>Submetering!H22+Submetering!AD22+Submetering!AE22</f>
        <v>-194</v>
      </c>
      <c r="J22" s="149">
        <v>10.029999999999999</v>
      </c>
      <c r="K22" s="42">
        <f>ELECT.!B23</f>
        <v>0</v>
      </c>
    </row>
    <row r="23" spans="1:13" x14ac:dyDescent="0.2">
      <c r="A23" s="53" t="s">
        <v>53</v>
      </c>
      <c r="B23" s="58">
        <f t="shared" si="0"/>
        <v>22</v>
      </c>
      <c r="C23" s="58">
        <v>8</v>
      </c>
      <c r="D23" s="58">
        <v>2021</v>
      </c>
      <c r="E23" s="42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6">
        <v>1.27</v>
      </c>
      <c r="G23" s="42">
        <f>Gas!C24*0.9147</f>
        <v>0</v>
      </c>
      <c r="H23" s="147">
        <v>3.65</v>
      </c>
      <c r="I23" s="149">
        <f>Submetering!H23+Submetering!AD23+Submetering!AE23</f>
        <v>-194</v>
      </c>
      <c r="J23" s="149">
        <v>10.029999999999999</v>
      </c>
      <c r="K23" s="42">
        <f>ELECT.!B24</f>
        <v>0</v>
      </c>
    </row>
    <row r="24" spans="1:13" x14ac:dyDescent="0.2">
      <c r="A24" s="53" t="s">
        <v>53</v>
      </c>
      <c r="B24" s="58">
        <f t="shared" si="0"/>
        <v>23</v>
      </c>
      <c r="C24" s="58">
        <v>8</v>
      </c>
      <c r="D24" s="58">
        <v>2021</v>
      </c>
      <c r="E24" s="42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6">
        <v>1.27</v>
      </c>
      <c r="G24" s="42">
        <f>Gas!C25*0.9147</f>
        <v>0</v>
      </c>
      <c r="H24" s="147">
        <v>3.65</v>
      </c>
      <c r="I24" s="149">
        <f>Submetering!H24+Submetering!AD24+Submetering!AE24</f>
        <v>-194</v>
      </c>
      <c r="J24" s="149">
        <v>10.029999999999999</v>
      </c>
      <c r="K24" s="42">
        <f>ELECT.!B25</f>
        <v>0</v>
      </c>
    </row>
    <row r="25" spans="1:13" x14ac:dyDescent="0.2">
      <c r="A25" s="53" t="s">
        <v>53</v>
      </c>
      <c r="B25" s="58">
        <f t="shared" si="0"/>
        <v>24</v>
      </c>
      <c r="C25" s="58">
        <v>8</v>
      </c>
      <c r="D25" s="58">
        <v>2021</v>
      </c>
      <c r="E25" s="42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6">
        <v>1.27</v>
      </c>
      <c r="G25" s="42">
        <f>Gas!C26*0.9147</f>
        <v>0</v>
      </c>
      <c r="H25" s="147">
        <v>3.65</v>
      </c>
      <c r="I25" s="149">
        <f>Submetering!H25+Submetering!AD25+Submetering!AE25</f>
        <v>-194</v>
      </c>
      <c r="J25" s="149">
        <v>10.029999999999999</v>
      </c>
      <c r="K25" s="42">
        <f>ELECT.!B26</f>
        <v>0</v>
      </c>
    </row>
    <row r="26" spans="1:13" x14ac:dyDescent="0.2">
      <c r="A26" s="53" t="s">
        <v>53</v>
      </c>
      <c r="B26" s="58">
        <f>B25+1</f>
        <v>25</v>
      </c>
      <c r="C26" s="58">
        <v>8</v>
      </c>
      <c r="D26" s="58">
        <v>2021</v>
      </c>
      <c r="E26" s="42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6">
        <v>1.27</v>
      </c>
      <c r="G26" s="42">
        <f>Gas!C27*0.9147</f>
        <v>0</v>
      </c>
      <c r="H26" s="147">
        <v>3.65</v>
      </c>
      <c r="I26" s="149">
        <f>Submetering!H26+Submetering!AD26+Submetering!AE26</f>
        <v>-194</v>
      </c>
      <c r="J26" s="149">
        <v>10.029999999999999</v>
      </c>
      <c r="K26" s="42">
        <f>ELECT.!B27</f>
        <v>0</v>
      </c>
      <c r="M26" s="31" t="s">
        <v>12</v>
      </c>
    </row>
    <row r="27" spans="1:13" x14ac:dyDescent="0.2">
      <c r="A27" s="53" t="s">
        <v>53</v>
      </c>
      <c r="B27" s="58">
        <f t="shared" si="0"/>
        <v>26</v>
      </c>
      <c r="C27" s="58">
        <v>8</v>
      </c>
      <c r="D27" s="58">
        <v>2021</v>
      </c>
      <c r="E27" s="42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6">
        <v>1.27</v>
      </c>
      <c r="G27" s="42">
        <f>Gas!C28*0.9147</f>
        <v>0</v>
      </c>
      <c r="H27" s="147">
        <v>3.65</v>
      </c>
      <c r="I27" s="149">
        <f>Submetering!H27+Submetering!AD27+Submetering!AE27</f>
        <v>-194</v>
      </c>
      <c r="J27" s="149">
        <v>10.029999999999999</v>
      </c>
      <c r="K27" s="42">
        <f>ELECT.!B28</f>
        <v>0</v>
      </c>
    </row>
    <row r="28" spans="1:13" x14ac:dyDescent="0.2">
      <c r="A28" s="53" t="s">
        <v>53</v>
      </c>
      <c r="B28" s="58">
        <f t="shared" si="0"/>
        <v>27</v>
      </c>
      <c r="C28" s="58">
        <v>8</v>
      </c>
      <c r="D28" s="58">
        <v>2021</v>
      </c>
      <c r="E28" s="42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6">
        <v>1.27</v>
      </c>
      <c r="G28" s="42">
        <f>Gas!C29*0.9147</f>
        <v>0</v>
      </c>
      <c r="H28" s="147">
        <v>3.65</v>
      </c>
      <c r="I28" s="149">
        <f>Submetering!H28+Submetering!AD28+Submetering!AE28</f>
        <v>-194</v>
      </c>
      <c r="J28" s="149">
        <v>10.029999999999999</v>
      </c>
      <c r="K28" s="42">
        <f>ELECT.!B29</f>
        <v>0</v>
      </c>
    </row>
    <row r="29" spans="1:13" x14ac:dyDescent="0.2">
      <c r="A29" s="53" t="s">
        <v>53</v>
      </c>
      <c r="B29" s="58">
        <f t="shared" si="0"/>
        <v>28</v>
      </c>
      <c r="C29" s="58">
        <v>8</v>
      </c>
      <c r="D29" s="58">
        <v>2021</v>
      </c>
      <c r="E29" s="42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6">
        <v>1.27</v>
      </c>
      <c r="G29" s="42">
        <f>Gas!C30*0.9147</f>
        <v>0</v>
      </c>
      <c r="H29" s="147">
        <v>3.65</v>
      </c>
      <c r="I29" s="149">
        <f>Submetering!H29+Submetering!AD29+Submetering!AE29</f>
        <v>-194</v>
      </c>
      <c r="J29" s="149">
        <v>10.029999999999999</v>
      </c>
      <c r="K29" s="42">
        <f>ELECT.!B30</f>
        <v>0</v>
      </c>
    </row>
    <row r="30" spans="1:13" x14ac:dyDescent="0.2">
      <c r="A30" s="53" t="s">
        <v>53</v>
      </c>
      <c r="B30" s="58">
        <f t="shared" si="0"/>
        <v>29</v>
      </c>
      <c r="C30" s="58">
        <v>8</v>
      </c>
      <c r="D30" s="58">
        <v>2021</v>
      </c>
      <c r="E30" s="42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6">
        <v>1.27</v>
      </c>
      <c r="G30" s="42">
        <f>Gas!C31*0.9147</f>
        <v>0</v>
      </c>
      <c r="H30" s="147">
        <v>3.65</v>
      </c>
      <c r="I30" s="149">
        <f>Submetering!H30+Submetering!AD30+Submetering!AE30</f>
        <v>-194</v>
      </c>
      <c r="J30" s="149">
        <v>10.029999999999999</v>
      </c>
      <c r="K30" s="42">
        <f>ELECT.!B31</f>
        <v>0</v>
      </c>
    </row>
    <row r="31" spans="1:13" x14ac:dyDescent="0.2">
      <c r="A31" s="53" t="s">
        <v>53</v>
      </c>
      <c r="B31" s="58">
        <f t="shared" si="0"/>
        <v>30</v>
      </c>
      <c r="C31" s="58">
        <v>8</v>
      </c>
      <c r="D31" s="58">
        <v>2021</v>
      </c>
      <c r="E31" s="42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6">
        <v>1.27</v>
      </c>
      <c r="G31" s="42">
        <f>Gas!C32*0.9147</f>
        <v>0</v>
      </c>
      <c r="H31" s="147">
        <v>3.65</v>
      </c>
      <c r="I31" s="149">
        <f>Submetering!H31+Submetering!AD31+Submetering!AE31</f>
        <v>-194</v>
      </c>
      <c r="J31" s="149">
        <v>10.029999999999999</v>
      </c>
      <c r="K31" s="42">
        <f>ELECT.!B32</f>
        <v>0</v>
      </c>
    </row>
    <row r="32" spans="1:13" x14ac:dyDescent="0.2">
      <c r="A32" s="53" t="s">
        <v>53</v>
      </c>
      <c r="B32" s="58">
        <v>31</v>
      </c>
      <c r="C32" s="58">
        <v>8</v>
      </c>
      <c r="D32" s="58">
        <v>2021</v>
      </c>
      <c r="E32" s="42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6">
        <v>1.27</v>
      </c>
      <c r="G32" s="42">
        <f>Gas!C33*0.9147</f>
        <v>0</v>
      </c>
      <c r="H32" s="147">
        <v>3.65</v>
      </c>
      <c r="I32" s="149">
        <f>Submetering!H32+Submetering!AD32+Submetering!AE32</f>
        <v>-194</v>
      </c>
      <c r="J32" s="149">
        <v>10.029999999999999</v>
      </c>
      <c r="K32" s="42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P17" sqref="P17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17" width="12.5703125" style="42" customWidth="1"/>
    <col min="18" max="23" width="12.5703125" style="43" customWidth="1"/>
    <col min="24" max="25" width="11.5703125" style="40"/>
    <col min="27" max="27" width="13.7109375" bestFit="1" customWidth="1"/>
    <col min="28" max="28" width="13.5703125" bestFit="1" customWidth="1"/>
    <col min="30" max="30" width="15.5703125" customWidth="1"/>
  </cols>
  <sheetData>
    <row r="1" spans="1:31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7" t="s">
        <v>64</v>
      </c>
      <c r="F1" s="57" t="s">
        <v>65</v>
      </c>
      <c r="G1" s="57" t="s">
        <v>66</v>
      </c>
      <c r="H1" s="57" t="s">
        <v>67</v>
      </c>
      <c r="I1" s="57" t="s">
        <v>57</v>
      </c>
      <c r="J1" s="57" t="s">
        <v>56</v>
      </c>
      <c r="K1" s="57" t="s">
        <v>55</v>
      </c>
      <c r="L1" s="57" t="s">
        <v>58</v>
      </c>
      <c r="M1" s="57" t="s">
        <v>59</v>
      </c>
      <c r="N1" s="57" t="s">
        <v>60</v>
      </c>
      <c r="O1" s="57" t="s">
        <v>61</v>
      </c>
      <c r="P1" s="57" t="s">
        <v>62</v>
      </c>
      <c r="Q1" s="57" t="s">
        <v>76</v>
      </c>
      <c r="R1" s="59" t="s">
        <v>68</v>
      </c>
      <c r="S1" s="59" t="s">
        <v>69</v>
      </c>
      <c r="T1" s="59" t="s">
        <v>70</v>
      </c>
      <c r="U1" s="59" t="s">
        <v>71</v>
      </c>
      <c r="V1" s="59" t="s">
        <v>72</v>
      </c>
      <c r="W1" s="59" t="s">
        <v>73</v>
      </c>
      <c r="X1" s="54" t="s">
        <v>52</v>
      </c>
      <c r="Y1" s="133" t="s">
        <v>128</v>
      </c>
      <c r="Z1" s="39" t="s">
        <v>129</v>
      </c>
      <c r="AA1" s="39" t="s">
        <v>130</v>
      </c>
      <c r="AB1" s="39" t="s">
        <v>131</v>
      </c>
      <c r="AC1" s="39" t="s">
        <v>132</v>
      </c>
      <c r="AD1" s="134" t="s">
        <v>133</v>
      </c>
      <c r="AE1" s="134" t="s">
        <v>134</v>
      </c>
    </row>
    <row r="2" spans="1:31" x14ac:dyDescent="0.2">
      <c r="A2" s="53" t="s">
        <v>53</v>
      </c>
      <c r="B2" s="58">
        <v>1</v>
      </c>
      <c r="C2" s="58">
        <v>8</v>
      </c>
      <c r="D2" s="58">
        <v>2021</v>
      </c>
      <c r="E2" s="42">
        <f>Water!C3</f>
        <v>1170</v>
      </c>
      <c r="F2" s="42">
        <f>Water!E3</f>
        <v>0</v>
      </c>
      <c r="G2" s="42">
        <f>Water!G3</f>
        <v>645.29999999999995</v>
      </c>
      <c r="H2" s="42">
        <f>Water!I3</f>
        <v>2.214</v>
      </c>
      <c r="I2" s="42">
        <f>ELECT.!F3</f>
        <v>19392</v>
      </c>
      <c r="J2" s="42">
        <f>ELECT.!H3</f>
        <v>49813</v>
      </c>
      <c r="K2" s="42">
        <f>ELECT.!K3</f>
        <v>5367</v>
      </c>
      <c r="L2" s="42">
        <f>ELECT.!M3</f>
        <v>5806</v>
      </c>
      <c r="M2" s="42">
        <f>ELECT.!O3</f>
        <v>13322</v>
      </c>
      <c r="N2" s="42">
        <f>ELECT.!Q3</f>
        <v>13073</v>
      </c>
      <c r="O2" s="42">
        <f>ELECT.!S3</f>
        <v>9239</v>
      </c>
      <c r="P2" s="42">
        <f>ELECT.!W3*2</f>
        <v>20904</v>
      </c>
      <c r="Q2" s="42">
        <f>ELECT.!D3</f>
        <v>800</v>
      </c>
      <c r="R2" s="43">
        <f>BTU!C3</f>
        <v>16.829000000001543</v>
      </c>
      <c r="S2" s="43">
        <f>BTU!F3</f>
        <v>3.7870000000002619</v>
      </c>
      <c r="T2" s="43">
        <f>BTU!I3</f>
        <v>8</v>
      </c>
      <c r="U2" s="43">
        <f>BTU!O3</f>
        <v>1.5360000000000582</v>
      </c>
      <c r="V2" s="43">
        <f>BTU!L3</f>
        <v>12.28</v>
      </c>
      <c r="W2" s="43">
        <f>BTU!R3</f>
        <v>4.1000000000003638</v>
      </c>
      <c r="X2" s="40">
        <f>ELECT.!B3</f>
        <v>238</v>
      </c>
      <c r="Y2" s="40">
        <f>I2+J2-(K2+L2+M2+N2+O2+P2)</f>
        <v>1494</v>
      </c>
      <c r="Z2">
        <f>'Mall, Citadel, Rotana'!C3+'Mall, Citadel, Rotana'!E3+'Mall, Citadel, Rotana'!G3+'Mall, Citadel, Rotana'!I3</f>
        <v>1410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109</v>
      </c>
      <c r="AD2" s="40">
        <f>(E2-H2-194)*0.1318</f>
        <v>128.34499479999999</v>
      </c>
      <c r="AE2" s="40">
        <f>E2-H2-AD2-194</f>
        <v>845.44100520000006</v>
      </c>
    </row>
    <row r="3" spans="1:31" x14ac:dyDescent="0.2">
      <c r="A3" s="53" t="s">
        <v>53</v>
      </c>
      <c r="B3" s="58">
        <f>B2+1</f>
        <v>2</v>
      </c>
      <c r="C3" s="58">
        <v>8</v>
      </c>
      <c r="D3" s="58">
        <v>2021</v>
      </c>
      <c r="E3" s="42">
        <f>Water!C4</f>
        <v>1400</v>
      </c>
      <c r="F3" s="42">
        <f>Water!E4</f>
        <v>0</v>
      </c>
      <c r="G3" s="42">
        <f>Water!G4</f>
        <v>720.9</v>
      </c>
      <c r="H3" s="42">
        <f>Water!I4</f>
        <v>2.4300000000000002</v>
      </c>
      <c r="I3" s="42">
        <f>ELECT.!F4</f>
        <v>21190</v>
      </c>
      <c r="J3" s="42">
        <f>ELECT.!H4</f>
        <v>62318</v>
      </c>
      <c r="K3" s="42">
        <f>ELECT.!K4</f>
        <v>6507</v>
      </c>
      <c r="L3" s="42">
        <f>ELECT.!M4</f>
        <v>6966</v>
      </c>
      <c r="M3" s="42">
        <f>ELECT.!O4</f>
        <v>14078</v>
      </c>
      <c r="N3" s="42">
        <f>ELECT.!Q4</f>
        <v>16265</v>
      </c>
      <c r="O3" s="42">
        <f>ELECT.!S4</f>
        <v>11675</v>
      </c>
      <c r="P3" s="42">
        <f>ELECT.!W4*2</f>
        <v>26608</v>
      </c>
      <c r="Q3" s="42">
        <f>ELECT.!D4</f>
        <v>800</v>
      </c>
      <c r="R3" s="43">
        <f>BTU!C4</f>
        <v>26.684999999997672</v>
      </c>
      <c r="S3" s="43">
        <f>BTU!F4</f>
        <v>5.9059999999999491</v>
      </c>
      <c r="T3" s="43">
        <f>BTU!I4</f>
        <v>13</v>
      </c>
      <c r="U3" s="43">
        <f>BTU!O4</f>
        <v>2.5979999999999563</v>
      </c>
      <c r="V3" s="43">
        <f>BTU!L4</f>
        <v>12238.991000000002</v>
      </c>
      <c r="W3" s="43">
        <f>BTU!R4</f>
        <v>6.7399999999997817</v>
      </c>
      <c r="X3" s="40">
        <f>ELECT.!B4</f>
        <v>263</v>
      </c>
      <c r="Y3" s="40">
        <f t="shared" ref="Y3:Y31" si="0">I3+J3-(K3+L3+M3+N3+O3+P3)</f>
        <v>1409</v>
      </c>
      <c r="Z3">
        <f>'Mall, Citadel, Rotana'!C4+'Mall, Citadel, Rotana'!E4+'Mall, Citadel, Rotana'!G4+'Mall, Citadel, Rotana'!I4</f>
        <v>1410</v>
      </c>
      <c r="AA3">
        <f>'Mall, Citadel, Rotana'!K4+'Mall, Citadel, Rotana'!M4</f>
        <v>640</v>
      </c>
      <c r="AB3">
        <f>'Mall, Citadel, Rotana'!O4</f>
        <v>4</v>
      </c>
      <c r="AC3">
        <f>'Mall, Citadel, Rotana'!Q4+'Mall, Citadel, Rotana'!S4</f>
        <v>110</v>
      </c>
      <c r="AD3" s="40">
        <f t="shared" ref="AD3:AD31" si="1">(E3-H3-194)*0.1318</f>
        <v>158.630526</v>
      </c>
      <c r="AE3" s="40">
        <f t="shared" ref="AE3:AE31" si="2">E3-H3-AD3-194</f>
        <v>1044.939474</v>
      </c>
    </row>
    <row r="4" spans="1:31" x14ac:dyDescent="0.2">
      <c r="A4" s="53" t="s">
        <v>53</v>
      </c>
      <c r="B4" s="58">
        <f t="shared" ref="B4:B31" si="3">B3+1</f>
        <v>3</v>
      </c>
      <c r="C4" s="58">
        <v>8</v>
      </c>
      <c r="D4" s="58">
        <v>2021</v>
      </c>
      <c r="E4" s="42">
        <f>Water!C5</f>
        <v>1530</v>
      </c>
      <c r="F4" s="42">
        <f>Water!E5</f>
        <v>0</v>
      </c>
      <c r="G4" s="42">
        <f>Water!G5</f>
        <v>750.6</v>
      </c>
      <c r="H4" s="42">
        <f>Water!I5</f>
        <v>2.9430000000000001</v>
      </c>
      <c r="I4" s="42">
        <f>ELECT.!F5</f>
        <v>19728</v>
      </c>
      <c r="J4" s="42">
        <f>ELECT.!H5</f>
        <v>59544</v>
      </c>
      <c r="K4" s="42">
        <f>ELECT.!K5</f>
        <v>6216</v>
      </c>
      <c r="L4" s="42">
        <f>ELECT.!M5</f>
        <v>6006</v>
      </c>
      <c r="M4" s="42">
        <f>ELECT.!O5</f>
        <v>13432</v>
      </c>
      <c r="N4" s="42">
        <f>ELECT.!Q5</f>
        <v>15749</v>
      </c>
      <c r="O4" s="42">
        <f>ELECT.!S5</f>
        <v>11378</v>
      </c>
      <c r="P4" s="42">
        <f>ELECT.!W5*2</f>
        <v>24776</v>
      </c>
      <c r="Q4" s="42">
        <f>ELECT.!D5</f>
        <v>1920</v>
      </c>
      <c r="R4" s="43">
        <f>BTU!C5</f>
        <v>0</v>
      </c>
      <c r="S4" s="43">
        <f>BTU!F5</f>
        <v>0</v>
      </c>
      <c r="T4" s="43">
        <f>BTU!I5</f>
        <v>0</v>
      </c>
      <c r="U4" s="43">
        <f>BTU!O5</f>
        <v>0</v>
      </c>
      <c r="V4" s="43">
        <f>BTU!L5</f>
        <v>0</v>
      </c>
      <c r="W4" s="43">
        <f>BTU!R5</f>
        <v>0</v>
      </c>
      <c r="X4" s="40">
        <f>ELECT.!B5</f>
        <v>260</v>
      </c>
      <c r="Y4" s="40">
        <f t="shared" si="0"/>
        <v>1715</v>
      </c>
      <c r="Z4">
        <f>'Mall, Citadel, Rotana'!C5+'Mall, Citadel, Rotana'!E5+'Mall, Citadel, Rotana'!G5+'Mall, Citadel, Rotana'!I5</f>
        <v>1872</v>
      </c>
      <c r="AA4">
        <f>'Mall, Citadel, Rotana'!K5+'Mall, Citadel, Rotana'!M5</f>
        <v>800</v>
      </c>
      <c r="AB4">
        <f>'Mall, Citadel, Rotana'!O5</f>
        <v>3</v>
      </c>
      <c r="AC4">
        <f>'Mall, Citadel, Rotana'!Q5+'Mall, Citadel, Rotana'!S5</f>
        <v>0</v>
      </c>
      <c r="AD4" s="40">
        <f t="shared" si="1"/>
        <v>175.69691259999999</v>
      </c>
      <c r="AE4" s="40">
        <f t="shared" si="2"/>
        <v>1157.3600874000001</v>
      </c>
    </row>
    <row r="5" spans="1:31" x14ac:dyDescent="0.2">
      <c r="A5" s="53" t="s">
        <v>53</v>
      </c>
      <c r="B5" s="58">
        <f t="shared" si="3"/>
        <v>4</v>
      </c>
      <c r="C5" s="58">
        <v>8</v>
      </c>
      <c r="D5" s="58">
        <v>2021</v>
      </c>
      <c r="E5" s="42">
        <f>Water!C6</f>
        <v>1490</v>
      </c>
      <c r="F5" s="42">
        <f>Water!E6</f>
        <v>0</v>
      </c>
      <c r="G5" s="42">
        <f>Water!G6</f>
        <v>791.1</v>
      </c>
      <c r="H5" s="42">
        <f>Water!I6</f>
        <v>0</v>
      </c>
      <c r="I5" s="42">
        <f>ELECT.!F6</f>
        <v>14866</v>
      </c>
      <c r="J5" s="42">
        <f>ELECT.!H6</f>
        <v>1110</v>
      </c>
      <c r="K5" s="42">
        <f>ELECT.!K6</f>
        <v>4868</v>
      </c>
      <c r="L5" s="42">
        <f>ELECT.!M6</f>
        <v>4710</v>
      </c>
      <c r="M5" s="42">
        <f>ELECT.!O6</f>
        <v>10044</v>
      </c>
      <c r="N5" s="42">
        <f>ELECT.!Q6</f>
        <v>11359</v>
      </c>
      <c r="O5" s="42">
        <f>ELECT.!S6</f>
        <v>8729</v>
      </c>
      <c r="P5" s="42">
        <f>ELECT.!W6*2</f>
        <v>18390</v>
      </c>
      <c r="Q5" s="42">
        <f>ELECT.!D6</f>
        <v>800</v>
      </c>
      <c r="R5" s="43">
        <f>BTU!C6</f>
        <v>16.305000000000291</v>
      </c>
      <c r="S5" s="43">
        <f>BTU!F6</f>
        <v>3.5160000000000764</v>
      </c>
      <c r="T5" s="43">
        <f>BTU!I6</f>
        <v>8</v>
      </c>
      <c r="U5" s="43">
        <f>BTU!O6</f>
        <v>1.6610000000000582</v>
      </c>
      <c r="V5" s="43">
        <f>BTU!L6</f>
        <v>3.819999999999709</v>
      </c>
      <c r="W5" s="43">
        <f>BTU!R6</f>
        <v>3.5500000000001819</v>
      </c>
      <c r="X5" s="40">
        <f>ELECT.!B6</f>
        <v>266</v>
      </c>
      <c r="Y5" s="40">
        <f t="shared" si="0"/>
        <v>-42124</v>
      </c>
      <c r="Z5">
        <f>'Mall, Citadel, Rotana'!C6+'Mall, Citadel, Rotana'!E6+'Mall, Citadel, Rotana'!G6+'Mall, Citadel, Rotana'!I6</f>
        <v>1381</v>
      </c>
      <c r="AA5">
        <f>'Mall, Citadel, Rotana'!K6+'Mall, Citadel, Rotana'!M6</f>
        <v>480</v>
      </c>
      <c r="AB5">
        <f>'Mall, Citadel, Rotana'!O6</f>
        <v>3</v>
      </c>
      <c r="AC5">
        <f>'Mall, Citadel, Rotana'!Q6+'Mall, Citadel, Rotana'!S6</f>
        <v>0</v>
      </c>
      <c r="AD5" s="40">
        <f t="shared" si="1"/>
        <v>170.81280000000001</v>
      </c>
      <c r="AE5" s="40">
        <f t="shared" si="2"/>
        <v>1125.1872000000001</v>
      </c>
    </row>
    <row r="6" spans="1:31" x14ac:dyDescent="0.2">
      <c r="A6" s="53" t="s">
        <v>53</v>
      </c>
      <c r="B6" s="58">
        <f t="shared" si="3"/>
        <v>5</v>
      </c>
      <c r="C6" s="58">
        <v>8</v>
      </c>
      <c r="D6" s="58">
        <v>2021</v>
      </c>
      <c r="E6" s="42">
        <f>Water!C7</f>
        <v>1170</v>
      </c>
      <c r="F6" s="42">
        <f>Water!E7</f>
        <v>0</v>
      </c>
      <c r="G6" s="42">
        <f>Water!G7</f>
        <v>0</v>
      </c>
      <c r="H6" s="42">
        <f>Water!I7</f>
        <v>0</v>
      </c>
      <c r="I6" s="42">
        <f>ELECT.!F7</f>
        <v>20809</v>
      </c>
      <c r="J6" s="42">
        <f>ELECT.!H7</f>
        <v>105703</v>
      </c>
      <c r="K6" s="42">
        <f>ELECT.!K7</f>
        <v>22787</v>
      </c>
      <c r="L6" s="42">
        <f>ELECT.!M7</f>
        <v>766</v>
      </c>
      <c r="M6" s="42">
        <f>ELECT.!O7</f>
        <v>14052</v>
      </c>
      <c r="N6" s="42">
        <f>ELECT.!Q7</f>
        <v>15941</v>
      </c>
      <c r="O6" s="42">
        <f>ELECT.!S7</f>
        <v>12293</v>
      </c>
      <c r="P6" s="42">
        <f>ELECT.!W7*2</f>
        <v>26540</v>
      </c>
      <c r="Q6" s="42">
        <f>ELECT.!D7</f>
        <v>960</v>
      </c>
      <c r="R6" s="43">
        <f>BTU!C7</f>
        <v>17.934000000001106</v>
      </c>
      <c r="S6" s="43">
        <f>BTU!F7</f>
        <v>4.0599999999999454</v>
      </c>
      <c r="T6" s="43">
        <f>BTU!I7</f>
        <v>9</v>
      </c>
      <c r="U6" s="43">
        <f>BTU!O7</f>
        <v>1.7670000000002801</v>
      </c>
      <c r="V6" s="43">
        <f>BTU!L7</f>
        <v>4.25</v>
      </c>
      <c r="W6" s="43">
        <f>BTU!R7</f>
        <v>4.2199999999993452</v>
      </c>
      <c r="X6" s="40">
        <f>ELECT.!B7</f>
        <v>250</v>
      </c>
      <c r="Y6" s="40">
        <f t="shared" si="0"/>
        <v>34133</v>
      </c>
      <c r="Z6">
        <f>'Mall, Citadel, Rotana'!C7+'Mall, Citadel, Rotana'!E7+'Mall, Citadel, Rotana'!G7+'Mall, Citadel, Rotana'!I7</f>
        <v>1386</v>
      </c>
      <c r="AA6">
        <f>'Mall, Citadel, Rotana'!K7+'Mall, Citadel, Rotana'!M7</f>
        <v>640</v>
      </c>
      <c r="AB6">
        <f>'Mall, Citadel, Rotana'!O7</f>
        <v>3</v>
      </c>
      <c r="AC6">
        <f>'Mall, Citadel, Rotana'!Q7+'Mall, Citadel, Rotana'!S7</f>
        <v>0</v>
      </c>
      <c r="AD6" s="40">
        <f t="shared" si="1"/>
        <v>128.63679999999999</v>
      </c>
      <c r="AE6" s="40">
        <f t="shared" si="2"/>
        <v>847.36320000000001</v>
      </c>
    </row>
    <row r="7" spans="1:31" x14ac:dyDescent="0.2">
      <c r="A7" s="53" t="s">
        <v>53</v>
      </c>
      <c r="B7" s="58">
        <f t="shared" si="3"/>
        <v>6</v>
      </c>
      <c r="C7" s="58">
        <v>8</v>
      </c>
      <c r="D7" s="58">
        <v>2021</v>
      </c>
      <c r="E7" s="42">
        <f>Water!C8</f>
        <v>1260</v>
      </c>
      <c r="F7" s="42">
        <f>Water!E8</f>
        <v>0</v>
      </c>
      <c r="G7" s="42">
        <f>Water!G8</f>
        <v>1544.4</v>
      </c>
      <c r="H7" s="42">
        <f>Water!I8</f>
        <v>7.452</v>
      </c>
      <c r="I7" s="42">
        <f>ELECT.!F8</f>
        <v>19460</v>
      </c>
      <c r="J7" s="42">
        <f>ELECT.!H8</f>
        <v>58893</v>
      </c>
      <c r="K7" s="42">
        <f>ELECT.!K8</f>
        <v>315</v>
      </c>
      <c r="L7" s="42">
        <f>ELECT.!M8</f>
        <v>11544</v>
      </c>
      <c r="M7" s="42">
        <f>ELECT.!O8</f>
        <v>13424</v>
      </c>
      <c r="N7" s="42">
        <f>ELECT.!Q8</f>
        <v>15436</v>
      </c>
      <c r="O7" s="42">
        <f>ELECT.!S8</f>
        <v>11519</v>
      </c>
      <c r="P7" s="42">
        <f>ELECT.!W8*2</f>
        <v>24858</v>
      </c>
      <c r="Q7" s="42">
        <f>ELECT.!D8</f>
        <v>1120</v>
      </c>
      <c r="R7" s="43">
        <f>BTU!C8</f>
        <v>14.621999999999389</v>
      </c>
      <c r="S7" s="43">
        <f>BTU!F8</f>
        <v>1.7339999999999236</v>
      </c>
      <c r="T7" s="43">
        <f>BTU!I8</f>
        <v>7</v>
      </c>
      <c r="U7" s="43">
        <f>BTU!O8</f>
        <v>1.3039999999996326</v>
      </c>
      <c r="V7" s="43">
        <f>BTU!L8</f>
        <v>3.4499999999989086</v>
      </c>
      <c r="W7" s="43">
        <f>BTU!R8</f>
        <v>3.2800000000006548</v>
      </c>
      <c r="X7" s="40">
        <f>ELECT.!B8</f>
        <v>255</v>
      </c>
      <c r="Y7" s="40">
        <f t="shared" si="0"/>
        <v>1257</v>
      </c>
      <c r="Z7">
        <f>'Mall, Citadel, Rotana'!C8+'Mall, Citadel, Rotana'!E8+'Mall, Citadel, Rotana'!G8+'Mall, Citadel, Rotana'!I8</f>
        <v>1411</v>
      </c>
      <c r="AA7">
        <f>'Mall, Citadel, Rotana'!K8+'Mall, Citadel, Rotana'!M8</f>
        <v>480</v>
      </c>
      <c r="AB7">
        <f>'Mall, Citadel, Rotana'!O8</f>
        <v>3</v>
      </c>
      <c r="AC7">
        <f>'Mall, Citadel, Rotana'!Q8+'Mall, Citadel, Rotana'!S8</f>
        <v>0</v>
      </c>
      <c r="AD7" s="40">
        <f t="shared" si="1"/>
        <v>139.51662640000001</v>
      </c>
      <c r="AE7" s="40">
        <f t="shared" si="2"/>
        <v>919.03137360000005</v>
      </c>
    </row>
    <row r="8" spans="1:31" x14ac:dyDescent="0.2">
      <c r="A8" s="53" t="s">
        <v>53</v>
      </c>
      <c r="B8" s="58">
        <f t="shared" si="3"/>
        <v>7</v>
      </c>
      <c r="C8" s="58">
        <v>8</v>
      </c>
      <c r="D8" s="58">
        <v>2021</v>
      </c>
      <c r="E8" s="42">
        <f>Water!C9</f>
        <v>1090</v>
      </c>
      <c r="F8" s="42">
        <f>Water!E9</f>
        <v>189</v>
      </c>
      <c r="G8" s="42">
        <f>Water!G9</f>
        <v>666.9</v>
      </c>
      <c r="H8" s="42">
        <f>Water!I9</f>
        <v>4.7519999999999998</v>
      </c>
      <c r="I8" s="42">
        <f>ELECT.!F9</f>
        <v>14223</v>
      </c>
      <c r="J8" s="42">
        <f>ELECT.!H9</f>
        <v>44997</v>
      </c>
      <c r="K8" s="42">
        <f>ELECT.!K9</f>
        <v>804</v>
      </c>
      <c r="L8" s="42">
        <f>ELECT.!M9</f>
        <v>4358</v>
      </c>
      <c r="M8" s="42">
        <f>ELECT.!O9</f>
        <v>9760</v>
      </c>
      <c r="N8" s="42">
        <f>ELECT.!Q9</f>
        <v>11714</v>
      </c>
      <c r="O8" s="42">
        <f>ELECT.!S9</f>
        <v>8835</v>
      </c>
      <c r="P8" s="42">
        <f>ELECT.!W9*2</f>
        <v>19146</v>
      </c>
      <c r="Q8" s="42">
        <f>ELECT.!D9</f>
        <v>960</v>
      </c>
      <c r="R8" s="43">
        <f>BTU!C9</f>
        <v>20.802999999999884</v>
      </c>
      <c r="S8" s="43">
        <f>BTU!F9</f>
        <v>2.8519999999998618</v>
      </c>
      <c r="T8" s="43">
        <f>BTU!I9</f>
        <v>11</v>
      </c>
      <c r="U8" s="43">
        <f>BTU!O9</f>
        <v>1.8270000000002256</v>
      </c>
      <c r="V8" s="43">
        <f>BTU!L9</f>
        <v>4.6900000000005093</v>
      </c>
      <c r="W8" s="43">
        <f>BTU!R9</f>
        <v>4.3899999999994179</v>
      </c>
      <c r="X8" s="40">
        <f>ELECT.!B9</f>
        <v>204</v>
      </c>
      <c r="Y8" s="40">
        <f t="shared" si="0"/>
        <v>4603</v>
      </c>
      <c r="Z8">
        <f>'Mall, Citadel, Rotana'!C9+'Mall, Citadel, Rotana'!E9+'Mall, Citadel, Rotana'!G9+'Mall, Citadel, Rotana'!I9</f>
        <v>1377</v>
      </c>
      <c r="AA8">
        <f>'Mall, Citadel, Rotana'!K9+'Mall, Citadel, Rotana'!M9</f>
        <v>480</v>
      </c>
      <c r="AB8">
        <f>'Mall, Citadel, Rotana'!O9</f>
        <v>3</v>
      </c>
      <c r="AC8">
        <f>'Mall, Citadel, Rotana'!Q9+'Mall, Citadel, Rotana'!S9</f>
        <v>0</v>
      </c>
      <c r="AD8" s="40">
        <f t="shared" si="1"/>
        <v>117.46648640000001</v>
      </c>
      <c r="AE8" s="40">
        <f t="shared" si="2"/>
        <v>773.78151360000004</v>
      </c>
    </row>
    <row r="9" spans="1:31" x14ac:dyDescent="0.2">
      <c r="A9" s="53" t="s">
        <v>53</v>
      </c>
      <c r="B9" s="58">
        <f t="shared" si="3"/>
        <v>8</v>
      </c>
      <c r="C9" s="58">
        <v>8</v>
      </c>
      <c r="D9" s="58">
        <v>2021</v>
      </c>
      <c r="E9" s="42">
        <f>Water!C10</f>
        <v>1440</v>
      </c>
      <c r="F9" s="42">
        <f>Water!E10</f>
        <v>0</v>
      </c>
      <c r="G9" s="42">
        <f>Water!G10</f>
        <v>793.8</v>
      </c>
      <c r="H9" s="42">
        <f>Water!I10</f>
        <v>3.6720000000000002</v>
      </c>
      <c r="I9" s="42">
        <f>ELECT.!F10</f>
        <v>19603</v>
      </c>
      <c r="J9" s="42">
        <f>ELECT.!H10</f>
        <v>65615</v>
      </c>
      <c r="K9" s="42">
        <f>ELECT.!K10</f>
        <v>352</v>
      </c>
      <c r="L9" s="42">
        <f>ELECT.!M10</f>
        <v>385</v>
      </c>
      <c r="M9" s="42">
        <f>ELECT.!O10</f>
        <v>12962</v>
      </c>
      <c r="N9" s="42">
        <f>ELECT.!Q10</f>
        <v>16820</v>
      </c>
      <c r="O9" s="42">
        <f>ELECT.!S10</f>
        <v>12623</v>
      </c>
      <c r="P9" s="42">
        <f>ELECT.!W10*2</f>
        <v>27914</v>
      </c>
      <c r="Q9" s="42">
        <f>ELECT.!D10</f>
        <v>1120</v>
      </c>
      <c r="R9" s="43">
        <f>BTU!C10</f>
        <v>19.854999999999563</v>
      </c>
      <c r="S9" s="43">
        <f>BTU!F10</f>
        <v>4.0410000000001673</v>
      </c>
      <c r="T9" s="43">
        <f>BTU!I10</f>
        <v>10</v>
      </c>
      <c r="U9" s="43">
        <f>BTU!O10</f>
        <v>2.0679999999997563</v>
      </c>
      <c r="V9" s="43">
        <f>BTU!L10</f>
        <v>3.2100000000009459</v>
      </c>
      <c r="W9" s="43">
        <f>BTU!R10</f>
        <v>3.7600000000002183</v>
      </c>
      <c r="X9" s="40">
        <f>ELECT.!B10</f>
        <v>213</v>
      </c>
      <c r="Y9" s="40">
        <f t="shared" si="0"/>
        <v>14162</v>
      </c>
      <c r="Z9">
        <f>'Mall, Citadel, Rotana'!C10+'Mall, Citadel, Rotana'!E10+'Mall, Citadel, Rotana'!G10+'Mall, Citadel, Rotana'!I10</f>
        <v>1581</v>
      </c>
      <c r="AA9">
        <f>'Mall, Citadel, Rotana'!K10+'Mall, Citadel, Rotana'!M10</f>
        <v>640</v>
      </c>
      <c r="AB9">
        <f>'Mall, Citadel, Rotana'!O10</f>
        <v>4</v>
      </c>
      <c r="AC9">
        <f>'Mall, Citadel, Rotana'!Q10+'Mall, Citadel, Rotana'!S10</f>
        <v>0</v>
      </c>
      <c r="AD9" s="40">
        <f t="shared" si="1"/>
        <v>163.73883039999998</v>
      </c>
      <c r="AE9" s="40">
        <f t="shared" si="2"/>
        <v>1078.5891695999999</v>
      </c>
    </row>
    <row r="10" spans="1:31" x14ac:dyDescent="0.2">
      <c r="A10" s="53" t="s">
        <v>53</v>
      </c>
      <c r="B10" s="58">
        <f t="shared" si="3"/>
        <v>9</v>
      </c>
      <c r="C10" s="58">
        <v>8</v>
      </c>
      <c r="D10" s="58">
        <v>2021</v>
      </c>
      <c r="E10" s="42">
        <f>Water!C11</f>
        <v>1080</v>
      </c>
      <c r="F10" s="42">
        <f>Water!E11</f>
        <v>0</v>
      </c>
      <c r="G10" s="42">
        <f>Water!G11</f>
        <v>623.70000000000005</v>
      </c>
      <c r="H10" s="42">
        <f>Water!I11</f>
        <v>2.7</v>
      </c>
      <c r="I10" s="42">
        <f>ELECT.!F11</f>
        <v>12834</v>
      </c>
      <c r="J10" s="42">
        <f>ELECT.!H11</f>
        <v>159574</v>
      </c>
      <c r="K10" s="42">
        <f>ELECT.!K11</f>
        <v>15521</v>
      </c>
      <c r="L10" s="42">
        <f>ELECT.!M11</f>
        <v>21641</v>
      </c>
      <c r="M10" s="42">
        <f>ELECT.!O11</f>
        <v>31548</v>
      </c>
      <c r="N10" s="42">
        <f>ELECT.!Q11</f>
        <v>40752</v>
      </c>
      <c r="O10" s="42">
        <f>ELECT.!S11</f>
        <v>31150</v>
      </c>
      <c r="P10" s="42">
        <f>ELECT.!W11*2</f>
        <v>67868</v>
      </c>
      <c r="Q10" s="42">
        <f>ELECT.!D11</f>
        <v>18612</v>
      </c>
      <c r="R10" s="43">
        <f>BTU!C11</f>
        <v>17.752000000000407</v>
      </c>
      <c r="S10" s="43">
        <f>BTU!F11</f>
        <v>3.8299999999999272</v>
      </c>
      <c r="T10" s="43">
        <f>BTU!I11</f>
        <v>10</v>
      </c>
      <c r="U10" s="43">
        <f>BTU!O11</f>
        <v>1.706000000000131</v>
      </c>
      <c r="V10" s="43">
        <f>BTU!L11</f>
        <v>4.1099999999987631</v>
      </c>
      <c r="W10" s="43">
        <f>BTU!R11</f>
        <v>3.6999999999998181</v>
      </c>
      <c r="X10" s="40">
        <f>ELECT.!B11</f>
        <v>210</v>
      </c>
      <c r="Y10" s="40">
        <f t="shared" si="0"/>
        <v>-36072</v>
      </c>
      <c r="Z10">
        <f>'Mall, Citadel, Rotana'!C11+'Mall, Citadel, Rotana'!E11+'Mall, Citadel, Rotana'!G11+'Mall, Citadel, Rotana'!I11</f>
        <v>2300</v>
      </c>
      <c r="AA10">
        <f>'Mall, Citadel, Rotana'!K11+'Mall, Citadel, Rotana'!M11</f>
        <v>640</v>
      </c>
      <c r="AB10">
        <f>'Mall, Citadel, Rotana'!O11</f>
        <v>3</v>
      </c>
      <c r="AC10">
        <f>'Mall, Citadel, Rotana'!Q11+'Mall, Citadel, Rotana'!S11</f>
        <v>0</v>
      </c>
      <c r="AD10" s="40">
        <f t="shared" si="1"/>
        <v>116.41893999999999</v>
      </c>
      <c r="AE10" s="40">
        <f t="shared" si="2"/>
        <v>766.88105999999993</v>
      </c>
    </row>
    <row r="11" spans="1:31" x14ac:dyDescent="0.2">
      <c r="A11" s="53" t="s">
        <v>53</v>
      </c>
      <c r="B11" s="58">
        <f t="shared" si="3"/>
        <v>10</v>
      </c>
      <c r="C11" s="58">
        <v>8</v>
      </c>
      <c r="D11" s="58">
        <v>2021</v>
      </c>
      <c r="E11" s="42">
        <f>Water!C12</f>
        <v>1230</v>
      </c>
      <c r="F11" s="42">
        <f>Water!E12</f>
        <v>0</v>
      </c>
      <c r="G11" s="42">
        <f>Water!G12</f>
        <v>726.3</v>
      </c>
      <c r="H11" s="42">
        <f>Water!I12</f>
        <v>2.9159999999999999</v>
      </c>
      <c r="I11" s="42">
        <f>ELECT.!F12</f>
        <v>20981</v>
      </c>
      <c r="J11" s="42">
        <f>ELECT.!H12</f>
        <v>65999</v>
      </c>
      <c r="K11" s="42">
        <f>ELECT.!K12</f>
        <v>6248</v>
      </c>
      <c r="L11" s="42">
        <f>ELECT.!M12</f>
        <v>6408</v>
      </c>
      <c r="M11" s="42">
        <f>ELECT.!O12</f>
        <v>13390</v>
      </c>
      <c r="N11" s="42">
        <f>ELECT.!Q12</f>
        <v>16936</v>
      </c>
      <c r="O11" s="42">
        <f>ELECT.!S12</f>
        <v>13142</v>
      </c>
      <c r="P11" s="42">
        <f>ELECT.!W12*2</f>
        <v>28202</v>
      </c>
      <c r="Q11" s="42">
        <f>ELECT.!D12</f>
        <v>1280</v>
      </c>
      <c r="R11" s="43">
        <f>BTU!C12</f>
        <v>16.130000000001019</v>
      </c>
      <c r="S11" s="43">
        <f>BTU!F12</f>
        <v>3.4659999999998945</v>
      </c>
      <c r="T11" s="43">
        <f>BTU!I12</f>
        <v>8</v>
      </c>
      <c r="U11" s="43">
        <f>BTU!O12</f>
        <v>1.6269999999999527</v>
      </c>
      <c r="V11" s="43">
        <f>BTU!L12</f>
        <v>3.6700000000000728</v>
      </c>
      <c r="W11" s="43">
        <f>BTU!R12</f>
        <v>3.9000000000005457</v>
      </c>
      <c r="X11" s="40">
        <f>ELECT.!B12</f>
        <v>220</v>
      </c>
      <c r="Y11" s="40">
        <f t="shared" si="0"/>
        <v>2654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40">
        <f t="shared" si="1"/>
        <v>136.16047120000002</v>
      </c>
      <c r="AE11" s="40">
        <f t="shared" si="2"/>
        <v>896.92352879999999</v>
      </c>
    </row>
    <row r="12" spans="1:31" x14ac:dyDescent="0.2">
      <c r="A12" s="53" t="s">
        <v>53</v>
      </c>
      <c r="B12" s="58">
        <f t="shared" si="3"/>
        <v>11</v>
      </c>
      <c r="C12" s="58">
        <v>8</v>
      </c>
      <c r="D12" s="58">
        <v>2021</v>
      </c>
      <c r="E12" s="42">
        <f>Water!C13</f>
        <v>1220</v>
      </c>
      <c r="F12" s="42">
        <f>Water!E13</f>
        <v>0</v>
      </c>
      <c r="G12" s="42">
        <f>Water!G13</f>
        <v>683.1</v>
      </c>
      <c r="H12" s="42">
        <f>Water!I13</f>
        <v>3.7530000000000001</v>
      </c>
      <c r="I12" s="42">
        <f>ELECT.!F13</f>
        <v>13832</v>
      </c>
      <c r="J12" s="42">
        <f>ELECT.!H13</f>
        <v>0</v>
      </c>
      <c r="K12" s="42" t="str">
        <f>ELECT.!K13</f>
        <v>0</v>
      </c>
      <c r="L12" s="42">
        <f>ELECT.!M13</f>
        <v>0</v>
      </c>
      <c r="M12" s="42">
        <f>ELECT.!O13</f>
        <v>0</v>
      </c>
      <c r="N12" s="42">
        <f>ELECT.!Q13</f>
        <v>0</v>
      </c>
      <c r="O12" s="42">
        <f>ELECT.!S13</f>
        <v>0</v>
      </c>
      <c r="P12" s="42">
        <f>ELECT.!W13*2</f>
        <v>0</v>
      </c>
      <c r="Q12" s="42">
        <f>ELECT.!D13</f>
        <v>800</v>
      </c>
      <c r="R12" s="43">
        <f>BTU!C13</f>
        <v>13.004000000000815</v>
      </c>
      <c r="S12" s="43">
        <f>BTU!F13</f>
        <v>2.9460000000003674</v>
      </c>
      <c r="T12" s="43">
        <f>BTU!I13</f>
        <v>8</v>
      </c>
      <c r="U12" s="43">
        <f>BTU!O13</f>
        <v>1.2420000000001892</v>
      </c>
      <c r="V12" s="43">
        <f>BTU!L13</f>
        <v>3</v>
      </c>
      <c r="W12" s="43">
        <f>BTU!R13</f>
        <v>2.7599999999993088</v>
      </c>
      <c r="X12" s="40">
        <f>ELECT.!B13</f>
        <v>225</v>
      </c>
      <c r="Y12" s="40">
        <f t="shared" si="0"/>
        <v>13832</v>
      </c>
      <c r="Z12">
        <f>'Mall, Citadel, Rotana'!C13+'Mall, Citadel, Rotana'!E13+'Mall, Citadel, Rotana'!G13+'Mall, Citadel, Rotana'!I13</f>
        <v>2706</v>
      </c>
      <c r="AA12">
        <f>'Mall, Citadel, Rotana'!K13+'Mall, Citadel, Rotana'!M13</f>
        <v>1280</v>
      </c>
      <c r="AB12">
        <f>'Mall, Citadel, Rotana'!O13</f>
        <v>6</v>
      </c>
      <c r="AC12">
        <f>'Mall, Citadel, Rotana'!Q13+'Mall, Citadel, Rotana'!S13</f>
        <v>0</v>
      </c>
      <c r="AD12" s="40">
        <f t="shared" si="1"/>
        <v>134.7321546</v>
      </c>
      <c r="AE12" s="40">
        <f t="shared" si="2"/>
        <v>887.51484540000001</v>
      </c>
    </row>
    <row r="13" spans="1:31" x14ac:dyDescent="0.2">
      <c r="A13" s="53" t="s">
        <v>53</v>
      </c>
      <c r="B13" s="58">
        <f t="shared" si="3"/>
        <v>12</v>
      </c>
      <c r="C13" s="58">
        <v>8</v>
      </c>
      <c r="D13" s="58">
        <v>2021</v>
      </c>
      <c r="E13" s="42">
        <f>Water!C14</f>
        <v>0</v>
      </c>
      <c r="F13" s="42">
        <f>Water!E14</f>
        <v>0</v>
      </c>
      <c r="G13" s="42">
        <f>Water!G14</f>
        <v>0</v>
      </c>
      <c r="H13" s="42">
        <f>Water!I14</f>
        <v>0</v>
      </c>
      <c r="I13" s="42">
        <f>ELECT.!F14</f>
        <v>19992</v>
      </c>
      <c r="J13" s="42">
        <f>ELECT.!H14</f>
        <v>0</v>
      </c>
      <c r="K13" s="42">
        <f>ELECT.!K14</f>
        <v>0</v>
      </c>
      <c r="L13" s="42">
        <f>ELECT.!M14</f>
        <v>0</v>
      </c>
      <c r="M13" s="42">
        <f>ELECT.!O14</f>
        <v>0</v>
      </c>
      <c r="N13" s="42">
        <f>ELECT.!Q14</f>
        <v>0</v>
      </c>
      <c r="O13" s="42">
        <f>ELECT.!S14</f>
        <v>0</v>
      </c>
      <c r="P13" s="42">
        <f>ELECT.!W14*2</f>
        <v>0</v>
      </c>
      <c r="Q13" s="42">
        <f>ELECT.!D14</f>
        <v>960</v>
      </c>
      <c r="R13" s="43">
        <f>BTU!C14</f>
        <v>14.362999999997555</v>
      </c>
      <c r="S13" s="43">
        <f>BTU!F14</f>
        <v>1.5879999999997381</v>
      </c>
      <c r="T13" s="43">
        <f>BTU!I14</f>
        <v>7</v>
      </c>
      <c r="U13" s="43">
        <f>BTU!O14</f>
        <v>1.3719999999998436</v>
      </c>
      <c r="V13" s="43">
        <f>BTU!L14</f>
        <v>3.3700000000008004</v>
      </c>
      <c r="W13" s="43">
        <f>BTU!R14</f>
        <v>3.4800000000004729</v>
      </c>
      <c r="X13" s="40">
        <f>ELECT.!B14</f>
        <v>216</v>
      </c>
      <c r="Y13" s="40">
        <f t="shared" si="0"/>
        <v>19992</v>
      </c>
      <c r="Z13">
        <f>'Mall, Citadel, Rotana'!C14+'Mall, Citadel, Rotana'!E14+'Mall, Citadel, Rotana'!G14+'Mall, Citadel, Rotana'!I14</f>
        <v>1261</v>
      </c>
      <c r="AA13">
        <f>'Mall, Citadel, Rotana'!K14+'Mall, Citadel, Rotana'!M14</f>
        <v>480</v>
      </c>
      <c r="AB13">
        <f>'Mall, Citadel, Rotana'!O14</f>
        <v>3</v>
      </c>
      <c r="AC13">
        <f>'Mall, Citadel, Rotana'!Q14+'Mall, Citadel, Rotana'!S14</f>
        <v>0</v>
      </c>
      <c r="AD13" s="40">
        <f t="shared" si="1"/>
        <v>-25.569199999999999</v>
      </c>
      <c r="AE13" s="40">
        <f t="shared" si="2"/>
        <v>-168.4308</v>
      </c>
    </row>
    <row r="14" spans="1:31" x14ac:dyDescent="0.2">
      <c r="A14" s="53" t="s">
        <v>53</v>
      </c>
      <c r="B14" s="58">
        <f t="shared" si="3"/>
        <v>13</v>
      </c>
      <c r="C14" s="58">
        <v>8</v>
      </c>
      <c r="D14" s="58">
        <v>2021</v>
      </c>
      <c r="E14" s="42">
        <f>Water!C15</f>
        <v>3680</v>
      </c>
      <c r="F14" s="42">
        <f>Water!E15</f>
        <v>0</v>
      </c>
      <c r="G14" s="42">
        <f>Water!G15</f>
        <v>1201.5</v>
      </c>
      <c r="H14" s="42">
        <f>Water!I15</f>
        <v>6.8849999999999998</v>
      </c>
      <c r="I14" s="42">
        <f>ELECT.!F15</f>
        <v>16726</v>
      </c>
      <c r="J14" s="42">
        <f>ELECT.!H15</f>
        <v>56685</v>
      </c>
      <c r="K14" s="42">
        <f>ELECT.!K15</f>
        <v>74210</v>
      </c>
      <c r="L14" s="42">
        <f>ELECT.!M15</f>
        <v>4956</v>
      </c>
      <c r="M14" s="42">
        <f>ELECT.!O15</f>
        <v>11580</v>
      </c>
      <c r="N14" s="42">
        <f>ELECT.!Q15</f>
        <v>14607</v>
      </c>
      <c r="O14" s="42">
        <f>ELECT.!S15</f>
        <v>11641</v>
      </c>
      <c r="P14" s="42">
        <f>ELECT.!W15*2</f>
        <v>23832</v>
      </c>
      <c r="Q14" s="42">
        <f>ELECT.!D15</f>
        <v>1120</v>
      </c>
      <c r="R14" s="43">
        <f>BTU!C15</f>
        <v>17.558000000000902</v>
      </c>
      <c r="S14" s="43">
        <f>BTU!F15</f>
        <v>1.5390000000002146</v>
      </c>
      <c r="T14" s="43">
        <f>BTU!I15</f>
        <v>7</v>
      </c>
      <c r="U14" s="43">
        <f>BTU!O15</f>
        <v>1.4729999999999563</v>
      </c>
      <c r="V14" s="43">
        <f>BTU!L15</f>
        <v>2.5100000000002183</v>
      </c>
      <c r="W14" s="43">
        <f>BTU!R15</f>
        <v>2.3900000000003274</v>
      </c>
      <c r="X14" s="40">
        <f>ELECT.!B15</f>
        <v>222</v>
      </c>
      <c r="Y14" s="40">
        <f t="shared" si="0"/>
        <v>-67415</v>
      </c>
      <c r="Z14">
        <f>'Mall, Citadel, Rotana'!C15+'Mall, Citadel, Rotana'!E15+'Mall, Citadel, Rotana'!G15+'Mall, Citadel, Rotana'!I15</f>
        <v>565</v>
      </c>
      <c r="AA14">
        <f>'Mall, Citadel, Rotana'!K15+'Mall, Citadel, Rotana'!M15</f>
        <v>480</v>
      </c>
      <c r="AB14">
        <f>'Mall, Citadel, Rotana'!O15</f>
        <v>4</v>
      </c>
      <c r="AC14">
        <f>'Mall, Citadel, Rotana'!Q15+'Mall, Citadel, Rotana'!S15</f>
        <v>0</v>
      </c>
      <c r="AD14" s="40">
        <f t="shared" si="1"/>
        <v>458.54735699999998</v>
      </c>
      <c r="AE14" s="40">
        <f t="shared" si="2"/>
        <v>3020.5676429999999</v>
      </c>
    </row>
    <row r="15" spans="1:31" x14ac:dyDescent="0.2">
      <c r="A15" s="53" t="s">
        <v>53</v>
      </c>
      <c r="B15" s="58">
        <f t="shared" si="3"/>
        <v>14</v>
      </c>
      <c r="C15" s="58">
        <v>8</v>
      </c>
      <c r="D15" s="58">
        <v>2021</v>
      </c>
      <c r="E15" s="42">
        <f>Water!C16</f>
        <v>1150</v>
      </c>
      <c r="F15" s="42">
        <f>Water!E16</f>
        <v>0</v>
      </c>
      <c r="G15" s="42">
        <f>Water!G16</f>
        <v>656.1</v>
      </c>
      <c r="H15" s="42">
        <f>Water!I16</f>
        <v>1.323</v>
      </c>
      <c r="I15" s="42">
        <f>ELECT.!F16</f>
        <v>11688</v>
      </c>
      <c r="J15" s="42">
        <f>ELECT.!H16</f>
        <v>38693</v>
      </c>
      <c r="K15" s="42">
        <f>ELECT.!K16</f>
        <v>3736</v>
      </c>
      <c r="L15" s="42">
        <f>ELECT.!M16</f>
        <v>3672</v>
      </c>
      <c r="M15" s="42">
        <f>ELECT.!O16</f>
        <v>7864</v>
      </c>
      <c r="N15" s="42">
        <f>ELECT.!Q16</f>
        <v>9924</v>
      </c>
      <c r="O15" s="42">
        <f>ELECT.!S16</f>
        <v>8006</v>
      </c>
      <c r="P15" s="42">
        <f>ELECT.!W16*2</f>
        <v>16320</v>
      </c>
      <c r="Q15" s="42">
        <f>ELECT.!D16</f>
        <v>960</v>
      </c>
      <c r="R15" s="43">
        <f>BTU!C16</f>
        <v>18.555000000000291</v>
      </c>
      <c r="S15" s="43">
        <f>BTU!F16</f>
        <v>2.7829999999999018</v>
      </c>
      <c r="T15" s="43">
        <f>BTU!I16</f>
        <v>9</v>
      </c>
      <c r="U15" s="43">
        <f>BTU!O16</f>
        <v>1.5960000000000036</v>
      </c>
      <c r="V15" s="43">
        <f>BTU!L16</f>
        <v>3.8400000000001455</v>
      </c>
      <c r="W15" s="43">
        <f>BTU!R16</f>
        <v>3.839999999999236</v>
      </c>
      <c r="X15" s="40">
        <f>ELECT.!B16</f>
        <v>299</v>
      </c>
      <c r="Y15" s="40">
        <f t="shared" si="0"/>
        <v>859</v>
      </c>
      <c r="Z15">
        <f>'Mall, Citadel, Rotana'!C16+'Mall, Citadel, Rotana'!E16+'Mall, Citadel, Rotana'!G16+'Mall, Citadel, Rotana'!I16</f>
        <v>1395</v>
      </c>
      <c r="AA15">
        <f>'Mall, Citadel, Rotana'!K16+'Mall, Citadel, Rotana'!M16</f>
        <v>320</v>
      </c>
      <c r="AB15">
        <f>'Mall, Citadel, Rotana'!O16</f>
        <v>3</v>
      </c>
      <c r="AC15">
        <f>'Mall, Citadel, Rotana'!Q16+'Mall, Citadel, Rotana'!S16</f>
        <v>3347</v>
      </c>
      <c r="AD15" s="40">
        <f t="shared" si="1"/>
        <v>125.82642859999999</v>
      </c>
      <c r="AE15" s="40">
        <f t="shared" si="2"/>
        <v>828.85057139999992</v>
      </c>
    </row>
    <row r="16" spans="1:31" x14ac:dyDescent="0.2">
      <c r="A16" s="53" t="s">
        <v>53</v>
      </c>
      <c r="B16" s="58">
        <f t="shared" si="3"/>
        <v>15</v>
      </c>
      <c r="C16" s="58">
        <v>8</v>
      </c>
      <c r="D16" s="58">
        <v>2021</v>
      </c>
      <c r="E16" s="42">
        <f>Water!C17</f>
        <v>0</v>
      </c>
      <c r="F16" s="42">
        <f>Water!E17</f>
        <v>0</v>
      </c>
      <c r="G16" s="42">
        <f>Water!G17</f>
        <v>0</v>
      </c>
      <c r="H16" s="42">
        <f>Water!I17</f>
        <v>0</v>
      </c>
      <c r="I16" s="42">
        <f>ELECT.!F17</f>
        <v>0</v>
      </c>
      <c r="J16" s="42">
        <f>ELECT.!H17</f>
        <v>0</v>
      </c>
      <c r="K16" s="42" t="str">
        <f>ELECT.!K17</f>
        <v>0</v>
      </c>
      <c r="L16" s="42">
        <f>ELECT.!M17</f>
        <v>0</v>
      </c>
      <c r="M16" s="42">
        <f>ELECT.!O17</f>
        <v>0</v>
      </c>
      <c r="N16" s="42">
        <f>ELECT.!Q17</f>
        <v>0</v>
      </c>
      <c r="O16" s="42">
        <f>ELECT.!S17</f>
        <v>0</v>
      </c>
      <c r="P16" s="42">
        <f>ELECT.!W17*2</f>
        <v>0</v>
      </c>
      <c r="Q16" s="42">
        <f>ELECT.!D17</f>
        <v>0</v>
      </c>
      <c r="R16" s="43" t="str">
        <f>BTU!C17</f>
        <v>0</v>
      </c>
      <c r="S16" s="43" t="str">
        <f>BTU!F17</f>
        <v>0</v>
      </c>
      <c r="T16" s="43" t="str">
        <f>BTU!I17</f>
        <v>0</v>
      </c>
      <c r="U16" s="43" t="str">
        <f>BTU!O17</f>
        <v>0</v>
      </c>
      <c r="V16" s="43" t="str">
        <f>BTU!L17</f>
        <v>0</v>
      </c>
      <c r="W16" s="43" t="str">
        <f>BTU!R17</f>
        <v>0</v>
      </c>
      <c r="X16" s="40">
        <f>ELECT.!B17</f>
        <v>0</v>
      </c>
      <c r="Y16" s="40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40">
        <f t="shared" si="1"/>
        <v>-25.569199999999999</v>
      </c>
      <c r="AE16" s="40">
        <f t="shared" si="2"/>
        <v>-168.4308</v>
      </c>
    </row>
    <row r="17" spans="1:31" x14ac:dyDescent="0.2">
      <c r="A17" s="53" t="s">
        <v>53</v>
      </c>
      <c r="B17" s="58">
        <f t="shared" si="3"/>
        <v>16</v>
      </c>
      <c r="C17" s="58">
        <v>8</v>
      </c>
      <c r="D17" s="58">
        <v>2021</v>
      </c>
      <c r="E17" s="42">
        <f>Water!C18</f>
        <v>0</v>
      </c>
      <c r="F17" s="42">
        <f>Water!E18</f>
        <v>0</v>
      </c>
      <c r="G17" s="42">
        <f>Water!G18</f>
        <v>0</v>
      </c>
      <c r="H17" s="42">
        <f>Water!I18</f>
        <v>0</v>
      </c>
      <c r="I17" s="42">
        <f>ELECT.!F18</f>
        <v>0</v>
      </c>
      <c r="J17" s="42">
        <f>ELECT.!H18</f>
        <v>0</v>
      </c>
      <c r="K17" s="42">
        <f>ELECT.!K18</f>
        <v>0</v>
      </c>
      <c r="L17" s="42">
        <f>ELECT.!M18</f>
        <v>0</v>
      </c>
      <c r="M17" s="42">
        <f>ELECT.!O18</f>
        <v>0</v>
      </c>
      <c r="N17" s="42">
        <f>ELECT.!Q18</f>
        <v>0</v>
      </c>
      <c r="O17" s="42">
        <f>ELECT.!S18</f>
        <v>0</v>
      </c>
      <c r="P17" s="42">
        <f>ELECT.!W18*2</f>
        <v>0</v>
      </c>
      <c r="Q17" s="42">
        <f>ELECT.!D18</f>
        <v>0</v>
      </c>
      <c r="R17" s="43">
        <f>BTU!C18</f>
        <v>0</v>
      </c>
      <c r="S17" s="43">
        <f>BTU!F18</f>
        <v>0</v>
      </c>
      <c r="T17" s="43">
        <f>BTU!I18</f>
        <v>0</v>
      </c>
      <c r="U17" s="43">
        <f>BTU!O18</f>
        <v>0</v>
      </c>
      <c r="V17" s="43">
        <f>BTU!L18</f>
        <v>0</v>
      </c>
      <c r="W17" s="43">
        <f>BTU!R18</f>
        <v>0</v>
      </c>
      <c r="X17" s="40">
        <f>ELECT.!B18</f>
        <v>0</v>
      </c>
      <c r="Y17" s="40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40">
        <f t="shared" si="1"/>
        <v>-25.569199999999999</v>
      </c>
      <c r="AE17" s="40">
        <f t="shared" si="2"/>
        <v>-168.4308</v>
      </c>
    </row>
    <row r="18" spans="1:31" x14ac:dyDescent="0.2">
      <c r="A18" s="53" t="s">
        <v>53</v>
      </c>
      <c r="B18" s="58">
        <f t="shared" si="3"/>
        <v>17</v>
      </c>
      <c r="C18" s="58">
        <v>8</v>
      </c>
      <c r="D18" s="58">
        <v>2021</v>
      </c>
      <c r="E18" s="42">
        <f>Water!C19</f>
        <v>0</v>
      </c>
      <c r="F18" s="42">
        <f>Water!E19</f>
        <v>0</v>
      </c>
      <c r="G18" s="42">
        <f>Water!G19</f>
        <v>0</v>
      </c>
      <c r="H18" s="42">
        <f>Water!I19</f>
        <v>0</v>
      </c>
      <c r="I18" s="42">
        <f>ELECT.!F19</f>
        <v>0</v>
      </c>
      <c r="J18" s="42">
        <f>ELECT.!H19</f>
        <v>0</v>
      </c>
      <c r="K18" s="42">
        <f>ELECT.!K19</f>
        <v>0</v>
      </c>
      <c r="L18" s="42">
        <f>ELECT.!M19</f>
        <v>0</v>
      </c>
      <c r="M18" s="42">
        <f>ELECT.!O19</f>
        <v>0</v>
      </c>
      <c r="N18" s="42">
        <f>ELECT.!Q19</f>
        <v>0</v>
      </c>
      <c r="O18" s="42">
        <f>ELECT.!S19</f>
        <v>0</v>
      </c>
      <c r="P18" s="42">
        <f>ELECT.!W19*2</f>
        <v>0</v>
      </c>
      <c r="Q18" s="42">
        <f>ELECT.!D19</f>
        <v>0</v>
      </c>
      <c r="R18" s="43">
        <f>BTU!C19</f>
        <v>0</v>
      </c>
      <c r="S18" s="43">
        <f>BTU!F19</f>
        <v>0</v>
      </c>
      <c r="T18" s="43">
        <f>BTU!I19</f>
        <v>0</v>
      </c>
      <c r="U18" s="43">
        <f>BTU!O19</f>
        <v>0</v>
      </c>
      <c r="V18" s="43">
        <f>BTU!L19</f>
        <v>0</v>
      </c>
      <c r="W18" s="43">
        <f>BTU!R19</f>
        <v>0</v>
      </c>
      <c r="X18" s="40">
        <f>ELECT.!B19</f>
        <v>0</v>
      </c>
      <c r="Y18" s="40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40">
        <f t="shared" si="1"/>
        <v>-25.569199999999999</v>
      </c>
      <c r="AE18" s="40">
        <f t="shared" si="2"/>
        <v>-168.4308</v>
      </c>
    </row>
    <row r="19" spans="1:31" x14ac:dyDescent="0.2">
      <c r="A19" s="53" t="s">
        <v>53</v>
      </c>
      <c r="B19" s="58">
        <f t="shared" si="3"/>
        <v>18</v>
      </c>
      <c r="C19" s="58">
        <v>8</v>
      </c>
      <c r="D19" s="58">
        <v>2021</v>
      </c>
      <c r="E19" s="42">
        <f>Water!C20</f>
        <v>0</v>
      </c>
      <c r="F19" s="42">
        <f>Water!E20</f>
        <v>0</v>
      </c>
      <c r="G19" s="42">
        <f>Water!G20</f>
        <v>0</v>
      </c>
      <c r="H19" s="42">
        <f>Water!I20</f>
        <v>0</v>
      </c>
      <c r="I19" s="42">
        <f>ELECT.!F20</f>
        <v>0</v>
      </c>
      <c r="J19" s="42">
        <f>ELECT.!H20</f>
        <v>0</v>
      </c>
      <c r="K19" s="42">
        <f>ELECT.!K20</f>
        <v>0</v>
      </c>
      <c r="L19" s="42">
        <f>ELECT.!M20</f>
        <v>0</v>
      </c>
      <c r="M19" s="42">
        <f>ELECT.!O20</f>
        <v>0</v>
      </c>
      <c r="N19" s="42">
        <f>ELECT.!Q20</f>
        <v>0</v>
      </c>
      <c r="O19" s="42">
        <f>ELECT.!S20</f>
        <v>0</v>
      </c>
      <c r="P19" s="42">
        <f>ELECT.!W20*2</f>
        <v>0</v>
      </c>
      <c r="Q19" s="42">
        <f>ELECT.!D20</f>
        <v>0</v>
      </c>
      <c r="R19" s="43">
        <f>BTU!C20</f>
        <v>0</v>
      </c>
      <c r="S19" s="43">
        <f>BTU!F20</f>
        <v>0</v>
      </c>
      <c r="T19" s="43">
        <f>BTU!I20</f>
        <v>0</v>
      </c>
      <c r="U19" s="43">
        <f>BTU!O20</f>
        <v>0</v>
      </c>
      <c r="V19" s="43">
        <f>BTU!L20</f>
        <v>0</v>
      </c>
      <c r="W19" s="43">
        <f>BTU!R20</f>
        <v>0</v>
      </c>
      <c r="X19" s="40">
        <f>ELECT.!B20</f>
        <v>0</v>
      </c>
      <c r="Y19" s="40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40">
        <f t="shared" si="1"/>
        <v>-25.569199999999999</v>
      </c>
      <c r="AE19" s="40">
        <f t="shared" si="2"/>
        <v>-168.4308</v>
      </c>
    </row>
    <row r="20" spans="1:31" x14ac:dyDescent="0.2">
      <c r="A20" s="53" t="s">
        <v>53</v>
      </c>
      <c r="B20" s="58">
        <f t="shared" si="3"/>
        <v>19</v>
      </c>
      <c r="C20" s="58">
        <v>8</v>
      </c>
      <c r="D20" s="58">
        <v>2021</v>
      </c>
      <c r="E20" s="42">
        <f>Water!C21</f>
        <v>0</v>
      </c>
      <c r="F20" s="42">
        <f>Water!E21</f>
        <v>0</v>
      </c>
      <c r="G20" s="42">
        <f>Water!G21</f>
        <v>0</v>
      </c>
      <c r="H20" s="42">
        <f>Water!I21</f>
        <v>0</v>
      </c>
      <c r="I20" s="42">
        <f>ELECT.!F21</f>
        <v>0</v>
      </c>
      <c r="J20" s="42">
        <f>ELECT.!H21</f>
        <v>0</v>
      </c>
      <c r="K20" s="42">
        <f>ELECT.!K21</f>
        <v>0</v>
      </c>
      <c r="L20" s="42">
        <f>ELECT.!M21</f>
        <v>0</v>
      </c>
      <c r="M20" s="42">
        <f>ELECT.!O21</f>
        <v>0</v>
      </c>
      <c r="N20" s="42">
        <f>ELECT.!Q21</f>
        <v>0</v>
      </c>
      <c r="O20" s="42">
        <f>ELECT.!S21</f>
        <v>0</v>
      </c>
      <c r="P20" s="42">
        <f>ELECT.!W21*2</f>
        <v>0</v>
      </c>
      <c r="Q20" s="42">
        <f>ELECT.!D21</f>
        <v>0</v>
      </c>
      <c r="R20" s="43">
        <f>BTU!C21</f>
        <v>0</v>
      </c>
      <c r="S20" s="43">
        <f>BTU!F21</f>
        <v>0</v>
      </c>
      <c r="T20" s="43">
        <f>BTU!I21</f>
        <v>0</v>
      </c>
      <c r="U20" s="43">
        <f>BTU!O21</f>
        <v>0</v>
      </c>
      <c r="V20" s="43">
        <f>BTU!L21</f>
        <v>0</v>
      </c>
      <c r="W20" s="43">
        <f>BTU!R21</f>
        <v>0</v>
      </c>
      <c r="X20" s="40">
        <f>ELECT.!B21</f>
        <v>0</v>
      </c>
      <c r="Y20" s="40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0">
        <f t="shared" si="1"/>
        <v>-25.569199999999999</v>
      </c>
      <c r="AE20" s="40">
        <f t="shared" si="2"/>
        <v>-168.4308</v>
      </c>
    </row>
    <row r="21" spans="1:31" x14ac:dyDescent="0.2">
      <c r="A21" s="53" t="s">
        <v>53</v>
      </c>
      <c r="B21" s="58">
        <f t="shared" si="3"/>
        <v>20</v>
      </c>
      <c r="C21" s="58">
        <v>8</v>
      </c>
      <c r="D21" s="58">
        <v>2021</v>
      </c>
      <c r="E21" s="42">
        <f>Water!C22</f>
        <v>0</v>
      </c>
      <c r="F21" s="42">
        <f>Water!E22</f>
        <v>0</v>
      </c>
      <c r="G21" s="42">
        <f>Water!G22</f>
        <v>0</v>
      </c>
      <c r="H21" s="42">
        <f>Water!I22</f>
        <v>0</v>
      </c>
      <c r="I21" s="42">
        <f>ELECT.!F22</f>
        <v>0</v>
      </c>
      <c r="J21" s="42">
        <f>ELECT.!H22</f>
        <v>0</v>
      </c>
      <c r="K21" s="42">
        <f>ELECT.!K22</f>
        <v>0</v>
      </c>
      <c r="L21" s="42">
        <f>ELECT.!M22</f>
        <v>0</v>
      </c>
      <c r="M21" s="42">
        <f>ELECT.!O22</f>
        <v>0</v>
      </c>
      <c r="N21" s="42">
        <f>ELECT.!Q22</f>
        <v>0</v>
      </c>
      <c r="O21" s="42">
        <f>ELECT.!S22</f>
        <v>0</v>
      </c>
      <c r="P21" s="42">
        <f>ELECT.!W22*2</f>
        <v>0</v>
      </c>
      <c r="Q21" s="42">
        <f>ELECT.!D22</f>
        <v>0</v>
      </c>
      <c r="R21" s="43">
        <f>BTU!C22</f>
        <v>0</v>
      </c>
      <c r="S21" s="43">
        <f>BTU!F22</f>
        <v>0</v>
      </c>
      <c r="T21" s="43">
        <f>BTU!I22</f>
        <v>0</v>
      </c>
      <c r="U21" s="43">
        <f>BTU!O22</f>
        <v>0</v>
      </c>
      <c r="V21" s="43">
        <f>BTU!L22</f>
        <v>0</v>
      </c>
      <c r="W21" s="43">
        <f>BTU!R22</f>
        <v>0</v>
      </c>
      <c r="X21" s="40">
        <f>ELECT.!B22</f>
        <v>0</v>
      </c>
      <c r="Y21" s="40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0">
        <f t="shared" si="1"/>
        <v>-25.569199999999999</v>
      </c>
      <c r="AE21" s="40">
        <f t="shared" si="2"/>
        <v>-168.4308</v>
      </c>
    </row>
    <row r="22" spans="1:31" x14ac:dyDescent="0.2">
      <c r="A22" s="53" t="s">
        <v>53</v>
      </c>
      <c r="B22" s="58">
        <f t="shared" si="3"/>
        <v>21</v>
      </c>
      <c r="C22" s="58">
        <v>8</v>
      </c>
      <c r="D22" s="58">
        <v>2021</v>
      </c>
      <c r="E22" s="42">
        <f>Water!C23</f>
        <v>0</v>
      </c>
      <c r="F22" s="42">
        <f>Water!E23</f>
        <v>0</v>
      </c>
      <c r="G22" s="42">
        <f>Water!G23</f>
        <v>0</v>
      </c>
      <c r="H22" s="42">
        <f>Water!I23</f>
        <v>0</v>
      </c>
      <c r="I22" s="42">
        <f>ELECT.!F23</f>
        <v>0</v>
      </c>
      <c r="J22" s="42">
        <f>ELECT.!H23</f>
        <v>0</v>
      </c>
      <c r="K22" s="42">
        <f>ELECT.!K23</f>
        <v>0</v>
      </c>
      <c r="L22" s="42">
        <f>ELECT.!M23</f>
        <v>0</v>
      </c>
      <c r="M22" s="42">
        <f>ELECT.!O23</f>
        <v>0</v>
      </c>
      <c r="N22" s="42">
        <f>ELECT.!Q23</f>
        <v>0</v>
      </c>
      <c r="O22" s="42">
        <f>ELECT.!S23</f>
        <v>0</v>
      </c>
      <c r="P22" s="42">
        <f>ELECT.!W23*2</f>
        <v>0</v>
      </c>
      <c r="Q22" s="42">
        <f>ELECT.!D23</f>
        <v>0</v>
      </c>
      <c r="R22" s="43">
        <f>BTU!C23</f>
        <v>0</v>
      </c>
      <c r="S22" s="43">
        <f>BTU!F23</f>
        <v>0</v>
      </c>
      <c r="T22" s="43">
        <f>BTU!I23</f>
        <v>0</v>
      </c>
      <c r="U22" s="43">
        <f>BTU!O23</f>
        <v>0</v>
      </c>
      <c r="V22" s="43">
        <f>BTU!L23</f>
        <v>0</v>
      </c>
      <c r="W22" s="43">
        <f>BTU!R23</f>
        <v>0</v>
      </c>
      <c r="X22" s="40">
        <f>ELECT.!B23</f>
        <v>0</v>
      </c>
      <c r="Y22" s="40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0">
        <f t="shared" si="1"/>
        <v>-25.569199999999999</v>
      </c>
      <c r="AE22" s="40">
        <f t="shared" si="2"/>
        <v>-168.4308</v>
      </c>
    </row>
    <row r="23" spans="1:31" x14ac:dyDescent="0.2">
      <c r="A23" s="53" t="s">
        <v>53</v>
      </c>
      <c r="B23" s="58">
        <f t="shared" si="3"/>
        <v>22</v>
      </c>
      <c r="C23" s="58">
        <v>8</v>
      </c>
      <c r="D23" s="58">
        <v>2021</v>
      </c>
      <c r="E23" s="42">
        <f>Water!C24</f>
        <v>0</v>
      </c>
      <c r="F23" s="42">
        <f>Water!E24</f>
        <v>0</v>
      </c>
      <c r="G23" s="42">
        <f>Water!G24</f>
        <v>0</v>
      </c>
      <c r="H23" s="42">
        <f>Water!I24</f>
        <v>0</v>
      </c>
      <c r="I23" s="42">
        <f>ELECT.!F24</f>
        <v>0</v>
      </c>
      <c r="J23" s="42">
        <f>ELECT.!H24</f>
        <v>0</v>
      </c>
      <c r="K23" s="42">
        <f>ELECT.!K24</f>
        <v>0</v>
      </c>
      <c r="L23" s="42">
        <f>ELECT.!M24</f>
        <v>0</v>
      </c>
      <c r="M23" s="42">
        <f>ELECT.!O24</f>
        <v>0</v>
      </c>
      <c r="N23" s="42">
        <f>ELECT.!Q24</f>
        <v>0</v>
      </c>
      <c r="O23" s="42">
        <f>ELECT.!S24</f>
        <v>0</v>
      </c>
      <c r="P23" s="42">
        <f>ELECT.!W24*2</f>
        <v>0</v>
      </c>
      <c r="Q23" s="42">
        <f>ELECT.!D24</f>
        <v>0</v>
      </c>
      <c r="R23" s="43">
        <f>BTU!C24</f>
        <v>0</v>
      </c>
      <c r="S23" s="43">
        <f>BTU!F24</f>
        <v>0</v>
      </c>
      <c r="T23" s="43">
        <f>BTU!I24</f>
        <v>0</v>
      </c>
      <c r="U23" s="43">
        <f>BTU!O24</f>
        <v>0</v>
      </c>
      <c r="V23" s="43">
        <f>BTU!L24</f>
        <v>0</v>
      </c>
      <c r="W23" s="43">
        <f>BTU!R24</f>
        <v>0</v>
      </c>
      <c r="X23" s="40">
        <f>ELECT.!B24</f>
        <v>0</v>
      </c>
      <c r="Y23" s="40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0">
        <f t="shared" si="1"/>
        <v>-25.569199999999999</v>
      </c>
      <c r="AE23" s="40">
        <f t="shared" si="2"/>
        <v>-168.4308</v>
      </c>
    </row>
    <row r="24" spans="1:31" x14ac:dyDescent="0.2">
      <c r="A24" s="53" t="s">
        <v>53</v>
      </c>
      <c r="B24" s="58">
        <f t="shared" si="3"/>
        <v>23</v>
      </c>
      <c r="C24" s="58">
        <v>8</v>
      </c>
      <c r="D24" s="58">
        <v>2021</v>
      </c>
      <c r="E24" s="42">
        <f>Water!C25</f>
        <v>0</v>
      </c>
      <c r="F24" s="42">
        <f>Water!E25</f>
        <v>0</v>
      </c>
      <c r="G24" s="42">
        <f>Water!G25</f>
        <v>0</v>
      </c>
      <c r="H24" s="42">
        <f>Water!I25</f>
        <v>0</v>
      </c>
      <c r="I24" s="42">
        <f>ELECT.!F25</f>
        <v>0</v>
      </c>
      <c r="J24" s="42">
        <f>ELECT.!H25</f>
        <v>0</v>
      </c>
      <c r="K24" s="42">
        <f>ELECT.!K25</f>
        <v>0</v>
      </c>
      <c r="L24" s="42">
        <f>ELECT.!M25</f>
        <v>0</v>
      </c>
      <c r="M24" s="42">
        <f>ELECT.!O25</f>
        <v>0</v>
      </c>
      <c r="N24" s="42">
        <f>ELECT.!Q25</f>
        <v>0</v>
      </c>
      <c r="O24" s="42">
        <f>ELECT.!S25</f>
        <v>0</v>
      </c>
      <c r="P24" s="42">
        <f>ELECT.!W25*2</f>
        <v>0</v>
      </c>
      <c r="Q24" s="42">
        <f>ELECT.!D25</f>
        <v>0</v>
      </c>
      <c r="R24" s="43">
        <f>BTU!C25</f>
        <v>0</v>
      </c>
      <c r="S24" s="43">
        <f>BTU!F25</f>
        <v>0</v>
      </c>
      <c r="T24" s="43">
        <f>BTU!I25</f>
        <v>0</v>
      </c>
      <c r="U24" s="43">
        <f>BTU!O25</f>
        <v>0</v>
      </c>
      <c r="V24" s="43">
        <f>BTU!L25</f>
        <v>0</v>
      </c>
      <c r="W24" s="43">
        <f>BTU!R25</f>
        <v>0</v>
      </c>
      <c r="X24" s="40">
        <f>ELECT.!B25</f>
        <v>0</v>
      </c>
      <c r="Y24" s="40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0">
        <f t="shared" si="1"/>
        <v>-25.569199999999999</v>
      </c>
      <c r="AE24" s="40">
        <f t="shared" si="2"/>
        <v>-168.4308</v>
      </c>
    </row>
    <row r="25" spans="1:31" x14ac:dyDescent="0.2">
      <c r="A25" s="53" t="s">
        <v>53</v>
      </c>
      <c r="B25" s="58">
        <f t="shared" si="3"/>
        <v>24</v>
      </c>
      <c r="C25" s="58">
        <v>8</v>
      </c>
      <c r="D25" s="58">
        <v>2021</v>
      </c>
      <c r="E25" s="42">
        <f>Water!C26</f>
        <v>0</v>
      </c>
      <c r="F25" s="42">
        <f>Water!E26</f>
        <v>0</v>
      </c>
      <c r="G25" s="42">
        <f>Water!G26</f>
        <v>0</v>
      </c>
      <c r="H25" s="42">
        <f>Water!I26</f>
        <v>0</v>
      </c>
      <c r="I25" s="42">
        <f>ELECT.!F26</f>
        <v>0</v>
      </c>
      <c r="J25" s="42">
        <f>ELECT.!H26</f>
        <v>0</v>
      </c>
      <c r="K25" s="42">
        <f>ELECT.!K26</f>
        <v>0</v>
      </c>
      <c r="L25" s="42">
        <f>ELECT.!M26</f>
        <v>0</v>
      </c>
      <c r="M25" s="42">
        <f>ELECT.!O26</f>
        <v>0</v>
      </c>
      <c r="N25" s="42">
        <f>ELECT.!Q26</f>
        <v>0</v>
      </c>
      <c r="O25" s="42">
        <f>ELECT.!S26</f>
        <v>0</v>
      </c>
      <c r="P25" s="42">
        <f>ELECT.!W26*2</f>
        <v>0</v>
      </c>
      <c r="Q25" s="42">
        <f>ELECT.!D26</f>
        <v>0</v>
      </c>
      <c r="R25" s="43">
        <f>BTU!C26</f>
        <v>0</v>
      </c>
      <c r="S25" s="43">
        <f>BTU!F26</f>
        <v>0</v>
      </c>
      <c r="T25" s="43">
        <f>BTU!I26</f>
        <v>0</v>
      </c>
      <c r="U25" s="43">
        <f>BTU!O26</f>
        <v>0</v>
      </c>
      <c r="V25" s="43">
        <f>BTU!L26</f>
        <v>0</v>
      </c>
      <c r="W25" s="43">
        <f>BTU!R26</f>
        <v>0</v>
      </c>
      <c r="X25" s="40">
        <f>ELECT.!B26</f>
        <v>0</v>
      </c>
      <c r="Y25" s="40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0">
        <f t="shared" si="1"/>
        <v>-25.569199999999999</v>
      </c>
      <c r="AE25" s="40">
        <f t="shared" si="2"/>
        <v>-168.4308</v>
      </c>
    </row>
    <row r="26" spans="1:31" x14ac:dyDescent="0.2">
      <c r="A26" s="53" t="s">
        <v>53</v>
      </c>
      <c r="B26" s="58">
        <f>B25+1</f>
        <v>25</v>
      </c>
      <c r="C26" s="58">
        <v>8</v>
      </c>
      <c r="D26" s="58">
        <v>2021</v>
      </c>
      <c r="E26" s="42">
        <f>Water!C27</f>
        <v>0</v>
      </c>
      <c r="F26" s="42">
        <f>Water!E27</f>
        <v>0</v>
      </c>
      <c r="G26" s="42">
        <f>Water!G27</f>
        <v>0</v>
      </c>
      <c r="H26" s="42">
        <f>Water!I27</f>
        <v>0</v>
      </c>
      <c r="I26" s="42">
        <f>ELECT.!F27</f>
        <v>0</v>
      </c>
      <c r="J26" s="42">
        <f>ELECT.!H27</f>
        <v>0</v>
      </c>
      <c r="K26" s="42">
        <f>ELECT.!K27</f>
        <v>0</v>
      </c>
      <c r="L26" s="42">
        <f>ELECT.!M27</f>
        <v>0</v>
      </c>
      <c r="M26" s="42">
        <f>ELECT.!O27</f>
        <v>0</v>
      </c>
      <c r="N26" s="42">
        <f>ELECT.!Q27</f>
        <v>0</v>
      </c>
      <c r="O26" s="42">
        <f>ELECT.!S27</f>
        <v>0</v>
      </c>
      <c r="P26" s="42">
        <f>ELECT.!W27*2</f>
        <v>0</v>
      </c>
      <c r="Q26" s="42">
        <f>ELECT.!D27</f>
        <v>0</v>
      </c>
      <c r="R26" s="43">
        <f>BTU!C27</f>
        <v>0</v>
      </c>
      <c r="S26" s="43">
        <f>BTU!F27</f>
        <v>0</v>
      </c>
      <c r="T26" s="43">
        <f>BTU!I27</f>
        <v>0</v>
      </c>
      <c r="U26" s="43">
        <f>BTU!O27</f>
        <v>0</v>
      </c>
      <c r="V26" s="43">
        <f>BTU!L27</f>
        <v>0</v>
      </c>
      <c r="W26" s="43">
        <f>BTU!R27</f>
        <v>0</v>
      </c>
      <c r="X26" s="40">
        <f>ELECT.!B27</f>
        <v>0</v>
      </c>
      <c r="Y26" s="40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0">
        <f t="shared" si="1"/>
        <v>-25.569199999999999</v>
      </c>
      <c r="AE26" s="40">
        <f t="shared" si="2"/>
        <v>-168.4308</v>
      </c>
    </row>
    <row r="27" spans="1:31" x14ac:dyDescent="0.2">
      <c r="A27" s="53" t="s">
        <v>53</v>
      </c>
      <c r="B27" s="58">
        <f t="shared" si="3"/>
        <v>26</v>
      </c>
      <c r="C27" s="58">
        <v>8</v>
      </c>
      <c r="D27" s="58">
        <v>2021</v>
      </c>
      <c r="E27" s="42">
        <f>Water!C28</f>
        <v>0</v>
      </c>
      <c r="F27" s="42">
        <f>Water!E28</f>
        <v>0</v>
      </c>
      <c r="G27" s="42">
        <f>Water!G28</f>
        <v>0</v>
      </c>
      <c r="H27" s="42">
        <f>Water!I28</f>
        <v>0</v>
      </c>
      <c r="I27" s="42">
        <f>ELECT.!F28</f>
        <v>0</v>
      </c>
      <c r="J27" s="42">
        <f>ELECT.!H28</f>
        <v>0</v>
      </c>
      <c r="K27" s="42">
        <f>ELECT.!K28</f>
        <v>0</v>
      </c>
      <c r="L27" s="42">
        <f>ELECT.!M28</f>
        <v>0</v>
      </c>
      <c r="M27" s="42">
        <f>ELECT.!O28</f>
        <v>0</v>
      </c>
      <c r="N27" s="42">
        <f>ELECT.!Q28</f>
        <v>0</v>
      </c>
      <c r="O27" s="42">
        <f>ELECT.!S28</f>
        <v>0</v>
      </c>
      <c r="P27" s="42">
        <f>ELECT.!W28*2</f>
        <v>0</v>
      </c>
      <c r="Q27" s="42">
        <f>ELECT.!D28</f>
        <v>0</v>
      </c>
      <c r="R27" s="43">
        <f>BTU!C28</f>
        <v>0</v>
      </c>
      <c r="S27" s="43">
        <f>BTU!F28</f>
        <v>0</v>
      </c>
      <c r="T27" s="43">
        <f>BTU!I28</f>
        <v>0</v>
      </c>
      <c r="U27" s="43">
        <f>BTU!O28</f>
        <v>0</v>
      </c>
      <c r="V27" s="43">
        <f>BTU!L28</f>
        <v>0</v>
      </c>
      <c r="W27" s="43">
        <f>BTU!R28</f>
        <v>0</v>
      </c>
      <c r="X27" s="40">
        <f>ELECT.!B28</f>
        <v>0</v>
      </c>
      <c r="Y27" s="40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0">
        <f t="shared" si="1"/>
        <v>-25.569199999999999</v>
      </c>
      <c r="AE27" s="40">
        <f t="shared" si="2"/>
        <v>-168.4308</v>
      </c>
    </row>
    <row r="28" spans="1:31" x14ac:dyDescent="0.2">
      <c r="A28" s="53" t="s">
        <v>53</v>
      </c>
      <c r="B28" s="58">
        <f t="shared" si="3"/>
        <v>27</v>
      </c>
      <c r="C28" s="58">
        <v>8</v>
      </c>
      <c r="D28" s="58">
        <v>2021</v>
      </c>
      <c r="E28" s="42">
        <f>Water!C29</f>
        <v>0</v>
      </c>
      <c r="F28" s="42">
        <f>Water!E29</f>
        <v>0</v>
      </c>
      <c r="G28" s="42">
        <f>Water!G29</f>
        <v>0</v>
      </c>
      <c r="H28" s="42">
        <f>Water!I29</f>
        <v>0</v>
      </c>
      <c r="I28" s="42">
        <f>ELECT.!F29</f>
        <v>0</v>
      </c>
      <c r="J28" s="42">
        <f>ELECT.!H29</f>
        <v>0</v>
      </c>
      <c r="K28" s="42">
        <f>ELECT.!K29</f>
        <v>0</v>
      </c>
      <c r="L28" s="42">
        <f>ELECT.!M29</f>
        <v>0</v>
      </c>
      <c r="M28" s="42">
        <f>ELECT.!O29</f>
        <v>0</v>
      </c>
      <c r="N28" s="42">
        <f>ELECT.!Q29</f>
        <v>0</v>
      </c>
      <c r="O28" s="42">
        <f>ELECT.!S29</f>
        <v>0</v>
      </c>
      <c r="P28" s="42">
        <f>ELECT.!W29*2</f>
        <v>0</v>
      </c>
      <c r="Q28" s="42">
        <f>ELECT.!D29</f>
        <v>0</v>
      </c>
      <c r="R28" s="43">
        <f>BTU!C29</f>
        <v>0</v>
      </c>
      <c r="S28" s="43">
        <f>BTU!F29</f>
        <v>0</v>
      </c>
      <c r="T28" s="43">
        <f>BTU!I29</f>
        <v>0</v>
      </c>
      <c r="U28" s="43">
        <f>BTU!O29</f>
        <v>0</v>
      </c>
      <c r="V28" s="43">
        <f>BTU!L29</f>
        <v>0</v>
      </c>
      <c r="W28" s="43">
        <f>BTU!R29</f>
        <v>0</v>
      </c>
      <c r="X28" s="40">
        <f>ELECT.!B29</f>
        <v>0</v>
      </c>
      <c r="Y28" s="40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0">
        <f t="shared" si="1"/>
        <v>-25.569199999999999</v>
      </c>
      <c r="AE28" s="40">
        <f t="shared" si="2"/>
        <v>-168.4308</v>
      </c>
    </row>
    <row r="29" spans="1:31" x14ac:dyDescent="0.2">
      <c r="A29" s="53" t="s">
        <v>53</v>
      </c>
      <c r="B29" s="58">
        <f t="shared" si="3"/>
        <v>28</v>
      </c>
      <c r="C29" s="58">
        <v>8</v>
      </c>
      <c r="D29" s="58">
        <v>2021</v>
      </c>
      <c r="E29" s="42">
        <f>Water!C30</f>
        <v>0</v>
      </c>
      <c r="F29" s="42">
        <f>Water!E30</f>
        <v>0</v>
      </c>
      <c r="G29" s="42">
        <f>Water!G30</f>
        <v>0</v>
      </c>
      <c r="H29" s="42">
        <f>Water!I30</f>
        <v>0</v>
      </c>
      <c r="I29" s="42">
        <f>ELECT.!F30</f>
        <v>0</v>
      </c>
      <c r="J29" s="42">
        <f>ELECT.!H30</f>
        <v>0</v>
      </c>
      <c r="K29" s="42">
        <f>ELECT.!K30</f>
        <v>0</v>
      </c>
      <c r="L29" s="42">
        <f>ELECT.!M30</f>
        <v>0</v>
      </c>
      <c r="M29" s="42">
        <f>ELECT.!O30</f>
        <v>0</v>
      </c>
      <c r="N29" s="42">
        <f>ELECT.!Q30</f>
        <v>0</v>
      </c>
      <c r="O29" s="42">
        <f>ELECT.!S30</f>
        <v>0</v>
      </c>
      <c r="P29" s="42">
        <f>ELECT.!W30*2</f>
        <v>0</v>
      </c>
      <c r="Q29" s="42">
        <f>ELECT.!D30</f>
        <v>0</v>
      </c>
      <c r="R29" s="43">
        <f>BTU!C30</f>
        <v>0</v>
      </c>
      <c r="S29" s="43">
        <f>BTU!F30</f>
        <v>0</v>
      </c>
      <c r="T29" s="43">
        <f>BTU!I30</f>
        <v>0</v>
      </c>
      <c r="U29" s="43">
        <f>BTU!O30</f>
        <v>0</v>
      </c>
      <c r="V29" s="43">
        <f>BTU!L30</f>
        <v>0</v>
      </c>
      <c r="W29" s="43">
        <f>BTU!R30</f>
        <v>0</v>
      </c>
      <c r="X29" s="40">
        <f>ELECT.!B30</f>
        <v>0</v>
      </c>
      <c r="Y29" s="40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0">
        <f t="shared" si="1"/>
        <v>-25.569199999999999</v>
      </c>
      <c r="AE29" s="40">
        <f t="shared" si="2"/>
        <v>-168.4308</v>
      </c>
    </row>
    <row r="30" spans="1:31" x14ac:dyDescent="0.2">
      <c r="A30" s="53" t="s">
        <v>53</v>
      </c>
      <c r="B30" s="58">
        <f t="shared" si="3"/>
        <v>29</v>
      </c>
      <c r="C30" s="58">
        <v>8</v>
      </c>
      <c r="D30" s="58">
        <v>2021</v>
      </c>
      <c r="E30" s="42">
        <f>Water!C31</f>
        <v>0</v>
      </c>
      <c r="F30" s="42">
        <f>Water!E31</f>
        <v>0</v>
      </c>
      <c r="G30" s="42">
        <f>Water!E31</f>
        <v>0</v>
      </c>
      <c r="H30" s="42">
        <f>Water!I31</f>
        <v>0</v>
      </c>
      <c r="I30" s="42">
        <f>Water!G31</f>
        <v>0</v>
      </c>
      <c r="J30" s="42">
        <f>ELECT.!H31</f>
        <v>0</v>
      </c>
      <c r="K30" s="42">
        <f>Water!I31</f>
        <v>0</v>
      </c>
      <c r="L30" s="42">
        <f>Water!J31</f>
        <v>0</v>
      </c>
      <c r="M30" s="42">
        <f>Water!K31</f>
        <v>0</v>
      </c>
      <c r="N30" s="42">
        <f>Water!L31</f>
        <v>0</v>
      </c>
      <c r="O30" s="42">
        <f>Water!M31</f>
        <v>0</v>
      </c>
      <c r="P30" s="42">
        <f>Water!N31</f>
        <v>0</v>
      </c>
      <c r="Q30" s="42">
        <f>Water!O31</f>
        <v>0</v>
      </c>
      <c r="R30" s="43">
        <f>BTU!C31</f>
        <v>0</v>
      </c>
      <c r="S30" s="43">
        <f>BTU!F31</f>
        <v>0</v>
      </c>
      <c r="T30" s="43">
        <f>BTU!I31</f>
        <v>0</v>
      </c>
      <c r="U30" s="43">
        <f>BTU!O31</f>
        <v>0</v>
      </c>
      <c r="V30" s="43">
        <f>BTU!L31</f>
        <v>0</v>
      </c>
      <c r="W30" s="43">
        <f>BTU!R31</f>
        <v>0</v>
      </c>
      <c r="X30" s="40">
        <f>ELECT.!B31</f>
        <v>0</v>
      </c>
      <c r="Y30" s="40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0">
        <f t="shared" si="1"/>
        <v>-25.569199999999999</v>
      </c>
      <c r="AE30" s="40">
        <f t="shared" si="2"/>
        <v>-168.4308</v>
      </c>
    </row>
    <row r="31" spans="1:31" x14ac:dyDescent="0.2">
      <c r="A31" s="53" t="s">
        <v>53</v>
      </c>
      <c r="B31" s="58">
        <f t="shared" si="3"/>
        <v>30</v>
      </c>
      <c r="C31" s="58">
        <v>8</v>
      </c>
      <c r="D31" s="58">
        <v>2021</v>
      </c>
      <c r="E31" s="42">
        <f>Water!C32</f>
        <v>0</v>
      </c>
      <c r="F31" s="42">
        <f>Water!E32</f>
        <v>0</v>
      </c>
      <c r="G31" s="42">
        <f>Water!E32</f>
        <v>0</v>
      </c>
      <c r="H31" s="42">
        <f>Water!I32</f>
        <v>0</v>
      </c>
      <c r="I31" s="42">
        <f>Water!G32</f>
        <v>0</v>
      </c>
      <c r="J31" s="42">
        <f>ELECT.!H32</f>
        <v>0</v>
      </c>
      <c r="K31" s="42">
        <f>Water!I32</f>
        <v>0</v>
      </c>
      <c r="L31" s="42">
        <f>Water!J32</f>
        <v>0</v>
      </c>
      <c r="M31" s="42">
        <f>Water!K32</f>
        <v>0</v>
      </c>
      <c r="N31" s="42">
        <f>Water!L32</f>
        <v>0</v>
      </c>
      <c r="O31" s="42">
        <f>Water!M32</f>
        <v>0</v>
      </c>
      <c r="P31" s="42">
        <f>Water!N32</f>
        <v>0</v>
      </c>
      <c r="Q31" s="42">
        <f>Water!O32</f>
        <v>0</v>
      </c>
      <c r="R31" s="43">
        <f>BTU!C32</f>
        <v>0</v>
      </c>
      <c r="S31" s="43">
        <f>BTU!F32</f>
        <v>0</v>
      </c>
      <c r="T31" s="43">
        <f>BTU!I32</f>
        <v>0</v>
      </c>
      <c r="U31" s="43">
        <f>BTU!O32</f>
        <v>0</v>
      </c>
      <c r="V31" s="43">
        <f>BTU!L32</f>
        <v>0</v>
      </c>
      <c r="W31" s="43">
        <f>BTU!R32</f>
        <v>0</v>
      </c>
      <c r="X31" s="40">
        <f>ELECT.!B32</f>
        <v>0</v>
      </c>
      <c r="Y31" s="40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0">
        <f t="shared" si="1"/>
        <v>-25.569199999999999</v>
      </c>
      <c r="AE31" s="40">
        <f t="shared" si="2"/>
        <v>-168.4308</v>
      </c>
    </row>
    <row r="32" spans="1:31" x14ac:dyDescent="0.2">
      <c r="A32" s="53" t="s">
        <v>53</v>
      </c>
      <c r="B32" s="58">
        <v>31</v>
      </c>
      <c r="C32" s="58">
        <v>8</v>
      </c>
      <c r="D32" s="58">
        <v>2021</v>
      </c>
      <c r="E32" s="42">
        <f>Water!C33</f>
        <v>0</v>
      </c>
      <c r="F32" s="42">
        <f>Water!E33</f>
        <v>0</v>
      </c>
      <c r="G32" s="42">
        <f>Water!E33</f>
        <v>0</v>
      </c>
      <c r="H32" s="42">
        <f>Water!I33</f>
        <v>0</v>
      </c>
      <c r="I32" s="42">
        <f>Water!G33</f>
        <v>0</v>
      </c>
      <c r="J32" s="42">
        <f>ELECT.!H33</f>
        <v>0</v>
      </c>
      <c r="K32" s="42">
        <f>Water!I33</f>
        <v>0</v>
      </c>
      <c r="L32" s="42">
        <f>Water!J33</f>
        <v>0</v>
      </c>
      <c r="M32" s="42">
        <f>Water!K33</f>
        <v>0</v>
      </c>
      <c r="N32" s="42">
        <f>Water!L33</f>
        <v>0</v>
      </c>
      <c r="O32" s="42">
        <f>Water!M33</f>
        <v>0</v>
      </c>
      <c r="P32" s="42">
        <f>Water!N33</f>
        <v>0</v>
      </c>
      <c r="Q32" s="42">
        <f>Water!O33</f>
        <v>0</v>
      </c>
      <c r="R32" s="43">
        <f>BTU!C33</f>
        <v>0</v>
      </c>
      <c r="S32" s="43">
        <f>BTU!F33</f>
        <v>0</v>
      </c>
      <c r="T32" s="43">
        <f>BTU!I33</f>
        <v>0</v>
      </c>
      <c r="U32" s="43">
        <f>BTU!O33</f>
        <v>0</v>
      </c>
      <c r="V32" s="43">
        <f>BTU!L33</f>
        <v>0</v>
      </c>
      <c r="W32" s="43">
        <f>BTU!R33</f>
        <v>0</v>
      </c>
      <c r="X32" s="40">
        <f>ELECT.!B33</f>
        <v>0</v>
      </c>
      <c r="Y32" s="40">
        <f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0">
        <f>(E32-H32-194)*0.1318</f>
        <v>-25.569199999999999</v>
      </c>
      <c r="AE32" s="40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topLeftCell="D1" zoomScale="110" zoomScaleNormal="110" workbookViewId="0">
      <pane ySplit="1" topLeftCell="A5" activePane="bottomLeft" state="frozen"/>
      <selection pane="bottomLeft" activeCell="V16" sqref="V16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36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7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44408</v>
      </c>
      <c r="B2" s="37">
        <v>45656</v>
      </c>
      <c r="C2" s="16"/>
      <c r="D2" s="37">
        <v>39722</v>
      </c>
      <c r="E2" s="16"/>
      <c r="F2" s="37">
        <v>20627</v>
      </c>
      <c r="G2" s="16"/>
      <c r="H2" s="37">
        <v>246346</v>
      </c>
      <c r="I2" s="16"/>
      <c r="J2" s="37">
        <v>303517</v>
      </c>
      <c r="K2" s="16"/>
      <c r="L2" s="37">
        <v>25206</v>
      </c>
      <c r="M2" s="16"/>
      <c r="N2" s="37">
        <v>215736</v>
      </c>
      <c r="O2" s="16"/>
      <c r="P2" s="37">
        <v>113851</v>
      </c>
      <c r="Q2" s="16"/>
      <c r="R2" s="1">
        <v>55047</v>
      </c>
      <c r="S2" s="16"/>
      <c r="T2" s="37">
        <v>3718</v>
      </c>
      <c r="U2" s="16"/>
    </row>
    <row r="3" spans="1:24" ht="13.5" thickBot="1" x14ac:dyDescent="0.25">
      <c r="A3" s="10">
        <v>44409</v>
      </c>
      <c r="B3" s="37">
        <v>45662</v>
      </c>
      <c r="C3" s="16">
        <f>(B3-B2)*800/5</f>
        <v>960</v>
      </c>
      <c r="D3" s="37">
        <v>39724</v>
      </c>
      <c r="E3" s="16">
        <f>(D3-D2)*800/5</f>
        <v>320</v>
      </c>
      <c r="F3" s="37">
        <v>20631</v>
      </c>
      <c r="G3" s="16">
        <f>(F3-F2)*100/5</f>
        <v>80</v>
      </c>
      <c r="H3" s="37">
        <v>246396</v>
      </c>
      <c r="I3" s="16">
        <f>(H3-H2)</f>
        <v>50</v>
      </c>
      <c r="J3" s="37">
        <f>J2</f>
        <v>303517</v>
      </c>
      <c r="K3" s="16">
        <f>(J3-J2)*800/5</f>
        <v>0</v>
      </c>
      <c r="L3" s="37">
        <v>25210</v>
      </c>
      <c r="M3" s="16">
        <f>(L3-L2)*800/5</f>
        <v>640</v>
      </c>
      <c r="N3" s="37">
        <v>215739</v>
      </c>
      <c r="O3" s="16">
        <f>N3-N2</f>
        <v>3</v>
      </c>
      <c r="P3" s="37">
        <v>113960</v>
      </c>
      <c r="Q3" s="16">
        <f>P3-P2</f>
        <v>109</v>
      </c>
      <c r="R3" s="1">
        <f>R2</f>
        <v>55047</v>
      </c>
      <c r="S3" s="16">
        <f>R3-R2</f>
        <v>0</v>
      </c>
      <c r="T3" s="37">
        <v>3719</v>
      </c>
      <c r="U3" s="16">
        <f>(T3-T2)*800/5</f>
        <v>160</v>
      </c>
    </row>
    <row r="4" spans="1:24" ht="13.5" thickBot="1" x14ac:dyDescent="0.25">
      <c r="A4" s="10">
        <v>44410</v>
      </c>
      <c r="B4" s="37">
        <v>45668</v>
      </c>
      <c r="C4" s="16">
        <f t="shared" ref="C4:C33" si="0">(B4-B3)*800/5</f>
        <v>960</v>
      </c>
      <c r="D4" s="37">
        <v>39726</v>
      </c>
      <c r="E4" s="16">
        <f t="shared" ref="E4:E33" si="1">(D4-D3)*800/5</f>
        <v>320</v>
      </c>
      <c r="F4" s="37">
        <v>20635</v>
      </c>
      <c r="G4" s="16">
        <f t="shared" ref="G4:G33" si="2">(F4-F3)*100/5</f>
        <v>80</v>
      </c>
      <c r="H4" s="37">
        <v>246446</v>
      </c>
      <c r="I4" s="16">
        <f t="shared" ref="I4:I33" si="3">(H4-H3)</f>
        <v>50</v>
      </c>
      <c r="J4" s="37">
        <v>303517</v>
      </c>
      <c r="K4" s="16">
        <f t="shared" ref="K4:K33" si="4">(J4-J3)*800/5</f>
        <v>0</v>
      </c>
      <c r="L4" s="37">
        <v>25214</v>
      </c>
      <c r="M4" s="16">
        <f t="shared" ref="M4:M33" si="5">(L4-L3)*800/5</f>
        <v>640</v>
      </c>
      <c r="N4" s="37">
        <v>215743</v>
      </c>
      <c r="O4" s="16">
        <f t="shared" ref="O4:O33" si="6">N4-N3</f>
        <v>4</v>
      </c>
      <c r="P4" s="37">
        <v>114070</v>
      </c>
      <c r="Q4" s="16">
        <f t="shared" ref="Q4:Q33" si="7">P4-P3</f>
        <v>110</v>
      </c>
      <c r="R4" s="1">
        <v>55047</v>
      </c>
      <c r="S4" s="16">
        <f t="shared" ref="S4:S33" si="8">R4-R3</f>
        <v>0</v>
      </c>
      <c r="T4" s="37">
        <v>3720</v>
      </c>
      <c r="U4" s="16">
        <f t="shared" ref="U4:U33" si="9">(T4-T3)*800/5</f>
        <v>160</v>
      </c>
    </row>
    <row r="5" spans="1:24" ht="13.5" thickBot="1" x14ac:dyDescent="0.25">
      <c r="A5" s="10">
        <v>44411</v>
      </c>
      <c r="B5" s="37">
        <v>45674</v>
      </c>
      <c r="C5" s="16">
        <f t="shared" si="0"/>
        <v>960</v>
      </c>
      <c r="D5" s="37">
        <v>39731</v>
      </c>
      <c r="E5" s="16">
        <f t="shared" si="1"/>
        <v>800</v>
      </c>
      <c r="F5" s="37">
        <v>20638</v>
      </c>
      <c r="G5" s="16">
        <f t="shared" si="2"/>
        <v>60</v>
      </c>
      <c r="H5" s="37">
        <v>246498</v>
      </c>
      <c r="I5" s="16">
        <f t="shared" si="3"/>
        <v>52</v>
      </c>
      <c r="J5" s="37">
        <v>303517</v>
      </c>
      <c r="K5" s="16">
        <f t="shared" si="4"/>
        <v>0</v>
      </c>
      <c r="L5" s="37">
        <v>25219</v>
      </c>
      <c r="M5" s="16">
        <f t="shared" si="5"/>
        <v>800</v>
      </c>
      <c r="N5" s="37">
        <v>215746</v>
      </c>
      <c r="O5" s="16">
        <f t="shared" si="6"/>
        <v>3</v>
      </c>
      <c r="P5" s="37">
        <f t="shared" ref="P5:P33" si="10">P4</f>
        <v>114070</v>
      </c>
      <c r="Q5" s="16">
        <f t="shared" si="7"/>
        <v>0</v>
      </c>
      <c r="R5" s="1">
        <v>55047</v>
      </c>
      <c r="S5" s="16">
        <f t="shared" si="8"/>
        <v>0</v>
      </c>
      <c r="T5" s="37">
        <v>3722</v>
      </c>
      <c r="U5" s="16">
        <f t="shared" si="9"/>
        <v>320</v>
      </c>
    </row>
    <row r="6" spans="1:24" ht="13.5" thickBot="1" x14ac:dyDescent="0.25">
      <c r="A6" s="10">
        <v>44412</v>
      </c>
      <c r="B6" s="37">
        <v>45680</v>
      </c>
      <c r="C6" s="16">
        <f t="shared" si="0"/>
        <v>960</v>
      </c>
      <c r="D6" s="37">
        <v>39733</v>
      </c>
      <c r="E6" s="16">
        <f t="shared" si="1"/>
        <v>320</v>
      </c>
      <c r="F6" s="37">
        <v>20641</v>
      </c>
      <c r="G6" s="16">
        <f t="shared" si="2"/>
        <v>60</v>
      </c>
      <c r="H6" s="37">
        <v>246539</v>
      </c>
      <c r="I6" s="16">
        <f t="shared" si="3"/>
        <v>41</v>
      </c>
      <c r="J6" s="37">
        <v>303517</v>
      </c>
      <c r="K6" s="16">
        <f t="shared" si="4"/>
        <v>0</v>
      </c>
      <c r="L6" s="37">
        <v>25222</v>
      </c>
      <c r="M6" s="16">
        <f t="shared" si="5"/>
        <v>480</v>
      </c>
      <c r="N6" s="37">
        <v>215749</v>
      </c>
      <c r="O6" s="16">
        <f t="shared" si="6"/>
        <v>3</v>
      </c>
      <c r="P6" s="37">
        <f t="shared" si="10"/>
        <v>114070</v>
      </c>
      <c r="Q6" s="16">
        <f t="shared" si="7"/>
        <v>0</v>
      </c>
      <c r="R6" s="1">
        <v>55047</v>
      </c>
      <c r="S6" s="16">
        <f>R30-R5</f>
        <v>0</v>
      </c>
      <c r="T6" s="37">
        <v>3723</v>
      </c>
      <c r="U6" s="16">
        <f t="shared" si="9"/>
        <v>160</v>
      </c>
    </row>
    <row r="7" spans="1:24" ht="13.5" thickBot="1" x14ac:dyDescent="0.25">
      <c r="A7" s="10">
        <v>44413</v>
      </c>
      <c r="B7" s="37">
        <v>45685</v>
      </c>
      <c r="C7" s="16">
        <f t="shared" si="0"/>
        <v>800</v>
      </c>
      <c r="D7" s="37">
        <v>39736</v>
      </c>
      <c r="E7" s="16">
        <f t="shared" si="1"/>
        <v>480</v>
      </c>
      <c r="F7" s="37">
        <v>20644</v>
      </c>
      <c r="G7" s="16">
        <f t="shared" si="2"/>
        <v>60</v>
      </c>
      <c r="H7" s="37">
        <v>246585</v>
      </c>
      <c r="I7" s="16">
        <f t="shared" si="3"/>
        <v>46</v>
      </c>
      <c r="J7" s="37">
        <v>303517</v>
      </c>
      <c r="K7" s="16">
        <f t="shared" si="4"/>
        <v>0</v>
      </c>
      <c r="L7" s="37">
        <v>25226</v>
      </c>
      <c r="M7" s="16">
        <f t="shared" si="5"/>
        <v>640</v>
      </c>
      <c r="N7" s="37">
        <v>215752</v>
      </c>
      <c r="O7" s="16">
        <f t="shared" si="6"/>
        <v>3</v>
      </c>
      <c r="P7" s="37">
        <v>114070</v>
      </c>
      <c r="Q7" s="16">
        <f t="shared" si="7"/>
        <v>0</v>
      </c>
      <c r="R7" s="1">
        <v>55047</v>
      </c>
      <c r="S7" s="16">
        <f>R7-R30</f>
        <v>0</v>
      </c>
      <c r="T7" s="37">
        <v>3725</v>
      </c>
      <c r="U7" s="16">
        <f t="shared" si="9"/>
        <v>320</v>
      </c>
    </row>
    <row r="8" spans="1:24" ht="13.5" thickBot="1" x14ac:dyDescent="0.25">
      <c r="A8" s="10">
        <v>44414</v>
      </c>
      <c r="B8" s="37">
        <v>45691</v>
      </c>
      <c r="C8" s="16">
        <f t="shared" si="0"/>
        <v>960</v>
      </c>
      <c r="D8" s="37">
        <v>39738</v>
      </c>
      <c r="E8" s="16">
        <f t="shared" si="1"/>
        <v>320</v>
      </c>
      <c r="F8" s="37">
        <v>20648</v>
      </c>
      <c r="G8" s="16">
        <f t="shared" si="2"/>
        <v>80</v>
      </c>
      <c r="H8" s="37">
        <v>246636</v>
      </c>
      <c r="I8" s="16">
        <f t="shared" si="3"/>
        <v>51</v>
      </c>
      <c r="J8" s="37">
        <v>303517</v>
      </c>
      <c r="K8" s="16">
        <f t="shared" si="4"/>
        <v>0</v>
      </c>
      <c r="L8" s="37">
        <v>25229</v>
      </c>
      <c r="M8" s="16">
        <f t="shared" si="5"/>
        <v>480</v>
      </c>
      <c r="N8" s="37">
        <v>215755</v>
      </c>
      <c r="O8" s="16">
        <f t="shared" si="6"/>
        <v>3</v>
      </c>
      <c r="P8" s="37">
        <f t="shared" si="10"/>
        <v>114070</v>
      </c>
      <c r="Q8" s="16">
        <f t="shared" si="7"/>
        <v>0</v>
      </c>
      <c r="R8" s="1">
        <v>55047</v>
      </c>
      <c r="S8" s="16">
        <f>R8-R7</f>
        <v>0</v>
      </c>
      <c r="T8" s="37">
        <v>3726</v>
      </c>
      <c r="U8" s="16">
        <f t="shared" si="9"/>
        <v>160</v>
      </c>
    </row>
    <row r="9" spans="1:24" ht="13.5" thickBot="1" x14ac:dyDescent="0.25">
      <c r="A9" s="10">
        <v>44415</v>
      </c>
      <c r="B9" s="37">
        <v>45696</v>
      </c>
      <c r="C9" s="16">
        <f t="shared" si="0"/>
        <v>800</v>
      </c>
      <c r="D9" s="37">
        <v>39741</v>
      </c>
      <c r="E9" s="16">
        <f t="shared" si="1"/>
        <v>480</v>
      </c>
      <c r="F9" s="37">
        <v>20651</v>
      </c>
      <c r="G9" s="16">
        <f t="shared" si="2"/>
        <v>60</v>
      </c>
      <c r="H9" s="37">
        <v>246673</v>
      </c>
      <c r="I9" s="16">
        <f t="shared" si="3"/>
        <v>37</v>
      </c>
      <c r="J9" s="37">
        <v>303517</v>
      </c>
      <c r="K9" s="16">
        <f t="shared" si="4"/>
        <v>0</v>
      </c>
      <c r="L9" s="37">
        <v>25232</v>
      </c>
      <c r="M9" s="16">
        <f t="shared" si="5"/>
        <v>480</v>
      </c>
      <c r="N9" s="37">
        <v>215758</v>
      </c>
      <c r="O9" s="16">
        <f t="shared" si="6"/>
        <v>3</v>
      </c>
      <c r="P9" s="37">
        <f t="shared" si="10"/>
        <v>114070</v>
      </c>
      <c r="Q9" s="16">
        <f>P9-P8</f>
        <v>0</v>
      </c>
      <c r="R9" s="1">
        <v>55047</v>
      </c>
      <c r="S9" s="16">
        <f>R9-R8</f>
        <v>0</v>
      </c>
      <c r="T9" s="37">
        <v>3727</v>
      </c>
      <c r="U9" s="16">
        <f t="shared" si="9"/>
        <v>160</v>
      </c>
    </row>
    <row r="10" spans="1:24" ht="13.5" thickBot="1" x14ac:dyDescent="0.25">
      <c r="A10" s="10">
        <v>44416</v>
      </c>
      <c r="B10" s="37">
        <v>45702</v>
      </c>
      <c r="C10" s="16">
        <f t="shared" si="0"/>
        <v>960</v>
      </c>
      <c r="D10" s="37">
        <v>39744</v>
      </c>
      <c r="E10" s="16">
        <f t="shared" si="1"/>
        <v>480</v>
      </c>
      <c r="F10" s="37">
        <v>20655</v>
      </c>
      <c r="G10" s="16">
        <f t="shared" si="2"/>
        <v>80</v>
      </c>
      <c r="H10" s="37">
        <v>246734</v>
      </c>
      <c r="I10" s="16">
        <f t="shared" si="3"/>
        <v>61</v>
      </c>
      <c r="J10" s="37">
        <v>303517</v>
      </c>
      <c r="K10" s="16">
        <f t="shared" si="4"/>
        <v>0</v>
      </c>
      <c r="L10" s="37">
        <v>25236</v>
      </c>
      <c r="M10" s="16">
        <f t="shared" si="5"/>
        <v>640</v>
      </c>
      <c r="N10" s="37">
        <v>215762</v>
      </c>
      <c r="O10" s="16">
        <f t="shared" si="6"/>
        <v>4</v>
      </c>
      <c r="P10" s="37">
        <f t="shared" si="10"/>
        <v>114070</v>
      </c>
      <c r="Q10" s="16">
        <f>P10-P9</f>
        <v>0</v>
      </c>
      <c r="R10" s="1">
        <v>55047</v>
      </c>
      <c r="S10" s="16">
        <f>R10-R9</f>
        <v>0</v>
      </c>
      <c r="T10" s="37">
        <v>3728</v>
      </c>
      <c r="U10" s="16">
        <f t="shared" si="9"/>
        <v>160</v>
      </c>
    </row>
    <row r="11" spans="1:24" ht="13.5" thickBot="1" x14ac:dyDescent="0.25">
      <c r="A11" s="10">
        <v>44417</v>
      </c>
      <c r="B11" s="37">
        <v>45708</v>
      </c>
      <c r="C11" s="16">
        <f t="shared" si="0"/>
        <v>960</v>
      </c>
      <c r="D11" s="37">
        <v>39746</v>
      </c>
      <c r="E11" s="16">
        <f t="shared" si="1"/>
        <v>320</v>
      </c>
      <c r="F11" s="37">
        <v>20658</v>
      </c>
      <c r="G11" s="16">
        <f t="shared" si="2"/>
        <v>60</v>
      </c>
      <c r="H11" s="37">
        <v>247694</v>
      </c>
      <c r="I11" s="16">
        <f t="shared" si="3"/>
        <v>960</v>
      </c>
      <c r="J11" s="37">
        <v>303517</v>
      </c>
      <c r="K11" s="16">
        <f t="shared" si="4"/>
        <v>0</v>
      </c>
      <c r="L11" s="37">
        <v>25240</v>
      </c>
      <c r="M11" s="16">
        <f t="shared" si="5"/>
        <v>640</v>
      </c>
      <c r="N11" s="37">
        <v>215765</v>
      </c>
      <c r="O11" s="16">
        <f t="shared" si="6"/>
        <v>3</v>
      </c>
      <c r="P11" s="37">
        <f t="shared" si="10"/>
        <v>114070</v>
      </c>
      <c r="Q11" s="16">
        <f t="shared" si="7"/>
        <v>0</v>
      </c>
      <c r="R11" s="1">
        <v>55047</v>
      </c>
      <c r="S11" s="16">
        <f t="shared" si="8"/>
        <v>0</v>
      </c>
      <c r="T11" s="37">
        <v>3729</v>
      </c>
      <c r="U11" s="16">
        <f t="shared" si="9"/>
        <v>160</v>
      </c>
    </row>
    <row r="12" spans="1:24" ht="13.5" thickBot="1" x14ac:dyDescent="0.25">
      <c r="A12" s="10">
        <v>44418</v>
      </c>
      <c r="B12" s="37">
        <f t="shared" ref="B12:B33" si="11">B11</f>
        <v>45708</v>
      </c>
      <c r="C12" s="16">
        <f t="shared" si="0"/>
        <v>0</v>
      </c>
      <c r="D12" s="37">
        <f t="shared" ref="D12:D33" si="12">D11</f>
        <v>39746</v>
      </c>
      <c r="E12" s="16">
        <f t="shared" si="1"/>
        <v>0</v>
      </c>
      <c r="F12" s="37">
        <f t="shared" ref="F12:F33" si="13">F11</f>
        <v>20658</v>
      </c>
      <c r="G12" s="16">
        <f t="shared" si="2"/>
        <v>0</v>
      </c>
      <c r="H12" s="37">
        <f t="shared" ref="H12:H33" si="14">H11</f>
        <v>247694</v>
      </c>
      <c r="I12" s="16">
        <f t="shared" si="3"/>
        <v>0</v>
      </c>
      <c r="J12" s="37">
        <v>303517</v>
      </c>
      <c r="K12" s="16">
        <f t="shared" si="4"/>
        <v>0</v>
      </c>
      <c r="L12" s="37">
        <f t="shared" ref="L12:L33" si="15">L11</f>
        <v>25240</v>
      </c>
      <c r="M12" s="16">
        <f t="shared" si="5"/>
        <v>0</v>
      </c>
      <c r="N12" s="37">
        <f t="shared" ref="N12:N33" si="16">N11</f>
        <v>215765</v>
      </c>
      <c r="O12" s="16">
        <f t="shared" si="6"/>
        <v>0</v>
      </c>
      <c r="P12" s="37">
        <f t="shared" si="10"/>
        <v>114070</v>
      </c>
      <c r="Q12" s="16">
        <f t="shared" si="7"/>
        <v>0</v>
      </c>
      <c r="R12" s="1">
        <v>55047</v>
      </c>
      <c r="S12" s="16">
        <f t="shared" si="8"/>
        <v>0</v>
      </c>
      <c r="T12" s="37">
        <f t="shared" ref="T12:T33" si="17">T11</f>
        <v>3729</v>
      </c>
      <c r="U12" s="16">
        <f t="shared" si="9"/>
        <v>0</v>
      </c>
    </row>
    <row r="13" spans="1:24" ht="13.5" thickBot="1" x14ac:dyDescent="0.25">
      <c r="A13" s="10">
        <v>44419</v>
      </c>
      <c r="B13" s="37">
        <v>45718</v>
      </c>
      <c r="C13" s="16">
        <f t="shared" si="0"/>
        <v>1600</v>
      </c>
      <c r="D13" s="37">
        <v>39752</v>
      </c>
      <c r="E13" s="16">
        <f t="shared" si="1"/>
        <v>960</v>
      </c>
      <c r="F13" s="37">
        <v>20665</v>
      </c>
      <c r="G13" s="16">
        <f t="shared" si="2"/>
        <v>140</v>
      </c>
      <c r="H13" s="37">
        <v>247700</v>
      </c>
      <c r="I13" s="16">
        <f t="shared" si="3"/>
        <v>6</v>
      </c>
      <c r="J13" s="37">
        <v>303517</v>
      </c>
      <c r="K13" s="16">
        <f t="shared" si="4"/>
        <v>0</v>
      </c>
      <c r="L13" s="37">
        <v>25248</v>
      </c>
      <c r="M13" s="16">
        <f t="shared" si="5"/>
        <v>1280</v>
      </c>
      <c r="N13" s="37">
        <v>215771</v>
      </c>
      <c r="O13" s="16">
        <f t="shared" si="6"/>
        <v>6</v>
      </c>
      <c r="P13" s="37">
        <f t="shared" si="10"/>
        <v>114070</v>
      </c>
      <c r="Q13" s="16">
        <f t="shared" si="7"/>
        <v>0</v>
      </c>
      <c r="R13" s="1">
        <v>55047</v>
      </c>
      <c r="S13" s="16">
        <f t="shared" si="8"/>
        <v>0</v>
      </c>
      <c r="T13" s="37">
        <v>3732</v>
      </c>
      <c r="U13" s="16">
        <f t="shared" si="9"/>
        <v>480</v>
      </c>
    </row>
    <row r="14" spans="1:24" ht="13.5" thickBot="1" x14ac:dyDescent="0.25">
      <c r="A14" s="10">
        <v>44420</v>
      </c>
      <c r="B14" s="37">
        <v>45722</v>
      </c>
      <c r="C14" s="16">
        <f t="shared" si="0"/>
        <v>640</v>
      </c>
      <c r="D14" s="37">
        <v>39754</v>
      </c>
      <c r="E14" s="16">
        <f t="shared" si="1"/>
        <v>320</v>
      </c>
      <c r="F14" s="37">
        <v>20668</v>
      </c>
      <c r="G14" s="16">
        <f t="shared" si="2"/>
        <v>60</v>
      </c>
      <c r="H14" s="37">
        <v>247941</v>
      </c>
      <c r="I14" s="16">
        <f t="shared" si="3"/>
        <v>241</v>
      </c>
      <c r="J14" s="37">
        <v>303517</v>
      </c>
      <c r="K14" s="16">
        <f t="shared" si="4"/>
        <v>0</v>
      </c>
      <c r="L14" s="37">
        <v>25251</v>
      </c>
      <c r="M14" s="16">
        <f t="shared" si="5"/>
        <v>480</v>
      </c>
      <c r="N14" s="37">
        <v>215774</v>
      </c>
      <c r="O14" s="16">
        <f t="shared" si="6"/>
        <v>3</v>
      </c>
      <c r="P14" s="37">
        <f t="shared" si="10"/>
        <v>114070</v>
      </c>
      <c r="Q14" s="16">
        <f t="shared" si="7"/>
        <v>0</v>
      </c>
      <c r="R14" s="1">
        <v>55047</v>
      </c>
      <c r="S14" s="16">
        <f t="shared" si="8"/>
        <v>0</v>
      </c>
      <c r="T14" s="37">
        <v>3732</v>
      </c>
      <c r="U14" s="16">
        <f>(T14-T13)*800/5</f>
        <v>0</v>
      </c>
    </row>
    <row r="15" spans="1:24" ht="13.5" thickBot="1" x14ac:dyDescent="0.25">
      <c r="A15" s="10">
        <v>44421</v>
      </c>
      <c r="B15" s="37">
        <v>45728</v>
      </c>
      <c r="C15" s="16">
        <f t="shared" si="0"/>
        <v>960</v>
      </c>
      <c r="D15" s="37">
        <v>39757</v>
      </c>
      <c r="E15" s="16">
        <f t="shared" si="1"/>
        <v>480</v>
      </c>
      <c r="F15" s="37">
        <v>20672</v>
      </c>
      <c r="G15" s="16">
        <f t="shared" si="2"/>
        <v>80</v>
      </c>
      <c r="H15" s="37">
        <v>246986</v>
      </c>
      <c r="I15" s="16">
        <f t="shared" si="3"/>
        <v>-955</v>
      </c>
      <c r="J15" s="37">
        <v>303517</v>
      </c>
      <c r="K15" s="16">
        <f t="shared" si="4"/>
        <v>0</v>
      </c>
      <c r="L15" s="37">
        <v>25254</v>
      </c>
      <c r="M15" s="16">
        <f t="shared" si="5"/>
        <v>480</v>
      </c>
      <c r="N15" s="37">
        <v>215778</v>
      </c>
      <c r="O15" s="16">
        <f t="shared" si="6"/>
        <v>4</v>
      </c>
      <c r="P15" s="37">
        <f t="shared" si="10"/>
        <v>114070</v>
      </c>
      <c r="Q15" s="16">
        <f t="shared" si="7"/>
        <v>0</v>
      </c>
      <c r="R15" s="1">
        <v>55047</v>
      </c>
      <c r="S15" s="16">
        <f t="shared" si="8"/>
        <v>0</v>
      </c>
      <c r="T15" s="37">
        <v>3733</v>
      </c>
      <c r="U15" s="16">
        <f>(T15-T14)*800/5</f>
        <v>160</v>
      </c>
      <c r="X15" t="s">
        <v>12</v>
      </c>
    </row>
    <row r="16" spans="1:24" ht="13.5" thickBot="1" x14ac:dyDescent="0.25">
      <c r="A16" s="10">
        <v>44422</v>
      </c>
      <c r="B16" s="37">
        <v>45734</v>
      </c>
      <c r="C16" s="16">
        <f t="shared" si="0"/>
        <v>960</v>
      </c>
      <c r="D16" s="37">
        <v>39759</v>
      </c>
      <c r="E16" s="16">
        <f t="shared" si="1"/>
        <v>320</v>
      </c>
      <c r="F16" s="37">
        <v>20675</v>
      </c>
      <c r="G16" s="16">
        <f t="shared" si="2"/>
        <v>60</v>
      </c>
      <c r="H16" s="37">
        <v>247041</v>
      </c>
      <c r="I16" s="16">
        <f t="shared" si="3"/>
        <v>55</v>
      </c>
      <c r="J16" s="37">
        <v>303517</v>
      </c>
      <c r="K16" s="16">
        <f t="shared" si="4"/>
        <v>0</v>
      </c>
      <c r="L16" s="37">
        <v>25256</v>
      </c>
      <c r="M16" s="16">
        <f t="shared" si="5"/>
        <v>320</v>
      </c>
      <c r="N16" s="37">
        <v>215781</v>
      </c>
      <c r="O16" s="16">
        <f t="shared" si="6"/>
        <v>3</v>
      </c>
      <c r="P16" s="37">
        <v>117417</v>
      </c>
      <c r="Q16" s="16">
        <f t="shared" si="7"/>
        <v>3347</v>
      </c>
      <c r="R16" s="1">
        <v>55047</v>
      </c>
      <c r="S16" s="16">
        <f t="shared" si="8"/>
        <v>0</v>
      </c>
      <c r="T16" s="37">
        <v>3734</v>
      </c>
      <c r="U16" s="16">
        <f t="shared" si="9"/>
        <v>160</v>
      </c>
      <c r="W16" t="s">
        <v>12</v>
      </c>
    </row>
    <row r="17" spans="1:23" ht="13.5" thickBot="1" x14ac:dyDescent="0.25">
      <c r="A17" s="10">
        <v>44423</v>
      </c>
      <c r="B17" s="37">
        <f t="shared" si="11"/>
        <v>45734</v>
      </c>
      <c r="C17" s="16">
        <f t="shared" si="0"/>
        <v>0</v>
      </c>
      <c r="D17" s="37">
        <f t="shared" si="12"/>
        <v>39759</v>
      </c>
      <c r="E17" s="16">
        <f t="shared" si="1"/>
        <v>0</v>
      </c>
      <c r="F17" s="37">
        <f t="shared" si="13"/>
        <v>20675</v>
      </c>
      <c r="G17" s="16">
        <f t="shared" si="2"/>
        <v>0</v>
      </c>
      <c r="H17" s="37">
        <f t="shared" si="14"/>
        <v>247041</v>
      </c>
      <c r="I17" s="16">
        <f t="shared" si="3"/>
        <v>0</v>
      </c>
      <c r="J17" s="37">
        <v>303517</v>
      </c>
      <c r="K17" s="16">
        <f t="shared" si="4"/>
        <v>0</v>
      </c>
      <c r="L17" s="37">
        <f t="shared" si="15"/>
        <v>25256</v>
      </c>
      <c r="M17" s="16">
        <f t="shared" si="5"/>
        <v>0</v>
      </c>
      <c r="N17" s="37">
        <f t="shared" si="16"/>
        <v>215781</v>
      </c>
      <c r="O17" s="16">
        <f t="shared" si="6"/>
        <v>0</v>
      </c>
      <c r="P17" s="37">
        <f t="shared" si="10"/>
        <v>117417</v>
      </c>
      <c r="Q17" s="16">
        <f t="shared" si="7"/>
        <v>0</v>
      </c>
      <c r="R17" s="1">
        <v>55047</v>
      </c>
      <c r="S17" s="16">
        <f>S16</f>
        <v>0</v>
      </c>
      <c r="T17" s="37">
        <f t="shared" si="17"/>
        <v>3734</v>
      </c>
      <c r="U17" s="16">
        <f t="shared" si="9"/>
        <v>0</v>
      </c>
    </row>
    <row r="18" spans="1:23" ht="13.5" thickBot="1" x14ac:dyDescent="0.25">
      <c r="A18" s="10">
        <v>44424</v>
      </c>
      <c r="B18" s="37">
        <f t="shared" si="11"/>
        <v>45734</v>
      </c>
      <c r="C18" s="16">
        <f t="shared" si="0"/>
        <v>0</v>
      </c>
      <c r="D18" s="37">
        <f t="shared" si="12"/>
        <v>39759</v>
      </c>
      <c r="E18" s="16">
        <f t="shared" si="1"/>
        <v>0</v>
      </c>
      <c r="F18" s="37">
        <f t="shared" si="13"/>
        <v>20675</v>
      </c>
      <c r="G18" s="16">
        <f t="shared" si="2"/>
        <v>0</v>
      </c>
      <c r="H18" s="37">
        <f t="shared" si="14"/>
        <v>247041</v>
      </c>
      <c r="I18" s="16">
        <f t="shared" si="3"/>
        <v>0</v>
      </c>
      <c r="J18" s="37">
        <v>303517</v>
      </c>
      <c r="K18" s="16">
        <f t="shared" si="4"/>
        <v>0</v>
      </c>
      <c r="L18" s="37">
        <f t="shared" si="15"/>
        <v>25256</v>
      </c>
      <c r="M18" s="16">
        <f t="shared" si="5"/>
        <v>0</v>
      </c>
      <c r="N18" s="37">
        <f t="shared" si="16"/>
        <v>215781</v>
      </c>
      <c r="O18" s="16">
        <f t="shared" si="6"/>
        <v>0</v>
      </c>
      <c r="P18" s="37">
        <f t="shared" si="10"/>
        <v>117417</v>
      </c>
      <c r="Q18" s="16">
        <f t="shared" si="7"/>
        <v>0</v>
      </c>
      <c r="R18" s="1">
        <v>55047</v>
      </c>
      <c r="S18" s="16">
        <f t="shared" si="8"/>
        <v>0</v>
      </c>
      <c r="T18" s="37">
        <f t="shared" si="17"/>
        <v>3734</v>
      </c>
      <c r="U18" s="16">
        <f t="shared" si="9"/>
        <v>0</v>
      </c>
    </row>
    <row r="19" spans="1:23" ht="13.5" thickBot="1" x14ac:dyDescent="0.25">
      <c r="A19" s="10">
        <v>44425</v>
      </c>
      <c r="B19" s="37">
        <f t="shared" si="11"/>
        <v>45734</v>
      </c>
      <c r="C19" s="16">
        <f t="shared" si="0"/>
        <v>0</v>
      </c>
      <c r="D19" s="37">
        <f t="shared" si="12"/>
        <v>39759</v>
      </c>
      <c r="E19" s="16">
        <f t="shared" si="1"/>
        <v>0</v>
      </c>
      <c r="F19" s="37">
        <f t="shared" si="13"/>
        <v>20675</v>
      </c>
      <c r="G19" s="16">
        <f t="shared" si="2"/>
        <v>0</v>
      </c>
      <c r="H19" s="37">
        <f t="shared" si="14"/>
        <v>247041</v>
      </c>
      <c r="I19" s="16">
        <f t="shared" si="3"/>
        <v>0</v>
      </c>
      <c r="J19" s="37">
        <v>303517</v>
      </c>
      <c r="K19" s="16">
        <f t="shared" si="4"/>
        <v>0</v>
      </c>
      <c r="L19" s="37">
        <f t="shared" si="15"/>
        <v>25256</v>
      </c>
      <c r="M19" s="16">
        <f t="shared" si="5"/>
        <v>0</v>
      </c>
      <c r="N19" s="37">
        <f t="shared" si="16"/>
        <v>215781</v>
      </c>
      <c r="O19" s="16">
        <f t="shared" si="6"/>
        <v>0</v>
      </c>
      <c r="P19" s="37">
        <f t="shared" si="10"/>
        <v>117417</v>
      </c>
      <c r="Q19" s="16">
        <f t="shared" si="7"/>
        <v>0</v>
      </c>
      <c r="R19" s="1">
        <v>55047</v>
      </c>
      <c r="S19" s="16">
        <f t="shared" si="8"/>
        <v>0</v>
      </c>
      <c r="T19" s="37">
        <f t="shared" si="17"/>
        <v>3734</v>
      </c>
      <c r="U19" s="16">
        <f t="shared" si="9"/>
        <v>0</v>
      </c>
      <c r="W19" t="s">
        <v>12</v>
      </c>
    </row>
    <row r="20" spans="1:23" ht="13.5" thickBot="1" x14ac:dyDescent="0.25">
      <c r="A20" s="10">
        <v>44426</v>
      </c>
      <c r="B20" s="37">
        <f t="shared" si="11"/>
        <v>45734</v>
      </c>
      <c r="C20" s="16">
        <f t="shared" si="0"/>
        <v>0</v>
      </c>
      <c r="D20" s="37">
        <f t="shared" si="12"/>
        <v>39759</v>
      </c>
      <c r="E20" s="16">
        <f t="shared" si="1"/>
        <v>0</v>
      </c>
      <c r="F20" s="37">
        <f t="shared" si="13"/>
        <v>20675</v>
      </c>
      <c r="G20" s="16">
        <f t="shared" si="2"/>
        <v>0</v>
      </c>
      <c r="H20" s="37">
        <f t="shared" si="14"/>
        <v>247041</v>
      </c>
      <c r="I20" s="16">
        <f t="shared" si="3"/>
        <v>0</v>
      </c>
      <c r="J20" s="37">
        <v>303517</v>
      </c>
      <c r="K20" s="16">
        <v>0</v>
      </c>
      <c r="L20" s="37">
        <f t="shared" si="15"/>
        <v>25256</v>
      </c>
      <c r="M20" s="16">
        <f t="shared" si="5"/>
        <v>0</v>
      </c>
      <c r="N20" s="37">
        <f t="shared" si="16"/>
        <v>215781</v>
      </c>
      <c r="O20" s="16">
        <f t="shared" si="6"/>
        <v>0</v>
      </c>
      <c r="P20" s="37">
        <f t="shared" si="10"/>
        <v>117417</v>
      </c>
      <c r="Q20" s="16">
        <f t="shared" si="7"/>
        <v>0</v>
      </c>
      <c r="R20" s="1">
        <v>55047</v>
      </c>
      <c r="S20" s="16">
        <f t="shared" si="8"/>
        <v>0</v>
      </c>
      <c r="T20" s="37">
        <f t="shared" si="17"/>
        <v>3734</v>
      </c>
      <c r="U20" s="16">
        <f t="shared" si="9"/>
        <v>0</v>
      </c>
    </row>
    <row r="21" spans="1:23" ht="13.5" thickBot="1" x14ac:dyDescent="0.25">
      <c r="A21" s="10">
        <v>44427</v>
      </c>
      <c r="B21" s="37">
        <f t="shared" si="11"/>
        <v>45734</v>
      </c>
      <c r="C21" s="16">
        <f t="shared" si="0"/>
        <v>0</v>
      </c>
      <c r="D21" s="37">
        <f t="shared" si="12"/>
        <v>39759</v>
      </c>
      <c r="E21" s="16">
        <f t="shared" si="1"/>
        <v>0</v>
      </c>
      <c r="F21" s="37">
        <f t="shared" si="13"/>
        <v>20675</v>
      </c>
      <c r="G21" s="16">
        <f t="shared" si="2"/>
        <v>0</v>
      </c>
      <c r="H21" s="37">
        <f t="shared" si="14"/>
        <v>247041</v>
      </c>
      <c r="I21" s="16">
        <f t="shared" si="3"/>
        <v>0</v>
      </c>
      <c r="J21" s="37">
        <v>303517</v>
      </c>
      <c r="K21" s="16">
        <f t="shared" si="4"/>
        <v>0</v>
      </c>
      <c r="L21" s="37">
        <f t="shared" si="15"/>
        <v>25256</v>
      </c>
      <c r="M21" s="16">
        <f t="shared" si="5"/>
        <v>0</v>
      </c>
      <c r="N21" s="37">
        <f t="shared" si="16"/>
        <v>215781</v>
      </c>
      <c r="O21" s="16">
        <f t="shared" si="6"/>
        <v>0</v>
      </c>
      <c r="P21" s="37">
        <f t="shared" si="10"/>
        <v>117417</v>
      </c>
      <c r="Q21" s="16">
        <f t="shared" si="7"/>
        <v>0</v>
      </c>
      <c r="R21" s="1">
        <v>55047</v>
      </c>
      <c r="S21" s="16">
        <f t="shared" si="8"/>
        <v>0</v>
      </c>
      <c r="T21" s="37">
        <f t="shared" si="17"/>
        <v>3734</v>
      </c>
      <c r="U21" s="16">
        <f t="shared" si="9"/>
        <v>0</v>
      </c>
    </row>
    <row r="22" spans="1:23" ht="13.5" thickBot="1" x14ac:dyDescent="0.25">
      <c r="A22" s="10">
        <v>44428</v>
      </c>
      <c r="B22" s="37">
        <f t="shared" si="11"/>
        <v>45734</v>
      </c>
      <c r="C22" s="16">
        <f t="shared" si="0"/>
        <v>0</v>
      </c>
      <c r="D22" s="37">
        <f t="shared" si="12"/>
        <v>39759</v>
      </c>
      <c r="E22" s="16">
        <f t="shared" si="1"/>
        <v>0</v>
      </c>
      <c r="F22" s="37">
        <f t="shared" si="13"/>
        <v>20675</v>
      </c>
      <c r="G22" s="16">
        <f t="shared" si="2"/>
        <v>0</v>
      </c>
      <c r="H22" s="37">
        <f t="shared" si="14"/>
        <v>247041</v>
      </c>
      <c r="I22" s="16">
        <f t="shared" si="3"/>
        <v>0</v>
      </c>
      <c r="J22" s="37">
        <v>303517</v>
      </c>
      <c r="K22" s="16">
        <f t="shared" si="4"/>
        <v>0</v>
      </c>
      <c r="L22" s="37">
        <f t="shared" si="15"/>
        <v>25256</v>
      </c>
      <c r="M22" s="16">
        <f t="shared" si="5"/>
        <v>0</v>
      </c>
      <c r="N22" s="37">
        <f t="shared" si="16"/>
        <v>215781</v>
      </c>
      <c r="O22" s="16">
        <f t="shared" si="6"/>
        <v>0</v>
      </c>
      <c r="P22" s="37">
        <f t="shared" si="10"/>
        <v>117417</v>
      </c>
      <c r="Q22" s="16">
        <f>P22-P21</f>
        <v>0</v>
      </c>
      <c r="R22" s="1">
        <v>55047</v>
      </c>
      <c r="S22" s="16">
        <f t="shared" si="8"/>
        <v>0</v>
      </c>
      <c r="T22" s="37">
        <f t="shared" si="17"/>
        <v>3734</v>
      </c>
      <c r="U22" s="16">
        <f t="shared" si="9"/>
        <v>0</v>
      </c>
    </row>
    <row r="23" spans="1:23" ht="13.5" thickBot="1" x14ac:dyDescent="0.25">
      <c r="A23" s="10">
        <v>44429</v>
      </c>
      <c r="B23" s="37">
        <f t="shared" si="11"/>
        <v>45734</v>
      </c>
      <c r="C23" s="16">
        <f t="shared" si="0"/>
        <v>0</v>
      </c>
      <c r="D23" s="37">
        <f t="shared" si="12"/>
        <v>39759</v>
      </c>
      <c r="E23" s="16">
        <f t="shared" si="1"/>
        <v>0</v>
      </c>
      <c r="F23" s="37">
        <f t="shared" si="13"/>
        <v>20675</v>
      </c>
      <c r="G23" s="16">
        <f t="shared" si="2"/>
        <v>0</v>
      </c>
      <c r="H23" s="37">
        <f t="shared" si="14"/>
        <v>247041</v>
      </c>
      <c r="I23" s="16">
        <f t="shared" si="3"/>
        <v>0</v>
      </c>
      <c r="J23" s="37">
        <v>303517</v>
      </c>
      <c r="K23" s="16">
        <f t="shared" si="4"/>
        <v>0</v>
      </c>
      <c r="L23" s="37">
        <f t="shared" si="15"/>
        <v>25256</v>
      </c>
      <c r="M23" s="16">
        <f t="shared" si="5"/>
        <v>0</v>
      </c>
      <c r="N23" s="37">
        <f t="shared" si="16"/>
        <v>215781</v>
      </c>
      <c r="O23" s="16">
        <f t="shared" si="6"/>
        <v>0</v>
      </c>
      <c r="P23" s="37">
        <f t="shared" si="10"/>
        <v>117417</v>
      </c>
      <c r="Q23" s="16">
        <f t="shared" si="7"/>
        <v>0</v>
      </c>
      <c r="R23" s="1">
        <v>55047</v>
      </c>
      <c r="S23" s="16">
        <f t="shared" si="8"/>
        <v>0</v>
      </c>
      <c r="T23" s="37">
        <f t="shared" si="17"/>
        <v>3734</v>
      </c>
      <c r="U23" s="16">
        <f t="shared" si="9"/>
        <v>0</v>
      </c>
    </row>
    <row r="24" spans="1:23" s="138" customFormat="1" ht="13.5" thickBot="1" x14ac:dyDescent="0.25">
      <c r="A24" s="10">
        <v>44430</v>
      </c>
      <c r="B24" s="37">
        <f t="shared" si="11"/>
        <v>45734</v>
      </c>
      <c r="C24" s="16">
        <f t="shared" si="0"/>
        <v>0</v>
      </c>
      <c r="D24" s="37">
        <f t="shared" si="12"/>
        <v>39759</v>
      </c>
      <c r="E24" s="16">
        <f t="shared" si="1"/>
        <v>0</v>
      </c>
      <c r="F24" s="37">
        <f t="shared" si="13"/>
        <v>20675</v>
      </c>
      <c r="G24" s="16">
        <f t="shared" si="2"/>
        <v>0</v>
      </c>
      <c r="H24" s="37">
        <f t="shared" si="14"/>
        <v>247041</v>
      </c>
      <c r="I24" s="16">
        <f t="shared" si="3"/>
        <v>0</v>
      </c>
      <c r="J24" s="37">
        <v>303517</v>
      </c>
      <c r="K24" s="16">
        <f t="shared" si="4"/>
        <v>0</v>
      </c>
      <c r="L24" s="37">
        <f t="shared" si="15"/>
        <v>25256</v>
      </c>
      <c r="M24" s="16">
        <f t="shared" si="5"/>
        <v>0</v>
      </c>
      <c r="N24" s="37">
        <f t="shared" si="16"/>
        <v>215781</v>
      </c>
      <c r="O24" s="16">
        <f t="shared" si="6"/>
        <v>0</v>
      </c>
      <c r="P24" s="37">
        <f t="shared" si="10"/>
        <v>117417</v>
      </c>
      <c r="Q24" s="16">
        <f t="shared" si="7"/>
        <v>0</v>
      </c>
      <c r="R24" s="1">
        <v>55047</v>
      </c>
      <c r="S24" s="16">
        <f t="shared" si="8"/>
        <v>0</v>
      </c>
      <c r="T24" s="37">
        <f t="shared" si="17"/>
        <v>3734</v>
      </c>
      <c r="U24" s="16">
        <f t="shared" si="9"/>
        <v>0</v>
      </c>
    </row>
    <row r="25" spans="1:23" ht="13.5" thickBot="1" x14ac:dyDescent="0.25">
      <c r="A25" s="10">
        <v>44431</v>
      </c>
      <c r="B25" s="37">
        <f t="shared" si="11"/>
        <v>45734</v>
      </c>
      <c r="C25" s="16">
        <f t="shared" si="0"/>
        <v>0</v>
      </c>
      <c r="D25" s="37">
        <f t="shared" si="12"/>
        <v>39759</v>
      </c>
      <c r="E25" s="16">
        <f t="shared" si="1"/>
        <v>0</v>
      </c>
      <c r="F25" s="37">
        <f t="shared" si="13"/>
        <v>20675</v>
      </c>
      <c r="G25" s="16">
        <f t="shared" si="2"/>
        <v>0</v>
      </c>
      <c r="H25" s="37">
        <f t="shared" si="14"/>
        <v>247041</v>
      </c>
      <c r="I25" s="16">
        <f t="shared" si="3"/>
        <v>0</v>
      </c>
      <c r="J25" s="37">
        <v>303517</v>
      </c>
      <c r="K25" s="16">
        <f t="shared" si="4"/>
        <v>0</v>
      </c>
      <c r="L25" s="37">
        <f t="shared" si="15"/>
        <v>25256</v>
      </c>
      <c r="M25" s="16">
        <f t="shared" si="5"/>
        <v>0</v>
      </c>
      <c r="N25" s="37">
        <f t="shared" si="16"/>
        <v>215781</v>
      </c>
      <c r="O25" s="16">
        <f t="shared" si="6"/>
        <v>0</v>
      </c>
      <c r="P25" s="37">
        <f t="shared" si="10"/>
        <v>117417</v>
      </c>
      <c r="Q25" s="16">
        <f t="shared" si="7"/>
        <v>0</v>
      </c>
      <c r="R25" s="1">
        <v>55047</v>
      </c>
      <c r="S25" s="16">
        <f t="shared" si="8"/>
        <v>0</v>
      </c>
      <c r="T25" s="37">
        <f t="shared" si="17"/>
        <v>3734</v>
      </c>
      <c r="U25" s="16">
        <f t="shared" si="9"/>
        <v>0</v>
      </c>
      <c r="V25" t="s">
        <v>12</v>
      </c>
    </row>
    <row r="26" spans="1:23" ht="12.75" customHeight="1" thickBot="1" x14ac:dyDescent="0.25">
      <c r="A26" s="10">
        <v>44432</v>
      </c>
      <c r="B26" s="37">
        <f t="shared" si="11"/>
        <v>45734</v>
      </c>
      <c r="C26" s="16">
        <f t="shared" si="0"/>
        <v>0</v>
      </c>
      <c r="D26" s="37">
        <f t="shared" si="12"/>
        <v>39759</v>
      </c>
      <c r="E26" s="16">
        <f t="shared" si="1"/>
        <v>0</v>
      </c>
      <c r="F26" s="37">
        <f t="shared" si="13"/>
        <v>20675</v>
      </c>
      <c r="G26" s="16">
        <f t="shared" si="2"/>
        <v>0</v>
      </c>
      <c r="H26" s="37">
        <f t="shared" si="14"/>
        <v>247041</v>
      </c>
      <c r="I26" s="16">
        <f t="shared" si="3"/>
        <v>0</v>
      </c>
      <c r="J26" s="37">
        <v>303517</v>
      </c>
      <c r="K26" s="16">
        <f t="shared" si="4"/>
        <v>0</v>
      </c>
      <c r="L26" s="37">
        <f t="shared" si="15"/>
        <v>25256</v>
      </c>
      <c r="M26" s="16">
        <f t="shared" si="5"/>
        <v>0</v>
      </c>
      <c r="N26" s="37">
        <f t="shared" si="16"/>
        <v>215781</v>
      </c>
      <c r="O26" s="16">
        <f t="shared" si="6"/>
        <v>0</v>
      </c>
      <c r="P26" s="37">
        <f t="shared" si="10"/>
        <v>117417</v>
      </c>
      <c r="Q26" s="16">
        <f t="shared" si="7"/>
        <v>0</v>
      </c>
      <c r="R26" s="1">
        <v>55047</v>
      </c>
      <c r="S26" s="16">
        <f t="shared" si="8"/>
        <v>0</v>
      </c>
      <c r="T26" s="37">
        <f t="shared" si="17"/>
        <v>3734</v>
      </c>
      <c r="U26" s="16">
        <f t="shared" si="9"/>
        <v>0</v>
      </c>
      <c r="W26" t="s">
        <v>12</v>
      </c>
    </row>
    <row r="27" spans="1:23" ht="13.5" thickBot="1" x14ac:dyDescent="0.25">
      <c r="A27" s="10">
        <v>44433</v>
      </c>
      <c r="B27" s="37">
        <f t="shared" si="11"/>
        <v>45734</v>
      </c>
      <c r="C27" s="16">
        <f t="shared" si="0"/>
        <v>0</v>
      </c>
      <c r="D27" s="37">
        <f t="shared" si="12"/>
        <v>39759</v>
      </c>
      <c r="E27" s="16">
        <f t="shared" si="1"/>
        <v>0</v>
      </c>
      <c r="F27" s="37">
        <f t="shared" si="13"/>
        <v>20675</v>
      </c>
      <c r="G27" s="16">
        <f t="shared" si="2"/>
        <v>0</v>
      </c>
      <c r="H27" s="37">
        <f t="shared" si="14"/>
        <v>247041</v>
      </c>
      <c r="I27" s="16">
        <f t="shared" si="3"/>
        <v>0</v>
      </c>
      <c r="J27" s="37">
        <v>303517</v>
      </c>
      <c r="K27" s="16">
        <f t="shared" si="4"/>
        <v>0</v>
      </c>
      <c r="L27" s="37">
        <f t="shared" si="15"/>
        <v>25256</v>
      </c>
      <c r="M27" s="16">
        <f t="shared" si="5"/>
        <v>0</v>
      </c>
      <c r="N27" s="37">
        <f t="shared" si="16"/>
        <v>215781</v>
      </c>
      <c r="O27" s="16">
        <f t="shared" si="6"/>
        <v>0</v>
      </c>
      <c r="P27" s="37">
        <f t="shared" si="10"/>
        <v>117417</v>
      </c>
      <c r="Q27" s="16">
        <f t="shared" si="7"/>
        <v>0</v>
      </c>
      <c r="R27" s="1">
        <v>55047</v>
      </c>
      <c r="S27" s="16">
        <f t="shared" si="8"/>
        <v>0</v>
      </c>
      <c r="T27" s="37">
        <f t="shared" si="17"/>
        <v>3734</v>
      </c>
      <c r="U27" s="16">
        <f t="shared" si="9"/>
        <v>0</v>
      </c>
    </row>
    <row r="28" spans="1:23" ht="13.5" thickBot="1" x14ac:dyDescent="0.25">
      <c r="A28" s="10">
        <v>44434</v>
      </c>
      <c r="B28" s="37">
        <f t="shared" si="11"/>
        <v>45734</v>
      </c>
      <c r="C28" s="16">
        <f t="shared" si="0"/>
        <v>0</v>
      </c>
      <c r="D28" s="37">
        <f t="shared" si="12"/>
        <v>39759</v>
      </c>
      <c r="E28" s="16">
        <f t="shared" si="1"/>
        <v>0</v>
      </c>
      <c r="F28" s="37">
        <f t="shared" si="13"/>
        <v>20675</v>
      </c>
      <c r="G28" s="16">
        <f t="shared" si="2"/>
        <v>0</v>
      </c>
      <c r="H28" s="37">
        <f t="shared" si="14"/>
        <v>247041</v>
      </c>
      <c r="I28" s="16">
        <f t="shared" si="3"/>
        <v>0</v>
      </c>
      <c r="J28" s="37">
        <v>303517</v>
      </c>
      <c r="K28" s="16">
        <f t="shared" si="4"/>
        <v>0</v>
      </c>
      <c r="L28" s="37">
        <f t="shared" si="15"/>
        <v>25256</v>
      </c>
      <c r="M28" s="16">
        <f t="shared" si="5"/>
        <v>0</v>
      </c>
      <c r="N28" s="37">
        <f t="shared" si="16"/>
        <v>215781</v>
      </c>
      <c r="O28" s="16">
        <f t="shared" si="6"/>
        <v>0</v>
      </c>
      <c r="P28" s="37">
        <f t="shared" si="10"/>
        <v>117417</v>
      </c>
      <c r="Q28" s="17">
        <f t="shared" si="7"/>
        <v>0</v>
      </c>
      <c r="R28" s="1">
        <v>55047</v>
      </c>
      <c r="S28" s="17">
        <f t="shared" si="8"/>
        <v>0</v>
      </c>
      <c r="T28" s="37">
        <f t="shared" si="17"/>
        <v>3734</v>
      </c>
      <c r="U28" s="16">
        <f t="shared" si="9"/>
        <v>0</v>
      </c>
    </row>
    <row r="29" spans="1:23" ht="13.5" thickBot="1" x14ac:dyDescent="0.25">
      <c r="A29" s="10">
        <v>44435</v>
      </c>
      <c r="B29" s="37">
        <f t="shared" si="11"/>
        <v>45734</v>
      </c>
      <c r="C29" s="16">
        <f t="shared" si="0"/>
        <v>0</v>
      </c>
      <c r="D29" s="37">
        <f t="shared" si="12"/>
        <v>39759</v>
      </c>
      <c r="E29" s="16">
        <f t="shared" si="1"/>
        <v>0</v>
      </c>
      <c r="F29" s="37">
        <f t="shared" si="13"/>
        <v>20675</v>
      </c>
      <c r="G29" s="16">
        <f t="shared" si="2"/>
        <v>0</v>
      </c>
      <c r="H29" s="37">
        <f t="shared" si="14"/>
        <v>247041</v>
      </c>
      <c r="I29" s="16">
        <f t="shared" si="3"/>
        <v>0</v>
      </c>
      <c r="J29" s="37">
        <v>303517</v>
      </c>
      <c r="K29" s="16">
        <f t="shared" si="4"/>
        <v>0</v>
      </c>
      <c r="L29" s="37">
        <f t="shared" si="15"/>
        <v>25256</v>
      </c>
      <c r="M29" s="16">
        <f t="shared" si="5"/>
        <v>0</v>
      </c>
      <c r="N29" s="37">
        <f t="shared" si="16"/>
        <v>215781</v>
      </c>
      <c r="O29" s="16">
        <f t="shared" si="6"/>
        <v>0</v>
      </c>
      <c r="P29" s="37">
        <f t="shared" si="10"/>
        <v>117417</v>
      </c>
      <c r="Q29" s="16">
        <f t="shared" si="7"/>
        <v>0</v>
      </c>
      <c r="R29" s="1">
        <v>55047</v>
      </c>
      <c r="S29" s="16">
        <f t="shared" si="8"/>
        <v>0</v>
      </c>
      <c r="T29" s="37">
        <f t="shared" si="17"/>
        <v>3734</v>
      </c>
      <c r="U29" s="16">
        <f t="shared" si="9"/>
        <v>0</v>
      </c>
    </row>
    <row r="30" spans="1:23" ht="13.5" thickBot="1" x14ac:dyDescent="0.25">
      <c r="A30" s="10">
        <v>44436</v>
      </c>
      <c r="B30" s="37">
        <f t="shared" si="11"/>
        <v>45734</v>
      </c>
      <c r="C30" s="16">
        <f t="shared" si="0"/>
        <v>0</v>
      </c>
      <c r="D30" s="37">
        <f t="shared" si="12"/>
        <v>39759</v>
      </c>
      <c r="E30" s="16">
        <f t="shared" si="1"/>
        <v>0</v>
      </c>
      <c r="F30" s="37">
        <f t="shared" si="13"/>
        <v>20675</v>
      </c>
      <c r="G30" s="16">
        <f t="shared" si="2"/>
        <v>0</v>
      </c>
      <c r="H30" s="37">
        <f t="shared" si="14"/>
        <v>247041</v>
      </c>
      <c r="I30" s="16">
        <f t="shared" si="3"/>
        <v>0</v>
      </c>
      <c r="J30" s="37">
        <v>303517</v>
      </c>
      <c r="K30" s="16">
        <f t="shared" si="4"/>
        <v>0</v>
      </c>
      <c r="L30" s="37">
        <f t="shared" si="15"/>
        <v>25256</v>
      </c>
      <c r="M30" s="16">
        <f t="shared" si="5"/>
        <v>0</v>
      </c>
      <c r="N30" s="37">
        <f t="shared" si="16"/>
        <v>215781</v>
      </c>
      <c r="O30" s="16">
        <f t="shared" si="6"/>
        <v>0</v>
      </c>
      <c r="P30" s="37">
        <f t="shared" si="10"/>
        <v>117417</v>
      </c>
      <c r="Q30" s="16">
        <f t="shared" si="7"/>
        <v>0</v>
      </c>
      <c r="R30" s="1">
        <v>55047</v>
      </c>
      <c r="S30" s="16">
        <f t="shared" si="8"/>
        <v>0</v>
      </c>
      <c r="T30" s="37">
        <f t="shared" si="17"/>
        <v>3734</v>
      </c>
      <c r="U30" s="16">
        <f t="shared" si="9"/>
        <v>0</v>
      </c>
    </row>
    <row r="31" spans="1:23" ht="13.5" thickBot="1" x14ac:dyDescent="0.25">
      <c r="A31" s="10">
        <v>44437</v>
      </c>
      <c r="B31" s="37">
        <f t="shared" si="11"/>
        <v>45734</v>
      </c>
      <c r="C31" s="16">
        <f t="shared" si="0"/>
        <v>0</v>
      </c>
      <c r="D31" s="37">
        <f t="shared" si="12"/>
        <v>39759</v>
      </c>
      <c r="E31" s="16">
        <f t="shared" si="1"/>
        <v>0</v>
      </c>
      <c r="F31" s="37">
        <f t="shared" si="13"/>
        <v>20675</v>
      </c>
      <c r="G31" s="16">
        <f t="shared" si="2"/>
        <v>0</v>
      </c>
      <c r="H31" s="37">
        <f t="shared" si="14"/>
        <v>247041</v>
      </c>
      <c r="I31" s="16">
        <f t="shared" si="3"/>
        <v>0</v>
      </c>
      <c r="J31" s="37">
        <v>303517</v>
      </c>
      <c r="K31" s="16">
        <f t="shared" si="4"/>
        <v>0</v>
      </c>
      <c r="L31" s="37">
        <f t="shared" si="15"/>
        <v>25256</v>
      </c>
      <c r="M31" s="16">
        <f t="shared" si="5"/>
        <v>0</v>
      </c>
      <c r="N31" s="37">
        <f t="shared" si="16"/>
        <v>215781</v>
      </c>
      <c r="O31" s="16">
        <f t="shared" si="6"/>
        <v>0</v>
      </c>
      <c r="P31" s="37">
        <f t="shared" si="10"/>
        <v>117417</v>
      </c>
      <c r="Q31" s="16">
        <f t="shared" si="7"/>
        <v>0</v>
      </c>
      <c r="R31" s="1">
        <v>55047</v>
      </c>
      <c r="S31" s="16">
        <f t="shared" si="8"/>
        <v>0</v>
      </c>
      <c r="T31" s="37">
        <f t="shared" si="17"/>
        <v>3734</v>
      </c>
      <c r="U31" s="16">
        <f t="shared" si="9"/>
        <v>0</v>
      </c>
    </row>
    <row r="32" spans="1:23" ht="15" customHeight="1" thickBot="1" x14ac:dyDescent="0.25">
      <c r="A32" s="10">
        <v>44438</v>
      </c>
      <c r="B32" s="37">
        <f t="shared" si="11"/>
        <v>45734</v>
      </c>
      <c r="C32" s="16">
        <f t="shared" si="0"/>
        <v>0</v>
      </c>
      <c r="D32" s="37">
        <f t="shared" si="12"/>
        <v>39759</v>
      </c>
      <c r="E32" s="16">
        <f t="shared" si="1"/>
        <v>0</v>
      </c>
      <c r="F32" s="37">
        <f t="shared" si="13"/>
        <v>20675</v>
      </c>
      <c r="G32" s="16">
        <f t="shared" si="2"/>
        <v>0</v>
      </c>
      <c r="H32" s="37">
        <f t="shared" si="14"/>
        <v>247041</v>
      </c>
      <c r="I32" s="16">
        <f t="shared" si="3"/>
        <v>0</v>
      </c>
      <c r="J32" s="37">
        <v>303517</v>
      </c>
      <c r="K32" s="16">
        <f t="shared" si="4"/>
        <v>0</v>
      </c>
      <c r="L32" s="37">
        <f t="shared" si="15"/>
        <v>25256</v>
      </c>
      <c r="M32" s="16">
        <f t="shared" si="5"/>
        <v>0</v>
      </c>
      <c r="N32" s="37">
        <f t="shared" si="16"/>
        <v>215781</v>
      </c>
      <c r="O32" s="16">
        <f t="shared" si="6"/>
        <v>0</v>
      </c>
      <c r="P32" s="37">
        <f t="shared" si="10"/>
        <v>117417</v>
      </c>
      <c r="Q32" s="16">
        <f t="shared" si="7"/>
        <v>0</v>
      </c>
      <c r="R32" s="1">
        <v>55047</v>
      </c>
      <c r="S32" s="16">
        <f t="shared" si="8"/>
        <v>0</v>
      </c>
      <c r="T32" s="37">
        <f t="shared" si="17"/>
        <v>3734</v>
      </c>
      <c r="U32" s="16">
        <f t="shared" si="9"/>
        <v>0</v>
      </c>
      <c r="V32" t="s">
        <v>12</v>
      </c>
    </row>
    <row r="33" spans="1:21" ht="13.5" thickBot="1" x14ac:dyDescent="0.25">
      <c r="A33" s="10">
        <v>44439</v>
      </c>
      <c r="B33" s="37">
        <f t="shared" si="11"/>
        <v>45734</v>
      </c>
      <c r="C33" s="16">
        <f t="shared" si="0"/>
        <v>0</v>
      </c>
      <c r="D33" s="37">
        <f t="shared" si="12"/>
        <v>39759</v>
      </c>
      <c r="E33" s="16">
        <f t="shared" si="1"/>
        <v>0</v>
      </c>
      <c r="F33" s="37">
        <f t="shared" si="13"/>
        <v>20675</v>
      </c>
      <c r="G33" s="16">
        <f t="shared" si="2"/>
        <v>0</v>
      </c>
      <c r="H33" s="37">
        <f t="shared" si="14"/>
        <v>247041</v>
      </c>
      <c r="I33" s="16">
        <f t="shared" si="3"/>
        <v>0</v>
      </c>
      <c r="J33" s="37">
        <v>303517</v>
      </c>
      <c r="K33" s="16">
        <f t="shared" si="4"/>
        <v>0</v>
      </c>
      <c r="L33" s="37">
        <f t="shared" si="15"/>
        <v>25256</v>
      </c>
      <c r="M33" s="16">
        <f t="shared" si="5"/>
        <v>0</v>
      </c>
      <c r="N33" s="37">
        <f t="shared" si="16"/>
        <v>215781</v>
      </c>
      <c r="O33" s="16">
        <f t="shared" si="6"/>
        <v>0</v>
      </c>
      <c r="P33" s="37">
        <f t="shared" si="10"/>
        <v>117417</v>
      </c>
      <c r="Q33" s="16">
        <f t="shared" si="7"/>
        <v>0</v>
      </c>
      <c r="R33" s="1">
        <v>55047</v>
      </c>
      <c r="S33" s="16">
        <f t="shared" si="8"/>
        <v>0</v>
      </c>
      <c r="T33" s="37">
        <f t="shared" si="17"/>
        <v>3734</v>
      </c>
      <c r="U33" s="16">
        <f t="shared" si="9"/>
        <v>0</v>
      </c>
    </row>
    <row r="34" spans="1:21" ht="16.5" thickBot="1" x14ac:dyDescent="0.3">
      <c r="A34" s="10" t="s">
        <v>23</v>
      </c>
      <c r="B34" s="1"/>
      <c r="C34" s="11">
        <f>SUM(C3:C33)</f>
        <v>12480</v>
      </c>
      <c r="D34" s="13"/>
      <c r="E34" s="11">
        <f>SUM(E3:E33)</f>
        <v>5920</v>
      </c>
      <c r="F34" s="13"/>
      <c r="G34" s="11">
        <f>SUM(G3:G33)</f>
        <v>960</v>
      </c>
      <c r="H34" s="13"/>
      <c r="I34" s="11">
        <f>SUM(I3:I33)</f>
        <v>695</v>
      </c>
      <c r="J34" s="13"/>
      <c r="K34" s="11">
        <f>SUM(K3:K33)</f>
        <v>0</v>
      </c>
      <c r="L34" s="13"/>
      <c r="M34" s="11">
        <f>SUM(M3:M33)</f>
        <v>8000</v>
      </c>
      <c r="N34" s="38"/>
      <c r="O34" s="11">
        <f>SUM(O3:O33)</f>
        <v>45</v>
      </c>
      <c r="P34" s="13"/>
      <c r="Q34" s="11">
        <f>SUM(Q3:Q33)</f>
        <v>3566</v>
      </c>
      <c r="R34" s="1"/>
      <c r="S34" s="11">
        <f>SUM(S3:S33)</f>
        <v>0</v>
      </c>
      <c r="T34" s="1"/>
      <c r="U34" s="11">
        <f>SUM(U3:U33)</f>
        <v>2560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7"/>
  <sheetViews>
    <sheetView zoomScaleNormal="100" zoomScaleSheetLayoutView="110" workbookViewId="0">
      <pane ySplit="1" topLeftCell="A3" activePane="bottomLeft" state="frozen"/>
      <selection pane="bottomLeft" activeCell="Z16" sqref="Z16"/>
    </sheetView>
  </sheetViews>
  <sheetFormatPr defaultColWidth="23" defaultRowHeight="15.75" x14ac:dyDescent="0.25"/>
  <cols>
    <col min="1" max="1" width="20.7109375" style="26" bestFit="1" customWidth="1"/>
    <col min="2" max="2" width="14.85546875" style="46" bestFit="1" customWidth="1"/>
    <col min="3" max="3" width="15.28515625" style="46" bestFit="1" customWidth="1"/>
    <col min="4" max="4" width="11.5703125" style="46" bestFit="1" customWidth="1"/>
    <col min="5" max="5" width="12.85546875" style="25" bestFit="1" customWidth="1"/>
    <col min="6" max="6" width="11.5703125" style="25" bestFit="1" customWidth="1"/>
    <col min="7" max="7" width="12.85546875" style="25" bestFit="1" customWidth="1"/>
    <col min="8" max="8" width="16.5703125" style="25" bestFit="1" customWidth="1"/>
    <col min="9" max="9" width="11.85546875" style="25" customWidth="1"/>
    <col min="10" max="11" width="10.28515625" style="25" bestFit="1" customWidth="1"/>
    <col min="12" max="12" width="11.5703125" style="25" bestFit="1" customWidth="1"/>
    <col min="13" max="13" width="10.28515625" style="25" bestFit="1" customWidth="1"/>
    <col min="14" max="17" width="11.5703125" style="25" bestFit="1" customWidth="1"/>
    <col min="18" max="18" width="12.85546875" style="25" bestFit="1" customWidth="1"/>
    <col min="19" max="19" width="9" style="25" bestFit="1" customWidth="1"/>
    <col min="20" max="20" width="4.7109375" style="25" bestFit="1" customWidth="1"/>
    <col min="21" max="21" width="10.28515625" style="25" bestFit="1" customWidth="1"/>
    <col min="22" max="22" width="11.5703125" style="25" bestFit="1" customWidth="1"/>
    <col min="23" max="23" width="9" style="25" bestFit="1" customWidth="1"/>
    <col min="24" max="24" width="10.7109375" style="25" bestFit="1" customWidth="1"/>
    <col min="25" max="25" width="12.5703125" style="25" bestFit="1" customWidth="1"/>
    <col min="26" max="26" width="27.140625" style="27" bestFit="1" customWidth="1"/>
    <col min="27" max="27" width="26.85546875" style="27" bestFit="1" customWidth="1"/>
    <col min="28" max="16384" width="23" style="25"/>
  </cols>
  <sheetData>
    <row r="1" spans="1:27" ht="16.5" thickBot="1" x14ac:dyDescent="0.3">
      <c r="A1" s="6" t="s">
        <v>0</v>
      </c>
      <c r="B1" s="44" t="s">
        <v>54</v>
      </c>
      <c r="C1" s="47" t="s">
        <v>63</v>
      </c>
      <c r="D1" s="47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4" t="s">
        <v>40</v>
      </c>
      <c r="AA1" s="24" t="s">
        <v>41</v>
      </c>
    </row>
    <row r="2" spans="1:27" ht="16.5" thickBot="1" x14ac:dyDescent="0.3">
      <c r="A2" s="10">
        <v>44408</v>
      </c>
      <c r="B2" s="44">
        <v>248</v>
      </c>
      <c r="C2" s="153">
        <v>18554</v>
      </c>
      <c r="D2" s="44"/>
      <c r="E2" s="154">
        <v>27109152</v>
      </c>
      <c r="F2" s="44"/>
      <c r="G2" s="155">
        <v>85974955</v>
      </c>
      <c r="H2" s="44"/>
      <c r="I2" s="22">
        <f>F2+H2</f>
        <v>0</v>
      </c>
      <c r="J2" s="154">
        <v>8437636</v>
      </c>
      <c r="K2" s="44"/>
      <c r="L2" s="157">
        <v>8403344</v>
      </c>
      <c r="M2" s="44"/>
      <c r="N2" s="154">
        <v>5521900</v>
      </c>
      <c r="O2" s="44"/>
      <c r="P2" s="157">
        <v>4343583</v>
      </c>
      <c r="Q2" s="44"/>
      <c r="R2" s="154">
        <v>18169577</v>
      </c>
      <c r="S2" s="44"/>
      <c r="T2" s="154">
        <v>0</v>
      </c>
      <c r="U2" s="11"/>
      <c r="V2" s="154">
        <v>5911732</v>
      </c>
      <c r="W2" s="44"/>
      <c r="X2" s="22">
        <f t="shared" ref="X2" si="0">K2+M2+O2+Q2+S2+U2+W2</f>
        <v>0</v>
      </c>
      <c r="Y2" s="159">
        <f t="shared" ref="Y2" si="1">I2-X2</f>
        <v>0</v>
      </c>
      <c r="Z2" s="3">
        <f t="shared" ref="Z2" si="2">(0.93352*(W2+S2)+0.5568*(Q2+O2))*0.26</f>
        <v>0</v>
      </c>
      <c r="AA2" s="3"/>
    </row>
    <row r="3" spans="1:27" ht="16.5" thickBot="1" x14ac:dyDescent="0.3">
      <c r="A3" s="10">
        <v>44409</v>
      </c>
      <c r="B3" s="44">
        <v>238</v>
      </c>
      <c r="C3" s="153">
        <v>18559</v>
      </c>
      <c r="D3" s="44">
        <f t="shared" ref="D3" si="3">IF((C3-C2)&lt;0,"0",(C3-C2))*160</f>
        <v>800</v>
      </c>
      <c r="E3" s="154">
        <v>27128544</v>
      </c>
      <c r="F3" s="44">
        <f t="shared" ref="F3" si="4">IF((E3-E2)&lt;0,"0",(E3-E2))</f>
        <v>19392</v>
      </c>
      <c r="G3" s="155">
        <v>86024768</v>
      </c>
      <c r="H3" s="44">
        <f t="shared" ref="H3" si="5">IF((G3-G2)&lt;0,"0",(G3-G2))</f>
        <v>49813</v>
      </c>
      <c r="I3" s="22">
        <f>F3+H3</f>
        <v>69205</v>
      </c>
      <c r="J3" s="154">
        <v>8443003</v>
      </c>
      <c r="K3" s="44">
        <v>5367</v>
      </c>
      <c r="L3" s="157">
        <v>8409150</v>
      </c>
      <c r="M3" s="44">
        <f t="shared" ref="M3" si="6">IF((L3-L2)&lt;0,"0",(L3-L2))</f>
        <v>5806</v>
      </c>
      <c r="N3" s="154">
        <v>5528561</v>
      </c>
      <c r="O3" s="44">
        <f>(IF((N3-N2)&lt;P93,"0",(N3-N2)))*2</f>
        <v>13322</v>
      </c>
      <c r="P3" s="157">
        <v>4356656</v>
      </c>
      <c r="Q3" s="44">
        <f t="shared" ref="Q3" si="7">IF((P3-P2)&lt;0,"0",(P3-P2))</f>
        <v>13073</v>
      </c>
      <c r="R3" s="154">
        <v>18178816</v>
      </c>
      <c r="S3" s="44">
        <f t="shared" ref="S3" si="8">IF((R3-R2)&lt;0,"0",(R3-R2))</f>
        <v>9239</v>
      </c>
      <c r="T3" s="154">
        <v>0</v>
      </c>
      <c r="U3" s="158"/>
      <c r="V3" s="154">
        <v>5922184</v>
      </c>
      <c r="W3" s="44">
        <f t="shared" ref="W3" si="9">IF((V3-V2)&lt;0,"0",(V3-V2))</f>
        <v>10452</v>
      </c>
      <c r="X3" s="22">
        <f t="shared" ref="X3" si="10">K3+M3+O3+Q3+S3+U3+W3</f>
        <v>57259</v>
      </c>
      <c r="Y3" s="159">
        <f t="shared" ref="Y3" si="11">I3-X3</f>
        <v>11946</v>
      </c>
      <c r="Z3" s="3">
        <f t="shared" ref="Z3" si="12">(0.93352*(W3+S3)+0.5568*(Q3+O3))*0.26</f>
        <v>8600.4563632000009</v>
      </c>
      <c r="AA3" s="3">
        <f>SUM(Z1:Z3)</f>
        <v>8600.4563632000009</v>
      </c>
    </row>
    <row r="4" spans="1:27" ht="16.5" thickBot="1" x14ac:dyDescent="0.3">
      <c r="A4" s="10">
        <v>44410</v>
      </c>
      <c r="B4" s="44">
        <v>263</v>
      </c>
      <c r="C4" s="153">
        <v>18564</v>
      </c>
      <c r="D4" s="44">
        <f t="shared" ref="D4:D33" si="13">IF((C4-C3)&lt;0,"0",(C4-C3))*160</f>
        <v>800</v>
      </c>
      <c r="E4" s="154">
        <v>27149734</v>
      </c>
      <c r="F4" s="44">
        <f t="shared" ref="F4:F33" si="14">IF((E4-E3)&lt;0,"0",(E4-E3))</f>
        <v>21190</v>
      </c>
      <c r="G4" s="155">
        <v>86087086</v>
      </c>
      <c r="H4" s="44">
        <f t="shared" ref="H4:H33" si="15">IF((G4-G3)&lt;0,"0",(G4-G3))</f>
        <v>62318</v>
      </c>
      <c r="I4" s="156">
        <f t="shared" ref="I4:I31" si="16">F4+H4</f>
        <v>83508</v>
      </c>
      <c r="J4" s="154">
        <v>8449510</v>
      </c>
      <c r="K4" s="44">
        <f t="shared" ref="K4:K33" si="17">IF((J4-J3)&lt;0,"0",(J4-J3))</f>
        <v>6507</v>
      </c>
      <c r="L4" s="157">
        <v>8416116</v>
      </c>
      <c r="M4" s="44">
        <f t="shared" ref="M4:M33" si="18">IF((L4-L3)&lt;0,"0",(L4-L3))</f>
        <v>6966</v>
      </c>
      <c r="N4" s="154">
        <v>5535600</v>
      </c>
      <c r="O4" s="44">
        <f>(IF((N4-N3)&lt;P95,"0",(N4-N3)))*2</f>
        <v>14078</v>
      </c>
      <c r="P4" s="157">
        <v>4372921</v>
      </c>
      <c r="Q4" s="44">
        <f t="shared" ref="Q4:Q33" si="19">IF((P4-P3)&lt;0,"0",(P4-P3))</f>
        <v>16265</v>
      </c>
      <c r="R4" s="154">
        <v>18190491</v>
      </c>
      <c r="S4" s="44">
        <f t="shared" ref="S4:S33" si="20">IF((R4-R3)&lt;0,"0",(R4-R3))</f>
        <v>11675</v>
      </c>
      <c r="T4" s="154">
        <v>0</v>
      </c>
      <c r="U4" s="158"/>
      <c r="V4" s="154">
        <v>5935488</v>
      </c>
      <c r="W4" s="44">
        <f t="shared" ref="W4:W33" si="21">IF((V4-V3)&lt;0,"0",(V4-V3))</f>
        <v>13304</v>
      </c>
      <c r="X4" s="22">
        <f t="shared" ref="X4:X33" si="22">K4+M4+O4+Q4+S4+U4+W4</f>
        <v>68795</v>
      </c>
      <c r="Y4" s="159">
        <f t="shared" ref="Y4:Y33" si="23">I4-X4</f>
        <v>14713</v>
      </c>
      <c r="Z4" s="3">
        <f t="shared" ref="Z4:Z33" si="24">(0.93352*(W4+S4)+0.5568*(Q4+O4))*0.26</f>
        <v>10455.4784048</v>
      </c>
      <c r="AA4" s="3">
        <f>SUM(Z2:Z4)</f>
        <v>19055.934767999999</v>
      </c>
    </row>
    <row r="5" spans="1:27" ht="16.5" thickBot="1" x14ac:dyDescent="0.3">
      <c r="A5" s="10">
        <v>44411</v>
      </c>
      <c r="B5" s="44">
        <v>260</v>
      </c>
      <c r="C5" s="153">
        <v>18576</v>
      </c>
      <c r="D5" s="44">
        <f t="shared" si="13"/>
        <v>1920</v>
      </c>
      <c r="E5" s="154">
        <v>27169462</v>
      </c>
      <c r="F5" s="44">
        <f t="shared" si="14"/>
        <v>19728</v>
      </c>
      <c r="G5" s="155">
        <v>86146630</v>
      </c>
      <c r="H5" s="44">
        <f t="shared" si="15"/>
        <v>59544</v>
      </c>
      <c r="I5" s="156">
        <f t="shared" si="16"/>
        <v>79272</v>
      </c>
      <c r="J5" s="154">
        <v>8455726</v>
      </c>
      <c r="K5" s="44">
        <f t="shared" si="17"/>
        <v>6216</v>
      </c>
      <c r="L5" s="157">
        <v>8422122</v>
      </c>
      <c r="M5" s="44">
        <f t="shared" si="18"/>
        <v>6006</v>
      </c>
      <c r="N5" s="154">
        <v>5542316</v>
      </c>
      <c r="O5" s="44">
        <f t="shared" ref="O5:O33" si="25">(IF((N5-N4)&lt;0,"0",(N5-N4)))*2</f>
        <v>13432</v>
      </c>
      <c r="P5" s="157">
        <v>4388670</v>
      </c>
      <c r="Q5" s="44">
        <f t="shared" si="19"/>
        <v>15749</v>
      </c>
      <c r="R5" s="154">
        <v>18201869</v>
      </c>
      <c r="S5" s="44">
        <f t="shared" si="20"/>
        <v>11378</v>
      </c>
      <c r="T5" s="154">
        <v>0</v>
      </c>
      <c r="U5" s="158"/>
      <c r="V5" s="154">
        <v>5947876</v>
      </c>
      <c r="W5" s="44">
        <f t="shared" si="21"/>
        <v>12388</v>
      </c>
      <c r="X5" s="22">
        <f t="shared" si="22"/>
        <v>65169</v>
      </c>
      <c r="Y5" s="159">
        <f t="shared" si="23"/>
        <v>14103</v>
      </c>
      <c r="Z5" s="3">
        <f t="shared" si="24"/>
        <v>9992.8444511999987</v>
      </c>
      <c r="AA5" s="3">
        <f>SUM(Z3:Z5)</f>
        <v>29048.779219199998</v>
      </c>
    </row>
    <row r="6" spans="1:27" ht="16.5" thickBot="1" x14ac:dyDescent="0.3">
      <c r="A6" s="10">
        <v>44412</v>
      </c>
      <c r="B6" s="44">
        <v>266</v>
      </c>
      <c r="C6" s="153">
        <v>18581</v>
      </c>
      <c r="D6" s="44">
        <f t="shared" si="13"/>
        <v>800</v>
      </c>
      <c r="E6" s="154">
        <v>27184328</v>
      </c>
      <c r="F6" s="44">
        <f t="shared" si="14"/>
        <v>14866</v>
      </c>
      <c r="G6" s="155">
        <v>86147740</v>
      </c>
      <c r="H6" s="44">
        <f t="shared" si="15"/>
        <v>1110</v>
      </c>
      <c r="I6" s="156">
        <f t="shared" si="16"/>
        <v>15976</v>
      </c>
      <c r="J6" s="154">
        <v>8460594</v>
      </c>
      <c r="K6" s="44">
        <f t="shared" si="17"/>
        <v>4868</v>
      </c>
      <c r="L6" s="157">
        <v>8426832</v>
      </c>
      <c r="M6" s="44">
        <f t="shared" si="18"/>
        <v>4710</v>
      </c>
      <c r="N6" s="154">
        <v>5547338</v>
      </c>
      <c r="O6" s="44">
        <f t="shared" si="25"/>
        <v>10044</v>
      </c>
      <c r="P6" s="157">
        <v>4400029</v>
      </c>
      <c r="Q6" s="44">
        <f t="shared" si="19"/>
        <v>11359</v>
      </c>
      <c r="R6" s="154">
        <v>18210598</v>
      </c>
      <c r="S6" s="44">
        <f t="shared" si="20"/>
        <v>8729</v>
      </c>
      <c r="T6" s="154">
        <v>0</v>
      </c>
      <c r="U6" s="158"/>
      <c r="V6" s="154">
        <v>5957071</v>
      </c>
      <c r="W6" s="44">
        <f t="shared" si="21"/>
        <v>9195</v>
      </c>
      <c r="X6" s="22">
        <f t="shared" si="22"/>
        <v>48905</v>
      </c>
      <c r="Y6" s="159">
        <f t="shared" si="23"/>
        <v>-32929</v>
      </c>
      <c r="Z6" s="3">
        <f t="shared" si="24"/>
        <v>7448.8967487999998</v>
      </c>
      <c r="AA6" s="3">
        <f>SUM(Z4:Z6)</f>
        <v>27897.219604799997</v>
      </c>
    </row>
    <row r="7" spans="1:27" ht="16.5" thickBot="1" x14ac:dyDescent="0.3">
      <c r="A7" s="10">
        <v>44413</v>
      </c>
      <c r="B7" s="44">
        <v>250</v>
      </c>
      <c r="C7" s="153">
        <v>18587</v>
      </c>
      <c r="D7" s="44">
        <f t="shared" si="13"/>
        <v>960</v>
      </c>
      <c r="E7" s="154">
        <v>27205137</v>
      </c>
      <c r="F7" s="44">
        <f t="shared" si="14"/>
        <v>20809</v>
      </c>
      <c r="G7" s="155">
        <v>86253443</v>
      </c>
      <c r="H7" s="44">
        <f t="shared" si="15"/>
        <v>105703</v>
      </c>
      <c r="I7" s="156">
        <f t="shared" si="16"/>
        <v>126512</v>
      </c>
      <c r="J7" s="154">
        <v>8483381</v>
      </c>
      <c r="K7" s="44">
        <f t="shared" si="17"/>
        <v>22787</v>
      </c>
      <c r="L7" s="157">
        <v>8427598</v>
      </c>
      <c r="M7" s="44">
        <f t="shared" si="18"/>
        <v>766</v>
      </c>
      <c r="N7" s="154">
        <v>5554364</v>
      </c>
      <c r="O7" s="44">
        <f t="shared" si="25"/>
        <v>14052</v>
      </c>
      <c r="P7" s="157">
        <v>4415970</v>
      </c>
      <c r="Q7" s="44">
        <f t="shared" si="19"/>
        <v>15941</v>
      </c>
      <c r="R7" s="154">
        <v>18222891</v>
      </c>
      <c r="S7" s="44">
        <f t="shared" si="20"/>
        <v>12293</v>
      </c>
      <c r="T7" s="154">
        <v>0</v>
      </c>
      <c r="U7" s="158"/>
      <c r="V7" s="154">
        <v>5970341</v>
      </c>
      <c r="W7" s="44">
        <f t="shared" si="21"/>
        <v>13270</v>
      </c>
      <c r="X7" s="22">
        <f t="shared" si="22"/>
        <v>79109</v>
      </c>
      <c r="Y7" s="159">
        <f t="shared" si="23"/>
        <v>47403</v>
      </c>
      <c r="Z7" s="3">
        <f t="shared" si="24"/>
        <v>10546.5552816</v>
      </c>
      <c r="AA7" s="3">
        <f t="shared" ref="AA7:AA33" si="26">SUM(Z4:Z7)</f>
        <v>38443.774886399995</v>
      </c>
    </row>
    <row r="8" spans="1:27" ht="16.5" thickBot="1" x14ac:dyDescent="0.3">
      <c r="A8" s="10">
        <v>44414</v>
      </c>
      <c r="B8" s="44">
        <v>255</v>
      </c>
      <c r="C8" s="153">
        <v>18594</v>
      </c>
      <c r="D8" s="44">
        <f t="shared" si="13"/>
        <v>1120</v>
      </c>
      <c r="E8" s="154">
        <v>27224597</v>
      </c>
      <c r="F8" s="44">
        <f t="shared" si="14"/>
        <v>19460</v>
      </c>
      <c r="G8" s="155">
        <v>86312336</v>
      </c>
      <c r="H8" s="44">
        <f t="shared" si="15"/>
        <v>58893</v>
      </c>
      <c r="I8" s="156">
        <f t="shared" si="16"/>
        <v>78353</v>
      </c>
      <c r="J8" s="154">
        <v>8483696</v>
      </c>
      <c r="K8" s="44">
        <f t="shared" si="17"/>
        <v>315</v>
      </c>
      <c r="L8" s="157">
        <v>8439142</v>
      </c>
      <c r="M8" s="44">
        <f t="shared" si="18"/>
        <v>11544</v>
      </c>
      <c r="N8" s="154">
        <v>5561076</v>
      </c>
      <c r="O8" s="44">
        <f t="shared" si="25"/>
        <v>13424</v>
      </c>
      <c r="P8" s="157">
        <v>4431406</v>
      </c>
      <c r="Q8" s="44">
        <f t="shared" si="19"/>
        <v>15436</v>
      </c>
      <c r="R8" s="154">
        <v>18234410</v>
      </c>
      <c r="S8" s="44">
        <f t="shared" si="20"/>
        <v>11519</v>
      </c>
      <c r="T8" s="154">
        <v>0</v>
      </c>
      <c r="U8" s="158"/>
      <c r="V8" s="154">
        <v>5982770</v>
      </c>
      <c r="W8" s="44">
        <f t="shared" si="21"/>
        <v>12429</v>
      </c>
      <c r="X8" s="22">
        <f t="shared" si="22"/>
        <v>64667</v>
      </c>
      <c r="Y8" s="159">
        <f t="shared" si="23"/>
        <v>13686</v>
      </c>
      <c r="Z8" s="3">
        <f t="shared" si="24"/>
        <v>9990.5480896000008</v>
      </c>
      <c r="AA8" s="3">
        <f t="shared" si="26"/>
        <v>37978.844571199996</v>
      </c>
    </row>
    <row r="9" spans="1:27" ht="16.5" thickBot="1" x14ac:dyDescent="0.3">
      <c r="A9" s="10">
        <v>44415</v>
      </c>
      <c r="B9" s="44">
        <v>204</v>
      </c>
      <c r="C9" s="153">
        <v>18600</v>
      </c>
      <c r="D9" s="44">
        <f t="shared" si="13"/>
        <v>960</v>
      </c>
      <c r="E9" s="154">
        <v>27238820</v>
      </c>
      <c r="F9" s="44">
        <f t="shared" si="14"/>
        <v>14223</v>
      </c>
      <c r="G9" s="155">
        <v>86357333</v>
      </c>
      <c r="H9" s="44">
        <f t="shared" si="15"/>
        <v>44997</v>
      </c>
      <c r="I9" s="156">
        <f t="shared" si="16"/>
        <v>59220</v>
      </c>
      <c r="J9" s="154">
        <v>8484500</v>
      </c>
      <c r="K9" s="44">
        <f t="shared" si="17"/>
        <v>804</v>
      </c>
      <c r="L9" s="157">
        <v>8443500</v>
      </c>
      <c r="M9" s="44">
        <f t="shared" si="18"/>
        <v>4358</v>
      </c>
      <c r="N9" s="154">
        <v>5565956</v>
      </c>
      <c r="O9" s="44">
        <f t="shared" si="25"/>
        <v>9760</v>
      </c>
      <c r="P9" s="157">
        <v>4443120</v>
      </c>
      <c r="Q9" s="44">
        <f t="shared" si="19"/>
        <v>11714</v>
      </c>
      <c r="R9" s="154">
        <v>18243245</v>
      </c>
      <c r="S9" s="44">
        <f t="shared" si="20"/>
        <v>8835</v>
      </c>
      <c r="T9" s="154">
        <v>0</v>
      </c>
      <c r="U9" s="158"/>
      <c r="V9" s="154">
        <v>5992343</v>
      </c>
      <c r="W9" s="44">
        <f t="shared" si="21"/>
        <v>9573</v>
      </c>
      <c r="X9" s="22">
        <f t="shared" si="22"/>
        <v>45044</v>
      </c>
      <c r="Y9" s="159">
        <f t="shared" si="23"/>
        <v>14176</v>
      </c>
      <c r="Z9" s="3">
        <f t="shared" si="24"/>
        <v>7576.6494336000005</v>
      </c>
      <c r="AA9" s="3">
        <f t="shared" si="26"/>
        <v>35562.6495536</v>
      </c>
    </row>
    <row r="10" spans="1:27" ht="16.5" thickBot="1" x14ac:dyDescent="0.3">
      <c r="A10" s="10">
        <v>44416</v>
      </c>
      <c r="B10" s="44">
        <v>213</v>
      </c>
      <c r="C10" s="153">
        <v>18607</v>
      </c>
      <c r="D10" s="44">
        <f t="shared" si="13"/>
        <v>1120</v>
      </c>
      <c r="E10" s="154">
        <v>27258423</v>
      </c>
      <c r="F10" s="44">
        <f t="shared" si="14"/>
        <v>19603</v>
      </c>
      <c r="G10" s="155">
        <v>86422948</v>
      </c>
      <c r="H10" s="44">
        <f t="shared" si="15"/>
        <v>65615</v>
      </c>
      <c r="I10" s="156">
        <f t="shared" si="16"/>
        <v>85218</v>
      </c>
      <c r="J10" s="154">
        <v>8484852</v>
      </c>
      <c r="K10" s="44">
        <f t="shared" si="17"/>
        <v>352</v>
      </c>
      <c r="L10" s="157">
        <v>8443885</v>
      </c>
      <c r="M10" s="44">
        <f t="shared" si="18"/>
        <v>385</v>
      </c>
      <c r="N10" s="154">
        <v>5572437</v>
      </c>
      <c r="O10" s="44">
        <f t="shared" si="25"/>
        <v>12962</v>
      </c>
      <c r="P10" s="157">
        <v>4459940</v>
      </c>
      <c r="Q10" s="44">
        <f t="shared" si="19"/>
        <v>16820</v>
      </c>
      <c r="R10" s="154">
        <v>18255868</v>
      </c>
      <c r="S10" s="44">
        <f t="shared" si="20"/>
        <v>12623</v>
      </c>
      <c r="T10" s="154">
        <v>0</v>
      </c>
      <c r="U10" s="158"/>
      <c r="V10" s="154">
        <v>6006300</v>
      </c>
      <c r="W10" s="44">
        <f t="shared" si="21"/>
        <v>13957</v>
      </c>
      <c r="X10" s="22">
        <f t="shared" si="22"/>
        <v>57099</v>
      </c>
      <c r="Y10" s="159">
        <f t="shared" si="23"/>
        <v>28119</v>
      </c>
      <c r="Z10" s="3">
        <f t="shared" si="24"/>
        <v>10762.850591999999</v>
      </c>
      <c r="AA10" s="3">
        <f t="shared" si="26"/>
        <v>38876.603396799997</v>
      </c>
    </row>
    <row r="11" spans="1:27" ht="15.75" customHeight="1" thickBot="1" x14ac:dyDescent="0.3">
      <c r="A11" s="10">
        <v>44417</v>
      </c>
      <c r="B11" s="44">
        <v>210</v>
      </c>
      <c r="C11" s="153">
        <v>18612</v>
      </c>
      <c r="D11" s="44">
        <v>18612</v>
      </c>
      <c r="E11" s="154">
        <v>27271257</v>
      </c>
      <c r="F11" s="44">
        <f t="shared" si="14"/>
        <v>12834</v>
      </c>
      <c r="G11" s="155">
        <v>86582522</v>
      </c>
      <c r="H11" s="44">
        <f t="shared" si="15"/>
        <v>159574</v>
      </c>
      <c r="I11" s="156">
        <f t="shared" si="16"/>
        <v>172408</v>
      </c>
      <c r="J11" s="154">
        <v>8500373</v>
      </c>
      <c r="K11" s="44">
        <f t="shared" si="17"/>
        <v>15521</v>
      </c>
      <c r="L11" s="157">
        <v>8465526</v>
      </c>
      <c r="M11" s="44">
        <f t="shared" si="18"/>
        <v>21641</v>
      </c>
      <c r="N11" s="154">
        <v>5588211</v>
      </c>
      <c r="O11" s="44">
        <f t="shared" si="25"/>
        <v>31548</v>
      </c>
      <c r="P11" s="157">
        <v>4500692</v>
      </c>
      <c r="Q11" s="44">
        <f t="shared" si="19"/>
        <v>40752</v>
      </c>
      <c r="R11" s="154">
        <v>18287018</v>
      </c>
      <c r="S11" s="44">
        <f t="shared" si="20"/>
        <v>31150</v>
      </c>
      <c r="T11" s="154">
        <v>0</v>
      </c>
      <c r="U11" s="158"/>
      <c r="V11" s="154">
        <v>6040234</v>
      </c>
      <c r="W11" s="44">
        <f t="shared" si="21"/>
        <v>33934</v>
      </c>
      <c r="X11" s="22">
        <f t="shared" si="22"/>
        <v>174546</v>
      </c>
      <c r="Y11" s="159">
        <f t="shared" si="23"/>
        <v>-2138</v>
      </c>
      <c r="Z11" s="3">
        <f t="shared" si="24"/>
        <v>26263.602476800002</v>
      </c>
      <c r="AA11" s="3">
        <f t="shared" si="26"/>
        <v>54593.650592000005</v>
      </c>
    </row>
    <row r="12" spans="1:27" ht="16.5" thickBot="1" x14ac:dyDescent="0.3">
      <c r="A12" s="10">
        <v>44418</v>
      </c>
      <c r="B12" s="44">
        <v>220</v>
      </c>
      <c r="C12" s="153">
        <v>18620</v>
      </c>
      <c r="D12" s="44">
        <f t="shared" si="13"/>
        <v>1280</v>
      </c>
      <c r="E12" s="154">
        <v>27292238</v>
      </c>
      <c r="F12" s="44">
        <f t="shared" si="14"/>
        <v>20981</v>
      </c>
      <c r="G12" s="155">
        <v>86648521</v>
      </c>
      <c r="H12" s="44">
        <f t="shared" si="15"/>
        <v>65999</v>
      </c>
      <c r="I12" s="156">
        <f t="shared" si="16"/>
        <v>86980</v>
      </c>
      <c r="J12" s="154">
        <v>8506621</v>
      </c>
      <c r="K12" s="44">
        <f t="shared" si="17"/>
        <v>6248</v>
      </c>
      <c r="L12" s="157">
        <v>8471934</v>
      </c>
      <c r="M12" s="44">
        <f t="shared" si="18"/>
        <v>6408</v>
      </c>
      <c r="N12" s="154">
        <v>5594906</v>
      </c>
      <c r="O12" s="44">
        <f t="shared" si="25"/>
        <v>13390</v>
      </c>
      <c r="P12" s="157">
        <v>4517628</v>
      </c>
      <c r="Q12" s="44">
        <f t="shared" si="19"/>
        <v>16936</v>
      </c>
      <c r="R12" s="154">
        <v>18300160</v>
      </c>
      <c r="S12" s="44">
        <f t="shared" si="20"/>
        <v>13142</v>
      </c>
      <c r="T12" s="154">
        <v>0</v>
      </c>
      <c r="U12" s="158"/>
      <c r="V12" s="154">
        <v>6054335</v>
      </c>
      <c r="W12" s="44">
        <f t="shared" si="21"/>
        <v>14101</v>
      </c>
      <c r="X12" s="22">
        <f t="shared" si="22"/>
        <v>70225</v>
      </c>
      <c r="Y12" s="159">
        <f t="shared" si="23"/>
        <v>16755</v>
      </c>
      <c r="Z12" s="3">
        <f t="shared" si="24"/>
        <v>11002.524561599999</v>
      </c>
      <c r="AA12" s="3">
        <f t="shared" si="26"/>
        <v>55605.627064</v>
      </c>
    </row>
    <row r="13" spans="1:27" ht="16.5" thickBot="1" x14ac:dyDescent="0.3">
      <c r="A13" s="10">
        <v>44419</v>
      </c>
      <c r="B13" s="44">
        <v>225</v>
      </c>
      <c r="C13" s="153">
        <v>18625</v>
      </c>
      <c r="D13" s="44">
        <f t="shared" si="13"/>
        <v>800</v>
      </c>
      <c r="E13" s="154">
        <v>27306070</v>
      </c>
      <c r="F13" s="44">
        <f t="shared" si="14"/>
        <v>13832</v>
      </c>
      <c r="G13" s="155">
        <f t="shared" ref="G13:G33" si="27">G12</f>
        <v>86648521</v>
      </c>
      <c r="H13" s="44">
        <f t="shared" si="15"/>
        <v>0</v>
      </c>
      <c r="I13" s="156">
        <f t="shared" si="16"/>
        <v>13832</v>
      </c>
      <c r="J13" s="154">
        <v>8437636</v>
      </c>
      <c r="K13" s="44" t="str">
        <f t="shared" si="17"/>
        <v>0</v>
      </c>
      <c r="L13" s="157">
        <f t="shared" ref="L13:L33" si="28">L12</f>
        <v>8471934</v>
      </c>
      <c r="M13" s="44">
        <f t="shared" si="18"/>
        <v>0</v>
      </c>
      <c r="N13" s="154">
        <f t="shared" ref="N13:N33" si="29">N12</f>
        <v>5594906</v>
      </c>
      <c r="O13" s="44">
        <f t="shared" si="25"/>
        <v>0</v>
      </c>
      <c r="P13" s="157">
        <f t="shared" ref="P13:P33" si="30">P12</f>
        <v>4517628</v>
      </c>
      <c r="Q13" s="44">
        <f t="shared" si="19"/>
        <v>0</v>
      </c>
      <c r="R13" s="154">
        <f t="shared" ref="R13:R33" si="31">R12</f>
        <v>18300160</v>
      </c>
      <c r="S13" s="44">
        <f>IF((R13-R12)&lt;0,"0",(R13-R12))</f>
        <v>0</v>
      </c>
      <c r="T13" s="154">
        <v>0</v>
      </c>
      <c r="U13" s="158"/>
      <c r="V13" s="154">
        <f t="shared" ref="V13:V33" si="32">V12</f>
        <v>6054335</v>
      </c>
      <c r="W13" s="44">
        <f t="shared" si="21"/>
        <v>0</v>
      </c>
      <c r="X13" s="22">
        <f t="shared" si="22"/>
        <v>0</v>
      </c>
      <c r="Y13" s="159">
        <f t="shared" si="23"/>
        <v>13832</v>
      </c>
      <c r="Z13" s="3">
        <f t="shared" si="24"/>
        <v>0</v>
      </c>
      <c r="AA13" s="3">
        <f t="shared" si="26"/>
        <v>48028.977630399997</v>
      </c>
    </row>
    <row r="14" spans="1:27" ht="16.5" thickBot="1" x14ac:dyDescent="0.3">
      <c r="A14" s="10">
        <v>44420</v>
      </c>
      <c r="B14" s="44">
        <v>216</v>
      </c>
      <c r="C14" s="153">
        <v>18631</v>
      </c>
      <c r="D14" s="44">
        <f t="shared" si="13"/>
        <v>960</v>
      </c>
      <c r="E14" s="154">
        <v>27326062</v>
      </c>
      <c r="F14" s="44">
        <f>IF((E14-E13)&lt;0,"0",(E14-E13))</f>
        <v>19992</v>
      </c>
      <c r="G14" s="155">
        <f t="shared" si="27"/>
        <v>86648521</v>
      </c>
      <c r="H14" s="44">
        <f t="shared" si="15"/>
        <v>0</v>
      </c>
      <c r="I14" s="156">
        <f t="shared" si="16"/>
        <v>19992</v>
      </c>
      <c r="J14" s="154">
        <v>8437636</v>
      </c>
      <c r="K14" s="44">
        <f t="shared" si="17"/>
        <v>0</v>
      </c>
      <c r="L14" s="157">
        <f t="shared" si="28"/>
        <v>8471934</v>
      </c>
      <c r="M14" s="44">
        <f t="shared" si="18"/>
        <v>0</v>
      </c>
      <c r="N14" s="154">
        <f t="shared" si="29"/>
        <v>5594906</v>
      </c>
      <c r="O14" s="44">
        <f t="shared" si="25"/>
        <v>0</v>
      </c>
      <c r="P14" s="157">
        <f t="shared" si="30"/>
        <v>4517628</v>
      </c>
      <c r="Q14" s="44">
        <f t="shared" si="19"/>
        <v>0</v>
      </c>
      <c r="R14" s="154">
        <f t="shared" si="31"/>
        <v>18300160</v>
      </c>
      <c r="S14" s="44">
        <f>IF((R14-R13)&lt;0,"0",(R14-R13))</f>
        <v>0</v>
      </c>
      <c r="T14" s="154">
        <v>0</v>
      </c>
      <c r="U14" s="158"/>
      <c r="V14" s="154">
        <f t="shared" si="32"/>
        <v>6054335</v>
      </c>
      <c r="W14" s="44">
        <f t="shared" si="21"/>
        <v>0</v>
      </c>
      <c r="X14" s="22">
        <f t="shared" si="22"/>
        <v>0</v>
      </c>
      <c r="Y14" s="159">
        <f t="shared" si="23"/>
        <v>19992</v>
      </c>
      <c r="Z14" s="3">
        <f t="shared" si="24"/>
        <v>0</v>
      </c>
      <c r="AA14" s="3">
        <f t="shared" si="26"/>
        <v>37266.127038400002</v>
      </c>
    </row>
    <row r="15" spans="1:27" ht="16.5" thickBot="1" x14ac:dyDescent="0.3">
      <c r="A15" s="10">
        <v>44421</v>
      </c>
      <c r="B15" s="44">
        <v>222</v>
      </c>
      <c r="C15" s="153">
        <v>18638</v>
      </c>
      <c r="D15" s="44">
        <f t="shared" si="13"/>
        <v>1120</v>
      </c>
      <c r="E15" s="154">
        <v>27342788</v>
      </c>
      <c r="F15" s="44">
        <f>IF((E15-E14)&lt;0,"0",(E15-E14))</f>
        <v>16726</v>
      </c>
      <c r="G15" s="155">
        <v>86705206</v>
      </c>
      <c r="H15" s="44">
        <f t="shared" si="15"/>
        <v>56685</v>
      </c>
      <c r="I15" s="156">
        <f t="shared" si="16"/>
        <v>73411</v>
      </c>
      <c r="J15" s="154">
        <v>8511846</v>
      </c>
      <c r="K15" s="44">
        <f t="shared" si="17"/>
        <v>74210</v>
      </c>
      <c r="L15" s="157">
        <v>8476890</v>
      </c>
      <c r="M15" s="44">
        <f t="shared" si="18"/>
        <v>4956</v>
      </c>
      <c r="N15" s="154">
        <v>5600696</v>
      </c>
      <c r="O15" s="44">
        <f t="shared" si="25"/>
        <v>11580</v>
      </c>
      <c r="P15" s="157">
        <v>4532235</v>
      </c>
      <c r="Q15" s="44">
        <f t="shared" si="19"/>
        <v>14607</v>
      </c>
      <c r="R15" s="154">
        <v>18311801</v>
      </c>
      <c r="S15" s="44">
        <f>IF((R15-R14)&lt;0,"0",(R15-R14))</f>
        <v>11641</v>
      </c>
      <c r="T15" s="154">
        <v>0</v>
      </c>
      <c r="U15" s="158"/>
      <c r="V15" s="154">
        <v>6066251</v>
      </c>
      <c r="W15" s="44">
        <f t="shared" si="21"/>
        <v>11916</v>
      </c>
      <c r="X15" s="22">
        <f t="shared" si="22"/>
        <v>128910</v>
      </c>
      <c r="Y15" s="159">
        <f t="shared" si="23"/>
        <v>-55499</v>
      </c>
      <c r="Z15" s="3">
        <f t="shared" si="24"/>
        <v>9508.6815824000005</v>
      </c>
      <c r="AA15" s="3">
        <f t="shared" si="26"/>
        <v>20511.206144</v>
      </c>
    </row>
    <row r="16" spans="1:27" ht="16.5" thickBot="1" x14ac:dyDescent="0.3">
      <c r="A16" s="10">
        <v>44422</v>
      </c>
      <c r="B16" s="44">
        <v>299</v>
      </c>
      <c r="C16" s="153">
        <v>18644</v>
      </c>
      <c r="D16" s="44">
        <f t="shared" si="13"/>
        <v>960</v>
      </c>
      <c r="E16" s="154">
        <v>27354476</v>
      </c>
      <c r="F16" s="44">
        <f>IF((E16-E15)&lt;0,"0",(E16-E15))</f>
        <v>11688</v>
      </c>
      <c r="G16" s="155">
        <v>86743899</v>
      </c>
      <c r="H16" s="44">
        <f t="shared" si="15"/>
        <v>38693</v>
      </c>
      <c r="I16" s="156">
        <f t="shared" si="16"/>
        <v>50381</v>
      </c>
      <c r="J16" s="154">
        <v>8515582</v>
      </c>
      <c r="K16" s="44">
        <f t="shared" si="17"/>
        <v>3736</v>
      </c>
      <c r="L16" s="157">
        <v>8480562</v>
      </c>
      <c r="M16" s="44">
        <f t="shared" si="18"/>
        <v>3672</v>
      </c>
      <c r="N16" s="154">
        <v>5604628</v>
      </c>
      <c r="O16" s="44">
        <f t="shared" si="25"/>
        <v>7864</v>
      </c>
      <c r="P16" s="157">
        <v>4542159</v>
      </c>
      <c r="Q16" s="44">
        <f t="shared" si="19"/>
        <v>9924</v>
      </c>
      <c r="R16" s="154">
        <v>18319807</v>
      </c>
      <c r="S16" s="44">
        <f t="shared" si="20"/>
        <v>8006</v>
      </c>
      <c r="T16" s="154">
        <v>0</v>
      </c>
      <c r="U16" s="158"/>
      <c r="V16" s="154">
        <v>6074411</v>
      </c>
      <c r="W16" s="44">
        <f t="shared" si="21"/>
        <v>8160</v>
      </c>
      <c r="X16" s="22">
        <f t="shared" si="22"/>
        <v>41362</v>
      </c>
      <c r="Y16" s="159">
        <f t="shared" si="23"/>
        <v>9019</v>
      </c>
      <c r="Z16" s="3">
        <f t="shared" si="24"/>
        <v>6498.8671071999997</v>
      </c>
      <c r="AA16" s="3">
        <f t="shared" si="26"/>
        <v>16007.5486896</v>
      </c>
    </row>
    <row r="17" spans="1:27" s="136" customFormat="1" ht="16.5" thickBot="1" x14ac:dyDescent="0.3">
      <c r="A17" s="10">
        <v>44423</v>
      </c>
      <c r="B17" s="135"/>
      <c r="C17" s="153">
        <f t="shared" ref="C16:C33" si="33">C16</f>
        <v>18644</v>
      </c>
      <c r="D17" s="44">
        <f t="shared" si="13"/>
        <v>0</v>
      </c>
      <c r="E17" s="154">
        <f t="shared" ref="E16:E33" si="34">E16</f>
        <v>27354476</v>
      </c>
      <c r="F17" s="135">
        <f t="shared" si="14"/>
        <v>0</v>
      </c>
      <c r="G17" s="155">
        <f t="shared" si="27"/>
        <v>86743899</v>
      </c>
      <c r="H17" s="44">
        <f t="shared" si="15"/>
        <v>0</v>
      </c>
      <c r="I17" s="160">
        <f t="shared" si="16"/>
        <v>0</v>
      </c>
      <c r="J17" s="154">
        <v>8437636</v>
      </c>
      <c r="K17" s="135" t="str">
        <f t="shared" si="17"/>
        <v>0</v>
      </c>
      <c r="L17" s="157">
        <f t="shared" si="28"/>
        <v>8480562</v>
      </c>
      <c r="M17" s="135">
        <f t="shared" si="18"/>
        <v>0</v>
      </c>
      <c r="N17" s="154">
        <f t="shared" si="29"/>
        <v>5604628</v>
      </c>
      <c r="O17" s="135">
        <f t="shared" si="25"/>
        <v>0</v>
      </c>
      <c r="P17" s="157">
        <f t="shared" si="30"/>
        <v>4542159</v>
      </c>
      <c r="Q17" s="135">
        <f t="shared" si="19"/>
        <v>0</v>
      </c>
      <c r="R17" s="154">
        <f t="shared" si="31"/>
        <v>18319807</v>
      </c>
      <c r="S17" s="135">
        <f t="shared" si="20"/>
        <v>0</v>
      </c>
      <c r="T17" s="161">
        <v>0</v>
      </c>
      <c r="U17" s="158"/>
      <c r="V17" s="154">
        <f t="shared" si="32"/>
        <v>6074411</v>
      </c>
      <c r="W17" s="135">
        <f t="shared" si="21"/>
        <v>0</v>
      </c>
      <c r="X17" s="22">
        <f t="shared" si="22"/>
        <v>0</v>
      </c>
      <c r="Y17" s="162">
        <f t="shared" si="23"/>
        <v>0</v>
      </c>
      <c r="Z17" s="163">
        <f t="shared" si="24"/>
        <v>0</v>
      </c>
      <c r="AA17" s="163">
        <f t="shared" si="26"/>
        <v>16007.5486896</v>
      </c>
    </row>
    <row r="18" spans="1:27" s="136" customFormat="1" ht="16.5" thickBot="1" x14ac:dyDescent="0.3">
      <c r="A18" s="10">
        <v>44424</v>
      </c>
      <c r="B18" s="135"/>
      <c r="C18" s="153">
        <f t="shared" si="33"/>
        <v>18644</v>
      </c>
      <c r="D18" s="44">
        <f t="shared" si="13"/>
        <v>0</v>
      </c>
      <c r="E18" s="154">
        <f t="shared" si="34"/>
        <v>27354476</v>
      </c>
      <c r="F18" s="135">
        <f t="shared" si="14"/>
        <v>0</v>
      </c>
      <c r="G18" s="155">
        <f t="shared" si="27"/>
        <v>86743899</v>
      </c>
      <c r="H18" s="44">
        <f t="shared" si="15"/>
        <v>0</v>
      </c>
      <c r="I18" s="160">
        <f t="shared" si="16"/>
        <v>0</v>
      </c>
      <c r="J18" s="154">
        <v>8437636</v>
      </c>
      <c r="K18" s="135">
        <f t="shared" si="17"/>
        <v>0</v>
      </c>
      <c r="L18" s="157">
        <f t="shared" si="28"/>
        <v>8480562</v>
      </c>
      <c r="M18" s="135">
        <f t="shared" si="18"/>
        <v>0</v>
      </c>
      <c r="N18" s="154">
        <f t="shared" si="29"/>
        <v>5604628</v>
      </c>
      <c r="O18" s="135">
        <f t="shared" si="25"/>
        <v>0</v>
      </c>
      <c r="P18" s="157">
        <f t="shared" si="30"/>
        <v>4542159</v>
      </c>
      <c r="Q18" s="135">
        <f t="shared" si="19"/>
        <v>0</v>
      </c>
      <c r="R18" s="154">
        <f t="shared" si="31"/>
        <v>18319807</v>
      </c>
      <c r="S18" s="135">
        <f t="shared" si="20"/>
        <v>0</v>
      </c>
      <c r="T18" s="161">
        <v>0</v>
      </c>
      <c r="U18" s="158"/>
      <c r="V18" s="154">
        <f t="shared" si="32"/>
        <v>6074411</v>
      </c>
      <c r="W18" s="135">
        <f t="shared" si="21"/>
        <v>0</v>
      </c>
      <c r="X18" s="22">
        <f t="shared" si="22"/>
        <v>0</v>
      </c>
      <c r="Y18" s="162">
        <f t="shared" si="23"/>
        <v>0</v>
      </c>
      <c r="Z18" s="163">
        <f t="shared" si="24"/>
        <v>0</v>
      </c>
      <c r="AA18" s="163">
        <f t="shared" si="26"/>
        <v>16007.5486896</v>
      </c>
    </row>
    <row r="19" spans="1:27" s="136" customFormat="1" ht="16.5" thickBot="1" x14ac:dyDescent="0.3">
      <c r="A19" s="10">
        <v>44425</v>
      </c>
      <c r="B19" s="135"/>
      <c r="C19" s="153">
        <f t="shared" si="33"/>
        <v>18644</v>
      </c>
      <c r="D19" s="44">
        <f>IF((C19-C18)&lt;0,"0",(C19-C18))*160</f>
        <v>0</v>
      </c>
      <c r="E19" s="154">
        <f t="shared" si="34"/>
        <v>27354476</v>
      </c>
      <c r="F19" s="135">
        <f t="shared" si="14"/>
        <v>0</v>
      </c>
      <c r="G19" s="155">
        <f t="shared" si="27"/>
        <v>86743899</v>
      </c>
      <c r="H19" s="44">
        <f t="shared" si="15"/>
        <v>0</v>
      </c>
      <c r="I19" s="160">
        <f t="shared" si="16"/>
        <v>0</v>
      </c>
      <c r="J19" s="154">
        <v>8437636</v>
      </c>
      <c r="K19" s="135">
        <f t="shared" si="17"/>
        <v>0</v>
      </c>
      <c r="L19" s="157">
        <f t="shared" si="28"/>
        <v>8480562</v>
      </c>
      <c r="M19" s="135">
        <f t="shared" si="18"/>
        <v>0</v>
      </c>
      <c r="N19" s="154">
        <f t="shared" si="29"/>
        <v>5604628</v>
      </c>
      <c r="O19" s="135">
        <f t="shared" si="25"/>
        <v>0</v>
      </c>
      <c r="P19" s="157">
        <f t="shared" si="30"/>
        <v>4542159</v>
      </c>
      <c r="Q19" s="135">
        <f t="shared" si="19"/>
        <v>0</v>
      </c>
      <c r="R19" s="154">
        <f t="shared" si="31"/>
        <v>18319807</v>
      </c>
      <c r="S19" s="135">
        <f t="shared" si="20"/>
        <v>0</v>
      </c>
      <c r="T19" s="161">
        <v>0</v>
      </c>
      <c r="U19" s="158"/>
      <c r="V19" s="154">
        <f t="shared" si="32"/>
        <v>6074411</v>
      </c>
      <c r="W19" s="135">
        <f t="shared" si="21"/>
        <v>0</v>
      </c>
      <c r="X19" s="22">
        <f t="shared" si="22"/>
        <v>0</v>
      </c>
      <c r="Y19" s="162">
        <f t="shared" si="23"/>
        <v>0</v>
      </c>
      <c r="Z19" s="163">
        <f t="shared" si="24"/>
        <v>0</v>
      </c>
      <c r="AA19" s="163">
        <f t="shared" si="26"/>
        <v>6498.8671071999997</v>
      </c>
    </row>
    <row r="20" spans="1:27" s="136" customFormat="1" ht="16.5" thickBot="1" x14ac:dyDescent="0.3">
      <c r="A20" s="10">
        <v>44426</v>
      </c>
      <c r="B20" s="135"/>
      <c r="C20" s="153">
        <f t="shared" si="33"/>
        <v>18644</v>
      </c>
      <c r="D20" s="44">
        <f>IF((C20-C19)&lt;0,"0",(C20-C19))*160</f>
        <v>0</v>
      </c>
      <c r="E20" s="154">
        <f t="shared" si="34"/>
        <v>27354476</v>
      </c>
      <c r="F20" s="135">
        <f t="shared" si="14"/>
        <v>0</v>
      </c>
      <c r="G20" s="155">
        <f t="shared" si="27"/>
        <v>86743899</v>
      </c>
      <c r="H20" s="44">
        <f t="shared" si="15"/>
        <v>0</v>
      </c>
      <c r="I20" s="160">
        <f t="shared" si="16"/>
        <v>0</v>
      </c>
      <c r="J20" s="154">
        <v>8437636</v>
      </c>
      <c r="K20" s="135">
        <f t="shared" si="17"/>
        <v>0</v>
      </c>
      <c r="L20" s="157">
        <f t="shared" si="28"/>
        <v>8480562</v>
      </c>
      <c r="M20" s="135">
        <f t="shared" si="18"/>
        <v>0</v>
      </c>
      <c r="N20" s="154">
        <f t="shared" si="29"/>
        <v>5604628</v>
      </c>
      <c r="O20" s="135">
        <f t="shared" si="25"/>
        <v>0</v>
      </c>
      <c r="P20" s="157">
        <f t="shared" si="30"/>
        <v>4542159</v>
      </c>
      <c r="Q20" s="135">
        <f t="shared" si="19"/>
        <v>0</v>
      </c>
      <c r="R20" s="154">
        <f t="shared" si="31"/>
        <v>18319807</v>
      </c>
      <c r="S20" s="135">
        <f t="shared" si="20"/>
        <v>0</v>
      </c>
      <c r="T20" s="161">
        <v>0</v>
      </c>
      <c r="U20" s="158"/>
      <c r="V20" s="154">
        <f t="shared" si="32"/>
        <v>6074411</v>
      </c>
      <c r="W20" s="135">
        <f t="shared" si="21"/>
        <v>0</v>
      </c>
      <c r="X20" s="22">
        <f t="shared" si="22"/>
        <v>0</v>
      </c>
      <c r="Y20" s="162">
        <f t="shared" si="23"/>
        <v>0</v>
      </c>
      <c r="Z20" s="163">
        <f t="shared" si="24"/>
        <v>0</v>
      </c>
      <c r="AA20" s="163">
        <f t="shared" si="26"/>
        <v>0</v>
      </c>
    </row>
    <row r="21" spans="1:27" s="136" customFormat="1" ht="16.5" thickBot="1" x14ac:dyDescent="0.3">
      <c r="A21" s="10">
        <v>44427</v>
      </c>
      <c r="B21" s="135"/>
      <c r="C21" s="153">
        <f t="shared" si="33"/>
        <v>18644</v>
      </c>
      <c r="D21" s="44">
        <f>IF((C21-C20)&lt;0,"0",(C21-C20))*160</f>
        <v>0</v>
      </c>
      <c r="E21" s="154">
        <f t="shared" si="34"/>
        <v>27354476</v>
      </c>
      <c r="F21" s="135">
        <f t="shared" si="14"/>
        <v>0</v>
      </c>
      <c r="G21" s="155">
        <f t="shared" si="27"/>
        <v>86743899</v>
      </c>
      <c r="H21" s="44">
        <f t="shared" si="15"/>
        <v>0</v>
      </c>
      <c r="I21" s="160">
        <f t="shared" si="16"/>
        <v>0</v>
      </c>
      <c r="J21" s="154">
        <v>8437636</v>
      </c>
      <c r="K21" s="135">
        <f t="shared" si="17"/>
        <v>0</v>
      </c>
      <c r="L21" s="157">
        <f t="shared" si="28"/>
        <v>8480562</v>
      </c>
      <c r="M21" s="135">
        <f t="shared" si="18"/>
        <v>0</v>
      </c>
      <c r="N21" s="154">
        <f t="shared" si="29"/>
        <v>5604628</v>
      </c>
      <c r="O21" s="135">
        <f t="shared" si="25"/>
        <v>0</v>
      </c>
      <c r="P21" s="157">
        <f t="shared" si="30"/>
        <v>4542159</v>
      </c>
      <c r="Q21" s="135">
        <f t="shared" si="19"/>
        <v>0</v>
      </c>
      <c r="R21" s="154">
        <f t="shared" si="31"/>
        <v>18319807</v>
      </c>
      <c r="S21" s="135">
        <f t="shared" si="20"/>
        <v>0</v>
      </c>
      <c r="T21" s="161">
        <v>0</v>
      </c>
      <c r="U21" s="158"/>
      <c r="V21" s="154">
        <f t="shared" si="32"/>
        <v>6074411</v>
      </c>
      <c r="W21" s="135">
        <f t="shared" si="21"/>
        <v>0</v>
      </c>
      <c r="X21" s="22">
        <f t="shared" si="22"/>
        <v>0</v>
      </c>
      <c r="Y21" s="162">
        <f t="shared" si="23"/>
        <v>0</v>
      </c>
      <c r="Z21" s="163">
        <f t="shared" si="24"/>
        <v>0</v>
      </c>
      <c r="AA21" s="163">
        <f t="shared" si="26"/>
        <v>0</v>
      </c>
    </row>
    <row r="22" spans="1:27" ht="16.5" thickBot="1" x14ac:dyDescent="0.3">
      <c r="A22" s="10">
        <v>44428</v>
      </c>
      <c r="B22" s="44"/>
      <c r="C22" s="153">
        <f t="shared" si="33"/>
        <v>18644</v>
      </c>
      <c r="D22" s="44">
        <f t="shared" si="13"/>
        <v>0</v>
      </c>
      <c r="E22" s="154">
        <f t="shared" si="34"/>
        <v>27354476</v>
      </c>
      <c r="F22" s="44">
        <f t="shared" si="14"/>
        <v>0</v>
      </c>
      <c r="G22" s="155">
        <f t="shared" si="27"/>
        <v>86743899</v>
      </c>
      <c r="H22" s="44">
        <f t="shared" si="15"/>
        <v>0</v>
      </c>
      <c r="I22" s="156">
        <f t="shared" si="16"/>
        <v>0</v>
      </c>
      <c r="J22" s="154">
        <v>8437636</v>
      </c>
      <c r="K22" s="44">
        <f t="shared" si="17"/>
        <v>0</v>
      </c>
      <c r="L22" s="157">
        <f t="shared" si="28"/>
        <v>8480562</v>
      </c>
      <c r="M22" s="44">
        <f t="shared" si="18"/>
        <v>0</v>
      </c>
      <c r="N22" s="154">
        <f t="shared" si="29"/>
        <v>5604628</v>
      </c>
      <c r="O22" s="44">
        <f t="shared" si="25"/>
        <v>0</v>
      </c>
      <c r="P22" s="157">
        <f t="shared" si="30"/>
        <v>4542159</v>
      </c>
      <c r="Q22" s="44">
        <f t="shared" si="19"/>
        <v>0</v>
      </c>
      <c r="R22" s="154">
        <f t="shared" si="31"/>
        <v>18319807</v>
      </c>
      <c r="S22" s="44">
        <f t="shared" si="20"/>
        <v>0</v>
      </c>
      <c r="T22" s="154">
        <v>0</v>
      </c>
      <c r="U22" s="158"/>
      <c r="V22" s="154">
        <f t="shared" si="32"/>
        <v>6074411</v>
      </c>
      <c r="W22" s="44">
        <f t="shared" si="21"/>
        <v>0</v>
      </c>
      <c r="X22" s="22">
        <f t="shared" si="22"/>
        <v>0</v>
      </c>
      <c r="Y22" s="159">
        <f t="shared" si="23"/>
        <v>0</v>
      </c>
      <c r="Z22" s="3">
        <f t="shared" si="24"/>
        <v>0</v>
      </c>
      <c r="AA22" s="3">
        <f t="shared" si="26"/>
        <v>0</v>
      </c>
    </row>
    <row r="23" spans="1:27" ht="16.5" thickBot="1" x14ac:dyDescent="0.3">
      <c r="A23" s="10">
        <v>44429</v>
      </c>
      <c r="B23" s="44"/>
      <c r="C23" s="153">
        <f t="shared" si="33"/>
        <v>18644</v>
      </c>
      <c r="D23" s="44">
        <f t="shared" si="13"/>
        <v>0</v>
      </c>
      <c r="E23" s="154">
        <f t="shared" si="34"/>
        <v>27354476</v>
      </c>
      <c r="F23" s="44">
        <f t="shared" si="14"/>
        <v>0</v>
      </c>
      <c r="G23" s="155">
        <f t="shared" si="27"/>
        <v>86743899</v>
      </c>
      <c r="H23" s="44">
        <f t="shared" si="15"/>
        <v>0</v>
      </c>
      <c r="I23" s="156">
        <f t="shared" si="16"/>
        <v>0</v>
      </c>
      <c r="J23" s="154">
        <v>8437636</v>
      </c>
      <c r="K23" s="44">
        <f t="shared" si="17"/>
        <v>0</v>
      </c>
      <c r="L23" s="157">
        <f t="shared" si="28"/>
        <v>8480562</v>
      </c>
      <c r="M23" s="44">
        <f t="shared" si="18"/>
        <v>0</v>
      </c>
      <c r="N23" s="154">
        <f t="shared" si="29"/>
        <v>5604628</v>
      </c>
      <c r="O23" s="44">
        <f t="shared" si="25"/>
        <v>0</v>
      </c>
      <c r="P23" s="157">
        <f t="shared" si="30"/>
        <v>4542159</v>
      </c>
      <c r="Q23" s="44">
        <f t="shared" si="19"/>
        <v>0</v>
      </c>
      <c r="R23" s="154">
        <f t="shared" si="31"/>
        <v>18319807</v>
      </c>
      <c r="S23" s="44">
        <f t="shared" si="20"/>
        <v>0</v>
      </c>
      <c r="T23" s="154">
        <v>0</v>
      </c>
      <c r="U23" s="158"/>
      <c r="V23" s="154">
        <f t="shared" si="32"/>
        <v>6074411</v>
      </c>
      <c r="W23" s="44">
        <f t="shared" si="21"/>
        <v>0</v>
      </c>
      <c r="X23" s="22">
        <f t="shared" si="22"/>
        <v>0</v>
      </c>
      <c r="Y23" s="159">
        <f t="shared" si="23"/>
        <v>0</v>
      </c>
      <c r="Z23" s="3">
        <f t="shared" si="24"/>
        <v>0</v>
      </c>
      <c r="AA23" s="3">
        <f t="shared" si="26"/>
        <v>0</v>
      </c>
    </row>
    <row r="24" spans="1:27" ht="16.5" thickBot="1" x14ac:dyDescent="0.3">
      <c r="A24" s="10">
        <v>44430</v>
      </c>
      <c r="B24" s="44"/>
      <c r="C24" s="153">
        <f t="shared" si="33"/>
        <v>18644</v>
      </c>
      <c r="D24" s="44">
        <f t="shared" si="13"/>
        <v>0</v>
      </c>
      <c r="E24" s="154">
        <f t="shared" si="34"/>
        <v>27354476</v>
      </c>
      <c r="F24" s="44">
        <f t="shared" si="14"/>
        <v>0</v>
      </c>
      <c r="G24" s="155">
        <f t="shared" si="27"/>
        <v>86743899</v>
      </c>
      <c r="H24" s="44">
        <f t="shared" si="15"/>
        <v>0</v>
      </c>
      <c r="I24" s="156">
        <f t="shared" si="16"/>
        <v>0</v>
      </c>
      <c r="J24" s="154">
        <v>8437636</v>
      </c>
      <c r="K24" s="44">
        <f t="shared" si="17"/>
        <v>0</v>
      </c>
      <c r="L24" s="157">
        <f t="shared" si="28"/>
        <v>8480562</v>
      </c>
      <c r="M24" s="44">
        <f t="shared" si="18"/>
        <v>0</v>
      </c>
      <c r="N24" s="154">
        <f t="shared" si="29"/>
        <v>5604628</v>
      </c>
      <c r="O24" s="44">
        <f t="shared" si="25"/>
        <v>0</v>
      </c>
      <c r="P24" s="157">
        <f t="shared" si="30"/>
        <v>4542159</v>
      </c>
      <c r="Q24" s="44">
        <f t="shared" si="19"/>
        <v>0</v>
      </c>
      <c r="R24" s="154">
        <f t="shared" si="31"/>
        <v>18319807</v>
      </c>
      <c r="S24" s="44">
        <f t="shared" si="20"/>
        <v>0</v>
      </c>
      <c r="T24" s="154">
        <v>0</v>
      </c>
      <c r="U24" s="158"/>
      <c r="V24" s="154">
        <f t="shared" si="32"/>
        <v>6074411</v>
      </c>
      <c r="W24" s="44">
        <f t="shared" si="21"/>
        <v>0</v>
      </c>
      <c r="X24" s="22">
        <f t="shared" si="22"/>
        <v>0</v>
      </c>
      <c r="Y24" s="159">
        <f t="shared" si="23"/>
        <v>0</v>
      </c>
      <c r="Z24" s="3">
        <f t="shared" si="24"/>
        <v>0</v>
      </c>
      <c r="AA24" s="3">
        <f t="shared" si="26"/>
        <v>0</v>
      </c>
    </row>
    <row r="25" spans="1:27" ht="16.5" thickBot="1" x14ac:dyDescent="0.3">
      <c r="A25" s="10">
        <v>44431</v>
      </c>
      <c r="B25" s="44"/>
      <c r="C25" s="153">
        <f t="shared" si="33"/>
        <v>18644</v>
      </c>
      <c r="D25" s="44">
        <f t="shared" si="13"/>
        <v>0</v>
      </c>
      <c r="E25" s="154">
        <f t="shared" si="34"/>
        <v>27354476</v>
      </c>
      <c r="F25" s="44">
        <f t="shared" si="14"/>
        <v>0</v>
      </c>
      <c r="G25" s="155">
        <f t="shared" si="27"/>
        <v>86743899</v>
      </c>
      <c r="H25" s="44">
        <f t="shared" si="15"/>
        <v>0</v>
      </c>
      <c r="I25" s="156">
        <f t="shared" si="16"/>
        <v>0</v>
      </c>
      <c r="J25" s="154">
        <v>8437636</v>
      </c>
      <c r="K25" s="44">
        <f t="shared" si="17"/>
        <v>0</v>
      </c>
      <c r="L25" s="157">
        <f t="shared" si="28"/>
        <v>8480562</v>
      </c>
      <c r="M25" s="44">
        <f t="shared" si="18"/>
        <v>0</v>
      </c>
      <c r="N25" s="154">
        <f t="shared" si="29"/>
        <v>5604628</v>
      </c>
      <c r="O25" s="44">
        <f t="shared" si="25"/>
        <v>0</v>
      </c>
      <c r="P25" s="157">
        <f t="shared" si="30"/>
        <v>4542159</v>
      </c>
      <c r="Q25" s="44">
        <f t="shared" si="19"/>
        <v>0</v>
      </c>
      <c r="R25" s="154">
        <f t="shared" si="31"/>
        <v>18319807</v>
      </c>
      <c r="S25" s="44">
        <f t="shared" si="20"/>
        <v>0</v>
      </c>
      <c r="T25" s="154">
        <v>0</v>
      </c>
      <c r="U25" s="158"/>
      <c r="V25" s="154">
        <f t="shared" si="32"/>
        <v>6074411</v>
      </c>
      <c r="W25" s="44">
        <f t="shared" si="21"/>
        <v>0</v>
      </c>
      <c r="X25" s="22">
        <f t="shared" si="22"/>
        <v>0</v>
      </c>
      <c r="Y25" s="159">
        <f t="shared" si="23"/>
        <v>0</v>
      </c>
      <c r="Z25" s="3">
        <f t="shared" si="24"/>
        <v>0</v>
      </c>
      <c r="AA25" s="3">
        <f t="shared" si="26"/>
        <v>0</v>
      </c>
    </row>
    <row r="26" spans="1:27" ht="16.5" thickBot="1" x14ac:dyDescent="0.3">
      <c r="A26" s="10">
        <v>44432</v>
      </c>
      <c r="B26" s="44"/>
      <c r="C26" s="153">
        <f t="shared" si="33"/>
        <v>18644</v>
      </c>
      <c r="D26" s="44">
        <f t="shared" si="13"/>
        <v>0</v>
      </c>
      <c r="E26" s="154">
        <f t="shared" si="34"/>
        <v>27354476</v>
      </c>
      <c r="F26" s="44">
        <f t="shared" si="14"/>
        <v>0</v>
      </c>
      <c r="G26" s="155">
        <f t="shared" si="27"/>
        <v>86743899</v>
      </c>
      <c r="H26" s="44">
        <f t="shared" si="15"/>
        <v>0</v>
      </c>
      <c r="I26" s="156">
        <f t="shared" si="16"/>
        <v>0</v>
      </c>
      <c r="J26" s="154">
        <v>8437636</v>
      </c>
      <c r="K26" s="44">
        <f t="shared" si="17"/>
        <v>0</v>
      </c>
      <c r="L26" s="157">
        <f t="shared" si="28"/>
        <v>8480562</v>
      </c>
      <c r="M26" s="44">
        <f t="shared" si="18"/>
        <v>0</v>
      </c>
      <c r="N26" s="154">
        <f t="shared" si="29"/>
        <v>5604628</v>
      </c>
      <c r="O26" s="44">
        <f t="shared" si="25"/>
        <v>0</v>
      </c>
      <c r="P26" s="157">
        <f t="shared" si="30"/>
        <v>4542159</v>
      </c>
      <c r="Q26" s="44">
        <f t="shared" si="19"/>
        <v>0</v>
      </c>
      <c r="R26" s="154">
        <f t="shared" si="31"/>
        <v>18319807</v>
      </c>
      <c r="S26" s="44">
        <f t="shared" si="20"/>
        <v>0</v>
      </c>
      <c r="T26" s="154">
        <v>0</v>
      </c>
      <c r="U26" s="158"/>
      <c r="V26" s="154">
        <f t="shared" si="32"/>
        <v>6074411</v>
      </c>
      <c r="W26" s="44">
        <f t="shared" si="21"/>
        <v>0</v>
      </c>
      <c r="X26" s="22">
        <f t="shared" si="22"/>
        <v>0</v>
      </c>
      <c r="Y26" s="159">
        <f t="shared" si="23"/>
        <v>0</v>
      </c>
      <c r="Z26" s="3">
        <f t="shared" si="24"/>
        <v>0</v>
      </c>
      <c r="AA26" s="3">
        <f t="shared" si="26"/>
        <v>0</v>
      </c>
    </row>
    <row r="27" spans="1:27" ht="16.5" thickBot="1" x14ac:dyDescent="0.3">
      <c r="A27" s="10">
        <v>44433</v>
      </c>
      <c r="B27" s="44"/>
      <c r="C27" s="153">
        <f t="shared" si="33"/>
        <v>18644</v>
      </c>
      <c r="D27" s="44">
        <f t="shared" si="13"/>
        <v>0</v>
      </c>
      <c r="E27" s="154">
        <f t="shared" si="34"/>
        <v>27354476</v>
      </c>
      <c r="F27" s="44">
        <f t="shared" si="14"/>
        <v>0</v>
      </c>
      <c r="G27" s="155">
        <f t="shared" si="27"/>
        <v>86743899</v>
      </c>
      <c r="H27" s="44">
        <f t="shared" si="15"/>
        <v>0</v>
      </c>
      <c r="I27" s="156">
        <f t="shared" si="16"/>
        <v>0</v>
      </c>
      <c r="J27" s="154">
        <v>8437636</v>
      </c>
      <c r="K27" s="44">
        <f t="shared" si="17"/>
        <v>0</v>
      </c>
      <c r="L27" s="157">
        <f t="shared" si="28"/>
        <v>8480562</v>
      </c>
      <c r="M27" s="44">
        <f t="shared" si="18"/>
        <v>0</v>
      </c>
      <c r="N27" s="154">
        <f t="shared" si="29"/>
        <v>5604628</v>
      </c>
      <c r="O27" s="44">
        <f t="shared" si="25"/>
        <v>0</v>
      </c>
      <c r="P27" s="157">
        <f t="shared" si="30"/>
        <v>4542159</v>
      </c>
      <c r="Q27" s="44">
        <f t="shared" si="19"/>
        <v>0</v>
      </c>
      <c r="R27" s="154">
        <f t="shared" si="31"/>
        <v>18319807</v>
      </c>
      <c r="S27" s="44">
        <f t="shared" si="20"/>
        <v>0</v>
      </c>
      <c r="T27" s="154">
        <v>0</v>
      </c>
      <c r="U27" s="158"/>
      <c r="V27" s="154">
        <f t="shared" si="32"/>
        <v>6074411</v>
      </c>
      <c r="W27" s="44">
        <f t="shared" si="21"/>
        <v>0</v>
      </c>
      <c r="X27" s="22">
        <f t="shared" si="22"/>
        <v>0</v>
      </c>
      <c r="Y27" s="159">
        <f t="shared" si="23"/>
        <v>0</v>
      </c>
      <c r="Z27" s="3">
        <f t="shared" si="24"/>
        <v>0</v>
      </c>
      <c r="AA27" s="3">
        <f t="shared" si="26"/>
        <v>0</v>
      </c>
    </row>
    <row r="28" spans="1:27" ht="16.5" thickBot="1" x14ac:dyDescent="0.3">
      <c r="A28" s="10">
        <v>44434</v>
      </c>
      <c r="B28" s="44"/>
      <c r="C28" s="153">
        <f t="shared" si="33"/>
        <v>18644</v>
      </c>
      <c r="D28" s="44">
        <f t="shared" si="13"/>
        <v>0</v>
      </c>
      <c r="E28" s="154">
        <f t="shared" si="34"/>
        <v>27354476</v>
      </c>
      <c r="F28" s="44">
        <f t="shared" si="14"/>
        <v>0</v>
      </c>
      <c r="G28" s="155">
        <f t="shared" si="27"/>
        <v>86743899</v>
      </c>
      <c r="H28" s="44">
        <f t="shared" si="15"/>
        <v>0</v>
      </c>
      <c r="I28" s="156">
        <f t="shared" si="16"/>
        <v>0</v>
      </c>
      <c r="J28" s="154">
        <v>8437636</v>
      </c>
      <c r="K28" s="44">
        <f t="shared" si="17"/>
        <v>0</v>
      </c>
      <c r="L28" s="157">
        <f t="shared" si="28"/>
        <v>8480562</v>
      </c>
      <c r="M28" s="44">
        <f t="shared" si="18"/>
        <v>0</v>
      </c>
      <c r="N28" s="154">
        <f t="shared" si="29"/>
        <v>5604628</v>
      </c>
      <c r="O28" s="44">
        <f t="shared" si="25"/>
        <v>0</v>
      </c>
      <c r="P28" s="157">
        <f t="shared" si="30"/>
        <v>4542159</v>
      </c>
      <c r="Q28" s="44">
        <f t="shared" si="19"/>
        <v>0</v>
      </c>
      <c r="R28" s="154">
        <f t="shared" si="31"/>
        <v>18319807</v>
      </c>
      <c r="S28" s="44">
        <f t="shared" si="20"/>
        <v>0</v>
      </c>
      <c r="T28" s="154">
        <v>0</v>
      </c>
      <c r="U28" s="158"/>
      <c r="V28" s="154">
        <f t="shared" si="32"/>
        <v>6074411</v>
      </c>
      <c r="W28" s="44">
        <f t="shared" si="21"/>
        <v>0</v>
      </c>
      <c r="X28" s="22">
        <f t="shared" si="22"/>
        <v>0</v>
      </c>
      <c r="Y28" s="159">
        <f t="shared" si="23"/>
        <v>0</v>
      </c>
      <c r="Z28" s="3">
        <f t="shared" si="24"/>
        <v>0</v>
      </c>
      <c r="AA28" s="3">
        <f t="shared" si="26"/>
        <v>0</v>
      </c>
    </row>
    <row r="29" spans="1:27" ht="16.5" thickBot="1" x14ac:dyDescent="0.3">
      <c r="A29" s="10">
        <v>44435</v>
      </c>
      <c r="B29" s="44"/>
      <c r="C29" s="153">
        <f t="shared" si="33"/>
        <v>18644</v>
      </c>
      <c r="D29" s="44">
        <f t="shared" si="13"/>
        <v>0</v>
      </c>
      <c r="E29" s="154">
        <f t="shared" si="34"/>
        <v>27354476</v>
      </c>
      <c r="F29" s="44">
        <f t="shared" si="14"/>
        <v>0</v>
      </c>
      <c r="G29" s="155">
        <f t="shared" si="27"/>
        <v>86743899</v>
      </c>
      <c r="H29" s="44">
        <f t="shared" si="15"/>
        <v>0</v>
      </c>
      <c r="I29" s="156">
        <f t="shared" si="16"/>
        <v>0</v>
      </c>
      <c r="J29" s="154">
        <v>8437636</v>
      </c>
      <c r="K29" s="44">
        <f t="shared" si="17"/>
        <v>0</v>
      </c>
      <c r="L29" s="157">
        <f t="shared" si="28"/>
        <v>8480562</v>
      </c>
      <c r="M29" s="44">
        <f t="shared" si="18"/>
        <v>0</v>
      </c>
      <c r="N29" s="154">
        <f t="shared" si="29"/>
        <v>5604628</v>
      </c>
      <c r="O29" s="44">
        <f t="shared" si="25"/>
        <v>0</v>
      </c>
      <c r="P29" s="157">
        <f t="shared" si="30"/>
        <v>4542159</v>
      </c>
      <c r="Q29" s="44">
        <f t="shared" si="19"/>
        <v>0</v>
      </c>
      <c r="R29" s="154">
        <f t="shared" si="31"/>
        <v>18319807</v>
      </c>
      <c r="S29" s="44">
        <f t="shared" si="20"/>
        <v>0</v>
      </c>
      <c r="T29" s="154">
        <v>0</v>
      </c>
      <c r="U29" s="158"/>
      <c r="V29" s="154">
        <f t="shared" si="32"/>
        <v>6074411</v>
      </c>
      <c r="W29" s="44">
        <f t="shared" si="21"/>
        <v>0</v>
      </c>
      <c r="X29" s="22">
        <f t="shared" si="22"/>
        <v>0</v>
      </c>
      <c r="Y29" s="159">
        <f t="shared" si="23"/>
        <v>0</v>
      </c>
      <c r="Z29" s="3">
        <f t="shared" si="24"/>
        <v>0</v>
      </c>
      <c r="AA29" s="3">
        <f t="shared" si="26"/>
        <v>0</v>
      </c>
    </row>
    <row r="30" spans="1:27" ht="16.5" thickBot="1" x14ac:dyDescent="0.3">
      <c r="A30" s="10">
        <v>44436</v>
      </c>
      <c r="B30" s="44"/>
      <c r="C30" s="153">
        <f t="shared" si="33"/>
        <v>18644</v>
      </c>
      <c r="D30" s="44">
        <f t="shared" si="13"/>
        <v>0</v>
      </c>
      <c r="E30" s="154">
        <f t="shared" si="34"/>
        <v>27354476</v>
      </c>
      <c r="F30" s="44">
        <f t="shared" si="14"/>
        <v>0</v>
      </c>
      <c r="G30" s="155">
        <f t="shared" si="27"/>
        <v>86743899</v>
      </c>
      <c r="H30" s="44">
        <f t="shared" si="15"/>
        <v>0</v>
      </c>
      <c r="I30" s="156">
        <f t="shared" si="16"/>
        <v>0</v>
      </c>
      <c r="J30" s="154">
        <v>8437636</v>
      </c>
      <c r="K30" s="44">
        <f t="shared" si="17"/>
        <v>0</v>
      </c>
      <c r="L30" s="157">
        <f t="shared" si="28"/>
        <v>8480562</v>
      </c>
      <c r="M30" s="44">
        <f t="shared" si="18"/>
        <v>0</v>
      </c>
      <c r="N30" s="154">
        <f t="shared" si="29"/>
        <v>5604628</v>
      </c>
      <c r="O30" s="44">
        <f t="shared" si="25"/>
        <v>0</v>
      </c>
      <c r="P30" s="157">
        <f t="shared" si="30"/>
        <v>4542159</v>
      </c>
      <c r="Q30" s="44">
        <f t="shared" si="19"/>
        <v>0</v>
      </c>
      <c r="R30" s="154">
        <f t="shared" si="31"/>
        <v>18319807</v>
      </c>
      <c r="S30" s="44">
        <f t="shared" si="20"/>
        <v>0</v>
      </c>
      <c r="T30" s="154">
        <v>0</v>
      </c>
      <c r="U30" s="158"/>
      <c r="V30" s="154">
        <f t="shared" si="32"/>
        <v>6074411</v>
      </c>
      <c r="W30" s="44">
        <f t="shared" si="21"/>
        <v>0</v>
      </c>
      <c r="X30" s="22">
        <f t="shared" si="22"/>
        <v>0</v>
      </c>
      <c r="Y30" s="159">
        <f t="shared" si="23"/>
        <v>0</v>
      </c>
      <c r="Z30" s="3">
        <f t="shared" si="24"/>
        <v>0</v>
      </c>
      <c r="AA30" s="3">
        <f t="shared" si="26"/>
        <v>0</v>
      </c>
    </row>
    <row r="31" spans="1:27" ht="16.5" thickBot="1" x14ac:dyDescent="0.3">
      <c r="A31" s="10">
        <v>44437</v>
      </c>
      <c r="B31" s="44"/>
      <c r="C31" s="153">
        <f t="shared" si="33"/>
        <v>18644</v>
      </c>
      <c r="D31" s="44">
        <f t="shared" si="13"/>
        <v>0</v>
      </c>
      <c r="E31" s="154">
        <f t="shared" si="34"/>
        <v>27354476</v>
      </c>
      <c r="F31" s="44">
        <f t="shared" si="14"/>
        <v>0</v>
      </c>
      <c r="G31" s="155">
        <f t="shared" si="27"/>
        <v>86743899</v>
      </c>
      <c r="H31" s="44">
        <f t="shared" si="15"/>
        <v>0</v>
      </c>
      <c r="I31" s="156">
        <f t="shared" si="16"/>
        <v>0</v>
      </c>
      <c r="J31" s="154">
        <v>8437636</v>
      </c>
      <c r="K31" s="44">
        <f t="shared" si="17"/>
        <v>0</v>
      </c>
      <c r="L31" s="157">
        <f t="shared" si="28"/>
        <v>8480562</v>
      </c>
      <c r="M31" s="44">
        <f t="shared" si="18"/>
        <v>0</v>
      </c>
      <c r="N31" s="154">
        <f t="shared" si="29"/>
        <v>5604628</v>
      </c>
      <c r="O31" s="44">
        <f t="shared" si="25"/>
        <v>0</v>
      </c>
      <c r="P31" s="157">
        <f t="shared" si="30"/>
        <v>4542159</v>
      </c>
      <c r="Q31" s="44">
        <f t="shared" si="19"/>
        <v>0</v>
      </c>
      <c r="R31" s="154">
        <f t="shared" si="31"/>
        <v>18319807</v>
      </c>
      <c r="S31" s="44">
        <f t="shared" si="20"/>
        <v>0</v>
      </c>
      <c r="T31" s="154">
        <v>0</v>
      </c>
      <c r="U31" s="11"/>
      <c r="V31" s="154">
        <f t="shared" si="32"/>
        <v>6074411</v>
      </c>
      <c r="W31" s="44">
        <f t="shared" si="21"/>
        <v>0</v>
      </c>
      <c r="X31" s="22">
        <f t="shared" si="22"/>
        <v>0</v>
      </c>
      <c r="Y31" s="159">
        <f t="shared" si="23"/>
        <v>0</v>
      </c>
      <c r="Z31" s="3">
        <f t="shared" si="24"/>
        <v>0</v>
      </c>
      <c r="AA31" s="3">
        <f t="shared" si="26"/>
        <v>0</v>
      </c>
    </row>
    <row r="32" spans="1:27" ht="16.5" thickBot="1" x14ac:dyDescent="0.3">
      <c r="A32" s="10">
        <v>44438</v>
      </c>
      <c r="B32" s="44"/>
      <c r="C32" s="153">
        <f t="shared" si="33"/>
        <v>18644</v>
      </c>
      <c r="D32" s="44">
        <f t="shared" si="13"/>
        <v>0</v>
      </c>
      <c r="E32" s="154">
        <f t="shared" si="34"/>
        <v>27354476</v>
      </c>
      <c r="F32" s="44">
        <f t="shared" si="14"/>
        <v>0</v>
      </c>
      <c r="G32" s="155">
        <f t="shared" si="27"/>
        <v>86743899</v>
      </c>
      <c r="H32" s="44">
        <f t="shared" si="15"/>
        <v>0</v>
      </c>
      <c r="I32" s="22">
        <f>F32+H32</f>
        <v>0</v>
      </c>
      <c r="J32" s="154">
        <v>8437636</v>
      </c>
      <c r="K32" s="44">
        <f t="shared" si="17"/>
        <v>0</v>
      </c>
      <c r="L32" s="157">
        <f t="shared" si="28"/>
        <v>8480562</v>
      </c>
      <c r="M32" s="44">
        <f t="shared" si="18"/>
        <v>0</v>
      </c>
      <c r="N32" s="154">
        <f t="shared" si="29"/>
        <v>5604628</v>
      </c>
      <c r="O32" s="44">
        <f t="shared" si="25"/>
        <v>0</v>
      </c>
      <c r="P32" s="157">
        <f t="shared" si="30"/>
        <v>4542159</v>
      </c>
      <c r="Q32" s="44">
        <f t="shared" si="19"/>
        <v>0</v>
      </c>
      <c r="R32" s="154">
        <f t="shared" si="31"/>
        <v>18319807</v>
      </c>
      <c r="S32" s="44">
        <f t="shared" si="20"/>
        <v>0</v>
      </c>
      <c r="T32" s="154">
        <v>0</v>
      </c>
      <c r="U32" s="11"/>
      <c r="V32" s="154">
        <f t="shared" si="32"/>
        <v>6074411</v>
      </c>
      <c r="W32" s="44">
        <f t="shared" si="21"/>
        <v>0</v>
      </c>
      <c r="X32" s="22">
        <f t="shared" si="22"/>
        <v>0</v>
      </c>
      <c r="Y32" s="159">
        <f t="shared" si="23"/>
        <v>0</v>
      </c>
      <c r="Z32" s="3">
        <f t="shared" si="24"/>
        <v>0</v>
      </c>
      <c r="AA32" s="3">
        <f t="shared" si="26"/>
        <v>0</v>
      </c>
    </row>
    <row r="33" spans="1:27" ht="16.5" thickBot="1" x14ac:dyDescent="0.3">
      <c r="A33" s="10">
        <v>44439</v>
      </c>
      <c r="B33" s="44"/>
      <c r="C33" s="153">
        <f t="shared" si="33"/>
        <v>18644</v>
      </c>
      <c r="D33" s="44">
        <f t="shared" si="13"/>
        <v>0</v>
      </c>
      <c r="E33" s="154">
        <f t="shared" si="34"/>
        <v>27354476</v>
      </c>
      <c r="F33" s="44">
        <f t="shared" si="14"/>
        <v>0</v>
      </c>
      <c r="G33" s="155">
        <f t="shared" si="27"/>
        <v>86743899</v>
      </c>
      <c r="H33" s="44">
        <f t="shared" si="15"/>
        <v>0</v>
      </c>
      <c r="I33" s="22">
        <f>F33+H33</f>
        <v>0</v>
      </c>
      <c r="J33" s="154">
        <v>8437636</v>
      </c>
      <c r="K33" s="44">
        <f t="shared" si="17"/>
        <v>0</v>
      </c>
      <c r="L33" s="157">
        <f t="shared" si="28"/>
        <v>8480562</v>
      </c>
      <c r="M33" s="44">
        <f t="shared" si="18"/>
        <v>0</v>
      </c>
      <c r="N33" s="154">
        <f t="shared" si="29"/>
        <v>5604628</v>
      </c>
      <c r="O33" s="44">
        <f t="shared" si="25"/>
        <v>0</v>
      </c>
      <c r="P33" s="157">
        <f t="shared" si="30"/>
        <v>4542159</v>
      </c>
      <c r="Q33" s="44">
        <f t="shared" si="19"/>
        <v>0</v>
      </c>
      <c r="R33" s="154">
        <f t="shared" si="31"/>
        <v>18319807</v>
      </c>
      <c r="S33" s="44">
        <f t="shared" si="20"/>
        <v>0</v>
      </c>
      <c r="T33" s="154">
        <v>0</v>
      </c>
      <c r="U33" s="11"/>
      <c r="V33" s="154">
        <f t="shared" si="32"/>
        <v>6074411</v>
      </c>
      <c r="W33" s="44">
        <f t="shared" si="21"/>
        <v>0</v>
      </c>
      <c r="X33" s="22">
        <f t="shared" si="22"/>
        <v>0</v>
      </c>
      <c r="Y33" s="159">
        <f t="shared" si="23"/>
        <v>0</v>
      </c>
      <c r="Z33" s="3">
        <f t="shared" si="24"/>
        <v>0</v>
      </c>
      <c r="AA33" s="3">
        <f t="shared" si="26"/>
        <v>0</v>
      </c>
    </row>
    <row r="34" spans="1:27" ht="16.5" thickBot="1" x14ac:dyDescent="0.3">
      <c r="A34" s="6" t="s">
        <v>23</v>
      </c>
      <c r="B34" s="144">
        <f>SUM(B2:B33)</f>
        <v>3589</v>
      </c>
      <c r="C34" s="144"/>
      <c r="D34" s="144">
        <f>SUM(D2:D33)</f>
        <v>32212</v>
      </c>
      <c r="E34" s="61">
        <v>0</v>
      </c>
      <c r="F34" s="61">
        <f>SUM(F2:F33)</f>
        <v>245324</v>
      </c>
      <c r="G34" s="61">
        <v>0</v>
      </c>
      <c r="H34" s="61">
        <f>SUM(H2:H33)</f>
        <v>768944</v>
      </c>
      <c r="I34" s="61">
        <f>SUM(I5:I33)</f>
        <v>861555</v>
      </c>
      <c r="J34" s="61">
        <v>0</v>
      </c>
      <c r="K34" s="61">
        <f>SUM(K2:K33)</f>
        <v>146931</v>
      </c>
      <c r="L34" s="61">
        <v>0</v>
      </c>
      <c r="M34" s="61">
        <f>SUM(M2:M33)</f>
        <v>77218</v>
      </c>
      <c r="N34" s="61">
        <v>0</v>
      </c>
      <c r="O34" s="61">
        <f>SUM(O2:O33)</f>
        <v>165456</v>
      </c>
      <c r="P34" s="61">
        <v>0</v>
      </c>
      <c r="Q34" s="61">
        <f>SUM(Q2:Q33)</f>
        <v>198576</v>
      </c>
      <c r="R34" s="61">
        <v>0</v>
      </c>
      <c r="S34" s="61">
        <f>SUM(S2:S33)</f>
        <v>150230</v>
      </c>
      <c r="T34" s="61">
        <f>SUM(T5:T33)</f>
        <v>0</v>
      </c>
      <c r="U34" s="61">
        <f>SUM(U2:U33)</f>
        <v>0</v>
      </c>
      <c r="V34" s="61">
        <v>0</v>
      </c>
      <c r="W34" s="61">
        <f>SUM(W2:W33)</f>
        <v>162679</v>
      </c>
      <c r="X34" s="61">
        <f>SUM(X5:X33)</f>
        <v>775036</v>
      </c>
      <c r="Y34" s="61">
        <f>SUM(Y2:Y33)</f>
        <v>113178</v>
      </c>
      <c r="Z34" s="61">
        <f>SUM(Z2:Z33)</f>
        <v>128647.9550928</v>
      </c>
      <c r="AA34" s="61">
        <f>SUM(AA2:AA33)</f>
        <v>505991.364008</v>
      </c>
    </row>
    <row r="35" spans="1:27" x14ac:dyDescent="0.25"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 t="s">
        <v>12</v>
      </c>
      <c r="V35" s="164"/>
      <c r="W35" s="164"/>
      <c r="X35" s="164"/>
      <c r="Y35" s="27"/>
    </row>
    <row r="36" spans="1:27" x14ac:dyDescent="0.25">
      <c r="Y36" s="27"/>
    </row>
    <row r="47" spans="1:27" ht="15" x14ac:dyDescent="0.2">
      <c r="A47" s="25"/>
      <c r="B47" s="45"/>
      <c r="C47" s="45"/>
      <c r="D47" s="45"/>
      <c r="Z47" s="25"/>
      <c r="AA47" s="25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J16" sqref="J16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1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8" t="s">
        <v>25</v>
      </c>
      <c r="J1" s="3" t="s">
        <v>23</v>
      </c>
      <c r="K1" s="3" t="s">
        <v>29</v>
      </c>
    </row>
    <row r="2" spans="1:14" ht="16.5" thickBot="1" x14ac:dyDescent="0.3">
      <c r="A2" s="10">
        <v>44408</v>
      </c>
      <c r="B2" s="3">
        <v>419728</v>
      </c>
      <c r="C2" s="44"/>
      <c r="D2" s="3">
        <v>4377000</v>
      </c>
      <c r="E2" s="44"/>
      <c r="F2" s="3">
        <v>4456700</v>
      </c>
      <c r="G2" s="44"/>
      <c r="H2" s="3">
        <v>741531</v>
      </c>
      <c r="I2" s="49"/>
      <c r="J2" s="22"/>
      <c r="K2" s="23"/>
    </row>
    <row r="3" spans="1:14" ht="16.5" thickBot="1" x14ac:dyDescent="0.3">
      <c r="A3" s="10">
        <v>44409</v>
      </c>
      <c r="B3" s="3">
        <v>419845</v>
      </c>
      <c r="C3" s="44">
        <f t="shared" ref="C3" si="0">(IF((B3-B2)&lt;0,"0",(B3-B2)))*10</f>
        <v>1170</v>
      </c>
      <c r="D3" s="3">
        <f>D2</f>
        <v>4377000</v>
      </c>
      <c r="E3" s="44">
        <f>(IF((D3-D2)&lt;0,"0",(D3-D2)))*0.027</f>
        <v>0</v>
      </c>
      <c r="F3" s="3">
        <v>4480600</v>
      </c>
      <c r="G3" s="44">
        <f>(IF((F3-F2)&lt;0,"0",(F3-F2)))*0.027</f>
        <v>645.29999999999995</v>
      </c>
      <c r="H3" s="3">
        <v>741613</v>
      </c>
      <c r="I3" s="49">
        <f>(IF((H3-H2)&lt;0,"0",(H3-H2)))*0.027</f>
        <v>2.214</v>
      </c>
      <c r="J3" s="22">
        <f t="shared" ref="J3" si="1">C3+E3+G3+I3</f>
        <v>1817.5139999999999</v>
      </c>
      <c r="K3" s="23">
        <f t="shared" ref="K3" si="2">J3*5.86</f>
        <v>10650.63204</v>
      </c>
    </row>
    <row r="4" spans="1:14" ht="16.5" thickBot="1" x14ac:dyDescent="0.3">
      <c r="A4" s="10">
        <v>44410</v>
      </c>
      <c r="B4" s="3">
        <v>419985</v>
      </c>
      <c r="C4" s="44">
        <f t="shared" ref="C4:C8" si="3">(IF((B4-B3)&lt;0,"0",(B4-B3)))*10</f>
        <v>1400</v>
      </c>
      <c r="D4" s="3">
        <f t="shared" ref="D4:D6" si="4">D3</f>
        <v>4377000</v>
      </c>
      <c r="E4" s="44">
        <f t="shared" ref="E4:E33" si="5">(IF((D4-D3)&lt;0,"0",(D4-D3)))*0.027</f>
        <v>0</v>
      </c>
      <c r="F4" s="3">
        <v>4507300</v>
      </c>
      <c r="G4" s="44">
        <f>(IF((F4-F3)&lt;0,"0",(F4-F3)))*0.027</f>
        <v>720.9</v>
      </c>
      <c r="H4" s="3">
        <v>741703</v>
      </c>
      <c r="I4" s="49">
        <f>(IF((H4-H3)&lt;0,"0",(H4-H3)))*0.027</f>
        <v>2.4300000000000002</v>
      </c>
      <c r="J4" s="22">
        <f t="shared" ref="J4:J33" si="6">C4+E4+G4+I4</f>
        <v>2123.33</v>
      </c>
      <c r="K4" s="23">
        <f t="shared" ref="K4:K33" si="7">J4*5.86</f>
        <v>12442.7138</v>
      </c>
    </row>
    <row r="5" spans="1:14" ht="16.5" thickBot="1" x14ac:dyDescent="0.3">
      <c r="A5" s="10">
        <v>44411</v>
      </c>
      <c r="B5" s="3">
        <v>420138</v>
      </c>
      <c r="C5" s="44">
        <f t="shared" si="3"/>
        <v>1530</v>
      </c>
      <c r="D5" s="3">
        <v>4377000</v>
      </c>
      <c r="E5" s="44">
        <f t="shared" si="5"/>
        <v>0</v>
      </c>
      <c r="F5" s="3">
        <v>4535100</v>
      </c>
      <c r="G5" s="44">
        <f t="shared" ref="G5:G33" si="8">(IF((F5-F4)&lt;0,"0",(F5-F4)))*0.027</f>
        <v>750.6</v>
      </c>
      <c r="H5" s="3">
        <v>741812</v>
      </c>
      <c r="I5" s="49">
        <f t="shared" ref="I5:I33" si="9">(IF((H5-H4)&lt;0,"0",(H5-H4)))*0.027</f>
        <v>2.9430000000000001</v>
      </c>
      <c r="J5" s="22">
        <f t="shared" si="6"/>
        <v>2283.5430000000001</v>
      </c>
      <c r="K5" s="23">
        <f t="shared" si="7"/>
        <v>13381.561980000002</v>
      </c>
    </row>
    <row r="6" spans="1:14" ht="16.5" thickBot="1" x14ac:dyDescent="0.3">
      <c r="A6" s="10">
        <v>44412</v>
      </c>
      <c r="B6" s="3">
        <v>420287</v>
      </c>
      <c r="C6" s="44">
        <f t="shared" si="3"/>
        <v>1490</v>
      </c>
      <c r="D6" s="3">
        <f t="shared" si="4"/>
        <v>4377000</v>
      </c>
      <c r="E6" s="44">
        <f t="shared" si="5"/>
        <v>0</v>
      </c>
      <c r="F6" s="3">
        <v>4564400</v>
      </c>
      <c r="G6" s="44">
        <f t="shared" si="8"/>
        <v>791.1</v>
      </c>
      <c r="H6" s="3">
        <f t="shared" ref="H6" si="10">H5</f>
        <v>741812</v>
      </c>
      <c r="I6" s="49">
        <f t="shared" si="9"/>
        <v>0</v>
      </c>
      <c r="J6" s="22">
        <f t="shared" si="6"/>
        <v>2281.1</v>
      </c>
      <c r="K6" s="23">
        <f t="shared" si="7"/>
        <v>13367.246000000001</v>
      </c>
    </row>
    <row r="7" spans="1:14" ht="16.5" thickBot="1" x14ac:dyDescent="0.3">
      <c r="A7" s="10">
        <v>44413</v>
      </c>
      <c r="B7" s="3">
        <v>420404</v>
      </c>
      <c r="C7" s="44">
        <f t="shared" si="3"/>
        <v>1170</v>
      </c>
      <c r="D7" s="3">
        <v>4377000</v>
      </c>
      <c r="E7" s="44">
        <f t="shared" si="5"/>
        <v>0</v>
      </c>
      <c r="F7" s="3">
        <v>4564400</v>
      </c>
      <c r="G7" s="44">
        <f t="shared" si="8"/>
        <v>0</v>
      </c>
      <c r="H7" s="3">
        <v>741812</v>
      </c>
      <c r="I7" s="49">
        <f t="shared" si="9"/>
        <v>0</v>
      </c>
      <c r="J7" s="22">
        <f t="shared" si="6"/>
        <v>1170</v>
      </c>
      <c r="K7" s="23">
        <f t="shared" si="7"/>
        <v>6856.2000000000007</v>
      </c>
      <c r="L7" t="s">
        <v>12</v>
      </c>
      <c r="N7" t="s">
        <v>12</v>
      </c>
    </row>
    <row r="8" spans="1:14" ht="16.5" thickBot="1" x14ac:dyDescent="0.3">
      <c r="A8" s="10">
        <v>44414</v>
      </c>
      <c r="B8" s="3">
        <v>420530</v>
      </c>
      <c r="C8" s="44">
        <f t="shared" si="3"/>
        <v>1260</v>
      </c>
      <c r="D8" s="3">
        <v>4370000</v>
      </c>
      <c r="E8" s="44">
        <f t="shared" si="5"/>
        <v>0</v>
      </c>
      <c r="F8" s="3">
        <v>4621600</v>
      </c>
      <c r="G8" s="44">
        <f t="shared" si="8"/>
        <v>1544.4</v>
      </c>
      <c r="H8" s="3">
        <v>742088</v>
      </c>
      <c r="I8" s="49">
        <f t="shared" si="9"/>
        <v>7.452</v>
      </c>
      <c r="J8" s="22">
        <f t="shared" si="6"/>
        <v>2811.8520000000003</v>
      </c>
      <c r="K8" s="23">
        <f t="shared" si="7"/>
        <v>16477.452720000001</v>
      </c>
    </row>
    <row r="9" spans="1:14" ht="16.5" thickBot="1" x14ac:dyDescent="0.3">
      <c r="A9" s="10">
        <v>44415</v>
      </c>
      <c r="B9" s="3">
        <v>420639</v>
      </c>
      <c r="C9" s="44">
        <f t="shared" ref="C9:C33" si="11">(IF((B9-B8)&lt;0,"0",(B9-B8)))*10</f>
        <v>1090</v>
      </c>
      <c r="D9" s="3">
        <v>4377000</v>
      </c>
      <c r="E9" s="44">
        <f t="shared" si="5"/>
        <v>189</v>
      </c>
      <c r="F9" s="3">
        <v>4646300</v>
      </c>
      <c r="G9" s="44">
        <f t="shared" si="8"/>
        <v>666.9</v>
      </c>
      <c r="H9" s="3">
        <v>742264</v>
      </c>
      <c r="I9" s="49">
        <f t="shared" si="9"/>
        <v>4.7519999999999998</v>
      </c>
      <c r="J9" s="22">
        <f t="shared" si="6"/>
        <v>1950.652</v>
      </c>
      <c r="K9" s="23">
        <f t="shared" si="7"/>
        <v>11430.820720000002</v>
      </c>
    </row>
    <row r="10" spans="1:14" ht="16.5" thickBot="1" x14ac:dyDescent="0.3">
      <c r="A10" s="10">
        <v>44416</v>
      </c>
      <c r="B10" s="3">
        <v>420783</v>
      </c>
      <c r="C10" s="44">
        <f>(IF((B10-B9)&lt;0,"0",(B10-B9)))*10</f>
        <v>1440</v>
      </c>
      <c r="D10" s="3">
        <v>4377000</v>
      </c>
      <c r="E10" s="44">
        <f t="shared" si="5"/>
        <v>0</v>
      </c>
      <c r="F10" s="3">
        <v>4675700</v>
      </c>
      <c r="G10" s="44">
        <f t="shared" si="8"/>
        <v>793.8</v>
      </c>
      <c r="H10" s="3">
        <v>742400</v>
      </c>
      <c r="I10" s="49">
        <f t="shared" si="9"/>
        <v>3.6720000000000002</v>
      </c>
      <c r="J10" s="22">
        <f t="shared" si="6"/>
        <v>2237.4720000000002</v>
      </c>
      <c r="K10" s="23">
        <f t="shared" si="7"/>
        <v>13111.585920000001</v>
      </c>
    </row>
    <row r="11" spans="1:14" ht="16.5" thickBot="1" x14ac:dyDescent="0.3">
      <c r="A11" s="10">
        <v>44417</v>
      </c>
      <c r="B11" s="3">
        <v>420891</v>
      </c>
      <c r="C11" s="44">
        <f t="shared" si="11"/>
        <v>1080</v>
      </c>
      <c r="D11" s="3">
        <v>4377000</v>
      </c>
      <c r="E11" s="44">
        <f t="shared" si="5"/>
        <v>0</v>
      </c>
      <c r="F11" s="3">
        <v>4698800</v>
      </c>
      <c r="G11" s="44">
        <f t="shared" si="8"/>
        <v>623.70000000000005</v>
      </c>
      <c r="H11" s="3">
        <v>742500</v>
      </c>
      <c r="I11" s="49">
        <f t="shared" si="9"/>
        <v>2.7</v>
      </c>
      <c r="J11" s="22">
        <f t="shared" si="6"/>
        <v>1706.4</v>
      </c>
      <c r="K11" s="23">
        <f t="shared" si="7"/>
        <v>9999.5040000000008</v>
      </c>
      <c r="N11" t="s">
        <v>12</v>
      </c>
    </row>
    <row r="12" spans="1:14" ht="16.5" thickBot="1" x14ac:dyDescent="0.3">
      <c r="A12" s="10">
        <v>44418</v>
      </c>
      <c r="B12" s="3">
        <v>421014</v>
      </c>
      <c r="C12" s="44">
        <f t="shared" si="11"/>
        <v>1230</v>
      </c>
      <c r="D12" s="3">
        <v>4377000</v>
      </c>
      <c r="E12" s="44">
        <f t="shared" si="5"/>
        <v>0</v>
      </c>
      <c r="F12" s="3">
        <v>4725700</v>
      </c>
      <c r="G12" s="44">
        <f t="shared" si="8"/>
        <v>726.3</v>
      </c>
      <c r="H12" s="3">
        <v>742608</v>
      </c>
      <c r="I12" s="49">
        <f t="shared" si="9"/>
        <v>2.9159999999999999</v>
      </c>
      <c r="J12" s="22">
        <f t="shared" si="6"/>
        <v>1959.2159999999999</v>
      </c>
      <c r="K12" s="23">
        <f t="shared" si="7"/>
        <v>11481.00576</v>
      </c>
    </row>
    <row r="13" spans="1:14" ht="16.5" thickBot="1" x14ac:dyDescent="0.3">
      <c r="A13" s="10">
        <v>44419</v>
      </c>
      <c r="B13" s="3">
        <v>421136</v>
      </c>
      <c r="C13" s="44">
        <f t="shared" si="11"/>
        <v>1220</v>
      </c>
      <c r="D13" s="3">
        <v>4377000</v>
      </c>
      <c r="E13" s="44">
        <f t="shared" si="5"/>
        <v>0</v>
      </c>
      <c r="F13" s="3">
        <v>4751000</v>
      </c>
      <c r="G13" s="44">
        <f t="shared" si="8"/>
        <v>683.1</v>
      </c>
      <c r="H13" s="3">
        <v>742747</v>
      </c>
      <c r="I13" s="49">
        <f t="shared" si="9"/>
        <v>3.7530000000000001</v>
      </c>
      <c r="J13" s="22">
        <f t="shared" si="6"/>
        <v>1906.8529999999998</v>
      </c>
      <c r="K13" s="23">
        <f t="shared" si="7"/>
        <v>11174.158579999999</v>
      </c>
    </row>
    <row r="14" spans="1:14" ht="16.5" thickBot="1" x14ac:dyDescent="0.3">
      <c r="A14" s="10">
        <v>44420</v>
      </c>
      <c r="B14" s="3">
        <v>421014</v>
      </c>
      <c r="C14" s="44">
        <f t="shared" si="11"/>
        <v>0</v>
      </c>
      <c r="D14" s="3">
        <v>4377000</v>
      </c>
      <c r="E14" s="44">
        <f t="shared" si="5"/>
        <v>0</v>
      </c>
      <c r="F14" s="3">
        <v>4757000</v>
      </c>
      <c r="G14" s="44">
        <v>0</v>
      </c>
      <c r="H14" s="3">
        <v>742608</v>
      </c>
      <c r="I14" s="49">
        <f t="shared" si="9"/>
        <v>0</v>
      </c>
      <c r="J14" s="22">
        <f t="shared" si="6"/>
        <v>0</v>
      </c>
      <c r="K14" s="23">
        <f t="shared" si="7"/>
        <v>0</v>
      </c>
    </row>
    <row r="15" spans="1:14" ht="16.5" thickBot="1" x14ac:dyDescent="0.3">
      <c r="A15" s="10">
        <v>44421</v>
      </c>
      <c r="B15" s="3">
        <v>421382</v>
      </c>
      <c r="C15" s="44">
        <f t="shared" si="11"/>
        <v>3680</v>
      </c>
      <c r="D15" s="3">
        <v>4377000</v>
      </c>
      <c r="E15" s="44">
        <f t="shared" si="5"/>
        <v>0</v>
      </c>
      <c r="F15" s="3">
        <v>4801500</v>
      </c>
      <c r="G15" s="44">
        <f t="shared" si="8"/>
        <v>1201.5</v>
      </c>
      <c r="H15" s="3">
        <v>742863</v>
      </c>
      <c r="I15" s="49">
        <f t="shared" si="9"/>
        <v>6.8849999999999998</v>
      </c>
      <c r="J15" s="22">
        <f t="shared" si="6"/>
        <v>4888.3850000000002</v>
      </c>
      <c r="K15" s="23">
        <f t="shared" si="7"/>
        <v>28645.936100000003</v>
      </c>
    </row>
    <row r="16" spans="1:14" ht="16.5" thickBot="1" x14ac:dyDescent="0.3">
      <c r="A16" s="10">
        <v>44422</v>
      </c>
      <c r="B16" s="3">
        <v>421497</v>
      </c>
      <c r="C16" s="44">
        <f t="shared" si="11"/>
        <v>1150</v>
      </c>
      <c r="D16" s="3">
        <v>4377000</v>
      </c>
      <c r="E16" s="44">
        <f t="shared" si="5"/>
        <v>0</v>
      </c>
      <c r="F16" s="3">
        <v>4825800</v>
      </c>
      <c r="G16" s="44">
        <f t="shared" si="8"/>
        <v>656.1</v>
      </c>
      <c r="H16" s="3">
        <v>742912</v>
      </c>
      <c r="I16" s="49">
        <f t="shared" si="9"/>
        <v>1.323</v>
      </c>
      <c r="J16" s="22">
        <f t="shared" si="6"/>
        <v>1807.423</v>
      </c>
      <c r="K16" s="23">
        <f t="shared" si="7"/>
        <v>10591.49878</v>
      </c>
    </row>
    <row r="17" spans="1:25" ht="16.5" thickBot="1" x14ac:dyDescent="0.3">
      <c r="A17" s="10">
        <v>44423</v>
      </c>
      <c r="B17" s="3"/>
      <c r="C17" s="44">
        <f t="shared" si="11"/>
        <v>0</v>
      </c>
      <c r="D17" s="3"/>
      <c r="E17" s="44">
        <f t="shared" si="5"/>
        <v>0</v>
      </c>
      <c r="F17" s="3"/>
      <c r="G17" s="44">
        <f t="shared" si="8"/>
        <v>0</v>
      </c>
      <c r="H17" s="3"/>
      <c r="I17" s="49">
        <f t="shared" si="9"/>
        <v>0</v>
      </c>
      <c r="J17" s="22">
        <f t="shared" si="6"/>
        <v>0</v>
      </c>
      <c r="K17" s="23">
        <f t="shared" si="7"/>
        <v>0</v>
      </c>
      <c r="P17" t="s">
        <v>12</v>
      </c>
      <c r="R17" t="s">
        <v>12</v>
      </c>
    </row>
    <row r="18" spans="1:25" ht="16.5" thickBot="1" x14ac:dyDescent="0.3">
      <c r="A18" s="10">
        <v>44424</v>
      </c>
      <c r="B18" s="3"/>
      <c r="C18" s="44">
        <f t="shared" si="11"/>
        <v>0</v>
      </c>
      <c r="D18" s="3"/>
      <c r="E18" s="44">
        <f t="shared" si="5"/>
        <v>0</v>
      </c>
      <c r="F18" s="3"/>
      <c r="G18" s="44">
        <f t="shared" si="8"/>
        <v>0</v>
      </c>
      <c r="H18" s="3"/>
      <c r="I18" s="49">
        <f t="shared" si="9"/>
        <v>0</v>
      </c>
      <c r="J18" s="22">
        <f t="shared" si="6"/>
        <v>0</v>
      </c>
      <c r="K18" s="23">
        <f t="shared" si="7"/>
        <v>0</v>
      </c>
      <c r="Q18" t="s">
        <v>43</v>
      </c>
    </row>
    <row r="19" spans="1:25" ht="16.5" thickBot="1" x14ac:dyDescent="0.3">
      <c r="A19" s="10">
        <v>44425</v>
      </c>
      <c r="B19" s="3"/>
      <c r="C19" s="44">
        <f t="shared" si="11"/>
        <v>0</v>
      </c>
      <c r="D19" s="3"/>
      <c r="E19" s="44">
        <f t="shared" si="5"/>
        <v>0</v>
      </c>
      <c r="F19" s="3"/>
      <c r="G19" s="44">
        <f t="shared" si="8"/>
        <v>0</v>
      </c>
      <c r="H19" s="3"/>
      <c r="I19" s="49">
        <f t="shared" si="9"/>
        <v>0</v>
      </c>
      <c r="J19" s="22">
        <f t="shared" si="6"/>
        <v>0</v>
      </c>
      <c r="K19" s="23">
        <f t="shared" si="7"/>
        <v>0</v>
      </c>
      <c r="Q19" t="s">
        <v>12</v>
      </c>
    </row>
    <row r="20" spans="1:25" ht="16.5" thickBot="1" x14ac:dyDescent="0.3">
      <c r="A20" s="10">
        <v>44426</v>
      </c>
      <c r="B20" s="3"/>
      <c r="C20" s="44">
        <f t="shared" si="11"/>
        <v>0</v>
      </c>
      <c r="D20" s="3"/>
      <c r="E20" s="44">
        <f t="shared" si="5"/>
        <v>0</v>
      </c>
      <c r="F20" s="3"/>
      <c r="G20" s="44">
        <f t="shared" si="8"/>
        <v>0</v>
      </c>
      <c r="H20" s="3"/>
      <c r="I20" s="49">
        <f t="shared" si="9"/>
        <v>0</v>
      </c>
      <c r="J20" s="22">
        <f t="shared" si="6"/>
        <v>0</v>
      </c>
      <c r="K20" s="23">
        <f t="shared" si="7"/>
        <v>0</v>
      </c>
    </row>
    <row r="21" spans="1:25" ht="16.5" thickBot="1" x14ac:dyDescent="0.3">
      <c r="A21" s="10">
        <v>44427</v>
      </c>
      <c r="B21" s="3"/>
      <c r="C21" s="44">
        <f t="shared" si="11"/>
        <v>0</v>
      </c>
      <c r="D21" s="3"/>
      <c r="E21" s="44">
        <f t="shared" si="5"/>
        <v>0</v>
      </c>
      <c r="F21" s="3"/>
      <c r="G21" s="44">
        <f t="shared" si="8"/>
        <v>0</v>
      </c>
      <c r="H21" s="3"/>
      <c r="I21" s="49">
        <f t="shared" si="9"/>
        <v>0</v>
      </c>
      <c r="J21" s="22">
        <f t="shared" si="6"/>
        <v>0</v>
      </c>
      <c r="K21" s="23">
        <f t="shared" si="7"/>
        <v>0</v>
      </c>
    </row>
    <row r="22" spans="1:25" ht="16.5" thickBot="1" x14ac:dyDescent="0.3">
      <c r="A22" s="10">
        <v>44428</v>
      </c>
      <c r="B22" s="3"/>
      <c r="C22" s="44">
        <f t="shared" si="11"/>
        <v>0</v>
      </c>
      <c r="D22" s="3"/>
      <c r="E22" s="44">
        <f t="shared" si="5"/>
        <v>0</v>
      </c>
      <c r="F22" s="3"/>
      <c r="G22" s="44">
        <f t="shared" si="8"/>
        <v>0</v>
      </c>
      <c r="H22" s="3"/>
      <c r="I22" s="49">
        <f t="shared" si="9"/>
        <v>0</v>
      </c>
      <c r="J22" s="22">
        <f t="shared" si="6"/>
        <v>0</v>
      </c>
      <c r="K22" s="23">
        <f t="shared" si="7"/>
        <v>0</v>
      </c>
      <c r="P22" t="s">
        <v>12</v>
      </c>
      <c r="S22" s="31" t="s">
        <v>12</v>
      </c>
    </row>
    <row r="23" spans="1:25" ht="16.5" thickBot="1" x14ac:dyDescent="0.3">
      <c r="A23" s="10">
        <v>44429</v>
      </c>
      <c r="B23" s="3"/>
      <c r="C23" s="44">
        <f t="shared" si="11"/>
        <v>0</v>
      </c>
      <c r="D23" s="3"/>
      <c r="E23" s="44">
        <f t="shared" si="5"/>
        <v>0</v>
      </c>
      <c r="F23" s="3"/>
      <c r="G23" s="44">
        <f t="shared" si="8"/>
        <v>0</v>
      </c>
      <c r="H23" s="3"/>
      <c r="I23" s="49">
        <f t="shared" si="9"/>
        <v>0</v>
      </c>
      <c r="J23" s="22">
        <f t="shared" si="6"/>
        <v>0</v>
      </c>
      <c r="K23" s="23">
        <f t="shared" si="7"/>
        <v>0</v>
      </c>
      <c r="Q23" t="s">
        <v>12</v>
      </c>
    </row>
    <row r="24" spans="1:25" ht="16.5" thickBot="1" x14ac:dyDescent="0.3">
      <c r="A24" s="10">
        <v>44430</v>
      </c>
      <c r="B24" s="3"/>
      <c r="C24" s="44">
        <f t="shared" si="11"/>
        <v>0</v>
      </c>
      <c r="D24" s="3"/>
      <c r="E24" s="44">
        <f t="shared" si="5"/>
        <v>0</v>
      </c>
      <c r="F24" s="3"/>
      <c r="G24" s="44">
        <f t="shared" si="8"/>
        <v>0</v>
      </c>
      <c r="H24" s="3"/>
      <c r="I24" s="49">
        <f t="shared" si="9"/>
        <v>0</v>
      </c>
      <c r="J24" s="22">
        <f t="shared" si="6"/>
        <v>0</v>
      </c>
      <c r="K24" s="23">
        <f t="shared" si="7"/>
        <v>0</v>
      </c>
    </row>
    <row r="25" spans="1:25" ht="17.25" customHeight="1" thickBot="1" x14ac:dyDescent="0.4">
      <c r="A25" s="10">
        <v>44431</v>
      </c>
      <c r="B25" s="3"/>
      <c r="C25" s="44">
        <f t="shared" si="11"/>
        <v>0</v>
      </c>
      <c r="D25" s="3"/>
      <c r="E25" s="44">
        <f t="shared" si="5"/>
        <v>0</v>
      </c>
      <c r="F25" s="3"/>
      <c r="G25" s="44">
        <f>F25-F24</f>
        <v>0</v>
      </c>
      <c r="H25" s="3"/>
      <c r="I25" s="49">
        <f t="shared" si="9"/>
        <v>0</v>
      </c>
      <c r="J25" s="22">
        <f t="shared" si="6"/>
        <v>0</v>
      </c>
      <c r="K25" s="23">
        <f t="shared" si="7"/>
        <v>0</v>
      </c>
      <c r="Y25" s="60"/>
    </row>
    <row r="26" spans="1:25" ht="16.5" thickBot="1" x14ac:dyDescent="0.3">
      <c r="A26" s="10">
        <v>44432</v>
      </c>
      <c r="B26" s="3"/>
      <c r="C26" s="44">
        <f t="shared" si="11"/>
        <v>0</v>
      </c>
      <c r="D26" s="3"/>
      <c r="E26" s="44">
        <f t="shared" si="5"/>
        <v>0</v>
      </c>
      <c r="F26" s="3"/>
      <c r="G26" s="44">
        <f t="shared" si="8"/>
        <v>0</v>
      </c>
      <c r="H26" s="3"/>
      <c r="I26" s="49">
        <f t="shared" si="9"/>
        <v>0</v>
      </c>
      <c r="J26" s="22">
        <f t="shared" si="6"/>
        <v>0</v>
      </c>
      <c r="K26" s="23">
        <f t="shared" si="7"/>
        <v>0</v>
      </c>
      <c r="L26" t="s">
        <v>12</v>
      </c>
    </row>
    <row r="27" spans="1:25" ht="16.5" thickBot="1" x14ac:dyDescent="0.3">
      <c r="A27" s="10">
        <v>44433</v>
      </c>
      <c r="B27" s="3"/>
      <c r="C27" s="44">
        <f t="shared" si="11"/>
        <v>0</v>
      </c>
      <c r="D27" s="3"/>
      <c r="E27" s="44">
        <f t="shared" si="5"/>
        <v>0</v>
      </c>
      <c r="F27" s="3"/>
      <c r="G27" s="44">
        <f t="shared" si="8"/>
        <v>0</v>
      </c>
      <c r="H27" s="3"/>
      <c r="I27" s="49">
        <f t="shared" si="9"/>
        <v>0</v>
      </c>
      <c r="J27" s="22">
        <f t="shared" si="6"/>
        <v>0</v>
      </c>
      <c r="K27" s="23">
        <f t="shared" si="7"/>
        <v>0</v>
      </c>
      <c r="O27" t="s">
        <v>12</v>
      </c>
    </row>
    <row r="28" spans="1:25" ht="16.5" thickBot="1" x14ac:dyDescent="0.3">
      <c r="A28" s="10">
        <v>44434</v>
      </c>
      <c r="B28" s="3"/>
      <c r="C28" s="44">
        <f t="shared" si="11"/>
        <v>0</v>
      </c>
      <c r="D28" s="3"/>
      <c r="E28" s="44">
        <f t="shared" si="5"/>
        <v>0</v>
      </c>
      <c r="F28" s="3"/>
      <c r="G28" s="44">
        <f t="shared" si="8"/>
        <v>0</v>
      </c>
      <c r="H28" s="3"/>
      <c r="I28" s="49">
        <f t="shared" si="9"/>
        <v>0</v>
      </c>
      <c r="J28" s="22">
        <f t="shared" si="6"/>
        <v>0</v>
      </c>
      <c r="K28" s="23">
        <f t="shared" si="7"/>
        <v>0</v>
      </c>
    </row>
    <row r="29" spans="1:25" ht="16.5" thickBot="1" x14ac:dyDescent="0.3">
      <c r="A29" s="10">
        <v>44435</v>
      </c>
      <c r="B29" s="3"/>
      <c r="C29" s="44">
        <f t="shared" si="11"/>
        <v>0</v>
      </c>
      <c r="D29" s="3"/>
      <c r="E29" s="44">
        <f t="shared" si="5"/>
        <v>0</v>
      </c>
      <c r="F29" s="3"/>
      <c r="G29" s="44">
        <f t="shared" si="8"/>
        <v>0</v>
      </c>
      <c r="H29" s="3"/>
      <c r="I29" s="49">
        <f t="shared" si="9"/>
        <v>0</v>
      </c>
      <c r="J29" s="22">
        <f t="shared" si="6"/>
        <v>0</v>
      </c>
      <c r="K29" s="23">
        <f t="shared" si="7"/>
        <v>0</v>
      </c>
    </row>
    <row r="30" spans="1:25" ht="16.5" thickBot="1" x14ac:dyDescent="0.3">
      <c r="A30" s="10">
        <v>44436</v>
      </c>
      <c r="B30" s="3"/>
      <c r="C30" s="44">
        <f t="shared" si="11"/>
        <v>0</v>
      </c>
      <c r="D30" s="3"/>
      <c r="E30" s="44">
        <f t="shared" si="5"/>
        <v>0</v>
      </c>
      <c r="F30" s="3"/>
      <c r="G30" s="44">
        <f t="shared" si="8"/>
        <v>0</v>
      </c>
      <c r="H30" s="3"/>
      <c r="I30" s="49">
        <f t="shared" si="9"/>
        <v>0</v>
      </c>
      <c r="J30" s="22">
        <f t="shared" si="6"/>
        <v>0</v>
      </c>
      <c r="K30" s="23">
        <f t="shared" si="7"/>
        <v>0</v>
      </c>
    </row>
    <row r="31" spans="1:25" ht="16.5" thickBot="1" x14ac:dyDescent="0.3">
      <c r="A31" s="10">
        <v>44437</v>
      </c>
      <c r="B31" s="3"/>
      <c r="C31" s="44">
        <f t="shared" si="11"/>
        <v>0</v>
      </c>
      <c r="D31" s="3"/>
      <c r="E31" s="44">
        <f t="shared" si="5"/>
        <v>0</v>
      </c>
      <c r="F31" s="3"/>
      <c r="G31" s="44">
        <f t="shared" si="8"/>
        <v>0</v>
      </c>
      <c r="H31" s="3"/>
      <c r="I31" s="49">
        <f t="shared" si="9"/>
        <v>0</v>
      </c>
      <c r="J31" s="22">
        <f t="shared" si="6"/>
        <v>0</v>
      </c>
      <c r="K31" s="23">
        <f t="shared" si="7"/>
        <v>0</v>
      </c>
    </row>
    <row r="32" spans="1:25" ht="16.5" thickBot="1" x14ac:dyDescent="0.3">
      <c r="A32" s="10">
        <v>44438</v>
      </c>
      <c r="B32" s="3"/>
      <c r="C32" s="44">
        <f t="shared" si="11"/>
        <v>0</v>
      </c>
      <c r="D32" s="3"/>
      <c r="E32" s="44">
        <f t="shared" si="5"/>
        <v>0</v>
      </c>
      <c r="F32" s="3"/>
      <c r="G32" s="44">
        <f t="shared" si="8"/>
        <v>0</v>
      </c>
      <c r="H32" s="3"/>
      <c r="I32" s="49">
        <f t="shared" si="9"/>
        <v>0</v>
      </c>
      <c r="J32" s="22">
        <f t="shared" si="6"/>
        <v>0</v>
      </c>
      <c r="K32" s="23">
        <f t="shared" si="7"/>
        <v>0</v>
      </c>
    </row>
    <row r="33" spans="1:11" ht="16.5" thickBot="1" x14ac:dyDescent="0.3">
      <c r="A33" s="10">
        <v>44439</v>
      </c>
      <c r="B33" s="3"/>
      <c r="C33" s="44">
        <f t="shared" si="11"/>
        <v>0</v>
      </c>
      <c r="D33" s="3"/>
      <c r="E33" s="44">
        <f t="shared" si="5"/>
        <v>0</v>
      </c>
      <c r="F33" s="3"/>
      <c r="G33" s="44">
        <f t="shared" si="8"/>
        <v>0</v>
      </c>
      <c r="H33" s="3"/>
      <c r="I33" s="49">
        <f t="shared" si="9"/>
        <v>0</v>
      </c>
      <c r="J33" s="22">
        <f t="shared" si="6"/>
        <v>0</v>
      </c>
      <c r="K33" s="23">
        <f t="shared" si="7"/>
        <v>0</v>
      </c>
    </row>
    <row r="34" spans="1:11" ht="21" thickBot="1" x14ac:dyDescent="0.3">
      <c r="A34" s="9" t="s">
        <v>23</v>
      </c>
      <c r="B34" s="3"/>
      <c r="C34" s="61">
        <f>SUM(C3:C33)</f>
        <v>18910</v>
      </c>
      <c r="D34" s="3"/>
      <c r="E34" s="61">
        <f>SUM(E3:E33)</f>
        <v>189</v>
      </c>
      <c r="F34" s="3"/>
      <c r="G34" s="61">
        <f>SUM(G3:G33)</f>
        <v>9803.6999999999989</v>
      </c>
      <c r="H34" s="3"/>
      <c r="I34" s="61">
        <f>SUM(I3:I33)</f>
        <v>41.04</v>
      </c>
      <c r="J34" s="61">
        <f>SUM(J3:J33)</f>
        <v>28943.74</v>
      </c>
      <c r="K34" s="61">
        <f>SUM(K3:K33)</f>
        <v>169610.31640000001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B17" sqref="B17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1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28" t="s">
        <v>0</v>
      </c>
      <c r="B1" s="29" t="s">
        <v>42</v>
      </c>
      <c r="C1" s="30" t="s">
        <v>25</v>
      </c>
    </row>
    <row r="2" spans="1:9" ht="24" thickBot="1" x14ac:dyDescent="0.4">
      <c r="A2" s="10">
        <v>44408</v>
      </c>
      <c r="B2" s="139">
        <v>17503175</v>
      </c>
      <c r="C2" s="50"/>
    </row>
    <row r="3" spans="1:9" ht="24" thickBot="1" x14ac:dyDescent="0.4">
      <c r="A3" s="10">
        <v>44409</v>
      </c>
      <c r="B3" s="139">
        <v>17505545</v>
      </c>
      <c r="C3" s="50">
        <f>IF((B3-B2)&lt;0,"0",(B3-B2))</f>
        <v>2370</v>
      </c>
    </row>
    <row r="4" spans="1:9" ht="24" thickBot="1" x14ac:dyDescent="0.4">
      <c r="A4" s="10">
        <v>44410</v>
      </c>
      <c r="B4" s="139">
        <v>17507747</v>
      </c>
      <c r="C4" s="50">
        <f t="shared" ref="C4:C30" si="0">IF((B4-B3)&lt;0,"0",(B4-B3))</f>
        <v>2202</v>
      </c>
    </row>
    <row r="5" spans="1:9" ht="24" thickBot="1" x14ac:dyDescent="0.4">
      <c r="A5" s="10">
        <v>44411</v>
      </c>
      <c r="B5" s="139">
        <v>17509987</v>
      </c>
      <c r="C5" s="50">
        <f t="shared" si="0"/>
        <v>2240</v>
      </c>
    </row>
    <row r="6" spans="1:9" ht="24" thickBot="1" x14ac:dyDescent="0.4">
      <c r="A6" s="10">
        <v>44412</v>
      </c>
      <c r="B6" s="139">
        <v>17512145</v>
      </c>
      <c r="C6" s="50">
        <f>IF((B6-B5)&lt;0,"0",(B6-B5))</f>
        <v>2158</v>
      </c>
    </row>
    <row r="7" spans="1:9" ht="24" thickBot="1" x14ac:dyDescent="0.4">
      <c r="A7" s="10">
        <v>44413</v>
      </c>
      <c r="B7" s="139">
        <v>17514232</v>
      </c>
      <c r="C7" s="50">
        <f>IF((B7-B6)&lt;0,"0",(B7-B6))</f>
        <v>2087</v>
      </c>
    </row>
    <row r="8" spans="1:9" ht="24" thickBot="1" x14ac:dyDescent="0.4">
      <c r="A8" s="10">
        <v>44414</v>
      </c>
      <c r="B8" s="139">
        <v>17516912</v>
      </c>
      <c r="C8" s="50">
        <f>IF((B8-B7)&lt;0,"0",(B8-B7))</f>
        <v>2680</v>
      </c>
    </row>
    <row r="9" spans="1:9" ht="24" thickBot="1" x14ac:dyDescent="0.4">
      <c r="A9" s="10">
        <v>44415</v>
      </c>
      <c r="B9" s="139">
        <v>17518968</v>
      </c>
      <c r="C9" s="50">
        <f t="shared" si="0"/>
        <v>2056</v>
      </c>
    </row>
    <row r="10" spans="1:9" ht="24" thickBot="1" x14ac:dyDescent="0.4">
      <c r="A10" s="10">
        <v>44416</v>
      </c>
      <c r="B10" s="139">
        <v>17521098</v>
      </c>
      <c r="C10" s="50">
        <f t="shared" si="0"/>
        <v>2130</v>
      </c>
    </row>
    <row r="11" spans="1:9" ht="24" thickBot="1" x14ac:dyDescent="0.4">
      <c r="A11" s="10">
        <v>44417</v>
      </c>
      <c r="B11" s="139">
        <v>17523445</v>
      </c>
      <c r="C11" s="50">
        <f>IF((B11-B10)&lt;0,"0",(B11-B10))</f>
        <v>2347</v>
      </c>
    </row>
    <row r="12" spans="1:9" ht="24" thickBot="1" x14ac:dyDescent="0.4">
      <c r="A12" s="10">
        <v>44418</v>
      </c>
      <c r="B12" s="139">
        <v>17525645</v>
      </c>
      <c r="C12" s="50">
        <f t="shared" si="0"/>
        <v>2200</v>
      </c>
    </row>
    <row r="13" spans="1:9" ht="24" thickBot="1" x14ac:dyDescent="0.4">
      <c r="A13" s="10">
        <v>44419</v>
      </c>
      <c r="B13" s="139">
        <v>17527895</v>
      </c>
      <c r="C13" s="50">
        <f t="shared" si="0"/>
        <v>2250</v>
      </c>
    </row>
    <row r="14" spans="1:9" ht="24" thickBot="1" x14ac:dyDescent="0.4">
      <c r="A14" s="10">
        <v>44420</v>
      </c>
      <c r="B14" s="139">
        <v>17529954</v>
      </c>
      <c r="C14" s="50">
        <f t="shared" si="0"/>
        <v>2059</v>
      </c>
    </row>
    <row r="15" spans="1:9" ht="24" thickBot="1" x14ac:dyDescent="0.4">
      <c r="A15" s="10">
        <v>44421</v>
      </c>
      <c r="B15" s="139">
        <v>17531988</v>
      </c>
      <c r="C15" s="50">
        <f t="shared" si="0"/>
        <v>2034</v>
      </c>
      <c r="I15" t="s">
        <v>12</v>
      </c>
    </row>
    <row r="16" spans="1:9" ht="26.25" customHeight="1" thickBot="1" x14ac:dyDescent="0.4">
      <c r="A16" s="10">
        <v>44422</v>
      </c>
      <c r="B16" s="139">
        <v>17534284</v>
      </c>
      <c r="C16" s="50">
        <f t="shared" si="0"/>
        <v>2296</v>
      </c>
    </row>
    <row r="17" spans="1:9" ht="25.5" customHeight="1" thickBot="1" x14ac:dyDescent="0.4">
      <c r="A17" s="10">
        <v>44423</v>
      </c>
      <c r="B17" s="139"/>
      <c r="C17" s="50" t="str">
        <f t="shared" si="0"/>
        <v>0</v>
      </c>
      <c r="F17" s="137"/>
    </row>
    <row r="18" spans="1:9" ht="24" thickBot="1" x14ac:dyDescent="0.4">
      <c r="A18" s="10">
        <v>44424</v>
      </c>
      <c r="B18" s="139"/>
      <c r="C18" s="50">
        <f t="shared" si="0"/>
        <v>0</v>
      </c>
    </row>
    <row r="19" spans="1:9" ht="24" thickBot="1" x14ac:dyDescent="0.4">
      <c r="A19" s="10">
        <v>44425</v>
      </c>
      <c r="B19" s="139"/>
      <c r="C19" s="50">
        <f t="shared" si="0"/>
        <v>0</v>
      </c>
    </row>
    <row r="20" spans="1:9" ht="24" thickBot="1" x14ac:dyDescent="0.4">
      <c r="A20" s="10">
        <v>44426</v>
      </c>
      <c r="B20" s="139"/>
      <c r="C20" s="50">
        <f t="shared" si="0"/>
        <v>0</v>
      </c>
    </row>
    <row r="21" spans="1:9" ht="24" thickBot="1" x14ac:dyDescent="0.4">
      <c r="A21" s="10">
        <v>44427</v>
      </c>
      <c r="B21" s="139"/>
      <c r="C21" s="50">
        <f t="shared" si="0"/>
        <v>0</v>
      </c>
    </row>
    <row r="22" spans="1:9" ht="24" thickBot="1" x14ac:dyDescent="0.4">
      <c r="A22" s="10">
        <v>44428</v>
      </c>
      <c r="B22" s="139"/>
      <c r="C22" s="50">
        <f t="shared" si="0"/>
        <v>0</v>
      </c>
    </row>
    <row r="23" spans="1:9" ht="24" thickBot="1" x14ac:dyDescent="0.4">
      <c r="A23" s="10">
        <v>44429</v>
      </c>
      <c r="B23" s="139"/>
      <c r="C23" s="50">
        <f t="shared" si="0"/>
        <v>0</v>
      </c>
      <c r="F23" t="s">
        <v>12</v>
      </c>
    </row>
    <row r="24" spans="1:9" ht="24" thickBot="1" x14ac:dyDescent="0.4">
      <c r="A24" s="10">
        <v>44430</v>
      </c>
      <c r="B24" s="139"/>
      <c r="C24" s="50">
        <f t="shared" si="0"/>
        <v>0</v>
      </c>
      <c r="E24" t="s">
        <v>12</v>
      </c>
    </row>
    <row r="25" spans="1:9" ht="24" thickBot="1" x14ac:dyDescent="0.4">
      <c r="A25" s="10">
        <v>44431</v>
      </c>
      <c r="B25" s="139"/>
      <c r="C25" s="50">
        <f t="shared" si="0"/>
        <v>0</v>
      </c>
    </row>
    <row r="26" spans="1:9" ht="24" thickBot="1" x14ac:dyDescent="0.4">
      <c r="A26" s="10">
        <v>44432</v>
      </c>
      <c r="B26" s="139"/>
      <c r="C26" s="50">
        <f t="shared" si="0"/>
        <v>0</v>
      </c>
    </row>
    <row r="27" spans="1:9" ht="24" thickBot="1" x14ac:dyDescent="0.4">
      <c r="A27" s="10">
        <v>44433</v>
      </c>
      <c r="B27" s="139"/>
      <c r="C27" s="50">
        <f t="shared" si="0"/>
        <v>0</v>
      </c>
    </row>
    <row r="28" spans="1:9" ht="24" thickBot="1" x14ac:dyDescent="0.4">
      <c r="A28" s="10">
        <v>44434</v>
      </c>
      <c r="B28" s="139"/>
      <c r="C28" s="50">
        <f t="shared" si="0"/>
        <v>0</v>
      </c>
      <c r="I28" t="s">
        <v>12</v>
      </c>
    </row>
    <row r="29" spans="1:9" ht="24" thickBot="1" x14ac:dyDescent="0.4">
      <c r="A29" s="10">
        <v>44435</v>
      </c>
      <c r="B29" s="139"/>
      <c r="C29" s="50">
        <f t="shared" si="0"/>
        <v>0</v>
      </c>
    </row>
    <row r="30" spans="1:9" ht="24" thickBot="1" x14ac:dyDescent="0.4">
      <c r="A30" s="10">
        <v>44436</v>
      </c>
      <c r="B30" s="139"/>
      <c r="C30" s="50">
        <f t="shared" si="0"/>
        <v>0</v>
      </c>
    </row>
    <row r="31" spans="1:9" ht="24" thickBot="1" x14ac:dyDescent="0.4">
      <c r="A31" s="10">
        <v>44437</v>
      </c>
      <c r="B31" s="139"/>
      <c r="C31" s="50">
        <f>IF((B31-B30)&lt;0,"0",(B31-B30))</f>
        <v>0</v>
      </c>
    </row>
    <row r="32" spans="1:9" ht="24" thickBot="1" x14ac:dyDescent="0.4">
      <c r="A32" s="10">
        <v>44438</v>
      </c>
      <c r="B32" s="139"/>
      <c r="C32" s="50">
        <f>IF((B32-B31)&lt;0,"0",(B32-B31))</f>
        <v>0</v>
      </c>
    </row>
    <row r="33" spans="1:3" ht="24" thickBot="1" x14ac:dyDescent="0.4">
      <c r="A33" s="10">
        <v>44439</v>
      </c>
      <c r="B33" s="139"/>
      <c r="C33" s="50">
        <f>IF((B33-B32)&lt;0,"0",(B33-B32))</f>
        <v>0</v>
      </c>
    </row>
    <row r="34" spans="1:3" ht="24" thickBot="1" x14ac:dyDescent="0.4">
      <c r="A34" s="165" t="s">
        <v>138</v>
      </c>
      <c r="B34" s="166"/>
      <c r="C34" s="142">
        <f>SUM(C3:C33)</f>
        <v>31109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tabSelected="1" zoomScale="87" zoomScaleNormal="87" workbookViewId="0">
      <pane ySplit="1" topLeftCell="A2" activePane="bottomLeft" state="frozen"/>
      <selection pane="bottomLeft" activeCell="U16" sqref="U16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1" bestFit="1" customWidth="1"/>
    <col min="4" max="4" width="15.140625" bestFit="1" customWidth="1"/>
    <col min="5" max="5" width="12.5703125" bestFit="1" customWidth="1"/>
    <col min="6" max="6" width="17" style="41" bestFit="1" customWidth="1"/>
    <col min="7" max="7" width="15.140625" customWidth="1"/>
    <col min="8" max="8" width="17.7109375" customWidth="1"/>
    <col min="9" max="9" width="12.85546875" style="41" bestFit="1" customWidth="1"/>
    <col min="10" max="10" width="11.42578125" bestFit="1" customWidth="1"/>
    <col min="11" max="11" width="15.5703125" bestFit="1" customWidth="1"/>
    <col min="12" max="12" width="12.5703125" style="41" customWidth="1"/>
    <col min="13" max="13" width="12.7109375" bestFit="1" customWidth="1"/>
    <col min="14" max="14" width="11.28515625" bestFit="1" customWidth="1"/>
    <col min="15" max="15" width="12.85546875" style="41" bestFit="1" customWidth="1"/>
    <col min="16" max="16" width="15.140625" bestFit="1" customWidth="1"/>
    <col min="17" max="17" width="13.85546875" bestFit="1" customWidth="1"/>
    <col min="18" max="18" width="16.28515625" style="41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48" t="s">
        <v>2</v>
      </c>
      <c r="D1" s="32" t="s">
        <v>3</v>
      </c>
      <c r="E1" s="3" t="s">
        <v>4</v>
      </c>
      <c r="F1" s="48" t="s">
        <v>2</v>
      </c>
      <c r="G1" s="32" t="s">
        <v>3</v>
      </c>
      <c r="H1" s="3" t="s">
        <v>5</v>
      </c>
      <c r="I1" s="48" t="s">
        <v>6</v>
      </c>
      <c r="J1" s="32" t="s">
        <v>3</v>
      </c>
      <c r="K1" s="3" t="s">
        <v>7</v>
      </c>
      <c r="L1" s="48" t="s">
        <v>6</v>
      </c>
      <c r="M1" s="32" t="s">
        <v>3</v>
      </c>
      <c r="N1" s="4" t="s">
        <v>8</v>
      </c>
      <c r="O1" s="48" t="s">
        <v>6</v>
      </c>
      <c r="P1" s="32" t="s">
        <v>3</v>
      </c>
      <c r="Q1" s="4" t="s">
        <v>9</v>
      </c>
      <c r="R1" s="48" t="s">
        <v>6</v>
      </c>
      <c r="S1" s="32" t="s">
        <v>3</v>
      </c>
      <c r="T1" s="5" t="s">
        <v>10</v>
      </c>
      <c r="U1" s="34" t="s">
        <v>11</v>
      </c>
    </row>
    <row r="2" spans="1:25" ht="16.5" thickBot="1" x14ac:dyDescent="0.25">
      <c r="A2" s="10">
        <v>44408</v>
      </c>
      <c r="B2" s="1">
        <v>21504.142</v>
      </c>
      <c r="C2" s="49"/>
      <c r="D2" s="33"/>
      <c r="E2" s="1">
        <v>3776.0549999999998</v>
      </c>
      <c r="F2" s="49"/>
      <c r="G2" s="33"/>
      <c r="H2" s="1">
        <v>3644</v>
      </c>
      <c r="I2" s="49"/>
      <c r="J2" s="33"/>
      <c r="K2" s="7">
        <v>13576.79</v>
      </c>
      <c r="L2" s="49"/>
      <c r="M2" s="33"/>
      <c r="N2" s="7">
        <v>3146.8429999999998</v>
      </c>
      <c r="O2" s="49"/>
      <c r="P2" s="33"/>
      <c r="Q2" s="7">
        <v>4995.5</v>
      </c>
      <c r="R2" s="49"/>
      <c r="S2" s="33"/>
      <c r="T2" s="8"/>
      <c r="U2" s="35"/>
    </row>
    <row r="3" spans="1:25" ht="16.5" thickBot="1" x14ac:dyDescent="0.25">
      <c r="A3" s="10">
        <v>44409</v>
      </c>
      <c r="B3" s="1">
        <v>21520.971000000001</v>
      </c>
      <c r="C3" s="49">
        <f>IF((B3-B2)&lt;0,"0",(B3-B2))</f>
        <v>16.829000000001543</v>
      </c>
      <c r="D3" s="33">
        <f t="shared" ref="D3:D33" si="0">C3*1.9*1000</f>
        <v>31975.100000002927</v>
      </c>
      <c r="E3" s="1">
        <v>3779.8420000000001</v>
      </c>
      <c r="F3" s="49">
        <f t="shared" ref="F3:F33" si="1">IF((E3-E2)&lt;0,"0",(E3-E2))</f>
        <v>3.7870000000002619</v>
      </c>
      <c r="G3" s="33">
        <f t="shared" ref="G3:G33" si="2">F3*1.9*1000</f>
        <v>7195.3000000004968</v>
      </c>
      <c r="H3" s="1">
        <v>3652</v>
      </c>
      <c r="I3" s="49">
        <f t="shared" ref="I3:I33" si="3">IF((H3-H2)&lt;0,"0",(H3-H2))</f>
        <v>8</v>
      </c>
      <c r="J3" s="33">
        <f t="shared" ref="J3:J33" si="4">I3*1.9*1000</f>
        <v>15200</v>
      </c>
      <c r="K3" s="7">
        <v>1348.3789999999999</v>
      </c>
      <c r="L3" s="49">
        <v>12.28</v>
      </c>
      <c r="M3" s="33">
        <f t="shared" ref="M3:M33" si="5">L3*1.9*1000</f>
        <v>23331.999999999996</v>
      </c>
      <c r="N3" s="7">
        <v>3148.3789999999999</v>
      </c>
      <c r="O3" s="49">
        <f t="shared" ref="O3:O33" si="6">IF((N3-N2)&lt;0,"0",(N3-N2))</f>
        <v>1.5360000000000582</v>
      </c>
      <c r="P3" s="33">
        <f t="shared" ref="P3:P33" si="7">O3*1.9*1000</f>
        <v>2918.4000000001101</v>
      </c>
      <c r="Q3" s="7">
        <v>4999.6000000000004</v>
      </c>
      <c r="R3" s="49">
        <f t="shared" ref="R3:R33" si="8">IF((Q3-Q2)&lt;0,"0",(Q3-Q2))</f>
        <v>4.1000000000003638</v>
      </c>
      <c r="S3" s="33">
        <f t="shared" ref="S3:S33" si="9">R3*1.9*1000</f>
        <v>7790.0000000006912</v>
      </c>
      <c r="T3" s="8">
        <f>C3+F3+I3+L3+O3+R3</f>
        <v>46.532000000002228</v>
      </c>
      <c r="U3" s="35">
        <f>T3*1.9*1000</f>
        <v>88410.800000004223</v>
      </c>
    </row>
    <row r="4" spans="1:25" ht="16.5" thickBot="1" x14ac:dyDescent="0.25">
      <c r="A4" s="10">
        <v>44410</v>
      </c>
      <c r="B4" s="1">
        <v>21547.655999999999</v>
      </c>
      <c r="C4" s="49">
        <f t="shared" ref="C4:C33" si="10">IF((B4-B3)&lt;0,"0",(B4-B3))</f>
        <v>26.684999999997672</v>
      </c>
      <c r="D4" s="33">
        <f t="shared" si="0"/>
        <v>50701.499999995576</v>
      </c>
      <c r="E4" s="1">
        <v>3785.748</v>
      </c>
      <c r="F4" s="49">
        <f t="shared" si="1"/>
        <v>5.9059999999999491</v>
      </c>
      <c r="G4" s="33">
        <f t="shared" si="2"/>
        <v>11221.399999999903</v>
      </c>
      <c r="H4" s="1">
        <v>3665</v>
      </c>
      <c r="I4" s="49">
        <f t="shared" si="3"/>
        <v>13</v>
      </c>
      <c r="J4" s="33">
        <f t="shared" si="4"/>
        <v>24700</v>
      </c>
      <c r="K4" s="7">
        <v>13587.37</v>
      </c>
      <c r="L4" s="49">
        <f t="shared" ref="L4:L33" si="11">IF((K4-K3)&lt;0,"0",(K4-K3))</f>
        <v>12238.991000000002</v>
      </c>
      <c r="M4" s="33">
        <f t="shared" si="5"/>
        <v>23254082.900000002</v>
      </c>
      <c r="N4" s="7">
        <v>3150.9769999999999</v>
      </c>
      <c r="O4" s="49">
        <f t="shared" si="6"/>
        <v>2.5979999999999563</v>
      </c>
      <c r="P4" s="33">
        <f t="shared" si="7"/>
        <v>4936.1999999999171</v>
      </c>
      <c r="Q4" s="7">
        <v>5006.34</v>
      </c>
      <c r="R4" s="49">
        <f t="shared" si="8"/>
        <v>6.7399999999997817</v>
      </c>
      <c r="S4" s="33">
        <f t="shared" si="9"/>
        <v>12805.999999999585</v>
      </c>
      <c r="T4" s="8">
        <f>C4+F4+I4+L4+O4+R4</f>
        <v>12293.919999999998</v>
      </c>
      <c r="U4" s="35">
        <f t="shared" ref="U4:U33" si="12">T4*1.9*1000</f>
        <v>23358447.999999996</v>
      </c>
    </row>
    <row r="5" spans="1:25" ht="16.5" thickBot="1" x14ac:dyDescent="0.25">
      <c r="A5" s="10">
        <v>44411</v>
      </c>
      <c r="B5" s="1">
        <f t="shared" ref="B5" si="13">B4</f>
        <v>21547.655999999999</v>
      </c>
      <c r="C5" s="49">
        <f t="shared" si="10"/>
        <v>0</v>
      </c>
      <c r="D5" s="33">
        <f t="shared" si="0"/>
        <v>0</v>
      </c>
      <c r="E5" s="1">
        <f t="shared" ref="E5" si="14">E4</f>
        <v>3785.748</v>
      </c>
      <c r="F5" s="49">
        <f t="shared" si="1"/>
        <v>0</v>
      </c>
      <c r="G5" s="33">
        <f t="shared" si="2"/>
        <v>0</v>
      </c>
      <c r="H5" s="1">
        <f t="shared" ref="H5" si="15">H4</f>
        <v>3665</v>
      </c>
      <c r="I5" s="49">
        <f t="shared" si="3"/>
        <v>0</v>
      </c>
      <c r="J5" s="33">
        <f t="shared" si="4"/>
        <v>0</v>
      </c>
      <c r="K5" s="7">
        <f t="shared" ref="K5" si="16">K4</f>
        <v>13587.37</v>
      </c>
      <c r="L5" s="49">
        <f t="shared" si="11"/>
        <v>0</v>
      </c>
      <c r="M5" s="33">
        <f t="shared" si="5"/>
        <v>0</v>
      </c>
      <c r="N5" s="7">
        <f t="shared" ref="N5" si="17">N4</f>
        <v>3150.9769999999999</v>
      </c>
      <c r="O5" s="49">
        <f t="shared" si="6"/>
        <v>0</v>
      </c>
      <c r="P5" s="33">
        <f t="shared" si="7"/>
        <v>0</v>
      </c>
      <c r="Q5" s="7">
        <f t="shared" ref="Q5" si="18">Q4</f>
        <v>5006.34</v>
      </c>
      <c r="R5" s="49">
        <f t="shared" si="8"/>
        <v>0</v>
      </c>
      <c r="S5" s="33">
        <f t="shared" si="9"/>
        <v>0</v>
      </c>
      <c r="T5" s="8">
        <f>C5+F5+I5+L5+O5+R5</f>
        <v>0</v>
      </c>
      <c r="U5" s="35">
        <f t="shared" si="12"/>
        <v>0</v>
      </c>
    </row>
    <row r="6" spans="1:25" ht="16.5" thickBot="1" x14ac:dyDescent="0.25">
      <c r="A6" s="10">
        <v>44412</v>
      </c>
      <c r="B6" s="1">
        <v>21563.960999999999</v>
      </c>
      <c r="C6" s="49">
        <f t="shared" si="10"/>
        <v>16.305000000000291</v>
      </c>
      <c r="D6" s="33">
        <f t="shared" si="0"/>
        <v>30979.500000000553</v>
      </c>
      <c r="E6" s="1">
        <v>3789.2640000000001</v>
      </c>
      <c r="F6" s="49">
        <f t="shared" si="1"/>
        <v>3.5160000000000764</v>
      </c>
      <c r="G6" s="33">
        <f t="shared" si="2"/>
        <v>6680.4000000001442</v>
      </c>
      <c r="H6" s="1">
        <v>3673</v>
      </c>
      <c r="I6" s="49">
        <f t="shared" si="3"/>
        <v>8</v>
      </c>
      <c r="J6" s="33">
        <f t="shared" si="4"/>
        <v>15200</v>
      </c>
      <c r="K6" s="7">
        <v>13591.19</v>
      </c>
      <c r="L6" s="49">
        <f t="shared" si="11"/>
        <v>3.819999999999709</v>
      </c>
      <c r="M6" s="33">
        <f t="shared" si="5"/>
        <v>7257.999999999447</v>
      </c>
      <c r="N6" s="7">
        <v>3152.6379999999999</v>
      </c>
      <c r="O6" s="49">
        <f t="shared" si="6"/>
        <v>1.6610000000000582</v>
      </c>
      <c r="P6" s="33">
        <f t="shared" si="7"/>
        <v>3155.9000000001106</v>
      </c>
      <c r="Q6" s="7">
        <v>5009.8900000000003</v>
      </c>
      <c r="R6" s="49">
        <f t="shared" si="8"/>
        <v>3.5500000000001819</v>
      </c>
      <c r="S6" s="33">
        <f t="shared" si="9"/>
        <v>6745.0000000003456</v>
      </c>
      <c r="T6" s="8">
        <f t="shared" ref="T6:T33" si="19">C6+F6+I6+L6+O6+R6</f>
        <v>36.852000000000317</v>
      </c>
      <c r="U6" s="35">
        <f t="shared" si="12"/>
        <v>70018.8000000006</v>
      </c>
    </row>
    <row r="7" spans="1:25" ht="16.5" thickBot="1" x14ac:dyDescent="0.25">
      <c r="A7" s="10">
        <v>44413</v>
      </c>
      <c r="B7" s="1">
        <v>21581.895</v>
      </c>
      <c r="C7" s="49">
        <f t="shared" si="10"/>
        <v>17.934000000001106</v>
      </c>
      <c r="D7" s="33">
        <f t="shared" si="0"/>
        <v>34074.600000002101</v>
      </c>
      <c r="E7" s="1">
        <v>3793.3240000000001</v>
      </c>
      <c r="F7" s="49">
        <f t="shared" si="1"/>
        <v>4.0599999999999454</v>
      </c>
      <c r="G7" s="33">
        <f t="shared" si="2"/>
        <v>7713.9999999998954</v>
      </c>
      <c r="H7" s="1">
        <v>3682</v>
      </c>
      <c r="I7" s="49">
        <f t="shared" si="3"/>
        <v>9</v>
      </c>
      <c r="J7" s="33">
        <f t="shared" si="4"/>
        <v>17099.999999999996</v>
      </c>
      <c r="K7" s="7">
        <v>13595.44</v>
      </c>
      <c r="L7" s="49">
        <f t="shared" si="11"/>
        <v>4.25</v>
      </c>
      <c r="M7" s="33">
        <f t="shared" si="5"/>
        <v>8074.9999999999991</v>
      </c>
      <c r="N7" s="7">
        <v>3154.4050000000002</v>
      </c>
      <c r="O7" s="49">
        <f t="shared" si="6"/>
        <v>1.7670000000002801</v>
      </c>
      <c r="P7" s="33">
        <f t="shared" si="7"/>
        <v>3357.3000000005318</v>
      </c>
      <c r="Q7" s="7">
        <v>5014.1099999999997</v>
      </c>
      <c r="R7" s="49">
        <f t="shared" si="8"/>
        <v>4.2199999999993452</v>
      </c>
      <c r="S7" s="33">
        <f t="shared" si="9"/>
        <v>8017.9999999987558</v>
      </c>
      <c r="T7" s="8">
        <f t="shared" si="19"/>
        <v>41.231000000000677</v>
      </c>
      <c r="U7" s="35">
        <f t="shared" si="12"/>
        <v>78338.900000001289</v>
      </c>
    </row>
    <row r="8" spans="1:25" ht="16.5" thickBot="1" x14ac:dyDescent="0.25">
      <c r="A8" s="10">
        <v>44414</v>
      </c>
      <c r="B8" s="1">
        <v>21596.517</v>
      </c>
      <c r="C8" s="49">
        <f t="shared" si="10"/>
        <v>14.621999999999389</v>
      </c>
      <c r="D8" s="33">
        <f t="shared" si="0"/>
        <v>27781.799999998839</v>
      </c>
      <c r="E8" s="1">
        <v>3795.058</v>
      </c>
      <c r="F8" s="49">
        <f t="shared" si="1"/>
        <v>1.7339999999999236</v>
      </c>
      <c r="G8" s="33">
        <f t="shared" si="2"/>
        <v>3294.5999999998548</v>
      </c>
      <c r="H8" s="1">
        <v>3689</v>
      </c>
      <c r="I8" s="49">
        <f t="shared" si="3"/>
        <v>7</v>
      </c>
      <c r="J8" s="33">
        <f t="shared" si="4"/>
        <v>13299.999999999998</v>
      </c>
      <c r="K8" s="7">
        <v>13598.89</v>
      </c>
      <c r="L8" s="49">
        <f t="shared" si="11"/>
        <v>3.4499999999989086</v>
      </c>
      <c r="M8" s="33">
        <f t="shared" si="5"/>
        <v>6554.9999999979254</v>
      </c>
      <c r="N8" s="7">
        <v>3155.7089999999998</v>
      </c>
      <c r="O8" s="49">
        <f t="shared" si="6"/>
        <v>1.3039999999996326</v>
      </c>
      <c r="P8" s="33">
        <f t="shared" si="7"/>
        <v>2477.5999999993019</v>
      </c>
      <c r="Q8" s="7">
        <v>5017.3900000000003</v>
      </c>
      <c r="R8" s="49">
        <f t="shared" si="8"/>
        <v>3.2800000000006548</v>
      </c>
      <c r="S8" s="33">
        <f t="shared" si="9"/>
        <v>6232.0000000012433</v>
      </c>
      <c r="T8" s="8">
        <f t="shared" si="19"/>
        <v>31.389999999998508</v>
      </c>
      <c r="U8" s="35">
        <f t="shared" si="12"/>
        <v>59640.999999997162</v>
      </c>
    </row>
    <row r="9" spans="1:25" ht="16.5" thickBot="1" x14ac:dyDescent="0.25">
      <c r="A9" s="10">
        <v>44415</v>
      </c>
      <c r="B9" s="1">
        <v>21617.32</v>
      </c>
      <c r="C9" s="49">
        <f t="shared" si="10"/>
        <v>20.802999999999884</v>
      </c>
      <c r="D9" s="33">
        <f t="shared" si="0"/>
        <v>39525.699999999779</v>
      </c>
      <c r="E9" s="1">
        <v>3797.91</v>
      </c>
      <c r="F9" s="49">
        <f t="shared" si="1"/>
        <v>2.8519999999998618</v>
      </c>
      <c r="G9" s="33">
        <f t="shared" si="2"/>
        <v>5418.7999999997373</v>
      </c>
      <c r="H9" s="1">
        <v>3700</v>
      </c>
      <c r="I9" s="49">
        <f t="shared" si="3"/>
        <v>11</v>
      </c>
      <c r="J9" s="33">
        <f t="shared" si="4"/>
        <v>20900</v>
      </c>
      <c r="K9" s="7">
        <v>13603.58</v>
      </c>
      <c r="L9" s="49">
        <f t="shared" si="11"/>
        <v>4.6900000000005093</v>
      </c>
      <c r="M9" s="33">
        <f t="shared" si="5"/>
        <v>8911.0000000009677</v>
      </c>
      <c r="N9" s="7">
        <v>3157.5360000000001</v>
      </c>
      <c r="O9" s="49">
        <f t="shared" si="6"/>
        <v>1.8270000000002256</v>
      </c>
      <c r="P9" s="33">
        <f t="shared" si="7"/>
        <v>3471.3000000004286</v>
      </c>
      <c r="Q9" s="7">
        <v>5021.78</v>
      </c>
      <c r="R9" s="49">
        <f t="shared" si="8"/>
        <v>4.3899999999994179</v>
      </c>
      <c r="S9" s="33">
        <f t="shared" si="9"/>
        <v>8340.9999999988941</v>
      </c>
      <c r="T9" s="8">
        <f t="shared" si="19"/>
        <v>45.561999999999898</v>
      </c>
      <c r="U9" s="35">
        <f t="shared" si="12"/>
        <v>86567.799999999814</v>
      </c>
    </row>
    <row r="10" spans="1:25" ht="16.5" thickBot="1" x14ac:dyDescent="0.25">
      <c r="A10" s="10">
        <v>44416</v>
      </c>
      <c r="B10" s="1">
        <v>21637.174999999999</v>
      </c>
      <c r="C10" s="49">
        <f t="shared" si="10"/>
        <v>19.854999999999563</v>
      </c>
      <c r="D10" s="33">
        <f t="shared" si="0"/>
        <v>37724.499999999171</v>
      </c>
      <c r="E10" s="1">
        <v>3801.951</v>
      </c>
      <c r="F10" s="49">
        <f t="shared" si="1"/>
        <v>4.0410000000001673</v>
      </c>
      <c r="G10" s="33">
        <f t="shared" si="2"/>
        <v>7677.900000000317</v>
      </c>
      <c r="H10" s="1">
        <v>3710</v>
      </c>
      <c r="I10" s="49">
        <f t="shared" si="3"/>
        <v>10</v>
      </c>
      <c r="J10" s="33">
        <f t="shared" si="4"/>
        <v>19000</v>
      </c>
      <c r="K10" s="7">
        <v>13606.79</v>
      </c>
      <c r="L10" s="49">
        <f t="shared" si="11"/>
        <v>3.2100000000009459</v>
      </c>
      <c r="M10" s="33">
        <f t="shared" si="5"/>
        <v>6099.0000000017972</v>
      </c>
      <c r="N10" s="7">
        <v>3159.6039999999998</v>
      </c>
      <c r="O10" s="49">
        <f t="shared" si="6"/>
        <v>2.0679999999997563</v>
      </c>
      <c r="P10" s="33">
        <f t="shared" si="7"/>
        <v>3929.1999999995364</v>
      </c>
      <c r="Q10" s="7">
        <v>5025.54</v>
      </c>
      <c r="R10" s="49">
        <f t="shared" si="8"/>
        <v>3.7600000000002183</v>
      </c>
      <c r="S10" s="33">
        <f t="shared" si="9"/>
        <v>7144.0000000004138</v>
      </c>
      <c r="T10" s="8">
        <f t="shared" si="19"/>
        <v>42.934000000000651</v>
      </c>
      <c r="U10" s="35">
        <f t="shared" si="12"/>
        <v>81574.600000001243</v>
      </c>
    </row>
    <row r="11" spans="1:25" ht="16.5" thickBot="1" x14ac:dyDescent="0.25">
      <c r="A11" s="10">
        <v>44417</v>
      </c>
      <c r="B11" s="1">
        <v>21654.927</v>
      </c>
      <c r="C11" s="49">
        <f t="shared" si="10"/>
        <v>17.752000000000407</v>
      </c>
      <c r="D11" s="33">
        <f t="shared" si="0"/>
        <v>33728.800000000774</v>
      </c>
      <c r="E11" s="1">
        <v>3805.7809999999999</v>
      </c>
      <c r="F11" s="49">
        <f t="shared" si="1"/>
        <v>3.8299999999999272</v>
      </c>
      <c r="G11" s="33">
        <f t="shared" si="2"/>
        <v>7276.9999999998618</v>
      </c>
      <c r="H11" s="1">
        <v>3720</v>
      </c>
      <c r="I11" s="49">
        <f t="shared" si="3"/>
        <v>10</v>
      </c>
      <c r="J11" s="33">
        <f t="shared" si="4"/>
        <v>19000</v>
      </c>
      <c r="K11" s="7">
        <v>13610.9</v>
      </c>
      <c r="L11" s="49">
        <f t="shared" si="11"/>
        <v>4.1099999999987631</v>
      </c>
      <c r="M11" s="33">
        <f t="shared" si="5"/>
        <v>7808.999999997649</v>
      </c>
      <c r="N11" s="7">
        <v>3161.31</v>
      </c>
      <c r="O11" s="49">
        <f t="shared" si="6"/>
        <v>1.706000000000131</v>
      </c>
      <c r="P11" s="33">
        <f t="shared" si="7"/>
        <v>3241.4000000002488</v>
      </c>
      <c r="Q11" s="7">
        <v>5029.24</v>
      </c>
      <c r="R11" s="49">
        <f t="shared" si="8"/>
        <v>3.6999999999998181</v>
      </c>
      <c r="S11" s="33">
        <f t="shared" si="9"/>
        <v>7029.9999999996535</v>
      </c>
      <c r="T11" s="8">
        <f t="shared" si="19"/>
        <v>41.097999999999047</v>
      </c>
      <c r="U11" s="35">
        <f t="shared" si="12"/>
        <v>78086.199999998193</v>
      </c>
    </row>
    <row r="12" spans="1:25" ht="16.5" thickBot="1" x14ac:dyDescent="0.25">
      <c r="A12" s="10">
        <v>44418</v>
      </c>
      <c r="B12" s="1">
        <v>21671.057000000001</v>
      </c>
      <c r="C12" s="49">
        <f t="shared" si="10"/>
        <v>16.130000000001019</v>
      </c>
      <c r="D12" s="33">
        <f t="shared" si="0"/>
        <v>30647.000000001935</v>
      </c>
      <c r="E12" s="1">
        <v>3809.2469999999998</v>
      </c>
      <c r="F12" s="49">
        <f t="shared" si="1"/>
        <v>3.4659999999998945</v>
      </c>
      <c r="G12" s="33">
        <f t="shared" si="2"/>
        <v>6585.3999999997995</v>
      </c>
      <c r="H12" s="1">
        <v>3728</v>
      </c>
      <c r="I12" s="49">
        <f t="shared" si="3"/>
        <v>8</v>
      </c>
      <c r="J12" s="33">
        <f t="shared" si="4"/>
        <v>15200</v>
      </c>
      <c r="K12" s="7">
        <v>13614.57</v>
      </c>
      <c r="L12" s="49">
        <f t="shared" si="11"/>
        <v>3.6700000000000728</v>
      </c>
      <c r="M12" s="33">
        <f t="shared" si="5"/>
        <v>6973.0000000001373</v>
      </c>
      <c r="N12" s="7">
        <v>3162.9369999999999</v>
      </c>
      <c r="O12" s="49">
        <f t="shared" si="6"/>
        <v>1.6269999999999527</v>
      </c>
      <c r="P12" s="33">
        <f t="shared" si="7"/>
        <v>3091.2999999999097</v>
      </c>
      <c r="Q12" s="7">
        <v>5033.1400000000003</v>
      </c>
      <c r="R12" s="49">
        <f t="shared" si="8"/>
        <v>3.9000000000005457</v>
      </c>
      <c r="S12" s="33">
        <f t="shared" si="9"/>
        <v>7410.0000000010368</v>
      </c>
      <c r="T12" s="8">
        <f t="shared" si="19"/>
        <v>36.793000000001484</v>
      </c>
      <c r="U12" s="35">
        <f t="shared" si="12"/>
        <v>69906.70000000282</v>
      </c>
    </row>
    <row r="13" spans="1:25" ht="16.5" thickBot="1" x14ac:dyDescent="0.25">
      <c r="A13" s="10">
        <v>44419</v>
      </c>
      <c r="B13" s="1">
        <v>21684.061000000002</v>
      </c>
      <c r="C13" s="49">
        <f t="shared" si="10"/>
        <v>13.004000000000815</v>
      </c>
      <c r="D13" s="33">
        <f t="shared" si="0"/>
        <v>24707.600000001548</v>
      </c>
      <c r="E13" s="1">
        <v>3812.1930000000002</v>
      </c>
      <c r="F13" s="49">
        <f t="shared" si="1"/>
        <v>2.9460000000003674</v>
      </c>
      <c r="G13" s="33">
        <f t="shared" si="2"/>
        <v>5597.4000000006972</v>
      </c>
      <c r="H13" s="1">
        <v>3736</v>
      </c>
      <c r="I13" s="49">
        <f t="shared" si="3"/>
        <v>8</v>
      </c>
      <c r="J13" s="33">
        <f t="shared" si="4"/>
        <v>15200</v>
      </c>
      <c r="K13" s="7">
        <v>13617.57</v>
      </c>
      <c r="L13" s="49">
        <f t="shared" si="11"/>
        <v>3</v>
      </c>
      <c r="M13" s="33">
        <f t="shared" si="5"/>
        <v>5699.9999999999991</v>
      </c>
      <c r="N13" s="7">
        <v>3164.1790000000001</v>
      </c>
      <c r="O13" s="49">
        <f t="shared" si="6"/>
        <v>1.2420000000001892</v>
      </c>
      <c r="P13" s="33">
        <f t="shared" si="7"/>
        <v>2359.800000000359</v>
      </c>
      <c r="Q13" s="7">
        <v>5035.8999999999996</v>
      </c>
      <c r="R13" s="49">
        <f t="shared" si="8"/>
        <v>2.7599999999993088</v>
      </c>
      <c r="S13" s="33">
        <f t="shared" si="9"/>
        <v>5243.9999999986858</v>
      </c>
      <c r="T13" s="8">
        <f t="shared" si="19"/>
        <v>30.95200000000068</v>
      </c>
      <c r="U13" s="35">
        <f t="shared" si="12"/>
        <v>58808.800000001291</v>
      </c>
    </row>
    <row r="14" spans="1:25" ht="16.5" thickBot="1" x14ac:dyDescent="0.25">
      <c r="A14" s="10">
        <v>44420</v>
      </c>
      <c r="B14" s="1">
        <v>21698.423999999999</v>
      </c>
      <c r="C14" s="49">
        <f t="shared" si="10"/>
        <v>14.362999999997555</v>
      </c>
      <c r="D14" s="33">
        <f t="shared" si="0"/>
        <v>27289.699999995351</v>
      </c>
      <c r="E14" s="1">
        <v>3813.7809999999999</v>
      </c>
      <c r="F14" s="49">
        <f t="shared" si="1"/>
        <v>1.5879999999997381</v>
      </c>
      <c r="G14" s="33">
        <f t="shared" si="2"/>
        <v>3017.1999999995019</v>
      </c>
      <c r="H14" s="1">
        <v>3743</v>
      </c>
      <c r="I14" s="49">
        <f t="shared" si="3"/>
        <v>7</v>
      </c>
      <c r="J14" s="33">
        <f t="shared" si="4"/>
        <v>13299.999999999998</v>
      </c>
      <c r="K14" s="7">
        <v>13620.94</v>
      </c>
      <c r="L14" s="49">
        <f t="shared" si="11"/>
        <v>3.3700000000008004</v>
      </c>
      <c r="M14" s="33">
        <f t="shared" si="5"/>
        <v>6403.0000000015198</v>
      </c>
      <c r="N14" s="7">
        <v>3165.5509999999999</v>
      </c>
      <c r="O14" s="49">
        <f t="shared" si="6"/>
        <v>1.3719999999998436</v>
      </c>
      <c r="P14" s="33">
        <f t="shared" si="7"/>
        <v>2606.7999999997028</v>
      </c>
      <c r="Q14" s="7">
        <v>5039.38</v>
      </c>
      <c r="R14" s="49">
        <f t="shared" si="8"/>
        <v>3.4800000000004729</v>
      </c>
      <c r="S14" s="33">
        <f t="shared" si="9"/>
        <v>6612.0000000008977</v>
      </c>
      <c r="T14" s="8">
        <f t="shared" si="19"/>
        <v>31.17299999999841</v>
      </c>
      <c r="U14" s="35">
        <f t="shared" si="12"/>
        <v>59228.699999996978</v>
      </c>
    </row>
    <row r="15" spans="1:25" ht="16.5" thickBot="1" x14ac:dyDescent="0.25">
      <c r="A15" s="10">
        <v>44421</v>
      </c>
      <c r="B15" s="1">
        <v>21715.982</v>
      </c>
      <c r="C15" s="49">
        <f t="shared" si="10"/>
        <v>17.558000000000902</v>
      </c>
      <c r="D15" s="33">
        <f t="shared" si="0"/>
        <v>33360.200000001714</v>
      </c>
      <c r="E15" s="1">
        <v>3815.32</v>
      </c>
      <c r="F15" s="49">
        <f t="shared" si="1"/>
        <v>1.5390000000002146</v>
      </c>
      <c r="G15" s="33">
        <f t="shared" si="2"/>
        <v>2924.1000000004078</v>
      </c>
      <c r="H15" s="1">
        <v>3750</v>
      </c>
      <c r="I15" s="49">
        <f t="shared" si="3"/>
        <v>7</v>
      </c>
      <c r="J15" s="33">
        <f t="shared" si="4"/>
        <v>13299.999999999998</v>
      </c>
      <c r="K15" s="7">
        <v>13623.45</v>
      </c>
      <c r="L15" s="49">
        <f t="shared" si="11"/>
        <v>2.5100000000002183</v>
      </c>
      <c r="M15" s="33">
        <f t="shared" si="5"/>
        <v>4769.0000000004147</v>
      </c>
      <c r="N15" s="7">
        <v>3167.0239999999999</v>
      </c>
      <c r="O15" s="49">
        <f t="shared" si="6"/>
        <v>1.4729999999999563</v>
      </c>
      <c r="P15" s="33">
        <f t="shared" si="7"/>
        <v>2798.6999999999171</v>
      </c>
      <c r="Q15" s="7">
        <v>5041.7700000000004</v>
      </c>
      <c r="R15" s="49">
        <f t="shared" si="8"/>
        <v>2.3900000000003274</v>
      </c>
      <c r="S15" s="33">
        <f t="shared" si="9"/>
        <v>4541.0000000006221</v>
      </c>
      <c r="T15" s="8">
        <f t="shared" si="19"/>
        <v>32.470000000001619</v>
      </c>
      <c r="U15" s="35">
        <f t="shared" si="12"/>
        <v>61693.000000003078</v>
      </c>
      <c r="W15" t="s">
        <v>12</v>
      </c>
    </row>
    <row r="16" spans="1:25" ht="16.5" thickBot="1" x14ac:dyDescent="0.25">
      <c r="A16" s="10">
        <v>44422</v>
      </c>
      <c r="B16" s="1">
        <v>21734.537</v>
      </c>
      <c r="C16" s="49">
        <f t="shared" si="10"/>
        <v>18.555000000000291</v>
      </c>
      <c r="D16" s="33">
        <f t="shared" si="0"/>
        <v>35254.500000000553</v>
      </c>
      <c r="E16" s="1">
        <v>3818.1030000000001</v>
      </c>
      <c r="F16" s="49">
        <f t="shared" si="1"/>
        <v>2.7829999999999018</v>
      </c>
      <c r="G16" s="33">
        <f t="shared" si="2"/>
        <v>5287.6999999998134</v>
      </c>
      <c r="H16" s="1">
        <v>3759</v>
      </c>
      <c r="I16" s="49">
        <f t="shared" si="3"/>
        <v>9</v>
      </c>
      <c r="J16" s="33">
        <f t="shared" si="4"/>
        <v>17099.999999999996</v>
      </c>
      <c r="K16" s="7">
        <v>13627.29</v>
      </c>
      <c r="L16" s="49">
        <f t="shared" si="11"/>
        <v>3.8400000000001455</v>
      </c>
      <c r="M16" s="33">
        <f t="shared" si="5"/>
        <v>7296.0000000002765</v>
      </c>
      <c r="N16" s="7">
        <v>3168.62</v>
      </c>
      <c r="O16" s="49">
        <f t="shared" si="6"/>
        <v>1.5960000000000036</v>
      </c>
      <c r="P16" s="33">
        <f t="shared" si="7"/>
        <v>3032.4000000000065</v>
      </c>
      <c r="Q16" s="7">
        <v>5045.6099999999997</v>
      </c>
      <c r="R16" s="49">
        <f t="shared" si="8"/>
        <v>3.839999999999236</v>
      </c>
      <c r="S16" s="33">
        <f t="shared" si="9"/>
        <v>7295.9999999985484</v>
      </c>
      <c r="T16" s="8">
        <f t="shared" si="19"/>
        <v>39.613999999999578</v>
      </c>
      <c r="U16" s="35">
        <f t="shared" si="12"/>
        <v>75266.599999999205</v>
      </c>
      <c r="Y16" t="s">
        <v>12</v>
      </c>
    </row>
    <row r="17" spans="1:24" ht="16.5" thickBot="1" x14ac:dyDescent="0.25">
      <c r="A17" s="10">
        <v>44423</v>
      </c>
      <c r="B17" s="1"/>
      <c r="C17" s="49" t="str">
        <f t="shared" si="10"/>
        <v>0</v>
      </c>
      <c r="D17" s="33">
        <f t="shared" si="0"/>
        <v>0</v>
      </c>
      <c r="E17" s="1"/>
      <c r="F17" s="49" t="str">
        <f t="shared" si="1"/>
        <v>0</v>
      </c>
      <c r="G17" s="33">
        <f t="shared" si="2"/>
        <v>0</v>
      </c>
      <c r="H17" s="1"/>
      <c r="I17" s="49" t="str">
        <f t="shared" si="3"/>
        <v>0</v>
      </c>
      <c r="J17" s="33">
        <f t="shared" si="4"/>
        <v>0</v>
      </c>
      <c r="K17" s="7"/>
      <c r="L17" s="49" t="str">
        <f t="shared" si="11"/>
        <v>0</v>
      </c>
      <c r="M17" s="33">
        <f t="shared" si="5"/>
        <v>0</v>
      </c>
      <c r="N17" s="7"/>
      <c r="O17" s="49" t="str">
        <f t="shared" si="6"/>
        <v>0</v>
      </c>
      <c r="P17" s="33">
        <f t="shared" si="7"/>
        <v>0</v>
      </c>
      <c r="Q17" s="7"/>
      <c r="R17" s="49" t="str">
        <f t="shared" si="8"/>
        <v>0</v>
      </c>
      <c r="S17" s="33">
        <f t="shared" si="9"/>
        <v>0</v>
      </c>
      <c r="T17" s="8">
        <f t="shared" si="19"/>
        <v>0</v>
      </c>
      <c r="U17" s="35">
        <f t="shared" si="12"/>
        <v>0</v>
      </c>
    </row>
    <row r="18" spans="1:24" ht="16.5" thickBot="1" x14ac:dyDescent="0.25">
      <c r="A18" s="10">
        <v>44424</v>
      </c>
      <c r="B18" s="1"/>
      <c r="C18" s="49">
        <f t="shared" si="10"/>
        <v>0</v>
      </c>
      <c r="D18" s="33">
        <f t="shared" si="0"/>
        <v>0</v>
      </c>
      <c r="E18" s="1"/>
      <c r="F18" s="49">
        <f t="shared" si="1"/>
        <v>0</v>
      </c>
      <c r="G18" s="33">
        <f t="shared" si="2"/>
        <v>0</v>
      </c>
      <c r="H18" s="1"/>
      <c r="I18" s="49">
        <f t="shared" si="3"/>
        <v>0</v>
      </c>
      <c r="J18" s="33">
        <f t="shared" si="4"/>
        <v>0</v>
      </c>
      <c r="K18" s="7"/>
      <c r="L18" s="49">
        <f t="shared" si="11"/>
        <v>0</v>
      </c>
      <c r="M18" s="33">
        <f t="shared" si="5"/>
        <v>0</v>
      </c>
      <c r="N18" s="7"/>
      <c r="O18" s="49">
        <f t="shared" si="6"/>
        <v>0</v>
      </c>
      <c r="P18" s="33">
        <f t="shared" si="7"/>
        <v>0</v>
      </c>
      <c r="Q18" s="7"/>
      <c r="R18" s="49">
        <f t="shared" si="8"/>
        <v>0</v>
      </c>
      <c r="S18" s="33">
        <f t="shared" si="9"/>
        <v>0</v>
      </c>
      <c r="T18" s="8">
        <f t="shared" si="19"/>
        <v>0</v>
      </c>
      <c r="U18" s="35">
        <f t="shared" si="12"/>
        <v>0</v>
      </c>
    </row>
    <row r="19" spans="1:24" ht="16.5" thickBot="1" x14ac:dyDescent="0.25">
      <c r="A19" s="10">
        <v>44425</v>
      </c>
      <c r="B19" s="1"/>
      <c r="C19" s="49">
        <f t="shared" si="10"/>
        <v>0</v>
      </c>
      <c r="D19" s="33">
        <f t="shared" si="0"/>
        <v>0</v>
      </c>
      <c r="E19" s="1"/>
      <c r="F19" s="49">
        <f t="shared" si="1"/>
        <v>0</v>
      </c>
      <c r="G19" s="33">
        <f t="shared" si="2"/>
        <v>0</v>
      </c>
      <c r="H19" s="1"/>
      <c r="I19" s="49">
        <f t="shared" si="3"/>
        <v>0</v>
      </c>
      <c r="J19" s="33">
        <f t="shared" si="4"/>
        <v>0</v>
      </c>
      <c r="K19" s="7"/>
      <c r="L19" s="49">
        <f t="shared" si="11"/>
        <v>0</v>
      </c>
      <c r="M19" s="33">
        <f t="shared" si="5"/>
        <v>0</v>
      </c>
      <c r="N19" s="7"/>
      <c r="O19" s="49">
        <f t="shared" si="6"/>
        <v>0</v>
      </c>
      <c r="P19" s="33">
        <f t="shared" si="7"/>
        <v>0</v>
      </c>
      <c r="Q19" s="7"/>
      <c r="R19" s="49">
        <f t="shared" si="8"/>
        <v>0</v>
      </c>
      <c r="S19" s="33">
        <f t="shared" si="9"/>
        <v>0</v>
      </c>
      <c r="T19" s="8">
        <f t="shared" si="19"/>
        <v>0</v>
      </c>
      <c r="U19" s="35">
        <f t="shared" si="12"/>
        <v>0</v>
      </c>
    </row>
    <row r="20" spans="1:24" ht="16.5" thickBot="1" x14ac:dyDescent="0.25">
      <c r="A20" s="10">
        <v>44426</v>
      </c>
      <c r="B20" s="1"/>
      <c r="C20" s="49">
        <f t="shared" si="10"/>
        <v>0</v>
      </c>
      <c r="D20" s="33">
        <f t="shared" si="0"/>
        <v>0</v>
      </c>
      <c r="E20" s="1"/>
      <c r="F20" s="49">
        <f t="shared" si="1"/>
        <v>0</v>
      </c>
      <c r="G20" s="33">
        <f t="shared" si="2"/>
        <v>0</v>
      </c>
      <c r="H20" s="1"/>
      <c r="I20" s="49">
        <f t="shared" si="3"/>
        <v>0</v>
      </c>
      <c r="J20" s="33">
        <f t="shared" si="4"/>
        <v>0</v>
      </c>
      <c r="K20" s="7"/>
      <c r="L20" s="49">
        <f t="shared" si="11"/>
        <v>0</v>
      </c>
      <c r="M20" s="33">
        <f t="shared" si="5"/>
        <v>0</v>
      </c>
      <c r="N20" s="7"/>
      <c r="O20" s="49">
        <f t="shared" si="6"/>
        <v>0</v>
      </c>
      <c r="P20" s="33">
        <f t="shared" si="7"/>
        <v>0</v>
      </c>
      <c r="Q20" s="7"/>
      <c r="R20" s="49">
        <f t="shared" si="8"/>
        <v>0</v>
      </c>
      <c r="S20" s="33">
        <f t="shared" si="9"/>
        <v>0</v>
      </c>
      <c r="T20" s="8">
        <f t="shared" si="19"/>
        <v>0</v>
      </c>
      <c r="U20" s="35">
        <f t="shared" si="12"/>
        <v>0</v>
      </c>
      <c r="X20" t="s">
        <v>12</v>
      </c>
    </row>
    <row r="21" spans="1:24" ht="16.5" thickBot="1" x14ac:dyDescent="0.25">
      <c r="A21" s="10">
        <v>44427</v>
      </c>
      <c r="B21" s="1"/>
      <c r="C21" s="49">
        <f t="shared" si="10"/>
        <v>0</v>
      </c>
      <c r="D21" s="33">
        <f t="shared" si="0"/>
        <v>0</v>
      </c>
      <c r="E21" s="1"/>
      <c r="F21" s="49">
        <f t="shared" si="1"/>
        <v>0</v>
      </c>
      <c r="G21" s="33">
        <f t="shared" si="2"/>
        <v>0</v>
      </c>
      <c r="H21" s="1"/>
      <c r="I21" s="49">
        <f t="shared" si="3"/>
        <v>0</v>
      </c>
      <c r="J21" s="33">
        <f t="shared" si="4"/>
        <v>0</v>
      </c>
      <c r="K21" s="7"/>
      <c r="L21" s="49">
        <f t="shared" si="11"/>
        <v>0</v>
      </c>
      <c r="M21" s="33">
        <f t="shared" si="5"/>
        <v>0</v>
      </c>
      <c r="N21" s="7"/>
      <c r="O21" s="49">
        <f t="shared" si="6"/>
        <v>0</v>
      </c>
      <c r="P21" s="33">
        <f t="shared" si="7"/>
        <v>0</v>
      </c>
      <c r="Q21" s="7"/>
      <c r="R21" s="49">
        <f t="shared" si="8"/>
        <v>0</v>
      </c>
      <c r="S21" s="33">
        <f t="shared" si="9"/>
        <v>0</v>
      </c>
      <c r="T21" s="8">
        <f t="shared" si="19"/>
        <v>0</v>
      </c>
      <c r="U21" s="35">
        <f t="shared" si="12"/>
        <v>0</v>
      </c>
    </row>
    <row r="22" spans="1:24" ht="16.5" thickBot="1" x14ac:dyDescent="0.25">
      <c r="A22" s="10">
        <v>44428</v>
      </c>
      <c r="B22" s="1"/>
      <c r="C22" s="49">
        <f t="shared" si="10"/>
        <v>0</v>
      </c>
      <c r="D22" s="33">
        <f t="shared" si="0"/>
        <v>0</v>
      </c>
      <c r="E22" s="1"/>
      <c r="F22" s="49">
        <f t="shared" si="1"/>
        <v>0</v>
      </c>
      <c r="G22" s="33">
        <f t="shared" si="2"/>
        <v>0</v>
      </c>
      <c r="H22" s="1"/>
      <c r="I22" s="49">
        <f t="shared" si="3"/>
        <v>0</v>
      </c>
      <c r="J22" s="33">
        <f t="shared" si="4"/>
        <v>0</v>
      </c>
      <c r="K22" s="7"/>
      <c r="L22" s="49">
        <f t="shared" si="11"/>
        <v>0</v>
      </c>
      <c r="M22" s="33">
        <f t="shared" si="5"/>
        <v>0</v>
      </c>
      <c r="N22" s="7"/>
      <c r="O22" s="49">
        <f t="shared" si="6"/>
        <v>0</v>
      </c>
      <c r="P22" s="33">
        <f t="shared" si="7"/>
        <v>0</v>
      </c>
      <c r="Q22" s="7"/>
      <c r="R22" s="49">
        <f t="shared" si="8"/>
        <v>0</v>
      </c>
      <c r="S22" s="33">
        <f t="shared" si="9"/>
        <v>0</v>
      </c>
      <c r="T22" s="8">
        <f t="shared" si="19"/>
        <v>0</v>
      </c>
      <c r="U22" s="35">
        <f t="shared" si="12"/>
        <v>0</v>
      </c>
    </row>
    <row r="23" spans="1:24" ht="16.5" thickBot="1" x14ac:dyDescent="0.25">
      <c r="A23" s="10">
        <v>44429</v>
      </c>
      <c r="B23" s="1"/>
      <c r="C23" s="49">
        <f t="shared" si="10"/>
        <v>0</v>
      </c>
      <c r="D23" s="33">
        <f t="shared" si="0"/>
        <v>0</v>
      </c>
      <c r="E23" s="1"/>
      <c r="F23" s="49">
        <f t="shared" si="1"/>
        <v>0</v>
      </c>
      <c r="G23" s="33">
        <f t="shared" si="2"/>
        <v>0</v>
      </c>
      <c r="H23" s="1"/>
      <c r="I23" s="49">
        <f t="shared" si="3"/>
        <v>0</v>
      </c>
      <c r="J23" s="33">
        <f t="shared" si="4"/>
        <v>0</v>
      </c>
      <c r="K23" s="7"/>
      <c r="L23" s="49">
        <f t="shared" si="11"/>
        <v>0</v>
      </c>
      <c r="M23" s="33">
        <f t="shared" si="5"/>
        <v>0</v>
      </c>
      <c r="N23" s="7"/>
      <c r="O23" s="49">
        <f t="shared" si="6"/>
        <v>0</v>
      </c>
      <c r="P23" s="33">
        <f t="shared" si="7"/>
        <v>0</v>
      </c>
      <c r="Q23" s="7"/>
      <c r="R23" s="49">
        <f t="shared" si="8"/>
        <v>0</v>
      </c>
      <c r="S23" s="33">
        <f t="shared" si="9"/>
        <v>0</v>
      </c>
      <c r="T23" s="8">
        <f t="shared" si="19"/>
        <v>0</v>
      </c>
      <c r="U23" s="35">
        <f t="shared" si="12"/>
        <v>0</v>
      </c>
    </row>
    <row r="24" spans="1:24" ht="16.5" thickBot="1" x14ac:dyDescent="0.25">
      <c r="A24" s="10">
        <v>44430</v>
      </c>
      <c r="B24" s="1"/>
      <c r="C24" s="49">
        <f t="shared" si="10"/>
        <v>0</v>
      </c>
      <c r="D24" s="33">
        <f t="shared" si="0"/>
        <v>0</v>
      </c>
      <c r="E24" s="1"/>
      <c r="F24" s="49">
        <f t="shared" si="1"/>
        <v>0</v>
      </c>
      <c r="G24" s="33">
        <f t="shared" si="2"/>
        <v>0</v>
      </c>
      <c r="H24" s="1"/>
      <c r="I24" s="49">
        <f t="shared" si="3"/>
        <v>0</v>
      </c>
      <c r="J24" s="33">
        <f t="shared" si="4"/>
        <v>0</v>
      </c>
      <c r="K24" s="7"/>
      <c r="L24" s="49">
        <f t="shared" si="11"/>
        <v>0</v>
      </c>
      <c r="M24" s="33">
        <f t="shared" si="5"/>
        <v>0</v>
      </c>
      <c r="N24" s="7"/>
      <c r="O24" s="49">
        <f t="shared" si="6"/>
        <v>0</v>
      </c>
      <c r="P24" s="33">
        <f t="shared" si="7"/>
        <v>0</v>
      </c>
      <c r="Q24" s="7"/>
      <c r="R24" s="49">
        <f t="shared" si="8"/>
        <v>0</v>
      </c>
      <c r="S24" s="33">
        <f t="shared" si="9"/>
        <v>0</v>
      </c>
      <c r="T24" s="8">
        <f t="shared" si="19"/>
        <v>0</v>
      </c>
      <c r="U24" s="35">
        <f t="shared" si="12"/>
        <v>0</v>
      </c>
    </row>
    <row r="25" spans="1:24" ht="16.5" thickBot="1" x14ac:dyDescent="0.25">
      <c r="A25" s="10">
        <v>44431</v>
      </c>
      <c r="B25" s="1"/>
      <c r="C25" s="49">
        <f t="shared" si="10"/>
        <v>0</v>
      </c>
      <c r="D25" s="33">
        <f t="shared" si="0"/>
        <v>0</v>
      </c>
      <c r="E25" s="1"/>
      <c r="F25" s="49">
        <f t="shared" si="1"/>
        <v>0</v>
      </c>
      <c r="G25" s="33">
        <f t="shared" si="2"/>
        <v>0</v>
      </c>
      <c r="H25" s="1"/>
      <c r="I25" s="49">
        <f t="shared" si="3"/>
        <v>0</v>
      </c>
      <c r="J25" s="33">
        <f t="shared" si="4"/>
        <v>0</v>
      </c>
      <c r="K25" s="7"/>
      <c r="L25" s="49">
        <f t="shared" si="11"/>
        <v>0</v>
      </c>
      <c r="M25" s="33">
        <f t="shared" si="5"/>
        <v>0</v>
      </c>
      <c r="N25" s="7"/>
      <c r="O25" s="49">
        <f t="shared" si="6"/>
        <v>0</v>
      </c>
      <c r="P25" s="33">
        <f t="shared" si="7"/>
        <v>0</v>
      </c>
      <c r="Q25" s="7"/>
      <c r="R25" s="49">
        <f t="shared" si="8"/>
        <v>0</v>
      </c>
      <c r="S25" s="33">
        <f t="shared" si="9"/>
        <v>0</v>
      </c>
      <c r="T25" s="8">
        <f t="shared" si="19"/>
        <v>0</v>
      </c>
      <c r="U25" s="35">
        <f t="shared" si="12"/>
        <v>0</v>
      </c>
    </row>
    <row r="26" spans="1:24" ht="16.5" thickBot="1" x14ac:dyDescent="0.25">
      <c r="A26" s="10">
        <v>44432</v>
      </c>
      <c r="B26" s="1"/>
      <c r="C26" s="49">
        <f t="shared" si="10"/>
        <v>0</v>
      </c>
      <c r="D26" s="33">
        <f t="shared" si="0"/>
        <v>0</v>
      </c>
      <c r="E26" s="1"/>
      <c r="F26" s="49">
        <f t="shared" si="1"/>
        <v>0</v>
      </c>
      <c r="G26" s="33">
        <f t="shared" si="2"/>
        <v>0</v>
      </c>
      <c r="H26" s="1"/>
      <c r="I26" s="49">
        <f t="shared" si="3"/>
        <v>0</v>
      </c>
      <c r="J26" s="33">
        <f t="shared" si="4"/>
        <v>0</v>
      </c>
      <c r="K26" s="7"/>
      <c r="L26" s="49">
        <f t="shared" si="11"/>
        <v>0</v>
      </c>
      <c r="M26" s="33">
        <f t="shared" si="5"/>
        <v>0</v>
      </c>
      <c r="N26" s="7"/>
      <c r="O26" s="49">
        <f t="shared" si="6"/>
        <v>0</v>
      </c>
      <c r="P26" s="33">
        <f t="shared" si="7"/>
        <v>0</v>
      </c>
      <c r="Q26" s="7"/>
      <c r="R26" s="49">
        <f t="shared" si="8"/>
        <v>0</v>
      </c>
      <c r="S26" s="33">
        <f t="shared" si="9"/>
        <v>0</v>
      </c>
      <c r="T26" s="8">
        <f t="shared" si="19"/>
        <v>0</v>
      </c>
      <c r="U26" s="35">
        <f t="shared" si="12"/>
        <v>0</v>
      </c>
      <c r="V26" t="s">
        <v>12</v>
      </c>
    </row>
    <row r="27" spans="1:24" ht="16.5" thickBot="1" x14ac:dyDescent="0.25">
      <c r="A27" s="10">
        <v>44433</v>
      </c>
      <c r="B27" s="1"/>
      <c r="C27" s="49">
        <f t="shared" si="10"/>
        <v>0</v>
      </c>
      <c r="D27" s="33">
        <f t="shared" si="0"/>
        <v>0</v>
      </c>
      <c r="E27" s="1"/>
      <c r="F27" s="49">
        <f t="shared" si="1"/>
        <v>0</v>
      </c>
      <c r="G27" s="33">
        <f t="shared" si="2"/>
        <v>0</v>
      </c>
      <c r="H27" s="1"/>
      <c r="I27" s="49">
        <f t="shared" si="3"/>
        <v>0</v>
      </c>
      <c r="J27" s="33">
        <f t="shared" si="4"/>
        <v>0</v>
      </c>
      <c r="K27" s="7"/>
      <c r="L27" s="49">
        <f t="shared" si="11"/>
        <v>0</v>
      </c>
      <c r="M27" s="33">
        <f t="shared" si="5"/>
        <v>0</v>
      </c>
      <c r="N27" s="7"/>
      <c r="O27" s="49">
        <f t="shared" si="6"/>
        <v>0</v>
      </c>
      <c r="P27" s="33">
        <f t="shared" si="7"/>
        <v>0</v>
      </c>
      <c r="Q27" s="7"/>
      <c r="R27" s="49">
        <f t="shared" si="8"/>
        <v>0</v>
      </c>
      <c r="S27" s="33">
        <f t="shared" si="9"/>
        <v>0</v>
      </c>
      <c r="T27" s="8">
        <f t="shared" si="19"/>
        <v>0</v>
      </c>
      <c r="U27" s="35">
        <f t="shared" si="12"/>
        <v>0</v>
      </c>
      <c r="V27" t="s">
        <v>12</v>
      </c>
    </row>
    <row r="28" spans="1:24" ht="16.5" thickBot="1" x14ac:dyDescent="0.25">
      <c r="A28" s="10">
        <v>44434</v>
      </c>
      <c r="B28" s="1"/>
      <c r="C28" s="49">
        <f t="shared" si="10"/>
        <v>0</v>
      </c>
      <c r="D28" s="33">
        <f t="shared" si="0"/>
        <v>0</v>
      </c>
      <c r="E28" s="1"/>
      <c r="F28" s="49">
        <f t="shared" si="1"/>
        <v>0</v>
      </c>
      <c r="G28" s="33">
        <f t="shared" si="2"/>
        <v>0</v>
      </c>
      <c r="H28" s="1"/>
      <c r="I28" s="49">
        <f t="shared" si="3"/>
        <v>0</v>
      </c>
      <c r="J28" s="33">
        <f t="shared" si="4"/>
        <v>0</v>
      </c>
      <c r="K28" s="7"/>
      <c r="L28" s="49">
        <f t="shared" si="11"/>
        <v>0</v>
      </c>
      <c r="M28" s="33">
        <f t="shared" si="5"/>
        <v>0</v>
      </c>
      <c r="N28" s="7"/>
      <c r="O28" s="49">
        <f t="shared" si="6"/>
        <v>0</v>
      </c>
      <c r="P28" s="33">
        <f t="shared" si="7"/>
        <v>0</v>
      </c>
      <c r="Q28" s="7"/>
      <c r="R28" s="49">
        <f t="shared" si="8"/>
        <v>0</v>
      </c>
      <c r="S28" s="33">
        <f t="shared" si="9"/>
        <v>0</v>
      </c>
      <c r="T28" s="8">
        <f t="shared" si="19"/>
        <v>0</v>
      </c>
      <c r="U28" s="35">
        <f t="shared" si="12"/>
        <v>0</v>
      </c>
    </row>
    <row r="29" spans="1:24" ht="16.5" thickBot="1" x14ac:dyDescent="0.25">
      <c r="A29" s="10">
        <v>44435</v>
      </c>
      <c r="B29" s="1"/>
      <c r="C29" s="49">
        <f t="shared" si="10"/>
        <v>0</v>
      </c>
      <c r="D29" s="33">
        <f t="shared" si="0"/>
        <v>0</v>
      </c>
      <c r="E29" s="1"/>
      <c r="F29" s="49">
        <f t="shared" si="1"/>
        <v>0</v>
      </c>
      <c r="G29" s="33">
        <f t="shared" si="2"/>
        <v>0</v>
      </c>
      <c r="H29" s="1"/>
      <c r="I29" s="49">
        <f t="shared" si="3"/>
        <v>0</v>
      </c>
      <c r="J29" s="33">
        <f t="shared" si="4"/>
        <v>0</v>
      </c>
      <c r="K29" s="7"/>
      <c r="L29" s="49">
        <f t="shared" si="11"/>
        <v>0</v>
      </c>
      <c r="M29" s="33">
        <f t="shared" si="5"/>
        <v>0</v>
      </c>
      <c r="N29" s="7"/>
      <c r="O29" s="49">
        <f t="shared" si="6"/>
        <v>0</v>
      </c>
      <c r="P29" s="33">
        <f t="shared" si="7"/>
        <v>0</v>
      </c>
      <c r="Q29" s="7"/>
      <c r="R29" s="49">
        <f t="shared" si="8"/>
        <v>0</v>
      </c>
      <c r="S29" s="33">
        <f t="shared" si="9"/>
        <v>0</v>
      </c>
      <c r="T29" s="8">
        <f t="shared" si="19"/>
        <v>0</v>
      </c>
      <c r="U29" s="35">
        <f t="shared" si="12"/>
        <v>0</v>
      </c>
    </row>
    <row r="30" spans="1:24" ht="16.5" thickBot="1" x14ac:dyDescent="0.25">
      <c r="A30" s="10">
        <v>44436</v>
      </c>
      <c r="B30" s="1"/>
      <c r="C30" s="49">
        <f t="shared" si="10"/>
        <v>0</v>
      </c>
      <c r="D30" s="33">
        <f t="shared" si="0"/>
        <v>0</v>
      </c>
      <c r="E30" s="1"/>
      <c r="F30" s="49">
        <f t="shared" si="1"/>
        <v>0</v>
      </c>
      <c r="G30" s="33">
        <f t="shared" si="2"/>
        <v>0</v>
      </c>
      <c r="H30" s="1"/>
      <c r="I30" s="49">
        <f t="shared" si="3"/>
        <v>0</v>
      </c>
      <c r="J30" s="33">
        <f t="shared" si="4"/>
        <v>0</v>
      </c>
      <c r="K30" s="7"/>
      <c r="L30" s="49">
        <f t="shared" si="11"/>
        <v>0</v>
      </c>
      <c r="M30" s="33">
        <f t="shared" si="5"/>
        <v>0</v>
      </c>
      <c r="N30" s="7"/>
      <c r="O30" s="49">
        <f t="shared" si="6"/>
        <v>0</v>
      </c>
      <c r="P30" s="33">
        <f t="shared" si="7"/>
        <v>0</v>
      </c>
      <c r="Q30" s="7"/>
      <c r="R30" s="49">
        <f t="shared" si="8"/>
        <v>0</v>
      </c>
      <c r="S30" s="33">
        <f t="shared" si="9"/>
        <v>0</v>
      </c>
      <c r="T30" s="8">
        <f t="shared" si="19"/>
        <v>0</v>
      </c>
      <c r="U30" s="35">
        <f t="shared" si="12"/>
        <v>0</v>
      </c>
    </row>
    <row r="31" spans="1:24" ht="16.5" thickBot="1" x14ac:dyDescent="0.25">
      <c r="A31" s="10">
        <v>44437</v>
      </c>
      <c r="B31" s="1"/>
      <c r="C31" s="49">
        <f t="shared" si="10"/>
        <v>0</v>
      </c>
      <c r="D31" s="33">
        <f t="shared" si="0"/>
        <v>0</v>
      </c>
      <c r="E31" s="1"/>
      <c r="F31" s="49">
        <f t="shared" si="1"/>
        <v>0</v>
      </c>
      <c r="G31" s="33">
        <f t="shared" si="2"/>
        <v>0</v>
      </c>
      <c r="H31" s="1"/>
      <c r="I31" s="49">
        <f t="shared" si="3"/>
        <v>0</v>
      </c>
      <c r="J31" s="33">
        <f t="shared" si="4"/>
        <v>0</v>
      </c>
      <c r="K31" s="7"/>
      <c r="L31" s="49">
        <f t="shared" si="11"/>
        <v>0</v>
      </c>
      <c r="M31" s="33">
        <f t="shared" si="5"/>
        <v>0</v>
      </c>
      <c r="N31" s="7"/>
      <c r="O31" s="49">
        <f t="shared" si="6"/>
        <v>0</v>
      </c>
      <c r="P31" s="33">
        <f t="shared" si="7"/>
        <v>0</v>
      </c>
      <c r="Q31" s="7"/>
      <c r="R31" s="49">
        <f t="shared" si="8"/>
        <v>0</v>
      </c>
      <c r="S31" s="33">
        <f t="shared" si="9"/>
        <v>0</v>
      </c>
      <c r="T31" s="8">
        <f t="shared" si="19"/>
        <v>0</v>
      </c>
      <c r="U31" s="35">
        <f t="shared" si="12"/>
        <v>0</v>
      </c>
    </row>
    <row r="32" spans="1:24" ht="16.5" thickBot="1" x14ac:dyDescent="0.25">
      <c r="A32" s="10">
        <v>44438</v>
      </c>
      <c r="B32" s="1"/>
      <c r="C32" s="49">
        <f t="shared" si="10"/>
        <v>0</v>
      </c>
      <c r="D32" s="33">
        <f t="shared" si="0"/>
        <v>0</v>
      </c>
      <c r="E32" s="1"/>
      <c r="F32" s="49">
        <f t="shared" si="1"/>
        <v>0</v>
      </c>
      <c r="G32" s="33">
        <f t="shared" si="2"/>
        <v>0</v>
      </c>
      <c r="H32" s="1"/>
      <c r="I32" s="49">
        <f t="shared" si="3"/>
        <v>0</v>
      </c>
      <c r="J32" s="33">
        <f t="shared" si="4"/>
        <v>0</v>
      </c>
      <c r="K32" s="7"/>
      <c r="L32" s="49">
        <f t="shared" si="11"/>
        <v>0</v>
      </c>
      <c r="M32" s="33">
        <f t="shared" si="5"/>
        <v>0</v>
      </c>
      <c r="N32" s="7"/>
      <c r="O32" s="49">
        <f t="shared" si="6"/>
        <v>0</v>
      </c>
      <c r="P32" s="33">
        <f t="shared" si="7"/>
        <v>0</v>
      </c>
      <c r="Q32" s="7"/>
      <c r="R32" s="49">
        <f t="shared" si="8"/>
        <v>0</v>
      </c>
      <c r="S32" s="33">
        <f t="shared" si="9"/>
        <v>0</v>
      </c>
      <c r="T32" s="8">
        <f t="shared" si="19"/>
        <v>0</v>
      </c>
      <c r="U32" s="35">
        <f t="shared" si="12"/>
        <v>0</v>
      </c>
    </row>
    <row r="33" spans="1:27" ht="16.5" thickBot="1" x14ac:dyDescent="0.25">
      <c r="A33" s="10">
        <v>44439</v>
      </c>
      <c r="B33" s="1"/>
      <c r="C33" s="49">
        <f t="shared" si="10"/>
        <v>0</v>
      </c>
      <c r="D33" s="33">
        <f t="shared" si="0"/>
        <v>0</v>
      </c>
      <c r="E33" s="1"/>
      <c r="F33" s="49">
        <f t="shared" si="1"/>
        <v>0</v>
      </c>
      <c r="G33" s="33">
        <f t="shared" si="2"/>
        <v>0</v>
      </c>
      <c r="H33" s="1"/>
      <c r="I33" s="49">
        <f t="shared" si="3"/>
        <v>0</v>
      </c>
      <c r="J33" s="33">
        <f t="shared" si="4"/>
        <v>0</v>
      </c>
      <c r="K33" s="7"/>
      <c r="L33" s="49">
        <f t="shared" si="11"/>
        <v>0</v>
      </c>
      <c r="M33" s="33">
        <f t="shared" si="5"/>
        <v>0</v>
      </c>
      <c r="N33" s="7"/>
      <c r="O33" s="49">
        <f t="shared" si="6"/>
        <v>0</v>
      </c>
      <c r="P33" s="33">
        <f t="shared" si="7"/>
        <v>0</v>
      </c>
      <c r="Q33" s="7"/>
      <c r="R33" s="49">
        <f t="shared" si="8"/>
        <v>0</v>
      </c>
      <c r="S33" s="33">
        <f t="shared" si="9"/>
        <v>0</v>
      </c>
      <c r="T33" s="8">
        <f t="shared" si="19"/>
        <v>0</v>
      </c>
      <c r="U33" s="35">
        <f t="shared" si="12"/>
        <v>0</v>
      </c>
    </row>
    <row r="34" spans="1:27" s="25" customFormat="1" ht="16.5" thickBot="1" x14ac:dyDescent="0.25">
      <c r="A34" s="6" t="s">
        <v>23</v>
      </c>
      <c r="B34" s="144"/>
      <c r="C34" s="144">
        <f>SUM(C3:C33)</f>
        <v>230.39500000000044</v>
      </c>
      <c r="D34" s="144">
        <f>SUM(D2:D33)</f>
        <v>437750.50000000081</v>
      </c>
      <c r="E34" s="144">
        <v>0</v>
      </c>
      <c r="F34" s="144">
        <f>SUM(F2:F33)</f>
        <v>42.048000000000229</v>
      </c>
      <c r="G34" s="144">
        <f>SUM(G2:G33)</f>
        <v>79891.200000000419</v>
      </c>
      <c r="H34" s="144"/>
      <c r="I34" s="144">
        <f>SUM(I2:I33)</f>
        <v>115</v>
      </c>
      <c r="J34" s="144">
        <f>SUM(J2:J33)</f>
        <v>218500</v>
      </c>
      <c r="K34" s="144"/>
      <c r="L34" s="144">
        <f>SUM(L2:L33)</f>
        <v>12291.191000000003</v>
      </c>
      <c r="M34" s="144">
        <f>SUM(M2:M33)</f>
        <v>23353262.899999995</v>
      </c>
      <c r="N34" s="144"/>
      <c r="O34" s="144">
        <f>SUM(O2:O33)</f>
        <v>21.777000000000044</v>
      </c>
      <c r="P34" s="144">
        <f>SUM(P2:P33)</f>
        <v>41376.300000000083</v>
      </c>
      <c r="Q34" s="144"/>
      <c r="R34" s="144">
        <f>SUM(R2:R33)</f>
        <v>50.109999999999673</v>
      </c>
      <c r="S34" s="144">
        <f>SUM(S2:S33)</f>
        <v>95208.999999999374</v>
      </c>
      <c r="T34" s="144">
        <f>SUM(T2:T33)</f>
        <v>12750.521000000006</v>
      </c>
      <c r="U34" s="144">
        <f>SUM(U2:U33)</f>
        <v>24225989.900000002</v>
      </c>
      <c r="V34"/>
      <c r="W34"/>
      <c r="X34"/>
      <c r="Y34"/>
      <c r="Z34"/>
      <c r="AA3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10" sqref="F10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67" t="s">
        <v>143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</row>
    <row r="2" spans="1:11" ht="13.5" thickBot="1" x14ac:dyDescent="0.25">
      <c r="A2" s="100"/>
      <c r="B2" s="101" t="s">
        <v>92</v>
      </c>
      <c r="C2" s="102">
        <f>K8+K9+K14</f>
        <v>461462</v>
      </c>
      <c r="D2" s="102">
        <f>C2*1.27</f>
        <v>586056.74</v>
      </c>
      <c r="E2" s="103"/>
      <c r="F2" s="100"/>
      <c r="G2" s="100"/>
      <c r="H2" s="104" t="s">
        <v>93</v>
      </c>
      <c r="I2" s="105"/>
      <c r="J2" s="105"/>
      <c r="K2" s="105"/>
    </row>
    <row r="3" spans="1:11" ht="13.5" thickBot="1" x14ac:dyDescent="0.25">
      <c r="A3" s="100"/>
      <c r="B3" s="100"/>
      <c r="C3" s="100"/>
      <c r="D3" s="100"/>
      <c r="E3" s="100"/>
      <c r="F3" s="100"/>
      <c r="G3" s="100"/>
      <c r="H3" s="106" t="s">
        <v>94</v>
      </c>
      <c r="I3" s="140">
        <f>ELECT.!E2</f>
        <v>27109152</v>
      </c>
      <c r="J3" s="140">
        <f>ELECT.!E33</f>
        <v>27354476</v>
      </c>
      <c r="K3" s="97">
        <f>J3-I3</f>
        <v>245324</v>
      </c>
    </row>
    <row r="4" spans="1:11" ht="13.5" thickBot="1" x14ac:dyDescent="0.25">
      <c r="A4" s="100"/>
      <c r="B4" s="108" t="s">
        <v>95</v>
      </c>
      <c r="C4" s="109" t="s">
        <v>96</v>
      </c>
      <c r="D4" s="109" t="s">
        <v>97</v>
      </c>
      <c r="E4" s="109"/>
      <c r="F4" s="100"/>
      <c r="G4" s="100"/>
      <c r="H4" s="106" t="s">
        <v>98</v>
      </c>
      <c r="I4" s="107">
        <f>ELECT.!G2</f>
        <v>85974955</v>
      </c>
      <c r="J4" s="140">
        <f>ELECT.!G33</f>
        <v>86743899</v>
      </c>
      <c r="K4" s="97">
        <f>J4-I4</f>
        <v>768944</v>
      </c>
    </row>
    <row r="5" spans="1:11" ht="13.5" thickBot="1" x14ac:dyDescent="0.25">
      <c r="A5" s="100"/>
      <c r="B5" s="106" t="s">
        <v>27</v>
      </c>
      <c r="C5" s="110">
        <f>(K10+K12)*0.842284+K26</f>
        <v>414980.162992</v>
      </c>
      <c r="D5" s="110">
        <f t="shared" ref="D5:D11" si="0">C5*1.27</f>
        <v>527024.80699983996</v>
      </c>
      <c r="E5" s="111"/>
      <c r="F5" s="100"/>
      <c r="G5" s="100"/>
      <c r="H5" s="106" t="s">
        <v>23</v>
      </c>
      <c r="I5" s="112"/>
      <c r="J5" s="112"/>
      <c r="K5" s="132">
        <f>K3+K4</f>
        <v>1014268</v>
      </c>
    </row>
    <row r="6" spans="1:11" ht="13.5" thickBot="1" x14ac:dyDescent="0.25">
      <c r="A6" s="100"/>
      <c r="B6" s="106" t="s">
        <v>99</v>
      </c>
      <c r="C6" s="110">
        <f>(K10+K12+K26)*0.1488</f>
        <v>72910.214399999997</v>
      </c>
      <c r="D6" s="110">
        <f t="shared" si="0"/>
        <v>92595.972288000004</v>
      </c>
      <c r="E6" s="111"/>
      <c r="F6" s="100"/>
      <c r="G6" s="100"/>
      <c r="H6" s="106" t="s">
        <v>100</v>
      </c>
      <c r="I6" s="145">
        <f>ELECT.!J2</f>
        <v>8437636</v>
      </c>
      <c r="J6" s="141">
        <f>ELECT.!J33</f>
        <v>8437636</v>
      </c>
      <c r="K6" s="97">
        <f>J6-I6</f>
        <v>0</v>
      </c>
    </row>
    <row r="7" spans="1:11" ht="13.5" thickBot="1" x14ac:dyDescent="0.25">
      <c r="A7" s="100"/>
      <c r="B7" s="106" t="s">
        <v>101</v>
      </c>
      <c r="C7" s="110">
        <f>(K6+K7)-(C8+C9+C10+C11+K26)</f>
        <v>31712</v>
      </c>
      <c r="D7" s="110">
        <f t="shared" si="0"/>
        <v>40274.239999999998</v>
      </c>
      <c r="E7" s="111"/>
      <c r="F7" s="100"/>
      <c r="G7" s="100"/>
      <c r="H7" s="106" t="s">
        <v>102</v>
      </c>
      <c r="I7" s="145">
        <f>ELECT.!L2</f>
        <v>8403344</v>
      </c>
      <c r="J7" s="141">
        <f>ELECT.!L33</f>
        <v>8480562</v>
      </c>
      <c r="K7" s="97">
        <f>J7-I7</f>
        <v>77218</v>
      </c>
    </row>
    <row r="8" spans="1:11" ht="13.5" thickBot="1" x14ac:dyDescent="0.25">
      <c r="A8" s="100"/>
      <c r="B8" s="106" t="s">
        <v>103</v>
      </c>
      <c r="C8" s="110">
        <f>K21+K22+K23+K24</f>
        <v>16935</v>
      </c>
      <c r="D8" s="110">
        <f t="shared" si="0"/>
        <v>21507.45</v>
      </c>
      <c r="E8" s="111"/>
      <c r="F8" s="100"/>
      <c r="G8" s="100"/>
      <c r="H8" s="106" t="s">
        <v>104</v>
      </c>
      <c r="I8" s="145">
        <f>ELECT.!N2</f>
        <v>5521900</v>
      </c>
      <c r="J8" s="141">
        <f>ELECT.!N33</f>
        <v>5604628</v>
      </c>
      <c r="K8" s="97">
        <f>(J8-I8)*2</f>
        <v>165456</v>
      </c>
    </row>
    <row r="9" spans="1:11" ht="13.5" thickBot="1" x14ac:dyDescent="0.25">
      <c r="A9" s="100"/>
      <c r="B9" s="106" t="s">
        <v>137</v>
      </c>
      <c r="C9" s="110">
        <f>K25+K16+K17</f>
        <v>2605</v>
      </c>
      <c r="D9" s="110">
        <f t="shared" si="0"/>
        <v>3308.35</v>
      </c>
      <c r="E9" s="111"/>
      <c r="F9" s="100"/>
      <c r="G9" s="100"/>
      <c r="H9" s="106" t="s">
        <v>105</v>
      </c>
      <c r="I9" s="145">
        <f>ELECT.!P2</f>
        <v>4343583</v>
      </c>
      <c r="J9" s="141">
        <f>ELECT.!P33</f>
        <v>4542159</v>
      </c>
      <c r="K9" s="97">
        <f>J9-I9</f>
        <v>198576</v>
      </c>
    </row>
    <row r="10" spans="1:11" ht="13.5" thickBot="1" x14ac:dyDescent="0.25">
      <c r="A10" s="100"/>
      <c r="B10" s="106" t="s">
        <v>106</v>
      </c>
      <c r="C10" s="110">
        <f>K18</f>
        <v>8000</v>
      </c>
      <c r="D10" s="110">
        <f t="shared" si="0"/>
        <v>10160</v>
      </c>
      <c r="E10" s="111"/>
      <c r="F10" s="100"/>
      <c r="G10" s="100"/>
      <c r="H10" s="106" t="s">
        <v>107</v>
      </c>
      <c r="I10" s="145">
        <f>ELECT.!R2</f>
        <v>18169577</v>
      </c>
      <c r="J10" s="141">
        <f>ELECT.!R33</f>
        <v>18319807</v>
      </c>
      <c r="K10" s="97">
        <f>J10-I10</f>
        <v>150230</v>
      </c>
    </row>
    <row r="11" spans="1:11" ht="13.5" thickBot="1" x14ac:dyDescent="0.25">
      <c r="A11" s="100"/>
      <c r="B11" s="106" t="s">
        <v>108</v>
      </c>
      <c r="C11" s="110">
        <f>K19+K20</f>
        <v>3566</v>
      </c>
      <c r="D11" s="110">
        <f t="shared" si="0"/>
        <v>4528.82</v>
      </c>
      <c r="E11" s="111"/>
      <c r="F11" s="100"/>
      <c r="G11" s="100"/>
      <c r="H11" s="106" t="s">
        <v>109</v>
      </c>
      <c r="I11" s="113">
        <v>0</v>
      </c>
      <c r="J11" s="141">
        <f>ELECT.!J37</f>
        <v>0</v>
      </c>
      <c r="K11" s="97">
        <f>J11-I11</f>
        <v>0</v>
      </c>
    </row>
    <row r="12" spans="1:11" ht="13.5" thickBot="1" x14ac:dyDescent="0.25">
      <c r="A12" s="100"/>
      <c r="B12" s="100"/>
      <c r="C12" s="114"/>
      <c r="D12" s="114"/>
      <c r="E12" s="114"/>
      <c r="F12" s="100"/>
      <c r="G12" s="100"/>
      <c r="H12" s="106" t="s">
        <v>110</v>
      </c>
      <c r="I12" s="145">
        <f>ELECT.!V2</f>
        <v>5911732</v>
      </c>
      <c r="J12" s="141">
        <f>ELECT.!V33</f>
        <v>6074411</v>
      </c>
      <c r="K12" s="97">
        <f>(J12-I12)*2</f>
        <v>325358</v>
      </c>
    </row>
    <row r="13" spans="1:11" ht="13.5" thickBot="1" x14ac:dyDescent="0.25">
      <c r="A13" s="100"/>
      <c r="B13" s="104" t="s">
        <v>111</v>
      </c>
      <c r="C13" s="111" t="s">
        <v>112</v>
      </c>
      <c r="D13" s="111" t="s">
        <v>97</v>
      </c>
      <c r="E13" s="111"/>
      <c r="F13" s="100"/>
      <c r="G13" s="100"/>
      <c r="H13" s="106" t="s">
        <v>113</v>
      </c>
      <c r="I13" s="115"/>
      <c r="J13" s="116"/>
      <c r="K13" s="117">
        <f>SUM(K6:K12)</f>
        <v>916838</v>
      </c>
    </row>
    <row r="14" spans="1:11" ht="13.5" thickBot="1" x14ac:dyDescent="0.25">
      <c r="A14" s="100"/>
      <c r="B14" s="106" t="s">
        <v>42</v>
      </c>
      <c r="C14" s="110">
        <f>K29</f>
        <v>-4197280</v>
      </c>
      <c r="D14" s="118">
        <f t="shared" ref="D14:D22" si="1">C14*10.03</f>
        <v>-42098718.399999999</v>
      </c>
      <c r="E14" s="119"/>
      <c r="F14" s="100"/>
      <c r="G14" s="100"/>
      <c r="H14" s="106" t="s">
        <v>114</v>
      </c>
      <c r="I14" s="115"/>
      <c r="J14" s="116"/>
      <c r="K14" s="98">
        <f>K5-K13</f>
        <v>97430</v>
      </c>
    </row>
    <row r="15" spans="1:11" ht="13.5" thickBot="1" x14ac:dyDescent="0.25">
      <c r="A15" s="100"/>
      <c r="B15" s="106" t="s">
        <v>115</v>
      </c>
      <c r="C15" s="120">
        <f>K30</f>
        <v>-20021.337</v>
      </c>
      <c r="D15" s="118">
        <f t="shared" si="1"/>
        <v>-200814.01010999997</v>
      </c>
      <c r="E15" s="119"/>
      <c r="F15" s="100"/>
      <c r="G15" s="100"/>
      <c r="H15" s="100"/>
      <c r="I15" s="100"/>
      <c r="J15" s="100"/>
      <c r="K15" s="100"/>
    </row>
    <row r="16" spans="1:11" ht="13.5" thickBot="1" x14ac:dyDescent="0.25">
      <c r="A16" s="100"/>
      <c r="B16" s="106" t="s">
        <v>99</v>
      </c>
      <c r="C16" s="120">
        <f>(C14-C15-C17-C18-C19-C20-C21)*0.1318</f>
        <v>-551329.76778340002</v>
      </c>
      <c r="D16" s="118">
        <f t="shared" si="1"/>
        <v>-5529837.5708675021</v>
      </c>
      <c r="E16" s="119"/>
      <c r="F16" s="100"/>
      <c r="G16" s="100"/>
      <c r="H16" s="121" t="s">
        <v>136</v>
      </c>
      <c r="I16" s="122">
        <f>'Mall, Citadel, Rotana'!T2</f>
        <v>3718</v>
      </c>
      <c r="J16" s="122">
        <f>'Mall, Citadel, Rotana'!T33</f>
        <v>3734</v>
      </c>
      <c r="K16" s="99">
        <f>(J16-I16)*160</f>
        <v>2560</v>
      </c>
    </row>
    <row r="17" spans="1:11" ht="13.5" thickBot="1" x14ac:dyDescent="0.25">
      <c r="A17" s="100"/>
      <c r="B17" s="106" t="s">
        <v>103</v>
      </c>
      <c r="C17" s="120">
        <v>1420</v>
      </c>
      <c r="D17" s="118">
        <f t="shared" si="1"/>
        <v>14242.599999999999</v>
      </c>
      <c r="E17" s="119"/>
      <c r="F17" s="100"/>
      <c r="G17" s="100"/>
      <c r="H17" s="121" t="s">
        <v>19</v>
      </c>
      <c r="I17" s="122">
        <f>'Mall, Citadel, Rotana'!J2</f>
        <v>303517</v>
      </c>
      <c r="J17" s="122">
        <f>'Mall, Citadel, Rotana'!J33</f>
        <v>303517</v>
      </c>
      <c r="K17" s="99">
        <f>(J17-I17)*160</f>
        <v>0</v>
      </c>
    </row>
    <row r="18" spans="1:11" ht="13.5" thickBot="1" x14ac:dyDescent="0.25">
      <c r="A18" s="100"/>
      <c r="B18" s="106" t="s">
        <v>108</v>
      </c>
      <c r="C18" s="120">
        <v>200</v>
      </c>
      <c r="D18" s="118">
        <f t="shared" si="1"/>
        <v>2005.9999999999998</v>
      </c>
      <c r="E18" s="119"/>
      <c r="F18" s="100"/>
      <c r="G18" s="100"/>
      <c r="H18" s="121" t="s">
        <v>20</v>
      </c>
      <c r="I18" s="122">
        <f>'Mall, Citadel, Rotana'!L2</f>
        <v>25206</v>
      </c>
      <c r="J18" s="122">
        <f>'Mall, Citadel, Rotana'!L33</f>
        <v>25256</v>
      </c>
      <c r="K18" s="99">
        <f>(J18-I18)*160</f>
        <v>8000</v>
      </c>
    </row>
    <row r="19" spans="1:11" ht="15.75" thickBot="1" x14ac:dyDescent="0.25">
      <c r="A19" s="100"/>
      <c r="B19" s="106" t="s">
        <v>137</v>
      </c>
      <c r="C19" s="120">
        <v>600</v>
      </c>
      <c r="D19" s="118">
        <f t="shared" si="1"/>
        <v>6018</v>
      </c>
      <c r="E19" s="168" t="s">
        <v>116</v>
      </c>
      <c r="F19" s="169"/>
      <c r="G19" s="100"/>
      <c r="H19" s="121" t="s">
        <v>117</v>
      </c>
      <c r="I19" s="122">
        <f>'Mall, Citadel, Rotana'!P2</f>
        <v>113851</v>
      </c>
      <c r="J19" s="122">
        <f>'Mall, Citadel, Rotana'!P33</f>
        <v>117417</v>
      </c>
      <c r="K19" s="99">
        <f>J19-I19</f>
        <v>3566</v>
      </c>
    </row>
    <row r="20" spans="1:11" ht="13.5" thickBot="1" x14ac:dyDescent="0.25">
      <c r="A20" s="100"/>
      <c r="B20" s="106" t="s">
        <v>106</v>
      </c>
      <c r="C20" s="120">
        <v>600</v>
      </c>
      <c r="D20" s="118">
        <f t="shared" si="1"/>
        <v>6018</v>
      </c>
      <c r="E20" s="119"/>
      <c r="F20" s="100"/>
      <c r="G20" s="100"/>
      <c r="H20" s="121" t="s">
        <v>118</v>
      </c>
      <c r="I20" s="122">
        <f>'Mall, Citadel, Rotana'!R2</f>
        <v>55047</v>
      </c>
      <c r="J20" s="122">
        <f>'Mall, Citadel, Rotana'!R33</f>
        <v>55047</v>
      </c>
      <c r="K20" s="99">
        <f>J20-I20</f>
        <v>0</v>
      </c>
    </row>
    <row r="21" spans="1:11" ht="13.5" thickBot="1" x14ac:dyDescent="0.25">
      <c r="A21" s="100"/>
      <c r="B21" s="106" t="s">
        <v>92</v>
      </c>
      <c r="C21" s="120">
        <v>3000</v>
      </c>
      <c r="D21" s="118">
        <f t="shared" si="1"/>
        <v>30089.999999999996</v>
      </c>
      <c r="E21" s="119"/>
      <c r="F21" s="100"/>
      <c r="G21" s="100"/>
      <c r="H21" s="121" t="s">
        <v>13</v>
      </c>
      <c r="I21" s="122">
        <f>'Mall, Citadel, Rotana'!B2</f>
        <v>45656</v>
      </c>
      <c r="J21" s="122">
        <f>'Mall, Citadel, Rotana'!B33</f>
        <v>45734</v>
      </c>
      <c r="K21" s="99">
        <f>(J21-I21)*120</f>
        <v>9360</v>
      </c>
    </row>
    <row r="22" spans="1:11" ht="13.5" thickBot="1" x14ac:dyDescent="0.25">
      <c r="A22" s="100"/>
      <c r="B22" s="106" t="s">
        <v>119</v>
      </c>
      <c r="C22" s="118">
        <f>C14-(C15+C16+C17+C18+C19+C20+C21)</f>
        <v>-3631748.8952166</v>
      </c>
      <c r="D22" s="118">
        <f t="shared" si="1"/>
        <v>-36426441.419022493</v>
      </c>
      <c r="E22" s="119"/>
      <c r="F22" s="100"/>
      <c r="G22" s="100"/>
      <c r="H22" s="121" t="s">
        <v>15</v>
      </c>
      <c r="I22" s="122">
        <f>'Mall, Citadel, Rotana'!D2</f>
        <v>39722</v>
      </c>
      <c r="J22" s="122">
        <f>'Mall, Citadel, Rotana'!D33</f>
        <v>39759</v>
      </c>
      <c r="K22" s="99">
        <f>(J22-I22)*160</f>
        <v>5920</v>
      </c>
    </row>
    <row r="23" spans="1:11" x14ac:dyDescent="0.2">
      <c r="A23" s="100"/>
      <c r="B23" s="100"/>
      <c r="C23" s="114"/>
      <c r="D23" s="123"/>
      <c r="E23" s="119"/>
      <c r="F23" s="100"/>
      <c r="G23" s="100"/>
      <c r="H23" s="121" t="s">
        <v>17</v>
      </c>
      <c r="I23" s="122">
        <f>'Mall, Citadel, Rotana'!F2</f>
        <v>20627</v>
      </c>
      <c r="J23" s="122">
        <f>'Mall, Citadel, Rotana'!F33</f>
        <v>20675</v>
      </c>
      <c r="K23" s="99">
        <f>(J23-I23)*20</f>
        <v>960</v>
      </c>
    </row>
    <row r="24" spans="1:11" x14ac:dyDescent="0.2">
      <c r="A24" s="100"/>
      <c r="B24" s="104" t="s">
        <v>120</v>
      </c>
      <c r="C24" s="114"/>
      <c r="D24" s="114"/>
      <c r="E24" s="114"/>
      <c r="F24" s="100"/>
      <c r="G24" s="100"/>
      <c r="H24" s="121" t="s">
        <v>18</v>
      </c>
      <c r="I24" s="122">
        <f>'Mall, Citadel, Rotana'!H2</f>
        <v>246346</v>
      </c>
      <c r="J24" s="122">
        <f>'Mall, Citadel, Rotana'!H33</f>
        <v>247041</v>
      </c>
      <c r="K24" s="99">
        <f>J24-I24</f>
        <v>695</v>
      </c>
    </row>
    <row r="25" spans="1:11" ht="13.5" thickBot="1" x14ac:dyDescent="0.25">
      <c r="A25" s="100"/>
      <c r="B25" s="100"/>
      <c r="C25" s="111" t="s">
        <v>112</v>
      </c>
      <c r="D25" s="111" t="s">
        <v>121</v>
      </c>
      <c r="E25" s="111"/>
      <c r="F25" s="100"/>
      <c r="G25" s="100"/>
      <c r="H25" s="121" t="s">
        <v>122</v>
      </c>
      <c r="I25" s="122">
        <f>'Mall, Citadel, Rotana'!N2</f>
        <v>215736</v>
      </c>
      <c r="J25" s="122">
        <f>'Mall, Citadel, Rotana'!N33</f>
        <v>215781</v>
      </c>
      <c r="K25" s="99">
        <f>J25-I25</f>
        <v>45</v>
      </c>
    </row>
    <row r="26" spans="1:11" ht="13.5" thickBot="1" x14ac:dyDescent="0.25">
      <c r="A26" s="100"/>
      <c r="B26" s="106" t="s">
        <v>42</v>
      </c>
      <c r="C26" s="124">
        <f>K35</f>
        <v>-17503175</v>
      </c>
      <c r="D26" s="110">
        <f>C26*3.65</f>
        <v>-63886588.75</v>
      </c>
      <c r="E26" s="111"/>
      <c r="F26" s="100"/>
      <c r="G26" s="100"/>
      <c r="H26" s="121" t="s">
        <v>123</v>
      </c>
      <c r="I26" s="131">
        <f>ELECT.!C2</f>
        <v>18554</v>
      </c>
      <c r="J26" s="131">
        <f>ELECT.!C33</f>
        <v>18644</v>
      </c>
      <c r="K26" s="99">
        <f>(J26-I26)*160</f>
        <v>14400</v>
      </c>
    </row>
    <row r="27" spans="1:11" ht="13.5" thickBot="1" x14ac:dyDescent="0.25">
      <c r="A27" s="100"/>
      <c r="B27" s="101" t="s">
        <v>124</v>
      </c>
      <c r="C27" s="124">
        <f>C26</f>
        <v>-17503175</v>
      </c>
      <c r="D27" s="110">
        <f>C27*3.65</f>
        <v>-63886588.75</v>
      </c>
      <c r="E27" s="111"/>
      <c r="F27" s="100"/>
      <c r="G27" s="100"/>
      <c r="H27" s="104"/>
      <c r="I27" s="125"/>
      <c r="J27" s="100"/>
      <c r="K27" s="100"/>
    </row>
    <row r="28" spans="1:11" x14ac:dyDescent="0.2">
      <c r="A28" s="100"/>
      <c r="B28" s="100"/>
      <c r="C28" s="100"/>
      <c r="D28" s="100"/>
      <c r="E28" s="100"/>
      <c r="F28" s="100"/>
      <c r="G28" s="100"/>
      <c r="H28" s="104" t="s">
        <v>111</v>
      </c>
      <c r="I28" s="125"/>
      <c r="J28" s="100"/>
      <c r="K28" s="100"/>
    </row>
    <row r="29" spans="1:11" x14ac:dyDescent="0.2">
      <c r="A29" s="100"/>
      <c r="B29" s="100"/>
      <c r="C29" s="100"/>
      <c r="D29" s="100"/>
      <c r="E29" s="100"/>
      <c r="F29" s="100"/>
      <c r="G29" s="100" t="s">
        <v>12</v>
      </c>
      <c r="H29" s="121" t="s">
        <v>24</v>
      </c>
      <c r="I29" s="122">
        <f>Water!B2</f>
        <v>419728</v>
      </c>
      <c r="J29" s="122">
        <f>Water!B33</f>
        <v>0</v>
      </c>
      <c r="K29" s="99">
        <f>(J29-I29)*10</f>
        <v>-4197280</v>
      </c>
    </row>
    <row r="30" spans="1:11" x14ac:dyDescent="0.2">
      <c r="A30" s="100"/>
      <c r="B30" s="100"/>
      <c r="C30" s="100"/>
      <c r="D30" s="100"/>
      <c r="E30" s="100"/>
      <c r="F30" s="100"/>
      <c r="G30" s="100"/>
      <c r="H30" s="121" t="s">
        <v>125</v>
      </c>
      <c r="I30" s="122">
        <f>Water!H2</f>
        <v>741531</v>
      </c>
      <c r="J30" s="122">
        <f>Water!H33</f>
        <v>0</v>
      </c>
      <c r="K30" s="99">
        <f>(J30-I30)*0.027</f>
        <v>-20021.337</v>
      </c>
    </row>
    <row r="31" spans="1:11" x14ac:dyDescent="0.2">
      <c r="A31" s="100"/>
      <c r="B31" s="100"/>
      <c r="C31" s="100"/>
      <c r="D31" s="100"/>
      <c r="E31" s="100"/>
      <c r="F31" s="100"/>
      <c r="G31" s="100"/>
      <c r="H31" s="121" t="s">
        <v>126</v>
      </c>
      <c r="I31" s="122">
        <f>Water!D2</f>
        <v>4377000</v>
      </c>
      <c r="J31" s="122">
        <f>Water!D33</f>
        <v>0</v>
      </c>
      <c r="K31" s="99">
        <f>(J31-I31)*0.027</f>
        <v>-118179</v>
      </c>
    </row>
    <row r="32" spans="1:11" x14ac:dyDescent="0.2">
      <c r="A32" s="100"/>
      <c r="B32" s="100"/>
      <c r="C32" s="100"/>
      <c r="D32" s="100"/>
      <c r="E32" s="100"/>
      <c r="F32" s="100"/>
      <c r="G32" s="100"/>
      <c r="H32" s="121" t="s">
        <v>127</v>
      </c>
      <c r="I32" s="122">
        <f>Water!F2</f>
        <v>4456700</v>
      </c>
      <c r="J32" s="122">
        <f>Water!F33</f>
        <v>0</v>
      </c>
      <c r="K32" s="99">
        <f>(J32-I32)*0.027</f>
        <v>-120330.9</v>
      </c>
    </row>
    <row r="33" spans="1:11" x14ac:dyDescent="0.2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</row>
    <row r="34" spans="1:11" x14ac:dyDescent="0.2">
      <c r="A34" s="126"/>
      <c r="B34" s="126"/>
      <c r="C34" s="126"/>
      <c r="D34" s="126"/>
      <c r="E34" s="126"/>
      <c r="F34" s="126"/>
      <c r="G34" s="126"/>
      <c r="H34" s="126" t="s">
        <v>120</v>
      </c>
      <c r="I34" s="126"/>
      <c r="J34" s="126"/>
      <c r="K34" s="126"/>
    </row>
    <row r="35" spans="1:11" x14ac:dyDescent="0.2">
      <c r="A35" s="126"/>
      <c r="B35" s="126"/>
      <c r="C35" s="126"/>
      <c r="D35" s="126"/>
      <c r="E35" s="126"/>
      <c r="F35" s="126"/>
      <c r="G35" s="127"/>
      <c r="H35" s="128" t="s">
        <v>42</v>
      </c>
      <c r="I35" s="129">
        <f>Gas!B2</f>
        <v>17503175</v>
      </c>
      <c r="J35" s="143">
        <f>Gas!B33</f>
        <v>0</v>
      </c>
      <c r="K35" s="130">
        <f>J35-I35</f>
        <v>-17503175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47" zoomScaleNormal="100" workbookViewId="0">
      <selection activeCell="H94" sqref="H94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2"/>
      <c r="C1" s="63" t="s">
        <v>77</v>
      </c>
      <c r="D1" s="64" t="s">
        <v>78</v>
      </c>
      <c r="E1" s="64" t="s">
        <v>139</v>
      </c>
      <c r="F1" s="64" t="s">
        <v>141</v>
      </c>
      <c r="G1" s="64" t="s">
        <v>91</v>
      </c>
      <c r="H1" s="65" t="s">
        <v>79</v>
      </c>
      <c r="J1" s="63" t="s">
        <v>77</v>
      </c>
      <c r="K1" s="64" t="s">
        <v>78</v>
      </c>
      <c r="L1" s="64" t="s">
        <v>141</v>
      </c>
      <c r="M1" s="64" t="s">
        <v>142</v>
      </c>
      <c r="N1" s="64" t="s">
        <v>91</v>
      </c>
      <c r="O1" s="65" t="s">
        <v>79</v>
      </c>
    </row>
    <row r="2" spans="2:15" ht="15" x14ac:dyDescent="0.2">
      <c r="B2" s="62"/>
      <c r="C2" s="178">
        <v>6</v>
      </c>
      <c r="D2" s="66" t="s">
        <v>80</v>
      </c>
      <c r="E2" s="67">
        <v>278147</v>
      </c>
      <c r="F2" s="67">
        <v>279216</v>
      </c>
      <c r="G2" s="68">
        <f>F2-E2</f>
        <v>1069</v>
      </c>
      <c r="H2" s="69"/>
      <c r="J2" s="178">
        <v>6</v>
      </c>
      <c r="K2" s="66" t="s">
        <v>80</v>
      </c>
      <c r="L2" s="67">
        <v>279216</v>
      </c>
      <c r="M2" s="67">
        <v>280262</v>
      </c>
      <c r="N2" s="68">
        <f>M2-L2</f>
        <v>1046</v>
      </c>
      <c r="O2" s="69"/>
    </row>
    <row r="3" spans="2:15" ht="15" x14ac:dyDescent="0.2">
      <c r="B3" s="62"/>
      <c r="C3" s="186"/>
      <c r="D3" s="66" t="s">
        <v>81</v>
      </c>
      <c r="E3" s="67">
        <v>241395</v>
      </c>
      <c r="F3" s="67">
        <v>242223</v>
      </c>
      <c r="G3" s="68">
        <f t="shared" ref="G3:G60" si="0">F3-E3</f>
        <v>828</v>
      </c>
      <c r="H3" s="69"/>
      <c r="J3" s="186"/>
      <c r="K3" s="66" t="s">
        <v>81</v>
      </c>
      <c r="L3" s="67">
        <v>242223</v>
      </c>
      <c r="M3" s="67">
        <v>242725</v>
      </c>
      <c r="N3" s="68">
        <f t="shared" ref="N3:N60" si="1">M3-L3</f>
        <v>502</v>
      </c>
      <c r="O3" s="69"/>
    </row>
    <row r="4" spans="2:15" ht="15" x14ac:dyDescent="0.2">
      <c r="B4" s="62"/>
      <c r="C4" s="179"/>
      <c r="D4" s="66" t="s">
        <v>82</v>
      </c>
      <c r="E4" s="67">
        <v>189597</v>
      </c>
      <c r="F4" s="67">
        <v>190115</v>
      </c>
      <c r="G4" s="68">
        <f t="shared" si="0"/>
        <v>518</v>
      </c>
      <c r="H4" s="69"/>
      <c r="J4" s="179"/>
      <c r="K4" s="66" t="s">
        <v>82</v>
      </c>
      <c r="L4" s="67">
        <v>190115</v>
      </c>
      <c r="M4" s="67">
        <v>190541</v>
      </c>
      <c r="N4" s="68">
        <f t="shared" si="1"/>
        <v>426</v>
      </c>
      <c r="O4" s="69"/>
    </row>
    <row r="5" spans="2:15" ht="15" x14ac:dyDescent="0.2">
      <c r="B5" s="62"/>
      <c r="C5" s="178">
        <v>7</v>
      </c>
      <c r="D5" s="66" t="s">
        <v>80</v>
      </c>
      <c r="E5" s="67">
        <v>239098</v>
      </c>
      <c r="F5" s="67">
        <v>240166</v>
      </c>
      <c r="G5" s="68">
        <f t="shared" si="0"/>
        <v>1068</v>
      </c>
      <c r="H5" s="69"/>
      <c r="J5" s="178">
        <v>7</v>
      </c>
      <c r="K5" s="66" t="s">
        <v>80</v>
      </c>
      <c r="L5" s="67">
        <v>240166</v>
      </c>
      <c r="M5" s="67">
        <v>241447</v>
      </c>
      <c r="N5" s="68">
        <f t="shared" si="1"/>
        <v>1281</v>
      </c>
      <c r="O5" s="69"/>
    </row>
    <row r="6" spans="2:15" ht="15" x14ac:dyDescent="0.2">
      <c r="B6" s="62"/>
      <c r="C6" s="186"/>
      <c r="D6" s="66" t="s">
        <v>81</v>
      </c>
      <c r="E6" s="67">
        <v>153583</v>
      </c>
      <c r="F6" s="67">
        <v>153654</v>
      </c>
      <c r="G6" s="68">
        <f t="shared" si="0"/>
        <v>71</v>
      </c>
      <c r="H6" s="69"/>
      <c r="J6" s="186"/>
      <c r="K6" s="66" t="s">
        <v>81</v>
      </c>
      <c r="L6" s="67">
        <v>153654</v>
      </c>
      <c r="M6" s="67">
        <v>153709</v>
      </c>
      <c r="N6" s="68">
        <f t="shared" si="1"/>
        <v>55</v>
      </c>
      <c r="O6" s="69"/>
    </row>
    <row r="7" spans="2:15" ht="15" x14ac:dyDescent="0.2">
      <c r="B7" s="62"/>
      <c r="C7" s="179"/>
      <c r="D7" s="66" t="s">
        <v>82</v>
      </c>
      <c r="E7" s="67">
        <v>117854</v>
      </c>
      <c r="F7" s="67">
        <v>118586</v>
      </c>
      <c r="G7" s="68">
        <f t="shared" si="0"/>
        <v>732</v>
      </c>
      <c r="H7" s="69"/>
      <c r="J7" s="179"/>
      <c r="K7" s="66" t="s">
        <v>82</v>
      </c>
      <c r="L7" s="67">
        <v>118586</v>
      </c>
      <c r="M7" s="67">
        <v>119307</v>
      </c>
      <c r="N7" s="68">
        <f t="shared" si="1"/>
        <v>721</v>
      </c>
      <c r="O7" s="69"/>
    </row>
    <row r="8" spans="2:15" ht="15" x14ac:dyDescent="0.2">
      <c r="B8" s="62"/>
      <c r="C8" s="178">
        <v>8</v>
      </c>
      <c r="D8" s="66" t="s">
        <v>80</v>
      </c>
      <c r="E8" s="67">
        <v>72512</v>
      </c>
      <c r="F8" s="67">
        <v>72662</v>
      </c>
      <c r="G8" s="68">
        <f t="shared" si="0"/>
        <v>150</v>
      </c>
      <c r="H8" s="69"/>
      <c r="J8" s="178">
        <v>8</v>
      </c>
      <c r="K8" s="66" t="s">
        <v>80</v>
      </c>
      <c r="L8" s="67">
        <v>72662</v>
      </c>
      <c r="M8" s="67">
        <v>72845</v>
      </c>
      <c r="N8" s="68">
        <f t="shared" si="1"/>
        <v>183</v>
      </c>
      <c r="O8" s="69"/>
    </row>
    <row r="9" spans="2:15" ht="15" x14ac:dyDescent="0.2">
      <c r="B9" s="62"/>
      <c r="C9" s="186"/>
      <c r="D9" s="66" t="s">
        <v>81</v>
      </c>
      <c r="E9" s="67">
        <v>158</v>
      </c>
      <c r="F9" s="67">
        <v>158</v>
      </c>
      <c r="G9" s="68">
        <f t="shared" si="0"/>
        <v>0</v>
      </c>
      <c r="H9" s="70" t="s">
        <v>12</v>
      </c>
      <c r="J9" s="186"/>
      <c r="K9" s="66" t="s">
        <v>81</v>
      </c>
      <c r="L9" s="67">
        <v>158</v>
      </c>
      <c r="M9" s="67">
        <v>158</v>
      </c>
      <c r="N9" s="68">
        <f t="shared" si="1"/>
        <v>0</v>
      </c>
      <c r="O9" s="70" t="s">
        <v>12</v>
      </c>
    </row>
    <row r="10" spans="2:15" ht="15" x14ac:dyDescent="0.2">
      <c r="B10" s="62"/>
      <c r="C10" s="179"/>
      <c r="D10" s="66" t="s">
        <v>82</v>
      </c>
      <c r="E10" s="67">
        <v>96586</v>
      </c>
      <c r="F10" s="67">
        <v>97426</v>
      </c>
      <c r="G10" s="68">
        <f t="shared" si="0"/>
        <v>840</v>
      </c>
      <c r="H10" s="69"/>
      <c r="J10" s="179"/>
      <c r="K10" s="66" t="s">
        <v>82</v>
      </c>
      <c r="L10" s="67">
        <v>97426</v>
      </c>
      <c r="M10" s="67">
        <v>98137</v>
      </c>
      <c r="N10" s="68">
        <f t="shared" si="1"/>
        <v>711</v>
      </c>
      <c r="O10" s="69"/>
    </row>
    <row r="11" spans="2:15" ht="15" x14ac:dyDescent="0.2">
      <c r="B11" s="62"/>
      <c r="C11" s="178">
        <v>9</v>
      </c>
      <c r="D11" s="66" t="s">
        <v>80</v>
      </c>
      <c r="E11" s="67">
        <v>43563</v>
      </c>
      <c r="F11" s="67">
        <v>43623</v>
      </c>
      <c r="G11" s="68">
        <f t="shared" si="0"/>
        <v>60</v>
      </c>
      <c r="H11" s="69"/>
      <c r="J11" s="178">
        <v>9</v>
      </c>
      <c r="K11" s="66" t="s">
        <v>80</v>
      </c>
      <c r="L11" s="67">
        <v>43623</v>
      </c>
      <c r="M11" s="67">
        <v>43639</v>
      </c>
      <c r="N11" s="68">
        <f t="shared" si="1"/>
        <v>16</v>
      </c>
      <c r="O11" s="69"/>
    </row>
    <row r="12" spans="2:15" ht="15" x14ac:dyDescent="0.2">
      <c r="B12" s="62"/>
      <c r="C12" s="186"/>
      <c r="D12" s="66" t="s">
        <v>81</v>
      </c>
      <c r="E12" s="67">
        <v>0</v>
      </c>
      <c r="F12" s="67">
        <v>0</v>
      </c>
      <c r="G12" s="68">
        <f t="shared" si="0"/>
        <v>0</v>
      </c>
      <c r="H12" s="70" t="s">
        <v>12</v>
      </c>
      <c r="J12" s="186"/>
      <c r="K12" s="66" t="s">
        <v>81</v>
      </c>
      <c r="L12" s="67">
        <v>0</v>
      </c>
      <c r="M12" s="67">
        <v>0</v>
      </c>
      <c r="N12" s="68">
        <f t="shared" si="1"/>
        <v>0</v>
      </c>
      <c r="O12" s="70" t="s">
        <v>12</v>
      </c>
    </row>
    <row r="13" spans="2:15" ht="15" x14ac:dyDescent="0.2">
      <c r="B13" s="62"/>
      <c r="C13" s="179"/>
      <c r="D13" s="66" t="s">
        <v>82</v>
      </c>
      <c r="E13" s="67">
        <v>28469</v>
      </c>
      <c r="F13" s="67">
        <v>28565</v>
      </c>
      <c r="G13" s="68">
        <f t="shared" si="0"/>
        <v>96</v>
      </c>
      <c r="H13" s="69"/>
      <c r="I13" s="71"/>
      <c r="J13" s="179"/>
      <c r="K13" s="66" t="s">
        <v>82</v>
      </c>
      <c r="L13" s="67">
        <v>28565</v>
      </c>
      <c r="M13" s="67">
        <v>28642</v>
      </c>
      <c r="N13" s="68">
        <f t="shared" si="1"/>
        <v>77</v>
      </c>
      <c r="O13" s="69"/>
    </row>
    <row r="14" spans="2:15" ht="15" x14ac:dyDescent="0.2">
      <c r="B14" s="62"/>
      <c r="C14" s="178">
        <v>10</v>
      </c>
      <c r="D14" s="66" t="s">
        <v>80</v>
      </c>
      <c r="E14" s="67">
        <v>193243</v>
      </c>
      <c r="F14" s="67">
        <v>195198</v>
      </c>
      <c r="G14" s="68">
        <f t="shared" si="0"/>
        <v>1955</v>
      </c>
      <c r="H14" s="69"/>
      <c r="I14" s="72"/>
      <c r="J14" s="178">
        <v>10</v>
      </c>
      <c r="K14" s="66" t="s">
        <v>80</v>
      </c>
      <c r="L14" s="67">
        <v>195198</v>
      </c>
      <c r="M14" s="67">
        <v>197101</v>
      </c>
      <c r="N14" s="68">
        <f t="shared" si="1"/>
        <v>1903</v>
      </c>
      <c r="O14" s="69"/>
    </row>
    <row r="15" spans="2:15" ht="15" x14ac:dyDescent="0.2">
      <c r="B15" s="62"/>
      <c r="C15" s="186"/>
      <c r="D15" s="66" t="s">
        <v>81</v>
      </c>
      <c r="E15" s="67">
        <v>7741</v>
      </c>
      <c r="F15" s="67">
        <v>7741</v>
      </c>
      <c r="G15" s="68">
        <f t="shared" si="0"/>
        <v>0</v>
      </c>
      <c r="H15" s="69"/>
      <c r="I15" s="72"/>
      <c r="J15" s="186"/>
      <c r="K15" s="66" t="s">
        <v>81</v>
      </c>
      <c r="L15" s="67">
        <v>7741</v>
      </c>
      <c r="M15" s="67">
        <v>7741</v>
      </c>
      <c r="N15" s="68">
        <f t="shared" si="1"/>
        <v>0</v>
      </c>
      <c r="O15" s="69"/>
    </row>
    <row r="16" spans="2:15" ht="15" x14ac:dyDescent="0.2">
      <c r="B16" s="62"/>
      <c r="C16" s="179"/>
      <c r="D16" s="66" t="s">
        <v>82</v>
      </c>
      <c r="E16" s="67">
        <v>184137</v>
      </c>
      <c r="F16" s="67">
        <v>185326</v>
      </c>
      <c r="G16" s="68">
        <f t="shared" si="0"/>
        <v>1189</v>
      </c>
      <c r="H16" s="69"/>
      <c r="I16" s="72"/>
      <c r="J16" s="179"/>
      <c r="K16" s="66" t="s">
        <v>82</v>
      </c>
      <c r="L16" s="67">
        <v>185326</v>
      </c>
      <c r="M16" s="67">
        <v>185938</v>
      </c>
      <c r="N16" s="68">
        <f t="shared" si="1"/>
        <v>612</v>
      </c>
      <c r="O16" s="69"/>
    </row>
    <row r="17" spans="2:15" ht="15" x14ac:dyDescent="0.2">
      <c r="B17" s="62"/>
      <c r="C17" s="178">
        <v>11</v>
      </c>
      <c r="D17" s="66" t="s">
        <v>80</v>
      </c>
      <c r="E17" s="68">
        <v>63276</v>
      </c>
      <c r="F17" s="68">
        <v>63759</v>
      </c>
      <c r="G17" s="68">
        <f t="shared" si="0"/>
        <v>483</v>
      </c>
      <c r="H17" s="69"/>
      <c r="I17" s="72"/>
      <c r="J17" s="178">
        <v>11</v>
      </c>
      <c r="K17" s="66" t="s">
        <v>80</v>
      </c>
      <c r="L17" s="68">
        <v>63759</v>
      </c>
      <c r="M17" s="68">
        <v>64235</v>
      </c>
      <c r="N17" s="68">
        <f t="shared" si="1"/>
        <v>476</v>
      </c>
      <c r="O17" s="69"/>
    </row>
    <row r="18" spans="2:15" ht="15" x14ac:dyDescent="0.2">
      <c r="B18" s="62"/>
      <c r="C18" s="186"/>
      <c r="D18" s="66" t="s">
        <v>81</v>
      </c>
      <c r="E18" s="68">
        <v>211867</v>
      </c>
      <c r="F18" s="68">
        <v>212487</v>
      </c>
      <c r="G18" s="68">
        <f t="shared" si="0"/>
        <v>620</v>
      </c>
      <c r="H18" s="69"/>
      <c r="I18" s="72"/>
      <c r="J18" s="186"/>
      <c r="K18" s="66" t="s">
        <v>81</v>
      </c>
      <c r="L18" s="68">
        <v>212487</v>
      </c>
      <c r="M18" s="68">
        <v>213386</v>
      </c>
      <c r="N18" s="68">
        <f t="shared" si="1"/>
        <v>899</v>
      </c>
      <c r="O18" s="69"/>
    </row>
    <row r="19" spans="2:15" ht="15" x14ac:dyDescent="0.2">
      <c r="B19" s="62"/>
      <c r="C19" s="179"/>
      <c r="D19" s="66" t="s">
        <v>82</v>
      </c>
      <c r="E19" s="67">
        <v>30588</v>
      </c>
      <c r="F19" s="67">
        <v>30633</v>
      </c>
      <c r="G19" s="68">
        <f t="shared" si="0"/>
        <v>45</v>
      </c>
      <c r="H19" s="69"/>
      <c r="I19" s="72"/>
      <c r="J19" s="179"/>
      <c r="K19" s="66" t="s">
        <v>82</v>
      </c>
      <c r="L19" s="67">
        <v>30633</v>
      </c>
      <c r="M19" s="67">
        <v>30683</v>
      </c>
      <c r="N19" s="68">
        <f t="shared" si="1"/>
        <v>50</v>
      </c>
      <c r="O19" s="69"/>
    </row>
    <row r="20" spans="2:15" ht="15" x14ac:dyDescent="0.2">
      <c r="B20" s="62"/>
      <c r="C20" s="178">
        <v>12</v>
      </c>
      <c r="D20" s="66" t="s">
        <v>80</v>
      </c>
      <c r="E20" s="150">
        <v>145544</v>
      </c>
      <c r="F20" s="150">
        <v>145877</v>
      </c>
      <c r="G20" s="68">
        <f t="shared" si="0"/>
        <v>333</v>
      </c>
      <c r="H20" s="69"/>
      <c r="I20" s="72"/>
      <c r="J20" s="178">
        <v>12</v>
      </c>
      <c r="K20" s="66" t="s">
        <v>80</v>
      </c>
      <c r="L20" s="150">
        <v>145877</v>
      </c>
      <c r="M20" s="150">
        <v>146008</v>
      </c>
      <c r="N20" s="68">
        <f t="shared" si="1"/>
        <v>131</v>
      </c>
      <c r="O20" s="69"/>
    </row>
    <row r="21" spans="2:15" ht="15" x14ac:dyDescent="0.2">
      <c r="B21" s="62"/>
      <c r="C21" s="186"/>
      <c r="D21" s="66" t="s">
        <v>81</v>
      </c>
      <c r="E21" s="67">
        <v>22365</v>
      </c>
      <c r="F21" s="67">
        <v>22387</v>
      </c>
      <c r="G21" s="68">
        <f t="shared" si="0"/>
        <v>22</v>
      </c>
      <c r="H21" s="69"/>
      <c r="I21" s="73" t="s">
        <v>12</v>
      </c>
      <c r="J21" s="186"/>
      <c r="K21" s="66" t="s">
        <v>81</v>
      </c>
      <c r="L21" s="67">
        <v>22387</v>
      </c>
      <c r="M21" s="67">
        <v>22414</v>
      </c>
      <c r="N21" s="68">
        <f t="shared" si="1"/>
        <v>27</v>
      </c>
      <c r="O21" s="69"/>
    </row>
    <row r="22" spans="2:15" ht="15" x14ac:dyDescent="0.2">
      <c r="B22" s="62"/>
      <c r="C22" s="179"/>
      <c r="D22" s="66" t="s">
        <v>82</v>
      </c>
      <c r="E22" s="67">
        <v>241282</v>
      </c>
      <c r="F22" s="67">
        <v>242321</v>
      </c>
      <c r="G22" s="68">
        <f t="shared" si="0"/>
        <v>1039</v>
      </c>
      <c r="H22" s="69"/>
      <c r="I22" s="72"/>
      <c r="J22" s="179"/>
      <c r="K22" s="66" t="s">
        <v>82</v>
      </c>
      <c r="L22" s="67">
        <v>242321</v>
      </c>
      <c r="M22" s="67">
        <v>242715</v>
      </c>
      <c r="N22" s="68">
        <f t="shared" si="1"/>
        <v>394</v>
      </c>
      <c r="O22" s="69"/>
    </row>
    <row r="23" spans="2:15" ht="15" x14ac:dyDescent="0.2">
      <c r="B23" s="62"/>
      <c r="C23" s="178">
        <v>14</v>
      </c>
      <c r="D23" s="66" t="s">
        <v>80</v>
      </c>
      <c r="E23" s="67">
        <v>116596</v>
      </c>
      <c r="F23" s="67">
        <v>116596</v>
      </c>
      <c r="G23" s="68">
        <f t="shared" si="0"/>
        <v>0</v>
      </c>
      <c r="H23" s="69"/>
      <c r="I23" s="72"/>
      <c r="J23" s="178">
        <v>14</v>
      </c>
      <c r="K23" s="66" t="s">
        <v>80</v>
      </c>
      <c r="L23" s="67">
        <v>116596</v>
      </c>
      <c r="M23" s="67">
        <v>116871</v>
      </c>
      <c r="N23" s="68">
        <f t="shared" si="1"/>
        <v>275</v>
      </c>
      <c r="O23" s="69"/>
    </row>
    <row r="24" spans="2:15" ht="15" x14ac:dyDescent="0.2">
      <c r="B24" s="62"/>
      <c r="C24" s="186"/>
      <c r="D24" s="66" t="s">
        <v>81</v>
      </c>
      <c r="E24" s="74">
        <v>23763</v>
      </c>
      <c r="F24" s="74">
        <v>23763</v>
      </c>
      <c r="G24" s="68">
        <f t="shared" si="0"/>
        <v>0</v>
      </c>
      <c r="H24" s="69"/>
      <c r="I24" s="72"/>
      <c r="J24" s="186"/>
      <c r="K24" s="66" t="s">
        <v>81</v>
      </c>
      <c r="L24" s="74">
        <v>23763</v>
      </c>
      <c r="M24" s="74">
        <v>23763</v>
      </c>
      <c r="N24" s="68">
        <f t="shared" si="1"/>
        <v>0</v>
      </c>
      <c r="O24" s="69"/>
    </row>
    <row r="25" spans="2:15" ht="15" x14ac:dyDescent="0.2">
      <c r="B25" s="62"/>
      <c r="C25" s="179"/>
      <c r="D25" s="66" t="s">
        <v>82</v>
      </c>
      <c r="E25" s="67">
        <v>1999</v>
      </c>
      <c r="F25" s="67">
        <v>1999</v>
      </c>
      <c r="G25" s="68">
        <f t="shared" si="0"/>
        <v>0</v>
      </c>
      <c r="H25" s="69"/>
      <c r="I25" s="72"/>
      <c r="J25" s="179"/>
      <c r="K25" s="66" t="s">
        <v>82</v>
      </c>
      <c r="L25" s="67">
        <v>1999</v>
      </c>
      <c r="M25" s="67">
        <v>1999</v>
      </c>
      <c r="N25" s="68">
        <f t="shared" si="1"/>
        <v>0</v>
      </c>
      <c r="O25" s="69"/>
    </row>
    <row r="26" spans="2:15" ht="15" x14ac:dyDescent="0.2">
      <c r="B26" s="62"/>
      <c r="C26" s="178">
        <v>15</v>
      </c>
      <c r="D26" s="66" t="s">
        <v>80</v>
      </c>
      <c r="E26" s="150">
        <v>39380</v>
      </c>
      <c r="F26" s="150">
        <v>39380</v>
      </c>
      <c r="G26" s="68">
        <f t="shared" si="0"/>
        <v>0</v>
      </c>
      <c r="H26" s="69"/>
      <c r="I26" s="73" t="s">
        <v>12</v>
      </c>
      <c r="J26" s="178">
        <v>15</v>
      </c>
      <c r="K26" s="66" t="s">
        <v>80</v>
      </c>
      <c r="L26" s="150">
        <v>39380</v>
      </c>
      <c r="M26" s="150">
        <v>39380</v>
      </c>
      <c r="N26" s="68">
        <f t="shared" si="1"/>
        <v>0</v>
      </c>
      <c r="O26" s="69"/>
    </row>
    <row r="27" spans="2:15" ht="15" x14ac:dyDescent="0.2">
      <c r="B27" s="62"/>
      <c r="C27" s="186"/>
      <c r="D27" s="66" t="s">
        <v>81</v>
      </c>
      <c r="E27" s="67">
        <v>79294</v>
      </c>
      <c r="F27" s="67">
        <v>80062</v>
      </c>
      <c r="G27" s="68">
        <f t="shared" si="0"/>
        <v>768</v>
      </c>
      <c r="H27" s="69"/>
      <c r="I27" s="73" t="s">
        <v>12</v>
      </c>
      <c r="J27" s="186"/>
      <c r="K27" s="66" t="s">
        <v>81</v>
      </c>
      <c r="L27" s="67">
        <v>80062</v>
      </c>
      <c r="M27" s="67">
        <v>80522</v>
      </c>
      <c r="N27" s="68">
        <f t="shared" si="1"/>
        <v>460</v>
      </c>
      <c r="O27" s="69"/>
    </row>
    <row r="28" spans="2:15" ht="15" x14ac:dyDescent="0.2">
      <c r="B28" s="62"/>
      <c r="C28" s="179"/>
      <c r="D28" s="66" t="s">
        <v>82</v>
      </c>
      <c r="E28" s="67">
        <v>151963</v>
      </c>
      <c r="F28" s="67">
        <v>153122</v>
      </c>
      <c r="G28" s="68">
        <f t="shared" si="0"/>
        <v>1159</v>
      </c>
      <c r="H28" s="69"/>
      <c r="I28" s="72"/>
      <c r="J28" s="179"/>
      <c r="K28" s="66" t="s">
        <v>82</v>
      </c>
      <c r="L28" s="67">
        <v>153122</v>
      </c>
      <c r="M28" s="67">
        <v>154238</v>
      </c>
      <c r="N28" s="68">
        <f t="shared" si="1"/>
        <v>1116</v>
      </c>
      <c r="O28" s="69"/>
    </row>
    <row r="29" spans="2:15" ht="15" x14ac:dyDescent="0.2">
      <c r="B29" s="62"/>
      <c r="C29" s="178">
        <v>16</v>
      </c>
      <c r="D29" s="66" t="s">
        <v>80</v>
      </c>
      <c r="E29" s="150">
        <v>97965</v>
      </c>
      <c r="F29" s="150">
        <v>97965</v>
      </c>
      <c r="G29" s="68">
        <f t="shared" si="0"/>
        <v>0</v>
      </c>
      <c r="H29" s="70" t="s">
        <v>12</v>
      </c>
      <c r="I29" s="72"/>
      <c r="J29" s="178">
        <v>16</v>
      </c>
      <c r="K29" s="66" t="s">
        <v>80</v>
      </c>
      <c r="L29" s="150">
        <v>97965</v>
      </c>
      <c r="M29" s="150">
        <v>97965</v>
      </c>
      <c r="N29" s="68">
        <f t="shared" si="1"/>
        <v>0</v>
      </c>
      <c r="O29" s="70" t="s">
        <v>12</v>
      </c>
    </row>
    <row r="30" spans="2:15" ht="15" x14ac:dyDescent="0.2">
      <c r="B30" s="62"/>
      <c r="C30" s="186"/>
      <c r="D30" s="66" t="s">
        <v>81</v>
      </c>
      <c r="E30" s="150">
        <v>59399</v>
      </c>
      <c r="F30" s="150">
        <v>59578</v>
      </c>
      <c r="G30" s="68">
        <f t="shared" si="0"/>
        <v>179</v>
      </c>
      <c r="H30" s="69"/>
      <c r="I30" s="72"/>
      <c r="J30" s="186"/>
      <c r="K30" s="66" t="s">
        <v>81</v>
      </c>
      <c r="L30" s="150">
        <v>59578</v>
      </c>
      <c r="M30" s="150">
        <v>59824</v>
      </c>
      <c r="N30" s="68">
        <f t="shared" si="1"/>
        <v>246</v>
      </c>
      <c r="O30" s="69"/>
    </row>
    <row r="31" spans="2:15" ht="15" x14ac:dyDescent="0.2">
      <c r="B31" s="62"/>
      <c r="C31" s="179"/>
      <c r="D31" s="66" t="s">
        <v>82</v>
      </c>
      <c r="E31" s="67">
        <v>68462</v>
      </c>
      <c r="F31" s="67">
        <v>68462</v>
      </c>
      <c r="G31" s="68">
        <f t="shared" si="0"/>
        <v>0</v>
      </c>
      <c r="H31" s="75"/>
      <c r="I31" s="72"/>
      <c r="J31" s="179"/>
      <c r="K31" s="66" t="s">
        <v>82</v>
      </c>
      <c r="L31" s="67">
        <v>68462</v>
      </c>
      <c r="M31" s="67">
        <v>68462</v>
      </c>
      <c r="N31" s="68">
        <f t="shared" si="1"/>
        <v>0</v>
      </c>
      <c r="O31" s="75"/>
    </row>
    <row r="32" spans="2:15" ht="15" x14ac:dyDescent="0.2">
      <c r="B32" s="62"/>
      <c r="C32" s="178">
        <v>17</v>
      </c>
      <c r="D32" s="66" t="s">
        <v>80</v>
      </c>
      <c r="E32" s="67">
        <v>32018</v>
      </c>
      <c r="F32" s="67">
        <v>32296</v>
      </c>
      <c r="G32" s="68">
        <f t="shared" si="0"/>
        <v>278</v>
      </c>
      <c r="H32" s="69"/>
      <c r="I32" s="72"/>
      <c r="J32" s="178">
        <v>17</v>
      </c>
      <c r="K32" s="66" t="s">
        <v>80</v>
      </c>
      <c r="L32" s="67">
        <v>32296</v>
      </c>
      <c r="M32" s="67">
        <v>32768</v>
      </c>
      <c r="N32" s="68">
        <f t="shared" si="1"/>
        <v>472</v>
      </c>
      <c r="O32" s="69"/>
    </row>
    <row r="33" spans="2:15" ht="15" x14ac:dyDescent="0.2">
      <c r="B33" s="62"/>
      <c r="C33" s="186"/>
      <c r="D33" s="66" t="s">
        <v>81</v>
      </c>
      <c r="E33" s="67">
        <v>64144</v>
      </c>
      <c r="F33" s="67">
        <v>64144</v>
      </c>
      <c r="G33" s="68">
        <f t="shared" si="0"/>
        <v>0</v>
      </c>
      <c r="H33" s="69"/>
      <c r="I33" s="72"/>
      <c r="J33" s="186"/>
      <c r="K33" s="66" t="s">
        <v>81</v>
      </c>
      <c r="L33" s="67">
        <v>64144</v>
      </c>
      <c r="M33" s="67">
        <v>64149</v>
      </c>
      <c r="N33" s="68">
        <f t="shared" si="1"/>
        <v>5</v>
      </c>
      <c r="O33" s="69"/>
    </row>
    <row r="34" spans="2:15" ht="15" x14ac:dyDescent="0.2">
      <c r="B34" s="62"/>
      <c r="C34" s="179"/>
      <c r="D34" s="66" t="s">
        <v>82</v>
      </c>
      <c r="E34" s="67">
        <v>11410</v>
      </c>
      <c r="F34" s="67">
        <v>11511</v>
      </c>
      <c r="G34" s="68">
        <f t="shared" si="0"/>
        <v>101</v>
      </c>
      <c r="H34" s="75"/>
      <c r="I34" s="72"/>
      <c r="J34" s="179"/>
      <c r="K34" s="66" t="s">
        <v>82</v>
      </c>
      <c r="L34" s="67">
        <v>11511</v>
      </c>
      <c r="M34" s="67">
        <v>11579</v>
      </c>
      <c r="N34" s="68">
        <f t="shared" si="1"/>
        <v>68</v>
      </c>
      <c r="O34" s="75"/>
    </row>
    <row r="35" spans="2:15" ht="15" x14ac:dyDescent="0.2">
      <c r="B35" s="62"/>
      <c r="C35" s="178">
        <v>18</v>
      </c>
      <c r="D35" s="66" t="s">
        <v>80</v>
      </c>
      <c r="E35" s="67">
        <v>235612</v>
      </c>
      <c r="F35" s="67">
        <v>237344</v>
      </c>
      <c r="G35" s="68">
        <f t="shared" si="0"/>
        <v>1732</v>
      </c>
      <c r="H35" s="75"/>
      <c r="I35" s="72"/>
      <c r="J35" s="178">
        <v>18</v>
      </c>
      <c r="K35" s="66" t="s">
        <v>80</v>
      </c>
      <c r="L35" s="67">
        <v>237344</v>
      </c>
      <c r="M35" s="67">
        <v>239144</v>
      </c>
      <c r="N35" s="68">
        <f t="shared" si="1"/>
        <v>1800</v>
      </c>
      <c r="O35" s="75"/>
    </row>
    <row r="36" spans="2:15" ht="15" x14ac:dyDescent="0.2">
      <c r="B36" s="62"/>
      <c r="C36" s="186"/>
      <c r="D36" s="66" t="s">
        <v>81</v>
      </c>
      <c r="E36" s="74">
        <v>16753</v>
      </c>
      <c r="F36" s="74">
        <v>16753</v>
      </c>
      <c r="G36" s="68">
        <f t="shared" si="0"/>
        <v>0</v>
      </c>
      <c r="H36" s="69"/>
      <c r="I36" s="72"/>
      <c r="J36" s="186"/>
      <c r="K36" s="66" t="s">
        <v>81</v>
      </c>
      <c r="L36" s="74">
        <v>16753</v>
      </c>
      <c r="M36" s="74">
        <v>16836</v>
      </c>
      <c r="N36" s="68">
        <f t="shared" si="1"/>
        <v>83</v>
      </c>
      <c r="O36" s="69"/>
    </row>
    <row r="37" spans="2:15" ht="15" x14ac:dyDescent="0.2">
      <c r="B37" s="62"/>
      <c r="C37" s="179"/>
      <c r="D37" s="66" t="s">
        <v>82</v>
      </c>
      <c r="E37" s="67">
        <v>76545</v>
      </c>
      <c r="F37" s="67">
        <v>77837</v>
      </c>
      <c r="G37" s="68">
        <f t="shared" si="0"/>
        <v>1292</v>
      </c>
      <c r="H37" s="69"/>
      <c r="I37" s="72"/>
      <c r="J37" s="179"/>
      <c r="K37" s="66" t="s">
        <v>82</v>
      </c>
      <c r="L37" s="67">
        <v>77837</v>
      </c>
      <c r="M37" s="67">
        <v>78775</v>
      </c>
      <c r="N37" s="68">
        <f t="shared" si="1"/>
        <v>938</v>
      </c>
      <c r="O37" s="69"/>
    </row>
    <row r="38" spans="2:15" ht="15" x14ac:dyDescent="0.2">
      <c r="B38" s="62"/>
      <c r="C38" s="178">
        <v>19</v>
      </c>
      <c r="D38" s="66" t="s">
        <v>80</v>
      </c>
      <c r="E38" s="67">
        <v>21241</v>
      </c>
      <c r="F38" s="67">
        <v>21387</v>
      </c>
      <c r="G38" s="68">
        <f t="shared" si="0"/>
        <v>146</v>
      </c>
      <c r="H38" s="69"/>
      <c r="I38" s="72"/>
      <c r="J38" s="178">
        <v>19</v>
      </c>
      <c r="K38" s="66" t="s">
        <v>80</v>
      </c>
      <c r="L38" s="67">
        <v>21387</v>
      </c>
      <c r="M38" s="67">
        <v>21552</v>
      </c>
      <c r="N38" s="68">
        <f t="shared" si="1"/>
        <v>165</v>
      </c>
      <c r="O38" s="69"/>
    </row>
    <row r="39" spans="2:15" ht="15" x14ac:dyDescent="0.2">
      <c r="B39" s="62"/>
      <c r="C39" s="186"/>
      <c r="D39" s="66" t="s">
        <v>81</v>
      </c>
      <c r="E39" s="150">
        <v>82607</v>
      </c>
      <c r="F39" s="150">
        <v>82853</v>
      </c>
      <c r="G39" s="68">
        <f t="shared" si="0"/>
        <v>246</v>
      </c>
      <c r="H39" s="75"/>
      <c r="I39" s="72"/>
      <c r="J39" s="186"/>
      <c r="K39" s="66" t="s">
        <v>81</v>
      </c>
      <c r="L39" s="150">
        <v>82853</v>
      </c>
      <c r="M39" s="150">
        <v>83126</v>
      </c>
      <c r="N39" s="68">
        <f t="shared" si="1"/>
        <v>273</v>
      </c>
      <c r="O39" s="75"/>
    </row>
    <row r="40" spans="2:15" ht="15" x14ac:dyDescent="0.2">
      <c r="B40" s="62"/>
      <c r="C40" s="179"/>
      <c r="D40" s="66" t="s">
        <v>82</v>
      </c>
      <c r="E40" s="67">
        <v>53053</v>
      </c>
      <c r="F40" s="67">
        <v>53053</v>
      </c>
      <c r="G40" s="68">
        <f t="shared" si="0"/>
        <v>0</v>
      </c>
      <c r="H40" s="69"/>
      <c r="I40" s="72"/>
      <c r="J40" s="179"/>
      <c r="K40" s="66" t="s">
        <v>82</v>
      </c>
      <c r="L40" s="67">
        <v>53053</v>
      </c>
      <c r="M40" s="67">
        <v>53053</v>
      </c>
      <c r="N40" s="68">
        <f t="shared" si="1"/>
        <v>0</v>
      </c>
      <c r="O40" s="69"/>
    </row>
    <row r="41" spans="2:15" ht="15" x14ac:dyDescent="0.2">
      <c r="B41" s="62"/>
      <c r="C41" s="178">
        <v>20</v>
      </c>
      <c r="D41" s="66" t="s">
        <v>80</v>
      </c>
      <c r="E41" s="67">
        <v>118234</v>
      </c>
      <c r="F41" s="67">
        <v>118454</v>
      </c>
      <c r="G41" s="68">
        <f t="shared" si="0"/>
        <v>220</v>
      </c>
      <c r="H41" s="69"/>
      <c r="I41" s="72"/>
      <c r="J41" s="178">
        <v>20</v>
      </c>
      <c r="K41" s="66" t="s">
        <v>80</v>
      </c>
      <c r="L41" s="67">
        <v>118454</v>
      </c>
      <c r="M41" s="67">
        <v>118849</v>
      </c>
      <c r="N41" s="68">
        <f t="shared" si="1"/>
        <v>395</v>
      </c>
      <c r="O41" s="69"/>
    </row>
    <row r="42" spans="2:15" ht="15" x14ac:dyDescent="0.2">
      <c r="B42" s="62"/>
      <c r="C42" s="186"/>
      <c r="D42" s="66" t="s">
        <v>81</v>
      </c>
      <c r="E42" s="150">
        <v>68785</v>
      </c>
      <c r="F42" s="150">
        <v>68935</v>
      </c>
      <c r="G42" s="68">
        <f t="shared" si="0"/>
        <v>150</v>
      </c>
      <c r="H42" s="69"/>
      <c r="J42" s="186"/>
      <c r="K42" s="66" t="s">
        <v>81</v>
      </c>
      <c r="L42" s="150">
        <v>68935</v>
      </c>
      <c r="M42" s="150">
        <v>69099</v>
      </c>
      <c r="N42" s="68">
        <f t="shared" si="1"/>
        <v>164</v>
      </c>
      <c r="O42" s="69"/>
    </row>
    <row r="43" spans="2:15" ht="15" x14ac:dyDescent="0.2">
      <c r="B43" s="62"/>
      <c r="C43" s="179"/>
      <c r="D43" s="66" t="s">
        <v>82</v>
      </c>
      <c r="E43" s="67">
        <v>3251</v>
      </c>
      <c r="F43" s="67">
        <v>3297</v>
      </c>
      <c r="G43" s="68">
        <f t="shared" si="0"/>
        <v>46</v>
      </c>
      <c r="H43" s="69"/>
      <c r="J43" s="179"/>
      <c r="K43" s="66" t="s">
        <v>82</v>
      </c>
      <c r="L43" s="67">
        <v>3297</v>
      </c>
      <c r="M43" s="67">
        <v>3298</v>
      </c>
      <c r="N43" s="68">
        <f t="shared" si="1"/>
        <v>1</v>
      </c>
      <c r="O43" s="69"/>
    </row>
    <row r="44" spans="2:15" ht="15" x14ac:dyDescent="0.2">
      <c r="B44" s="62"/>
      <c r="C44" s="76"/>
      <c r="D44" s="77"/>
      <c r="E44" s="77"/>
      <c r="F44" s="77"/>
      <c r="G44" s="77"/>
      <c r="H44" s="79"/>
      <c r="J44" s="76"/>
      <c r="K44" s="77"/>
      <c r="L44" s="77"/>
      <c r="M44" s="77"/>
      <c r="N44" s="77"/>
      <c r="O44" s="79"/>
    </row>
    <row r="45" spans="2:15" ht="15" x14ac:dyDescent="0.2">
      <c r="B45" s="62"/>
      <c r="C45" s="178">
        <v>21</v>
      </c>
      <c r="D45" s="80" t="s">
        <v>83</v>
      </c>
      <c r="E45" s="67">
        <v>3367</v>
      </c>
      <c r="F45" s="67">
        <v>3430</v>
      </c>
      <c r="G45" s="68">
        <f t="shared" si="0"/>
        <v>63</v>
      </c>
      <c r="H45" s="70" t="s">
        <v>12</v>
      </c>
      <c r="J45" s="178">
        <v>21</v>
      </c>
      <c r="K45" s="80" t="s">
        <v>83</v>
      </c>
      <c r="L45" s="67">
        <v>3430</v>
      </c>
      <c r="M45" s="67">
        <v>3468</v>
      </c>
      <c r="N45" s="68">
        <f t="shared" si="1"/>
        <v>38</v>
      </c>
      <c r="O45" s="70" t="s">
        <v>12</v>
      </c>
    </row>
    <row r="46" spans="2:15" ht="15" x14ac:dyDescent="0.2">
      <c r="B46" s="62"/>
      <c r="C46" s="186"/>
      <c r="D46" s="80" t="s">
        <v>82</v>
      </c>
      <c r="E46" s="67">
        <v>38125</v>
      </c>
      <c r="F46" s="67">
        <v>38125</v>
      </c>
      <c r="G46" s="68">
        <f t="shared" si="0"/>
        <v>0</v>
      </c>
      <c r="H46" s="69"/>
      <c r="J46" s="186"/>
      <c r="K46" s="80" t="s">
        <v>82</v>
      </c>
      <c r="L46" s="67">
        <v>38125</v>
      </c>
      <c r="M46" s="67">
        <v>38755</v>
      </c>
      <c r="N46" s="68">
        <f t="shared" si="1"/>
        <v>630</v>
      </c>
      <c r="O46" s="69"/>
    </row>
    <row r="47" spans="2:15" ht="15" x14ac:dyDescent="0.2">
      <c r="B47" s="62"/>
      <c r="C47" s="178">
        <v>22</v>
      </c>
      <c r="D47" s="80" t="s">
        <v>83</v>
      </c>
      <c r="E47" s="81">
        <v>13941</v>
      </c>
      <c r="F47" s="81">
        <v>13941</v>
      </c>
      <c r="G47" s="68">
        <f t="shared" si="0"/>
        <v>0</v>
      </c>
      <c r="H47" s="69"/>
      <c r="I47" t="s">
        <v>12</v>
      </c>
      <c r="J47" s="178">
        <v>22</v>
      </c>
      <c r="K47" s="80" t="s">
        <v>83</v>
      </c>
      <c r="L47" s="81">
        <v>13941</v>
      </c>
      <c r="M47" s="81">
        <v>13941</v>
      </c>
      <c r="N47" s="68">
        <f t="shared" si="1"/>
        <v>0</v>
      </c>
      <c r="O47" s="69"/>
    </row>
    <row r="48" spans="2:15" ht="15" x14ac:dyDescent="0.2">
      <c r="B48" s="62"/>
      <c r="C48" s="186"/>
      <c r="D48" s="80" t="s">
        <v>82</v>
      </c>
      <c r="E48" s="81">
        <v>19468</v>
      </c>
      <c r="F48" s="81">
        <v>19630</v>
      </c>
      <c r="G48" s="68">
        <f t="shared" si="0"/>
        <v>162</v>
      </c>
      <c r="H48" s="69"/>
      <c r="J48" s="186"/>
      <c r="K48" s="80" t="s">
        <v>82</v>
      </c>
      <c r="L48" s="81">
        <v>19630</v>
      </c>
      <c r="M48" s="81">
        <v>19792</v>
      </c>
      <c r="N48" s="68">
        <f t="shared" si="1"/>
        <v>162</v>
      </c>
      <c r="O48" s="69"/>
    </row>
    <row r="49" spans="1:15" ht="15" x14ac:dyDescent="0.2">
      <c r="B49" s="62"/>
      <c r="C49" s="178">
        <v>23</v>
      </c>
      <c r="D49" s="66" t="s">
        <v>83</v>
      </c>
      <c r="E49" s="81"/>
      <c r="F49" s="81"/>
      <c r="G49" s="68">
        <f t="shared" si="0"/>
        <v>0</v>
      </c>
      <c r="H49" s="69"/>
      <c r="J49" s="178">
        <v>23</v>
      </c>
      <c r="K49" s="66" t="s">
        <v>83</v>
      </c>
      <c r="L49" s="81"/>
      <c r="M49" s="81"/>
      <c r="N49" s="68">
        <f t="shared" si="1"/>
        <v>0</v>
      </c>
      <c r="O49" s="69"/>
    </row>
    <row r="50" spans="1:15" ht="15" x14ac:dyDescent="0.2">
      <c r="B50" s="62"/>
      <c r="C50" s="186"/>
      <c r="D50" s="66" t="s">
        <v>82</v>
      </c>
      <c r="E50" s="81"/>
      <c r="F50" s="81"/>
      <c r="G50" s="68">
        <f t="shared" si="0"/>
        <v>0</v>
      </c>
      <c r="H50" s="69"/>
      <c r="J50" s="186"/>
      <c r="K50" s="66" t="s">
        <v>82</v>
      </c>
      <c r="L50" s="81"/>
      <c r="M50" s="81"/>
      <c r="N50" s="68">
        <f t="shared" si="1"/>
        <v>0</v>
      </c>
      <c r="O50" s="69"/>
    </row>
    <row r="51" spans="1:15" ht="15" x14ac:dyDescent="0.2">
      <c r="B51" s="62"/>
      <c r="C51" s="82"/>
      <c r="D51" s="77"/>
      <c r="E51" s="78"/>
      <c r="F51" s="78"/>
      <c r="G51" s="78"/>
      <c r="H51" s="79"/>
      <c r="J51" s="82"/>
      <c r="K51" s="77"/>
      <c r="L51" s="78"/>
      <c r="M51" s="78"/>
      <c r="N51" s="78"/>
      <c r="O51" s="79"/>
    </row>
    <row r="52" spans="1:15" ht="15" x14ac:dyDescent="0.2">
      <c r="B52" s="62"/>
      <c r="C52" s="187">
        <v>24</v>
      </c>
      <c r="D52" s="66" t="s">
        <v>84</v>
      </c>
      <c r="E52" s="150">
        <v>240464</v>
      </c>
      <c r="F52" s="150">
        <v>241579</v>
      </c>
      <c r="G52" s="68">
        <f t="shared" si="0"/>
        <v>1115</v>
      </c>
      <c r="H52" s="150">
        <v>241579</v>
      </c>
      <c r="J52" s="187">
        <v>24</v>
      </c>
      <c r="K52" s="66" t="s">
        <v>84</v>
      </c>
      <c r="L52" s="150">
        <v>241579</v>
      </c>
      <c r="M52" s="150">
        <v>242334</v>
      </c>
      <c r="N52" s="68">
        <f t="shared" si="1"/>
        <v>755</v>
      </c>
      <c r="O52" s="83"/>
    </row>
    <row r="53" spans="1:15" ht="15" x14ac:dyDescent="0.2">
      <c r="B53" s="62"/>
      <c r="C53" s="188"/>
      <c r="D53" s="66" t="s">
        <v>85</v>
      </c>
      <c r="E53" s="150">
        <v>535259</v>
      </c>
      <c r="F53" s="150">
        <v>535736</v>
      </c>
      <c r="G53" s="68">
        <f t="shared" si="0"/>
        <v>477</v>
      </c>
      <c r="H53" s="75"/>
      <c r="J53" s="188"/>
      <c r="K53" s="66" t="s">
        <v>85</v>
      </c>
      <c r="L53" s="150">
        <v>535736</v>
      </c>
      <c r="M53" s="150">
        <v>536218</v>
      </c>
      <c r="N53" s="68">
        <f t="shared" si="1"/>
        <v>482</v>
      </c>
      <c r="O53" s="75"/>
    </row>
    <row r="54" spans="1:15" ht="15" x14ac:dyDescent="0.2">
      <c r="B54" s="62"/>
      <c r="C54" s="189"/>
      <c r="D54" s="66" t="s">
        <v>84</v>
      </c>
      <c r="E54" s="150">
        <v>34567</v>
      </c>
      <c r="F54" s="150">
        <v>34567</v>
      </c>
      <c r="G54" s="68">
        <f t="shared" si="0"/>
        <v>0</v>
      </c>
      <c r="H54" s="84" t="s">
        <v>12</v>
      </c>
      <c r="J54" s="189"/>
      <c r="K54" s="66" t="s">
        <v>84</v>
      </c>
      <c r="L54" s="150">
        <v>34567</v>
      </c>
      <c r="M54" s="150">
        <v>34567</v>
      </c>
      <c r="N54" s="68">
        <f t="shared" si="1"/>
        <v>0</v>
      </c>
      <c r="O54" s="84" t="s">
        <v>12</v>
      </c>
    </row>
    <row r="55" spans="1:15" ht="15" x14ac:dyDescent="0.2">
      <c r="B55" s="62"/>
      <c r="C55" s="178">
        <v>25</v>
      </c>
      <c r="D55" s="66" t="s">
        <v>84</v>
      </c>
      <c r="E55" s="81">
        <v>330</v>
      </c>
      <c r="F55" s="81">
        <v>330</v>
      </c>
      <c r="G55" s="68">
        <f t="shared" si="0"/>
        <v>0</v>
      </c>
      <c r="H55" s="69"/>
      <c r="J55" s="178">
        <v>25</v>
      </c>
      <c r="K55" s="66" t="s">
        <v>84</v>
      </c>
      <c r="L55" s="81">
        <v>330</v>
      </c>
      <c r="M55" s="81">
        <v>330</v>
      </c>
      <c r="N55" s="68">
        <f t="shared" si="1"/>
        <v>0</v>
      </c>
      <c r="O55" s="69"/>
    </row>
    <row r="56" spans="1:15" ht="15" x14ac:dyDescent="0.2">
      <c r="B56" s="62"/>
      <c r="C56" s="179"/>
      <c r="D56" s="66" t="s">
        <v>85</v>
      </c>
      <c r="E56" s="81">
        <v>3</v>
      </c>
      <c r="F56" s="81">
        <v>3</v>
      </c>
      <c r="G56" s="68">
        <f t="shared" si="0"/>
        <v>0</v>
      </c>
      <c r="H56" s="69"/>
      <c r="J56" s="179"/>
      <c r="K56" s="66" t="s">
        <v>85</v>
      </c>
      <c r="L56" s="81">
        <v>3</v>
      </c>
      <c r="M56" s="81">
        <v>3</v>
      </c>
      <c r="N56" s="68">
        <f t="shared" si="1"/>
        <v>0</v>
      </c>
      <c r="O56" s="69"/>
    </row>
    <row r="57" spans="1:15" ht="15" x14ac:dyDescent="0.2">
      <c r="B57" s="62"/>
      <c r="C57" s="178">
        <v>26</v>
      </c>
      <c r="D57" s="66" t="s">
        <v>84</v>
      </c>
      <c r="E57" s="67">
        <v>700352</v>
      </c>
      <c r="F57" s="67">
        <v>703724</v>
      </c>
      <c r="G57" s="68">
        <f t="shared" si="0"/>
        <v>3372</v>
      </c>
      <c r="H57" s="69"/>
      <c r="J57" s="178">
        <v>26</v>
      </c>
      <c r="K57" s="66" t="s">
        <v>84</v>
      </c>
      <c r="L57" s="67">
        <v>703724</v>
      </c>
      <c r="M57" s="67">
        <v>706781</v>
      </c>
      <c r="N57" s="68">
        <f t="shared" si="1"/>
        <v>3057</v>
      </c>
      <c r="O57" s="69"/>
    </row>
    <row r="58" spans="1:15" ht="15" x14ac:dyDescent="0.2">
      <c r="A58" s="72"/>
      <c r="B58" s="62"/>
      <c r="C58" s="179"/>
      <c r="D58" s="66" t="s">
        <v>85</v>
      </c>
      <c r="E58" s="67">
        <v>767743</v>
      </c>
      <c r="F58" s="67">
        <v>772007</v>
      </c>
      <c r="G58" s="68">
        <f t="shared" si="0"/>
        <v>4264</v>
      </c>
      <c r="H58" s="75"/>
      <c r="I58" s="72"/>
      <c r="J58" s="179"/>
      <c r="K58" s="66" t="s">
        <v>85</v>
      </c>
      <c r="L58" s="67">
        <v>772007</v>
      </c>
      <c r="M58" s="67">
        <v>775701</v>
      </c>
      <c r="N58" s="68">
        <f t="shared" si="1"/>
        <v>3694</v>
      </c>
      <c r="O58" s="75"/>
    </row>
    <row r="59" spans="1:15" ht="15" x14ac:dyDescent="0.2">
      <c r="A59" s="72"/>
      <c r="B59" s="62"/>
      <c r="C59" s="178">
        <v>27</v>
      </c>
      <c r="D59" s="66" t="s">
        <v>84</v>
      </c>
      <c r="E59" s="67">
        <v>237633</v>
      </c>
      <c r="F59" s="67">
        <v>238754</v>
      </c>
      <c r="G59" s="68">
        <f t="shared" si="0"/>
        <v>1121</v>
      </c>
      <c r="H59" s="69"/>
      <c r="I59" s="72"/>
      <c r="J59" s="178">
        <v>27</v>
      </c>
      <c r="K59" s="66" t="s">
        <v>84</v>
      </c>
      <c r="L59" s="67">
        <v>238754</v>
      </c>
      <c r="M59" s="67">
        <v>239540</v>
      </c>
      <c r="N59" s="68">
        <f t="shared" si="1"/>
        <v>786</v>
      </c>
      <c r="O59" s="69"/>
    </row>
    <row r="60" spans="1:15" ht="15" x14ac:dyDescent="0.2">
      <c r="A60" s="72"/>
      <c r="B60" s="62"/>
      <c r="C60" s="179"/>
      <c r="D60" s="66" t="s">
        <v>85</v>
      </c>
      <c r="E60" s="67">
        <v>97283</v>
      </c>
      <c r="F60" s="67">
        <v>97743</v>
      </c>
      <c r="G60" s="68">
        <f t="shared" si="0"/>
        <v>460</v>
      </c>
      <c r="H60" s="69"/>
      <c r="I60" s="72"/>
      <c r="J60" s="179"/>
      <c r="K60" s="66" t="s">
        <v>85</v>
      </c>
      <c r="L60" s="67">
        <v>97743</v>
      </c>
      <c r="M60" s="67">
        <v>99246</v>
      </c>
      <c r="N60" s="68">
        <f t="shared" si="1"/>
        <v>1503</v>
      </c>
      <c r="O60" s="69"/>
    </row>
    <row r="61" spans="1:15" ht="15" x14ac:dyDescent="0.2">
      <c r="A61" s="72"/>
      <c r="B61" s="62"/>
      <c r="C61" s="76"/>
      <c r="D61" s="77"/>
      <c r="E61" s="67"/>
      <c r="F61" s="67"/>
      <c r="G61" s="85"/>
      <c r="H61" s="79"/>
      <c r="I61" s="72"/>
      <c r="J61" s="76"/>
      <c r="K61" s="77"/>
      <c r="L61" s="67"/>
      <c r="M61" s="67"/>
      <c r="N61" s="85"/>
      <c r="O61" s="79"/>
    </row>
    <row r="62" spans="1:15" ht="15" x14ac:dyDescent="0.2">
      <c r="A62" s="72"/>
      <c r="B62" s="62"/>
      <c r="C62" s="178">
        <v>28</v>
      </c>
      <c r="D62" s="173" t="s">
        <v>86</v>
      </c>
      <c r="E62" s="67"/>
      <c r="F62" s="67"/>
      <c r="G62" s="68"/>
      <c r="H62" s="175" t="s">
        <v>87</v>
      </c>
      <c r="I62" s="72"/>
      <c r="J62" s="178">
        <v>28</v>
      </c>
      <c r="K62" s="173" t="s">
        <v>86</v>
      </c>
      <c r="L62" s="67"/>
      <c r="M62" s="67"/>
      <c r="N62" s="68"/>
      <c r="O62" s="175" t="s">
        <v>87</v>
      </c>
    </row>
    <row r="63" spans="1:15" ht="15" x14ac:dyDescent="0.2">
      <c r="A63" s="72"/>
      <c r="B63" s="62"/>
      <c r="C63" s="179"/>
      <c r="D63" s="174"/>
      <c r="E63" s="67"/>
      <c r="F63" s="67"/>
      <c r="G63" s="68"/>
      <c r="H63" s="176"/>
      <c r="I63" s="72"/>
      <c r="J63" s="179"/>
      <c r="K63" s="174"/>
      <c r="L63" s="67"/>
      <c r="M63" s="67"/>
      <c r="N63" s="68"/>
      <c r="O63" s="176"/>
    </row>
    <row r="64" spans="1:15" x14ac:dyDescent="0.2">
      <c r="A64" s="72"/>
      <c r="B64" s="62"/>
      <c r="C64" s="177" t="s">
        <v>88</v>
      </c>
      <c r="D64" s="177"/>
      <c r="E64" s="177"/>
      <c r="F64" s="177"/>
      <c r="G64" s="86">
        <f>SUM(G2:G63)</f>
        <v>28469</v>
      </c>
      <c r="H64" s="87"/>
      <c r="I64" s="72"/>
      <c r="J64" s="177" t="s">
        <v>88</v>
      </c>
      <c r="K64" s="177"/>
      <c r="L64" s="177"/>
      <c r="M64" s="177"/>
      <c r="N64" s="86">
        <f>SUM(N2:N63)</f>
        <v>27078</v>
      </c>
      <c r="O64" s="87"/>
    </row>
    <row r="68" spans="1:15" ht="13.5" thickBot="1" x14ac:dyDescent="0.25">
      <c r="A68" s="88"/>
      <c r="B68" s="88"/>
      <c r="C68" s="88"/>
      <c r="D68" s="89" t="s">
        <v>12</v>
      </c>
      <c r="E68" s="88"/>
      <c r="F68" s="88"/>
      <c r="G68" s="88"/>
      <c r="H68" s="88"/>
    </row>
    <row r="69" spans="1:15" ht="13.5" thickBot="1" x14ac:dyDescent="0.25">
      <c r="A69" s="90"/>
      <c r="B69" s="180">
        <v>44348</v>
      </c>
      <c r="C69" s="181"/>
      <c r="D69" s="181"/>
      <c r="E69" s="182"/>
      <c r="F69" s="90"/>
      <c r="G69" s="183">
        <v>44378</v>
      </c>
      <c r="H69" s="184"/>
      <c r="I69" s="184"/>
      <c r="J69" s="185"/>
      <c r="K69" s="90"/>
      <c r="L69" s="170" t="s">
        <v>25</v>
      </c>
      <c r="M69" s="171"/>
      <c r="N69" s="171"/>
      <c r="O69" s="172"/>
    </row>
    <row r="70" spans="1:15" ht="13.5" thickBot="1" x14ac:dyDescent="0.25">
      <c r="A70" s="88"/>
      <c r="B70" s="151" t="s">
        <v>140</v>
      </c>
      <c r="C70" s="151">
        <v>30</v>
      </c>
      <c r="D70" s="151" t="s">
        <v>89</v>
      </c>
      <c r="E70" s="151" t="s">
        <v>90</v>
      </c>
      <c r="F70" s="88"/>
      <c r="G70" s="151" t="s">
        <v>140</v>
      </c>
      <c r="H70" s="151">
        <v>30</v>
      </c>
      <c r="I70" s="151" t="s">
        <v>89</v>
      </c>
      <c r="J70" s="151" t="s">
        <v>90</v>
      </c>
      <c r="K70" s="88"/>
      <c r="L70" s="91" t="s">
        <v>77</v>
      </c>
      <c r="M70" s="91">
        <v>30</v>
      </c>
      <c r="N70" s="91" t="s">
        <v>89</v>
      </c>
      <c r="O70" s="91" t="s">
        <v>90</v>
      </c>
    </row>
    <row r="71" spans="1:15" ht="15.75" thickBot="1" x14ac:dyDescent="0.25">
      <c r="A71" s="88"/>
      <c r="B71" s="92">
        <v>6</v>
      </c>
      <c r="C71" s="93">
        <v>92509</v>
      </c>
      <c r="D71" s="94">
        <v>55533</v>
      </c>
      <c r="E71" s="95">
        <v>78552</v>
      </c>
      <c r="F71" s="88"/>
      <c r="G71" s="92">
        <v>6</v>
      </c>
      <c r="H71" s="93">
        <v>92652</v>
      </c>
      <c r="I71" s="94">
        <v>56083</v>
      </c>
      <c r="J71" s="95">
        <v>78552</v>
      </c>
      <c r="K71" s="88"/>
      <c r="L71" s="91">
        <v>6</v>
      </c>
      <c r="M71" s="96">
        <f>H71-C71</f>
        <v>143</v>
      </c>
      <c r="N71" s="96">
        <f>I71-D71</f>
        <v>550</v>
      </c>
      <c r="O71" s="96">
        <f>J71-E71</f>
        <v>0</v>
      </c>
    </row>
    <row r="72" spans="1:15" ht="15.75" thickBot="1" x14ac:dyDescent="0.25">
      <c r="A72" s="88"/>
      <c r="B72" s="92">
        <v>7</v>
      </c>
      <c r="C72" s="93">
        <v>96466</v>
      </c>
      <c r="D72" s="94">
        <v>103854</v>
      </c>
      <c r="E72" s="95">
        <v>63632</v>
      </c>
      <c r="F72" s="88"/>
      <c r="G72" s="92">
        <v>7</v>
      </c>
      <c r="H72" s="93">
        <v>97056</v>
      </c>
      <c r="I72" s="94">
        <v>104037</v>
      </c>
      <c r="J72" s="95">
        <v>63964</v>
      </c>
      <c r="K72" s="88"/>
      <c r="L72" s="91">
        <v>7</v>
      </c>
      <c r="M72" s="96">
        <f t="shared" ref="M72:O94" si="2">H72-C72</f>
        <v>590</v>
      </c>
      <c r="N72" s="96">
        <f t="shared" si="2"/>
        <v>183</v>
      </c>
      <c r="O72" s="96">
        <f t="shared" si="2"/>
        <v>332</v>
      </c>
    </row>
    <row r="73" spans="1:15" ht="15.75" thickBot="1" x14ac:dyDescent="0.25">
      <c r="A73" s="88"/>
      <c r="B73" s="92">
        <v>8</v>
      </c>
      <c r="C73" s="93">
        <v>112695</v>
      </c>
      <c r="D73" s="94">
        <v>247669</v>
      </c>
      <c r="E73" s="95">
        <v>106409</v>
      </c>
      <c r="F73" s="88"/>
      <c r="G73" s="92">
        <v>8</v>
      </c>
      <c r="H73" s="93">
        <v>113007</v>
      </c>
      <c r="I73" s="94">
        <v>249843</v>
      </c>
      <c r="J73" s="95">
        <v>107717</v>
      </c>
      <c r="K73" s="88"/>
      <c r="L73" s="91">
        <v>8</v>
      </c>
      <c r="M73" s="96">
        <f t="shared" si="2"/>
        <v>312</v>
      </c>
      <c r="N73" s="96">
        <f t="shared" si="2"/>
        <v>2174</v>
      </c>
      <c r="O73" s="96">
        <f t="shared" si="2"/>
        <v>1308</v>
      </c>
    </row>
    <row r="74" spans="1:15" ht="15.75" thickBot="1" x14ac:dyDescent="0.25">
      <c r="A74" s="88"/>
      <c r="B74" s="92">
        <v>9</v>
      </c>
      <c r="C74" s="93">
        <v>68293</v>
      </c>
      <c r="D74" s="94">
        <v>151984</v>
      </c>
      <c r="E74" s="95">
        <v>152414</v>
      </c>
      <c r="F74" s="88"/>
      <c r="G74" s="92">
        <v>9</v>
      </c>
      <c r="H74" s="93">
        <v>68451</v>
      </c>
      <c r="I74" s="94">
        <v>152398</v>
      </c>
      <c r="J74" s="95">
        <v>154275</v>
      </c>
      <c r="K74" s="88"/>
      <c r="L74" s="91">
        <v>9</v>
      </c>
      <c r="M74" s="96">
        <f t="shared" si="2"/>
        <v>158</v>
      </c>
      <c r="N74" s="96">
        <f t="shared" si="2"/>
        <v>414</v>
      </c>
      <c r="O74" s="96">
        <f t="shared" si="2"/>
        <v>1861</v>
      </c>
    </row>
    <row r="75" spans="1:15" ht="15.75" thickBot="1" x14ac:dyDescent="0.25">
      <c r="A75" s="88"/>
      <c r="B75" s="92">
        <v>10</v>
      </c>
      <c r="C75" s="93">
        <v>71461</v>
      </c>
      <c r="D75" s="94">
        <v>112954</v>
      </c>
      <c r="E75" s="95">
        <v>144160</v>
      </c>
      <c r="F75" s="88"/>
      <c r="G75" s="92">
        <v>10</v>
      </c>
      <c r="H75" s="93">
        <v>71941</v>
      </c>
      <c r="I75" s="94">
        <v>113315</v>
      </c>
      <c r="J75" s="95">
        <v>145687</v>
      </c>
      <c r="K75" s="88"/>
      <c r="L75" s="91">
        <v>10</v>
      </c>
      <c r="M75" s="96">
        <f t="shared" si="2"/>
        <v>480</v>
      </c>
      <c r="N75" s="96">
        <f t="shared" si="2"/>
        <v>361</v>
      </c>
      <c r="O75" s="96">
        <f t="shared" si="2"/>
        <v>1527</v>
      </c>
    </row>
    <row r="76" spans="1:15" ht="15.75" thickBot="1" x14ac:dyDescent="0.25">
      <c r="A76" s="88"/>
      <c r="B76" s="92">
        <v>11</v>
      </c>
      <c r="C76" s="93">
        <v>153339</v>
      </c>
      <c r="D76" s="94">
        <v>182575</v>
      </c>
      <c r="E76" s="95">
        <v>211728</v>
      </c>
      <c r="F76" s="88"/>
      <c r="G76" s="92">
        <v>11</v>
      </c>
      <c r="H76" s="93">
        <v>154115</v>
      </c>
      <c r="I76" s="94">
        <v>183371</v>
      </c>
      <c r="J76" s="95">
        <v>211915</v>
      </c>
      <c r="K76" s="88"/>
      <c r="L76" s="91">
        <v>11</v>
      </c>
      <c r="M76" s="96">
        <f t="shared" si="2"/>
        <v>776</v>
      </c>
      <c r="N76" s="96">
        <f t="shared" si="2"/>
        <v>796</v>
      </c>
      <c r="O76" s="96">
        <f t="shared" si="2"/>
        <v>187</v>
      </c>
    </row>
    <row r="77" spans="1:15" ht="15.75" thickBot="1" x14ac:dyDescent="0.25">
      <c r="A77" s="88"/>
      <c r="B77" s="92">
        <v>12</v>
      </c>
      <c r="C77" s="93">
        <v>149241</v>
      </c>
      <c r="D77" s="94">
        <v>96392</v>
      </c>
      <c r="E77" s="95">
        <v>100215</v>
      </c>
      <c r="F77" s="88"/>
      <c r="G77" s="92">
        <v>12</v>
      </c>
      <c r="H77" s="93">
        <v>149633</v>
      </c>
      <c r="I77" s="94">
        <v>96444</v>
      </c>
      <c r="J77" s="95">
        <v>100338</v>
      </c>
      <c r="K77" s="88"/>
      <c r="L77" s="91">
        <v>12</v>
      </c>
      <c r="M77" s="96">
        <f t="shared" si="2"/>
        <v>392</v>
      </c>
      <c r="N77" s="96">
        <f>I77-D77</f>
        <v>52</v>
      </c>
      <c r="O77" s="96">
        <f t="shared" si="2"/>
        <v>123</v>
      </c>
    </row>
    <row r="78" spans="1:15" ht="15.75" thickBot="1" x14ac:dyDescent="0.25">
      <c r="A78" s="88"/>
      <c r="B78" s="92">
        <v>14</v>
      </c>
      <c r="C78" s="93">
        <v>123669</v>
      </c>
      <c r="D78" s="94">
        <v>47964</v>
      </c>
      <c r="E78" s="95">
        <v>50974</v>
      </c>
      <c r="F78" s="88"/>
      <c r="G78" s="92">
        <v>14</v>
      </c>
      <c r="H78" s="93">
        <v>123669</v>
      </c>
      <c r="I78" s="94">
        <v>48021</v>
      </c>
      <c r="J78" s="95">
        <v>51059</v>
      </c>
      <c r="K78" s="88"/>
      <c r="L78" s="91">
        <v>14</v>
      </c>
      <c r="M78" s="96">
        <f t="shared" si="2"/>
        <v>0</v>
      </c>
      <c r="N78" s="96">
        <f t="shared" si="2"/>
        <v>57</v>
      </c>
      <c r="O78" s="96">
        <f t="shared" si="2"/>
        <v>85</v>
      </c>
    </row>
    <row r="79" spans="1:15" ht="15.75" thickBot="1" x14ac:dyDescent="0.25">
      <c r="A79" s="88"/>
      <c r="B79" s="92">
        <v>15</v>
      </c>
      <c r="C79" s="93">
        <v>168024</v>
      </c>
      <c r="D79" s="94">
        <v>146784</v>
      </c>
      <c r="E79" s="95">
        <v>157945</v>
      </c>
      <c r="F79" s="88"/>
      <c r="G79" s="92">
        <v>15</v>
      </c>
      <c r="H79" s="93">
        <v>168733</v>
      </c>
      <c r="I79" s="94">
        <v>147882</v>
      </c>
      <c r="J79" s="95">
        <v>158384</v>
      </c>
      <c r="K79" s="88"/>
      <c r="L79" s="91">
        <v>15</v>
      </c>
      <c r="M79" s="96">
        <f t="shared" si="2"/>
        <v>709</v>
      </c>
      <c r="N79" s="96">
        <f t="shared" si="2"/>
        <v>1098</v>
      </c>
      <c r="O79" s="96">
        <f t="shared" si="2"/>
        <v>439</v>
      </c>
    </row>
    <row r="80" spans="1:15" ht="15.75" thickBot="1" x14ac:dyDescent="0.25">
      <c r="A80" s="88"/>
      <c r="B80" s="92">
        <v>16</v>
      </c>
      <c r="C80" s="93">
        <v>121689</v>
      </c>
      <c r="D80" s="94">
        <v>146910</v>
      </c>
      <c r="E80" s="95">
        <v>215419</v>
      </c>
      <c r="F80" s="88"/>
      <c r="G80" s="92">
        <v>16</v>
      </c>
      <c r="H80" s="93">
        <v>122105</v>
      </c>
      <c r="I80" s="94">
        <v>147353</v>
      </c>
      <c r="J80" s="95">
        <v>215915</v>
      </c>
      <c r="K80" s="88"/>
      <c r="L80" s="91">
        <v>16</v>
      </c>
      <c r="M80" s="96">
        <f t="shared" si="2"/>
        <v>416</v>
      </c>
      <c r="N80" s="96">
        <f t="shared" si="2"/>
        <v>443</v>
      </c>
      <c r="O80" s="96">
        <f t="shared" si="2"/>
        <v>496</v>
      </c>
    </row>
    <row r="81" spans="1:15" ht="15.75" thickBot="1" x14ac:dyDescent="0.25">
      <c r="A81" s="88"/>
      <c r="B81" s="92">
        <v>17</v>
      </c>
      <c r="C81" s="93">
        <v>38476</v>
      </c>
      <c r="D81" s="94">
        <v>85709</v>
      </c>
      <c r="E81" s="95">
        <v>202138</v>
      </c>
      <c r="F81" s="88"/>
      <c r="G81" s="92">
        <v>17</v>
      </c>
      <c r="H81" s="93">
        <v>38476</v>
      </c>
      <c r="I81" s="94">
        <v>85973</v>
      </c>
      <c r="J81" s="95">
        <v>202301</v>
      </c>
      <c r="K81" s="88"/>
      <c r="L81" s="91">
        <v>17</v>
      </c>
      <c r="M81" s="96">
        <f t="shared" si="2"/>
        <v>0</v>
      </c>
      <c r="N81" s="96">
        <f t="shared" si="2"/>
        <v>264</v>
      </c>
      <c r="O81" s="96">
        <f t="shared" si="2"/>
        <v>163</v>
      </c>
    </row>
    <row r="82" spans="1:15" ht="15.75" thickBot="1" x14ac:dyDescent="0.25">
      <c r="A82" s="88"/>
      <c r="B82" s="92">
        <v>18</v>
      </c>
      <c r="C82" s="93">
        <v>136428</v>
      </c>
      <c r="D82" s="94">
        <v>72401</v>
      </c>
      <c r="E82" s="95">
        <v>163080</v>
      </c>
      <c r="F82" s="88"/>
      <c r="G82" s="92">
        <v>18</v>
      </c>
      <c r="H82" s="93">
        <v>137137</v>
      </c>
      <c r="I82" s="94">
        <v>72631</v>
      </c>
      <c r="J82" s="95">
        <v>163470</v>
      </c>
      <c r="K82" s="88"/>
      <c r="L82" s="91">
        <v>18</v>
      </c>
      <c r="M82" s="96">
        <f t="shared" si="2"/>
        <v>709</v>
      </c>
      <c r="N82" s="96">
        <f t="shared" si="2"/>
        <v>230</v>
      </c>
      <c r="O82" s="96">
        <f t="shared" si="2"/>
        <v>390</v>
      </c>
    </row>
    <row r="83" spans="1:15" ht="15.75" thickBot="1" x14ac:dyDescent="0.25">
      <c r="A83" s="88"/>
      <c r="B83" s="92">
        <v>19</v>
      </c>
      <c r="C83" s="93">
        <v>75592</v>
      </c>
      <c r="D83" s="94">
        <v>170642</v>
      </c>
      <c r="E83" s="95">
        <v>122582</v>
      </c>
      <c r="F83" s="88"/>
      <c r="G83" s="92">
        <v>19</v>
      </c>
      <c r="H83" s="93">
        <v>75861</v>
      </c>
      <c r="I83" s="94">
        <v>170981</v>
      </c>
      <c r="J83" s="95">
        <v>123008</v>
      </c>
      <c r="K83" s="88"/>
      <c r="L83" s="91">
        <v>19</v>
      </c>
      <c r="M83" s="96">
        <f t="shared" si="2"/>
        <v>269</v>
      </c>
      <c r="N83" s="96">
        <f t="shared" si="2"/>
        <v>339</v>
      </c>
      <c r="O83" s="96">
        <f t="shared" si="2"/>
        <v>426</v>
      </c>
    </row>
    <row r="84" spans="1:15" ht="15.75" thickBot="1" x14ac:dyDescent="0.25">
      <c r="A84" s="88"/>
      <c r="B84" s="92">
        <v>20</v>
      </c>
      <c r="C84" s="93">
        <v>143123</v>
      </c>
      <c r="D84" s="94">
        <v>172307</v>
      </c>
      <c r="E84" s="95">
        <v>87542</v>
      </c>
      <c r="F84" s="88"/>
      <c r="G84" s="92">
        <v>20</v>
      </c>
      <c r="H84" s="93">
        <v>143584</v>
      </c>
      <c r="I84" s="94">
        <v>173650</v>
      </c>
      <c r="J84" s="95">
        <v>87544</v>
      </c>
      <c r="K84" s="88"/>
      <c r="L84" s="91">
        <v>20</v>
      </c>
      <c r="M84" s="96">
        <f>H84-C84</f>
        <v>461</v>
      </c>
      <c r="N84" s="96">
        <f t="shared" si="2"/>
        <v>1343</v>
      </c>
      <c r="O84" s="96">
        <f t="shared" si="2"/>
        <v>2</v>
      </c>
    </row>
    <row r="85" spans="1:15" ht="15.75" thickBot="1" x14ac:dyDescent="0.25">
      <c r="A85" s="88"/>
      <c r="B85" s="92">
        <v>21</v>
      </c>
      <c r="C85" s="93">
        <v>191497</v>
      </c>
      <c r="D85" s="94">
        <v>88590</v>
      </c>
      <c r="E85" s="95">
        <v>111731</v>
      </c>
      <c r="F85" s="88"/>
      <c r="G85" s="92">
        <v>21</v>
      </c>
      <c r="H85" s="93">
        <v>191812</v>
      </c>
      <c r="I85" s="94">
        <v>88967</v>
      </c>
      <c r="J85" s="95">
        <v>112440</v>
      </c>
      <c r="K85" s="88"/>
      <c r="L85" s="91">
        <v>21</v>
      </c>
      <c r="M85" s="96">
        <f t="shared" si="2"/>
        <v>315</v>
      </c>
      <c r="N85" s="96">
        <f t="shared" si="2"/>
        <v>377</v>
      </c>
      <c r="O85" s="96">
        <f t="shared" si="2"/>
        <v>709</v>
      </c>
    </row>
    <row r="86" spans="1:15" ht="15.75" thickBot="1" x14ac:dyDescent="0.25">
      <c r="A86" s="88"/>
      <c r="B86" s="92">
        <v>22</v>
      </c>
      <c r="C86" s="93">
        <v>134248</v>
      </c>
      <c r="D86" s="94">
        <v>92444</v>
      </c>
      <c r="E86" s="95">
        <v>118355</v>
      </c>
      <c r="F86" s="88"/>
      <c r="G86" s="92">
        <v>22</v>
      </c>
      <c r="H86" s="93">
        <v>135816</v>
      </c>
      <c r="I86" s="94">
        <v>93464</v>
      </c>
      <c r="J86" s="95">
        <v>119703</v>
      </c>
      <c r="K86" s="88"/>
      <c r="L86" s="91">
        <v>22</v>
      </c>
      <c r="M86" s="96">
        <f t="shared" si="2"/>
        <v>1568</v>
      </c>
      <c r="N86" s="96">
        <f t="shared" si="2"/>
        <v>1020</v>
      </c>
      <c r="O86" s="96">
        <f t="shared" si="2"/>
        <v>1348</v>
      </c>
    </row>
    <row r="87" spans="1:15" ht="15.75" thickBot="1" x14ac:dyDescent="0.25">
      <c r="A87" s="88"/>
      <c r="B87" s="92">
        <v>23</v>
      </c>
      <c r="C87" s="93">
        <v>127340</v>
      </c>
      <c r="D87" s="94">
        <v>154958</v>
      </c>
      <c r="E87" s="95">
        <v>287989</v>
      </c>
      <c r="F87" s="88"/>
      <c r="G87" s="92">
        <v>23</v>
      </c>
      <c r="H87" s="93">
        <v>127540</v>
      </c>
      <c r="I87" s="94">
        <v>154958</v>
      </c>
      <c r="J87" s="95">
        <v>288556</v>
      </c>
      <c r="K87" s="88"/>
      <c r="L87" s="91">
        <v>23</v>
      </c>
      <c r="M87" s="96">
        <f t="shared" si="2"/>
        <v>200</v>
      </c>
      <c r="N87" s="96">
        <f t="shared" si="2"/>
        <v>0</v>
      </c>
      <c r="O87" s="96">
        <f t="shared" si="2"/>
        <v>567</v>
      </c>
    </row>
    <row r="88" spans="1:15" ht="15.75" thickBot="1" x14ac:dyDescent="0.25">
      <c r="A88" s="88"/>
      <c r="B88" s="92">
        <v>24</v>
      </c>
      <c r="C88" s="93">
        <v>78540</v>
      </c>
      <c r="D88" s="94">
        <v>150112</v>
      </c>
      <c r="E88" s="95">
        <v>101403</v>
      </c>
      <c r="F88" s="88"/>
      <c r="G88" s="92">
        <v>24</v>
      </c>
      <c r="H88" s="93">
        <v>78661</v>
      </c>
      <c r="I88" s="94">
        <v>150148</v>
      </c>
      <c r="J88" s="95">
        <v>101484</v>
      </c>
      <c r="K88" s="88"/>
      <c r="L88" s="91">
        <v>24</v>
      </c>
      <c r="M88" s="96">
        <f t="shared" si="2"/>
        <v>121</v>
      </c>
      <c r="N88" s="96">
        <f t="shared" si="2"/>
        <v>36</v>
      </c>
      <c r="O88" s="96">
        <f>J88-E88</f>
        <v>81</v>
      </c>
    </row>
    <row r="89" spans="1:15" ht="15.75" thickBot="1" x14ac:dyDescent="0.25">
      <c r="A89" s="88"/>
      <c r="B89" s="92">
        <v>25</v>
      </c>
      <c r="C89" s="93">
        <v>120754</v>
      </c>
      <c r="D89" s="94">
        <v>179432</v>
      </c>
      <c r="E89" s="95">
        <v>160166</v>
      </c>
      <c r="F89" s="88"/>
      <c r="G89" s="92">
        <v>25</v>
      </c>
      <c r="H89" s="93">
        <v>120871</v>
      </c>
      <c r="I89" s="94">
        <v>179666</v>
      </c>
      <c r="J89" s="95">
        <v>161207</v>
      </c>
      <c r="K89" s="88"/>
      <c r="L89" s="91">
        <v>25</v>
      </c>
      <c r="M89" s="96">
        <f t="shared" si="2"/>
        <v>117</v>
      </c>
      <c r="N89" s="96">
        <f t="shared" si="2"/>
        <v>234</v>
      </c>
      <c r="O89" s="96">
        <f>J89-E89</f>
        <v>1041</v>
      </c>
    </row>
    <row r="90" spans="1:15" ht="15.75" thickBot="1" x14ac:dyDescent="0.25">
      <c r="A90" s="88"/>
      <c r="B90" s="92">
        <v>26</v>
      </c>
      <c r="C90" s="93">
        <v>113543</v>
      </c>
      <c r="D90" s="94">
        <v>51045</v>
      </c>
      <c r="E90" s="95">
        <v>52998</v>
      </c>
      <c r="F90" s="88"/>
      <c r="G90" s="92">
        <v>26</v>
      </c>
      <c r="H90" s="93">
        <v>113543</v>
      </c>
      <c r="I90" s="94">
        <v>51230</v>
      </c>
      <c r="J90" s="95">
        <v>53641</v>
      </c>
      <c r="K90" s="88"/>
      <c r="L90" s="91">
        <v>26</v>
      </c>
      <c r="M90" s="96">
        <f t="shared" si="2"/>
        <v>0</v>
      </c>
      <c r="N90" s="96">
        <f t="shared" si="2"/>
        <v>185</v>
      </c>
      <c r="O90" s="96">
        <f t="shared" si="2"/>
        <v>643</v>
      </c>
    </row>
    <row r="91" spans="1:15" ht="15.75" thickBot="1" x14ac:dyDescent="0.25">
      <c r="A91" s="88"/>
      <c r="B91" s="92">
        <v>27</v>
      </c>
      <c r="C91" s="93">
        <v>101625</v>
      </c>
      <c r="D91" s="94">
        <v>108090</v>
      </c>
      <c r="E91" s="95">
        <v>120198</v>
      </c>
      <c r="F91" s="88"/>
      <c r="G91" s="92">
        <v>27</v>
      </c>
      <c r="H91" s="93">
        <v>101868</v>
      </c>
      <c r="I91" s="94">
        <v>108637</v>
      </c>
      <c r="J91" s="152"/>
      <c r="K91" s="88"/>
      <c r="L91" s="91">
        <v>27</v>
      </c>
      <c r="M91" s="96">
        <f t="shared" si="2"/>
        <v>243</v>
      </c>
      <c r="N91" s="96">
        <f t="shared" si="2"/>
        <v>547</v>
      </c>
      <c r="O91" s="96">
        <f t="shared" si="2"/>
        <v>-120198</v>
      </c>
    </row>
    <row r="92" spans="1:15" ht="15.75" thickBot="1" x14ac:dyDescent="0.25">
      <c r="A92" s="88"/>
      <c r="B92" s="92">
        <v>28</v>
      </c>
      <c r="C92" s="93">
        <v>194490</v>
      </c>
      <c r="D92" s="94">
        <v>102133</v>
      </c>
      <c r="E92" s="95">
        <v>110299</v>
      </c>
      <c r="F92" s="88"/>
      <c r="G92" s="92">
        <v>28</v>
      </c>
      <c r="H92" s="93">
        <v>194772</v>
      </c>
      <c r="I92" s="94">
        <v>102294</v>
      </c>
      <c r="J92" s="95">
        <v>110425</v>
      </c>
      <c r="K92" s="88"/>
      <c r="L92" s="91">
        <v>28</v>
      </c>
      <c r="M92" s="96">
        <f t="shared" si="2"/>
        <v>282</v>
      </c>
      <c r="N92" s="96">
        <f t="shared" si="2"/>
        <v>161</v>
      </c>
      <c r="O92" s="96">
        <f t="shared" si="2"/>
        <v>126</v>
      </c>
    </row>
    <row r="93" spans="1:15" ht="15.75" thickBot="1" x14ac:dyDescent="0.25">
      <c r="A93" s="88"/>
      <c r="B93" s="92">
        <v>29</v>
      </c>
      <c r="C93" s="93"/>
      <c r="D93" s="94">
        <v>82120</v>
      </c>
      <c r="E93" s="95"/>
      <c r="F93" s="88"/>
      <c r="G93" s="92">
        <v>29</v>
      </c>
      <c r="H93" s="93"/>
      <c r="I93" s="94">
        <v>83061</v>
      </c>
      <c r="J93" s="95"/>
      <c r="K93" s="88"/>
      <c r="L93" s="91">
        <v>29</v>
      </c>
      <c r="M93" s="96">
        <f t="shared" si="2"/>
        <v>0</v>
      </c>
      <c r="N93" s="96">
        <f t="shared" si="2"/>
        <v>941</v>
      </c>
      <c r="O93" s="96"/>
    </row>
    <row r="94" spans="1:15" ht="15.75" thickBot="1" x14ac:dyDescent="0.25">
      <c r="A94" s="88"/>
      <c r="B94" s="92">
        <v>30</v>
      </c>
      <c r="C94" s="93"/>
      <c r="D94" s="94">
        <v>14818</v>
      </c>
      <c r="E94" s="95"/>
      <c r="F94" s="88"/>
      <c r="G94" s="92">
        <v>30</v>
      </c>
      <c r="H94" s="93"/>
      <c r="I94" s="94">
        <v>14818</v>
      </c>
      <c r="J94" s="95"/>
      <c r="K94" s="88"/>
      <c r="L94" s="91">
        <v>30</v>
      </c>
      <c r="M94" s="96">
        <f t="shared" si="2"/>
        <v>0</v>
      </c>
      <c r="N94" s="96">
        <f>I94-D94</f>
        <v>0</v>
      </c>
      <c r="O94" s="88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2021-04-30T22:39:54Z</cp:lastPrinted>
  <dcterms:created xsi:type="dcterms:W3CDTF">2017-07-31T14:40:49Z</dcterms:created>
  <dcterms:modified xsi:type="dcterms:W3CDTF">2021-08-15T00:20:54Z</dcterms:modified>
</cp:coreProperties>
</file>