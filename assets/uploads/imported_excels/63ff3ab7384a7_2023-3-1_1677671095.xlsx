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sal.ibrahim\Desktop\DOWNLOAD\"/>
    </mc:Choice>
  </mc:AlternateContent>
  <xr:revisionPtr revIDLastSave="0" documentId="13_ncr:1_{2E8DBFC7-0163-4B52-BE1E-A57FE20158C9}" xr6:coauthVersionLast="47" xr6:coauthVersionMax="47" xr10:uidLastSave="{00000000-0000-0000-0000-000000000000}"/>
  <bookViews>
    <workbookView xWindow="16170" yWindow="8460" windowWidth="21600" windowHeight="11385" tabRatio="531" xr2:uid="{00000000-000D-0000-FFFF-FFFF00000000}"/>
  </bookViews>
  <sheets>
    <sheet name="TOTAL" sheetId="17" r:id="rId1"/>
    <sheet name="Submetering " sheetId="26" r:id="rId2"/>
    <sheet name="Maldives at LG Daily" sheetId="22" r:id="rId3"/>
    <sheet name="Finance and DOE" sheetId="24" r:id="rId4"/>
    <sheet name="Room Nights and Food Covers" sheetId="25" r:id="rId5"/>
    <sheet name="Gas-2" sheetId="21" r:id="rId6"/>
    <sheet name="GENSET #1" sheetId="3" r:id="rId7"/>
    <sheet name="GENSET #2" sheetId="4" r:id="rId8"/>
    <sheet name="GENSET #3" sheetId="5" r:id="rId9"/>
    <sheet name="GENSET #4" sheetId="6" r:id="rId10"/>
    <sheet name="GENSET #5" sheetId="7" r:id="rId11"/>
    <sheet name="Diesel consumption" sheetId="9" r:id="rId12"/>
    <sheet name="SOLAR METER READING" sheetId="11" r:id="rId13"/>
    <sheet name="FEEDER Consumption " sheetId="12" r:id="rId14"/>
    <sheet name="WATER" sheetId="19" r:id="rId15"/>
  </sheets>
  <externalReferences>
    <externalReference r:id="rId16"/>
  </externalReferences>
  <definedNames>
    <definedName name="_xlnm.Print_Area" localSheetId="3">'Finance and DOE'!$A$1:$K$39</definedName>
    <definedName name="_xlnm.Print_Area" localSheetId="5">'Gas-2'!$A$1:$E$37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17" l="1"/>
  <c r="BP33" i="19"/>
  <c r="BP34" i="19"/>
  <c r="B36" i="3"/>
  <c r="D36" i="3" s="1"/>
  <c r="B35" i="3"/>
  <c r="D35" i="3" s="1"/>
  <c r="BZ24" i="19"/>
  <c r="BU7" i="19"/>
  <c r="BU8" i="19"/>
  <c r="C20" i="12"/>
  <c r="C36" i="25"/>
  <c r="BP19" i="19"/>
  <c r="AB15" i="19"/>
  <c r="DT12" i="12"/>
  <c r="BF18" i="19"/>
  <c r="N35" i="9"/>
  <c r="P35" i="9" s="1"/>
  <c r="K38" i="24" s="1"/>
  <c r="N34" i="9"/>
  <c r="P34" i="9" s="1"/>
  <c r="K37" i="24" s="1"/>
  <c r="N33" i="9"/>
  <c r="P33" i="9" s="1"/>
  <c r="K36" i="24" s="1"/>
  <c r="N32" i="9"/>
  <c r="P32" i="9" s="1"/>
  <c r="K35" i="24" s="1"/>
  <c r="N31" i="9"/>
  <c r="P31" i="9" s="1"/>
  <c r="K34" i="24" s="1"/>
  <c r="N30" i="9"/>
  <c r="P30" i="9" s="1"/>
  <c r="K33" i="24" s="1"/>
  <c r="N29" i="9"/>
  <c r="P29" i="9" s="1"/>
  <c r="K32" i="24" s="1"/>
  <c r="N28" i="9"/>
  <c r="P28" i="9" s="1"/>
  <c r="K31" i="24" s="1"/>
  <c r="N27" i="9"/>
  <c r="P27" i="9" s="1"/>
  <c r="K30" i="24" s="1"/>
  <c r="N26" i="9"/>
  <c r="P26" i="9" s="1"/>
  <c r="K29" i="24" s="1"/>
  <c r="N25" i="9"/>
  <c r="P25" i="9" s="1"/>
  <c r="K28" i="24" s="1"/>
  <c r="N24" i="9"/>
  <c r="P24" i="9" s="1"/>
  <c r="K27" i="24" s="1"/>
  <c r="N23" i="9"/>
  <c r="P23" i="9" s="1"/>
  <c r="K26" i="24" s="1"/>
  <c r="N22" i="9"/>
  <c r="P22" i="9" s="1"/>
  <c r="K25" i="24" s="1"/>
  <c r="N21" i="9"/>
  <c r="P21" i="9" s="1"/>
  <c r="K24" i="24" s="1"/>
  <c r="N20" i="9"/>
  <c r="P20" i="9" s="1"/>
  <c r="K23" i="24" s="1"/>
  <c r="N19" i="9"/>
  <c r="P19" i="9" s="1"/>
  <c r="K22" i="24" s="1"/>
  <c r="N18" i="9"/>
  <c r="P18" i="9" s="1"/>
  <c r="K21" i="24" s="1"/>
  <c r="N17" i="9"/>
  <c r="P17" i="9" s="1"/>
  <c r="K20" i="24" s="1"/>
  <c r="N16" i="9"/>
  <c r="P16" i="9" s="1"/>
  <c r="K19" i="24" s="1"/>
  <c r="N15" i="9"/>
  <c r="P15" i="9" s="1"/>
  <c r="K18" i="24" s="1"/>
  <c r="N14" i="9"/>
  <c r="P14" i="9" s="1"/>
  <c r="K17" i="24" s="1"/>
  <c r="N13" i="9"/>
  <c r="P13" i="9" s="1"/>
  <c r="K16" i="24" s="1"/>
  <c r="N12" i="9"/>
  <c r="P12" i="9" s="1"/>
  <c r="K15" i="24" s="1"/>
  <c r="N11" i="9"/>
  <c r="P11" i="9" s="1"/>
  <c r="K14" i="24" s="1"/>
  <c r="N10" i="9"/>
  <c r="P10" i="9" s="1"/>
  <c r="K13" i="24" s="1"/>
  <c r="N9" i="9"/>
  <c r="P9" i="9" s="1"/>
  <c r="K12" i="24" s="1"/>
  <c r="N8" i="9"/>
  <c r="P8" i="9" s="1"/>
  <c r="K11" i="24" s="1"/>
  <c r="N6" i="9"/>
  <c r="P6" i="9" s="1"/>
  <c r="K9" i="24" s="1"/>
  <c r="P5" i="9"/>
  <c r="DB5" i="12"/>
  <c r="C5" i="22"/>
  <c r="C3" i="26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D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2" i="26"/>
  <c r="C2" i="26"/>
  <c r="BP35" i="22"/>
  <c r="BQ35" i="22"/>
  <c r="AO35" i="22"/>
  <c r="BM32" i="26"/>
  <c r="BN32" i="26"/>
  <c r="C35" i="22"/>
  <c r="K8" i="24" l="1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C38" i="24"/>
  <c r="C8" i="24"/>
  <c r="N32" i="17" l="1"/>
  <c r="B38" i="24"/>
  <c r="BN3" i="26" l="1"/>
  <c r="N3" i="17" s="1"/>
  <c r="BN4" i="26"/>
  <c r="N4" i="17" s="1"/>
  <c r="BN5" i="26"/>
  <c r="N5" i="17" s="1"/>
  <c r="BN6" i="26"/>
  <c r="N6" i="17" s="1"/>
  <c r="BN7" i="26"/>
  <c r="N7" i="17" s="1"/>
  <c r="BN8" i="26"/>
  <c r="N8" i="17" s="1"/>
  <c r="BN9" i="26"/>
  <c r="N9" i="17" s="1"/>
  <c r="BN10" i="26"/>
  <c r="N10" i="17" s="1"/>
  <c r="BN11" i="26"/>
  <c r="N11" i="17" s="1"/>
  <c r="BN12" i="26"/>
  <c r="N12" i="17" s="1"/>
  <c r="BN13" i="26"/>
  <c r="N13" i="17" s="1"/>
  <c r="BN14" i="26"/>
  <c r="N14" i="17" s="1"/>
  <c r="BN15" i="26"/>
  <c r="N15" i="17" s="1"/>
  <c r="BN16" i="26"/>
  <c r="N16" i="17" s="1"/>
  <c r="BN17" i="26"/>
  <c r="N17" i="17" s="1"/>
  <c r="BN18" i="26"/>
  <c r="N18" i="17" s="1"/>
  <c r="BN19" i="26"/>
  <c r="N19" i="17" s="1"/>
  <c r="BN20" i="26"/>
  <c r="N20" i="17" s="1"/>
  <c r="BN21" i="26"/>
  <c r="N21" i="17" s="1"/>
  <c r="BN22" i="26"/>
  <c r="N22" i="17" s="1"/>
  <c r="BN23" i="26"/>
  <c r="N23" i="17" s="1"/>
  <c r="BN24" i="26"/>
  <c r="N24" i="17" s="1"/>
  <c r="BN25" i="26"/>
  <c r="N25" i="17" s="1"/>
  <c r="BN26" i="26"/>
  <c r="N26" i="17" s="1"/>
  <c r="BN27" i="26"/>
  <c r="N27" i="17" s="1"/>
  <c r="BN28" i="26"/>
  <c r="N28" i="17" s="1"/>
  <c r="BN29" i="26"/>
  <c r="N29" i="17" s="1"/>
  <c r="BN30" i="26"/>
  <c r="N30" i="17" s="1"/>
  <c r="BN31" i="26"/>
  <c r="N31" i="17" s="1"/>
  <c r="BN2" i="26"/>
  <c r="N2" i="17" s="1"/>
  <c r="N33" i="17" s="1"/>
  <c r="BM3" i="26"/>
  <c r="B9" i="24" s="1"/>
  <c r="BM4" i="26"/>
  <c r="B10" i="24" s="1"/>
  <c r="BM5" i="26"/>
  <c r="B11" i="24" s="1"/>
  <c r="BM6" i="26"/>
  <c r="B12" i="24" s="1"/>
  <c r="BM7" i="26"/>
  <c r="B13" i="24" s="1"/>
  <c r="BM8" i="26"/>
  <c r="B14" i="24" s="1"/>
  <c r="BM9" i="26"/>
  <c r="B15" i="24" s="1"/>
  <c r="BM10" i="26"/>
  <c r="B16" i="24" s="1"/>
  <c r="BM11" i="26"/>
  <c r="B17" i="24" s="1"/>
  <c r="BM12" i="26"/>
  <c r="B18" i="24" s="1"/>
  <c r="BM13" i="26"/>
  <c r="B19" i="24" s="1"/>
  <c r="BM14" i="26"/>
  <c r="B20" i="24" s="1"/>
  <c r="BM15" i="26"/>
  <c r="B21" i="24" s="1"/>
  <c r="BM16" i="26"/>
  <c r="B22" i="24" s="1"/>
  <c r="BM17" i="26"/>
  <c r="B23" i="24" s="1"/>
  <c r="BM18" i="26"/>
  <c r="B24" i="24" s="1"/>
  <c r="BM19" i="26"/>
  <c r="B25" i="24" s="1"/>
  <c r="BM20" i="26"/>
  <c r="B26" i="24" s="1"/>
  <c r="BM21" i="26"/>
  <c r="B27" i="24" s="1"/>
  <c r="BM22" i="26"/>
  <c r="B28" i="24" s="1"/>
  <c r="BM23" i="26"/>
  <c r="B29" i="24" s="1"/>
  <c r="BM24" i="26"/>
  <c r="B30" i="24" s="1"/>
  <c r="BM25" i="26"/>
  <c r="B31" i="24" s="1"/>
  <c r="BM26" i="26"/>
  <c r="B32" i="24" s="1"/>
  <c r="BM27" i="26"/>
  <c r="B33" i="24" s="1"/>
  <c r="BM28" i="26"/>
  <c r="B34" i="24" s="1"/>
  <c r="BM29" i="26"/>
  <c r="B35" i="24" s="1"/>
  <c r="BM30" i="26"/>
  <c r="B36" i="24" s="1"/>
  <c r="BM31" i="26"/>
  <c r="B37" i="24" s="1"/>
  <c r="BM2" i="26"/>
  <c r="B8" i="24" s="1"/>
  <c r="DZ6" i="19"/>
  <c r="DU6" i="19"/>
  <c r="DP6" i="19"/>
  <c r="DK6" i="19"/>
  <c r="DF6" i="19"/>
  <c r="DA6" i="19"/>
  <c r="CV6" i="19"/>
  <c r="CQ6" i="19"/>
  <c r="CL6" i="19"/>
  <c r="CG6" i="19"/>
  <c r="CB6" i="19"/>
  <c r="BW6" i="19"/>
  <c r="BR6" i="19"/>
  <c r="BM6" i="19"/>
  <c r="BH6" i="19"/>
  <c r="BC6" i="19"/>
  <c r="AX6" i="19"/>
  <c r="AS6" i="19"/>
  <c r="AN6" i="19"/>
  <c r="AI6" i="19"/>
  <c r="AD6" i="19"/>
  <c r="BP5" i="22" l="1"/>
  <c r="BP6" i="22"/>
  <c r="BP7" i="22"/>
  <c r="BP8" i="22"/>
  <c r="BP9" i="22"/>
  <c r="BP10" i="22"/>
  <c r="BP11" i="22"/>
  <c r="BP12" i="22"/>
  <c r="BP13" i="22"/>
  <c r="BP14" i="22"/>
  <c r="BP15" i="22"/>
  <c r="BP16" i="22"/>
  <c r="BP17" i="22"/>
  <c r="BP18" i="22"/>
  <c r="BP19" i="22"/>
  <c r="BP20" i="22"/>
  <c r="BP21" i="22"/>
  <c r="BP22" i="22"/>
  <c r="BP23" i="22"/>
  <c r="BP24" i="22"/>
  <c r="BP25" i="22"/>
  <c r="BP26" i="22"/>
  <c r="BP27" i="22"/>
  <c r="BP28" i="22"/>
  <c r="BP29" i="22"/>
  <c r="BP30" i="22"/>
  <c r="BP31" i="22"/>
  <c r="BP32" i="22"/>
  <c r="BP33" i="22"/>
  <c r="BP34" i="22"/>
  <c r="BQ14" i="22"/>
  <c r="BQ15" i="22"/>
  <c r="BQ16" i="22"/>
  <c r="BQ17" i="22"/>
  <c r="BQ18" i="22"/>
  <c r="BQ19" i="22"/>
  <c r="BQ20" i="22"/>
  <c r="BQ21" i="22"/>
  <c r="BQ22" i="22"/>
  <c r="BQ23" i="22"/>
  <c r="BQ24" i="22"/>
  <c r="BQ25" i="22"/>
  <c r="BQ26" i="22"/>
  <c r="BQ27" i="22"/>
  <c r="BQ28" i="22"/>
  <c r="BQ29" i="22"/>
  <c r="BQ30" i="22"/>
  <c r="BQ31" i="22"/>
  <c r="BQ32" i="22"/>
  <c r="BQ33" i="22"/>
  <c r="BQ34" i="22"/>
  <c r="BQ5" i="22"/>
  <c r="BQ6" i="22"/>
  <c r="BQ7" i="22"/>
  <c r="BQ8" i="22"/>
  <c r="BQ9" i="22"/>
  <c r="BQ10" i="22"/>
  <c r="BQ11" i="22"/>
  <c r="BQ12" i="22"/>
  <c r="BQ13" i="22"/>
  <c r="BQ4" i="22"/>
  <c r="BP4" i="22"/>
  <c r="A5" i="25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BO5" i="22" l="1"/>
  <c r="BL2" i="26" s="1"/>
  <c r="BN5" i="22"/>
  <c r="BK2" i="26" s="1"/>
  <c r="BM5" i="22"/>
  <c r="BJ2" i="26" s="1"/>
  <c r="BL5" i="22"/>
  <c r="BI2" i="26" s="1"/>
  <c r="BK5" i="22"/>
  <c r="BH2" i="26" s="1"/>
  <c r="BJ5" i="22"/>
  <c r="BG2" i="26" s="1"/>
  <c r="BH5" i="22"/>
  <c r="BE2" i="26" s="1"/>
  <c r="BG5" i="22"/>
  <c r="BD2" i="26" s="1"/>
  <c r="BF5" i="22"/>
  <c r="BC2" i="26" s="1"/>
  <c r="BE5" i="22"/>
  <c r="BB2" i="26" s="1"/>
  <c r="BD5" i="22"/>
  <c r="BA2" i="26" s="1"/>
  <c r="BC5" i="22"/>
  <c r="AZ2" i="26" s="1"/>
  <c r="BB5" i="22"/>
  <c r="AY2" i="26" s="1"/>
  <c r="BA5" i="22"/>
  <c r="AX2" i="26" s="1"/>
  <c r="AZ5" i="22"/>
  <c r="AW2" i="26" s="1"/>
  <c r="AY5" i="22"/>
  <c r="AV2" i="26" s="1"/>
  <c r="AX5" i="22"/>
  <c r="AU2" i="26" s="1"/>
  <c r="AW5" i="22"/>
  <c r="AT2" i="26" s="1"/>
  <c r="AV5" i="22"/>
  <c r="AS2" i="26" s="1"/>
  <c r="AU5" i="22"/>
  <c r="AR2" i="26" s="1"/>
  <c r="AO6" i="22"/>
  <c r="AO7" i="22"/>
  <c r="AP7" i="22" s="1"/>
  <c r="AO8" i="22"/>
  <c r="AO9" i="22"/>
  <c r="AO10" i="22"/>
  <c r="AP10" i="22" s="1"/>
  <c r="AO11" i="22"/>
  <c r="AO12" i="22"/>
  <c r="AO13" i="22"/>
  <c r="AP13" i="22" s="1"/>
  <c r="AO14" i="22"/>
  <c r="AO15" i="22"/>
  <c r="AO16" i="22"/>
  <c r="AO17" i="22"/>
  <c r="AO18" i="22"/>
  <c r="AO19" i="22"/>
  <c r="AO20" i="22"/>
  <c r="AO21" i="22"/>
  <c r="AO22" i="22"/>
  <c r="AO23" i="22"/>
  <c r="AO24" i="22"/>
  <c r="AO25" i="22"/>
  <c r="AO26" i="22"/>
  <c r="AO27" i="22"/>
  <c r="AO28" i="22"/>
  <c r="AO29" i="22"/>
  <c r="AO30" i="22"/>
  <c r="AO31" i="22"/>
  <c r="AO32" i="22"/>
  <c r="AO33" i="22"/>
  <c r="AO34" i="22"/>
  <c r="AP35" i="22" s="1"/>
  <c r="AO5" i="22"/>
  <c r="AP5" i="22" s="1"/>
  <c r="C6" i="22"/>
  <c r="D6" i="22" s="1"/>
  <c r="C7" i="22"/>
  <c r="C8" i="22"/>
  <c r="C9" i="22"/>
  <c r="C10" i="22"/>
  <c r="C11" i="22"/>
  <c r="C12" i="22"/>
  <c r="C13" i="22"/>
  <c r="C14" i="22"/>
  <c r="C15" i="22"/>
  <c r="C16" i="22"/>
  <c r="D16" i="22" s="1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D35" i="22" s="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E4" i="22"/>
  <c r="AP16" i="22" l="1"/>
  <c r="AP8" i="22"/>
  <c r="AP12" i="22"/>
  <c r="AP11" i="22"/>
  <c r="AP14" i="22"/>
  <c r="AP18" i="22"/>
  <c r="D17" i="22"/>
  <c r="D10" i="22"/>
  <c r="D13" i="22"/>
  <c r="D15" i="22"/>
  <c r="D14" i="22"/>
  <c r="D7" i="22"/>
  <c r="D12" i="22"/>
  <c r="D9" i="22"/>
  <c r="D5" i="22"/>
  <c r="AP9" i="22"/>
  <c r="D11" i="22"/>
  <c r="AP6" i="22"/>
  <c r="D18" i="22"/>
  <c r="AP17" i="22"/>
  <c r="D8" i="22"/>
  <c r="AP19" i="22"/>
  <c r="D33" i="22"/>
  <c r="D34" i="22"/>
  <c r="AP34" i="22"/>
  <c r="AP33" i="22"/>
  <c r="AP31" i="22"/>
  <c r="D31" i="22"/>
  <c r="D30" i="22"/>
  <c r="AP30" i="22"/>
  <c r="D29" i="22"/>
  <c r="D28" i="22"/>
  <c r="AP29" i="22"/>
  <c r="AP28" i="22"/>
  <c r="D27" i="22"/>
  <c r="D26" i="22"/>
  <c r="AP27" i="22"/>
  <c r="D24" i="22"/>
  <c r="AP26" i="22"/>
  <c r="D23" i="22"/>
  <c r="D22" i="22"/>
  <c r="D21" i="22"/>
  <c r="AP24" i="22"/>
  <c r="AP25" i="22"/>
  <c r="AP23" i="22"/>
  <c r="AP21" i="22"/>
  <c r="AP20" i="22"/>
  <c r="D19" i="22"/>
  <c r="D32" i="22"/>
  <c r="D20" i="22"/>
  <c r="AP15" i="22"/>
  <c r="AP22" i="22"/>
  <c r="D25" i="22"/>
  <c r="AP32" i="22"/>
  <c r="AO5" i="12" l="1"/>
  <c r="S5" i="22" s="1"/>
  <c r="R2" i="26" s="1"/>
  <c r="A6" i="4"/>
  <c r="A6" i="5" s="1"/>
  <c r="A6" i="6" s="1"/>
  <c r="A6" i="7" s="1"/>
  <c r="A2" i="9" s="1"/>
  <c r="B5" i="11" s="1"/>
  <c r="A1" i="12" s="1"/>
  <c r="B3" i="21" s="1" a="1"/>
  <c r="B3" i="21" s="1"/>
  <c r="D10" i="6"/>
  <c r="J5" i="22" s="1"/>
  <c r="I2" i="26" s="1"/>
  <c r="B12" i="6"/>
  <c r="D12" i="6" s="1"/>
  <c r="J7" i="22" s="1"/>
  <c r="I4" i="26" s="1"/>
  <c r="B13" i="6"/>
  <c r="D13" i="6" s="1"/>
  <c r="J8" i="22" s="1"/>
  <c r="I5" i="26" s="1"/>
  <c r="B14" i="6"/>
  <c r="D14" i="6" s="1"/>
  <c r="J9" i="22" s="1"/>
  <c r="I6" i="26" s="1"/>
  <c r="B15" i="6"/>
  <c r="D15" i="6" s="1"/>
  <c r="J10" i="22" s="1"/>
  <c r="I7" i="26" s="1"/>
  <c r="B16" i="6"/>
  <c r="D16" i="6" s="1"/>
  <c r="J11" i="22" s="1"/>
  <c r="I8" i="26" s="1"/>
  <c r="B17" i="6"/>
  <c r="D17" i="6" s="1"/>
  <c r="J12" i="22" s="1"/>
  <c r="I9" i="26" s="1"/>
  <c r="B18" i="6"/>
  <c r="D18" i="6" s="1"/>
  <c r="J13" i="22" s="1"/>
  <c r="I10" i="26" s="1"/>
  <c r="B19" i="6"/>
  <c r="D19" i="6" s="1"/>
  <c r="J14" i="22" s="1"/>
  <c r="I11" i="26" s="1"/>
  <c r="B20" i="6"/>
  <c r="D20" i="6" s="1"/>
  <c r="J15" i="22" s="1"/>
  <c r="I12" i="26" s="1"/>
  <c r="B21" i="6"/>
  <c r="D21" i="6" s="1"/>
  <c r="J16" i="22" s="1"/>
  <c r="I13" i="26" s="1"/>
  <c r="B22" i="6"/>
  <c r="D22" i="6" s="1"/>
  <c r="J17" i="22" s="1"/>
  <c r="I14" i="26" s="1"/>
  <c r="B23" i="6"/>
  <c r="D23" i="6" s="1"/>
  <c r="J18" i="22" s="1"/>
  <c r="I15" i="26" s="1"/>
  <c r="B24" i="6"/>
  <c r="D24" i="6" s="1"/>
  <c r="J19" i="22" s="1"/>
  <c r="I16" i="26" s="1"/>
  <c r="B25" i="6"/>
  <c r="D25" i="6" s="1"/>
  <c r="J20" i="22" s="1"/>
  <c r="I17" i="26" s="1"/>
  <c r="B26" i="6"/>
  <c r="D26" i="6" s="1"/>
  <c r="J21" i="22" s="1"/>
  <c r="I18" i="26" s="1"/>
  <c r="B27" i="6"/>
  <c r="D27" i="6" s="1"/>
  <c r="J22" i="22" s="1"/>
  <c r="I19" i="26" s="1"/>
  <c r="B28" i="6"/>
  <c r="D28" i="6" s="1"/>
  <c r="J23" i="22" s="1"/>
  <c r="I20" i="26" s="1"/>
  <c r="B29" i="6"/>
  <c r="D29" i="6" s="1"/>
  <c r="J24" i="22" s="1"/>
  <c r="I21" i="26" s="1"/>
  <c r="B30" i="6"/>
  <c r="D30" i="6" s="1"/>
  <c r="J25" i="22" s="1"/>
  <c r="I22" i="26" s="1"/>
  <c r="B31" i="6"/>
  <c r="D31" i="6" s="1"/>
  <c r="J26" i="22" s="1"/>
  <c r="I23" i="26" s="1"/>
  <c r="B32" i="6"/>
  <c r="D32" i="6" s="1"/>
  <c r="J27" i="22" s="1"/>
  <c r="I24" i="26" s="1"/>
  <c r="B33" i="6"/>
  <c r="D33" i="6" s="1"/>
  <c r="J28" i="22" s="1"/>
  <c r="I25" i="26" s="1"/>
  <c r="B34" i="6"/>
  <c r="D34" i="6" s="1"/>
  <c r="J29" i="22" s="1"/>
  <c r="I26" i="26" s="1"/>
  <c r="B35" i="6"/>
  <c r="D35" i="6" s="1"/>
  <c r="J30" i="22" s="1"/>
  <c r="I27" i="26" s="1"/>
  <c r="B36" i="6"/>
  <c r="D36" i="6" s="1"/>
  <c r="J31" i="22" s="1"/>
  <c r="I28" i="26" s="1"/>
  <c r="B37" i="6"/>
  <c r="D37" i="6" s="1"/>
  <c r="J32" i="22" s="1"/>
  <c r="I29" i="26" s="1"/>
  <c r="B38" i="6"/>
  <c r="D38" i="6" s="1"/>
  <c r="J33" i="22" s="1"/>
  <c r="I30" i="26" s="1"/>
  <c r="B39" i="6"/>
  <c r="D39" i="6" s="1"/>
  <c r="J34" i="22" s="1"/>
  <c r="I31" i="26" s="1"/>
  <c r="B40" i="6"/>
  <c r="D40" i="6" s="1"/>
  <c r="J35" i="22" s="1"/>
  <c r="I32" i="26" s="1"/>
  <c r="B11" i="6"/>
  <c r="D11" i="6" s="1"/>
  <c r="J6" i="22" s="1"/>
  <c r="I3" i="26" s="1"/>
  <c r="D41" i="6" l="1"/>
  <c r="BB33" i="12" l="1"/>
  <c r="D10" i="4" l="1"/>
  <c r="H5" i="22" s="1"/>
  <c r="G2" i="26" s="1"/>
  <c r="D10" i="5"/>
  <c r="I5" i="22" s="1"/>
  <c r="D10" i="7"/>
  <c r="K5" i="22" s="1"/>
  <c r="J2" i="26" s="1"/>
  <c r="B35" i="7"/>
  <c r="D35" i="7" s="1"/>
  <c r="K30" i="22" s="1"/>
  <c r="J27" i="26" s="1"/>
  <c r="B34" i="7"/>
  <c r="D34" i="7" s="1"/>
  <c r="K29" i="22" s="1"/>
  <c r="J26" i="26" s="1"/>
  <c r="H2" i="26" l="1"/>
  <c r="W6" i="19"/>
  <c r="W36" i="19"/>
  <c r="AD5" i="12"/>
  <c r="Q5" i="22" s="1"/>
  <c r="P2" i="26" s="1"/>
  <c r="FP36" i="19" l="1"/>
  <c r="FR36" i="19" s="1"/>
  <c r="FP35" i="19"/>
  <c r="FR35" i="19" s="1"/>
  <c r="FP34" i="19"/>
  <c r="FR34" i="19" s="1"/>
  <c r="FP33" i="19"/>
  <c r="FR33" i="19" s="1"/>
  <c r="FP32" i="19"/>
  <c r="FR32" i="19" s="1"/>
  <c r="FP31" i="19"/>
  <c r="FR31" i="19" s="1"/>
  <c r="FP30" i="19"/>
  <c r="FR30" i="19" s="1"/>
  <c r="FP29" i="19"/>
  <c r="FR29" i="19" s="1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P20" i="19"/>
  <c r="FR20" i="19" s="1"/>
  <c r="FP19" i="19"/>
  <c r="FR19" i="19" s="1"/>
  <c r="FP18" i="19"/>
  <c r="FR18" i="19" s="1"/>
  <c r="FP17" i="19"/>
  <c r="FR17" i="19" s="1"/>
  <c r="FP16" i="19"/>
  <c r="FR16" i="19" s="1"/>
  <c r="FP15" i="19"/>
  <c r="FR15" i="19" s="1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R7" i="19"/>
  <c r="FR6" i="19"/>
  <c r="FM36" i="19"/>
  <c r="FO36" i="19" s="1"/>
  <c r="FM35" i="19"/>
  <c r="FO35" i="19" s="1"/>
  <c r="FM34" i="19"/>
  <c r="FO34" i="19" s="1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M12" i="19"/>
  <c r="FO12" i="19" s="1"/>
  <c r="FM11" i="19"/>
  <c r="FO11" i="19" s="1"/>
  <c r="FM10" i="19"/>
  <c r="FO10" i="19" s="1"/>
  <c r="FM9" i="19"/>
  <c r="FO9" i="19" s="1"/>
  <c r="FM8" i="19"/>
  <c r="FO8" i="19" s="1"/>
  <c r="FO7" i="19"/>
  <c r="FO6" i="19"/>
  <c r="FJ36" i="19"/>
  <c r="FL36" i="19" s="1"/>
  <c r="FJ35" i="19"/>
  <c r="FL35" i="19" s="1"/>
  <c r="FJ34" i="19"/>
  <c r="FL34" i="19" s="1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L7" i="19"/>
  <c r="FL6" i="19"/>
  <c r="FG36" i="19"/>
  <c r="FI36" i="19" s="1"/>
  <c r="FG35" i="19"/>
  <c r="FI35" i="19" s="1"/>
  <c r="FG34" i="19"/>
  <c r="FI34" i="19" s="1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I7" i="19"/>
  <c r="FI6" i="19"/>
  <c r="FD36" i="19"/>
  <c r="FF36" i="19" s="1"/>
  <c r="FD35" i="19"/>
  <c r="FF35" i="19" s="1"/>
  <c r="FD34" i="19"/>
  <c r="FF34" i="19" s="1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F7" i="19"/>
  <c r="FF6" i="19"/>
  <c r="FA36" i="19"/>
  <c r="FC36" i="19" s="1"/>
  <c r="FA35" i="19"/>
  <c r="FC35" i="19" s="1"/>
  <c r="FA34" i="19"/>
  <c r="FC34" i="19" s="1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7" i="19" s="1"/>
  <c r="FC6" i="19"/>
  <c r="EX36" i="19"/>
  <c r="EZ36" i="19" s="1"/>
  <c r="EX35" i="19"/>
  <c r="EZ35" i="19" s="1"/>
  <c r="EX34" i="19"/>
  <c r="EZ34" i="19" s="1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Z7" i="19"/>
  <c r="EZ6" i="19"/>
  <c r="EU36" i="19"/>
  <c r="EW36" i="19" s="1"/>
  <c r="EU35" i="19"/>
  <c r="EW35" i="19" s="1"/>
  <c r="EU34" i="19"/>
  <c r="EW34" i="19" s="1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6" i="19"/>
  <c r="ER36" i="19"/>
  <c r="ET36" i="19" s="1"/>
  <c r="ER35" i="19"/>
  <c r="ET35" i="19" s="1"/>
  <c r="ER34" i="19"/>
  <c r="ET34" i="19" s="1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T7" i="19"/>
  <c r="ET6" i="19"/>
  <c r="Q29" i="19"/>
  <c r="Q30" i="19"/>
  <c r="Q31" i="19"/>
  <c r="Q32" i="19"/>
  <c r="S32" i="19" s="1"/>
  <c r="AT31" i="22" s="1"/>
  <c r="AQ28" i="26" s="1"/>
  <c r="Q33" i="19"/>
  <c r="Q34" i="19"/>
  <c r="L28" i="19"/>
  <c r="CP7" i="12" l="1"/>
  <c r="F35" i="9" l="1"/>
  <c r="CC5" i="12" l="1"/>
  <c r="AA5" i="22" s="1"/>
  <c r="Z2" i="26" s="1"/>
  <c r="BX5" i="12"/>
  <c r="Z5" i="22" s="1"/>
  <c r="Y2" i="26" s="1"/>
  <c r="BI5" i="12" l="1"/>
  <c r="BD5" i="12"/>
  <c r="AY5" i="12"/>
  <c r="U5" i="22" s="1"/>
  <c r="T2" i="26" s="1"/>
  <c r="AT5" i="12"/>
  <c r="T5" i="22" s="1"/>
  <c r="S2" i="26" s="1"/>
  <c r="V5" i="22" l="1"/>
  <c r="U2" i="26" s="1"/>
  <c r="W5" i="22"/>
  <c r="V2" i="26" s="1"/>
  <c r="CH5" i="12"/>
  <c r="AB5" i="22" s="1"/>
  <c r="AA2" i="26" s="1"/>
  <c r="BN5" i="12"/>
  <c r="X5" i="22" s="1"/>
  <c r="W2" i="26" s="1"/>
  <c r="BS5" i="12" l="1"/>
  <c r="Y5" i="22" s="1"/>
  <c r="X2" i="26" s="1"/>
  <c r="G35" i="19" l="1"/>
  <c r="G36" i="19"/>
  <c r="Q35" i="19"/>
  <c r="CO27" i="19"/>
  <c r="CQ27" i="19" s="1"/>
  <c r="BH26" i="22" s="1"/>
  <c r="BE23" i="26" s="1"/>
  <c r="CO30" i="19"/>
  <c r="CQ30" i="19" s="1"/>
  <c r="BH29" i="22" s="1"/>
  <c r="BE26" i="26" s="1"/>
  <c r="CO31" i="19"/>
  <c r="CQ31" i="19" s="1"/>
  <c r="BH30" i="22" s="1"/>
  <c r="BE27" i="26" s="1"/>
  <c r="FW35" i="12"/>
  <c r="FY35" i="12" s="1"/>
  <c r="FW34" i="12"/>
  <c r="FY34" i="12" s="1"/>
  <c r="FW33" i="12"/>
  <c r="FY33" i="12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5" i="12"/>
  <c r="FT35" i="12" s="1"/>
  <c r="FR34" i="12"/>
  <c r="FT34" i="12" s="1"/>
  <c r="FV34" i="12" s="1"/>
  <c r="FR33" i="12"/>
  <c r="FT33" i="12" s="1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33" i="12"/>
  <c r="GA33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GA34" i="12"/>
  <c r="FZ34" i="12"/>
  <c r="FZ14" i="12"/>
  <c r="GA14" i="12"/>
  <c r="FZ15" i="12"/>
  <c r="GA15" i="12"/>
  <c r="FZ11" i="12"/>
  <c r="GA11" i="12"/>
  <c r="FZ19" i="12"/>
  <c r="GA19" i="12"/>
  <c r="FZ27" i="12"/>
  <c r="GA27" i="12"/>
  <c r="FZ35" i="12"/>
  <c r="GA35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33" i="12"/>
  <c r="FU33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V35" i="12"/>
  <c r="FU35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34" i="12"/>
  <c r="FU8" i="12"/>
  <c r="FU20" i="12"/>
  <c r="FC27" i="12"/>
  <c r="FE27" i="12" s="1"/>
  <c r="FM35" i="12"/>
  <c r="FO35" i="12" s="1"/>
  <c r="FM34" i="12"/>
  <c r="FO34" i="12" s="1"/>
  <c r="FM33" i="12"/>
  <c r="FO33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AN17" i="22" s="1"/>
  <c r="AM14" i="26" s="1"/>
  <c r="EI17" i="12"/>
  <c r="EK17" i="12" s="1"/>
  <c r="AM17" i="22" s="1"/>
  <c r="AL14" i="26" s="1"/>
  <c r="DO17" i="12"/>
  <c r="DQ17" i="12" s="1"/>
  <c r="AI17" i="22" s="1"/>
  <c r="AH14" i="26" s="1"/>
  <c r="DE17" i="12"/>
  <c r="DG17" i="12" s="1"/>
  <c r="AG17" i="22" s="1"/>
  <c r="AF14" i="26" s="1"/>
  <c r="CU17" i="12"/>
  <c r="CW17" i="12" s="1"/>
  <c r="CK17" i="12"/>
  <c r="CM17" i="12" s="1"/>
  <c r="AC17" i="22" s="1"/>
  <c r="AB14" i="26" s="1"/>
  <c r="AV21" i="19"/>
  <c r="AX21" i="19" s="1"/>
  <c r="AY20" i="22" s="1"/>
  <c r="AV17" i="26" s="1"/>
  <c r="AV36" i="19"/>
  <c r="AX36" i="19" s="1"/>
  <c r="AY35" i="22" s="1"/>
  <c r="AV32" i="26" s="1"/>
  <c r="CZ16" i="12"/>
  <c r="DB16" i="12" s="1"/>
  <c r="CZ17" i="12"/>
  <c r="DB17" i="12" s="1"/>
  <c r="CK16" i="12"/>
  <c r="CK18" i="12"/>
  <c r="CK19" i="12"/>
  <c r="CM19" i="12" s="1"/>
  <c r="AC19" i="22" s="1"/>
  <c r="AB16" i="26" s="1"/>
  <c r="CK20" i="12"/>
  <c r="CF17" i="12"/>
  <c r="CF18" i="12"/>
  <c r="CH18" i="12" s="1"/>
  <c r="AB18" i="22" s="1"/>
  <c r="AA15" i="26" s="1"/>
  <c r="CF19" i="12"/>
  <c r="CH19" i="12" s="1"/>
  <c r="AB19" i="22" s="1"/>
  <c r="AA16" i="26" s="1"/>
  <c r="CF20" i="12"/>
  <c r="CH20" i="12" s="1"/>
  <c r="AB20" i="22" s="1"/>
  <c r="AA17" i="26" s="1"/>
  <c r="CF21" i="12"/>
  <c r="CH21" i="12" s="1"/>
  <c r="AB21" i="22" s="1"/>
  <c r="AA18" i="26" s="1"/>
  <c r="CA16" i="12"/>
  <c r="CC16" i="12" s="1"/>
  <c r="AA16" i="22" s="1"/>
  <c r="Z13" i="26" s="1"/>
  <c r="CA17" i="12"/>
  <c r="CC17" i="12" s="1"/>
  <c r="AA17" i="22" s="1"/>
  <c r="Z14" i="26" s="1"/>
  <c r="CA18" i="12"/>
  <c r="CA19" i="12"/>
  <c r="CC19" i="12" s="1"/>
  <c r="AA19" i="22" s="1"/>
  <c r="Z16" i="26" s="1"/>
  <c r="BV16" i="12"/>
  <c r="BX16" i="12" s="1"/>
  <c r="Z16" i="22" s="1"/>
  <c r="Y13" i="26" s="1"/>
  <c r="BV17" i="12"/>
  <c r="BX17" i="12" s="1"/>
  <c r="Z17" i="22" s="1"/>
  <c r="Y14" i="26" s="1"/>
  <c r="BV18" i="12"/>
  <c r="BX18" i="12" s="1"/>
  <c r="Z18" i="22" s="1"/>
  <c r="Y15" i="26" s="1"/>
  <c r="BV19" i="12"/>
  <c r="BX19" i="12" s="1"/>
  <c r="Z19" i="22" s="1"/>
  <c r="Y16" i="26" s="1"/>
  <c r="BQ16" i="12"/>
  <c r="BS16" i="12" s="1"/>
  <c r="Y16" i="22" s="1"/>
  <c r="X13" i="26" s="1"/>
  <c r="BQ17" i="12"/>
  <c r="BS17" i="12" s="1"/>
  <c r="Y17" i="22" s="1"/>
  <c r="X14" i="26" s="1"/>
  <c r="BQ18" i="12"/>
  <c r="BS18" i="12" s="1"/>
  <c r="Y18" i="22" s="1"/>
  <c r="X15" i="26" s="1"/>
  <c r="BL16" i="12"/>
  <c r="BL17" i="12"/>
  <c r="BL18" i="12"/>
  <c r="BN18" i="12" s="1"/>
  <c r="X18" i="22" s="1"/>
  <c r="W15" i="26" s="1"/>
  <c r="BL19" i="12"/>
  <c r="BL20" i="12"/>
  <c r="BN20" i="12" s="1"/>
  <c r="X20" i="22" s="1"/>
  <c r="W17" i="26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BD18" i="12" s="1"/>
  <c r="AW16" i="12"/>
  <c r="AY16" i="12" s="1"/>
  <c r="U16" i="22" s="1"/>
  <c r="T13" i="26" s="1"/>
  <c r="AW17" i="12"/>
  <c r="AW18" i="12"/>
  <c r="AY18" i="12" s="1"/>
  <c r="U18" i="22" s="1"/>
  <c r="T15" i="26" s="1"/>
  <c r="AR16" i="12"/>
  <c r="AT16" i="12" s="1"/>
  <c r="T16" i="22" s="1"/>
  <c r="S13" i="26" s="1"/>
  <c r="AR17" i="12"/>
  <c r="AR18" i="12"/>
  <c r="AT18" i="12" s="1"/>
  <c r="T18" i="22" s="1"/>
  <c r="S15" i="26" s="1"/>
  <c r="AR19" i="12"/>
  <c r="AM16" i="12"/>
  <c r="AM17" i="12"/>
  <c r="AO17" i="12" s="1"/>
  <c r="S17" i="22" s="1"/>
  <c r="R14" i="26" s="1"/>
  <c r="AM18" i="12"/>
  <c r="AM19" i="12"/>
  <c r="AO19" i="12" s="1"/>
  <c r="S19" i="22" s="1"/>
  <c r="R16" i="26" s="1"/>
  <c r="AH16" i="12"/>
  <c r="AH17" i="12"/>
  <c r="AH18" i="12"/>
  <c r="AJ18" i="12" s="1"/>
  <c r="R18" i="22" s="1"/>
  <c r="Q15" i="26" s="1"/>
  <c r="AB16" i="12"/>
  <c r="AD16" i="12" s="1"/>
  <c r="Q16" i="22" s="1"/>
  <c r="P13" i="26" s="1"/>
  <c r="AB17" i="12"/>
  <c r="AD17" i="12" s="1"/>
  <c r="Q17" i="22" s="1"/>
  <c r="P14" i="26" s="1"/>
  <c r="AB18" i="12"/>
  <c r="AD18" i="12" s="1"/>
  <c r="Q18" i="22" s="1"/>
  <c r="P15" i="26" s="1"/>
  <c r="W16" i="12"/>
  <c r="Y16" i="12" s="1"/>
  <c r="P16" i="22" s="1"/>
  <c r="O13" i="26" s="1"/>
  <c r="W17" i="12"/>
  <c r="Y17" i="12" s="1"/>
  <c r="P17" i="22" s="1"/>
  <c r="O14" i="26" s="1"/>
  <c r="W18" i="12"/>
  <c r="R16" i="12"/>
  <c r="R17" i="12"/>
  <c r="M16" i="12"/>
  <c r="M17" i="12"/>
  <c r="M18" i="12"/>
  <c r="H16" i="12"/>
  <c r="J16" i="12" s="1"/>
  <c r="M16" i="22" s="1"/>
  <c r="L13" i="26" s="1"/>
  <c r="H17" i="12"/>
  <c r="H18" i="12"/>
  <c r="H19" i="12"/>
  <c r="C16" i="12"/>
  <c r="C17" i="12"/>
  <c r="E17" i="12" s="1"/>
  <c r="L17" i="22" s="1"/>
  <c r="K14" i="26" s="1"/>
  <c r="C18" i="12"/>
  <c r="C19" i="12"/>
  <c r="DO16" i="12"/>
  <c r="DQ16" i="12" s="1"/>
  <c r="AI16" i="22" s="1"/>
  <c r="AH13" i="26" s="1"/>
  <c r="DO18" i="12"/>
  <c r="DQ18" i="12" s="1"/>
  <c r="AI18" i="22" s="1"/>
  <c r="AH15" i="26" s="1"/>
  <c r="DJ16" i="12"/>
  <c r="DL16" i="12" s="1"/>
  <c r="AH16" i="22" s="1"/>
  <c r="AG13" i="26" s="1"/>
  <c r="DJ17" i="12"/>
  <c r="DL17" i="12" s="1"/>
  <c r="AH17" i="22" s="1"/>
  <c r="AG14" i="26" s="1"/>
  <c r="DJ18" i="12"/>
  <c r="DL18" i="12" s="1"/>
  <c r="AH18" i="22" s="1"/>
  <c r="AG15" i="26" s="1"/>
  <c r="DJ19" i="12"/>
  <c r="DL19" i="12" s="1"/>
  <c r="AH19" i="22" s="1"/>
  <c r="AG16" i="26" s="1"/>
  <c r="DE16" i="12"/>
  <c r="DG16" i="12" s="1"/>
  <c r="AG16" i="22" s="1"/>
  <c r="AF13" i="26" s="1"/>
  <c r="DE18" i="12"/>
  <c r="DG18" i="12" s="1"/>
  <c r="AG18" i="22" s="1"/>
  <c r="AF15" i="26" s="1"/>
  <c r="DE19" i="12"/>
  <c r="DG19" i="12" s="1"/>
  <c r="AG19" i="22" s="1"/>
  <c r="AF16" i="26" s="1"/>
  <c r="CU16" i="12"/>
  <c r="CW16" i="12" s="1"/>
  <c r="CU18" i="12"/>
  <c r="CW18" i="12" s="1"/>
  <c r="CU19" i="12"/>
  <c r="CW19" i="12" s="1"/>
  <c r="CP16" i="12"/>
  <c r="CR16" i="12" s="1"/>
  <c r="AD16" i="22" s="1"/>
  <c r="AC13" i="26" s="1"/>
  <c r="CP17" i="12"/>
  <c r="CR17" i="12" s="1"/>
  <c r="AD17" i="22" s="1"/>
  <c r="AC14" i="26" s="1"/>
  <c r="CP18" i="12"/>
  <c r="CR18" i="12" s="1"/>
  <c r="AD18" i="22" s="1"/>
  <c r="AC15" i="26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34" i="19"/>
  <c r="EQ34" i="19" s="1"/>
  <c r="EO35" i="19"/>
  <c r="EQ35" i="19" s="1"/>
  <c r="EO36" i="19"/>
  <c r="EQ36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C3" i="19" a="1"/>
  <c r="C3" i="19" s="1"/>
  <c r="EL8" i="19"/>
  <c r="EN8" i="19" s="1"/>
  <c r="EI8" i="19"/>
  <c r="EK8" i="19" s="1"/>
  <c r="EF8" i="19"/>
  <c r="EH8" i="19" s="1"/>
  <c r="EC8" i="19"/>
  <c r="EE8" i="19" s="1"/>
  <c r="BA8" i="19"/>
  <c r="BC8" i="19" s="1"/>
  <c r="AZ7" i="22" s="1"/>
  <c r="AW4" i="26" s="1"/>
  <c r="AV8" i="19"/>
  <c r="AX8" i="19" s="1"/>
  <c r="AY7" i="22" s="1"/>
  <c r="AV4" i="26" s="1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Z7" i="19" s="1"/>
  <c r="BO6" i="22" s="1"/>
  <c r="BL3" i="26" s="1"/>
  <c r="DX8" i="19"/>
  <c r="DZ8" i="19" s="1"/>
  <c r="BO7" i="22" s="1"/>
  <c r="BL4" i="26" s="1"/>
  <c r="DX9" i="19"/>
  <c r="DZ9" i="19" s="1"/>
  <c r="BO8" i="22" s="1"/>
  <c r="BL5" i="26" s="1"/>
  <c r="DX10" i="19"/>
  <c r="DZ10" i="19" s="1"/>
  <c r="BO9" i="22" s="1"/>
  <c r="BL6" i="26" s="1"/>
  <c r="DX11" i="19"/>
  <c r="DZ11" i="19" s="1"/>
  <c r="BO10" i="22" s="1"/>
  <c r="BL7" i="26" s="1"/>
  <c r="DX12" i="19"/>
  <c r="DZ12" i="19" s="1"/>
  <c r="BO11" i="22" s="1"/>
  <c r="BL8" i="26" s="1"/>
  <c r="DX13" i="19"/>
  <c r="DZ13" i="19" s="1"/>
  <c r="BO12" i="22" s="1"/>
  <c r="BL9" i="26" s="1"/>
  <c r="DX14" i="19"/>
  <c r="DZ14" i="19" s="1"/>
  <c r="BO13" i="22" s="1"/>
  <c r="BL10" i="26" s="1"/>
  <c r="DX15" i="19"/>
  <c r="DZ15" i="19" s="1"/>
  <c r="BO14" i="22" s="1"/>
  <c r="BL11" i="26" s="1"/>
  <c r="DX16" i="19"/>
  <c r="DZ16" i="19" s="1"/>
  <c r="BO15" i="22" s="1"/>
  <c r="BL12" i="26" s="1"/>
  <c r="DX17" i="19"/>
  <c r="DZ17" i="19" s="1"/>
  <c r="BO16" i="22" s="1"/>
  <c r="BL13" i="26" s="1"/>
  <c r="DX18" i="19"/>
  <c r="DZ18" i="19" s="1"/>
  <c r="BO17" i="22" s="1"/>
  <c r="BL14" i="26" s="1"/>
  <c r="DX19" i="19"/>
  <c r="DZ19" i="19" s="1"/>
  <c r="BO18" i="22" s="1"/>
  <c r="BL15" i="26" s="1"/>
  <c r="DX20" i="19"/>
  <c r="DZ20" i="19" s="1"/>
  <c r="BO19" i="22" s="1"/>
  <c r="BL16" i="26" s="1"/>
  <c r="DX21" i="19"/>
  <c r="DZ21" i="19" s="1"/>
  <c r="BO20" i="22" s="1"/>
  <c r="BL17" i="26" s="1"/>
  <c r="DX22" i="19"/>
  <c r="DZ22" i="19" s="1"/>
  <c r="BO21" i="22" s="1"/>
  <c r="BL18" i="26" s="1"/>
  <c r="DX23" i="19"/>
  <c r="DZ23" i="19" s="1"/>
  <c r="BO22" i="22" s="1"/>
  <c r="BL19" i="26" s="1"/>
  <c r="DX24" i="19"/>
  <c r="DZ24" i="19" s="1"/>
  <c r="BO23" i="22" s="1"/>
  <c r="BL20" i="26" s="1"/>
  <c r="DX25" i="19"/>
  <c r="DZ25" i="19" s="1"/>
  <c r="BO24" i="22" s="1"/>
  <c r="BL21" i="26" s="1"/>
  <c r="DX26" i="19"/>
  <c r="DZ26" i="19" s="1"/>
  <c r="BO25" i="22" s="1"/>
  <c r="BL22" i="26" s="1"/>
  <c r="DX27" i="19"/>
  <c r="DZ27" i="19" s="1"/>
  <c r="BO26" i="22" s="1"/>
  <c r="BL23" i="26" s="1"/>
  <c r="DX28" i="19"/>
  <c r="DZ28" i="19" s="1"/>
  <c r="BO27" i="22" s="1"/>
  <c r="BL24" i="26" s="1"/>
  <c r="DX29" i="19"/>
  <c r="DZ29" i="19" s="1"/>
  <c r="BO28" i="22" s="1"/>
  <c r="BL25" i="26" s="1"/>
  <c r="DX30" i="19"/>
  <c r="DZ30" i="19" s="1"/>
  <c r="BO29" i="22" s="1"/>
  <c r="BL26" i="26" s="1"/>
  <c r="DX31" i="19"/>
  <c r="DZ31" i="19" s="1"/>
  <c r="BO30" i="22" s="1"/>
  <c r="BL27" i="26" s="1"/>
  <c r="DX32" i="19"/>
  <c r="DZ32" i="19" s="1"/>
  <c r="BO31" i="22" s="1"/>
  <c r="BL28" i="26" s="1"/>
  <c r="DX33" i="19"/>
  <c r="DZ33" i="19" s="1"/>
  <c r="BO32" i="22" s="1"/>
  <c r="BL29" i="26" s="1"/>
  <c r="DX34" i="19"/>
  <c r="DZ34" i="19" s="1"/>
  <c r="BO33" i="22" s="1"/>
  <c r="BL30" i="26" s="1"/>
  <c r="DX35" i="19"/>
  <c r="DZ35" i="19" s="1"/>
  <c r="BO34" i="22" s="1"/>
  <c r="BL31" i="26" s="1"/>
  <c r="DX36" i="19"/>
  <c r="DZ36" i="19" s="1"/>
  <c r="BO35" i="22" s="1"/>
  <c r="BL32" i="26" s="1"/>
  <c r="BA7" i="19"/>
  <c r="BC7" i="19" s="1"/>
  <c r="AZ6" i="22" s="1"/>
  <c r="AW3" i="26" s="1"/>
  <c r="BA9" i="19"/>
  <c r="BC9" i="19" s="1"/>
  <c r="AZ8" i="22" s="1"/>
  <c r="AW5" i="26" s="1"/>
  <c r="BA10" i="19"/>
  <c r="BC10" i="19" s="1"/>
  <c r="AZ9" i="22" s="1"/>
  <c r="AW6" i="26" s="1"/>
  <c r="BA11" i="19"/>
  <c r="BC11" i="19" s="1"/>
  <c r="AZ10" i="22" s="1"/>
  <c r="AW7" i="26" s="1"/>
  <c r="BA12" i="19"/>
  <c r="BC12" i="19" s="1"/>
  <c r="AZ11" i="22" s="1"/>
  <c r="AW8" i="26" s="1"/>
  <c r="BA13" i="19"/>
  <c r="BC13" i="19" s="1"/>
  <c r="AZ12" i="22" s="1"/>
  <c r="AW9" i="26" s="1"/>
  <c r="BA14" i="19"/>
  <c r="BC14" i="19" s="1"/>
  <c r="AZ13" i="22" s="1"/>
  <c r="AW10" i="26" s="1"/>
  <c r="BA15" i="19"/>
  <c r="BC15" i="19" s="1"/>
  <c r="AZ14" i="22" s="1"/>
  <c r="AW11" i="26" s="1"/>
  <c r="BA16" i="19"/>
  <c r="BC16" i="19" s="1"/>
  <c r="AZ15" i="22" s="1"/>
  <c r="AW12" i="26" s="1"/>
  <c r="BA17" i="19"/>
  <c r="BC17" i="19" s="1"/>
  <c r="AZ16" i="22" s="1"/>
  <c r="AW13" i="26" s="1"/>
  <c r="BA18" i="19"/>
  <c r="BC18" i="19" s="1"/>
  <c r="AZ17" i="22" s="1"/>
  <c r="AW14" i="26" s="1"/>
  <c r="BA19" i="19"/>
  <c r="BC19" i="19" s="1"/>
  <c r="AZ18" i="22" s="1"/>
  <c r="AW15" i="26" s="1"/>
  <c r="BA20" i="19"/>
  <c r="BC20" i="19" s="1"/>
  <c r="AZ19" i="22" s="1"/>
  <c r="AW16" i="26" s="1"/>
  <c r="BA21" i="19"/>
  <c r="BC21" i="19" s="1"/>
  <c r="AZ20" i="22" s="1"/>
  <c r="AW17" i="26" s="1"/>
  <c r="BA22" i="19"/>
  <c r="BC22" i="19" s="1"/>
  <c r="AZ21" i="22" s="1"/>
  <c r="AW18" i="26" s="1"/>
  <c r="BA23" i="19"/>
  <c r="BC23" i="19" s="1"/>
  <c r="AZ22" i="22" s="1"/>
  <c r="AW19" i="26" s="1"/>
  <c r="BA24" i="19"/>
  <c r="BC24" i="19" s="1"/>
  <c r="AZ23" i="22" s="1"/>
  <c r="AW20" i="26" s="1"/>
  <c r="BA25" i="19"/>
  <c r="BC25" i="19" s="1"/>
  <c r="AZ24" i="22" s="1"/>
  <c r="AW21" i="26" s="1"/>
  <c r="BA26" i="19"/>
  <c r="BC26" i="19" s="1"/>
  <c r="AZ25" i="22" s="1"/>
  <c r="AW22" i="26" s="1"/>
  <c r="BA27" i="19"/>
  <c r="BC27" i="19" s="1"/>
  <c r="AZ26" i="22" s="1"/>
  <c r="AW23" i="26" s="1"/>
  <c r="BA28" i="19"/>
  <c r="BC28" i="19" s="1"/>
  <c r="AZ27" i="22" s="1"/>
  <c r="AW24" i="26" s="1"/>
  <c r="BA29" i="19"/>
  <c r="BC29" i="19" s="1"/>
  <c r="AZ28" i="22" s="1"/>
  <c r="AW25" i="26" s="1"/>
  <c r="BA30" i="19"/>
  <c r="BC30" i="19" s="1"/>
  <c r="AZ29" i="22" s="1"/>
  <c r="AW26" i="26" s="1"/>
  <c r="BA31" i="19"/>
  <c r="BC31" i="19" s="1"/>
  <c r="AZ30" i="22" s="1"/>
  <c r="AW27" i="26" s="1"/>
  <c r="BA32" i="19"/>
  <c r="BC32" i="19" s="1"/>
  <c r="AZ31" i="22" s="1"/>
  <c r="AW28" i="26" s="1"/>
  <c r="BA33" i="19"/>
  <c r="BC33" i="19" s="1"/>
  <c r="AZ32" i="22" s="1"/>
  <c r="AW29" i="26" s="1"/>
  <c r="BA34" i="19"/>
  <c r="BC34" i="19" s="1"/>
  <c r="AZ33" i="22" s="1"/>
  <c r="AW30" i="26" s="1"/>
  <c r="BA35" i="19"/>
  <c r="BC35" i="19" s="1"/>
  <c r="AZ34" i="22" s="1"/>
  <c r="AW31" i="26" s="1"/>
  <c r="BA36" i="19"/>
  <c r="BC36" i="19" s="1"/>
  <c r="AZ35" i="22" s="1"/>
  <c r="AW32" i="26" s="1"/>
  <c r="AV7" i="19"/>
  <c r="AX7" i="19" s="1"/>
  <c r="AY6" i="22" s="1"/>
  <c r="AV3" i="26" s="1"/>
  <c r="AV9" i="19"/>
  <c r="AX9" i="19" s="1"/>
  <c r="AY8" i="22" s="1"/>
  <c r="AV5" i="26" s="1"/>
  <c r="AV10" i="19"/>
  <c r="AX10" i="19" s="1"/>
  <c r="AY9" i="22" s="1"/>
  <c r="AV6" i="26" s="1"/>
  <c r="AV11" i="19"/>
  <c r="AX11" i="19" s="1"/>
  <c r="AY10" i="22" s="1"/>
  <c r="AV7" i="26" s="1"/>
  <c r="AV12" i="19"/>
  <c r="AX12" i="19" s="1"/>
  <c r="AY11" i="22" s="1"/>
  <c r="AV8" i="26" s="1"/>
  <c r="AV13" i="19"/>
  <c r="AX13" i="19" s="1"/>
  <c r="AY12" i="22" s="1"/>
  <c r="AV9" i="26" s="1"/>
  <c r="AV14" i="19"/>
  <c r="AX14" i="19" s="1"/>
  <c r="AY13" i="22" s="1"/>
  <c r="AV10" i="26" s="1"/>
  <c r="AV15" i="19"/>
  <c r="AX15" i="19" s="1"/>
  <c r="AY14" i="22" s="1"/>
  <c r="AV11" i="26" s="1"/>
  <c r="AV16" i="19"/>
  <c r="AX16" i="19" s="1"/>
  <c r="AY15" i="22" s="1"/>
  <c r="AV12" i="26" s="1"/>
  <c r="AV17" i="19"/>
  <c r="AX17" i="19" s="1"/>
  <c r="AY16" i="22" s="1"/>
  <c r="AV13" i="26" s="1"/>
  <c r="AV18" i="19"/>
  <c r="AX18" i="19" s="1"/>
  <c r="AY17" i="22" s="1"/>
  <c r="AV14" i="26" s="1"/>
  <c r="AV19" i="19"/>
  <c r="AX19" i="19" s="1"/>
  <c r="AY18" i="22" s="1"/>
  <c r="AV15" i="26" s="1"/>
  <c r="AV20" i="19"/>
  <c r="AX20" i="19" s="1"/>
  <c r="AY19" i="22" s="1"/>
  <c r="AV16" i="26" s="1"/>
  <c r="AV22" i="19"/>
  <c r="AX22" i="19" s="1"/>
  <c r="AY21" i="22" s="1"/>
  <c r="AV18" i="26" s="1"/>
  <c r="AV23" i="19"/>
  <c r="AX23" i="19" s="1"/>
  <c r="AY22" i="22" s="1"/>
  <c r="AV19" i="26" s="1"/>
  <c r="AV24" i="19"/>
  <c r="AX24" i="19" s="1"/>
  <c r="AY23" i="22" s="1"/>
  <c r="AV20" i="26" s="1"/>
  <c r="AV25" i="19"/>
  <c r="AX25" i="19" s="1"/>
  <c r="AY24" i="22" s="1"/>
  <c r="AV21" i="26" s="1"/>
  <c r="AV26" i="19"/>
  <c r="AX26" i="19" s="1"/>
  <c r="AY25" i="22" s="1"/>
  <c r="AV22" i="26" s="1"/>
  <c r="AV27" i="19"/>
  <c r="AX27" i="19" s="1"/>
  <c r="AY26" i="22" s="1"/>
  <c r="AV23" i="26" s="1"/>
  <c r="AV28" i="19"/>
  <c r="AX28" i="19" s="1"/>
  <c r="AY27" i="22" s="1"/>
  <c r="AV24" i="26" s="1"/>
  <c r="AV29" i="19"/>
  <c r="AX29" i="19" s="1"/>
  <c r="AY28" i="22" s="1"/>
  <c r="AV25" i="26" s="1"/>
  <c r="AV30" i="19"/>
  <c r="AX30" i="19" s="1"/>
  <c r="AY29" i="22" s="1"/>
  <c r="AV26" i="26" s="1"/>
  <c r="AV31" i="19"/>
  <c r="AX31" i="19" s="1"/>
  <c r="AY30" i="22" s="1"/>
  <c r="AV27" i="26" s="1"/>
  <c r="AV32" i="19"/>
  <c r="AX32" i="19" s="1"/>
  <c r="AY31" i="22" s="1"/>
  <c r="AV28" i="26" s="1"/>
  <c r="AV33" i="19"/>
  <c r="AX33" i="19" s="1"/>
  <c r="AY32" i="22" s="1"/>
  <c r="AV29" i="26" s="1"/>
  <c r="AV34" i="19"/>
  <c r="AX34" i="19" s="1"/>
  <c r="AY33" i="22" s="1"/>
  <c r="AV30" i="26" s="1"/>
  <c r="AV35" i="19"/>
  <c r="AX35" i="19" s="1"/>
  <c r="AY34" i="22" s="1"/>
  <c r="AV31" i="26" s="1"/>
  <c r="AQ7" i="19"/>
  <c r="AS7" i="19" s="1"/>
  <c r="AX6" i="22" s="1"/>
  <c r="AU3" i="26" s="1"/>
  <c r="AQ8" i="19"/>
  <c r="AS8" i="19" s="1"/>
  <c r="AX7" i="22" s="1"/>
  <c r="AU4" i="26" s="1"/>
  <c r="AQ9" i="19"/>
  <c r="AS9" i="19" s="1"/>
  <c r="AX8" i="22" s="1"/>
  <c r="AU5" i="26" s="1"/>
  <c r="AQ10" i="19"/>
  <c r="AS10" i="19" s="1"/>
  <c r="AX9" i="22" s="1"/>
  <c r="AU6" i="26" s="1"/>
  <c r="AQ11" i="19"/>
  <c r="AS11" i="19" s="1"/>
  <c r="AX10" i="22" s="1"/>
  <c r="AU7" i="26" s="1"/>
  <c r="AQ12" i="19"/>
  <c r="AS12" i="19" s="1"/>
  <c r="AX11" i="22" s="1"/>
  <c r="AU8" i="26" s="1"/>
  <c r="AQ13" i="19"/>
  <c r="AS13" i="19" s="1"/>
  <c r="AX12" i="22" s="1"/>
  <c r="AU9" i="26" s="1"/>
  <c r="AQ14" i="19"/>
  <c r="AS14" i="19" s="1"/>
  <c r="AX13" i="22" s="1"/>
  <c r="AU10" i="26" s="1"/>
  <c r="AQ15" i="19"/>
  <c r="AS15" i="19" s="1"/>
  <c r="AX14" i="22" s="1"/>
  <c r="AU11" i="26" s="1"/>
  <c r="AQ16" i="19"/>
  <c r="AS16" i="19" s="1"/>
  <c r="AX15" i="22" s="1"/>
  <c r="AU12" i="26" s="1"/>
  <c r="AQ17" i="19"/>
  <c r="AS17" i="19" s="1"/>
  <c r="AX16" i="22" s="1"/>
  <c r="AU13" i="26" s="1"/>
  <c r="AQ18" i="19"/>
  <c r="AS18" i="19" s="1"/>
  <c r="AX17" i="22" s="1"/>
  <c r="AU14" i="26" s="1"/>
  <c r="AQ19" i="19"/>
  <c r="AS19" i="19" s="1"/>
  <c r="AX18" i="22" s="1"/>
  <c r="AU15" i="26" s="1"/>
  <c r="AQ20" i="19"/>
  <c r="AS20" i="19" s="1"/>
  <c r="AX19" i="22" s="1"/>
  <c r="AU16" i="26" s="1"/>
  <c r="AQ21" i="19"/>
  <c r="AS21" i="19" s="1"/>
  <c r="AX20" i="22" s="1"/>
  <c r="AU17" i="26" s="1"/>
  <c r="AQ22" i="19"/>
  <c r="AS22" i="19" s="1"/>
  <c r="AX21" i="22" s="1"/>
  <c r="AU18" i="26" s="1"/>
  <c r="AQ23" i="19"/>
  <c r="AS23" i="19" s="1"/>
  <c r="AX22" i="22" s="1"/>
  <c r="AU19" i="26" s="1"/>
  <c r="AQ24" i="19"/>
  <c r="AS24" i="19" s="1"/>
  <c r="AX23" i="22" s="1"/>
  <c r="AU20" i="26" s="1"/>
  <c r="AQ25" i="19"/>
  <c r="AS25" i="19" s="1"/>
  <c r="AX24" i="22" s="1"/>
  <c r="AU21" i="26" s="1"/>
  <c r="AQ26" i="19"/>
  <c r="AS26" i="19" s="1"/>
  <c r="AX25" i="22" s="1"/>
  <c r="AU22" i="26" s="1"/>
  <c r="AQ27" i="19"/>
  <c r="AS27" i="19" s="1"/>
  <c r="AX26" i="22" s="1"/>
  <c r="AU23" i="26" s="1"/>
  <c r="AQ28" i="19"/>
  <c r="AS28" i="19" s="1"/>
  <c r="AX27" i="22" s="1"/>
  <c r="AU24" i="26" s="1"/>
  <c r="AQ29" i="19"/>
  <c r="AS29" i="19" s="1"/>
  <c r="AX28" i="22" s="1"/>
  <c r="AU25" i="26" s="1"/>
  <c r="AQ30" i="19"/>
  <c r="AS30" i="19" s="1"/>
  <c r="AX29" i="22" s="1"/>
  <c r="AU26" i="26" s="1"/>
  <c r="AQ31" i="19"/>
  <c r="AS31" i="19" s="1"/>
  <c r="AX30" i="22" s="1"/>
  <c r="AU27" i="26" s="1"/>
  <c r="AQ32" i="19"/>
  <c r="AS32" i="19" s="1"/>
  <c r="AX31" i="22" s="1"/>
  <c r="AU28" i="26" s="1"/>
  <c r="AQ33" i="19"/>
  <c r="AS33" i="19" s="1"/>
  <c r="AX32" i="22" s="1"/>
  <c r="AU29" i="26" s="1"/>
  <c r="AQ34" i="19"/>
  <c r="AS34" i="19" s="1"/>
  <c r="AX33" i="22" s="1"/>
  <c r="AU30" i="26" s="1"/>
  <c r="AQ35" i="19"/>
  <c r="AX34" i="22" s="1"/>
  <c r="AU31" i="26" s="1"/>
  <c r="AQ36" i="19"/>
  <c r="AS36" i="19" s="1"/>
  <c r="AX35" i="22" s="1"/>
  <c r="AU32" i="26" s="1"/>
  <c r="W15" i="12"/>
  <c r="Y15" i="12" s="1"/>
  <c r="P15" i="22" s="1"/>
  <c r="O12" i="26" s="1"/>
  <c r="BK14" i="19"/>
  <c r="BM14" i="19" s="1"/>
  <c r="BB13" i="22" s="1"/>
  <c r="AY10" i="26" s="1"/>
  <c r="BK15" i="19"/>
  <c r="BM15" i="19" s="1"/>
  <c r="BB14" i="22" s="1"/>
  <c r="AY11" i="26" s="1"/>
  <c r="CR5" i="12"/>
  <c r="AD5" i="22" s="1"/>
  <c r="AC2" i="26" s="1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L34" i="19"/>
  <c r="EN34" i="19" s="1"/>
  <c r="EL35" i="19"/>
  <c r="EN35" i="19" s="1"/>
  <c r="EL36" i="19"/>
  <c r="EN36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I34" i="19"/>
  <c r="EK34" i="19" s="1"/>
  <c r="EI35" i="19"/>
  <c r="EK35" i="19" s="1"/>
  <c r="EI36" i="19"/>
  <c r="EK36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F34" i="19"/>
  <c r="EH34" i="19" s="1"/>
  <c r="EF35" i="19"/>
  <c r="EH35" i="19" s="1"/>
  <c r="EF36" i="19"/>
  <c r="EH36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C34" i="19"/>
  <c r="EE34" i="19" s="1"/>
  <c r="EC35" i="19"/>
  <c r="EE35" i="19" s="1"/>
  <c r="EC36" i="19"/>
  <c r="EE36" i="19" s="1"/>
  <c r="EN6" i="19"/>
  <c r="EK6" i="19"/>
  <c r="EH6" i="19"/>
  <c r="EE6" i="19"/>
  <c r="EX6" i="12"/>
  <c r="EZ6" i="12" s="1"/>
  <c r="CY13" i="19"/>
  <c r="DA13" i="19" s="1"/>
  <c r="BJ12" i="22" s="1"/>
  <c r="BG9" i="26" s="1"/>
  <c r="CY14" i="19"/>
  <c r="DA14" i="19" s="1"/>
  <c r="BJ13" i="22" s="1"/>
  <c r="BG10" i="26" s="1"/>
  <c r="R8" i="12"/>
  <c r="T8" i="12" s="1"/>
  <c r="O8" i="22" s="1"/>
  <c r="N5" i="26" s="1"/>
  <c r="EA5" i="12"/>
  <c r="AK5" i="22" s="1"/>
  <c r="AJ2" i="26" s="1"/>
  <c r="EF5" i="12"/>
  <c r="AL5" i="22" s="1"/>
  <c r="AK2" i="26" s="1"/>
  <c r="EK5" i="12"/>
  <c r="AM5" i="22" s="1"/>
  <c r="AL2" i="26" s="1"/>
  <c r="EP5" i="12"/>
  <c r="AN5" i="22" s="1"/>
  <c r="AM2" i="26" s="1"/>
  <c r="EU5" i="12"/>
  <c r="GK5" i="12" s="1"/>
  <c r="EZ5" i="12"/>
  <c r="FE5" i="12"/>
  <c r="DV5" i="12"/>
  <c r="AJ5" i="22" s="1"/>
  <c r="AI2" i="26" s="1"/>
  <c r="DQ5" i="12"/>
  <c r="AI5" i="22" s="1"/>
  <c r="AH2" i="26" s="1"/>
  <c r="DL5" i="12"/>
  <c r="AH5" i="22" s="1"/>
  <c r="AG2" i="26" s="1"/>
  <c r="DG5" i="12"/>
  <c r="AG5" i="22" s="1"/>
  <c r="AF2" i="26" s="1"/>
  <c r="CW5" i="12"/>
  <c r="CM5" i="12"/>
  <c r="AC5" i="22" s="1"/>
  <c r="AB2" i="26" s="1"/>
  <c r="AJ5" i="12"/>
  <c r="R5" i="22" s="1"/>
  <c r="Q2" i="26" s="1"/>
  <c r="Y5" i="12"/>
  <c r="P5" i="22" s="1"/>
  <c r="O2" i="26" s="1"/>
  <c r="T5" i="12"/>
  <c r="O5" i="22" s="1"/>
  <c r="N2" i="26" s="1"/>
  <c r="O5" i="12"/>
  <c r="N5" i="22" s="1"/>
  <c r="M2" i="26" s="1"/>
  <c r="J5" i="12"/>
  <c r="M5" i="22" s="1"/>
  <c r="L2" i="26" s="1"/>
  <c r="E5" i="12"/>
  <c r="L5" i="22" s="1"/>
  <c r="K2" i="26" s="1"/>
  <c r="S6" i="19"/>
  <c r="AT5" i="22" s="1"/>
  <c r="AQ2" i="26" s="1"/>
  <c r="N6" i="19"/>
  <c r="AS5" i="22" s="1"/>
  <c r="AP2" i="26" s="1"/>
  <c r="D6" i="19"/>
  <c r="AQ5" i="22" s="1"/>
  <c r="AN2" i="26" s="1"/>
  <c r="I6" i="19"/>
  <c r="AR5" i="22" s="1"/>
  <c r="AO2" i="26" s="1"/>
  <c r="D9" i="11"/>
  <c r="H5" i="9"/>
  <c r="D5" i="9"/>
  <c r="D10" i="3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33" i="12"/>
  <c r="FE33" i="12" s="1"/>
  <c r="FC34" i="12"/>
  <c r="FE34" i="12" s="1"/>
  <c r="FC35" i="12"/>
  <c r="FE35" i="12" s="1"/>
  <c r="FG35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X33" i="12"/>
  <c r="EZ33" i="12" s="1"/>
  <c r="EX34" i="12"/>
  <c r="EZ34" i="12" s="1"/>
  <c r="EX35" i="12"/>
  <c r="EZ35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/>
  <c r="ES29" i="12"/>
  <c r="EU29" i="12" s="1"/>
  <c r="EV29" i="12" s="1"/>
  <c r="ES30" i="12"/>
  <c r="EU30" i="12" s="1"/>
  <c r="EV30" i="12" s="1"/>
  <c r="ES31" i="12"/>
  <c r="EU31" i="12" s="1"/>
  <c r="ES32" i="12"/>
  <c r="EU32" i="12" s="1"/>
  <c r="ES33" i="12"/>
  <c r="EU33" i="12" s="1"/>
  <c r="ES34" i="12"/>
  <c r="EU34" i="12" s="1"/>
  <c r="ES35" i="12"/>
  <c r="EU35" i="12" s="1"/>
  <c r="ES6" i="12"/>
  <c r="EU6" i="12" s="1"/>
  <c r="EN7" i="12"/>
  <c r="EP7" i="12" s="1"/>
  <c r="AN7" i="22" s="1"/>
  <c r="AM4" i="26" s="1"/>
  <c r="EN8" i="12"/>
  <c r="EP8" i="12" s="1"/>
  <c r="AN8" i="22" s="1"/>
  <c r="AM5" i="26" s="1"/>
  <c r="EN9" i="12"/>
  <c r="EP9" i="12" s="1"/>
  <c r="AN9" i="22" s="1"/>
  <c r="AM6" i="26" s="1"/>
  <c r="EN10" i="12"/>
  <c r="EP10" i="12" s="1"/>
  <c r="AN10" i="22" s="1"/>
  <c r="AM7" i="26" s="1"/>
  <c r="EN11" i="12"/>
  <c r="EP11" i="12" s="1"/>
  <c r="AN11" i="22" s="1"/>
  <c r="AM8" i="26" s="1"/>
  <c r="EN12" i="12"/>
  <c r="EP12" i="12" s="1"/>
  <c r="AN12" i="22" s="1"/>
  <c r="AM9" i="26" s="1"/>
  <c r="EN13" i="12"/>
  <c r="EP13" i="12" s="1"/>
  <c r="AN13" i="22" s="1"/>
  <c r="AM10" i="26" s="1"/>
  <c r="EN14" i="12"/>
  <c r="EP14" i="12" s="1"/>
  <c r="AN14" i="22" s="1"/>
  <c r="AM11" i="26" s="1"/>
  <c r="EN15" i="12"/>
  <c r="EP15" i="12" s="1"/>
  <c r="AN15" i="22" s="1"/>
  <c r="AM12" i="26" s="1"/>
  <c r="EN16" i="12"/>
  <c r="EN18" i="12"/>
  <c r="EP18" i="12" s="1"/>
  <c r="AN18" i="22" s="1"/>
  <c r="AM15" i="26" s="1"/>
  <c r="EN19" i="12"/>
  <c r="EP19" i="12" s="1"/>
  <c r="AN19" i="22" s="1"/>
  <c r="AM16" i="26" s="1"/>
  <c r="EN20" i="12"/>
  <c r="EP20" i="12" s="1"/>
  <c r="AN20" i="22" s="1"/>
  <c r="AM17" i="26" s="1"/>
  <c r="EN21" i="12"/>
  <c r="EP21" i="12" s="1"/>
  <c r="AN21" i="22" s="1"/>
  <c r="AM18" i="26" s="1"/>
  <c r="EN22" i="12"/>
  <c r="EP22" i="12" s="1"/>
  <c r="AN22" i="22" s="1"/>
  <c r="AM19" i="26" s="1"/>
  <c r="EN23" i="12"/>
  <c r="EP23" i="12" s="1"/>
  <c r="AN23" i="22" s="1"/>
  <c r="AM20" i="26" s="1"/>
  <c r="EN24" i="12"/>
  <c r="EP24" i="12" s="1"/>
  <c r="AN24" i="22" s="1"/>
  <c r="AM21" i="26" s="1"/>
  <c r="EN25" i="12"/>
  <c r="EP25" i="12" s="1"/>
  <c r="AN25" i="22" s="1"/>
  <c r="AM22" i="26" s="1"/>
  <c r="EN26" i="12"/>
  <c r="EP26" i="12" s="1"/>
  <c r="AN26" i="22" s="1"/>
  <c r="AM23" i="26" s="1"/>
  <c r="EN27" i="12"/>
  <c r="EP27" i="12" s="1"/>
  <c r="AN27" i="22" s="1"/>
  <c r="AM24" i="26" s="1"/>
  <c r="EN28" i="12"/>
  <c r="EP28" i="12" s="1"/>
  <c r="AN28" i="22" s="1"/>
  <c r="AM25" i="26" s="1"/>
  <c r="EN29" i="12"/>
  <c r="EP29" i="12" s="1"/>
  <c r="AN29" i="22" s="1"/>
  <c r="AM26" i="26" s="1"/>
  <c r="EN30" i="12"/>
  <c r="EP30" i="12" s="1"/>
  <c r="AN30" i="22" s="1"/>
  <c r="AM27" i="26" s="1"/>
  <c r="EN31" i="12"/>
  <c r="EP31" i="12" s="1"/>
  <c r="AN31" i="22" s="1"/>
  <c r="AM28" i="26" s="1"/>
  <c r="EN32" i="12"/>
  <c r="EP32" i="12" s="1"/>
  <c r="AN32" i="22" s="1"/>
  <c r="AM29" i="26" s="1"/>
  <c r="EN33" i="12"/>
  <c r="EP33" i="12" s="1"/>
  <c r="AN33" i="22" s="1"/>
  <c r="AM30" i="26" s="1"/>
  <c r="EN34" i="12"/>
  <c r="EP34" i="12" s="1"/>
  <c r="AN34" i="22" s="1"/>
  <c r="AM31" i="26" s="1"/>
  <c r="EN35" i="12"/>
  <c r="EP35" i="12" s="1"/>
  <c r="AN35" i="22" s="1"/>
  <c r="AM32" i="26" s="1"/>
  <c r="EN6" i="12"/>
  <c r="EP6" i="12" s="1"/>
  <c r="AN6" i="22" s="1"/>
  <c r="AM3" i="26" s="1"/>
  <c r="EI7" i="12"/>
  <c r="EK7" i="12" s="1"/>
  <c r="AM7" i="22" s="1"/>
  <c r="AL4" i="26" s="1"/>
  <c r="EI8" i="12"/>
  <c r="EK8" i="12" s="1"/>
  <c r="AM8" i="22" s="1"/>
  <c r="AL5" i="26" s="1"/>
  <c r="EI9" i="12"/>
  <c r="EK9" i="12" s="1"/>
  <c r="AM9" i="22" s="1"/>
  <c r="AL6" i="26" s="1"/>
  <c r="EI10" i="12"/>
  <c r="EK10" i="12" s="1"/>
  <c r="AM10" i="22" s="1"/>
  <c r="AL7" i="26" s="1"/>
  <c r="EI11" i="12"/>
  <c r="EK11" i="12" s="1"/>
  <c r="AM11" i="22" s="1"/>
  <c r="AL8" i="26" s="1"/>
  <c r="EI12" i="12"/>
  <c r="EK12" i="12" s="1"/>
  <c r="AM12" i="22" s="1"/>
  <c r="AL9" i="26" s="1"/>
  <c r="EI13" i="12"/>
  <c r="EK13" i="12" s="1"/>
  <c r="AM13" i="22" s="1"/>
  <c r="AL10" i="26" s="1"/>
  <c r="EI14" i="12"/>
  <c r="EK14" i="12" s="1"/>
  <c r="AM14" i="22" s="1"/>
  <c r="AL11" i="26" s="1"/>
  <c r="EI15" i="12"/>
  <c r="EK15" i="12" s="1"/>
  <c r="AM15" i="22" s="1"/>
  <c r="AL12" i="26" s="1"/>
  <c r="EI16" i="12"/>
  <c r="EI18" i="12"/>
  <c r="EK18" i="12" s="1"/>
  <c r="AM18" i="22" s="1"/>
  <c r="AL15" i="26" s="1"/>
  <c r="EI19" i="12"/>
  <c r="EK19" i="12" s="1"/>
  <c r="AM19" i="22" s="1"/>
  <c r="AL16" i="26" s="1"/>
  <c r="EI20" i="12"/>
  <c r="EK20" i="12" s="1"/>
  <c r="AM20" i="22" s="1"/>
  <c r="AL17" i="26" s="1"/>
  <c r="EI21" i="12"/>
  <c r="EK21" i="12" s="1"/>
  <c r="AM21" i="22" s="1"/>
  <c r="AL18" i="26" s="1"/>
  <c r="EI22" i="12"/>
  <c r="EK22" i="12" s="1"/>
  <c r="AM22" i="22" s="1"/>
  <c r="AL19" i="26" s="1"/>
  <c r="EI23" i="12"/>
  <c r="EK23" i="12" s="1"/>
  <c r="AM23" i="22" s="1"/>
  <c r="AL20" i="26" s="1"/>
  <c r="EI24" i="12"/>
  <c r="EK24" i="12" s="1"/>
  <c r="AM24" i="22" s="1"/>
  <c r="AL21" i="26" s="1"/>
  <c r="EI25" i="12"/>
  <c r="EK25" i="12" s="1"/>
  <c r="AM25" i="22" s="1"/>
  <c r="AL22" i="26" s="1"/>
  <c r="EI26" i="12"/>
  <c r="EK26" i="12" s="1"/>
  <c r="AM26" i="22" s="1"/>
  <c r="AL23" i="26" s="1"/>
  <c r="EI27" i="12"/>
  <c r="EK27" i="12" s="1"/>
  <c r="AM27" i="22" s="1"/>
  <c r="AL24" i="26" s="1"/>
  <c r="EI28" i="12"/>
  <c r="EK28" i="12" s="1"/>
  <c r="AM28" i="22" s="1"/>
  <c r="AL25" i="26" s="1"/>
  <c r="EI29" i="12"/>
  <c r="EK29" i="12" s="1"/>
  <c r="AM29" i="22" s="1"/>
  <c r="AL26" i="26" s="1"/>
  <c r="EI30" i="12"/>
  <c r="EK30" i="12" s="1"/>
  <c r="AM30" i="22" s="1"/>
  <c r="AL27" i="26" s="1"/>
  <c r="EI31" i="12"/>
  <c r="EK31" i="12" s="1"/>
  <c r="AM31" i="22" s="1"/>
  <c r="AL28" i="26" s="1"/>
  <c r="EI32" i="12"/>
  <c r="EK32" i="12" s="1"/>
  <c r="AM32" i="22" s="1"/>
  <c r="AL29" i="26" s="1"/>
  <c r="EI33" i="12"/>
  <c r="EK33" i="12" s="1"/>
  <c r="AM33" i="22" s="1"/>
  <c r="AL30" i="26" s="1"/>
  <c r="EI34" i="12"/>
  <c r="EK34" i="12" s="1"/>
  <c r="AM34" i="22" s="1"/>
  <c r="AL31" i="26" s="1"/>
  <c r="EI35" i="12"/>
  <c r="EK35" i="12" s="1"/>
  <c r="AM35" i="22" s="1"/>
  <c r="AL32" i="26" s="1"/>
  <c r="EI6" i="12"/>
  <c r="EK6" i="12" s="1"/>
  <c r="AM6" i="22" s="1"/>
  <c r="AL3" i="26" s="1"/>
  <c r="ED7" i="12"/>
  <c r="EF7" i="12" s="1"/>
  <c r="AL7" i="22" s="1"/>
  <c r="AK4" i="26" s="1"/>
  <c r="ED8" i="12"/>
  <c r="EF8" i="12" s="1"/>
  <c r="AL8" i="22" s="1"/>
  <c r="AK5" i="26" s="1"/>
  <c r="ED9" i="12"/>
  <c r="EF9" i="12" s="1"/>
  <c r="AL9" i="22" s="1"/>
  <c r="AK6" i="26" s="1"/>
  <c r="ED10" i="12"/>
  <c r="EF10" i="12" s="1"/>
  <c r="AL10" i="22" s="1"/>
  <c r="AK7" i="26" s="1"/>
  <c r="ED11" i="12"/>
  <c r="EF11" i="12" s="1"/>
  <c r="AL11" i="22" s="1"/>
  <c r="AK8" i="26" s="1"/>
  <c r="ED12" i="12"/>
  <c r="EF12" i="12" s="1"/>
  <c r="AL12" i="22" s="1"/>
  <c r="AK9" i="26" s="1"/>
  <c r="ED13" i="12"/>
  <c r="EF13" i="12" s="1"/>
  <c r="AL13" i="22" s="1"/>
  <c r="AK10" i="26" s="1"/>
  <c r="ED14" i="12"/>
  <c r="EF14" i="12" s="1"/>
  <c r="AL14" i="22" s="1"/>
  <c r="AK11" i="26" s="1"/>
  <c r="ED15" i="12"/>
  <c r="EF15" i="12" s="1"/>
  <c r="AL15" i="22" s="1"/>
  <c r="AK12" i="26" s="1"/>
  <c r="ED16" i="12"/>
  <c r="EF16" i="12" s="1"/>
  <c r="AL16" i="22" s="1"/>
  <c r="AK13" i="26" s="1"/>
  <c r="ED17" i="12"/>
  <c r="EF17" i="12" s="1"/>
  <c r="AL17" i="22" s="1"/>
  <c r="AK14" i="26" s="1"/>
  <c r="ED18" i="12"/>
  <c r="EF18" i="12" s="1"/>
  <c r="AL18" i="22" s="1"/>
  <c r="AK15" i="26" s="1"/>
  <c r="ED19" i="12"/>
  <c r="EF19" i="12" s="1"/>
  <c r="AL19" i="22" s="1"/>
  <c r="AK16" i="26" s="1"/>
  <c r="ED20" i="12"/>
  <c r="EF20" i="12" s="1"/>
  <c r="AL20" i="22" s="1"/>
  <c r="AK17" i="26" s="1"/>
  <c r="ED21" i="12"/>
  <c r="EF21" i="12" s="1"/>
  <c r="AL21" i="22" s="1"/>
  <c r="AK18" i="26" s="1"/>
  <c r="ED22" i="12"/>
  <c r="EF22" i="12" s="1"/>
  <c r="AL22" i="22" s="1"/>
  <c r="AK19" i="26" s="1"/>
  <c r="ED23" i="12"/>
  <c r="EF23" i="12" s="1"/>
  <c r="AL23" i="22" s="1"/>
  <c r="AK20" i="26" s="1"/>
  <c r="ED24" i="12"/>
  <c r="EF24" i="12" s="1"/>
  <c r="AL24" i="22" s="1"/>
  <c r="AK21" i="26" s="1"/>
  <c r="ED25" i="12"/>
  <c r="EF25" i="12" s="1"/>
  <c r="AL25" i="22" s="1"/>
  <c r="AK22" i="26" s="1"/>
  <c r="ED26" i="12"/>
  <c r="EF26" i="12" s="1"/>
  <c r="AL26" i="22" s="1"/>
  <c r="AK23" i="26" s="1"/>
  <c r="ED27" i="12"/>
  <c r="EF27" i="12" s="1"/>
  <c r="AL27" i="22" s="1"/>
  <c r="AK24" i="26" s="1"/>
  <c r="ED28" i="12"/>
  <c r="EF28" i="12" s="1"/>
  <c r="AL28" i="22" s="1"/>
  <c r="AK25" i="26" s="1"/>
  <c r="ED29" i="12"/>
  <c r="EF29" i="12" s="1"/>
  <c r="AL29" i="22" s="1"/>
  <c r="AK26" i="26" s="1"/>
  <c r="ED30" i="12"/>
  <c r="EF30" i="12" s="1"/>
  <c r="AL30" i="22" s="1"/>
  <c r="AK27" i="26" s="1"/>
  <c r="ED31" i="12"/>
  <c r="EF31" i="12" s="1"/>
  <c r="AL31" i="22" s="1"/>
  <c r="AK28" i="26" s="1"/>
  <c r="ED32" i="12"/>
  <c r="EF32" i="12" s="1"/>
  <c r="AL32" i="22" s="1"/>
  <c r="AK29" i="26" s="1"/>
  <c r="ED33" i="12"/>
  <c r="EF33" i="12" s="1"/>
  <c r="AL33" i="22" s="1"/>
  <c r="AK30" i="26" s="1"/>
  <c r="ED34" i="12"/>
  <c r="EF34" i="12" s="1"/>
  <c r="AL34" i="22" s="1"/>
  <c r="AK31" i="26" s="1"/>
  <c r="ED35" i="12"/>
  <c r="EF35" i="12" s="1"/>
  <c r="AL35" i="22" s="1"/>
  <c r="AK32" i="26" s="1"/>
  <c r="ED6" i="12"/>
  <c r="EF6" i="12" s="1"/>
  <c r="AL6" i="22" s="1"/>
  <c r="AK3" i="26" s="1"/>
  <c r="DY7" i="12"/>
  <c r="EA7" i="12" s="1"/>
  <c r="AK7" i="22" s="1"/>
  <c r="AJ4" i="26" s="1"/>
  <c r="DY8" i="12"/>
  <c r="EA8" i="12" s="1"/>
  <c r="AK8" i="22" s="1"/>
  <c r="AJ5" i="26" s="1"/>
  <c r="DY9" i="12"/>
  <c r="EA9" i="12" s="1"/>
  <c r="AK9" i="22" s="1"/>
  <c r="AJ6" i="26" s="1"/>
  <c r="DY10" i="12"/>
  <c r="EA10" i="12" s="1"/>
  <c r="AK10" i="22" s="1"/>
  <c r="AJ7" i="26" s="1"/>
  <c r="DY11" i="12"/>
  <c r="EA11" i="12" s="1"/>
  <c r="AK11" i="22" s="1"/>
  <c r="AJ8" i="26" s="1"/>
  <c r="DY12" i="12"/>
  <c r="EA12" i="12" s="1"/>
  <c r="AK12" i="22" s="1"/>
  <c r="AJ9" i="26" s="1"/>
  <c r="DY13" i="12"/>
  <c r="EA13" i="12" s="1"/>
  <c r="AK13" i="22" s="1"/>
  <c r="AJ10" i="26" s="1"/>
  <c r="DY14" i="12"/>
  <c r="EA14" i="12" s="1"/>
  <c r="AK14" i="22" s="1"/>
  <c r="AJ11" i="26" s="1"/>
  <c r="DY15" i="12"/>
  <c r="EA15" i="12" s="1"/>
  <c r="AK15" i="22" s="1"/>
  <c r="AJ12" i="26" s="1"/>
  <c r="DY16" i="12"/>
  <c r="EA16" i="12" s="1"/>
  <c r="AK16" i="22" s="1"/>
  <c r="AJ13" i="26" s="1"/>
  <c r="DY17" i="12"/>
  <c r="EA17" i="12" s="1"/>
  <c r="AK17" i="22" s="1"/>
  <c r="AJ14" i="26" s="1"/>
  <c r="DY18" i="12"/>
  <c r="EA18" i="12" s="1"/>
  <c r="AK18" i="22" s="1"/>
  <c r="AJ15" i="26" s="1"/>
  <c r="DY19" i="12"/>
  <c r="EA19" i="12" s="1"/>
  <c r="AK19" i="22" s="1"/>
  <c r="AJ16" i="26" s="1"/>
  <c r="DY20" i="12"/>
  <c r="EA20" i="12" s="1"/>
  <c r="AK20" i="22" s="1"/>
  <c r="AJ17" i="26" s="1"/>
  <c r="DY21" i="12"/>
  <c r="EA21" i="12" s="1"/>
  <c r="AK21" i="22" s="1"/>
  <c r="AJ18" i="26" s="1"/>
  <c r="DY22" i="12"/>
  <c r="EA22" i="12" s="1"/>
  <c r="AK22" i="22" s="1"/>
  <c r="AJ19" i="26" s="1"/>
  <c r="DY23" i="12"/>
  <c r="EA23" i="12" s="1"/>
  <c r="AK23" i="22" s="1"/>
  <c r="AJ20" i="26" s="1"/>
  <c r="DY24" i="12"/>
  <c r="EA24" i="12" s="1"/>
  <c r="AK24" i="22" s="1"/>
  <c r="AJ21" i="26" s="1"/>
  <c r="DY25" i="12"/>
  <c r="EA25" i="12" s="1"/>
  <c r="AK25" i="22" s="1"/>
  <c r="AJ22" i="26" s="1"/>
  <c r="DY26" i="12"/>
  <c r="EA26" i="12" s="1"/>
  <c r="AK26" i="22" s="1"/>
  <c r="AJ23" i="26" s="1"/>
  <c r="DY27" i="12"/>
  <c r="EA27" i="12" s="1"/>
  <c r="AK27" i="22" s="1"/>
  <c r="AJ24" i="26" s="1"/>
  <c r="DY28" i="12"/>
  <c r="EA28" i="12" s="1"/>
  <c r="AK28" i="22" s="1"/>
  <c r="AJ25" i="26" s="1"/>
  <c r="DY29" i="12"/>
  <c r="EA29" i="12" s="1"/>
  <c r="AK29" i="22" s="1"/>
  <c r="AJ26" i="26" s="1"/>
  <c r="DY30" i="12"/>
  <c r="EA30" i="12" s="1"/>
  <c r="AK30" i="22" s="1"/>
  <c r="AJ27" i="26" s="1"/>
  <c r="DY31" i="12"/>
  <c r="EA31" i="12" s="1"/>
  <c r="AK31" i="22" s="1"/>
  <c r="AJ28" i="26" s="1"/>
  <c r="DY32" i="12"/>
  <c r="EA32" i="12" s="1"/>
  <c r="AK32" i="22" s="1"/>
  <c r="AJ29" i="26" s="1"/>
  <c r="DY33" i="12"/>
  <c r="EA33" i="12" s="1"/>
  <c r="AK33" i="22" s="1"/>
  <c r="AJ30" i="26" s="1"/>
  <c r="DY34" i="12"/>
  <c r="EA34" i="12" s="1"/>
  <c r="AK34" i="22" s="1"/>
  <c r="AJ31" i="26" s="1"/>
  <c r="DY35" i="12"/>
  <c r="EA35" i="12" s="1"/>
  <c r="AK35" i="22" s="1"/>
  <c r="AJ32" i="26" s="1"/>
  <c r="DY6" i="12"/>
  <c r="EA6" i="12" s="1"/>
  <c r="AK6" i="22" s="1"/>
  <c r="AJ3" i="26" s="1"/>
  <c r="DT7" i="12"/>
  <c r="DV7" i="12" s="1"/>
  <c r="AJ7" i="22" s="1"/>
  <c r="AI4" i="26" s="1"/>
  <c r="DT8" i="12"/>
  <c r="DV8" i="12" s="1"/>
  <c r="AJ8" i="22" s="1"/>
  <c r="AI5" i="26" s="1"/>
  <c r="DT9" i="12"/>
  <c r="DV9" i="12" s="1"/>
  <c r="AJ9" i="22" s="1"/>
  <c r="AI6" i="26" s="1"/>
  <c r="DT10" i="12"/>
  <c r="DV10" i="12" s="1"/>
  <c r="AJ10" i="22" s="1"/>
  <c r="AI7" i="26" s="1"/>
  <c r="DT11" i="12"/>
  <c r="DV11" i="12" s="1"/>
  <c r="AJ11" i="22" s="1"/>
  <c r="AI8" i="26" s="1"/>
  <c r="DV12" i="12"/>
  <c r="AJ12" i="22" s="1"/>
  <c r="AI9" i="26" s="1"/>
  <c r="DT13" i="12"/>
  <c r="DV13" i="12" s="1"/>
  <c r="AJ13" i="22" s="1"/>
  <c r="AI10" i="26" s="1"/>
  <c r="DT14" i="12"/>
  <c r="DV14" i="12" s="1"/>
  <c r="AJ14" i="22" s="1"/>
  <c r="AI11" i="26" s="1"/>
  <c r="DT15" i="12"/>
  <c r="DV15" i="12" s="1"/>
  <c r="AJ15" i="22" s="1"/>
  <c r="AI12" i="26" s="1"/>
  <c r="DT16" i="12"/>
  <c r="DV16" i="12" s="1"/>
  <c r="AJ16" i="22" s="1"/>
  <c r="AI13" i="26" s="1"/>
  <c r="DT17" i="12"/>
  <c r="DV17" i="12" s="1"/>
  <c r="AJ17" i="22" s="1"/>
  <c r="AI14" i="26" s="1"/>
  <c r="DT18" i="12"/>
  <c r="DV18" i="12" s="1"/>
  <c r="AJ18" i="22" s="1"/>
  <c r="AI15" i="26" s="1"/>
  <c r="DT19" i="12"/>
  <c r="DV19" i="12" s="1"/>
  <c r="AJ19" i="22" s="1"/>
  <c r="AI16" i="26" s="1"/>
  <c r="DT20" i="12"/>
  <c r="DV20" i="12" s="1"/>
  <c r="AJ20" i="22" s="1"/>
  <c r="AI17" i="26" s="1"/>
  <c r="DT21" i="12"/>
  <c r="DV21" i="12" s="1"/>
  <c r="AJ21" i="22" s="1"/>
  <c r="AI18" i="26" s="1"/>
  <c r="DT22" i="12"/>
  <c r="DV22" i="12" s="1"/>
  <c r="AJ22" i="22" s="1"/>
  <c r="AI19" i="26" s="1"/>
  <c r="DT23" i="12"/>
  <c r="DV23" i="12" s="1"/>
  <c r="AJ23" i="22" s="1"/>
  <c r="AI20" i="26" s="1"/>
  <c r="DT24" i="12"/>
  <c r="DV24" i="12" s="1"/>
  <c r="AJ24" i="22" s="1"/>
  <c r="AI21" i="26" s="1"/>
  <c r="DT25" i="12"/>
  <c r="DV25" i="12" s="1"/>
  <c r="AJ25" i="22" s="1"/>
  <c r="AI22" i="26" s="1"/>
  <c r="DV26" i="12"/>
  <c r="AJ26" i="22" s="1"/>
  <c r="AI23" i="26" s="1"/>
  <c r="DT27" i="12"/>
  <c r="DV27" i="12" s="1"/>
  <c r="AJ27" i="22" s="1"/>
  <c r="AI24" i="26" s="1"/>
  <c r="DT28" i="12"/>
  <c r="DV28" i="12" s="1"/>
  <c r="AJ28" i="22" s="1"/>
  <c r="AI25" i="26" s="1"/>
  <c r="DT29" i="12"/>
  <c r="DV29" i="12" s="1"/>
  <c r="AJ29" i="22" s="1"/>
  <c r="AI26" i="26" s="1"/>
  <c r="DT30" i="12"/>
  <c r="DV30" i="12" s="1"/>
  <c r="AJ30" i="22" s="1"/>
  <c r="AI27" i="26" s="1"/>
  <c r="DT31" i="12"/>
  <c r="DV31" i="12" s="1"/>
  <c r="AJ31" i="22" s="1"/>
  <c r="AI28" i="26" s="1"/>
  <c r="DT32" i="12"/>
  <c r="DV32" i="12" s="1"/>
  <c r="AJ32" i="22" s="1"/>
  <c r="AI29" i="26" s="1"/>
  <c r="DT33" i="12"/>
  <c r="DV33" i="12" s="1"/>
  <c r="AJ33" i="22" s="1"/>
  <c r="AI30" i="26" s="1"/>
  <c r="DT34" i="12"/>
  <c r="DV34" i="12" s="1"/>
  <c r="AJ34" i="22" s="1"/>
  <c r="AI31" i="26" s="1"/>
  <c r="DT35" i="12"/>
  <c r="DV35" i="12" s="1"/>
  <c r="AJ35" i="22" s="1"/>
  <c r="AI32" i="26" s="1"/>
  <c r="DT6" i="12"/>
  <c r="DV6" i="12" s="1"/>
  <c r="AJ6" i="22" s="1"/>
  <c r="AI3" i="26" s="1"/>
  <c r="DO7" i="12"/>
  <c r="DQ7" i="12" s="1"/>
  <c r="AI7" i="22" s="1"/>
  <c r="AH4" i="26" s="1"/>
  <c r="DO8" i="12"/>
  <c r="DQ8" i="12" s="1"/>
  <c r="AI8" i="22" s="1"/>
  <c r="AH5" i="26" s="1"/>
  <c r="DO9" i="12"/>
  <c r="DQ9" i="12" s="1"/>
  <c r="AI9" i="22" s="1"/>
  <c r="AH6" i="26" s="1"/>
  <c r="DO10" i="12"/>
  <c r="DQ10" i="12" s="1"/>
  <c r="AI10" i="22" s="1"/>
  <c r="AH7" i="26" s="1"/>
  <c r="DO11" i="12"/>
  <c r="DQ11" i="12" s="1"/>
  <c r="AI11" i="22" s="1"/>
  <c r="AH8" i="26" s="1"/>
  <c r="DO12" i="12"/>
  <c r="DQ12" i="12" s="1"/>
  <c r="AI12" i="22" s="1"/>
  <c r="AH9" i="26" s="1"/>
  <c r="DO13" i="12"/>
  <c r="DQ13" i="12" s="1"/>
  <c r="AI13" i="22" s="1"/>
  <c r="AH10" i="26" s="1"/>
  <c r="DO14" i="12"/>
  <c r="DQ14" i="12" s="1"/>
  <c r="AI14" i="22" s="1"/>
  <c r="AH11" i="26" s="1"/>
  <c r="DO15" i="12"/>
  <c r="DQ15" i="12" s="1"/>
  <c r="AI15" i="22" s="1"/>
  <c r="AH12" i="26" s="1"/>
  <c r="DO19" i="12"/>
  <c r="DQ19" i="12" s="1"/>
  <c r="AI19" i="22" s="1"/>
  <c r="AH16" i="26" s="1"/>
  <c r="DO20" i="12"/>
  <c r="DQ20" i="12" s="1"/>
  <c r="AI20" i="22" s="1"/>
  <c r="AH17" i="26" s="1"/>
  <c r="DO21" i="12"/>
  <c r="DQ21" i="12" s="1"/>
  <c r="AI21" i="22" s="1"/>
  <c r="AH18" i="26" s="1"/>
  <c r="DO22" i="12"/>
  <c r="DQ22" i="12" s="1"/>
  <c r="AI22" i="22" s="1"/>
  <c r="AH19" i="26" s="1"/>
  <c r="DO23" i="12"/>
  <c r="DQ23" i="12" s="1"/>
  <c r="AI23" i="22" s="1"/>
  <c r="AH20" i="26" s="1"/>
  <c r="DO24" i="12"/>
  <c r="DQ24" i="12" s="1"/>
  <c r="AI24" i="22" s="1"/>
  <c r="AH21" i="26" s="1"/>
  <c r="DO25" i="12"/>
  <c r="DQ25" i="12" s="1"/>
  <c r="AI25" i="22" s="1"/>
  <c r="AH22" i="26" s="1"/>
  <c r="DO26" i="12"/>
  <c r="DQ26" i="12" s="1"/>
  <c r="AI26" i="22" s="1"/>
  <c r="AH23" i="26" s="1"/>
  <c r="DO27" i="12"/>
  <c r="DQ27" i="12" s="1"/>
  <c r="AI27" i="22" s="1"/>
  <c r="AH24" i="26" s="1"/>
  <c r="DO28" i="12"/>
  <c r="DQ28" i="12" s="1"/>
  <c r="AI28" i="22" s="1"/>
  <c r="AH25" i="26" s="1"/>
  <c r="DO29" i="12"/>
  <c r="DQ29" i="12" s="1"/>
  <c r="AI29" i="22" s="1"/>
  <c r="AH26" i="26" s="1"/>
  <c r="DO30" i="12"/>
  <c r="DQ30" i="12" s="1"/>
  <c r="AI30" i="22" s="1"/>
  <c r="AH27" i="26" s="1"/>
  <c r="DO31" i="12"/>
  <c r="DQ31" i="12" s="1"/>
  <c r="AI31" i="22" s="1"/>
  <c r="AH28" i="26" s="1"/>
  <c r="DO32" i="12"/>
  <c r="DQ32" i="12" s="1"/>
  <c r="AI32" i="22" s="1"/>
  <c r="AH29" i="26" s="1"/>
  <c r="DO33" i="12"/>
  <c r="DQ33" i="12" s="1"/>
  <c r="AI33" i="22" s="1"/>
  <c r="AH30" i="26" s="1"/>
  <c r="DO34" i="12"/>
  <c r="DQ34" i="12" s="1"/>
  <c r="AI34" i="22" s="1"/>
  <c r="AH31" i="26" s="1"/>
  <c r="DO35" i="12"/>
  <c r="DQ35" i="12" s="1"/>
  <c r="AI35" i="22" s="1"/>
  <c r="AH32" i="26" s="1"/>
  <c r="DO6" i="12"/>
  <c r="DQ6" i="12" s="1"/>
  <c r="AI6" i="22" s="1"/>
  <c r="AH3" i="26" s="1"/>
  <c r="DJ7" i="12"/>
  <c r="DL7" i="12" s="1"/>
  <c r="AH7" i="22" s="1"/>
  <c r="AG4" i="26" s="1"/>
  <c r="DJ8" i="12"/>
  <c r="DL8" i="12" s="1"/>
  <c r="AH8" i="22" s="1"/>
  <c r="AG5" i="26" s="1"/>
  <c r="DJ9" i="12"/>
  <c r="DL9" i="12" s="1"/>
  <c r="AH9" i="22" s="1"/>
  <c r="AG6" i="26" s="1"/>
  <c r="DJ10" i="12"/>
  <c r="DL10" i="12" s="1"/>
  <c r="AH10" i="22" s="1"/>
  <c r="AG7" i="26" s="1"/>
  <c r="DJ11" i="12"/>
  <c r="DL11" i="12" s="1"/>
  <c r="AH11" i="22" s="1"/>
  <c r="AG8" i="26" s="1"/>
  <c r="DJ12" i="12"/>
  <c r="DL12" i="12" s="1"/>
  <c r="AH12" i="22" s="1"/>
  <c r="AG9" i="26" s="1"/>
  <c r="DJ13" i="12"/>
  <c r="DL13" i="12" s="1"/>
  <c r="AH13" i="22" s="1"/>
  <c r="AG10" i="26" s="1"/>
  <c r="DJ14" i="12"/>
  <c r="DL14" i="12" s="1"/>
  <c r="AH14" i="22" s="1"/>
  <c r="AG11" i="26" s="1"/>
  <c r="DJ15" i="12"/>
  <c r="DL15" i="12" s="1"/>
  <c r="AH15" i="22" s="1"/>
  <c r="AG12" i="26" s="1"/>
  <c r="DJ20" i="12"/>
  <c r="DL20" i="12" s="1"/>
  <c r="AH20" i="22" s="1"/>
  <c r="AG17" i="26" s="1"/>
  <c r="DJ21" i="12"/>
  <c r="DL21" i="12" s="1"/>
  <c r="AH21" i="22" s="1"/>
  <c r="AG18" i="26" s="1"/>
  <c r="DJ22" i="12"/>
  <c r="DL22" i="12" s="1"/>
  <c r="AH22" i="22" s="1"/>
  <c r="AG19" i="26" s="1"/>
  <c r="DJ23" i="12"/>
  <c r="DL23" i="12" s="1"/>
  <c r="AH23" i="22" s="1"/>
  <c r="AG20" i="26" s="1"/>
  <c r="DJ24" i="12"/>
  <c r="DL24" i="12" s="1"/>
  <c r="AH24" i="22" s="1"/>
  <c r="AG21" i="26" s="1"/>
  <c r="DJ25" i="12"/>
  <c r="DL25" i="12" s="1"/>
  <c r="AH25" i="22" s="1"/>
  <c r="AG22" i="26" s="1"/>
  <c r="DJ26" i="12"/>
  <c r="DL26" i="12" s="1"/>
  <c r="AH26" i="22" s="1"/>
  <c r="AG23" i="26" s="1"/>
  <c r="DJ27" i="12"/>
  <c r="DL27" i="12" s="1"/>
  <c r="AH27" i="22" s="1"/>
  <c r="AG24" i="26" s="1"/>
  <c r="DJ28" i="12"/>
  <c r="DL28" i="12" s="1"/>
  <c r="AH28" i="22" s="1"/>
  <c r="AG25" i="26" s="1"/>
  <c r="DJ29" i="12"/>
  <c r="DL29" i="12" s="1"/>
  <c r="AH29" i="22" s="1"/>
  <c r="AG26" i="26" s="1"/>
  <c r="DJ30" i="12"/>
  <c r="DL30" i="12" s="1"/>
  <c r="AH30" i="22" s="1"/>
  <c r="AG27" i="26" s="1"/>
  <c r="DJ31" i="12"/>
  <c r="DL31" i="12" s="1"/>
  <c r="AH31" i="22" s="1"/>
  <c r="AG28" i="26" s="1"/>
  <c r="DJ32" i="12"/>
  <c r="DL32" i="12" s="1"/>
  <c r="AH32" i="22" s="1"/>
  <c r="AG29" i="26" s="1"/>
  <c r="DJ33" i="12"/>
  <c r="DL33" i="12" s="1"/>
  <c r="AH33" i="22" s="1"/>
  <c r="AG30" i="26" s="1"/>
  <c r="DJ34" i="12"/>
  <c r="DL34" i="12" s="1"/>
  <c r="AH34" i="22" s="1"/>
  <c r="AG31" i="26" s="1"/>
  <c r="DJ35" i="12"/>
  <c r="DL35" i="12" s="1"/>
  <c r="AH35" i="22" s="1"/>
  <c r="AG32" i="26" s="1"/>
  <c r="DJ6" i="12"/>
  <c r="DL6" i="12" s="1"/>
  <c r="AH6" i="22" s="1"/>
  <c r="AG3" i="26" s="1"/>
  <c r="DE7" i="12"/>
  <c r="DG7" i="12" s="1"/>
  <c r="AG7" i="22" s="1"/>
  <c r="AF4" i="26" s="1"/>
  <c r="DE8" i="12"/>
  <c r="DG8" i="12" s="1"/>
  <c r="AG8" i="22" s="1"/>
  <c r="AF5" i="26" s="1"/>
  <c r="DE9" i="12"/>
  <c r="DG9" i="12" s="1"/>
  <c r="AG9" i="22" s="1"/>
  <c r="AF6" i="26" s="1"/>
  <c r="DE10" i="12"/>
  <c r="DG10" i="12" s="1"/>
  <c r="AG10" i="22" s="1"/>
  <c r="AF7" i="26" s="1"/>
  <c r="DE11" i="12"/>
  <c r="DG11" i="12" s="1"/>
  <c r="AG11" i="22" s="1"/>
  <c r="AF8" i="26" s="1"/>
  <c r="DE12" i="12"/>
  <c r="DG12" i="12" s="1"/>
  <c r="AG12" i="22" s="1"/>
  <c r="AF9" i="26" s="1"/>
  <c r="DE13" i="12"/>
  <c r="DG13" i="12" s="1"/>
  <c r="AG13" i="22" s="1"/>
  <c r="AF10" i="26" s="1"/>
  <c r="DE14" i="12"/>
  <c r="DG14" i="12" s="1"/>
  <c r="AG14" i="22" s="1"/>
  <c r="AF11" i="26" s="1"/>
  <c r="DE15" i="12"/>
  <c r="DG15" i="12" s="1"/>
  <c r="AG15" i="22" s="1"/>
  <c r="AF12" i="26" s="1"/>
  <c r="DE20" i="12"/>
  <c r="DG20" i="12" s="1"/>
  <c r="AG20" i="22" s="1"/>
  <c r="AF17" i="26" s="1"/>
  <c r="DE21" i="12"/>
  <c r="DG21" i="12" s="1"/>
  <c r="AG21" i="22" s="1"/>
  <c r="AF18" i="26" s="1"/>
  <c r="DE22" i="12"/>
  <c r="DG22" i="12" s="1"/>
  <c r="AG22" i="22" s="1"/>
  <c r="AF19" i="26" s="1"/>
  <c r="DE23" i="12"/>
  <c r="DG23" i="12" s="1"/>
  <c r="AG23" i="22" s="1"/>
  <c r="AF20" i="26" s="1"/>
  <c r="DE24" i="12"/>
  <c r="DG24" i="12" s="1"/>
  <c r="AG24" i="22" s="1"/>
  <c r="AF21" i="26" s="1"/>
  <c r="DE25" i="12"/>
  <c r="DG25" i="12" s="1"/>
  <c r="AG25" i="22" s="1"/>
  <c r="AF22" i="26" s="1"/>
  <c r="DE26" i="12"/>
  <c r="DG26" i="12" s="1"/>
  <c r="AG26" i="22" s="1"/>
  <c r="AF23" i="26" s="1"/>
  <c r="DE27" i="12"/>
  <c r="DG27" i="12" s="1"/>
  <c r="AG27" i="22" s="1"/>
  <c r="AF24" i="26" s="1"/>
  <c r="DE28" i="12"/>
  <c r="DG28" i="12" s="1"/>
  <c r="AG28" i="22" s="1"/>
  <c r="AF25" i="26" s="1"/>
  <c r="DE29" i="12"/>
  <c r="DG29" i="12" s="1"/>
  <c r="AG29" i="22" s="1"/>
  <c r="AF26" i="26" s="1"/>
  <c r="DE30" i="12"/>
  <c r="DG30" i="12" s="1"/>
  <c r="AG30" i="22" s="1"/>
  <c r="AF27" i="26" s="1"/>
  <c r="DE31" i="12"/>
  <c r="DG31" i="12" s="1"/>
  <c r="AG31" i="22" s="1"/>
  <c r="AF28" i="26" s="1"/>
  <c r="DE32" i="12"/>
  <c r="DG32" i="12" s="1"/>
  <c r="AG32" i="22" s="1"/>
  <c r="AF29" i="26" s="1"/>
  <c r="DE33" i="12"/>
  <c r="DG33" i="12" s="1"/>
  <c r="AG33" i="22" s="1"/>
  <c r="AF30" i="26" s="1"/>
  <c r="DE34" i="12"/>
  <c r="DG34" i="12" s="1"/>
  <c r="AG34" i="22" s="1"/>
  <c r="AF31" i="26" s="1"/>
  <c r="DE35" i="12"/>
  <c r="DG35" i="12" s="1"/>
  <c r="AG35" i="22" s="1"/>
  <c r="AF32" i="26" s="1"/>
  <c r="DE6" i="12"/>
  <c r="DG6" i="12" s="1"/>
  <c r="AG6" i="22" s="1"/>
  <c r="AF3" i="26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CZ14" i="12"/>
  <c r="DB14" i="12" s="1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CZ31" i="12"/>
  <c r="DB31" i="12" s="1"/>
  <c r="CZ32" i="12"/>
  <c r="DB32" i="12" s="1"/>
  <c r="CZ33" i="12"/>
  <c r="DB33" i="12" s="1"/>
  <c r="CZ34" i="12"/>
  <c r="DB34" i="12" s="1"/>
  <c r="CZ35" i="12"/>
  <c r="DB35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33" i="12"/>
  <c r="CW33" i="12" s="1"/>
  <c r="CU34" i="12"/>
  <c r="CW34" i="12" s="1"/>
  <c r="CU35" i="12"/>
  <c r="CW35" i="12" s="1"/>
  <c r="CU6" i="12"/>
  <c r="CW6" i="12" s="1"/>
  <c r="CR7" i="12"/>
  <c r="AD7" i="22" s="1"/>
  <c r="AC4" i="26" s="1"/>
  <c r="CP8" i="12"/>
  <c r="CR8" i="12" s="1"/>
  <c r="AD8" i="22" s="1"/>
  <c r="AC5" i="26" s="1"/>
  <c r="CP9" i="12"/>
  <c r="CR9" i="12" s="1"/>
  <c r="AD9" i="22" s="1"/>
  <c r="AC6" i="26" s="1"/>
  <c r="CP10" i="12"/>
  <c r="CR10" i="12" s="1"/>
  <c r="AD10" i="22" s="1"/>
  <c r="AC7" i="26" s="1"/>
  <c r="CP11" i="12"/>
  <c r="CR11" i="12" s="1"/>
  <c r="AD11" i="22" s="1"/>
  <c r="AC8" i="26" s="1"/>
  <c r="CP12" i="12"/>
  <c r="CR12" i="12" s="1"/>
  <c r="AD12" i="22" s="1"/>
  <c r="AC9" i="26" s="1"/>
  <c r="CP13" i="12"/>
  <c r="CR13" i="12" s="1"/>
  <c r="AD13" i="22" s="1"/>
  <c r="AC10" i="26" s="1"/>
  <c r="CP14" i="12"/>
  <c r="CR14" i="12" s="1"/>
  <c r="AD14" i="22" s="1"/>
  <c r="AC11" i="26" s="1"/>
  <c r="CP15" i="12"/>
  <c r="CR15" i="12" s="1"/>
  <c r="AD15" i="22" s="1"/>
  <c r="AC12" i="26" s="1"/>
  <c r="CP19" i="12"/>
  <c r="CR19" i="12" s="1"/>
  <c r="AD19" i="22" s="1"/>
  <c r="AC16" i="26" s="1"/>
  <c r="CP20" i="12"/>
  <c r="CR20" i="12" s="1"/>
  <c r="AD20" i="22" s="1"/>
  <c r="AC17" i="26" s="1"/>
  <c r="CP21" i="12"/>
  <c r="CR21" i="12" s="1"/>
  <c r="AD21" i="22" s="1"/>
  <c r="AC18" i="26" s="1"/>
  <c r="CP22" i="12"/>
  <c r="CR22" i="12" s="1"/>
  <c r="AD22" i="22" s="1"/>
  <c r="AC19" i="26" s="1"/>
  <c r="CP23" i="12"/>
  <c r="CR23" i="12" s="1"/>
  <c r="AD23" i="22" s="1"/>
  <c r="AC20" i="26" s="1"/>
  <c r="CP24" i="12"/>
  <c r="CR24" i="12" s="1"/>
  <c r="AD24" i="22" s="1"/>
  <c r="AC21" i="26" s="1"/>
  <c r="CP25" i="12"/>
  <c r="CR25" i="12" s="1"/>
  <c r="AD25" i="22" s="1"/>
  <c r="AC22" i="26" s="1"/>
  <c r="CP26" i="12"/>
  <c r="CR26" i="12" s="1"/>
  <c r="AD26" i="22" s="1"/>
  <c r="AC23" i="26" s="1"/>
  <c r="CP27" i="12"/>
  <c r="CR27" i="12" s="1"/>
  <c r="AD27" i="22" s="1"/>
  <c r="AC24" i="26" s="1"/>
  <c r="CP28" i="12"/>
  <c r="CR28" i="12" s="1"/>
  <c r="AD28" i="22" s="1"/>
  <c r="AC25" i="26" s="1"/>
  <c r="CP29" i="12"/>
  <c r="CR29" i="12" s="1"/>
  <c r="AD29" i="22" s="1"/>
  <c r="AC26" i="26" s="1"/>
  <c r="CP30" i="12"/>
  <c r="CR30" i="12" s="1"/>
  <c r="AD30" i="22" s="1"/>
  <c r="AC27" i="26" s="1"/>
  <c r="CP31" i="12"/>
  <c r="CR31" i="12" s="1"/>
  <c r="AD31" i="22" s="1"/>
  <c r="AC28" i="26" s="1"/>
  <c r="CP32" i="12"/>
  <c r="CR32" i="12" s="1"/>
  <c r="AD32" i="22" s="1"/>
  <c r="AC29" i="26" s="1"/>
  <c r="CP33" i="12"/>
  <c r="CR33" i="12" s="1"/>
  <c r="AD33" i="22" s="1"/>
  <c r="AC30" i="26" s="1"/>
  <c r="CP34" i="12"/>
  <c r="CR34" i="12" s="1"/>
  <c r="AD34" i="22" s="1"/>
  <c r="AC31" i="26" s="1"/>
  <c r="CP35" i="12"/>
  <c r="CR35" i="12" s="1"/>
  <c r="AD35" i="22" s="1"/>
  <c r="AC32" i="26" s="1"/>
  <c r="CP6" i="12"/>
  <c r="CR6" i="12" s="1"/>
  <c r="AD6" i="22" s="1"/>
  <c r="AC3" i="26" s="1"/>
  <c r="CK7" i="12"/>
  <c r="CM7" i="12" s="1"/>
  <c r="AC7" i="22" s="1"/>
  <c r="AB4" i="26" s="1"/>
  <c r="CK8" i="12"/>
  <c r="CM8" i="12" s="1"/>
  <c r="AC8" i="22" s="1"/>
  <c r="AB5" i="26" s="1"/>
  <c r="CK9" i="12"/>
  <c r="CM9" i="12" s="1"/>
  <c r="AC9" i="22" s="1"/>
  <c r="AB6" i="26" s="1"/>
  <c r="CK10" i="12"/>
  <c r="CM10" i="12" s="1"/>
  <c r="AC10" i="22" s="1"/>
  <c r="AB7" i="26" s="1"/>
  <c r="CK11" i="12"/>
  <c r="CM11" i="12" s="1"/>
  <c r="AC11" i="22" s="1"/>
  <c r="AB8" i="26" s="1"/>
  <c r="CK12" i="12"/>
  <c r="CM12" i="12" s="1"/>
  <c r="AC12" i="22" s="1"/>
  <c r="AB9" i="26" s="1"/>
  <c r="CK13" i="12"/>
  <c r="CM13" i="12" s="1"/>
  <c r="AC13" i="22" s="1"/>
  <c r="AB10" i="26" s="1"/>
  <c r="CK14" i="12"/>
  <c r="CM14" i="12" s="1"/>
  <c r="AC14" i="22" s="1"/>
  <c r="AB11" i="26" s="1"/>
  <c r="CK15" i="12"/>
  <c r="CM15" i="12" s="1"/>
  <c r="AC15" i="22" s="1"/>
  <c r="AB12" i="26" s="1"/>
  <c r="CM16" i="12"/>
  <c r="AC16" i="22" s="1"/>
  <c r="AB13" i="26" s="1"/>
  <c r="CM18" i="12"/>
  <c r="AC18" i="22" s="1"/>
  <c r="AB15" i="26" s="1"/>
  <c r="CM20" i="12"/>
  <c r="AC20" i="22" s="1"/>
  <c r="AB17" i="26" s="1"/>
  <c r="CK21" i="12"/>
  <c r="CM21" i="12" s="1"/>
  <c r="AC21" i="22" s="1"/>
  <c r="AB18" i="26" s="1"/>
  <c r="CK22" i="12"/>
  <c r="CM22" i="12" s="1"/>
  <c r="AC22" i="22" s="1"/>
  <c r="AB19" i="26" s="1"/>
  <c r="CK23" i="12"/>
  <c r="CK24" i="12"/>
  <c r="CK25" i="12"/>
  <c r="CM25" i="12" s="1"/>
  <c r="AC25" i="22" s="1"/>
  <c r="AB22" i="26" s="1"/>
  <c r="CK26" i="12"/>
  <c r="CM26" i="12" s="1"/>
  <c r="AC26" i="22" s="1"/>
  <c r="AB23" i="26" s="1"/>
  <c r="CK27" i="12"/>
  <c r="CM27" i="12" s="1"/>
  <c r="AC27" i="22" s="1"/>
  <c r="AB24" i="26" s="1"/>
  <c r="CK28" i="12"/>
  <c r="CM28" i="12" s="1"/>
  <c r="AC28" i="22" s="1"/>
  <c r="AB25" i="26" s="1"/>
  <c r="CK29" i="12"/>
  <c r="CM29" i="12" s="1"/>
  <c r="AC29" i="22" s="1"/>
  <c r="AB26" i="26" s="1"/>
  <c r="CK30" i="12"/>
  <c r="CM30" i="12" s="1"/>
  <c r="AC30" i="22" s="1"/>
  <c r="AB27" i="26" s="1"/>
  <c r="CK31" i="12"/>
  <c r="CM31" i="12" s="1"/>
  <c r="AC31" i="22" s="1"/>
  <c r="AB28" i="26" s="1"/>
  <c r="CK32" i="12"/>
  <c r="CM32" i="12" s="1"/>
  <c r="AC32" i="22" s="1"/>
  <c r="AB29" i="26" s="1"/>
  <c r="CK33" i="12"/>
  <c r="CM33" i="12" s="1"/>
  <c r="AC33" i="22" s="1"/>
  <c r="AB30" i="26" s="1"/>
  <c r="CK34" i="12"/>
  <c r="CM34" i="12" s="1"/>
  <c r="AC34" i="22" s="1"/>
  <c r="AB31" i="26" s="1"/>
  <c r="CK35" i="12"/>
  <c r="CM35" i="12" s="1"/>
  <c r="AC35" i="22" s="1"/>
  <c r="AB32" i="26" s="1"/>
  <c r="CK6" i="12"/>
  <c r="CM6" i="12" s="1"/>
  <c r="AC6" i="22" s="1"/>
  <c r="AB3" i="26" s="1"/>
  <c r="CF7" i="12"/>
  <c r="CH7" i="12" s="1"/>
  <c r="AB7" i="22" s="1"/>
  <c r="AA4" i="26" s="1"/>
  <c r="CF8" i="12"/>
  <c r="CH8" i="12" s="1"/>
  <c r="AB8" i="22" s="1"/>
  <c r="AA5" i="26" s="1"/>
  <c r="CF9" i="12"/>
  <c r="CH9" i="12" s="1"/>
  <c r="AB9" i="22" s="1"/>
  <c r="AA6" i="26" s="1"/>
  <c r="CF10" i="12"/>
  <c r="CH10" i="12" s="1"/>
  <c r="AB10" i="22" s="1"/>
  <c r="AA7" i="26" s="1"/>
  <c r="CF11" i="12"/>
  <c r="CH11" i="12" s="1"/>
  <c r="AB11" i="22" s="1"/>
  <c r="AA8" i="26" s="1"/>
  <c r="CF12" i="12"/>
  <c r="CH12" i="12" s="1"/>
  <c r="AB12" i="22" s="1"/>
  <c r="AA9" i="26" s="1"/>
  <c r="CF13" i="12"/>
  <c r="CH13" i="12" s="1"/>
  <c r="AB13" i="22" s="1"/>
  <c r="AA10" i="26" s="1"/>
  <c r="CF14" i="12"/>
  <c r="CH14" i="12" s="1"/>
  <c r="AB14" i="22" s="1"/>
  <c r="AA11" i="26" s="1"/>
  <c r="CF15" i="12"/>
  <c r="CH15" i="12" s="1"/>
  <c r="AB15" i="22" s="1"/>
  <c r="AA12" i="26" s="1"/>
  <c r="CF16" i="12"/>
  <c r="CH16" i="12" s="1"/>
  <c r="AB16" i="22" s="1"/>
  <c r="AA13" i="26" s="1"/>
  <c r="CH17" i="12"/>
  <c r="AB17" i="22" s="1"/>
  <c r="AA14" i="26" s="1"/>
  <c r="CF22" i="12"/>
  <c r="CH22" i="12" s="1"/>
  <c r="AB22" i="22" s="1"/>
  <c r="AA19" i="26" s="1"/>
  <c r="CF23" i="12"/>
  <c r="CH23" i="12" s="1"/>
  <c r="AB23" i="22" s="1"/>
  <c r="AA20" i="26" s="1"/>
  <c r="CF24" i="12"/>
  <c r="CH24" i="12" s="1"/>
  <c r="AB24" i="22" s="1"/>
  <c r="AA21" i="26" s="1"/>
  <c r="CF25" i="12"/>
  <c r="CH25" i="12" s="1"/>
  <c r="AB25" i="22" s="1"/>
  <c r="AA22" i="26" s="1"/>
  <c r="CF26" i="12"/>
  <c r="CH26" i="12" s="1"/>
  <c r="AB26" i="22" s="1"/>
  <c r="AA23" i="26" s="1"/>
  <c r="CF27" i="12"/>
  <c r="CH27" i="12" s="1"/>
  <c r="AB27" i="22" s="1"/>
  <c r="AA24" i="26" s="1"/>
  <c r="CF28" i="12"/>
  <c r="CH28" i="12" s="1"/>
  <c r="AB28" i="22" s="1"/>
  <c r="AA25" i="26" s="1"/>
  <c r="CF29" i="12"/>
  <c r="CH29" i="12" s="1"/>
  <c r="AB29" i="22" s="1"/>
  <c r="AA26" i="26" s="1"/>
  <c r="CF30" i="12"/>
  <c r="CH30" i="12" s="1"/>
  <c r="AB30" i="22" s="1"/>
  <c r="AA27" i="26" s="1"/>
  <c r="CF31" i="12"/>
  <c r="CH31" i="12" s="1"/>
  <c r="AB31" i="22" s="1"/>
  <c r="AA28" i="26" s="1"/>
  <c r="CF32" i="12"/>
  <c r="CH32" i="12" s="1"/>
  <c r="AB32" i="22" s="1"/>
  <c r="AA29" i="26" s="1"/>
  <c r="CF33" i="12"/>
  <c r="CH33" i="12" s="1"/>
  <c r="AB33" i="22" s="1"/>
  <c r="AA30" i="26" s="1"/>
  <c r="CF34" i="12"/>
  <c r="CH34" i="12" s="1"/>
  <c r="AB34" i="22" s="1"/>
  <c r="AA31" i="26" s="1"/>
  <c r="CF35" i="12"/>
  <c r="CH35" i="12" s="1"/>
  <c r="AB35" i="22" s="1"/>
  <c r="AA32" i="26" s="1"/>
  <c r="CF6" i="12"/>
  <c r="CH6" i="12" s="1"/>
  <c r="AB6" i="22" s="1"/>
  <c r="AA3" i="26" s="1"/>
  <c r="CA7" i="12"/>
  <c r="CC7" i="12" s="1"/>
  <c r="AA7" i="22" s="1"/>
  <c r="Z4" i="26" s="1"/>
  <c r="CA8" i="12"/>
  <c r="CC8" i="12" s="1"/>
  <c r="AA8" i="22" s="1"/>
  <c r="Z5" i="26" s="1"/>
  <c r="CA9" i="12"/>
  <c r="CC9" i="12" s="1"/>
  <c r="AA9" i="22" s="1"/>
  <c r="Z6" i="26" s="1"/>
  <c r="CA10" i="12"/>
  <c r="CC10" i="12" s="1"/>
  <c r="AA10" i="22" s="1"/>
  <c r="Z7" i="26" s="1"/>
  <c r="CA11" i="12"/>
  <c r="CC11" i="12" s="1"/>
  <c r="AA11" i="22" s="1"/>
  <c r="Z8" i="26" s="1"/>
  <c r="CA12" i="12"/>
  <c r="CC12" i="12" s="1"/>
  <c r="AA12" i="22" s="1"/>
  <c r="Z9" i="26" s="1"/>
  <c r="CA13" i="12"/>
  <c r="CC13" i="12" s="1"/>
  <c r="AA13" i="22" s="1"/>
  <c r="Z10" i="26" s="1"/>
  <c r="CA14" i="12"/>
  <c r="CC14" i="12" s="1"/>
  <c r="AA14" i="22" s="1"/>
  <c r="Z11" i="26" s="1"/>
  <c r="CA15" i="12"/>
  <c r="CC15" i="12" s="1"/>
  <c r="AA15" i="22" s="1"/>
  <c r="Z12" i="26" s="1"/>
  <c r="CC18" i="12"/>
  <c r="AA18" i="22" s="1"/>
  <c r="Z15" i="26" s="1"/>
  <c r="CA20" i="12"/>
  <c r="CC20" i="12" s="1"/>
  <c r="AA20" i="22" s="1"/>
  <c r="Z17" i="26" s="1"/>
  <c r="CA21" i="12"/>
  <c r="CC21" i="12" s="1"/>
  <c r="AA21" i="22" s="1"/>
  <c r="Z18" i="26" s="1"/>
  <c r="CA22" i="12"/>
  <c r="CC22" i="12" s="1"/>
  <c r="AA22" i="22" s="1"/>
  <c r="Z19" i="26" s="1"/>
  <c r="CA23" i="12"/>
  <c r="CC23" i="12" s="1"/>
  <c r="AA23" i="22" s="1"/>
  <c r="Z20" i="26" s="1"/>
  <c r="CA24" i="12"/>
  <c r="CC24" i="12" s="1"/>
  <c r="AA24" i="22" s="1"/>
  <c r="Z21" i="26" s="1"/>
  <c r="CA25" i="12"/>
  <c r="CC25" i="12" s="1"/>
  <c r="AA25" i="22" s="1"/>
  <c r="Z22" i="26" s="1"/>
  <c r="CA26" i="12"/>
  <c r="CC26" i="12" s="1"/>
  <c r="AA26" i="22" s="1"/>
  <c r="Z23" i="26" s="1"/>
  <c r="CA27" i="12"/>
  <c r="CC27" i="12" s="1"/>
  <c r="AA27" i="22" s="1"/>
  <c r="Z24" i="26" s="1"/>
  <c r="CA28" i="12"/>
  <c r="CC28" i="12" s="1"/>
  <c r="AA28" i="22" s="1"/>
  <c r="Z25" i="26" s="1"/>
  <c r="CA29" i="12"/>
  <c r="CC29" i="12" s="1"/>
  <c r="AA29" i="22" s="1"/>
  <c r="Z26" i="26" s="1"/>
  <c r="CA30" i="12"/>
  <c r="CC30" i="12" s="1"/>
  <c r="AA30" i="22" s="1"/>
  <c r="Z27" i="26" s="1"/>
  <c r="CA31" i="12"/>
  <c r="CC31" i="12" s="1"/>
  <c r="AA31" i="22" s="1"/>
  <c r="Z28" i="26" s="1"/>
  <c r="CA32" i="12"/>
  <c r="CC32" i="12" s="1"/>
  <c r="AA32" i="22" s="1"/>
  <c r="Z29" i="26" s="1"/>
  <c r="CA33" i="12"/>
  <c r="CC33" i="12" s="1"/>
  <c r="AA33" i="22" s="1"/>
  <c r="Z30" i="26" s="1"/>
  <c r="CA34" i="12"/>
  <c r="CC34" i="12" s="1"/>
  <c r="AA34" i="22" s="1"/>
  <c r="Z31" i="26" s="1"/>
  <c r="CA35" i="12"/>
  <c r="CC35" i="12" s="1"/>
  <c r="AA35" i="22" s="1"/>
  <c r="Z32" i="26" s="1"/>
  <c r="CA6" i="12"/>
  <c r="CC6" i="12" s="1"/>
  <c r="BV7" i="12"/>
  <c r="BX7" i="12" s="1"/>
  <c r="Z7" i="22" s="1"/>
  <c r="Y4" i="26" s="1"/>
  <c r="BV8" i="12"/>
  <c r="BX8" i="12" s="1"/>
  <c r="Z8" i="22" s="1"/>
  <c r="Y5" i="26" s="1"/>
  <c r="BV9" i="12"/>
  <c r="BX9" i="12" s="1"/>
  <c r="Z9" i="22" s="1"/>
  <c r="Y6" i="26" s="1"/>
  <c r="BV10" i="12"/>
  <c r="BX10" i="12" s="1"/>
  <c r="Z10" i="22" s="1"/>
  <c r="Y7" i="26" s="1"/>
  <c r="BV11" i="12"/>
  <c r="BX11" i="12" s="1"/>
  <c r="Z11" i="22" s="1"/>
  <c r="Y8" i="26" s="1"/>
  <c r="BV12" i="12"/>
  <c r="BX12" i="12" s="1"/>
  <c r="Z12" i="22" s="1"/>
  <c r="Y9" i="26" s="1"/>
  <c r="BV13" i="12"/>
  <c r="BX13" i="12" s="1"/>
  <c r="Z13" i="22" s="1"/>
  <c r="Y10" i="26" s="1"/>
  <c r="BV14" i="12"/>
  <c r="BX14" i="12" s="1"/>
  <c r="Z14" i="22" s="1"/>
  <c r="Y11" i="26" s="1"/>
  <c r="BV15" i="12"/>
  <c r="BX15" i="12" s="1"/>
  <c r="Z15" i="22" s="1"/>
  <c r="Y12" i="26" s="1"/>
  <c r="BV20" i="12"/>
  <c r="BX20" i="12" s="1"/>
  <c r="Z20" i="22" s="1"/>
  <c r="Y17" i="26" s="1"/>
  <c r="BV21" i="12"/>
  <c r="BX21" i="12" s="1"/>
  <c r="Z21" i="22" s="1"/>
  <c r="Y18" i="26" s="1"/>
  <c r="BV22" i="12"/>
  <c r="BX22" i="12" s="1"/>
  <c r="Z22" i="22" s="1"/>
  <c r="Y19" i="26" s="1"/>
  <c r="BV23" i="12"/>
  <c r="BX23" i="12" s="1"/>
  <c r="Z23" i="22" s="1"/>
  <c r="Y20" i="26" s="1"/>
  <c r="BV24" i="12"/>
  <c r="BX24" i="12" s="1"/>
  <c r="Z24" i="22" s="1"/>
  <c r="Y21" i="26" s="1"/>
  <c r="BV25" i="12"/>
  <c r="BX25" i="12" s="1"/>
  <c r="Z25" i="22" s="1"/>
  <c r="Y22" i="26" s="1"/>
  <c r="BV26" i="12"/>
  <c r="BX26" i="12" s="1"/>
  <c r="Z26" i="22" s="1"/>
  <c r="Y23" i="26" s="1"/>
  <c r="BV27" i="12"/>
  <c r="BX27" i="12" s="1"/>
  <c r="Z27" i="22" s="1"/>
  <c r="Y24" i="26" s="1"/>
  <c r="BV28" i="12"/>
  <c r="BX28" i="12" s="1"/>
  <c r="Z28" i="22" s="1"/>
  <c r="Y25" i="26" s="1"/>
  <c r="BV29" i="12"/>
  <c r="BX29" i="12" s="1"/>
  <c r="Z29" i="22" s="1"/>
  <c r="Y26" i="26" s="1"/>
  <c r="BV30" i="12"/>
  <c r="BX30" i="12" s="1"/>
  <c r="Z30" i="22" s="1"/>
  <c r="Y27" i="26" s="1"/>
  <c r="BV31" i="12"/>
  <c r="BX31" i="12" s="1"/>
  <c r="Z31" i="22" s="1"/>
  <c r="Y28" i="26" s="1"/>
  <c r="BV32" i="12"/>
  <c r="BX32" i="12" s="1"/>
  <c r="Z32" i="22" s="1"/>
  <c r="Y29" i="26" s="1"/>
  <c r="BV33" i="12"/>
  <c r="BX33" i="12" s="1"/>
  <c r="Z33" i="22" s="1"/>
  <c r="Y30" i="26" s="1"/>
  <c r="BV34" i="12"/>
  <c r="BX34" i="12" s="1"/>
  <c r="Z34" i="22" s="1"/>
  <c r="Y31" i="26" s="1"/>
  <c r="BV35" i="12"/>
  <c r="BX35" i="12" s="1"/>
  <c r="Z35" i="22" s="1"/>
  <c r="Y32" i="26" s="1"/>
  <c r="BV6" i="12"/>
  <c r="BX6" i="12" s="1"/>
  <c r="Z6" i="22" s="1"/>
  <c r="Y3" i="26" s="1"/>
  <c r="BQ7" i="12"/>
  <c r="BS7" i="12" s="1"/>
  <c r="Y7" i="22" s="1"/>
  <c r="X4" i="26" s="1"/>
  <c r="BQ8" i="12"/>
  <c r="BS8" i="12" s="1"/>
  <c r="Y8" i="22" s="1"/>
  <c r="X5" i="26" s="1"/>
  <c r="BQ9" i="12"/>
  <c r="BS9" i="12" s="1"/>
  <c r="Y9" i="22" s="1"/>
  <c r="X6" i="26" s="1"/>
  <c r="BQ10" i="12"/>
  <c r="BS10" i="12" s="1"/>
  <c r="Y10" i="22" s="1"/>
  <c r="X7" i="26" s="1"/>
  <c r="BQ11" i="12"/>
  <c r="BS11" i="12" s="1"/>
  <c r="Y11" i="22" s="1"/>
  <c r="X8" i="26" s="1"/>
  <c r="BQ12" i="12"/>
  <c r="BS12" i="12" s="1"/>
  <c r="Y12" i="22" s="1"/>
  <c r="X9" i="26" s="1"/>
  <c r="BQ13" i="12"/>
  <c r="BS13" i="12" s="1"/>
  <c r="Y13" i="22" s="1"/>
  <c r="X10" i="26" s="1"/>
  <c r="BQ14" i="12"/>
  <c r="BS14" i="12" s="1"/>
  <c r="Y14" i="22" s="1"/>
  <c r="X11" i="26" s="1"/>
  <c r="BQ15" i="12"/>
  <c r="BS15" i="12" s="1"/>
  <c r="Y15" i="22" s="1"/>
  <c r="X12" i="26" s="1"/>
  <c r="BQ19" i="12"/>
  <c r="BS19" i="12" s="1"/>
  <c r="Y19" i="22" s="1"/>
  <c r="X16" i="26" s="1"/>
  <c r="BQ20" i="12"/>
  <c r="BS20" i="12" s="1"/>
  <c r="Y20" i="22" s="1"/>
  <c r="X17" i="26" s="1"/>
  <c r="BQ21" i="12"/>
  <c r="BS21" i="12" s="1"/>
  <c r="Y21" i="22" s="1"/>
  <c r="X18" i="26" s="1"/>
  <c r="BQ22" i="12"/>
  <c r="BS22" i="12" s="1"/>
  <c r="Y22" i="22" s="1"/>
  <c r="X19" i="26" s="1"/>
  <c r="BQ23" i="12"/>
  <c r="BS23" i="12" s="1"/>
  <c r="Y23" i="22" s="1"/>
  <c r="X20" i="26" s="1"/>
  <c r="BQ24" i="12"/>
  <c r="BS24" i="12" s="1"/>
  <c r="Y24" i="22" s="1"/>
  <c r="X21" i="26" s="1"/>
  <c r="BQ25" i="12"/>
  <c r="BS25" i="12" s="1"/>
  <c r="Y25" i="22" s="1"/>
  <c r="X22" i="26" s="1"/>
  <c r="BQ26" i="12"/>
  <c r="BS26" i="12" s="1"/>
  <c r="Y26" i="22" s="1"/>
  <c r="X23" i="26" s="1"/>
  <c r="BQ27" i="12"/>
  <c r="BS27" i="12" s="1"/>
  <c r="Y27" i="22" s="1"/>
  <c r="X24" i="26" s="1"/>
  <c r="BQ28" i="12"/>
  <c r="BS28" i="12" s="1"/>
  <c r="Y28" i="22" s="1"/>
  <c r="X25" i="26" s="1"/>
  <c r="BQ29" i="12"/>
  <c r="BS29" i="12" s="1"/>
  <c r="Y29" i="22" s="1"/>
  <c r="X26" i="26" s="1"/>
  <c r="BQ30" i="12"/>
  <c r="BS30" i="12" s="1"/>
  <c r="Y30" i="22" s="1"/>
  <c r="X27" i="26" s="1"/>
  <c r="BQ31" i="12"/>
  <c r="BS31" i="12" s="1"/>
  <c r="Y31" i="22" s="1"/>
  <c r="X28" i="26" s="1"/>
  <c r="BQ32" i="12"/>
  <c r="BS32" i="12" s="1"/>
  <c r="Y32" i="22" s="1"/>
  <c r="X29" i="26" s="1"/>
  <c r="BQ33" i="12"/>
  <c r="BS33" i="12" s="1"/>
  <c r="Y33" i="22" s="1"/>
  <c r="X30" i="26" s="1"/>
  <c r="BQ34" i="12"/>
  <c r="BS34" i="12" s="1"/>
  <c r="Y34" i="22" s="1"/>
  <c r="X31" i="26" s="1"/>
  <c r="BQ35" i="12"/>
  <c r="BS35" i="12" s="1"/>
  <c r="Y35" i="22" s="1"/>
  <c r="X32" i="26" s="1"/>
  <c r="BQ6" i="12"/>
  <c r="BS6" i="12" s="1"/>
  <c r="Y6" i="22" s="1"/>
  <c r="X3" i="26" s="1"/>
  <c r="BL7" i="12"/>
  <c r="BN7" i="12" s="1"/>
  <c r="X7" i="22" s="1"/>
  <c r="W4" i="26" s="1"/>
  <c r="BL8" i="12"/>
  <c r="BN8" i="12" s="1"/>
  <c r="X8" i="22" s="1"/>
  <c r="W5" i="26" s="1"/>
  <c r="BL9" i="12"/>
  <c r="BN9" i="12" s="1"/>
  <c r="X9" i="22" s="1"/>
  <c r="W6" i="26" s="1"/>
  <c r="BL10" i="12"/>
  <c r="BN10" i="12" s="1"/>
  <c r="X10" i="22" s="1"/>
  <c r="W7" i="26" s="1"/>
  <c r="BL11" i="12"/>
  <c r="BN11" i="12" s="1"/>
  <c r="X11" i="22" s="1"/>
  <c r="W8" i="26" s="1"/>
  <c r="BL12" i="12"/>
  <c r="BN12" i="12" s="1"/>
  <c r="X12" i="22" s="1"/>
  <c r="W9" i="26" s="1"/>
  <c r="BL13" i="12"/>
  <c r="BN13" i="12" s="1"/>
  <c r="X13" i="22" s="1"/>
  <c r="W10" i="26" s="1"/>
  <c r="BL14" i="12"/>
  <c r="BN14" i="12" s="1"/>
  <c r="X14" i="22" s="1"/>
  <c r="W11" i="26" s="1"/>
  <c r="BL15" i="12"/>
  <c r="BN15" i="12" s="1"/>
  <c r="X15" i="22" s="1"/>
  <c r="W12" i="26" s="1"/>
  <c r="BN16" i="12"/>
  <c r="X16" i="22" s="1"/>
  <c r="W13" i="26" s="1"/>
  <c r="BN17" i="12"/>
  <c r="X17" i="22" s="1"/>
  <c r="W14" i="26" s="1"/>
  <c r="BN19" i="12"/>
  <c r="X19" i="22" s="1"/>
  <c r="W16" i="26" s="1"/>
  <c r="BN21" i="12"/>
  <c r="X21" i="22" s="1"/>
  <c r="W18" i="26" s="1"/>
  <c r="BL22" i="12"/>
  <c r="BN22" i="12" s="1"/>
  <c r="X22" i="22" s="1"/>
  <c r="W19" i="26" s="1"/>
  <c r="BL23" i="12"/>
  <c r="BN23" i="12" s="1"/>
  <c r="X23" i="22" s="1"/>
  <c r="W20" i="26" s="1"/>
  <c r="BL24" i="12"/>
  <c r="BN24" i="12" s="1"/>
  <c r="X24" i="22" s="1"/>
  <c r="W21" i="26" s="1"/>
  <c r="BL25" i="12"/>
  <c r="BN25" i="12" s="1"/>
  <c r="X25" i="22" s="1"/>
  <c r="W22" i="26" s="1"/>
  <c r="BL26" i="12"/>
  <c r="BN26" i="12" s="1"/>
  <c r="X26" i="22" s="1"/>
  <c r="W23" i="26" s="1"/>
  <c r="BL27" i="12"/>
  <c r="BN27" i="12" s="1"/>
  <c r="X27" i="22" s="1"/>
  <c r="W24" i="26" s="1"/>
  <c r="BL28" i="12"/>
  <c r="BN28" i="12" s="1"/>
  <c r="X28" i="22" s="1"/>
  <c r="W25" i="26" s="1"/>
  <c r="BL29" i="12"/>
  <c r="BN29" i="12" s="1"/>
  <c r="X29" i="22" s="1"/>
  <c r="W26" i="26" s="1"/>
  <c r="BL30" i="12"/>
  <c r="BN30" i="12" s="1"/>
  <c r="X30" i="22" s="1"/>
  <c r="W27" i="26" s="1"/>
  <c r="BL31" i="12"/>
  <c r="BN31" i="12" s="1"/>
  <c r="X31" i="22" s="1"/>
  <c r="W28" i="26" s="1"/>
  <c r="BL32" i="12"/>
  <c r="BN32" i="12" s="1"/>
  <c r="X32" i="22" s="1"/>
  <c r="W29" i="26" s="1"/>
  <c r="BL33" i="12"/>
  <c r="BN33" i="12" s="1"/>
  <c r="X33" i="22" s="1"/>
  <c r="W30" i="26" s="1"/>
  <c r="BL34" i="12"/>
  <c r="BN34" i="12" s="1"/>
  <c r="X34" i="22" s="1"/>
  <c r="W31" i="26" s="1"/>
  <c r="BL35" i="12"/>
  <c r="BN35" i="12" s="1"/>
  <c r="X35" i="22" s="1"/>
  <c r="W32" i="26" s="1"/>
  <c r="BL6" i="12"/>
  <c r="BN6" i="12" s="1"/>
  <c r="X6" i="22" s="1"/>
  <c r="W3" i="26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33" i="12"/>
  <c r="BI33" i="12" s="1"/>
  <c r="BG34" i="12"/>
  <c r="BI34" i="12" s="1"/>
  <c r="BG35" i="12"/>
  <c r="BI35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D33" i="12"/>
  <c r="BB34" i="12"/>
  <c r="BD34" i="12" s="1"/>
  <c r="BB35" i="12"/>
  <c r="BD35" i="12" s="1"/>
  <c r="BB6" i="12"/>
  <c r="BD6" i="12" s="1"/>
  <c r="AW7" i="12"/>
  <c r="AY7" i="12" s="1"/>
  <c r="U7" i="22" s="1"/>
  <c r="T4" i="26" s="1"/>
  <c r="AW8" i="12"/>
  <c r="AY8" i="12" s="1"/>
  <c r="U8" i="22" s="1"/>
  <c r="T5" i="26" s="1"/>
  <c r="AW9" i="12"/>
  <c r="AY9" i="12" s="1"/>
  <c r="U9" i="22" s="1"/>
  <c r="T6" i="26" s="1"/>
  <c r="AW10" i="12"/>
  <c r="AY10" i="12" s="1"/>
  <c r="U10" i="22" s="1"/>
  <c r="T7" i="26" s="1"/>
  <c r="AW11" i="12"/>
  <c r="AY11" i="12" s="1"/>
  <c r="U11" i="22" s="1"/>
  <c r="T8" i="26" s="1"/>
  <c r="AW12" i="12"/>
  <c r="AY12" i="12" s="1"/>
  <c r="U12" i="22" s="1"/>
  <c r="T9" i="26" s="1"/>
  <c r="AW13" i="12"/>
  <c r="AY13" i="12" s="1"/>
  <c r="U13" i="22" s="1"/>
  <c r="T10" i="26" s="1"/>
  <c r="AW14" i="12"/>
  <c r="AY14" i="12" s="1"/>
  <c r="U14" i="22" s="1"/>
  <c r="T11" i="26" s="1"/>
  <c r="AW15" i="12"/>
  <c r="AY15" i="12" s="1"/>
  <c r="U15" i="22" s="1"/>
  <c r="T12" i="26" s="1"/>
  <c r="AY17" i="12"/>
  <c r="U17" i="22" s="1"/>
  <c r="T14" i="26" s="1"/>
  <c r="AW19" i="12"/>
  <c r="AY19" i="12" s="1"/>
  <c r="U19" i="22" s="1"/>
  <c r="T16" i="26" s="1"/>
  <c r="AW20" i="12"/>
  <c r="AY20" i="12" s="1"/>
  <c r="U20" i="22" s="1"/>
  <c r="T17" i="26" s="1"/>
  <c r="AW21" i="12"/>
  <c r="AY21" i="12" s="1"/>
  <c r="U21" i="22" s="1"/>
  <c r="T18" i="26" s="1"/>
  <c r="AW22" i="12"/>
  <c r="AY22" i="12" s="1"/>
  <c r="U22" i="22" s="1"/>
  <c r="T19" i="26" s="1"/>
  <c r="AW23" i="12"/>
  <c r="AY23" i="12" s="1"/>
  <c r="U23" i="22" s="1"/>
  <c r="T20" i="26" s="1"/>
  <c r="AW24" i="12"/>
  <c r="AY24" i="12" s="1"/>
  <c r="U24" i="22" s="1"/>
  <c r="T21" i="26" s="1"/>
  <c r="AW25" i="12"/>
  <c r="AY25" i="12" s="1"/>
  <c r="U25" i="22" s="1"/>
  <c r="T22" i="26" s="1"/>
  <c r="AW26" i="12"/>
  <c r="AY26" i="12" s="1"/>
  <c r="U26" i="22" s="1"/>
  <c r="T23" i="26" s="1"/>
  <c r="AW27" i="12"/>
  <c r="AY27" i="12" s="1"/>
  <c r="U27" i="22" s="1"/>
  <c r="T24" i="26" s="1"/>
  <c r="AW28" i="12"/>
  <c r="AY28" i="12" s="1"/>
  <c r="U28" i="22" s="1"/>
  <c r="T25" i="26" s="1"/>
  <c r="AW29" i="12"/>
  <c r="AY29" i="12" s="1"/>
  <c r="U29" i="22" s="1"/>
  <c r="T26" i="26" s="1"/>
  <c r="AW30" i="12"/>
  <c r="AY30" i="12" s="1"/>
  <c r="U30" i="22" s="1"/>
  <c r="T27" i="26" s="1"/>
  <c r="AW31" i="12"/>
  <c r="AY31" i="12" s="1"/>
  <c r="U31" i="22" s="1"/>
  <c r="T28" i="26" s="1"/>
  <c r="AW32" i="12"/>
  <c r="AY32" i="12" s="1"/>
  <c r="U32" i="22" s="1"/>
  <c r="T29" i="26" s="1"/>
  <c r="AW33" i="12"/>
  <c r="AY33" i="12" s="1"/>
  <c r="U33" i="22" s="1"/>
  <c r="T30" i="26" s="1"/>
  <c r="AW34" i="12"/>
  <c r="AY34" i="12" s="1"/>
  <c r="U34" i="22" s="1"/>
  <c r="T31" i="26" s="1"/>
  <c r="AW35" i="12"/>
  <c r="AY35" i="12" s="1"/>
  <c r="U35" i="22" s="1"/>
  <c r="T32" i="26" s="1"/>
  <c r="AW6" i="12"/>
  <c r="AY6" i="12" s="1"/>
  <c r="U6" i="22" s="1"/>
  <c r="T3" i="26" s="1"/>
  <c r="AR7" i="12"/>
  <c r="AT7" i="12" s="1"/>
  <c r="T7" i="22" s="1"/>
  <c r="S4" i="26" s="1"/>
  <c r="AR8" i="12"/>
  <c r="AT8" i="12" s="1"/>
  <c r="T8" i="22" s="1"/>
  <c r="S5" i="26" s="1"/>
  <c r="AR9" i="12"/>
  <c r="AT9" i="12" s="1"/>
  <c r="T9" i="22" s="1"/>
  <c r="S6" i="26" s="1"/>
  <c r="AR10" i="12"/>
  <c r="AT10" i="12" s="1"/>
  <c r="T10" i="22" s="1"/>
  <c r="S7" i="26" s="1"/>
  <c r="AR11" i="12"/>
  <c r="AT11" i="12" s="1"/>
  <c r="T11" i="22" s="1"/>
  <c r="S8" i="26" s="1"/>
  <c r="AR12" i="12"/>
  <c r="AT12" i="12" s="1"/>
  <c r="T12" i="22" s="1"/>
  <c r="S9" i="26" s="1"/>
  <c r="AR13" i="12"/>
  <c r="AT13" i="12" s="1"/>
  <c r="T13" i="22" s="1"/>
  <c r="S10" i="26" s="1"/>
  <c r="AR14" i="12"/>
  <c r="AT14" i="12" s="1"/>
  <c r="T14" i="22" s="1"/>
  <c r="S11" i="26" s="1"/>
  <c r="AR15" i="12"/>
  <c r="AT15" i="12" s="1"/>
  <c r="T15" i="22" s="1"/>
  <c r="S12" i="26" s="1"/>
  <c r="AT17" i="12"/>
  <c r="T17" i="22" s="1"/>
  <c r="S14" i="26" s="1"/>
  <c r="AT19" i="12"/>
  <c r="T19" i="22" s="1"/>
  <c r="S16" i="26" s="1"/>
  <c r="AR20" i="12"/>
  <c r="AT20" i="12" s="1"/>
  <c r="T20" i="22" s="1"/>
  <c r="S17" i="26" s="1"/>
  <c r="AR21" i="12"/>
  <c r="AT21" i="12" s="1"/>
  <c r="T21" i="22" s="1"/>
  <c r="S18" i="26" s="1"/>
  <c r="AR22" i="12"/>
  <c r="AT22" i="12" s="1"/>
  <c r="T22" i="22" s="1"/>
  <c r="S19" i="26" s="1"/>
  <c r="AR23" i="12"/>
  <c r="AT23" i="12" s="1"/>
  <c r="T23" i="22" s="1"/>
  <c r="S20" i="26" s="1"/>
  <c r="AR24" i="12"/>
  <c r="AT24" i="12" s="1"/>
  <c r="T24" i="22" s="1"/>
  <c r="S21" i="26" s="1"/>
  <c r="AR25" i="12"/>
  <c r="AT25" i="12" s="1"/>
  <c r="T25" i="22" s="1"/>
  <c r="S22" i="26" s="1"/>
  <c r="AR26" i="12"/>
  <c r="AT26" i="12" s="1"/>
  <c r="T26" i="22" s="1"/>
  <c r="S23" i="26" s="1"/>
  <c r="AR27" i="12"/>
  <c r="AT27" i="12" s="1"/>
  <c r="T27" i="22" s="1"/>
  <c r="S24" i="26" s="1"/>
  <c r="AR28" i="12"/>
  <c r="AT28" i="12" s="1"/>
  <c r="T28" i="22" s="1"/>
  <c r="S25" i="26" s="1"/>
  <c r="AR29" i="12"/>
  <c r="AT29" i="12" s="1"/>
  <c r="T29" i="22" s="1"/>
  <c r="S26" i="26" s="1"/>
  <c r="AR30" i="12"/>
  <c r="AT30" i="12" s="1"/>
  <c r="T30" i="22" s="1"/>
  <c r="S27" i="26" s="1"/>
  <c r="AR31" i="12"/>
  <c r="AT31" i="12" s="1"/>
  <c r="T31" i="22" s="1"/>
  <c r="S28" i="26" s="1"/>
  <c r="AR32" i="12"/>
  <c r="AT32" i="12" s="1"/>
  <c r="T32" i="22" s="1"/>
  <c r="S29" i="26" s="1"/>
  <c r="AR33" i="12"/>
  <c r="AT33" i="12" s="1"/>
  <c r="T33" i="22" s="1"/>
  <c r="S30" i="26" s="1"/>
  <c r="AR34" i="12"/>
  <c r="AT34" i="12" s="1"/>
  <c r="T34" i="22" s="1"/>
  <c r="S31" i="26" s="1"/>
  <c r="AR35" i="12"/>
  <c r="AT35" i="12" s="1"/>
  <c r="T35" i="22" s="1"/>
  <c r="S32" i="26" s="1"/>
  <c r="AR6" i="12"/>
  <c r="AT6" i="12" s="1"/>
  <c r="T6" i="22" s="1"/>
  <c r="S3" i="26" s="1"/>
  <c r="AM7" i="12"/>
  <c r="AO7" i="12" s="1"/>
  <c r="S7" i="22" s="1"/>
  <c r="R4" i="26" s="1"/>
  <c r="AM8" i="12"/>
  <c r="AO8" i="12" s="1"/>
  <c r="S8" i="22" s="1"/>
  <c r="R5" i="26" s="1"/>
  <c r="AM9" i="12"/>
  <c r="AO9" i="12" s="1"/>
  <c r="S9" i="22" s="1"/>
  <c r="R6" i="26" s="1"/>
  <c r="AM10" i="12"/>
  <c r="AO10" i="12" s="1"/>
  <c r="S10" i="22" s="1"/>
  <c r="R7" i="26" s="1"/>
  <c r="AM11" i="12"/>
  <c r="AO11" i="12" s="1"/>
  <c r="S11" i="22" s="1"/>
  <c r="R8" i="26" s="1"/>
  <c r="AM12" i="12"/>
  <c r="AO12" i="12" s="1"/>
  <c r="S12" i="22" s="1"/>
  <c r="R9" i="26" s="1"/>
  <c r="AM13" i="12"/>
  <c r="AO13" i="12" s="1"/>
  <c r="S13" i="22" s="1"/>
  <c r="R10" i="26" s="1"/>
  <c r="AM14" i="12"/>
  <c r="AO14" i="12" s="1"/>
  <c r="S14" i="22" s="1"/>
  <c r="R11" i="26" s="1"/>
  <c r="AM15" i="12"/>
  <c r="AO15" i="12" s="1"/>
  <c r="S15" i="22" s="1"/>
  <c r="R12" i="26" s="1"/>
  <c r="AO16" i="12"/>
  <c r="AO18" i="12"/>
  <c r="S18" i="22" s="1"/>
  <c r="R15" i="26" s="1"/>
  <c r="AM20" i="12"/>
  <c r="AO20" i="12" s="1"/>
  <c r="S20" i="22" s="1"/>
  <c r="R17" i="26" s="1"/>
  <c r="AM21" i="12"/>
  <c r="AO21" i="12" s="1"/>
  <c r="S21" i="22" s="1"/>
  <c r="R18" i="26" s="1"/>
  <c r="AM22" i="12"/>
  <c r="AO22" i="12" s="1"/>
  <c r="S22" i="22" s="1"/>
  <c r="R19" i="26" s="1"/>
  <c r="AM23" i="12"/>
  <c r="AO23" i="12" s="1"/>
  <c r="S23" i="22" s="1"/>
  <c r="R20" i="26" s="1"/>
  <c r="AM24" i="12"/>
  <c r="AO24" i="12" s="1"/>
  <c r="S24" i="22" s="1"/>
  <c r="R21" i="26" s="1"/>
  <c r="AM25" i="12"/>
  <c r="AO25" i="12" s="1"/>
  <c r="S25" i="22" s="1"/>
  <c r="R22" i="26" s="1"/>
  <c r="AM26" i="12"/>
  <c r="AO26" i="12" s="1"/>
  <c r="S26" i="22" s="1"/>
  <c r="R23" i="26" s="1"/>
  <c r="AM27" i="12"/>
  <c r="AO27" i="12" s="1"/>
  <c r="S27" i="22" s="1"/>
  <c r="R24" i="26" s="1"/>
  <c r="AM28" i="12"/>
  <c r="AO28" i="12" s="1"/>
  <c r="S28" i="22" s="1"/>
  <c r="R25" i="26" s="1"/>
  <c r="AM29" i="12"/>
  <c r="AO29" i="12" s="1"/>
  <c r="S29" i="22" s="1"/>
  <c r="R26" i="26" s="1"/>
  <c r="AM30" i="12"/>
  <c r="AO30" i="12" s="1"/>
  <c r="S30" i="22" s="1"/>
  <c r="R27" i="26" s="1"/>
  <c r="AM31" i="12"/>
  <c r="AO31" i="12" s="1"/>
  <c r="S31" i="22" s="1"/>
  <c r="R28" i="26" s="1"/>
  <c r="AM32" i="12"/>
  <c r="AO32" i="12" s="1"/>
  <c r="S32" i="22" s="1"/>
  <c r="R29" i="26" s="1"/>
  <c r="AM33" i="12"/>
  <c r="AO33" i="12" s="1"/>
  <c r="S33" i="22" s="1"/>
  <c r="R30" i="26" s="1"/>
  <c r="AM34" i="12"/>
  <c r="AO34" i="12" s="1"/>
  <c r="S34" i="22" s="1"/>
  <c r="R31" i="26" s="1"/>
  <c r="AM35" i="12"/>
  <c r="AO35" i="12" s="1"/>
  <c r="S35" i="22" s="1"/>
  <c r="R32" i="26" s="1"/>
  <c r="AM6" i="12"/>
  <c r="AO6" i="12" s="1"/>
  <c r="S6" i="22" s="1"/>
  <c r="R3" i="26" s="1"/>
  <c r="AH7" i="12"/>
  <c r="AJ7" i="12" s="1"/>
  <c r="R7" i="22" s="1"/>
  <c r="Q4" i="26" s="1"/>
  <c r="AH8" i="12"/>
  <c r="AJ8" i="12" s="1"/>
  <c r="R8" i="22" s="1"/>
  <c r="Q5" i="26" s="1"/>
  <c r="AH9" i="12"/>
  <c r="AJ9" i="12" s="1"/>
  <c r="R9" i="22" s="1"/>
  <c r="Q6" i="26" s="1"/>
  <c r="AH10" i="12"/>
  <c r="AJ10" i="12" s="1"/>
  <c r="R10" i="22" s="1"/>
  <c r="Q7" i="26" s="1"/>
  <c r="AH11" i="12"/>
  <c r="AJ11" i="12" s="1"/>
  <c r="R11" i="22" s="1"/>
  <c r="Q8" i="26" s="1"/>
  <c r="AH12" i="12"/>
  <c r="AJ12" i="12" s="1"/>
  <c r="R12" i="22" s="1"/>
  <c r="Q9" i="26" s="1"/>
  <c r="AH13" i="12"/>
  <c r="AJ13" i="12" s="1"/>
  <c r="R13" i="22" s="1"/>
  <c r="Q10" i="26" s="1"/>
  <c r="AH14" i="12"/>
  <c r="AJ14" i="12" s="1"/>
  <c r="R14" i="22" s="1"/>
  <c r="Q11" i="26" s="1"/>
  <c r="AH15" i="12"/>
  <c r="AJ15" i="12" s="1"/>
  <c r="R15" i="22" s="1"/>
  <c r="Q12" i="26" s="1"/>
  <c r="AJ16" i="12"/>
  <c r="R16" i="22" s="1"/>
  <c r="Q13" i="26" s="1"/>
  <c r="AJ17" i="12"/>
  <c r="R17" i="22" s="1"/>
  <c r="Q14" i="26" s="1"/>
  <c r="AH19" i="12"/>
  <c r="AJ19" i="12" s="1"/>
  <c r="R19" i="22" s="1"/>
  <c r="Q16" i="26" s="1"/>
  <c r="AH20" i="12"/>
  <c r="AJ20" i="12" s="1"/>
  <c r="R20" i="22" s="1"/>
  <c r="Q17" i="26" s="1"/>
  <c r="AH21" i="12"/>
  <c r="AJ21" i="12" s="1"/>
  <c r="R21" i="22" s="1"/>
  <c r="Q18" i="26" s="1"/>
  <c r="AH22" i="12"/>
  <c r="AJ22" i="12" s="1"/>
  <c r="R22" i="22" s="1"/>
  <c r="Q19" i="26" s="1"/>
  <c r="AH23" i="12"/>
  <c r="AJ23" i="12" s="1"/>
  <c r="R23" i="22" s="1"/>
  <c r="Q20" i="26" s="1"/>
  <c r="AH24" i="12"/>
  <c r="AJ24" i="12" s="1"/>
  <c r="R24" i="22" s="1"/>
  <c r="Q21" i="26" s="1"/>
  <c r="AH25" i="12"/>
  <c r="AJ25" i="12" s="1"/>
  <c r="R25" i="22" s="1"/>
  <c r="Q22" i="26" s="1"/>
  <c r="AH26" i="12"/>
  <c r="AJ26" i="12" s="1"/>
  <c r="R26" i="22" s="1"/>
  <c r="Q23" i="26" s="1"/>
  <c r="AH27" i="12"/>
  <c r="AJ27" i="12" s="1"/>
  <c r="R27" i="22" s="1"/>
  <c r="Q24" i="26" s="1"/>
  <c r="AH28" i="12"/>
  <c r="AJ28" i="12" s="1"/>
  <c r="R28" i="22" s="1"/>
  <c r="Q25" i="26" s="1"/>
  <c r="AH29" i="12"/>
  <c r="AJ29" i="12" s="1"/>
  <c r="R29" i="22" s="1"/>
  <c r="Q26" i="26" s="1"/>
  <c r="AH30" i="12"/>
  <c r="AJ30" i="12" s="1"/>
  <c r="R30" i="22" s="1"/>
  <c r="Q27" i="26" s="1"/>
  <c r="AH31" i="12"/>
  <c r="AJ31" i="12" s="1"/>
  <c r="R31" i="22" s="1"/>
  <c r="Q28" i="26" s="1"/>
  <c r="AH32" i="12"/>
  <c r="AJ32" i="12" s="1"/>
  <c r="R32" i="22" s="1"/>
  <c r="Q29" i="26" s="1"/>
  <c r="AH33" i="12"/>
  <c r="AJ33" i="12" s="1"/>
  <c r="R33" i="22" s="1"/>
  <c r="Q30" i="26" s="1"/>
  <c r="AH34" i="12"/>
  <c r="AJ34" i="12" s="1"/>
  <c r="R34" i="22" s="1"/>
  <c r="Q31" i="26" s="1"/>
  <c r="AH35" i="12"/>
  <c r="AJ35" i="12" s="1"/>
  <c r="R35" i="22" s="1"/>
  <c r="Q32" i="26" s="1"/>
  <c r="AH6" i="12"/>
  <c r="AJ6" i="12" s="1"/>
  <c r="AB7" i="12"/>
  <c r="AD7" i="12" s="1"/>
  <c r="Q7" i="22" s="1"/>
  <c r="P4" i="26" s="1"/>
  <c r="AB8" i="12"/>
  <c r="AD8" i="12" s="1"/>
  <c r="Q8" i="22" s="1"/>
  <c r="P5" i="26" s="1"/>
  <c r="AB9" i="12"/>
  <c r="AD9" i="12" s="1"/>
  <c r="Q9" i="22" s="1"/>
  <c r="P6" i="26" s="1"/>
  <c r="AB10" i="12"/>
  <c r="AD10" i="12" s="1"/>
  <c r="Q10" i="22" s="1"/>
  <c r="P7" i="26" s="1"/>
  <c r="AB11" i="12"/>
  <c r="AD11" i="12" s="1"/>
  <c r="Q11" i="22" s="1"/>
  <c r="P8" i="26" s="1"/>
  <c r="AB12" i="12"/>
  <c r="AD12" i="12" s="1"/>
  <c r="Q12" i="22" s="1"/>
  <c r="P9" i="26" s="1"/>
  <c r="AB13" i="12"/>
  <c r="AD13" i="12" s="1"/>
  <c r="Q13" i="22" s="1"/>
  <c r="P10" i="26" s="1"/>
  <c r="AB14" i="12"/>
  <c r="AD14" i="12" s="1"/>
  <c r="Q14" i="22" s="1"/>
  <c r="P11" i="26" s="1"/>
  <c r="AB15" i="12"/>
  <c r="AD15" i="12" s="1"/>
  <c r="Q15" i="22" s="1"/>
  <c r="P12" i="26" s="1"/>
  <c r="AB19" i="12"/>
  <c r="AD19" i="12" s="1"/>
  <c r="Q19" i="22" s="1"/>
  <c r="P16" i="26" s="1"/>
  <c r="AB20" i="12"/>
  <c r="AD20" i="12" s="1"/>
  <c r="Q20" i="22" s="1"/>
  <c r="P17" i="26" s="1"/>
  <c r="AB21" i="12"/>
  <c r="AD21" i="12" s="1"/>
  <c r="Q21" i="22" s="1"/>
  <c r="P18" i="26" s="1"/>
  <c r="AB22" i="12"/>
  <c r="AD22" i="12" s="1"/>
  <c r="Q22" i="22" s="1"/>
  <c r="P19" i="26" s="1"/>
  <c r="AB23" i="12"/>
  <c r="AD23" i="12" s="1"/>
  <c r="Q23" i="22" s="1"/>
  <c r="P20" i="26" s="1"/>
  <c r="AB24" i="12"/>
  <c r="AD24" i="12" s="1"/>
  <c r="Q24" i="22" s="1"/>
  <c r="P21" i="26" s="1"/>
  <c r="AB25" i="12"/>
  <c r="AD25" i="12" s="1"/>
  <c r="Q25" i="22" s="1"/>
  <c r="P22" i="26" s="1"/>
  <c r="AB26" i="12"/>
  <c r="AD26" i="12" s="1"/>
  <c r="Q26" i="22" s="1"/>
  <c r="P23" i="26" s="1"/>
  <c r="AB27" i="12"/>
  <c r="AD27" i="12" s="1"/>
  <c r="Q27" i="22" s="1"/>
  <c r="P24" i="26" s="1"/>
  <c r="AB28" i="12"/>
  <c r="AD28" i="12" s="1"/>
  <c r="Q28" i="22" s="1"/>
  <c r="P25" i="26" s="1"/>
  <c r="AB29" i="12"/>
  <c r="AD29" i="12" s="1"/>
  <c r="Q29" i="22" s="1"/>
  <c r="P26" i="26" s="1"/>
  <c r="AB30" i="12"/>
  <c r="AD30" i="12" s="1"/>
  <c r="Q30" i="22" s="1"/>
  <c r="P27" i="26" s="1"/>
  <c r="AB31" i="12"/>
  <c r="AD31" i="12" s="1"/>
  <c r="Q31" i="22" s="1"/>
  <c r="P28" i="26" s="1"/>
  <c r="AB32" i="12"/>
  <c r="AD32" i="12" s="1"/>
  <c r="Q32" i="22" s="1"/>
  <c r="P29" i="26" s="1"/>
  <c r="AB33" i="12"/>
  <c r="AD33" i="12" s="1"/>
  <c r="Q33" i="22" s="1"/>
  <c r="P30" i="26" s="1"/>
  <c r="AB34" i="12"/>
  <c r="AD34" i="12" s="1"/>
  <c r="Q34" i="22" s="1"/>
  <c r="P31" i="26" s="1"/>
  <c r="AB35" i="12"/>
  <c r="AD35" i="12" s="1"/>
  <c r="Q35" i="22" s="1"/>
  <c r="P32" i="26" s="1"/>
  <c r="AB6" i="12"/>
  <c r="W7" i="12"/>
  <c r="Y7" i="12" s="1"/>
  <c r="P7" i="22" s="1"/>
  <c r="O4" i="26" s="1"/>
  <c r="W8" i="12"/>
  <c r="Y8" i="12" s="1"/>
  <c r="P8" i="22" s="1"/>
  <c r="O5" i="26" s="1"/>
  <c r="W9" i="12"/>
  <c r="Y9" i="12" s="1"/>
  <c r="P9" i="22" s="1"/>
  <c r="O6" i="26" s="1"/>
  <c r="W10" i="12"/>
  <c r="Y10" i="12" s="1"/>
  <c r="P10" i="22" s="1"/>
  <c r="O7" i="26" s="1"/>
  <c r="W11" i="12"/>
  <c r="Y11" i="12" s="1"/>
  <c r="P11" i="22" s="1"/>
  <c r="O8" i="26" s="1"/>
  <c r="W12" i="12"/>
  <c r="Y12" i="12" s="1"/>
  <c r="P12" i="22" s="1"/>
  <c r="O9" i="26" s="1"/>
  <c r="W13" i="12"/>
  <c r="Y13" i="12" s="1"/>
  <c r="P13" i="22" s="1"/>
  <c r="O10" i="26" s="1"/>
  <c r="W14" i="12"/>
  <c r="Y14" i="12" s="1"/>
  <c r="P14" i="22" s="1"/>
  <c r="O11" i="26" s="1"/>
  <c r="Y18" i="12"/>
  <c r="P18" i="22" s="1"/>
  <c r="O15" i="26" s="1"/>
  <c r="W19" i="12"/>
  <c r="Y19" i="12" s="1"/>
  <c r="P19" i="22" s="1"/>
  <c r="O16" i="26" s="1"/>
  <c r="W20" i="12"/>
  <c r="Y20" i="12" s="1"/>
  <c r="P20" i="22" s="1"/>
  <c r="O17" i="26" s="1"/>
  <c r="W21" i="12"/>
  <c r="Y21" i="12" s="1"/>
  <c r="P21" i="22" s="1"/>
  <c r="O18" i="26" s="1"/>
  <c r="W22" i="12"/>
  <c r="Y22" i="12" s="1"/>
  <c r="P22" i="22" s="1"/>
  <c r="O19" i="26" s="1"/>
  <c r="W23" i="12"/>
  <c r="Y23" i="12" s="1"/>
  <c r="P23" i="22" s="1"/>
  <c r="O20" i="26" s="1"/>
  <c r="W24" i="12"/>
  <c r="Y24" i="12" s="1"/>
  <c r="P24" i="22" s="1"/>
  <c r="O21" i="26" s="1"/>
  <c r="W25" i="12"/>
  <c r="Y25" i="12" s="1"/>
  <c r="P25" i="22" s="1"/>
  <c r="O22" i="26" s="1"/>
  <c r="W26" i="12"/>
  <c r="Y26" i="12" s="1"/>
  <c r="P26" i="22" s="1"/>
  <c r="O23" i="26" s="1"/>
  <c r="W27" i="12"/>
  <c r="Y27" i="12" s="1"/>
  <c r="P27" i="22" s="1"/>
  <c r="O24" i="26" s="1"/>
  <c r="W28" i="12"/>
  <c r="Y28" i="12" s="1"/>
  <c r="P28" i="22" s="1"/>
  <c r="O25" i="26" s="1"/>
  <c r="W29" i="12"/>
  <c r="Y29" i="12" s="1"/>
  <c r="P29" i="22" s="1"/>
  <c r="O26" i="26" s="1"/>
  <c r="W30" i="12"/>
  <c r="Y30" i="12" s="1"/>
  <c r="P30" i="22" s="1"/>
  <c r="O27" i="26" s="1"/>
  <c r="W31" i="12"/>
  <c r="Y31" i="12" s="1"/>
  <c r="P31" i="22" s="1"/>
  <c r="O28" i="26" s="1"/>
  <c r="W32" i="12"/>
  <c r="Y32" i="12" s="1"/>
  <c r="P32" i="22" s="1"/>
  <c r="O29" i="26" s="1"/>
  <c r="W33" i="12"/>
  <c r="Y33" i="12" s="1"/>
  <c r="P33" i="22" s="1"/>
  <c r="O30" i="26" s="1"/>
  <c r="W34" i="12"/>
  <c r="Y34" i="12" s="1"/>
  <c r="P34" i="22" s="1"/>
  <c r="O31" i="26" s="1"/>
  <c r="W35" i="12"/>
  <c r="Y35" i="12" s="1"/>
  <c r="P35" i="22" s="1"/>
  <c r="O32" i="26" s="1"/>
  <c r="W6" i="12"/>
  <c r="Y6" i="12" s="1"/>
  <c r="R7" i="12"/>
  <c r="T7" i="12" s="1"/>
  <c r="O7" i="22" s="1"/>
  <c r="N4" i="26" s="1"/>
  <c r="R9" i="12"/>
  <c r="T9" i="12" s="1"/>
  <c r="O9" i="22" s="1"/>
  <c r="N6" i="26" s="1"/>
  <c r="R10" i="12"/>
  <c r="T10" i="12" s="1"/>
  <c r="O10" i="22" s="1"/>
  <c r="N7" i="26" s="1"/>
  <c r="R11" i="12"/>
  <c r="T11" i="12" s="1"/>
  <c r="O11" i="22" s="1"/>
  <c r="N8" i="26" s="1"/>
  <c r="R12" i="12"/>
  <c r="T12" i="12" s="1"/>
  <c r="O12" i="22" s="1"/>
  <c r="N9" i="26" s="1"/>
  <c r="R13" i="12"/>
  <c r="T13" i="12" s="1"/>
  <c r="O13" i="22" s="1"/>
  <c r="N10" i="26" s="1"/>
  <c r="R14" i="12"/>
  <c r="T14" i="12" s="1"/>
  <c r="O14" i="22" s="1"/>
  <c r="N11" i="26" s="1"/>
  <c r="R15" i="12"/>
  <c r="T15" i="12" s="1"/>
  <c r="O15" i="22" s="1"/>
  <c r="N12" i="26" s="1"/>
  <c r="T16" i="12"/>
  <c r="O16" i="22" s="1"/>
  <c r="N13" i="26" s="1"/>
  <c r="T17" i="12"/>
  <c r="O17" i="22" s="1"/>
  <c r="N14" i="26" s="1"/>
  <c r="R18" i="12"/>
  <c r="T18" i="12" s="1"/>
  <c r="O18" i="22" s="1"/>
  <c r="N15" i="26" s="1"/>
  <c r="R19" i="12"/>
  <c r="T19" i="12" s="1"/>
  <c r="O19" i="22" s="1"/>
  <c r="N16" i="26" s="1"/>
  <c r="R20" i="12"/>
  <c r="T20" i="12" s="1"/>
  <c r="O20" i="22" s="1"/>
  <c r="N17" i="26" s="1"/>
  <c r="R21" i="12"/>
  <c r="T21" i="12" s="1"/>
  <c r="O21" i="22" s="1"/>
  <c r="N18" i="26" s="1"/>
  <c r="R22" i="12"/>
  <c r="T22" i="12" s="1"/>
  <c r="O22" i="22" s="1"/>
  <c r="N19" i="26" s="1"/>
  <c r="R23" i="12"/>
  <c r="T23" i="12" s="1"/>
  <c r="O23" i="22" s="1"/>
  <c r="N20" i="26" s="1"/>
  <c r="R24" i="12"/>
  <c r="T24" i="12" s="1"/>
  <c r="O24" i="22" s="1"/>
  <c r="N21" i="26" s="1"/>
  <c r="R25" i="12"/>
  <c r="T25" i="12" s="1"/>
  <c r="O25" i="22" s="1"/>
  <c r="N22" i="26" s="1"/>
  <c r="R26" i="12"/>
  <c r="T26" i="12" s="1"/>
  <c r="O26" i="22" s="1"/>
  <c r="N23" i="26" s="1"/>
  <c r="R27" i="12"/>
  <c r="T27" i="12" s="1"/>
  <c r="O27" i="22" s="1"/>
  <c r="N24" i="26" s="1"/>
  <c r="R28" i="12"/>
  <c r="T28" i="12" s="1"/>
  <c r="O28" i="22" s="1"/>
  <c r="N25" i="26" s="1"/>
  <c r="R29" i="12"/>
  <c r="T29" i="12" s="1"/>
  <c r="O29" i="22" s="1"/>
  <c r="N26" i="26" s="1"/>
  <c r="R30" i="12"/>
  <c r="T30" i="12" s="1"/>
  <c r="O30" i="22" s="1"/>
  <c r="N27" i="26" s="1"/>
  <c r="R31" i="12"/>
  <c r="T31" i="12" s="1"/>
  <c r="O31" i="22" s="1"/>
  <c r="N28" i="26" s="1"/>
  <c r="R32" i="12"/>
  <c r="T32" i="12" s="1"/>
  <c r="O32" i="22" s="1"/>
  <c r="N29" i="26" s="1"/>
  <c r="R33" i="12"/>
  <c r="T33" i="12" s="1"/>
  <c r="O33" i="22" s="1"/>
  <c r="N30" i="26" s="1"/>
  <c r="R34" i="12"/>
  <c r="T34" i="12" s="1"/>
  <c r="O34" i="22" s="1"/>
  <c r="N31" i="26" s="1"/>
  <c r="R35" i="12"/>
  <c r="T35" i="12" s="1"/>
  <c r="O35" i="22" s="1"/>
  <c r="N32" i="26" s="1"/>
  <c r="R6" i="12"/>
  <c r="T6" i="12" s="1"/>
  <c r="O6" i="22" s="1"/>
  <c r="N3" i="26" s="1"/>
  <c r="H7" i="12"/>
  <c r="J7" i="12" s="1"/>
  <c r="M7" i="22" s="1"/>
  <c r="L4" i="26" s="1"/>
  <c r="H8" i="12"/>
  <c r="J8" i="12" s="1"/>
  <c r="M8" i="22" s="1"/>
  <c r="L5" i="26" s="1"/>
  <c r="H9" i="12"/>
  <c r="J9" i="12" s="1"/>
  <c r="M9" i="22" s="1"/>
  <c r="L6" i="26" s="1"/>
  <c r="H10" i="12"/>
  <c r="J10" i="12" s="1"/>
  <c r="M10" i="22" s="1"/>
  <c r="L7" i="26" s="1"/>
  <c r="H11" i="12"/>
  <c r="J11" i="12" s="1"/>
  <c r="M11" i="22" s="1"/>
  <c r="L8" i="26" s="1"/>
  <c r="H12" i="12"/>
  <c r="J12" i="12" s="1"/>
  <c r="M12" i="22" s="1"/>
  <c r="L9" i="26" s="1"/>
  <c r="H13" i="12"/>
  <c r="J13" i="12" s="1"/>
  <c r="M13" i="22" s="1"/>
  <c r="L10" i="26" s="1"/>
  <c r="H14" i="12"/>
  <c r="J14" i="12" s="1"/>
  <c r="M14" i="22" s="1"/>
  <c r="L11" i="26" s="1"/>
  <c r="H15" i="12"/>
  <c r="J15" i="12" s="1"/>
  <c r="M15" i="22" s="1"/>
  <c r="L12" i="26" s="1"/>
  <c r="J17" i="12"/>
  <c r="M17" i="22" s="1"/>
  <c r="L14" i="26" s="1"/>
  <c r="J18" i="12"/>
  <c r="M18" i="22" s="1"/>
  <c r="L15" i="26" s="1"/>
  <c r="J19" i="12"/>
  <c r="M19" i="22" s="1"/>
  <c r="L16" i="26" s="1"/>
  <c r="H20" i="12"/>
  <c r="J20" i="12" s="1"/>
  <c r="M20" i="22" s="1"/>
  <c r="L17" i="26" s="1"/>
  <c r="H21" i="12"/>
  <c r="J21" i="12" s="1"/>
  <c r="M21" i="22" s="1"/>
  <c r="L18" i="26" s="1"/>
  <c r="H22" i="12"/>
  <c r="J22" i="12" s="1"/>
  <c r="M22" i="22" s="1"/>
  <c r="L19" i="26" s="1"/>
  <c r="H23" i="12"/>
  <c r="J23" i="12" s="1"/>
  <c r="M23" i="22" s="1"/>
  <c r="L20" i="26" s="1"/>
  <c r="H24" i="12"/>
  <c r="J24" i="12" s="1"/>
  <c r="M24" i="22" s="1"/>
  <c r="L21" i="26" s="1"/>
  <c r="H25" i="12"/>
  <c r="J25" i="12" s="1"/>
  <c r="M25" i="22" s="1"/>
  <c r="L22" i="26" s="1"/>
  <c r="J26" i="12"/>
  <c r="M26" i="22" s="1"/>
  <c r="L23" i="26" s="1"/>
  <c r="H27" i="12"/>
  <c r="J27" i="12" s="1"/>
  <c r="M27" i="22" s="1"/>
  <c r="L24" i="26" s="1"/>
  <c r="H28" i="12"/>
  <c r="J28" i="12" s="1"/>
  <c r="M28" i="22" s="1"/>
  <c r="L25" i="26" s="1"/>
  <c r="H29" i="12"/>
  <c r="J29" i="12" s="1"/>
  <c r="M29" i="22" s="1"/>
  <c r="L26" i="26" s="1"/>
  <c r="H30" i="12"/>
  <c r="J30" i="12" s="1"/>
  <c r="M30" i="22" s="1"/>
  <c r="L27" i="26" s="1"/>
  <c r="H31" i="12"/>
  <c r="J31" i="12" s="1"/>
  <c r="M31" i="22" s="1"/>
  <c r="L28" i="26" s="1"/>
  <c r="H32" i="12"/>
  <c r="J32" i="12" s="1"/>
  <c r="M32" i="22" s="1"/>
  <c r="L29" i="26" s="1"/>
  <c r="H33" i="12"/>
  <c r="J33" i="12" s="1"/>
  <c r="M33" i="22" s="1"/>
  <c r="L30" i="26" s="1"/>
  <c r="H34" i="12"/>
  <c r="J34" i="12" s="1"/>
  <c r="M34" i="22" s="1"/>
  <c r="L31" i="26" s="1"/>
  <c r="H35" i="12"/>
  <c r="J35" i="12" s="1"/>
  <c r="M35" i="22" s="1"/>
  <c r="L32" i="26" s="1"/>
  <c r="H6" i="12"/>
  <c r="J6" i="12" s="1"/>
  <c r="M6" i="22" s="1"/>
  <c r="L3" i="26" s="1"/>
  <c r="M7" i="12"/>
  <c r="O7" i="12" s="1"/>
  <c r="N7" i="22" s="1"/>
  <c r="M4" i="26" s="1"/>
  <c r="M8" i="12"/>
  <c r="O8" i="12" s="1"/>
  <c r="N8" i="22" s="1"/>
  <c r="M5" i="26" s="1"/>
  <c r="M9" i="12"/>
  <c r="O9" i="12" s="1"/>
  <c r="N9" i="22" s="1"/>
  <c r="M6" i="26" s="1"/>
  <c r="M10" i="12"/>
  <c r="O10" i="12" s="1"/>
  <c r="N10" i="22" s="1"/>
  <c r="M7" i="26" s="1"/>
  <c r="M11" i="12"/>
  <c r="O11" i="12" s="1"/>
  <c r="N11" i="22" s="1"/>
  <c r="M8" i="26" s="1"/>
  <c r="M12" i="12"/>
  <c r="O12" i="12" s="1"/>
  <c r="N12" i="22" s="1"/>
  <c r="M9" i="26" s="1"/>
  <c r="M13" i="12"/>
  <c r="O13" i="12" s="1"/>
  <c r="N13" i="22" s="1"/>
  <c r="M10" i="26" s="1"/>
  <c r="M14" i="12"/>
  <c r="O14" i="12" s="1"/>
  <c r="N14" i="22" s="1"/>
  <c r="M11" i="26" s="1"/>
  <c r="M15" i="12"/>
  <c r="O15" i="12" s="1"/>
  <c r="N15" i="22" s="1"/>
  <c r="M12" i="26" s="1"/>
  <c r="O16" i="12"/>
  <c r="N16" i="22" s="1"/>
  <c r="M13" i="26" s="1"/>
  <c r="O17" i="12"/>
  <c r="N17" i="22" s="1"/>
  <c r="M14" i="26" s="1"/>
  <c r="O18" i="12"/>
  <c r="N18" i="22" s="1"/>
  <c r="M15" i="26" s="1"/>
  <c r="M19" i="12"/>
  <c r="O19" i="12" s="1"/>
  <c r="N19" i="22" s="1"/>
  <c r="M16" i="26" s="1"/>
  <c r="M20" i="12"/>
  <c r="O20" i="12" s="1"/>
  <c r="N20" i="22" s="1"/>
  <c r="M17" i="26" s="1"/>
  <c r="M21" i="12"/>
  <c r="O21" i="12" s="1"/>
  <c r="N21" i="22" s="1"/>
  <c r="M18" i="26" s="1"/>
  <c r="M22" i="12"/>
  <c r="O22" i="12" s="1"/>
  <c r="N22" i="22" s="1"/>
  <c r="M19" i="26" s="1"/>
  <c r="M23" i="12"/>
  <c r="O23" i="12" s="1"/>
  <c r="N23" i="22" s="1"/>
  <c r="M20" i="26" s="1"/>
  <c r="M24" i="12"/>
  <c r="O24" i="12" s="1"/>
  <c r="N24" i="22" s="1"/>
  <c r="M21" i="26" s="1"/>
  <c r="M25" i="12"/>
  <c r="O25" i="12" s="1"/>
  <c r="N25" i="22" s="1"/>
  <c r="M22" i="26" s="1"/>
  <c r="M26" i="12"/>
  <c r="O26" i="12" s="1"/>
  <c r="N26" i="22" s="1"/>
  <c r="M23" i="26" s="1"/>
  <c r="M27" i="12"/>
  <c r="O27" i="12" s="1"/>
  <c r="N27" i="22" s="1"/>
  <c r="M24" i="26" s="1"/>
  <c r="M28" i="12"/>
  <c r="O28" i="12" s="1"/>
  <c r="N28" i="22" s="1"/>
  <c r="M25" i="26" s="1"/>
  <c r="M29" i="12"/>
  <c r="O29" i="12" s="1"/>
  <c r="N29" i="22" s="1"/>
  <c r="M26" i="26" s="1"/>
  <c r="M30" i="12"/>
  <c r="O30" i="12" s="1"/>
  <c r="N30" i="22" s="1"/>
  <c r="M27" i="26" s="1"/>
  <c r="M31" i="12"/>
  <c r="O31" i="12" s="1"/>
  <c r="N31" i="22" s="1"/>
  <c r="M28" i="26" s="1"/>
  <c r="M32" i="12"/>
  <c r="O32" i="12" s="1"/>
  <c r="N32" i="22" s="1"/>
  <c r="M29" i="26" s="1"/>
  <c r="M33" i="12"/>
  <c r="O33" i="12" s="1"/>
  <c r="N33" i="22" s="1"/>
  <c r="M30" i="26" s="1"/>
  <c r="M34" i="12"/>
  <c r="O34" i="12" s="1"/>
  <c r="N34" i="22" s="1"/>
  <c r="M31" i="26" s="1"/>
  <c r="M35" i="12"/>
  <c r="O35" i="12" s="1"/>
  <c r="N35" i="22" s="1"/>
  <c r="M32" i="26" s="1"/>
  <c r="M6" i="12"/>
  <c r="O6" i="12" s="1"/>
  <c r="N6" i="22" s="1"/>
  <c r="M3" i="26" s="1"/>
  <c r="DS8" i="19"/>
  <c r="DU8" i="19" s="1"/>
  <c r="BN7" i="22" s="1"/>
  <c r="BK4" i="26" s="1"/>
  <c r="DS9" i="19"/>
  <c r="DU9" i="19" s="1"/>
  <c r="BN8" i="22" s="1"/>
  <c r="BK5" i="26" s="1"/>
  <c r="DS10" i="19"/>
  <c r="DU10" i="19" s="1"/>
  <c r="BN9" i="22" s="1"/>
  <c r="BK6" i="26" s="1"/>
  <c r="DS11" i="19"/>
  <c r="DU11" i="19" s="1"/>
  <c r="BN10" i="22" s="1"/>
  <c r="BK7" i="26" s="1"/>
  <c r="DS12" i="19"/>
  <c r="DU12" i="19" s="1"/>
  <c r="BN11" i="22" s="1"/>
  <c r="BK8" i="26" s="1"/>
  <c r="DS13" i="19"/>
  <c r="DU13" i="19" s="1"/>
  <c r="BN12" i="22" s="1"/>
  <c r="BK9" i="26" s="1"/>
  <c r="DS14" i="19"/>
  <c r="DU14" i="19" s="1"/>
  <c r="BN13" i="22" s="1"/>
  <c r="BK10" i="26" s="1"/>
  <c r="DS15" i="19"/>
  <c r="DU15" i="19" s="1"/>
  <c r="BN14" i="22" s="1"/>
  <c r="BK11" i="26" s="1"/>
  <c r="DS16" i="19"/>
  <c r="DU16" i="19" s="1"/>
  <c r="BN15" i="22" s="1"/>
  <c r="BK12" i="26" s="1"/>
  <c r="DS17" i="19"/>
  <c r="DU17" i="19" s="1"/>
  <c r="BN16" i="22" s="1"/>
  <c r="BK13" i="26" s="1"/>
  <c r="DS18" i="19"/>
  <c r="DU18" i="19" s="1"/>
  <c r="BN17" i="22" s="1"/>
  <c r="BK14" i="26" s="1"/>
  <c r="DS19" i="19"/>
  <c r="DU19" i="19" s="1"/>
  <c r="BN18" i="22" s="1"/>
  <c r="BK15" i="26" s="1"/>
  <c r="DS20" i="19"/>
  <c r="DU20" i="19" s="1"/>
  <c r="BN19" i="22" s="1"/>
  <c r="BK16" i="26" s="1"/>
  <c r="DS21" i="19"/>
  <c r="DU21" i="19" s="1"/>
  <c r="BN20" i="22" s="1"/>
  <c r="BK17" i="26" s="1"/>
  <c r="DS22" i="19"/>
  <c r="DU22" i="19" s="1"/>
  <c r="BN21" i="22" s="1"/>
  <c r="BK18" i="26" s="1"/>
  <c r="DS23" i="19"/>
  <c r="DU23" i="19" s="1"/>
  <c r="BN22" i="22" s="1"/>
  <c r="BK19" i="26" s="1"/>
  <c r="DS24" i="19"/>
  <c r="DU24" i="19" s="1"/>
  <c r="BN23" i="22" s="1"/>
  <c r="BK20" i="26" s="1"/>
  <c r="DS25" i="19"/>
  <c r="DU25" i="19" s="1"/>
  <c r="BN24" i="22" s="1"/>
  <c r="BK21" i="26" s="1"/>
  <c r="DS26" i="19"/>
  <c r="DU26" i="19" s="1"/>
  <c r="BN25" i="22" s="1"/>
  <c r="BK22" i="26" s="1"/>
  <c r="DS27" i="19"/>
  <c r="DU27" i="19" s="1"/>
  <c r="BN26" i="22" s="1"/>
  <c r="BK23" i="26" s="1"/>
  <c r="DS28" i="19"/>
  <c r="DU28" i="19" s="1"/>
  <c r="BN27" i="22" s="1"/>
  <c r="BK24" i="26" s="1"/>
  <c r="DS29" i="19"/>
  <c r="DU29" i="19" s="1"/>
  <c r="BN28" i="22" s="1"/>
  <c r="BK25" i="26" s="1"/>
  <c r="DS30" i="19"/>
  <c r="DU30" i="19" s="1"/>
  <c r="BN29" i="22" s="1"/>
  <c r="BK26" i="26" s="1"/>
  <c r="DS31" i="19"/>
  <c r="DU31" i="19" s="1"/>
  <c r="BN30" i="22" s="1"/>
  <c r="BK27" i="26" s="1"/>
  <c r="DS32" i="19"/>
  <c r="DU32" i="19" s="1"/>
  <c r="BN31" i="22" s="1"/>
  <c r="BK28" i="26" s="1"/>
  <c r="DS33" i="19"/>
  <c r="DU33" i="19" s="1"/>
  <c r="BN32" i="22" s="1"/>
  <c r="BK29" i="26" s="1"/>
  <c r="DS34" i="19"/>
  <c r="DU34" i="19" s="1"/>
  <c r="BN33" i="22" s="1"/>
  <c r="BK30" i="26" s="1"/>
  <c r="DS35" i="19"/>
  <c r="DU35" i="19" s="1"/>
  <c r="BN34" i="22" s="1"/>
  <c r="BK31" i="26" s="1"/>
  <c r="DS36" i="19"/>
  <c r="DU36" i="19" s="1"/>
  <c r="BN35" i="22" s="1"/>
  <c r="BK32" i="26" s="1"/>
  <c r="DS7" i="19"/>
  <c r="DU7" i="19" s="1"/>
  <c r="BN6" i="22" s="1"/>
  <c r="BK3" i="26" s="1"/>
  <c r="DN8" i="19"/>
  <c r="DP8" i="19" s="1"/>
  <c r="BM7" i="22" s="1"/>
  <c r="BJ4" i="26" s="1"/>
  <c r="DN9" i="19"/>
  <c r="DP9" i="19" s="1"/>
  <c r="BM8" i="22" s="1"/>
  <c r="BJ5" i="26" s="1"/>
  <c r="DN10" i="19"/>
  <c r="DP10" i="19" s="1"/>
  <c r="BM9" i="22" s="1"/>
  <c r="BJ6" i="26" s="1"/>
  <c r="DN11" i="19"/>
  <c r="DP11" i="19" s="1"/>
  <c r="BM10" i="22" s="1"/>
  <c r="BJ7" i="26" s="1"/>
  <c r="DN12" i="19"/>
  <c r="DP12" i="19" s="1"/>
  <c r="BM11" i="22" s="1"/>
  <c r="BJ8" i="26" s="1"/>
  <c r="DN13" i="19"/>
  <c r="DP13" i="19" s="1"/>
  <c r="BM12" i="22" s="1"/>
  <c r="BJ9" i="26" s="1"/>
  <c r="DN14" i="19"/>
  <c r="DP14" i="19" s="1"/>
  <c r="BM13" i="22" s="1"/>
  <c r="BJ10" i="26" s="1"/>
  <c r="DN15" i="19"/>
  <c r="DP15" i="19" s="1"/>
  <c r="BM14" i="22" s="1"/>
  <c r="BJ11" i="26" s="1"/>
  <c r="DN16" i="19"/>
  <c r="DP16" i="19" s="1"/>
  <c r="BM15" i="22" s="1"/>
  <c r="BJ12" i="26" s="1"/>
  <c r="DN17" i="19"/>
  <c r="DP17" i="19" s="1"/>
  <c r="BM16" i="22" s="1"/>
  <c r="BJ13" i="26" s="1"/>
  <c r="DN18" i="19"/>
  <c r="DP18" i="19" s="1"/>
  <c r="BM17" i="22" s="1"/>
  <c r="BJ14" i="26" s="1"/>
  <c r="DN19" i="19"/>
  <c r="DP19" i="19" s="1"/>
  <c r="BM18" i="22" s="1"/>
  <c r="BJ15" i="26" s="1"/>
  <c r="DN20" i="19"/>
  <c r="DP20" i="19" s="1"/>
  <c r="BM19" i="22" s="1"/>
  <c r="BJ16" i="26" s="1"/>
  <c r="DN21" i="19"/>
  <c r="DP21" i="19" s="1"/>
  <c r="BM20" i="22" s="1"/>
  <c r="BJ17" i="26" s="1"/>
  <c r="DN22" i="19"/>
  <c r="DP22" i="19" s="1"/>
  <c r="BM21" i="22" s="1"/>
  <c r="BJ18" i="26" s="1"/>
  <c r="DN23" i="19"/>
  <c r="DP23" i="19" s="1"/>
  <c r="BM22" i="22" s="1"/>
  <c r="BJ19" i="26" s="1"/>
  <c r="DN24" i="19"/>
  <c r="DP24" i="19" s="1"/>
  <c r="BM23" i="22" s="1"/>
  <c r="BJ20" i="26" s="1"/>
  <c r="DN25" i="19"/>
  <c r="DP25" i="19" s="1"/>
  <c r="BM24" i="22" s="1"/>
  <c r="BJ21" i="26" s="1"/>
  <c r="DN26" i="19"/>
  <c r="DP26" i="19" s="1"/>
  <c r="BM25" i="22" s="1"/>
  <c r="BJ22" i="26" s="1"/>
  <c r="DN27" i="19"/>
  <c r="DP27" i="19" s="1"/>
  <c r="BM26" i="22" s="1"/>
  <c r="BJ23" i="26" s="1"/>
  <c r="DN28" i="19"/>
  <c r="DP28" i="19" s="1"/>
  <c r="BM27" i="22" s="1"/>
  <c r="BJ24" i="26" s="1"/>
  <c r="DN29" i="19"/>
  <c r="DP29" i="19" s="1"/>
  <c r="BM28" i="22" s="1"/>
  <c r="BJ25" i="26" s="1"/>
  <c r="DN30" i="19"/>
  <c r="DP30" i="19" s="1"/>
  <c r="BM29" i="22" s="1"/>
  <c r="BJ26" i="26" s="1"/>
  <c r="DN31" i="19"/>
  <c r="DP31" i="19" s="1"/>
  <c r="BM30" i="22" s="1"/>
  <c r="BJ27" i="26" s="1"/>
  <c r="DN32" i="19"/>
  <c r="DP32" i="19" s="1"/>
  <c r="BM31" i="22" s="1"/>
  <c r="BJ28" i="26" s="1"/>
  <c r="DN33" i="19"/>
  <c r="DP33" i="19" s="1"/>
  <c r="BM32" i="22" s="1"/>
  <c r="BJ29" i="26" s="1"/>
  <c r="DN34" i="19"/>
  <c r="DP34" i="19" s="1"/>
  <c r="BM33" i="22" s="1"/>
  <c r="BJ30" i="26" s="1"/>
  <c r="DN35" i="19"/>
  <c r="DP35" i="19" s="1"/>
  <c r="BM34" i="22" s="1"/>
  <c r="BJ31" i="26" s="1"/>
  <c r="DN36" i="19"/>
  <c r="DP36" i="19" s="1"/>
  <c r="BM35" i="22" s="1"/>
  <c r="BJ32" i="26" s="1"/>
  <c r="DN7" i="19"/>
  <c r="DP7" i="19" s="1"/>
  <c r="BM6" i="22" s="1"/>
  <c r="BJ3" i="26" s="1"/>
  <c r="DI8" i="19"/>
  <c r="DK8" i="19" s="1"/>
  <c r="BL7" i="22" s="1"/>
  <c r="BI4" i="26" s="1"/>
  <c r="DI9" i="19"/>
  <c r="DK9" i="19" s="1"/>
  <c r="BL8" i="22" s="1"/>
  <c r="BI5" i="26" s="1"/>
  <c r="DI10" i="19"/>
  <c r="DK10" i="19" s="1"/>
  <c r="BL9" i="22" s="1"/>
  <c r="BI6" i="26" s="1"/>
  <c r="DI11" i="19"/>
  <c r="DK11" i="19" s="1"/>
  <c r="BL10" i="22" s="1"/>
  <c r="BI7" i="26" s="1"/>
  <c r="DI12" i="19"/>
  <c r="DK12" i="19" s="1"/>
  <c r="BL11" i="22" s="1"/>
  <c r="BI8" i="26" s="1"/>
  <c r="DI13" i="19"/>
  <c r="DK13" i="19" s="1"/>
  <c r="BL12" i="22" s="1"/>
  <c r="BI9" i="26" s="1"/>
  <c r="DI14" i="19"/>
  <c r="DK14" i="19" s="1"/>
  <c r="BL13" i="22" s="1"/>
  <c r="BI10" i="26" s="1"/>
  <c r="DI15" i="19"/>
  <c r="DK15" i="19" s="1"/>
  <c r="BL14" i="22" s="1"/>
  <c r="BI11" i="26" s="1"/>
  <c r="DI16" i="19"/>
  <c r="DK16" i="19" s="1"/>
  <c r="BL15" i="22" s="1"/>
  <c r="BI12" i="26" s="1"/>
  <c r="DI17" i="19"/>
  <c r="DK17" i="19" s="1"/>
  <c r="BL16" i="22" s="1"/>
  <c r="BI13" i="26" s="1"/>
  <c r="DI18" i="19"/>
  <c r="DK18" i="19" s="1"/>
  <c r="BL17" i="22" s="1"/>
  <c r="BI14" i="26" s="1"/>
  <c r="DI19" i="19"/>
  <c r="DK19" i="19" s="1"/>
  <c r="BL18" i="22" s="1"/>
  <c r="BI15" i="26" s="1"/>
  <c r="DI20" i="19"/>
  <c r="DK20" i="19" s="1"/>
  <c r="BL19" i="22" s="1"/>
  <c r="BI16" i="26" s="1"/>
  <c r="DI21" i="19"/>
  <c r="DK21" i="19" s="1"/>
  <c r="BL20" i="22" s="1"/>
  <c r="BI17" i="26" s="1"/>
  <c r="DI22" i="19"/>
  <c r="DK22" i="19" s="1"/>
  <c r="BL21" i="22" s="1"/>
  <c r="BI18" i="26" s="1"/>
  <c r="DI23" i="19"/>
  <c r="DK23" i="19" s="1"/>
  <c r="BL22" i="22" s="1"/>
  <c r="BI19" i="26" s="1"/>
  <c r="DI24" i="19"/>
  <c r="DK24" i="19" s="1"/>
  <c r="BL23" i="22" s="1"/>
  <c r="BI20" i="26" s="1"/>
  <c r="DI25" i="19"/>
  <c r="DK25" i="19" s="1"/>
  <c r="BL24" i="22" s="1"/>
  <c r="BI21" i="26" s="1"/>
  <c r="DI26" i="19"/>
  <c r="DK26" i="19" s="1"/>
  <c r="BL25" i="22" s="1"/>
  <c r="BI22" i="26" s="1"/>
  <c r="DI27" i="19"/>
  <c r="DK27" i="19" s="1"/>
  <c r="BL26" i="22" s="1"/>
  <c r="BI23" i="26" s="1"/>
  <c r="DI28" i="19"/>
  <c r="DK28" i="19" s="1"/>
  <c r="BL27" i="22" s="1"/>
  <c r="BI24" i="26" s="1"/>
  <c r="DI29" i="19"/>
  <c r="DK29" i="19" s="1"/>
  <c r="BL28" i="22" s="1"/>
  <c r="BI25" i="26" s="1"/>
  <c r="DI30" i="19"/>
  <c r="DK30" i="19" s="1"/>
  <c r="BL29" i="22" s="1"/>
  <c r="BI26" i="26" s="1"/>
  <c r="DI31" i="19"/>
  <c r="DK31" i="19" s="1"/>
  <c r="BL30" i="22" s="1"/>
  <c r="BI27" i="26" s="1"/>
  <c r="DI32" i="19"/>
  <c r="DK32" i="19" s="1"/>
  <c r="BL31" i="22" s="1"/>
  <c r="BI28" i="26" s="1"/>
  <c r="DI33" i="19"/>
  <c r="DK33" i="19" s="1"/>
  <c r="BL32" i="22" s="1"/>
  <c r="BI29" i="26" s="1"/>
  <c r="DI34" i="19"/>
  <c r="DK34" i="19" s="1"/>
  <c r="BL33" i="22" s="1"/>
  <c r="BI30" i="26" s="1"/>
  <c r="DI35" i="19"/>
  <c r="DK35" i="19" s="1"/>
  <c r="BL34" i="22" s="1"/>
  <c r="BI31" i="26" s="1"/>
  <c r="DI36" i="19"/>
  <c r="DK36" i="19" s="1"/>
  <c r="BL35" i="22" s="1"/>
  <c r="BI32" i="26" s="1"/>
  <c r="DI7" i="19"/>
  <c r="DK7" i="19" s="1"/>
  <c r="BL6" i="22" s="1"/>
  <c r="BI3" i="26" s="1"/>
  <c r="DD8" i="19"/>
  <c r="DF8" i="19" s="1"/>
  <c r="BK7" i="22" s="1"/>
  <c r="BH4" i="26" s="1"/>
  <c r="DD9" i="19"/>
  <c r="DF9" i="19" s="1"/>
  <c r="BK8" i="22" s="1"/>
  <c r="BH5" i="26" s="1"/>
  <c r="DD10" i="19"/>
  <c r="DF10" i="19" s="1"/>
  <c r="BK9" i="22" s="1"/>
  <c r="BH6" i="26" s="1"/>
  <c r="DD11" i="19"/>
  <c r="DF11" i="19" s="1"/>
  <c r="BK10" i="22" s="1"/>
  <c r="BH7" i="26" s="1"/>
  <c r="DD12" i="19"/>
  <c r="DF12" i="19" s="1"/>
  <c r="BK11" i="22" s="1"/>
  <c r="BH8" i="26" s="1"/>
  <c r="DD13" i="19"/>
  <c r="DF13" i="19" s="1"/>
  <c r="BK12" i="22" s="1"/>
  <c r="BH9" i="26" s="1"/>
  <c r="DD14" i="19"/>
  <c r="DF14" i="19" s="1"/>
  <c r="BK13" i="22" s="1"/>
  <c r="BH10" i="26" s="1"/>
  <c r="DD15" i="19"/>
  <c r="DF15" i="19" s="1"/>
  <c r="BK14" i="22" s="1"/>
  <c r="BH11" i="26" s="1"/>
  <c r="DD16" i="19"/>
  <c r="DF16" i="19" s="1"/>
  <c r="BK15" i="22" s="1"/>
  <c r="BH12" i="26" s="1"/>
  <c r="DD17" i="19"/>
  <c r="DF17" i="19" s="1"/>
  <c r="BK16" i="22" s="1"/>
  <c r="BH13" i="26" s="1"/>
  <c r="DD18" i="19"/>
  <c r="DF18" i="19" s="1"/>
  <c r="BK17" i="22" s="1"/>
  <c r="BH14" i="26" s="1"/>
  <c r="DD19" i="19"/>
  <c r="DF19" i="19" s="1"/>
  <c r="BK18" i="22" s="1"/>
  <c r="BH15" i="26" s="1"/>
  <c r="DD20" i="19"/>
  <c r="DF20" i="19" s="1"/>
  <c r="BK19" i="22" s="1"/>
  <c r="BH16" i="26" s="1"/>
  <c r="DD21" i="19"/>
  <c r="DF21" i="19" s="1"/>
  <c r="BK20" i="22" s="1"/>
  <c r="BH17" i="26" s="1"/>
  <c r="DD22" i="19"/>
  <c r="DF22" i="19" s="1"/>
  <c r="BK21" i="22" s="1"/>
  <c r="BH18" i="26" s="1"/>
  <c r="DD23" i="19"/>
  <c r="DF23" i="19" s="1"/>
  <c r="BK22" i="22" s="1"/>
  <c r="BH19" i="26" s="1"/>
  <c r="DD24" i="19"/>
  <c r="DF24" i="19" s="1"/>
  <c r="BK23" i="22" s="1"/>
  <c r="BH20" i="26" s="1"/>
  <c r="DD25" i="19"/>
  <c r="DF25" i="19" s="1"/>
  <c r="BK24" i="22" s="1"/>
  <c r="BH21" i="26" s="1"/>
  <c r="DD26" i="19"/>
  <c r="DF26" i="19" s="1"/>
  <c r="BK25" i="22" s="1"/>
  <c r="BH22" i="26" s="1"/>
  <c r="DD27" i="19"/>
  <c r="DF27" i="19" s="1"/>
  <c r="BK26" i="22" s="1"/>
  <c r="BH23" i="26" s="1"/>
  <c r="DD28" i="19"/>
  <c r="DF28" i="19" s="1"/>
  <c r="BK27" i="22" s="1"/>
  <c r="BH24" i="26" s="1"/>
  <c r="DD29" i="19"/>
  <c r="DF29" i="19" s="1"/>
  <c r="BK28" i="22" s="1"/>
  <c r="BH25" i="26" s="1"/>
  <c r="DD30" i="19"/>
  <c r="DF30" i="19" s="1"/>
  <c r="BK29" i="22" s="1"/>
  <c r="BH26" i="26" s="1"/>
  <c r="DD31" i="19"/>
  <c r="DF31" i="19" s="1"/>
  <c r="BK30" i="22" s="1"/>
  <c r="BH27" i="26" s="1"/>
  <c r="DD32" i="19"/>
  <c r="DF32" i="19" s="1"/>
  <c r="BK31" i="22" s="1"/>
  <c r="BH28" i="26" s="1"/>
  <c r="DD33" i="19"/>
  <c r="DF33" i="19" s="1"/>
  <c r="BK32" i="22" s="1"/>
  <c r="BH29" i="26" s="1"/>
  <c r="DD34" i="19"/>
  <c r="DF34" i="19" s="1"/>
  <c r="BK33" i="22" s="1"/>
  <c r="BH30" i="26" s="1"/>
  <c r="DD35" i="19"/>
  <c r="DF35" i="19" s="1"/>
  <c r="BK34" i="22" s="1"/>
  <c r="BH31" i="26" s="1"/>
  <c r="DD36" i="19"/>
  <c r="DF36" i="19" s="1"/>
  <c r="BK35" i="22" s="1"/>
  <c r="BH32" i="26" s="1"/>
  <c r="DD7" i="19"/>
  <c r="DF7" i="19" s="1"/>
  <c r="BK6" i="22" s="1"/>
  <c r="BH3" i="26" s="1"/>
  <c r="CY8" i="19"/>
  <c r="DA8" i="19" s="1"/>
  <c r="BJ7" i="22" s="1"/>
  <c r="BG4" i="26" s="1"/>
  <c r="CY9" i="19"/>
  <c r="DA9" i="19" s="1"/>
  <c r="BJ8" i="22" s="1"/>
  <c r="BG5" i="26" s="1"/>
  <c r="CY10" i="19"/>
  <c r="DA10" i="19" s="1"/>
  <c r="BJ9" i="22" s="1"/>
  <c r="BG6" i="26" s="1"/>
  <c r="CY11" i="19"/>
  <c r="DA11" i="19" s="1"/>
  <c r="BJ10" i="22" s="1"/>
  <c r="BG7" i="26" s="1"/>
  <c r="CY12" i="19"/>
  <c r="DA12" i="19" s="1"/>
  <c r="BJ11" i="22" s="1"/>
  <c r="BG8" i="26" s="1"/>
  <c r="CY15" i="19"/>
  <c r="DA15" i="19" s="1"/>
  <c r="BJ14" i="22" s="1"/>
  <c r="BG11" i="26" s="1"/>
  <c r="CY16" i="19"/>
  <c r="DA16" i="19" s="1"/>
  <c r="BJ15" i="22" s="1"/>
  <c r="BG12" i="26" s="1"/>
  <c r="CY17" i="19"/>
  <c r="DA17" i="19" s="1"/>
  <c r="BJ16" i="22" s="1"/>
  <c r="BG13" i="26" s="1"/>
  <c r="CY18" i="19"/>
  <c r="DA18" i="19" s="1"/>
  <c r="BJ17" i="22" s="1"/>
  <c r="BG14" i="26" s="1"/>
  <c r="CY19" i="19"/>
  <c r="DA19" i="19" s="1"/>
  <c r="BJ18" i="22" s="1"/>
  <c r="BG15" i="26" s="1"/>
  <c r="CY20" i="19"/>
  <c r="DA20" i="19" s="1"/>
  <c r="BJ19" i="22" s="1"/>
  <c r="BG16" i="26" s="1"/>
  <c r="CY21" i="19"/>
  <c r="DA21" i="19" s="1"/>
  <c r="BJ20" i="22" s="1"/>
  <c r="BG17" i="26" s="1"/>
  <c r="CY22" i="19"/>
  <c r="DA22" i="19" s="1"/>
  <c r="BJ21" i="22" s="1"/>
  <c r="BG18" i="26" s="1"/>
  <c r="CY23" i="19"/>
  <c r="DA23" i="19" s="1"/>
  <c r="BJ22" i="22" s="1"/>
  <c r="BG19" i="26" s="1"/>
  <c r="CY24" i="19"/>
  <c r="DA24" i="19" s="1"/>
  <c r="BJ23" i="22" s="1"/>
  <c r="BG20" i="26" s="1"/>
  <c r="CY25" i="19"/>
  <c r="DA25" i="19" s="1"/>
  <c r="BJ24" i="22" s="1"/>
  <c r="BG21" i="26" s="1"/>
  <c r="CY26" i="19"/>
  <c r="DA26" i="19" s="1"/>
  <c r="BJ25" i="22" s="1"/>
  <c r="BG22" i="26" s="1"/>
  <c r="CY27" i="19"/>
  <c r="DA27" i="19" s="1"/>
  <c r="BJ26" i="22" s="1"/>
  <c r="BG23" i="26" s="1"/>
  <c r="CY28" i="19"/>
  <c r="DA28" i="19" s="1"/>
  <c r="BJ27" i="22" s="1"/>
  <c r="BG24" i="26" s="1"/>
  <c r="CY29" i="19"/>
  <c r="DA29" i="19" s="1"/>
  <c r="BJ28" i="22" s="1"/>
  <c r="BG25" i="26" s="1"/>
  <c r="CY30" i="19"/>
  <c r="DA30" i="19" s="1"/>
  <c r="BJ29" i="22" s="1"/>
  <c r="BG26" i="26" s="1"/>
  <c r="CY31" i="19"/>
  <c r="DA31" i="19" s="1"/>
  <c r="BJ30" i="22" s="1"/>
  <c r="BG27" i="26" s="1"/>
  <c r="CY32" i="19"/>
  <c r="DA32" i="19" s="1"/>
  <c r="BJ31" i="22" s="1"/>
  <c r="BG28" i="26" s="1"/>
  <c r="CY33" i="19"/>
  <c r="DA33" i="19" s="1"/>
  <c r="BJ32" i="22" s="1"/>
  <c r="BG29" i="26" s="1"/>
  <c r="CY34" i="19"/>
  <c r="DA34" i="19" s="1"/>
  <c r="BJ33" i="22" s="1"/>
  <c r="BG30" i="26" s="1"/>
  <c r="CY35" i="19"/>
  <c r="DA35" i="19" s="1"/>
  <c r="BJ34" i="22" s="1"/>
  <c r="BG31" i="26" s="1"/>
  <c r="CY36" i="19"/>
  <c r="DA36" i="19" s="1"/>
  <c r="BJ35" i="22" s="1"/>
  <c r="BG32" i="26" s="1"/>
  <c r="CY7" i="19"/>
  <c r="DA7" i="19" s="1"/>
  <c r="BJ6" i="22" s="1"/>
  <c r="BG3" i="26" s="1"/>
  <c r="CT8" i="19"/>
  <c r="CV8" i="19" s="1"/>
  <c r="BI7" i="22" s="1"/>
  <c r="BF4" i="26" s="1"/>
  <c r="CT9" i="19"/>
  <c r="CV9" i="19" s="1"/>
  <c r="BI8" i="22" s="1"/>
  <c r="BF5" i="26" s="1"/>
  <c r="CT10" i="19"/>
  <c r="CV10" i="19" s="1"/>
  <c r="BI9" i="22" s="1"/>
  <c r="BF6" i="26" s="1"/>
  <c r="CT11" i="19"/>
  <c r="CV11" i="19" s="1"/>
  <c r="BI10" i="22" s="1"/>
  <c r="BF7" i="26" s="1"/>
  <c r="CT12" i="19"/>
  <c r="CV12" i="19" s="1"/>
  <c r="BI11" i="22" s="1"/>
  <c r="BF8" i="26" s="1"/>
  <c r="CT13" i="19"/>
  <c r="CV13" i="19" s="1"/>
  <c r="BI12" i="22" s="1"/>
  <c r="BF9" i="26" s="1"/>
  <c r="CT14" i="19"/>
  <c r="CV14" i="19" s="1"/>
  <c r="BI13" i="22" s="1"/>
  <c r="BF10" i="26" s="1"/>
  <c r="CT15" i="19"/>
  <c r="CV15" i="19" s="1"/>
  <c r="BI14" i="22" s="1"/>
  <c r="BF11" i="26" s="1"/>
  <c r="CT16" i="19"/>
  <c r="CV16" i="19" s="1"/>
  <c r="BI15" i="22" s="1"/>
  <c r="BF12" i="26" s="1"/>
  <c r="CT17" i="19"/>
  <c r="CV17" i="19" s="1"/>
  <c r="BI16" i="22" s="1"/>
  <c r="BF13" i="26" s="1"/>
  <c r="CT18" i="19"/>
  <c r="CV18" i="19" s="1"/>
  <c r="BI17" i="22" s="1"/>
  <c r="BF14" i="26" s="1"/>
  <c r="CT19" i="19"/>
  <c r="CV19" i="19" s="1"/>
  <c r="BI18" i="22" s="1"/>
  <c r="BF15" i="26" s="1"/>
  <c r="CT20" i="19"/>
  <c r="CV20" i="19" s="1"/>
  <c r="BI19" i="22" s="1"/>
  <c r="BF16" i="26" s="1"/>
  <c r="CT21" i="19"/>
  <c r="CV21" i="19" s="1"/>
  <c r="BI20" i="22" s="1"/>
  <c r="BF17" i="26" s="1"/>
  <c r="CT22" i="19"/>
  <c r="CV22" i="19" s="1"/>
  <c r="BI21" i="22" s="1"/>
  <c r="BF18" i="26" s="1"/>
  <c r="CT23" i="19"/>
  <c r="CV23" i="19" s="1"/>
  <c r="BI22" i="22" s="1"/>
  <c r="BF19" i="26" s="1"/>
  <c r="CT24" i="19"/>
  <c r="CV24" i="19" s="1"/>
  <c r="BI23" i="22" s="1"/>
  <c r="BF20" i="26" s="1"/>
  <c r="CT25" i="19"/>
  <c r="CV25" i="19" s="1"/>
  <c r="BI24" i="22" s="1"/>
  <c r="BF21" i="26" s="1"/>
  <c r="CT26" i="19"/>
  <c r="CV26" i="19" s="1"/>
  <c r="BI25" i="22" s="1"/>
  <c r="BF22" i="26" s="1"/>
  <c r="CT27" i="19"/>
  <c r="CV27" i="19" s="1"/>
  <c r="BI26" i="22" s="1"/>
  <c r="BF23" i="26" s="1"/>
  <c r="CT28" i="19"/>
  <c r="CV28" i="19" s="1"/>
  <c r="BI27" i="22" s="1"/>
  <c r="BF24" i="26" s="1"/>
  <c r="CT29" i="19"/>
  <c r="CV29" i="19" s="1"/>
  <c r="BI28" i="22" s="1"/>
  <c r="BF25" i="26" s="1"/>
  <c r="CT30" i="19"/>
  <c r="CV30" i="19" s="1"/>
  <c r="BI29" i="22" s="1"/>
  <c r="BF26" i="26" s="1"/>
  <c r="CT31" i="19"/>
  <c r="CV31" i="19" s="1"/>
  <c r="BI30" i="22" s="1"/>
  <c r="BF27" i="26" s="1"/>
  <c r="CT32" i="19"/>
  <c r="CV32" i="19" s="1"/>
  <c r="BI31" i="22" s="1"/>
  <c r="BF28" i="26" s="1"/>
  <c r="CT33" i="19"/>
  <c r="CV33" i="19" s="1"/>
  <c r="BI32" i="22" s="1"/>
  <c r="BF29" i="26" s="1"/>
  <c r="CT34" i="19"/>
  <c r="CV34" i="19" s="1"/>
  <c r="BI33" i="22" s="1"/>
  <c r="BF30" i="26" s="1"/>
  <c r="CT35" i="19"/>
  <c r="CV35" i="19" s="1"/>
  <c r="BI34" i="22" s="1"/>
  <c r="BF31" i="26" s="1"/>
  <c r="CT36" i="19"/>
  <c r="CV36" i="19" s="1"/>
  <c r="BI35" i="22" s="1"/>
  <c r="BF32" i="26" s="1"/>
  <c r="CT7" i="19"/>
  <c r="CO8" i="19"/>
  <c r="CQ8" i="19" s="1"/>
  <c r="BH7" i="22" s="1"/>
  <c r="BE4" i="26" s="1"/>
  <c r="CO9" i="19"/>
  <c r="CQ9" i="19" s="1"/>
  <c r="BH8" i="22" s="1"/>
  <c r="BE5" i="26" s="1"/>
  <c r="CO10" i="19"/>
  <c r="CQ10" i="19" s="1"/>
  <c r="BH9" i="22" s="1"/>
  <c r="BE6" i="26" s="1"/>
  <c r="CO11" i="19"/>
  <c r="CQ11" i="19" s="1"/>
  <c r="BH10" i="22" s="1"/>
  <c r="BE7" i="26" s="1"/>
  <c r="CO12" i="19"/>
  <c r="CQ12" i="19" s="1"/>
  <c r="BH11" i="22" s="1"/>
  <c r="BE8" i="26" s="1"/>
  <c r="CO13" i="19"/>
  <c r="CQ13" i="19" s="1"/>
  <c r="BH12" i="22" s="1"/>
  <c r="BE9" i="26" s="1"/>
  <c r="CO14" i="19"/>
  <c r="CQ14" i="19" s="1"/>
  <c r="BH13" i="22" s="1"/>
  <c r="BE10" i="26" s="1"/>
  <c r="CO15" i="19"/>
  <c r="CQ15" i="19" s="1"/>
  <c r="BH14" i="22" s="1"/>
  <c r="BE11" i="26" s="1"/>
  <c r="CO16" i="19"/>
  <c r="CQ16" i="19" s="1"/>
  <c r="BH15" i="22" s="1"/>
  <c r="BE12" i="26" s="1"/>
  <c r="CO17" i="19"/>
  <c r="CQ17" i="19" s="1"/>
  <c r="BH16" i="22" s="1"/>
  <c r="BE13" i="26" s="1"/>
  <c r="CO18" i="19"/>
  <c r="CQ18" i="19" s="1"/>
  <c r="BH17" i="22" s="1"/>
  <c r="BE14" i="26" s="1"/>
  <c r="CO19" i="19"/>
  <c r="CQ19" i="19" s="1"/>
  <c r="BH18" i="22" s="1"/>
  <c r="BE15" i="26" s="1"/>
  <c r="CO20" i="19"/>
  <c r="CQ20" i="19" s="1"/>
  <c r="BH19" i="22" s="1"/>
  <c r="BE16" i="26" s="1"/>
  <c r="CO21" i="19"/>
  <c r="CQ21" i="19" s="1"/>
  <c r="BH20" i="22" s="1"/>
  <c r="BE17" i="26" s="1"/>
  <c r="CO22" i="19"/>
  <c r="CQ22" i="19" s="1"/>
  <c r="BH21" i="22" s="1"/>
  <c r="BE18" i="26" s="1"/>
  <c r="CO23" i="19"/>
  <c r="CQ23" i="19" s="1"/>
  <c r="BH22" i="22" s="1"/>
  <c r="BE19" i="26" s="1"/>
  <c r="CO24" i="19"/>
  <c r="CQ24" i="19" s="1"/>
  <c r="BH23" i="22" s="1"/>
  <c r="BE20" i="26" s="1"/>
  <c r="CO25" i="19"/>
  <c r="CQ25" i="19" s="1"/>
  <c r="BH24" i="22" s="1"/>
  <c r="BE21" i="26" s="1"/>
  <c r="CO26" i="19"/>
  <c r="CQ26" i="19" s="1"/>
  <c r="BH25" i="22" s="1"/>
  <c r="BE22" i="26" s="1"/>
  <c r="CO32" i="19"/>
  <c r="CQ32" i="19" s="1"/>
  <c r="BH31" i="22" s="1"/>
  <c r="BE28" i="26" s="1"/>
  <c r="CO33" i="19"/>
  <c r="CQ33" i="19" s="1"/>
  <c r="BH32" i="22" s="1"/>
  <c r="BE29" i="26" s="1"/>
  <c r="CO34" i="19"/>
  <c r="CQ34" i="19" s="1"/>
  <c r="BH33" i="22" s="1"/>
  <c r="BE30" i="26" s="1"/>
  <c r="CO35" i="19"/>
  <c r="CQ35" i="19" s="1"/>
  <c r="BH34" i="22" s="1"/>
  <c r="BE31" i="26" s="1"/>
  <c r="CO36" i="19"/>
  <c r="CQ36" i="19" s="1"/>
  <c r="BH35" i="22" s="1"/>
  <c r="BE32" i="26" s="1"/>
  <c r="CO7" i="19"/>
  <c r="CQ7" i="19" s="1"/>
  <c r="BH6" i="22" s="1"/>
  <c r="BE3" i="26" s="1"/>
  <c r="CJ8" i="19"/>
  <c r="CL8" i="19" s="1"/>
  <c r="BG7" i="22" s="1"/>
  <c r="BD4" i="26" s="1"/>
  <c r="CJ9" i="19"/>
  <c r="CL9" i="19" s="1"/>
  <c r="BG8" i="22" s="1"/>
  <c r="BD5" i="26" s="1"/>
  <c r="CJ10" i="19"/>
  <c r="CL10" i="19" s="1"/>
  <c r="BG9" i="22" s="1"/>
  <c r="BD6" i="26" s="1"/>
  <c r="CJ11" i="19"/>
  <c r="CL11" i="19" s="1"/>
  <c r="BG10" i="22" s="1"/>
  <c r="BD7" i="26" s="1"/>
  <c r="CJ12" i="19"/>
  <c r="CL12" i="19" s="1"/>
  <c r="BG11" i="22" s="1"/>
  <c r="BD8" i="26" s="1"/>
  <c r="CJ13" i="19"/>
  <c r="CL13" i="19" s="1"/>
  <c r="BG12" i="22" s="1"/>
  <c r="BD9" i="26" s="1"/>
  <c r="CJ14" i="19"/>
  <c r="CL14" i="19" s="1"/>
  <c r="BG13" i="22" s="1"/>
  <c r="BD10" i="26" s="1"/>
  <c r="CJ15" i="19"/>
  <c r="CL15" i="19" s="1"/>
  <c r="BG14" i="22" s="1"/>
  <c r="BD11" i="26" s="1"/>
  <c r="CJ16" i="19"/>
  <c r="CL16" i="19" s="1"/>
  <c r="BG15" i="22" s="1"/>
  <c r="BD12" i="26" s="1"/>
  <c r="CJ17" i="19"/>
  <c r="CL17" i="19" s="1"/>
  <c r="BG16" i="22" s="1"/>
  <c r="BD13" i="26" s="1"/>
  <c r="CJ18" i="19"/>
  <c r="CL18" i="19" s="1"/>
  <c r="BG17" i="22" s="1"/>
  <c r="BD14" i="26" s="1"/>
  <c r="CJ19" i="19"/>
  <c r="CL19" i="19" s="1"/>
  <c r="BG18" i="22" s="1"/>
  <c r="BD15" i="26" s="1"/>
  <c r="CJ20" i="19"/>
  <c r="CL20" i="19" s="1"/>
  <c r="BG19" i="22" s="1"/>
  <c r="BD16" i="26" s="1"/>
  <c r="CJ21" i="19"/>
  <c r="CL21" i="19" s="1"/>
  <c r="BG20" i="22" s="1"/>
  <c r="BD17" i="26" s="1"/>
  <c r="CJ22" i="19"/>
  <c r="CL22" i="19" s="1"/>
  <c r="BG21" i="22" s="1"/>
  <c r="BD18" i="26" s="1"/>
  <c r="CJ23" i="19"/>
  <c r="CL23" i="19" s="1"/>
  <c r="BG22" i="22" s="1"/>
  <c r="BD19" i="26" s="1"/>
  <c r="CJ24" i="19"/>
  <c r="CL24" i="19" s="1"/>
  <c r="BG23" i="22" s="1"/>
  <c r="BD20" i="26" s="1"/>
  <c r="CJ25" i="19"/>
  <c r="CL25" i="19" s="1"/>
  <c r="BG24" i="22" s="1"/>
  <c r="BD21" i="26" s="1"/>
  <c r="CJ26" i="19"/>
  <c r="CL26" i="19" s="1"/>
  <c r="BG25" i="22" s="1"/>
  <c r="BD22" i="26" s="1"/>
  <c r="CJ27" i="19"/>
  <c r="CL27" i="19" s="1"/>
  <c r="BG26" i="22" s="1"/>
  <c r="BD23" i="26" s="1"/>
  <c r="CJ28" i="19"/>
  <c r="CL28" i="19" s="1"/>
  <c r="BG27" i="22" s="1"/>
  <c r="BD24" i="26" s="1"/>
  <c r="CJ29" i="19"/>
  <c r="CL29" i="19" s="1"/>
  <c r="BG28" i="22" s="1"/>
  <c r="BD25" i="26" s="1"/>
  <c r="CJ30" i="19"/>
  <c r="CL30" i="19" s="1"/>
  <c r="BG29" i="22" s="1"/>
  <c r="BD26" i="26" s="1"/>
  <c r="CJ31" i="19"/>
  <c r="CL31" i="19" s="1"/>
  <c r="BG30" i="22" s="1"/>
  <c r="BD27" i="26" s="1"/>
  <c r="CJ32" i="19"/>
  <c r="CL32" i="19" s="1"/>
  <c r="BG31" i="22" s="1"/>
  <c r="BD28" i="26" s="1"/>
  <c r="CJ33" i="19"/>
  <c r="CL33" i="19" s="1"/>
  <c r="BG32" i="22" s="1"/>
  <c r="BD29" i="26" s="1"/>
  <c r="CJ34" i="19"/>
  <c r="CL34" i="19" s="1"/>
  <c r="BG33" i="22" s="1"/>
  <c r="BD30" i="26" s="1"/>
  <c r="CJ35" i="19"/>
  <c r="CL35" i="19" s="1"/>
  <c r="BG34" i="22" s="1"/>
  <c r="BD31" i="26" s="1"/>
  <c r="CJ36" i="19"/>
  <c r="CL36" i="19" s="1"/>
  <c r="BG35" i="22" s="1"/>
  <c r="BD32" i="26" s="1"/>
  <c r="CJ7" i="19"/>
  <c r="CL7" i="19" s="1"/>
  <c r="BG6" i="22" s="1"/>
  <c r="BD3" i="26" s="1"/>
  <c r="CE8" i="19"/>
  <c r="CG8" i="19" s="1"/>
  <c r="BF7" i="22" s="1"/>
  <c r="BC4" i="26" s="1"/>
  <c r="CE9" i="19"/>
  <c r="CG9" i="19" s="1"/>
  <c r="BF8" i="22" s="1"/>
  <c r="BC5" i="26" s="1"/>
  <c r="CE10" i="19"/>
  <c r="CG10" i="19" s="1"/>
  <c r="BF9" i="22" s="1"/>
  <c r="BC6" i="26" s="1"/>
  <c r="CE11" i="19"/>
  <c r="CG11" i="19" s="1"/>
  <c r="BF10" i="22" s="1"/>
  <c r="BC7" i="26" s="1"/>
  <c r="CE12" i="19"/>
  <c r="CG12" i="19" s="1"/>
  <c r="BF11" i="22" s="1"/>
  <c r="BC8" i="26" s="1"/>
  <c r="CE13" i="19"/>
  <c r="CG13" i="19" s="1"/>
  <c r="BF12" i="22" s="1"/>
  <c r="BC9" i="26" s="1"/>
  <c r="CE14" i="19"/>
  <c r="CG14" i="19" s="1"/>
  <c r="BF13" i="22" s="1"/>
  <c r="BC10" i="26" s="1"/>
  <c r="CE15" i="19"/>
  <c r="CG15" i="19" s="1"/>
  <c r="BF14" i="22" s="1"/>
  <c r="BC11" i="26" s="1"/>
  <c r="CE16" i="19"/>
  <c r="CG16" i="19" s="1"/>
  <c r="BF15" i="22" s="1"/>
  <c r="BC12" i="26" s="1"/>
  <c r="CE17" i="19"/>
  <c r="CG17" i="19" s="1"/>
  <c r="BF16" i="22" s="1"/>
  <c r="BC13" i="26" s="1"/>
  <c r="CE18" i="19"/>
  <c r="CG18" i="19" s="1"/>
  <c r="BF17" i="22" s="1"/>
  <c r="BC14" i="26" s="1"/>
  <c r="CE19" i="19"/>
  <c r="CG19" i="19" s="1"/>
  <c r="BF18" i="22" s="1"/>
  <c r="BC15" i="26" s="1"/>
  <c r="CE20" i="19"/>
  <c r="CG20" i="19" s="1"/>
  <c r="BF19" i="22" s="1"/>
  <c r="BC16" i="26" s="1"/>
  <c r="CE21" i="19"/>
  <c r="CG21" i="19" s="1"/>
  <c r="BF20" i="22" s="1"/>
  <c r="BC17" i="26" s="1"/>
  <c r="CE22" i="19"/>
  <c r="CG22" i="19" s="1"/>
  <c r="BF21" i="22" s="1"/>
  <c r="BC18" i="26" s="1"/>
  <c r="CE23" i="19"/>
  <c r="CG23" i="19" s="1"/>
  <c r="BF22" i="22" s="1"/>
  <c r="BC19" i="26" s="1"/>
  <c r="CE24" i="19"/>
  <c r="CG24" i="19" s="1"/>
  <c r="BF23" i="22" s="1"/>
  <c r="BC20" i="26" s="1"/>
  <c r="CE25" i="19"/>
  <c r="CG25" i="19" s="1"/>
  <c r="BF24" i="22" s="1"/>
  <c r="BC21" i="26" s="1"/>
  <c r="CE26" i="19"/>
  <c r="CG26" i="19" s="1"/>
  <c r="BF25" i="22" s="1"/>
  <c r="BC22" i="26" s="1"/>
  <c r="CE27" i="19"/>
  <c r="CG27" i="19" s="1"/>
  <c r="BF26" i="22" s="1"/>
  <c r="BC23" i="26" s="1"/>
  <c r="CE28" i="19"/>
  <c r="CG28" i="19" s="1"/>
  <c r="BF27" i="22" s="1"/>
  <c r="BC24" i="26" s="1"/>
  <c r="CE29" i="19"/>
  <c r="CG29" i="19" s="1"/>
  <c r="BF28" i="22" s="1"/>
  <c r="BC25" i="26" s="1"/>
  <c r="CE30" i="19"/>
  <c r="CG30" i="19" s="1"/>
  <c r="BF29" i="22" s="1"/>
  <c r="BC26" i="26" s="1"/>
  <c r="CE31" i="19"/>
  <c r="CG31" i="19" s="1"/>
  <c r="BF30" i="22" s="1"/>
  <c r="BC27" i="26" s="1"/>
  <c r="CE32" i="19"/>
  <c r="CG32" i="19" s="1"/>
  <c r="BF31" i="22" s="1"/>
  <c r="BC28" i="26" s="1"/>
  <c r="CE33" i="19"/>
  <c r="CG33" i="19" s="1"/>
  <c r="BF32" i="22" s="1"/>
  <c r="BC29" i="26" s="1"/>
  <c r="CE34" i="19"/>
  <c r="CG34" i="19" s="1"/>
  <c r="BF33" i="22" s="1"/>
  <c r="BC30" i="26" s="1"/>
  <c r="CE35" i="19"/>
  <c r="CG35" i="19" s="1"/>
  <c r="BF34" i="22" s="1"/>
  <c r="BC31" i="26" s="1"/>
  <c r="CE36" i="19"/>
  <c r="CG36" i="19" s="1"/>
  <c r="BF35" i="22" s="1"/>
  <c r="BC32" i="26" s="1"/>
  <c r="CE7" i="19"/>
  <c r="CG7" i="19" s="1"/>
  <c r="BF6" i="22" s="1"/>
  <c r="BC3" i="26" s="1"/>
  <c r="BZ8" i="19"/>
  <c r="CB8" i="19" s="1"/>
  <c r="BE7" i="22" s="1"/>
  <c r="BB4" i="26" s="1"/>
  <c r="BZ9" i="19"/>
  <c r="CB9" i="19" s="1"/>
  <c r="BE8" i="22" s="1"/>
  <c r="BB5" i="26" s="1"/>
  <c r="BZ10" i="19"/>
  <c r="CB10" i="19" s="1"/>
  <c r="BE9" i="22" s="1"/>
  <c r="BB6" i="26" s="1"/>
  <c r="BZ11" i="19"/>
  <c r="CB11" i="19" s="1"/>
  <c r="BE10" i="22" s="1"/>
  <c r="BB7" i="26" s="1"/>
  <c r="BZ12" i="19"/>
  <c r="CB12" i="19" s="1"/>
  <c r="BE11" i="22" s="1"/>
  <c r="BB8" i="26" s="1"/>
  <c r="BZ13" i="19"/>
  <c r="CB13" i="19" s="1"/>
  <c r="BE12" i="22" s="1"/>
  <c r="BB9" i="26" s="1"/>
  <c r="BZ14" i="19"/>
  <c r="CB14" i="19" s="1"/>
  <c r="BE13" i="22" s="1"/>
  <c r="BB10" i="26" s="1"/>
  <c r="BZ15" i="19"/>
  <c r="CB15" i="19" s="1"/>
  <c r="BE14" i="22" s="1"/>
  <c r="BB11" i="26" s="1"/>
  <c r="BZ16" i="19"/>
  <c r="CB16" i="19" s="1"/>
  <c r="BE15" i="22" s="1"/>
  <c r="BB12" i="26" s="1"/>
  <c r="BZ17" i="19"/>
  <c r="CB17" i="19" s="1"/>
  <c r="BE16" i="22" s="1"/>
  <c r="BB13" i="26" s="1"/>
  <c r="BZ18" i="19"/>
  <c r="CB18" i="19" s="1"/>
  <c r="BE17" i="22" s="1"/>
  <c r="BB14" i="26" s="1"/>
  <c r="BZ19" i="19"/>
  <c r="CB19" i="19" s="1"/>
  <c r="BE18" i="22" s="1"/>
  <c r="BB15" i="26" s="1"/>
  <c r="BZ20" i="19"/>
  <c r="CB20" i="19" s="1"/>
  <c r="BE19" i="22" s="1"/>
  <c r="BB16" i="26" s="1"/>
  <c r="BZ21" i="19"/>
  <c r="CB21" i="19" s="1"/>
  <c r="BE20" i="22" s="1"/>
  <c r="BB17" i="26" s="1"/>
  <c r="BZ22" i="19"/>
  <c r="CB22" i="19" s="1"/>
  <c r="BE21" i="22" s="1"/>
  <c r="BB18" i="26" s="1"/>
  <c r="BZ23" i="19"/>
  <c r="CB23" i="19" s="1"/>
  <c r="BE22" i="22" s="1"/>
  <c r="BB19" i="26" s="1"/>
  <c r="CB24" i="19"/>
  <c r="BE23" i="22" s="1"/>
  <c r="BB20" i="26" s="1"/>
  <c r="BZ25" i="19"/>
  <c r="CB25" i="19" s="1"/>
  <c r="BE24" i="22" s="1"/>
  <c r="BB21" i="26" s="1"/>
  <c r="BZ26" i="19"/>
  <c r="CB26" i="19" s="1"/>
  <c r="BE25" i="22" s="1"/>
  <c r="BB22" i="26" s="1"/>
  <c r="BZ27" i="19"/>
  <c r="CB27" i="19" s="1"/>
  <c r="BE26" i="22" s="1"/>
  <c r="BB23" i="26" s="1"/>
  <c r="BZ28" i="19"/>
  <c r="CB28" i="19" s="1"/>
  <c r="BE27" i="22" s="1"/>
  <c r="BB24" i="26" s="1"/>
  <c r="BZ29" i="19"/>
  <c r="CB29" i="19" s="1"/>
  <c r="BE28" i="22" s="1"/>
  <c r="BB25" i="26" s="1"/>
  <c r="BZ30" i="19"/>
  <c r="CB30" i="19" s="1"/>
  <c r="BE29" i="22" s="1"/>
  <c r="BB26" i="26" s="1"/>
  <c r="BZ31" i="19"/>
  <c r="CB31" i="19" s="1"/>
  <c r="BE30" i="22" s="1"/>
  <c r="BB27" i="26" s="1"/>
  <c r="BZ32" i="19"/>
  <c r="CB32" i="19" s="1"/>
  <c r="BE31" i="22" s="1"/>
  <c r="BB28" i="26" s="1"/>
  <c r="BZ33" i="19"/>
  <c r="CB33" i="19" s="1"/>
  <c r="BE32" i="22" s="1"/>
  <c r="BB29" i="26" s="1"/>
  <c r="BZ34" i="19"/>
  <c r="CB34" i="19" s="1"/>
  <c r="BE33" i="22" s="1"/>
  <c r="BB30" i="26" s="1"/>
  <c r="BZ35" i="19"/>
  <c r="CB35" i="19" s="1"/>
  <c r="BE34" i="22" s="1"/>
  <c r="BB31" i="26" s="1"/>
  <c r="BZ36" i="19"/>
  <c r="CB36" i="19" s="1"/>
  <c r="BE35" i="22" s="1"/>
  <c r="BB32" i="26" s="1"/>
  <c r="BZ7" i="19"/>
  <c r="CB7" i="19" s="1"/>
  <c r="BE6" i="22" s="1"/>
  <c r="BB3" i="26" s="1"/>
  <c r="BW8" i="19"/>
  <c r="BD7" i="22" s="1"/>
  <c r="BA4" i="26" s="1"/>
  <c r="BU9" i="19"/>
  <c r="BW9" i="19" s="1"/>
  <c r="BD8" i="22" s="1"/>
  <c r="BA5" i="26" s="1"/>
  <c r="BU10" i="19"/>
  <c r="BW10" i="19" s="1"/>
  <c r="BD9" i="22" s="1"/>
  <c r="BA6" i="26" s="1"/>
  <c r="BU11" i="19"/>
  <c r="BW11" i="19" s="1"/>
  <c r="BD10" i="22" s="1"/>
  <c r="BA7" i="26" s="1"/>
  <c r="BU12" i="19"/>
  <c r="BW12" i="19" s="1"/>
  <c r="BD11" i="22" s="1"/>
  <c r="BA8" i="26" s="1"/>
  <c r="BU13" i="19"/>
  <c r="BW13" i="19" s="1"/>
  <c r="BD12" i="22" s="1"/>
  <c r="BA9" i="26" s="1"/>
  <c r="BU14" i="19"/>
  <c r="BW14" i="19" s="1"/>
  <c r="BD13" i="22" s="1"/>
  <c r="BA10" i="26" s="1"/>
  <c r="BU15" i="19"/>
  <c r="BW15" i="19" s="1"/>
  <c r="BD14" i="22" s="1"/>
  <c r="BA11" i="26" s="1"/>
  <c r="BU16" i="19"/>
  <c r="BW16" i="19" s="1"/>
  <c r="BD15" i="22" s="1"/>
  <c r="BA12" i="26" s="1"/>
  <c r="BU17" i="19"/>
  <c r="BW17" i="19" s="1"/>
  <c r="BD16" i="22" s="1"/>
  <c r="BA13" i="26" s="1"/>
  <c r="BU18" i="19"/>
  <c r="BW18" i="19" s="1"/>
  <c r="BD17" i="22" s="1"/>
  <c r="BA14" i="26" s="1"/>
  <c r="BU19" i="19"/>
  <c r="BW19" i="19" s="1"/>
  <c r="BD18" i="22" s="1"/>
  <c r="BA15" i="26" s="1"/>
  <c r="BU20" i="19"/>
  <c r="BW20" i="19" s="1"/>
  <c r="BD19" i="22" s="1"/>
  <c r="BA16" i="26" s="1"/>
  <c r="BU21" i="19"/>
  <c r="BW21" i="19" s="1"/>
  <c r="BD20" i="22" s="1"/>
  <c r="BA17" i="26" s="1"/>
  <c r="BU22" i="19"/>
  <c r="BW22" i="19" s="1"/>
  <c r="BD21" i="22" s="1"/>
  <c r="BA18" i="26" s="1"/>
  <c r="BU23" i="19"/>
  <c r="BW23" i="19" s="1"/>
  <c r="BD22" i="22" s="1"/>
  <c r="BA19" i="26" s="1"/>
  <c r="BU24" i="19"/>
  <c r="BW24" i="19" s="1"/>
  <c r="BD23" i="22" s="1"/>
  <c r="BA20" i="26" s="1"/>
  <c r="BU25" i="19"/>
  <c r="BW25" i="19" s="1"/>
  <c r="BD24" i="22" s="1"/>
  <c r="BA21" i="26" s="1"/>
  <c r="BU26" i="19"/>
  <c r="BW26" i="19" s="1"/>
  <c r="BD25" i="22" s="1"/>
  <c r="BA22" i="26" s="1"/>
  <c r="BU27" i="19"/>
  <c r="BW27" i="19" s="1"/>
  <c r="BD26" i="22" s="1"/>
  <c r="BA23" i="26" s="1"/>
  <c r="BU28" i="19"/>
  <c r="BW28" i="19" s="1"/>
  <c r="BD27" i="22" s="1"/>
  <c r="BA24" i="26" s="1"/>
  <c r="BU29" i="19"/>
  <c r="BW29" i="19" s="1"/>
  <c r="BD28" i="22" s="1"/>
  <c r="BA25" i="26" s="1"/>
  <c r="BU30" i="19"/>
  <c r="BW30" i="19" s="1"/>
  <c r="BD29" i="22" s="1"/>
  <c r="BA26" i="26" s="1"/>
  <c r="BU31" i="19"/>
  <c r="BW31" i="19" s="1"/>
  <c r="BD30" i="22" s="1"/>
  <c r="BA27" i="26" s="1"/>
  <c r="BU32" i="19"/>
  <c r="BW32" i="19" s="1"/>
  <c r="BD31" i="22" s="1"/>
  <c r="BA28" i="26" s="1"/>
  <c r="BU33" i="19"/>
  <c r="BW33" i="19" s="1"/>
  <c r="BD32" i="22" s="1"/>
  <c r="BA29" i="26" s="1"/>
  <c r="BU34" i="19"/>
  <c r="BW34" i="19" s="1"/>
  <c r="BD33" i="22" s="1"/>
  <c r="BA30" i="26" s="1"/>
  <c r="BU35" i="19"/>
  <c r="BW35" i="19" s="1"/>
  <c r="BD34" i="22" s="1"/>
  <c r="BA31" i="26" s="1"/>
  <c r="BU36" i="19"/>
  <c r="BW36" i="19" s="1"/>
  <c r="BD35" i="22" s="1"/>
  <c r="BA32" i="26" s="1"/>
  <c r="BW7" i="19"/>
  <c r="BD6" i="22" s="1"/>
  <c r="BA3" i="26" s="1"/>
  <c r="BP8" i="19"/>
  <c r="BR8" i="19" s="1"/>
  <c r="BC7" i="22" s="1"/>
  <c r="AZ4" i="26" s="1"/>
  <c r="BP9" i="19"/>
  <c r="BR9" i="19" s="1"/>
  <c r="BC8" i="22" s="1"/>
  <c r="AZ5" i="26" s="1"/>
  <c r="BP10" i="19"/>
  <c r="BR10" i="19" s="1"/>
  <c r="BC9" i="22" s="1"/>
  <c r="AZ6" i="26" s="1"/>
  <c r="BP11" i="19"/>
  <c r="BR11" i="19" s="1"/>
  <c r="BC10" i="22" s="1"/>
  <c r="AZ7" i="26" s="1"/>
  <c r="BP12" i="19"/>
  <c r="BR12" i="19" s="1"/>
  <c r="BC11" i="22" s="1"/>
  <c r="AZ8" i="26" s="1"/>
  <c r="BP13" i="19"/>
  <c r="BR13" i="19" s="1"/>
  <c r="BC12" i="22" s="1"/>
  <c r="AZ9" i="26" s="1"/>
  <c r="BP14" i="19"/>
  <c r="BR14" i="19" s="1"/>
  <c r="BC13" i="22" s="1"/>
  <c r="AZ10" i="26" s="1"/>
  <c r="BP15" i="19"/>
  <c r="BR15" i="19" s="1"/>
  <c r="BC14" i="22" s="1"/>
  <c r="AZ11" i="26" s="1"/>
  <c r="BP16" i="19"/>
  <c r="BR16" i="19" s="1"/>
  <c r="BC15" i="22" s="1"/>
  <c r="AZ12" i="26" s="1"/>
  <c r="BP17" i="19"/>
  <c r="BR17" i="19" s="1"/>
  <c r="BC16" i="22" s="1"/>
  <c r="AZ13" i="26" s="1"/>
  <c r="BP18" i="19"/>
  <c r="BR18" i="19" s="1"/>
  <c r="BC17" i="22" s="1"/>
  <c r="AZ14" i="26" s="1"/>
  <c r="BR19" i="19"/>
  <c r="BC18" i="22" s="1"/>
  <c r="AZ15" i="26" s="1"/>
  <c r="BP20" i="19"/>
  <c r="BR20" i="19" s="1"/>
  <c r="BC19" i="22" s="1"/>
  <c r="AZ16" i="26" s="1"/>
  <c r="BP21" i="19"/>
  <c r="BR21" i="19" s="1"/>
  <c r="BC20" i="22" s="1"/>
  <c r="AZ17" i="26" s="1"/>
  <c r="BP22" i="19"/>
  <c r="BR22" i="19" s="1"/>
  <c r="BC21" i="22" s="1"/>
  <c r="AZ18" i="26" s="1"/>
  <c r="BP23" i="19"/>
  <c r="BR23" i="19" s="1"/>
  <c r="BC22" i="22" s="1"/>
  <c r="AZ19" i="26" s="1"/>
  <c r="BP24" i="19"/>
  <c r="BR24" i="19" s="1"/>
  <c r="BC23" i="22" s="1"/>
  <c r="AZ20" i="26" s="1"/>
  <c r="BP25" i="19"/>
  <c r="BR25" i="19" s="1"/>
  <c r="BC24" i="22" s="1"/>
  <c r="AZ21" i="26" s="1"/>
  <c r="BP26" i="19"/>
  <c r="BR26" i="19" s="1"/>
  <c r="BC25" i="22" s="1"/>
  <c r="AZ22" i="26" s="1"/>
  <c r="BP27" i="19"/>
  <c r="BR27" i="19" s="1"/>
  <c r="BC26" i="22" s="1"/>
  <c r="AZ23" i="26" s="1"/>
  <c r="BP28" i="19"/>
  <c r="BR28" i="19" s="1"/>
  <c r="BC27" i="22" s="1"/>
  <c r="AZ24" i="26" s="1"/>
  <c r="BP29" i="19"/>
  <c r="BR29" i="19" s="1"/>
  <c r="BC28" i="22" s="1"/>
  <c r="AZ25" i="26" s="1"/>
  <c r="BP30" i="19"/>
  <c r="BR30" i="19" s="1"/>
  <c r="BC29" i="22" s="1"/>
  <c r="AZ26" i="26" s="1"/>
  <c r="BP31" i="19"/>
  <c r="BR31" i="19" s="1"/>
  <c r="BC30" i="22" s="1"/>
  <c r="AZ27" i="26" s="1"/>
  <c r="BP32" i="19"/>
  <c r="BR32" i="19" s="1"/>
  <c r="BC31" i="22" s="1"/>
  <c r="AZ28" i="26" s="1"/>
  <c r="BR33" i="19"/>
  <c r="BC32" i="22" s="1"/>
  <c r="AZ29" i="26" s="1"/>
  <c r="BR34" i="19"/>
  <c r="BC33" i="22" s="1"/>
  <c r="AZ30" i="26" s="1"/>
  <c r="BP35" i="19"/>
  <c r="BR35" i="19" s="1"/>
  <c r="BC34" i="22" s="1"/>
  <c r="AZ31" i="26" s="1"/>
  <c r="BP36" i="19"/>
  <c r="BR36" i="19" s="1"/>
  <c r="BC35" i="22" s="1"/>
  <c r="AZ32" i="26" s="1"/>
  <c r="BP7" i="19"/>
  <c r="BR7" i="19" s="1"/>
  <c r="BC6" i="22" s="1"/>
  <c r="AZ3" i="26" s="1"/>
  <c r="BK8" i="19"/>
  <c r="BM8" i="19" s="1"/>
  <c r="BB7" i="22" s="1"/>
  <c r="AY4" i="26" s="1"/>
  <c r="BK9" i="19"/>
  <c r="BM9" i="19" s="1"/>
  <c r="BB8" i="22" s="1"/>
  <c r="AY5" i="26" s="1"/>
  <c r="BK10" i="19"/>
  <c r="BM10" i="19" s="1"/>
  <c r="BB9" i="22" s="1"/>
  <c r="AY6" i="26" s="1"/>
  <c r="BK11" i="19"/>
  <c r="BM11" i="19" s="1"/>
  <c r="BB10" i="22" s="1"/>
  <c r="AY7" i="26" s="1"/>
  <c r="BK12" i="19"/>
  <c r="BM12" i="19" s="1"/>
  <c r="BB11" i="22" s="1"/>
  <c r="AY8" i="26" s="1"/>
  <c r="BK13" i="19"/>
  <c r="BM13" i="19" s="1"/>
  <c r="BB12" i="22" s="1"/>
  <c r="AY9" i="26" s="1"/>
  <c r="BK16" i="19"/>
  <c r="BM16" i="19" s="1"/>
  <c r="BB15" i="22" s="1"/>
  <c r="AY12" i="26" s="1"/>
  <c r="BK17" i="19"/>
  <c r="BM17" i="19" s="1"/>
  <c r="BB16" i="22" s="1"/>
  <c r="AY13" i="26" s="1"/>
  <c r="BK18" i="19"/>
  <c r="BM18" i="19" s="1"/>
  <c r="BB17" i="22" s="1"/>
  <c r="AY14" i="26" s="1"/>
  <c r="BK19" i="19"/>
  <c r="BM19" i="19" s="1"/>
  <c r="BB18" i="22" s="1"/>
  <c r="AY15" i="26" s="1"/>
  <c r="BK20" i="19"/>
  <c r="BM20" i="19" s="1"/>
  <c r="BB19" i="22" s="1"/>
  <c r="AY16" i="26" s="1"/>
  <c r="BK21" i="19"/>
  <c r="BM21" i="19" s="1"/>
  <c r="BB20" i="22" s="1"/>
  <c r="AY17" i="26" s="1"/>
  <c r="BK22" i="19"/>
  <c r="BM22" i="19" s="1"/>
  <c r="BB21" i="22" s="1"/>
  <c r="AY18" i="26" s="1"/>
  <c r="BK23" i="19"/>
  <c r="BM23" i="19" s="1"/>
  <c r="BB22" i="22" s="1"/>
  <c r="AY19" i="26" s="1"/>
  <c r="BK24" i="19"/>
  <c r="BM24" i="19" s="1"/>
  <c r="BB23" i="22" s="1"/>
  <c r="AY20" i="26" s="1"/>
  <c r="BK25" i="19"/>
  <c r="BM25" i="19" s="1"/>
  <c r="BB24" i="22" s="1"/>
  <c r="AY21" i="26" s="1"/>
  <c r="BK26" i="19"/>
  <c r="BM26" i="19" s="1"/>
  <c r="BB25" i="22" s="1"/>
  <c r="AY22" i="26" s="1"/>
  <c r="BK27" i="19"/>
  <c r="BM27" i="19" s="1"/>
  <c r="BB26" i="22" s="1"/>
  <c r="AY23" i="26" s="1"/>
  <c r="BK28" i="19"/>
  <c r="BM28" i="19" s="1"/>
  <c r="BB27" i="22" s="1"/>
  <c r="AY24" i="26" s="1"/>
  <c r="BK29" i="19"/>
  <c r="BM29" i="19" s="1"/>
  <c r="BB28" i="22" s="1"/>
  <c r="AY25" i="26" s="1"/>
  <c r="BK30" i="19"/>
  <c r="BM30" i="19" s="1"/>
  <c r="BB29" i="22" s="1"/>
  <c r="AY26" i="26" s="1"/>
  <c r="BK31" i="19"/>
  <c r="BM31" i="19" s="1"/>
  <c r="BB30" i="22" s="1"/>
  <c r="AY27" i="26" s="1"/>
  <c r="BK32" i="19"/>
  <c r="BM32" i="19" s="1"/>
  <c r="BB31" i="22" s="1"/>
  <c r="AY28" i="26" s="1"/>
  <c r="BK33" i="19"/>
  <c r="BM33" i="19" s="1"/>
  <c r="BB32" i="22" s="1"/>
  <c r="AY29" i="26" s="1"/>
  <c r="BK34" i="19"/>
  <c r="BM34" i="19" s="1"/>
  <c r="BB33" i="22" s="1"/>
  <c r="AY30" i="26" s="1"/>
  <c r="BK35" i="19"/>
  <c r="BM35" i="19" s="1"/>
  <c r="BB34" i="22" s="1"/>
  <c r="AY31" i="26" s="1"/>
  <c r="BK36" i="19"/>
  <c r="BM36" i="19" s="1"/>
  <c r="BB35" i="22" s="1"/>
  <c r="AY32" i="26" s="1"/>
  <c r="BK7" i="19"/>
  <c r="BM7" i="19" s="1"/>
  <c r="BB6" i="22" s="1"/>
  <c r="AY3" i="26" s="1"/>
  <c r="BF8" i="19"/>
  <c r="BH8" i="19" s="1"/>
  <c r="BA7" i="22" s="1"/>
  <c r="AX4" i="26" s="1"/>
  <c r="BF9" i="19"/>
  <c r="BH9" i="19" s="1"/>
  <c r="BA8" i="22" s="1"/>
  <c r="AX5" i="26" s="1"/>
  <c r="BF10" i="19"/>
  <c r="BH10" i="19" s="1"/>
  <c r="BA9" i="22" s="1"/>
  <c r="AX6" i="26" s="1"/>
  <c r="BF11" i="19"/>
  <c r="BH11" i="19" s="1"/>
  <c r="BA10" i="22" s="1"/>
  <c r="AX7" i="26" s="1"/>
  <c r="BF12" i="19"/>
  <c r="BH12" i="19" s="1"/>
  <c r="BA11" i="22" s="1"/>
  <c r="AX8" i="26" s="1"/>
  <c r="BF13" i="19"/>
  <c r="BH13" i="19" s="1"/>
  <c r="BA12" i="22" s="1"/>
  <c r="AX9" i="26" s="1"/>
  <c r="BF14" i="19"/>
  <c r="BH14" i="19" s="1"/>
  <c r="BA13" i="22" s="1"/>
  <c r="AX10" i="26" s="1"/>
  <c r="BF15" i="19"/>
  <c r="BH15" i="19" s="1"/>
  <c r="BA14" i="22" s="1"/>
  <c r="AX11" i="26" s="1"/>
  <c r="BF16" i="19"/>
  <c r="BH16" i="19" s="1"/>
  <c r="BA15" i="22" s="1"/>
  <c r="AX12" i="26" s="1"/>
  <c r="BF17" i="19"/>
  <c r="BH17" i="19" s="1"/>
  <c r="BA16" i="22" s="1"/>
  <c r="AX13" i="26" s="1"/>
  <c r="BH18" i="19"/>
  <c r="BA17" i="22" s="1"/>
  <c r="AX14" i="26" s="1"/>
  <c r="BF19" i="19"/>
  <c r="BH19" i="19" s="1"/>
  <c r="BA18" i="22" s="1"/>
  <c r="AX15" i="26" s="1"/>
  <c r="BF20" i="19"/>
  <c r="BH20" i="19" s="1"/>
  <c r="BA19" i="22" s="1"/>
  <c r="AX16" i="26" s="1"/>
  <c r="BF21" i="19"/>
  <c r="BH21" i="19" s="1"/>
  <c r="BA20" i="22" s="1"/>
  <c r="AX17" i="26" s="1"/>
  <c r="BF22" i="19"/>
  <c r="BH22" i="19" s="1"/>
  <c r="BA21" i="22" s="1"/>
  <c r="AX18" i="26" s="1"/>
  <c r="BF23" i="19"/>
  <c r="BH23" i="19" s="1"/>
  <c r="BA22" i="22" s="1"/>
  <c r="AX19" i="26" s="1"/>
  <c r="BF24" i="19"/>
  <c r="BH24" i="19" s="1"/>
  <c r="BA23" i="22" s="1"/>
  <c r="AX20" i="26" s="1"/>
  <c r="BF25" i="19"/>
  <c r="BH25" i="19" s="1"/>
  <c r="BA24" i="22" s="1"/>
  <c r="AX21" i="26" s="1"/>
  <c r="BF26" i="19"/>
  <c r="BH26" i="19" s="1"/>
  <c r="BA25" i="22" s="1"/>
  <c r="AX22" i="26" s="1"/>
  <c r="BF27" i="19"/>
  <c r="BH27" i="19" s="1"/>
  <c r="BA26" i="22" s="1"/>
  <c r="AX23" i="26" s="1"/>
  <c r="BF28" i="19"/>
  <c r="BH28" i="19" s="1"/>
  <c r="BA27" i="22" s="1"/>
  <c r="AX24" i="26" s="1"/>
  <c r="BF29" i="19"/>
  <c r="BH29" i="19" s="1"/>
  <c r="BA28" i="22" s="1"/>
  <c r="AX25" i="26" s="1"/>
  <c r="BF30" i="19"/>
  <c r="BH30" i="19" s="1"/>
  <c r="BA29" i="22" s="1"/>
  <c r="AX26" i="26" s="1"/>
  <c r="BF31" i="19"/>
  <c r="BH31" i="19" s="1"/>
  <c r="BA30" i="22" s="1"/>
  <c r="AX27" i="26" s="1"/>
  <c r="BF32" i="19"/>
  <c r="BH32" i="19" s="1"/>
  <c r="BA31" i="22" s="1"/>
  <c r="AX28" i="26" s="1"/>
  <c r="BF33" i="19"/>
  <c r="BH33" i="19" s="1"/>
  <c r="BA32" i="22" s="1"/>
  <c r="AX29" i="26" s="1"/>
  <c r="BF34" i="19"/>
  <c r="BH34" i="19" s="1"/>
  <c r="BA33" i="22" s="1"/>
  <c r="AX30" i="26" s="1"/>
  <c r="BF35" i="19"/>
  <c r="BH35" i="19" s="1"/>
  <c r="BA34" i="22" s="1"/>
  <c r="AX31" i="26" s="1"/>
  <c r="BF36" i="19"/>
  <c r="BH36" i="19" s="1"/>
  <c r="BA35" i="22" s="1"/>
  <c r="AX32" i="26" s="1"/>
  <c r="BF7" i="19"/>
  <c r="BH7" i="19" s="1"/>
  <c r="BA6" i="22" s="1"/>
  <c r="AX3" i="26" s="1"/>
  <c r="AL8" i="19"/>
  <c r="AN8" i="19" s="1"/>
  <c r="AW7" i="22" s="1"/>
  <c r="AT4" i="26" s="1"/>
  <c r="AL9" i="19"/>
  <c r="AN9" i="19" s="1"/>
  <c r="AW8" i="22" s="1"/>
  <c r="AT5" i="26" s="1"/>
  <c r="AL10" i="19"/>
  <c r="AN10" i="19" s="1"/>
  <c r="AW9" i="22" s="1"/>
  <c r="AT6" i="26" s="1"/>
  <c r="AL11" i="19"/>
  <c r="AN11" i="19" s="1"/>
  <c r="AW10" i="22" s="1"/>
  <c r="AT7" i="26" s="1"/>
  <c r="AL12" i="19"/>
  <c r="AN12" i="19" s="1"/>
  <c r="AW11" i="22" s="1"/>
  <c r="AT8" i="26" s="1"/>
  <c r="AL13" i="19"/>
  <c r="AN13" i="19" s="1"/>
  <c r="AW12" i="22" s="1"/>
  <c r="AT9" i="26" s="1"/>
  <c r="AL14" i="19"/>
  <c r="AN14" i="19" s="1"/>
  <c r="AW13" i="22" s="1"/>
  <c r="AT10" i="26" s="1"/>
  <c r="AL15" i="19"/>
  <c r="AN15" i="19" s="1"/>
  <c r="AW14" i="22" s="1"/>
  <c r="AT11" i="26" s="1"/>
  <c r="AL16" i="19"/>
  <c r="AN16" i="19" s="1"/>
  <c r="AW15" i="22" s="1"/>
  <c r="AT12" i="26" s="1"/>
  <c r="AL17" i="19"/>
  <c r="AN17" i="19" s="1"/>
  <c r="AW16" i="22" s="1"/>
  <c r="AT13" i="26" s="1"/>
  <c r="AL18" i="19"/>
  <c r="AN18" i="19" s="1"/>
  <c r="AW17" i="22" s="1"/>
  <c r="AT14" i="26" s="1"/>
  <c r="AL19" i="19"/>
  <c r="AN19" i="19" s="1"/>
  <c r="AW18" i="22" s="1"/>
  <c r="AT15" i="26" s="1"/>
  <c r="AL20" i="19"/>
  <c r="AN20" i="19" s="1"/>
  <c r="AW19" i="22" s="1"/>
  <c r="AT16" i="26" s="1"/>
  <c r="AL21" i="19"/>
  <c r="AN21" i="19" s="1"/>
  <c r="AW20" i="22" s="1"/>
  <c r="AT17" i="26" s="1"/>
  <c r="AL22" i="19"/>
  <c r="AN22" i="19" s="1"/>
  <c r="AW21" i="22" s="1"/>
  <c r="AT18" i="26" s="1"/>
  <c r="AL23" i="19"/>
  <c r="AN23" i="19" s="1"/>
  <c r="AW22" i="22" s="1"/>
  <c r="AT19" i="26" s="1"/>
  <c r="AL24" i="19"/>
  <c r="AN24" i="19" s="1"/>
  <c r="AW23" i="22" s="1"/>
  <c r="AT20" i="26" s="1"/>
  <c r="AL25" i="19"/>
  <c r="AN25" i="19" s="1"/>
  <c r="AW24" i="22" s="1"/>
  <c r="AT21" i="26" s="1"/>
  <c r="AL26" i="19"/>
  <c r="AN26" i="19" s="1"/>
  <c r="AW25" i="22" s="1"/>
  <c r="AT22" i="26" s="1"/>
  <c r="AL27" i="19"/>
  <c r="AN27" i="19" s="1"/>
  <c r="AW26" i="22" s="1"/>
  <c r="AT23" i="26" s="1"/>
  <c r="AL28" i="19"/>
  <c r="AN28" i="19" s="1"/>
  <c r="AW27" i="22" s="1"/>
  <c r="AT24" i="26" s="1"/>
  <c r="AL29" i="19"/>
  <c r="AN29" i="19" s="1"/>
  <c r="AW28" i="22" s="1"/>
  <c r="AT25" i="26" s="1"/>
  <c r="AL30" i="19"/>
  <c r="AN30" i="19" s="1"/>
  <c r="AW29" i="22" s="1"/>
  <c r="AT26" i="26" s="1"/>
  <c r="AL31" i="19"/>
  <c r="AN31" i="19" s="1"/>
  <c r="AW30" i="22" s="1"/>
  <c r="AT27" i="26" s="1"/>
  <c r="AL32" i="19"/>
  <c r="AN32" i="19" s="1"/>
  <c r="AW31" i="22" s="1"/>
  <c r="AT28" i="26" s="1"/>
  <c r="AL33" i="19"/>
  <c r="AN33" i="19" s="1"/>
  <c r="AW32" i="22" s="1"/>
  <c r="AT29" i="26" s="1"/>
  <c r="AL34" i="19"/>
  <c r="AN34" i="19" s="1"/>
  <c r="AW33" i="22" s="1"/>
  <c r="AT30" i="26" s="1"/>
  <c r="AL35" i="19"/>
  <c r="AN35" i="19" s="1"/>
  <c r="AW34" i="22" s="1"/>
  <c r="AT31" i="26" s="1"/>
  <c r="AL36" i="19"/>
  <c r="AN36" i="19" s="1"/>
  <c r="AW35" i="22" s="1"/>
  <c r="AT32" i="26" s="1"/>
  <c r="AL7" i="19"/>
  <c r="AN7" i="19" s="1"/>
  <c r="AW6" i="22" s="1"/>
  <c r="AT3" i="26" s="1"/>
  <c r="AG8" i="19"/>
  <c r="AI8" i="19" s="1"/>
  <c r="AV7" i="22" s="1"/>
  <c r="AS4" i="26" s="1"/>
  <c r="AG9" i="19"/>
  <c r="AI9" i="19" s="1"/>
  <c r="AV8" i="22" s="1"/>
  <c r="AS5" i="26" s="1"/>
  <c r="AG10" i="19"/>
  <c r="AI10" i="19" s="1"/>
  <c r="AV9" i="22" s="1"/>
  <c r="AS6" i="26" s="1"/>
  <c r="AG11" i="19"/>
  <c r="AI11" i="19" s="1"/>
  <c r="AV10" i="22" s="1"/>
  <c r="AS7" i="26" s="1"/>
  <c r="AG12" i="19"/>
  <c r="AI12" i="19" s="1"/>
  <c r="AV11" i="22" s="1"/>
  <c r="AS8" i="26" s="1"/>
  <c r="AG13" i="19"/>
  <c r="AI13" i="19" s="1"/>
  <c r="AV12" i="22" s="1"/>
  <c r="AS9" i="26" s="1"/>
  <c r="AG14" i="19"/>
  <c r="AI14" i="19" s="1"/>
  <c r="AV13" i="22" s="1"/>
  <c r="AS10" i="26" s="1"/>
  <c r="AG15" i="19"/>
  <c r="AI15" i="19" s="1"/>
  <c r="AV14" i="22" s="1"/>
  <c r="AS11" i="26" s="1"/>
  <c r="AG16" i="19"/>
  <c r="AI16" i="19" s="1"/>
  <c r="AV15" i="22" s="1"/>
  <c r="AS12" i="26" s="1"/>
  <c r="AG17" i="19"/>
  <c r="AI17" i="19" s="1"/>
  <c r="AV16" i="22" s="1"/>
  <c r="AS13" i="26" s="1"/>
  <c r="AG18" i="19"/>
  <c r="AI18" i="19" s="1"/>
  <c r="AV17" i="22" s="1"/>
  <c r="AS14" i="26" s="1"/>
  <c r="AG19" i="19"/>
  <c r="AI19" i="19" s="1"/>
  <c r="AV18" i="22" s="1"/>
  <c r="AS15" i="26" s="1"/>
  <c r="AG20" i="19"/>
  <c r="AI20" i="19" s="1"/>
  <c r="AV19" i="22" s="1"/>
  <c r="AS16" i="26" s="1"/>
  <c r="AG21" i="19"/>
  <c r="AI21" i="19" s="1"/>
  <c r="AV20" i="22" s="1"/>
  <c r="AS17" i="26" s="1"/>
  <c r="AG22" i="19"/>
  <c r="AI22" i="19" s="1"/>
  <c r="AV21" i="22" s="1"/>
  <c r="AS18" i="26" s="1"/>
  <c r="AG23" i="19"/>
  <c r="AI23" i="19" s="1"/>
  <c r="AV22" i="22" s="1"/>
  <c r="AS19" i="26" s="1"/>
  <c r="AG24" i="19"/>
  <c r="AI24" i="19" s="1"/>
  <c r="AV23" i="22" s="1"/>
  <c r="AS20" i="26" s="1"/>
  <c r="AG25" i="19"/>
  <c r="AI25" i="19" s="1"/>
  <c r="AV24" i="22" s="1"/>
  <c r="AS21" i="26" s="1"/>
  <c r="AG26" i="19"/>
  <c r="AI26" i="19" s="1"/>
  <c r="AV25" i="22" s="1"/>
  <c r="AS22" i="26" s="1"/>
  <c r="AG27" i="19"/>
  <c r="AI27" i="19" s="1"/>
  <c r="AV26" i="22" s="1"/>
  <c r="AS23" i="26" s="1"/>
  <c r="AG28" i="19"/>
  <c r="AI28" i="19" s="1"/>
  <c r="AV27" i="22" s="1"/>
  <c r="AS24" i="26" s="1"/>
  <c r="AG29" i="19"/>
  <c r="AI29" i="19" s="1"/>
  <c r="AV28" i="22" s="1"/>
  <c r="AS25" i="26" s="1"/>
  <c r="AG30" i="19"/>
  <c r="AI30" i="19" s="1"/>
  <c r="AV29" i="22" s="1"/>
  <c r="AS26" i="26" s="1"/>
  <c r="AG31" i="19"/>
  <c r="AI31" i="19" s="1"/>
  <c r="AV30" i="22" s="1"/>
  <c r="AS27" i="26" s="1"/>
  <c r="AG32" i="19"/>
  <c r="AI32" i="19" s="1"/>
  <c r="AV31" i="22" s="1"/>
  <c r="AS28" i="26" s="1"/>
  <c r="AG33" i="19"/>
  <c r="AI33" i="19" s="1"/>
  <c r="AV32" i="22" s="1"/>
  <c r="AS29" i="26" s="1"/>
  <c r="AG34" i="19"/>
  <c r="AI34" i="19" s="1"/>
  <c r="AV33" i="22" s="1"/>
  <c r="AS30" i="26" s="1"/>
  <c r="AG35" i="19"/>
  <c r="AI35" i="19" s="1"/>
  <c r="AV34" i="22" s="1"/>
  <c r="AS31" i="26" s="1"/>
  <c r="AG36" i="19"/>
  <c r="AI36" i="19" s="1"/>
  <c r="AV35" i="22" s="1"/>
  <c r="AS32" i="26" s="1"/>
  <c r="AG7" i="19"/>
  <c r="AI7" i="19" s="1"/>
  <c r="AV6" i="22" s="1"/>
  <c r="AS3" i="26" s="1"/>
  <c r="AB8" i="19"/>
  <c r="AD8" i="19" s="1"/>
  <c r="AU7" i="22" s="1"/>
  <c r="AR4" i="26" s="1"/>
  <c r="AB9" i="19"/>
  <c r="AD9" i="19" s="1"/>
  <c r="AU8" i="22" s="1"/>
  <c r="AR5" i="26" s="1"/>
  <c r="AB10" i="19"/>
  <c r="AD10" i="19" s="1"/>
  <c r="AU9" i="22" s="1"/>
  <c r="AR6" i="26" s="1"/>
  <c r="AB11" i="19"/>
  <c r="AD11" i="19" s="1"/>
  <c r="AU10" i="22" s="1"/>
  <c r="AR7" i="26" s="1"/>
  <c r="AB12" i="19"/>
  <c r="AD12" i="19" s="1"/>
  <c r="AU11" i="22" s="1"/>
  <c r="AR8" i="26" s="1"/>
  <c r="AB13" i="19"/>
  <c r="AD13" i="19" s="1"/>
  <c r="AU12" i="22" s="1"/>
  <c r="AR9" i="26" s="1"/>
  <c r="AB14" i="19"/>
  <c r="AD14" i="19" s="1"/>
  <c r="AU13" i="22" s="1"/>
  <c r="AR10" i="26" s="1"/>
  <c r="AD15" i="19"/>
  <c r="AU14" i="22" s="1"/>
  <c r="AR11" i="26" s="1"/>
  <c r="AB16" i="19"/>
  <c r="AD16" i="19" s="1"/>
  <c r="AU15" i="22" s="1"/>
  <c r="AR12" i="26" s="1"/>
  <c r="AB17" i="19"/>
  <c r="AD17" i="19" s="1"/>
  <c r="AU16" i="22" s="1"/>
  <c r="AR13" i="26" s="1"/>
  <c r="AB18" i="19"/>
  <c r="AD18" i="19" s="1"/>
  <c r="AU17" i="22" s="1"/>
  <c r="AR14" i="26" s="1"/>
  <c r="AB19" i="19"/>
  <c r="AD19" i="19" s="1"/>
  <c r="AU18" i="22" s="1"/>
  <c r="AR15" i="26" s="1"/>
  <c r="AB20" i="19"/>
  <c r="AD20" i="19" s="1"/>
  <c r="AU19" i="22" s="1"/>
  <c r="AR16" i="26" s="1"/>
  <c r="AB21" i="19"/>
  <c r="AD21" i="19" s="1"/>
  <c r="AU20" i="22" s="1"/>
  <c r="AR17" i="26" s="1"/>
  <c r="AB22" i="19"/>
  <c r="AD22" i="19" s="1"/>
  <c r="AU21" i="22" s="1"/>
  <c r="AR18" i="26" s="1"/>
  <c r="AB23" i="19"/>
  <c r="AD23" i="19" s="1"/>
  <c r="AU22" i="22" s="1"/>
  <c r="AR19" i="26" s="1"/>
  <c r="AB24" i="19"/>
  <c r="AD24" i="19" s="1"/>
  <c r="AU23" i="22" s="1"/>
  <c r="AR20" i="26" s="1"/>
  <c r="AB25" i="19"/>
  <c r="AD25" i="19" s="1"/>
  <c r="AU24" i="22" s="1"/>
  <c r="AR21" i="26" s="1"/>
  <c r="AB26" i="19"/>
  <c r="AD26" i="19" s="1"/>
  <c r="AU25" i="22" s="1"/>
  <c r="AR22" i="26" s="1"/>
  <c r="AB27" i="19"/>
  <c r="AD27" i="19" s="1"/>
  <c r="AU26" i="22" s="1"/>
  <c r="AR23" i="26" s="1"/>
  <c r="AB28" i="19"/>
  <c r="AD28" i="19" s="1"/>
  <c r="AU27" i="22" s="1"/>
  <c r="AR24" i="26" s="1"/>
  <c r="AB29" i="19"/>
  <c r="AD29" i="19" s="1"/>
  <c r="AU28" i="22" s="1"/>
  <c r="AR25" i="26" s="1"/>
  <c r="AB30" i="19"/>
  <c r="AD30" i="19" s="1"/>
  <c r="AU29" i="22" s="1"/>
  <c r="AR26" i="26" s="1"/>
  <c r="AB31" i="19"/>
  <c r="AD31" i="19" s="1"/>
  <c r="AU30" i="22" s="1"/>
  <c r="AR27" i="26" s="1"/>
  <c r="AB32" i="19"/>
  <c r="AD32" i="19" s="1"/>
  <c r="AU31" i="22" s="1"/>
  <c r="AR28" i="26" s="1"/>
  <c r="AB33" i="19"/>
  <c r="AD33" i="19" s="1"/>
  <c r="AU32" i="22" s="1"/>
  <c r="AR29" i="26" s="1"/>
  <c r="AB34" i="19"/>
  <c r="AD34" i="19" s="1"/>
  <c r="AU33" i="22" s="1"/>
  <c r="AR30" i="26" s="1"/>
  <c r="AB35" i="19"/>
  <c r="AD35" i="19" s="1"/>
  <c r="AU34" i="22" s="1"/>
  <c r="AR31" i="26" s="1"/>
  <c r="AB36" i="19"/>
  <c r="AU35" i="22" s="1"/>
  <c r="AR32" i="26" s="1"/>
  <c r="AB7" i="19"/>
  <c r="AD7" i="19" s="1"/>
  <c r="AU6" i="22" s="1"/>
  <c r="AR3" i="26" s="1"/>
  <c r="Q8" i="19"/>
  <c r="S8" i="19" s="1"/>
  <c r="AT7" i="22" s="1"/>
  <c r="AQ4" i="26" s="1"/>
  <c r="Q9" i="19"/>
  <c r="S9" i="19" s="1"/>
  <c r="AT8" i="22" s="1"/>
  <c r="AQ5" i="26" s="1"/>
  <c r="Q10" i="19"/>
  <c r="S10" i="19" s="1"/>
  <c r="AT9" i="22" s="1"/>
  <c r="AQ6" i="26" s="1"/>
  <c r="Q11" i="19"/>
  <c r="S11" i="19" s="1"/>
  <c r="AT10" i="22" s="1"/>
  <c r="AQ7" i="26" s="1"/>
  <c r="Q12" i="19"/>
  <c r="S12" i="19" s="1"/>
  <c r="AT11" i="22" s="1"/>
  <c r="AQ8" i="26" s="1"/>
  <c r="Q13" i="19"/>
  <c r="S13" i="19" s="1"/>
  <c r="Q14" i="19"/>
  <c r="S14" i="19" s="1"/>
  <c r="AT13" i="22" s="1"/>
  <c r="AQ10" i="26" s="1"/>
  <c r="Q15" i="19"/>
  <c r="S15" i="19" s="1"/>
  <c r="AT14" i="22" s="1"/>
  <c r="AQ11" i="26" s="1"/>
  <c r="Q16" i="19"/>
  <c r="S16" i="19" s="1"/>
  <c r="AT15" i="22" s="1"/>
  <c r="AQ12" i="26" s="1"/>
  <c r="Q17" i="19"/>
  <c r="S17" i="19" s="1"/>
  <c r="AT16" i="22" s="1"/>
  <c r="AQ13" i="26" s="1"/>
  <c r="Q18" i="19"/>
  <c r="S18" i="19" s="1"/>
  <c r="AT17" i="22" s="1"/>
  <c r="AQ14" i="26" s="1"/>
  <c r="Q19" i="19"/>
  <c r="S19" i="19" s="1"/>
  <c r="AT18" i="22" s="1"/>
  <c r="AQ15" i="26" s="1"/>
  <c r="Q20" i="19"/>
  <c r="S20" i="19" s="1"/>
  <c r="AT19" i="22" s="1"/>
  <c r="AQ16" i="26" s="1"/>
  <c r="Q21" i="19"/>
  <c r="Q22" i="19"/>
  <c r="S22" i="19" s="1"/>
  <c r="AT21" i="22" s="1"/>
  <c r="AQ18" i="26" s="1"/>
  <c r="Q23" i="19"/>
  <c r="S23" i="19" s="1"/>
  <c r="AT22" i="22" s="1"/>
  <c r="AQ19" i="26" s="1"/>
  <c r="Q24" i="19"/>
  <c r="S24" i="19" s="1"/>
  <c r="AT23" i="22" s="1"/>
  <c r="AQ20" i="26" s="1"/>
  <c r="Q25" i="19"/>
  <c r="S25" i="19" s="1"/>
  <c r="AT24" i="22" s="1"/>
  <c r="AQ21" i="26" s="1"/>
  <c r="Q26" i="19"/>
  <c r="S26" i="19" s="1"/>
  <c r="AT25" i="22" s="1"/>
  <c r="AQ22" i="26" s="1"/>
  <c r="Q27" i="19"/>
  <c r="S27" i="19" s="1"/>
  <c r="AT26" i="22" s="1"/>
  <c r="AQ23" i="26" s="1"/>
  <c r="Q28" i="19"/>
  <c r="S28" i="19" s="1"/>
  <c r="AT27" i="22" s="1"/>
  <c r="AQ24" i="26" s="1"/>
  <c r="S29" i="19"/>
  <c r="AT28" i="22" s="1"/>
  <c r="AQ25" i="26" s="1"/>
  <c r="S30" i="19"/>
  <c r="AT29" i="22" s="1"/>
  <c r="AQ26" i="26" s="1"/>
  <c r="S31" i="19"/>
  <c r="AT30" i="22" s="1"/>
  <c r="AQ27" i="26" s="1"/>
  <c r="S33" i="19"/>
  <c r="AT32" i="22" s="1"/>
  <c r="AQ29" i="26" s="1"/>
  <c r="S34" i="19"/>
  <c r="AT33" i="22" s="1"/>
  <c r="AQ30" i="26" s="1"/>
  <c r="S35" i="19"/>
  <c r="AT34" i="22" s="1"/>
  <c r="AQ31" i="26" s="1"/>
  <c r="Q36" i="19"/>
  <c r="S36" i="19" s="1"/>
  <c r="AT35" i="22" s="1"/>
  <c r="AQ32" i="26" s="1"/>
  <c r="Q7" i="19"/>
  <c r="S7" i="19" s="1"/>
  <c r="AT6" i="22" s="1"/>
  <c r="AQ3" i="26" s="1"/>
  <c r="L8" i="19"/>
  <c r="N8" i="19" s="1"/>
  <c r="AS7" i="22" s="1"/>
  <c r="AP4" i="26" s="1"/>
  <c r="L9" i="19"/>
  <c r="N9" i="19" s="1"/>
  <c r="AS8" i="22" s="1"/>
  <c r="AP5" i="26" s="1"/>
  <c r="L10" i="19"/>
  <c r="N10" i="19" s="1"/>
  <c r="AS9" i="22" s="1"/>
  <c r="AP6" i="26" s="1"/>
  <c r="L11" i="19"/>
  <c r="N11" i="19" s="1"/>
  <c r="AS10" i="22" s="1"/>
  <c r="AP7" i="26" s="1"/>
  <c r="L12" i="19"/>
  <c r="N12" i="19" s="1"/>
  <c r="AS11" i="22" s="1"/>
  <c r="AP8" i="26" s="1"/>
  <c r="L13" i="19"/>
  <c r="N13" i="19" s="1"/>
  <c r="AS12" i="22" s="1"/>
  <c r="AP9" i="26" s="1"/>
  <c r="L14" i="19"/>
  <c r="N14" i="19" s="1"/>
  <c r="AS13" i="22" s="1"/>
  <c r="AP10" i="26" s="1"/>
  <c r="L15" i="19"/>
  <c r="N15" i="19" s="1"/>
  <c r="AS14" i="22" s="1"/>
  <c r="AP11" i="26" s="1"/>
  <c r="L16" i="19"/>
  <c r="N16" i="19" s="1"/>
  <c r="AS15" i="22" s="1"/>
  <c r="AP12" i="26" s="1"/>
  <c r="L17" i="19"/>
  <c r="N17" i="19" s="1"/>
  <c r="AS16" i="22" s="1"/>
  <c r="AP13" i="26" s="1"/>
  <c r="L18" i="19"/>
  <c r="N18" i="19" s="1"/>
  <c r="AS17" i="22" s="1"/>
  <c r="AP14" i="26" s="1"/>
  <c r="L19" i="19"/>
  <c r="N19" i="19" s="1"/>
  <c r="AS18" i="22" s="1"/>
  <c r="AP15" i="26" s="1"/>
  <c r="L20" i="19"/>
  <c r="N20" i="19" s="1"/>
  <c r="AS19" i="22" s="1"/>
  <c r="AP16" i="26" s="1"/>
  <c r="L21" i="19"/>
  <c r="N21" i="19" s="1"/>
  <c r="AS20" i="22" s="1"/>
  <c r="AP17" i="26" s="1"/>
  <c r="L22" i="19"/>
  <c r="N22" i="19" s="1"/>
  <c r="AS21" i="22" s="1"/>
  <c r="AP18" i="26" s="1"/>
  <c r="L23" i="19"/>
  <c r="N23" i="19" s="1"/>
  <c r="L24" i="19"/>
  <c r="N24" i="19" s="1"/>
  <c r="L25" i="19"/>
  <c r="N25" i="19" s="1"/>
  <c r="AS24" i="22" s="1"/>
  <c r="AP21" i="26" s="1"/>
  <c r="L26" i="19"/>
  <c r="N26" i="19" s="1"/>
  <c r="AS25" i="22" s="1"/>
  <c r="AP22" i="26" s="1"/>
  <c r="L27" i="19"/>
  <c r="N27" i="19" s="1"/>
  <c r="AS26" i="22" s="1"/>
  <c r="AP23" i="26" s="1"/>
  <c r="N28" i="19"/>
  <c r="AS27" i="22" s="1"/>
  <c r="AP24" i="26" s="1"/>
  <c r="L29" i="19"/>
  <c r="N29" i="19" s="1"/>
  <c r="AS28" i="22" s="1"/>
  <c r="AP25" i="26" s="1"/>
  <c r="L30" i="19"/>
  <c r="N30" i="19" s="1"/>
  <c r="AS29" i="22" s="1"/>
  <c r="AP26" i="26" s="1"/>
  <c r="L31" i="19"/>
  <c r="N31" i="19" s="1"/>
  <c r="AS30" i="22" s="1"/>
  <c r="AP27" i="26" s="1"/>
  <c r="L32" i="19"/>
  <c r="N32" i="19" s="1"/>
  <c r="AS31" i="22" s="1"/>
  <c r="AP28" i="26" s="1"/>
  <c r="L33" i="19"/>
  <c r="N33" i="19" s="1"/>
  <c r="AS32" i="22" s="1"/>
  <c r="AP29" i="26" s="1"/>
  <c r="L34" i="19"/>
  <c r="N34" i="19" s="1"/>
  <c r="AS33" i="22" s="1"/>
  <c r="AP30" i="26" s="1"/>
  <c r="L35" i="19"/>
  <c r="N35" i="19" s="1"/>
  <c r="AS34" i="22" s="1"/>
  <c r="AP31" i="26" s="1"/>
  <c r="L36" i="19"/>
  <c r="N36" i="19" s="1"/>
  <c r="AS35" i="22" s="1"/>
  <c r="AP32" i="26" s="1"/>
  <c r="L7" i="19"/>
  <c r="N7" i="19" s="1"/>
  <c r="AS6" i="22" s="1"/>
  <c r="AP3" i="26" s="1"/>
  <c r="G8" i="19"/>
  <c r="I8" i="19" s="1"/>
  <c r="AR7" i="22" s="1"/>
  <c r="AO4" i="26" s="1"/>
  <c r="G9" i="19"/>
  <c r="I9" i="19" s="1"/>
  <c r="AR8" i="22" s="1"/>
  <c r="AO5" i="26" s="1"/>
  <c r="G10" i="19"/>
  <c r="I10" i="19" s="1"/>
  <c r="AR9" i="22" s="1"/>
  <c r="AO6" i="26" s="1"/>
  <c r="G11" i="19"/>
  <c r="I11" i="19" s="1"/>
  <c r="AR10" i="22" s="1"/>
  <c r="AO7" i="26" s="1"/>
  <c r="G12" i="19"/>
  <c r="I12" i="19" s="1"/>
  <c r="AR11" i="22" s="1"/>
  <c r="AO8" i="26" s="1"/>
  <c r="G13" i="19"/>
  <c r="I13" i="19" s="1"/>
  <c r="AR12" i="22" s="1"/>
  <c r="AO9" i="26" s="1"/>
  <c r="G14" i="19"/>
  <c r="I14" i="19" s="1"/>
  <c r="AR13" i="22" s="1"/>
  <c r="AO10" i="26" s="1"/>
  <c r="G15" i="19"/>
  <c r="I15" i="19" s="1"/>
  <c r="AR14" i="22" s="1"/>
  <c r="AO11" i="26" s="1"/>
  <c r="G16" i="19"/>
  <c r="I16" i="19" s="1"/>
  <c r="AR15" i="22" s="1"/>
  <c r="AO12" i="26" s="1"/>
  <c r="G17" i="19"/>
  <c r="I17" i="19" s="1"/>
  <c r="AR16" i="22" s="1"/>
  <c r="AO13" i="26" s="1"/>
  <c r="G18" i="19"/>
  <c r="I18" i="19" s="1"/>
  <c r="AR17" i="22" s="1"/>
  <c r="AO14" i="26" s="1"/>
  <c r="G19" i="19"/>
  <c r="I19" i="19" s="1"/>
  <c r="AR18" i="22" s="1"/>
  <c r="AO15" i="26" s="1"/>
  <c r="G20" i="19"/>
  <c r="I20" i="19" s="1"/>
  <c r="AR19" i="22" s="1"/>
  <c r="AO16" i="26" s="1"/>
  <c r="G21" i="19"/>
  <c r="I21" i="19" s="1"/>
  <c r="AR20" i="22" s="1"/>
  <c r="AO17" i="26" s="1"/>
  <c r="G22" i="19"/>
  <c r="I22" i="19" s="1"/>
  <c r="AR21" i="22" s="1"/>
  <c r="AO18" i="26" s="1"/>
  <c r="G23" i="19"/>
  <c r="I23" i="19" s="1"/>
  <c r="AR22" i="22" s="1"/>
  <c r="AO19" i="26" s="1"/>
  <c r="G24" i="19"/>
  <c r="I24" i="19" s="1"/>
  <c r="AR23" i="22" s="1"/>
  <c r="AO20" i="26" s="1"/>
  <c r="G25" i="19"/>
  <c r="I25" i="19" s="1"/>
  <c r="AR24" i="22" s="1"/>
  <c r="AO21" i="26" s="1"/>
  <c r="G26" i="19"/>
  <c r="I26" i="19" s="1"/>
  <c r="AR25" i="22" s="1"/>
  <c r="AO22" i="26" s="1"/>
  <c r="G27" i="19"/>
  <c r="I27" i="19" s="1"/>
  <c r="AR26" i="22" s="1"/>
  <c r="AO23" i="26" s="1"/>
  <c r="G28" i="19"/>
  <c r="I28" i="19" s="1"/>
  <c r="AR27" i="22" s="1"/>
  <c r="AO24" i="26" s="1"/>
  <c r="G29" i="19"/>
  <c r="I29" i="19" s="1"/>
  <c r="AR28" i="22" s="1"/>
  <c r="AO25" i="26" s="1"/>
  <c r="G30" i="19"/>
  <c r="I30" i="19" s="1"/>
  <c r="AR29" i="22" s="1"/>
  <c r="AO26" i="26" s="1"/>
  <c r="G31" i="19"/>
  <c r="I31" i="19" s="1"/>
  <c r="AR30" i="22" s="1"/>
  <c r="AO27" i="26" s="1"/>
  <c r="G32" i="19"/>
  <c r="I32" i="19" s="1"/>
  <c r="AR31" i="22" s="1"/>
  <c r="AO28" i="26" s="1"/>
  <c r="G33" i="19"/>
  <c r="I33" i="19" s="1"/>
  <c r="AR32" i="22" s="1"/>
  <c r="AO29" i="26" s="1"/>
  <c r="G34" i="19"/>
  <c r="I34" i="19" s="1"/>
  <c r="AR33" i="22" s="1"/>
  <c r="AO30" i="26" s="1"/>
  <c r="I35" i="19"/>
  <c r="AR34" i="22" s="1"/>
  <c r="AO31" i="26" s="1"/>
  <c r="I36" i="19"/>
  <c r="AR35" i="22" s="1"/>
  <c r="AO32" i="26" s="1"/>
  <c r="G7" i="19"/>
  <c r="I7" i="19" s="1"/>
  <c r="AR6" i="22" s="1"/>
  <c r="AO3" i="26" s="1"/>
  <c r="B8" i="19"/>
  <c r="B9" i="19"/>
  <c r="D9" i="19" s="1"/>
  <c r="B10" i="19"/>
  <c r="D10" i="19" s="1"/>
  <c r="AQ9" i="22" s="1"/>
  <c r="AN6" i="26" s="1"/>
  <c r="B11" i="19"/>
  <c r="D11" i="19" s="1"/>
  <c r="AQ10" i="22" s="1"/>
  <c r="AN7" i="26" s="1"/>
  <c r="B12" i="19"/>
  <c r="D12" i="19" s="1"/>
  <c r="AQ11" i="22" s="1"/>
  <c r="AN8" i="26" s="1"/>
  <c r="B13" i="19"/>
  <c r="D13" i="19" s="1"/>
  <c r="AQ12" i="22" s="1"/>
  <c r="AN9" i="26" s="1"/>
  <c r="B14" i="19"/>
  <c r="D14" i="19" s="1"/>
  <c r="AQ13" i="22" s="1"/>
  <c r="AN10" i="26" s="1"/>
  <c r="B15" i="19"/>
  <c r="D15" i="19" s="1"/>
  <c r="AQ14" i="22" s="1"/>
  <c r="AN11" i="26" s="1"/>
  <c r="B16" i="19"/>
  <c r="D16" i="19" s="1"/>
  <c r="AQ15" i="22" s="1"/>
  <c r="AN12" i="26" s="1"/>
  <c r="B17" i="19"/>
  <c r="D17" i="19" s="1"/>
  <c r="AQ16" i="22" s="1"/>
  <c r="AN13" i="26" s="1"/>
  <c r="B18" i="19"/>
  <c r="D18" i="19" s="1"/>
  <c r="AQ17" i="22" s="1"/>
  <c r="AN14" i="26" s="1"/>
  <c r="B19" i="19"/>
  <c r="D19" i="19" s="1"/>
  <c r="AQ18" i="22" s="1"/>
  <c r="AN15" i="26" s="1"/>
  <c r="B20" i="19"/>
  <c r="D20" i="19" s="1"/>
  <c r="AQ19" i="22" s="1"/>
  <c r="AN16" i="26" s="1"/>
  <c r="B21" i="19"/>
  <c r="D21" i="19" s="1"/>
  <c r="AQ20" i="22" s="1"/>
  <c r="AN17" i="26" s="1"/>
  <c r="B22" i="19"/>
  <c r="D22" i="19" s="1"/>
  <c r="AQ21" i="22" s="1"/>
  <c r="AN18" i="26" s="1"/>
  <c r="B23" i="19"/>
  <c r="D23" i="19" s="1"/>
  <c r="AQ22" i="22" s="1"/>
  <c r="AN19" i="26" s="1"/>
  <c r="B24" i="19"/>
  <c r="D24" i="19" s="1"/>
  <c r="AQ23" i="22" s="1"/>
  <c r="AN20" i="26" s="1"/>
  <c r="B25" i="19"/>
  <c r="D25" i="19" s="1"/>
  <c r="AQ24" i="22" s="1"/>
  <c r="AN21" i="26" s="1"/>
  <c r="B26" i="19"/>
  <c r="D26" i="19" s="1"/>
  <c r="AQ25" i="22" s="1"/>
  <c r="AN22" i="26" s="1"/>
  <c r="B27" i="19"/>
  <c r="D27" i="19" s="1"/>
  <c r="AQ26" i="22" s="1"/>
  <c r="AN23" i="26" s="1"/>
  <c r="B28" i="19"/>
  <c r="D28" i="19" s="1"/>
  <c r="AQ27" i="22" s="1"/>
  <c r="AN24" i="26" s="1"/>
  <c r="B29" i="19"/>
  <c r="D29" i="19" s="1"/>
  <c r="AQ28" i="22" s="1"/>
  <c r="AN25" i="26" s="1"/>
  <c r="B30" i="19"/>
  <c r="D30" i="19" s="1"/>
  <c r="AQ29" i="22" s="1"/>
  <c r="AN26" i="26" s="1"/>
  <c r="B31" i="19"/>
  <c r="D31" i="19" s="1"/>
  <c r="AQ30" i="22" s="1"/>
  <c r="AN27" i="26" s="1"/>
  <c r="B32" i="19"/>
  <c r="D32" i="19" s="1"/>
  <c r="AQ31" i="22" s="1"/>
  <c r="AN28" i="26" s="1"/>
  <c r="B33" i="19"/>
  <c r="D33" i="19" s="1"/>
  <c r="AQ32" i="22" s="1"/>
  <c r="AN29" i="26" s="1"/>
  <c r="B34" i="19"/>
  <c r="D34" i="19" s="1"/>
  <c r="AQ33" i="22" s="1"/>
  <c r="AN30" i="26" s="1"/>
  <c r="B35" i="19"/>
  <c r="D35" i="19" s="1"/>
  <c r="AQ34" i="22" s="1"/>
  <c r="AN31" i="26" s="1"/>
  <c r="B36" i="19"/>
  <c r="D36" i="19" s="1"/>
  <c r="AQ35" i="22" s="1"/>
  <c r="AN32" i="26" s="1"/>
  <c r="B7" i="19"/>
  <c r="D7" i="19" s="1"/>
  <c r="AQ6" i="22" s="1"/>
  <c r="AN3" i="26" s="1"/>
  <c r="C7" i="12"/>
  <c r="E7" i="12" s="1"/>
  <c r="L7" i="22" s="1"/>
  <c r="K4" i="26" s="1"/>
  <c r="C8" i="12"/>
  <c r="E8" i="12" s="1"/>
  <c r="L8" i="22" s="1"/>
  <c r="K5" i="26" s="1"/>
  <c r="C9" i="12"/>
  <c r="E9" i="12" s="1"/>
  <c r="L9" i="22" s="1"/>
  <c r="K6" i="26" s="1"/>
  <c r="C10" i="12"/>
  <c r="E10" i="12" s="1"/>
  <c r="L10" i="22" s="1"/>
  <c r="K7" i="26" s="1"/>
  <c r="C11" i="12"/>
  <c r="E11" i="12" s="1"/>
  <c r="C12" i="12"/>
  <c r="E12" i="12" s="1"/>
  <c r="C13" i="12"/>
  <c r="E13" i="12" s="1"/>
  <c r="L13" i="22" s="1"/>
  <c r="K10" i="26" s="1"/>
  <c r="C14" i="12"/>
  <c r="E14" i="12" s="1"/>
  <c r="L14" i="22" s="1"/>
  <c r="K11" i="26" s="1"/>
  <c r="C15" i="12"/>
  <c r="E15" i="12" s="1"/>
  <c r="E16" i="12"/>
  <c r="L16" i="22" s="1"/>
  <c r="K13" i="26" s="1"/>
  <c r="E18" i="12"/>
  <c r="L18" i="22" s="1"/>
  <c r="K15" i="26" s="1"/>
  <c r="E19" i="12"/>
  <c r="L19" i="22" s="1"/>
  <c r="K16" i="26" s="1"/>
  <c r="E20" i="12"/>
  <c r="C21" i="12"/>
  <c r="E21" i="12" s="1"/>
  <c r="L21" i="22" s="1"/>
  <c r="K18" i="26" s="1"/>
  <c r="C22" i="12"/>
  <c r="E22" i="12" s="1"/>
  <c r="L22" i="22" s="1"/>
  <c r="K19" i="26" s="1"/>
  <c r="C23" i="12"/>
  <c r="E23" i="12" s="1"/>
  <c r="L23" i="22" s="1"/>
  <c r="K20" i="26" s="1"/>
  <c r="C24" i="12"/>
  <c r="E24" i="12" s="1"/>
  <c r="C25" i="12"/>
  <c r="E25" i="12" s="1"/>
  <c r="L25" i="22" s="1"/>
  <c r="K22" i="26" s="1"/>
  <c r="C26" i="12"/>
  <c r="E26" i="12" s="1"/>
  <c r="L26" i="22" s="1"/>
  <c r="K23" i="26" s="1"/>
  <c r="C27" i="12"/>
  <c r="E27" i="12" s="1"/>
  <c r="L27" i="22" s="1"/>
  <c r="K24" i="26" s="1"/>
  <c r="C28" i="12"/>
  <c r="E28" i="12" s="1"/>
  <c r="L28" i="22" s="1"/>
  <c r="K25" i="26" s="1"/>
  <c r="C29" i="12"/>
  <c r="E29" i="12" s="1"/>
  <c r="L29" i="22" s="1"/>
  <c r="K26" i="26" s="1"/>
  <c r="C30" i="12"/>
  <c r="E30" i="12" s="1"/>
  <c r="L30" i="22" s="1"/>
  <c r="K27" i="26" s="1"/>
  <c r="C31" i="12"/>
  <c r="C32" i="12"/>
  <c r="E32" i="12" s="1"/>
  <c r="C33" i="12"/>
  <c r="C34" i="12"/>
  <c r="C35" i="12"/>
  <c r="E35" i="12" s="1"/>
  <c r="L35" i="22" s="1"/>
  <c r="K32" i="26" s="1"/>
  <c r="C6" i="12"/>
  <c r="E6" i="12" s="1"/>
  <c r="L6" i="22" s="1"/>
  <c r="K3" i="26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D30" i="1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H35" i="9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B32" i="9"/>
  <c r="D32" i="9" s="1"/>
  <c r="B33" i="9"/>
  <c r="D33" i="9" s="1"/>
  <c r="B34" i="9"/>
  <c r="D34" i="9" s="1"/>
  <c r="B35" i="9"/>
  <c r="D35" i="9" s="1"/>
  <c r="B6" i="9"/>
  <c r="D6" i="9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D32" i="7" s="1"/>
  <c r="K27" i="22" s="1"/>
  <c r="J24" i="26" s="1"/>
  <c r="B33" i="7"/>
  <c r="D33" i="7" s="1"/>
  <c r="K28" i="22" s="1"/>
  <c r="J25" i="26" s="1"/>
  <c r="B36" i="7"/>
  <c r="D36" i="7" s="1"/>
  <c r="K31" i="22" s="1"/>
  <c r="J28" i="26" s="1"/>
  <c r="B37" i="7"/>
  <c r="D37" i="7" s="1"/>
  <c r="K32" i="22" s="1"/>
  <c r="J29" i="26" s="1"/>
  <c r="B38" i="7"/>
  <c r="D38" i="7" s="1"/>
  <c r="K33" i="22" s="1"/>
  <c r="J30" i="26" s="1"/>
  <c r="B39" i="7"/>
  <c r="D39" i="7" s="1"/>
  <c r="K34" i="22" s="1"/>
  <c r="J31" i="26" s="1"/>
  <c r="B40" i="7"/>
  <c r="D40" i="7" s="1"/>
  <c r="K35" i="22" s="1"/>
  <c r="J32" i="26" s="1"/>
  <c r="B11" i="7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D37" i="5" s="1"/>
  <c r="I32" i="22" s="1"/>
  <c r="H29" i="26" s="1"/>
  <c r="B38" i="5"/>
  <c r="B39" i="5"/>
  <c r="B40" i="5"/>
  <c r="D40" i="5" s="1"/>
  <c r="I35" i="22" s="1"/>
  <c r="H32" i="26" s="1"/>
  <c r="B11" i="5"/>
  <c r="B12" i="3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G14" i="22" s="1"/>
  <c r="F11" i="26" s="1"/>
  <c r="B20" i="3"/>
  <c r="D20" i="3" s="1"/>
  <c r="G15" i="22" s="1"/>
  <c r="F12" i="26" s="1"/>
  <c r="B21" i="3"/>
  <c r="D21" i="3" s="1"/>
  <c r="G16" i="22" s="1"/>
  <c r="F13" i="26" s="1"/>
  <c r="B22" i="3"/>
  <c r="D22" i="3" s="1"/>
  <c r="G17" i="22" s="1"/>
  <c r="F14" i="26" s="1"/>
  <c r="B23" i="3"/>
  <c r="D23" i="3" s="1"/>
  <c r="G18" i="22" s="1"/>
  <c r="F15" i="26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D37" i="4" s="1"/>
  <c r="H32" i="22" s="1"/>
  <c r="G29" i="26" s="1"/>
  <c r="B38" i="4"/>
  <c r="B39" i="4"/>
  <c r="B40" i="4"/>
  <c r="D40" i="4" s="1"/>
  <c r="H35" i="22" s="1"/>
  <c r="G32" i="26" s="1"/>
  <c r="B12" i="4"/>
  <c r="B11" i="4"/>
  <c r="BI5" i="22"/>
  <c r="BF2" i="26" s="1"/>
  <c r="AE7" i="19"/>
  <c r="B34" i="12"/>
  <c r="B35" i="12"/>
  <c r="B41" i="6"/>
  <c r="B41" i="5"/>
  <c r="B41" i="4"/>
  <c r="F29" i="21"/>
  <c r="G29" i="21" s="1"/>
  <c r="F36" i="21"/>
  <c r="G36" i="21" s="1"/>
  <c r="F35" i="21"/>
  <c r="G35" i="21" s="1"/>
  <c r="F34" i="21"/>
  <c r="G34" i="21" s="1"/>
  <c r="F33" i="21"/>
  <c r="G33" i="21" s="1"/>
  <c r="F32" i="21"/>
  <c r="G32" i="21" s="1"/>
  <c r="F31" i="21"/>
  <c r="G31" i="21" s="1"/>
  <c r="F30" i="21"/>
  <c r="G30" i="21" s="1"/>
  <c r="F28" i="21"/>
  <c r="G28" i="21" s="1"/>
  <c r="F27" i="21"/>
  <c r="G27" i="21" s="1"/>
  <c r="F26" i="21"/>
  <c r="G26" i="21" s="1"/>
  <c r="F25" i="21"/>
  <c r="G25" i="21" s="1"/>
  <c r="F24" i="21"/>
  <c r="G24" i="21" s="1"/>
  <c r="F23" i="21"/>
  <c r="G23" i="21" s="1"/>
  <c r="F22" i="21"/>
  <c r="G22" i="21" s="1"/>
  <c r="F21" i="21"/>
  <c r="G21" i="21" s="1"/>
  <c r="F20" i="21"/>
  <c r="G20" i="21" s="1"/>
  <c r="F19" i="21"/>
  <c r="G19" i="21" s="1"/>
  <c r="F18" i="21"/>
  <c r="G18" i="21" s="1"/>
  <c r="F17" i="21"/>
  <c r="G17" i="21" s="1"/>
  <c r="F16" i="21"/>
  <c r="G16" i="21" s="1"/>
  <c r="F15" i="21"/>
  <c r="G15" i="21" s="1"/>
  <c r="F14" i="21"/>
  <c r="G14" i="21" s="1"/>
  <c r="F13" i="21"/>
  <c r="G13" i="21" s="1"/>
  <c r="F12" i="21"/>
  <c r="G12" i="21" s="1"/>
  <c r="F11" i="21"/>
  <c r="G11" i="21" s="1"/>
  <c r="F10" i="21"/>
  <c r="G10" i="21" s="1"/>
  <c r="F9" i="21"/>
  <c r="G9" i="21" s="1"/>
  <c r="F8" i="21"/>
  <c r="G8" i="21" s="1"/>
  <c r="F7" i="21"/>
  <c r="G7" i="21" s="1"/>
  <c r="F6" i="21"/>
  <c r="O3" i="17" l="1"/>
  <c r="J9" i="24"/>
  <c r="O32" i="17"/>
  <c r="J38" i="24"/>
  <c r="O31" i="17"/>
  <c r="J37" i="24"/>
  <c r="O30" i="17"/>
  <c r="J36" i="24"/>
  <c r="O29" i="17"/>
  <c r="J35" i="24"/>
  <c r="O28" i="17"/>
  <c r="J34" i="24"/>
  <c r="O27" i="17"/>
  <c r="J33" i="24"/>
  <c r="O26" i="17"/>
  <c r="J32" i="24"/>
  <c r="O25" i="17"/>
  <c r="J31" i="24"/>
  <c r="O24" i="17"/>
  <c r="J30" i="24"/>
  <c r="O23" i="17"/>
  <c r="J29" i="24"/>
  <c r="O22" i="17"/>
  <c r="J28" i="24"/>
  <c r="O21" i="17"/>
  <c r="J27" i="24"/>
  <c r="O20" i="17"/>
  <c r="J26" i="24"/>
  <c r="O19" i="17"/>
  <c r="J25" i="24"/>
  <c r="O18" i="17"/>
  <c r="J24" i="24"/>
  <c r="O17" i="17"/>
  <c r="J23" i="24"/>
  <c r="O16" i="17"/>
  <c r="J22" i="24"/>
  <c r="O15" i="17"/>
  <c r="J21" i="24"/>
  <c r="O14" i="17"/>
  <c r="J20" i="24"/>
  <c r="O13" i="17"/>
  <c r="J19" i="24"/>
  <c r="O12" i="17"/>
  <c r="J18" i="24"/>
  <c r="O11" i="17"/>
  <c r="J17" i="24"/>
  <c r="O10" i="17"/>
  <c r="J16" i="24"/>
  <c r="O9" i="17"/>
  <c r="J15" i="24"/>
  <c r="O8" i="17"/>
  <c r="J14" i="24"/>
  <c r="O7" i="17"/>
  <c r="J13" i="24"/>
  <c r="O6" i="17"/>
  <c r="J12" i="24"/>
  <c r="O5" i="17"/>
  <c r="J11" i="24"/>
  <c r="J10" i="24"/>
  <c r="E34" i="12"/>
  <c r="L34" i="22" s="1"/>
  <c r="K31" i="26" s="1"/>
  <c r="E33" i="12"/>
  <c r="L33" i="22" s="1"/>
  <c r="K30" i="26" s="1"/>
  <c r="E31" i="12"/>
  <c r="L31" i="22" s="1"/>
  <c r="K28" i="26" s="1"/>
  <c r="O2" i="17"/>
  <c r="J8" i="24"/>
  <c r="J39" i="24" s="1"/>
  <c r="J40" i="24" s="1"/>
  <c r="S21" i="19"/>
  <c r="AT20" i="22" s="1"/>
  <c r="AQ17" i="26" s="1"/>
  <c r="AQ8" i="22"/>
  <c r="AN5" i="26" s="1"/>
  <c r="V9" i="19"/>
  <c r="D8" i="19"/>
  <c r="AQ7" i="22" s="1"/>
  <c r="AN4" i="26" s="1"/>
  <c r="AS23" i="22"/>
  <c r="AP20" i="26" s="1"/>
  <c r="V24" i="19"/>
  <c r="AS22" i="22"/>
  <c r="AP19" i="26" s="1"/>
  <c r="V23" i="19"/>
  <c r="AT12" i="22"/>
  <c r="AQ9" i="26" s="1"/>
  <c r="V13" i="19"/>
  <c r="H36" i="9"/>
  <c r="D36" i="9"/>
  <c r="CV7" i="19"/>
  <c r="BI6" i="22" s="1"/>
  <c r="BF3" i="26" s="1"/>
  <c r="AE15" i="22"/>
  <c r="AD12" i="26" s="1"/>
  <c r="AF15" i="22"/>
  <c r="AE12" i="26" s="1"/>
  <c r="AF6" i="22"/>
  <c r="AE3" i="26" s="1"/>
  <c r="AE6" i="22"/>
  <c r="AD3" i="26" s="1"/>
  <c r="AE14" i="22"/>
  <c r="AD11" i="26" s="1"/>
  <c r="AF14" i="22"/>
  <c r="AE11" i="26" s="1"/>
  <c r="AE35" i="22"/>
  <c r="AD32" i="26" s="1"/>
  <c r="AF35" i="22"/>
  <c r="AE32" i="26" s="1"/>
  <c r="AE13" i="22"/>
  <c r="AD10" i="26" s="1"/>
  <c r="AF13" i="22"/>
  <c r="AE10" i="26" s="1"/>
  <c r="AE12" i="22"/>
  <c r="AD9" i="26" s="1"/>
  <c r="AF12" i="22"/>
  <c r="AE9" i="26" s="1"/>
  <c r="AF11" i="22"/>
  <c r="AE8" i="26" s="1"/>
  <c r="AE11" i="22"/>
  <c r="AD8" i="26" s="1"/>
  <c r="AE10" i="22"/>
  <c r="AD7" i="26" s="1"/>
  <c r="AF10" i="22"/>
  <c r="AE7" i="26" s="1"/>
  <c r="AF9" i="22"/>
  <c r="AE6" i="26" s="1"/>
  <c r="AE9" i="22"/>
  <c r="AD6" i="26" s="1"/>
  <c r="AE17" i="22"/>
  <c r="AD14" i="26" s="1"/>
  <c r="AF17" i="22"/>
  <c r="AE14" i="26" s="1"/>
  <c r="AE8" i="22"/>
  <c r="AD5" i="26" s="1"/>
  <c r="AF8" i="22"/>
  <c r="AE5" i="26" s="1"/>
  <c r="AE16" i="22"/>
  <c r="AD13" i="26" s="1"/>
  <c r="AF16" i="22"/>
  <c r="AE13" i="26" s="1"/>
  <c r="AF7" i="22"/>
  <c r="AE4" i="26" s="1"/>
  <c r="AE7" i="22"/>
  <c r="AD4" i="26" s="1"/>
  <c r="AE5" i="22"/>
  <c r="AD2" i="26" s="1"/>
  <c r="AF5" i="22"/>
  <c r="AE2" i="26" s="1"/>
  <c r="CM23" i="12"/>
  <c r="AC23" i="22" s="1"/>
  <c r="AB20" i="26" s="1"/>
  <c r="CD6" i="12"/>
  <c r="AA6" i="22"/>
  <c r="Z3" i="26" s="1"/>
  <c r="V15" i="22"/>
  <c r="U12" i="26" s="1"/>
  <c r="W15" i="22"/>
  <c r="V12" i="26" s="1"/>
  <c r="W14" i="22"/>
  <c r="V11" i="26" s="1"/>
  <c r="V14" i="22"/>
  <c r="U11" i="26" s="1"/>
  <c r="V17" i="22"/>
  <c r="U14" i="26" s="1"/>
  <c r="W17" i="22"/>
  <c r="V14" i="26" s="1"/>
  <c r="V6" i="22"/>
  <c r="U3" i="26" s="1"/>
  <c r="W6" i="22"/>
  <c r="V3" i="26" s="1"/>
  <c r="W13" i="22"/>
  <c r="V10" i="26" s="1"/>
  <c r="V13" i="22"/>
  <c r="U10" i="26" s="1"/>
  <c r="V16" i="22"/>
  <c r="U13" i="26" s="1"/>
  <c r="W16" i="22"/>
  <c r="V13" i="26" s="1"/>
  <c r="W35" i="22"/>
  <c r="V32" i="26" s="1"/>
  <c r="V35" i="22"/>
  <c r="U32" i="26" s="1"/>
  <c r="W12" i="22"/>
  <c r="V9" i="26" s="1"/>
  <c r="V12" i="22"/>
  <c r="U9" i="26" s="1"/>
  <c r="W11" i="22"/>
  <c r="V8" i="26" s="1"/>
  <c r="V11" i="22"/>
  <c r="U8" i="26" s="1"/>
  <c r="W10" i="22"/>
  <c r="V7" i="26" s="1"/>
  <c r="V10" i="22"/>
  <c r="U7" i="26" s="1"/>
  <c r="W9" i="22"/>
  <c r="V6" i="26" s="1"/>
  <c r="V9" i="22"/>
  <c r="U6" i="26" s="1"/>
  <c r="W8" i="22"/>
  <c r="V5" i="26" s="1"/>
  <c r="V8" i="22"/>
  <c r="U5" i="26" s="1"/>
  <c r="W7" i="22"/>
  <c r="V4" i="26" s="1"/>
  <c r="V7" i="22"/>
  <c r="U4" i="26" s="1"/>
  <c r="GG16" i="12"/>
  <c r="S16" i="22"/>
  <c r="R13" i="26" s="1"/>
  <c r="AK6" i="12"/>
  <c r="R6" i="22"/>
  <c r="Q3" i="26" s="1"/>
  <c r="Z6" i="12"/>
  <c r="P6" i="22"/>
  <c r="O3" i="26" s="1"/>
  <c r="GC15" i="12"/>
  <c r="L15" i="22"/>
  <c r="K12" i="26" s="1"/>
  <c r="GC12" i="12"/>
  <c r="L12" i="22"/>
  <c r="K9" i="26" s="1"/>
  <c r="GC11" i="12"/>
  <c r="L11" i="22"/>
  <c r="K8" i="26" s="1"/>
  <c r="E20" i="24"/>
  <c r="E14" i="26"/>
  <c r="E3" i="26"/>
  <c r="E9" i="24"/>
  <c r="E19" i="24"/>
  <c r="E13" i="26"/>
  <c r="E32" i="26"/>
  <c r="E38" i="24"/>
  <c r="E18" i="24"/>
  <c r="E12" i="26"/>
  <c r="E17" i="24"/>
  <c r="E11" i="26"/>
  <c r="E10" i="26"/>
  <c r="E16" i="24"/>
  <c r="E9" i="26"/>
  <c r="E15" i="24"/>
  <c r="E8" i="26"/>
  <c r="E14" i="24"/>
  <c r="E7" i="26"/>
  <c r="E13" i="24"/>
  <c r="E6" i="26"/>
  <c r="E12" i="24"/>
  <c r="E5" i="26"/>
  <c r="E11" i="24"/>
  <c r="E4" i="26"/>
  <c r="E10" i="24"/>
  <c r="E2" i="26"/>
  <c r="E8" i="24"/>
  <c r="I20" i="24"/>
  <c r="I14" i="17"/>
  <c r="I3" i="17"/>
  <c r="I9" i="24"/>
  <c r="I19" i="24"/>
  <c r="I13" i="17"/>
  <c r="I32" i="17"/>
  <c r="I38" i="24"/>
  <c r="I18" i="24"/>
  <c r="I12" i="17"/>
  <c r="I17" i="24"/>
  <c r="I11" i="17"/>
  <c r="I10" i="17"/>
  <c r="I16" i="24"/>
  <c r="I9" i="17"/>
  <c r="I15" i="24"/>
  <c r="I8" i="17"/>
  <c r="I14" i="24"/>
  <c r="I7" i="17"/>
  <c r="I13" i="24"/>
  <c r="I6" i="17"/>
  <c r="I12" i="24"/>
  <c r="I5" i="17"/>
  <c r="I11" i="24"/>
  <c r="I4" i="17"/>
  <c r="I10" i="24"/>
  <c r="L5" i="9"/>
  <c r="M5" i="9" s="1"/>
  <c r="I2" i="17"/>
  <c r="I8" i="24"/>
  <c r="G11" i="22"/>
  <c r="F8" i="26" s="1"/>
  <c r="G10" i="22"/>
  <c r="F7" i="26" s="1"/>
  <c r="G9" i="22"/>
  <c r="F6" i="26" s="1"/>
  <c r="G8" i="22"/>
  <c r="F5" i="26" s="1"/>
  <c r="G12" i="22"/>
  <c r="F9" i="26" s="1"/>
  <c r="G13" i="22"/>
  <c r="F10" i="26" s="1"/>
  <c r="G6" i="22"/>
  <c r="F3" i="26" s="1"/>
  <c r="D38" i="24"/>
  <c r="G35" i="22"/>
  <c r="F32" i="26" s="1"/>
  <c r="E32" i="17" s="1"/>
  <c r="G5" i="22"/>
  <c r="F2" i="26" s="1"/>
  <c r="E2" i="17" s="1"/>
  <c r="D8" i="24"/>
  <c r="F8" i="24" s="1"/>
  <c r="E8" i="22"/>
  <c r="H11" i="24"/>
  <c r="E9" i="22"/>
  <c r="H12" i="24"/>
  <c r="E10" i="22"/>
  <c r="H13" i="24"/>
  <c r="E11" i="22"/>
  <c r="H14" i="24"/>
  <c r="E12" i="22"/>
  <c r="H15" i="24"/>
  <c r="H16" i="24"/>
  <c r="E13" i="22"/>
  <c r="H17" i="24"/>
  <c r="E14" i="22"/>
  <c r="H38" i="24"/>
  <c r="E35" i="22"/>
  <c r="H18" i="24"/>
  <c r="E15" i="22"/>
  <c r="H19" i="24"/>
  <c r="E16" i="22"/>
  <c r="H20" i="24"/>
  <c r="E17" i="22"/>
  <c r="E6" i="22"/>
  <c r="H9" i="24"/>
  <c r="E7" i="22"/>
  <c r="H10" i="24"/>
  <c r="E34" i="22"/>
  <c r="G31" i="17" s="1"/>
  <c r="H37" i="24"/>
  <c r="E33" i="22"/>
  <c r="H36" i="24"/>
  <c r="AF34" i="22"/>
  <c r="AE31" i="26" s="1"/>
  <c r="AE34" i="22"/>
  <c r="AD31" i="26" s="1"/>
  <c r="E32" i="22"/>
  <c r="H35" i="24"/>
  <c r="V34" i="22"/>
  <c r="U31" i="26" s="1"/>
  <c r="W34" i="22"/>
  <c r="V31" i="26" s="1"/>
  <c r="E31" i="26"/>
  <c r="E37" i="24"/>
  <c r="I31" i="17"/>
  <c r="I37" i="24"/>
  <c r="G34" i="22"/>
  <c r="F31" i="26" s="1"/>
  <c r="AE33" i="22"/>
  <c r="AD30" i="26" s="1"/>
  <c r="AF33" i="22"/>
  <c r="AE30" i="26" s="1"/>
  <c r="V33" i="22"/>
  <c r="U30" i="26" s="1"/>
  <c r="W33" i="22"/>
  <c r="V30" i="26" s="1"/>
  <c r="E30" i="26"/>
  <c r="E36" i="24"/>
  <c r="I30" i="17"/>
  <c r="I36" i="24"/>
  <c r="G33" i="22"/>
  <c r="F30" i="26" s="1"/>
  <c r="E31" i="22"/>
  <c r="H34" i="24"/>
  <c r="E30" i="22"/>
  <c r="H33" i="24"/>
  <c r="AE32" i="22"/>
  <c r="AD29" i="26" s="1"/>
  <c r="AF32" i="22"/>
  <c r="AE29" i="26" s="1"/>
  <c r="AE31" i="22"/>
  <c r="AD28" i="26" s="1"/>
  <c r="AF31" i="22"/>
  <c r="AE28" i="26" s="1"/>
  <c r="V32" i="22"/>
  <c r="U29" i="26" s="1"/>
  <c r="W32" i="22"/>
  <c r="V29" i="26" s="1"/>
  <c r="V31" i="22"/>
  <c r="U28" i="26" s="1"/>
  <c r="W31" i="22"/>
  <c r="V28" i="26" s="1"/>
  <c r="GC32" i="12"/>
  <c r="L32" i="22"/>
  <c r="K29" i="26" s="1"/>
  <c r="E29" i="26"/>
  <c r="E35" i="24"/>
  <c r="E28" i="26"/>
  <c r="E34" i="24"/>
  <c r="I29" i="17"/>
  <c r="I35" i="24"/>
  <c r="I28" i="17"/>
  <c r="I34" i="24"/>
  <c r="W33" i="19"/>
  <c r="G32" i="22"/>
  <c r="F29" i="26" s="1"/>
  <c r="D35" i="24"/>
  <c r="G31" i="22"/>
  <c r="F28" i="26" s="1"/>
  <c r="E29" i="22"/>
  <c r="H32" i="24"/>
  <c r="AE30" i="22"/>
  <c r="AD27" i="26" s="1"/>
  <c r="AF30" i="22"/>
  <c r="AE27" i="26" s="1"/>
  <c r="V30" i="22"/>
  <c r="U27" i="26" s="1"/>
  <c r="W30" i="22"/>
  <c r="V27" i="26" s="1"/>
  <c r="E27" i="26"/>
  <c r="E33" i="24"/>
  <c r="I27" i="17"/>
  <c r="I33" i="24"/>
  <c r="G30" i="22"/>
  <c r="F27" i="26" s="1"/>
  <c r="E28" i="22"/>
  <c r="H31" i="24"/>
  <c r="AE29" i="22"/>
  <c r="AD26" i="26" s="1"/>
  <c r="AF29" i="22"/>
  <c r="AE26" i="26" s="1"/>
  <c r="V29" i="22"/>
  <c r="U26" i="26" s="1"/>
  <c r="W29" i="22"/>
  <c r="V26" i="26" s="1"/>
  <c r="E26" i="26"/>
  <c r="E32" i="24"/>
  <c r="I26" i="17"/>
  <c r="I32" i="24"/>
  <c r="G29" i="22"/>
  <c r="F26" i="26" s="1"/>
  <c r="E27" i="22"/>
  <c r="H30" i="24"/>
  <c r="AF28" i="22"/>
  <c r="AE25" i="26" s="1"/>
  <c r="AE28" i="22"/>
  <c r="AD25" i="26" s="1"/>
  <c r="W28" i="22"/>
  <c r="V25" i="26" s="1"/>
  <c r="V28" i="22"/>
  <c r="U25" i="26" s="1"/>
  <c r="E25" i="26"/>
  <c r="E31" i="24"/>
  <c r="I25" i="17"/>
  <c r="I31" i="24"/>
  <c r="G28" i="22"/>
  <c r="F25" i="26" s="1"/>
  <c r="E26" i="22"/>
  <c r="H29" i="24"/>
  <c r="E25" i="22"/>
  <c r="H28" i="24"/>
  <c r="AF27" i="22"/>
  <c r="AE24" i="26" s="1"/>
  <c r="AE27" i="22"/>
  <c r="AD24" i="26" s="1"/>
  <c r="W27" i="22"/>
  <c r="V24" i="26" s="1"/>
  <c r="V27" i="22"/>
  <c r="U24" i="26" s="1"/>
  <c r="E24" i="26"/>
  <c r="E30" i="24"/>
  <c r="I24" i="17"/>
  <c r="I30" i="24"/>
  <c r="G27" i="22"/>
  <c r="F24" i="26" s="1"/>
  <c r="AF26" i="22"/>
  <c r="AE23" i="26" s="1"/>
  <c r="AE26" i="22"/>
  <c r="AD23" i="26" s="1"/>
  <c r="AF25" i="22"/>
  <c r="AE22" i="26" s="1"/>
  <c r="AE25" i="22"/>
  <c r="AD22" i="26" s="1"/>
  <c r="W26" i="22"/>
  <c r="V23" i="26" s="1"/>
  <c r="V26" i="22"/>
  <c r="U23" i="26" s="1"/>
  <c r="E23" i="26"/>
  <c r="E29" i="24"/>
  <c r="I23" i="17"/>
  <c r="I29" i="24"/>
  <c r="G26" i="22"/>
  <c r="F23" i="26" s="1"/>
  <c r="E24" i="22"/>
  <c r="H27" i="24"/>
  <c r="W25" i="22"/>
  <c r="V22" i="26" s="1"/>
  <c r="V25" i="22"/>
  <c r="U22" i="26" s="1"/>
  <c r="E22" i="26"/>
  <c r="E28" i="24"/>
  <c r="I22" i="17"/>
  <c r="I28" i="24"/>
  <c r="G25" i="22"/>
  <c r="F22" i="26" s="1"/>
  <c r="E23" i="22"/>
  <c r="H26" i="24"/>
  <c r="E22" i="22"/>
  <c r="H25" i="24"/>
  <c r="E21" i="22"/>
  <c r="H24" i="24"/>
  <c r="E20" i="22"/>
  <c r="H23" i="24"/>
  <c r="AE24" i="22"/>
  <c r="AD21" i="26" s="1"/>
  <c r="AF24" i="22"/>
  <c r="AE21" i="26" s="1"/>
  <c r="AE23" i="22"/>
  <c r="AD20" i="26" s="1"/>
  <c r="AF23" i="22"/>
  <c r="AE20" i="26" s="1"/>
  <c r="CM24" i="12"/>
  <c r="AC24" i="22" s="1"/>
  <c r="AB21" i="26" s="1"/>
  <c r="AF22" i="22"/>
  <c r="AE19" i="26" s="1"/>
  <c r="AE22" i="22"/>
  <c r="AD19" i="26" s="1"/>
  <c r="AE21" i="22"/>
  <c r="AD18" i="26" s="1"/>
  <c r="AF21" i="22"/>
  <c r="AE18" i="26" s="1"/>
  <c r="W24" i="22"/>
  <c r="V21" i="26" s="1"/>
  <c r="V24" i="22"/>
  <c r="U21" i="26" s="1"/>
  <c r="W23" i="22"/>
  <c r="V20" i="26" s="1"/>
  <c r="V23" i="22"/>
  <c r="U20" i="26" s="1"/>
  <c r="W22" i="22"/>
  <c r="V19" i="26" s="1"/>
  <c r="V22" i="22"/>
  <c r="U19" i="26" s="1"/>
  <c r="GC24" i="12"/>
  <c r="L24" i="22"/>
  <c r="K21" i="26" s="1"/>
  <c r="E21" i="26"/>
  <c r="E27" i="24"/>
  <c r="E20" i="26"/>
  <c r="E26" i="24"/>
  <c r="E19" i="26"/>
  <c r="E25" i="24"/>
  <c r="I21" i="17"/>
  <c r="I27" i="24"/>
  <c r="I20" i="17"/>
  <c r="I26" i="24"/>
  <c r="I19" i="17"/>
  <c r="I25" i="24"/>
  <c r="G24" i="22"/>
  <c r="F21" i="26" s="1"/>
  <c r="G23" i="22"/>
  <c r="F20" i="26" s="1"/>
  <c r="G22" i="22"/>
  <c r="F19" i="26" s="1"/>
  <c r="V21" i="22"/>
  <c r="U18" i="26" s="1"/>
  <c r="W21" i="22"/>
  <c r="V18" i="26" s="1"/>
  <c r="E18" i="26"/>
  <c r="E24" i="24"/>
  <c r="I18" i="17"/>
  <c r="I24" i="24"/>
  <c r="G21" i="22"/>
  <c r="F18" i="26" s="1"/>
  <c r="E19" i="22"/>
  <c r="H22" i="24"/>
  <c r="E18" i="22"/>
  <c r="H21" i="24"/>
  <c r="AF20" i="22"/>
  <c r="AE17" i="26" s="1"/>
  <c r="AE20" i="22"/>
  <c r="AD17" i="26" s="1"/>
  <c r="AE19" i="22"/>
  <c r="AD16" i="26" s="1"/>
  <c r="AF19" i="22"/>
  <c r="AE16" i="26" s="1"/>
  <c r="AE18" i="22"/>
  <c r="AD15" i="26" s="1"/>
  <c r="AF18" i="22"/>
  <c r="AE15" i="26" s="1"/>
  <c r="W20" i="22"/>
  <c r="V17" i="26" s="1"/>
  <c r="V20" i="22"/>
  <c r="U17" i="26" s="1"/>
  <c r="W19" i="22"/>
  <c r="V16" i="26" s="1"/>
  <c r="V19" i="22"/>
  <c r="U16" i="26" s="1"/>
  <c r="W18" i="22"/>
  <c r="V15" i="26" s="1"/>
  <c r="V18" i="22"/>
  <c r="U15" i="26" s="1"/>
  <c r="GC20" i="12"/>
  <c r="L20" i="22"/>
  <c r="K17" i="26" s="1"/>
  <c r="E17" i="26"/>
  <c r="E23" i="24"/>
  <c r="E16" i="26"/>
  <c r="E22" i="24"/>
  <c r="E21" i="24"/>
  <c r="E15" i="26"/>
  <c r="I17" i="17"/>
  <c r="I23" i="24"/>
  <c r="I16" i="17"/>
  <c r="I22" i="24"/>
  <c r="I21" i="24"/>
  <c r="I15" i="17"/>
  <c r="G20" i="22"/>
  <c r="F17" i="26" s="1"/>
  <c r="G19" i="22"/>
  <c r="F16" i="26" s="1"/>
  <c r="B21" i="12"/>
  <c r="B33" i="12"/>
  <c r="B31" i="12"/>
  <c r="B30" i="12"/>
  <c r="B29" i="12"/>
  <c r="B13" i="12"/>
  <c r="F37" i="21"/>
  <c r="D40" i="11"/>
  <c r="GC22" i="12"/>
  <c r="D26" i="7"/>
  <c r="D25" i="7"/>
  <c r="D24" i="7"/>
  <c r="D23" i="7"/>
  <c r="D22" i="7"/>
  <c r="K17" i="22" s="1"/>
  <c r="J14" i="26" s="1"/>
  <c r="D21" i="7"/>
  <c r="K16" i="22" s="1"/>
  <c r="J13" i="26" s="1"/>
  <c r="D11" i="7"/>
  <c r="K6" i="22" s="1"/>
  <c r="J3" i="26" s="1"/>
  <c r="D20" i="7"/>
  <c r="K15" i="22" s="1"/>
  <c r="J12" i="26" s="1"/>
  <c r="D19" i="7"/>
  <c r="K14" i="22" s="1"/>
  <c r="J11" i="26" s="1"/>
  <c r="D18" i="7"/>
  <c r="K13" i="22" s="1"/>
  <c r="J10" i="26" s="1"/>
  <c r="D17" i="7"/>
  <c r="K12" i="22" s="1"/>
  <c r="J9" i="26" s="1"/>
  <c r="D16" i="7"/>
  <c r="K11" i="22" s="1"/>
  <c r="J8" i="26" s="1"/>
  <c r="D15" i="7"/>
  <c r="K10" i="22" s="1"/>
  <c r="J7" i="26" s="1"/>
  <c r="D14" i="7"/>
  <c r="K9" i="22" s="1"/>
  <c r="J6" i="26" s="1"/>
  <c r="D13" i="7"/>
  <c r="K8" i="22" s="1"/>
  <c r="J5" i="26" s="1"/>
  <c r="D12" i="7"/>
  <c r="K7" i="22" s="1"/>
  <c r="J4" i="26" s="1"/>
  <c r="D27" i="7"/>
  <c r="D31" i="7"/>
  <c r="D30" i="7"/>
  <c r="D29" i="7"/>
  <c r="K24" i="22" s="1"/>
  <c r="J21" i="26" s="1"/>
  <c r="D28" i="7"/>
  <c r="D28" i="5"/>
  <c r="D27" i="5"/>
  <c r="D26" i="5"/>
  <c r="D25" i="5"/>
  <c r="D24" i="5"/>
  <c r="D23" i="5"/>
  <c r="D22" i="5"/>
  <c r="I17" i="22" s="1"/>
  <c r="D11" i="5"/>
  <c r="I6" i="22" s="1"/>
  <c r="D21" i="5"/>
  <c r="I16" i="22" s="1"/>
  <c r="D20" i="5"/>
  <c r="I15" i="22" s="1"/>
  <c r="W16" i="19" s="1"/>
  <c r="D39" i="5"/>
  <c r="D19" i="5"/>
  <c r="I14" i="22" s="1"/>
  <c r="D38" i="5"/>
  <c r="D18" i="5"/>
  <c r="I13" i="22" s="1"/>
  <c r="D17" i="5"/>
  <c r="I12" i="22" s="1"/>
  <c r="D36" i="5"/>
  <c r="D16" i="5"/>
  <c r="I11" i="22" s="1"/>
  <c r="W12" i="19" s="1"/>
  <c r="D35" i="5"/>
  <c r="D15" i="5"/>
  <c r="I10" i="22" s="1"/>
  <c r="D34" i="5"/>
  <c r="D14" i="5"/>
  <c r="I9" i="22" s="1"/>
  <c r="D33" i="5"/>
  <c r="D13" i="5"/>
  <c r="I8" i="22" s="1"/>
  <c r="D32" i="5"/>
  <c r="D12" i="5"/>
  <c r="I7" i="22" s="1"/>
  <c r="D31" i="5"/>
  <c r="D30" i="5"/>
  <c r="D29" i="5"/>
  <c r="D28" i="4"/>
  <c r="D27" i="4"/>
  <c r="D26" i="4"/>
  <c r="D25" i="4"/>
  <c r="D24" i="4"/>
  <c r="D22" i="24" s="1"/>
  <c r="D23" i="4"/>
  <c r="D11" i="4"/>
  <c r="H6" i="22" s="1"/>
  <c r="G3" i="26" s="1"/>
  <c r="D22" i="4"/>
  <c r="H17" i="22" s="1"/>
  <c r="G14" i="26" s="1"/>
  <c r="D12" i="4"/>
  <c r="H7" i="22" s="1"/>
  <c r="G4" i="26" s="1"/>
  <c r="D21" i="4"/>
  <c r="H16" i="22" s="1"/>
  <c r="G13" i="26" s="1"/>
  <c r="D20" i="4"/>
  <c r="H15" i="22" s="1"/>
  <c r="G12" i="26" s="1"/>
  <c r="D39" i="4"/>
  <c r="D19" i="4"/>
  <c r="H14" i="22" s="1"/>
  <c r="G11" i="26" s="1"/>
  <c r="D38" i="4"/>
  <c r="D18" i="4"/>
  <c r="H13" i="22" s="1"/>
  <c r="G10" i="26" s="1"/>
  <c r="D17" i="4"/>
  <c r="H12" i="22" s="1"/>
  <c r="G9" i="26" s="1"/>
  <c r="D36" i="4"/>
  <c r="D16" i="4"/>
  <c r="H11" i="22" s="1"/>
  <c r="G8" i="26" s="1"/>
  <c r="D29" i="4"/>
  <c r="D35" i="4"/>
  <c r="D15" i="4"/>
  <c r="H10" i="22" s="1"/>
  <c r="G7" i="26" s="1"/>
  <c r="D34" i="4"/>
  <c r="D14" i="4"/>
  <c r="H9" i="22" s="1"/>
  <c r="G6" i="26" s="1"/>
  <c r="D33" i="4"/>
  <c r="D13" i="4"/>
  <c r="H8" i="22" s="1"/>
  <c r="G5" i="26" s="1"/>
  <c r="D32" i="4"/>
  <c r="D31" i="4"/>
  <c r="D30" i="4"/>
  <c r="D12" i="3"/>
  <c r="AD6" i="12"/>
  <c r="EA30" i="19"/>
  <c r="EF18" i="19"/>
  <c r="EH17" i="19"/>
  <c r="EA7" i="19"/>
  <c r="EA29" i="19"/>
  <c r="DV33" i="19"/>
  <c r="GC31" i="12"/>
  <c r="GC29" i="12"/>
  <c r="AU19" i="12"/>
  <c r="GC9" i="12"/>
  <c r="G6" i="21"/>
  <c r="EA8" i="19"/>
  <c r="AT7" i="19"/>
  <c r="CR16" i="19"/>
  <c r="CR15" i="19"/>
  <c r="AP18" i="12"/>
  <c r="J36" i="12"/>
  <c r="H36" i="21"/>
  <c r="GC35" i="12"/>
  <c r="BO17" i="12"/>
  <c r="GC16" i="12"/>
  <c r="CW19" i="19"/>
  <c r="BD11" i="19"/>
  <c r="E36" i="12"/>
  <c r="BN21" i="19"/>
  <c r="EA10" i="19"/>
  <c r="BI11" i="19"/>
  <c r="DG23" i="19"/>
  <c r="CC21" i="19"/>
  <c r="CM25" i="19"/>
  <c r="DL13" i="19"/>
  <c r="CH13" i="19"/>
  <c r="DQ7" i="19"/>
  <c r="BD30" i="19"/>
  <c r="AY30" i="19"/>
  <c r="CH36" i="19"/>
  <c r="AT12" i="19"/>
  <c r="BX9" i="19"/>
  <c r="CH9" i="19"/>
  <c r="EA28" i="19"/>
  <c r="DQ27" i="19"/>
  <c r="AT27" i="19"/>
  <c r="BI25" i="19"/>
  <c r="BI23" i="19"/>
  <c r="BD36" i="12"/>
  <c r="AT36" i="12"/>
  <c r="AO36" i="12"/>
  <c r="AJ36" i="12"/>
  <c r="Y36" i="12"/>
  <c r="T36" i="12"/>
  <c r="O36" i="12"/>
  <c r="CC22" i="19"/>
  <c r="BD21" i="19"/>
  <c r="AT21" i="19"/>
  <c r="BN36" i="12"/>
  <c r="BI36" i="12"/>
  <c r="AY36" i="12"/>
  <c r="CD19" i="12"/>
  <c r="F19" i="12"/>
  <c r="EA18" i="19"/>
  <c r="DG19" i="19"/>
  <c r="GI16" i="12"/>
  <c r="U17" i="12"/>
  <c r="Z18" i="12"/>
  <c r="GC13" i="12"/>
  <c r="GC33" i="12"/>
  <c r="EV25" i="12"/>
  <c r="GC23" i="12"/>
  <c r="DG7" i="19"/>
  <c r="CC7" i="19"/>
  <c r="CW33" i="19"/>
  <c r="DG11" i="19"/>
  <c r="CH35" i="19"/>
  <c r="CM9" i="19"/>
  <c r="BN17" i="19"/>
  <c r="CM20" i="19"/>
  <c r="BI27" i="19"/>
  <c r="BS23" i="19"/>
  <c r="BI24" i="19"/>
  <c r="BS20" i="19"/>
  <c r="CM29" i="19"/>
  <c r="EA34" i="19"/>
  <c r="DG20" i="19"/>
  <c r="DQ20" i="19"/>
  <c r="DV10" i="19"/>
  <c r="BX10" i="19"/>
  <c r="EA33" i="19"/>
  <c r="AJ35" i="19"/>
  <c r="BT17" i="12"/>
  <c r="GM14" i="12"/>
  <c r="BX15" i="19"/>
  <c r="BI26" i="19"/>
  <c r="BD17" i="19"/>
  <c r="EA17" i="19"/>
  <c r="CC35" i="19"/>
  <c r="CM35" i="19"/>
  <c r="DL18" i="19"/>
  <c r="DV16" i="19"/>
  <c r="DQ17" i="19"/>
  <c r="GC10" i="12"/>
  <c r="GC30" i="12"/>
  <c r="GG14" i="12"/>
  <c r="DL36" i="19"/>
  <c r="CW21" i="19"/>
  <c r="AY32" i="19"/>
  <c r="CM21" i="19"/>
  <c r="DG18" i="19"/>
  <c r="GC21" i="12"/>
  <c r="CC24" i="19"/>
  <c r="EA14" i="19"/>
  <c r="AT31" i="19"/>
  <c r="CH15" i="19"/>
  <c r="DV36" i="19"/>
  <c r="BJ18" i="12"/>
  <c r="BD34" i="19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AY36" i="19"/>
  <c r="FE36" i="12"/>
  <c r="EZ36" i="12"/>
  <c r="GE8" i="12"/>
  <c r="EA36" i="12"/>
  <c r="DV36" i="12"/>
  <c r="DQ36" i="12"/>
  <c r="DL36" i="12"/>
  <c r="DG36" i="12"/>
  <c r="CN6" i="12"/>
  <c r="CM36" i="12"/>
  <c r="CC36" i="12"/>
  <c r="BY6" i="12"/>
  <c r="BX36" i="12"/>
  <c r="BS36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H33" i="21"/>
  <c r="EF36" i="12"/>
  <c r="DB36" i="12"/>
  <c r="CX19" i="12"/>
  <c r="CW36" i="12"/>
  <c r="CS17" i="12"/>
  <c r="CR36" i="12"/>
  <c r="CS6" i="12"/>
  <c r="CI18" i="12"/>
  <c r="CI6" i="12"/>
  <c r="CH36" i="12"/>
  <c r="GK12" i="12"/>
  <c r="GK11" i="12"/>
  <c r="GM33" i="12"/>
  <c r="GE35" i="12"/>
  <c r="DB35" i="19"/>
  <c r="BN35" i="19"/>
  <c r="BN36" i="19"/>
  <c r="AO36" i="19"/>
  <c r="AE35" i="19"/>
  <c r="AE36" i="19"/>
  <c r="K32" i="17"/>
  <c r="CW34" i="19"/>
  <c r="AT34" i="19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35" i="19"/>
  <c r="DV34" i="19"/>
  <c r="DV15" i="19"/>
  <c r="DV14" i="19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BX32" i="19"/>
  <c r="CW24" i="19"/>
  <c r="GM5" i="12"/>
  <c r="GI33" i="12"/>
  <c r="CH21" i="19"/>
  <c r="BD14" i="19"/>
  <c r="GG13" i="12"/>
  <c r="GI32" i="12"/>
  <c r="GI12" i="12"/>
  <c r="GM26" i="12"/>
  <c r="AY23" i="19"/>
  <c r="GG33" i="12"/>
  <c r="GG12" i="12"/>
  <c r="GI31" i="12"/>
  <c r="GI11" i="12"/>
  <c r="GK14" i="12"/>
  <c r="GE33" i="12"/>
  <c r="GG30" i="12"/>
  <c r="GG9" i="12"/>
  <c r="GI28" i="12"/>
  <c r="GI8" i="12"/>
  <c r="GK13" i="12"/>
  <c r="AO23" i="19"/>
  <c r="BX24" i="19"/>
  <c r="GC14" i="12"/>
  <c r="GE12" i="12"/>
  <c r="GI27" i="12"/>
  <c r="GI7" i="12"/>
  <c r="BX36" i="19"/>
  <c r="BN10" i="19"/>
  <c r="GC34" i="12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AO18" i="19"/>
  <c r="CH10" i="19"/>
  <c r="CR19" i="19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B11" i="12"/>
  <c r="DM17" i="12"/>
  <c r="CS18" i="12"/>
  <c r="GK17" i="12"/>
  <c r="GI17" i="12"/>
  <c r="GG17" i="12"/>
  <c r="GE18" i="12"/>
  <c r="K19" i="12"/>
  <c r="K18" i="12"/>
  <c r="CR18" i="19"/>
  <c r="AY19" i="19"/>
  <c r="K14" i="17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EV33" i="12"/>
  <c r="DB34" i="19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K13" i="17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N34" i="19"/>
  <c r="BD18" i="19"/>
  <c r="AT35" i="19"/>
  <c r="GC19" i="12"/>
  <c r="GE17" i="12"/>
  <c r="GI13" i="12"/>
  <c r="BO21" i="12"/>
  <c r="GK20" i="12"/>
  <c r="CC25" i="19"/>
  <c r="CW18" i="19"/>
  <c r="GE34" i="12"/>
  <c r="GE14" i="12"/>
  <c r="GI30" i="12"/>
  <c r="GI10" i="12"/>
  <c r="GK16" i="12"/>
  <c r="EV24" i="12"/>
  <c r="GM16" i="12"/>
  <c r="EA27" i="19"/>
  <c r="CC36" i="19"/>
  <c r="CM36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AT36" i="19"/>
  <c r="BS33" i="19"/>
  <c r="EA24" i="19"/>
  <c r="GE10" i="12"/>
  <c r="GK33" i="12"/>
  <c r="DQ16" i="19"/>
  <c r="AO17" i="19"/>
  <c r="AO16" i="19"/>
  <c r="AE16" i="19"/>
  <c r="K12" i="17"/>
  <c r="K11" i="17"/>
  <c r="CM15" i="19"/>
  <c r="BN16" i="19"/>
  <c r="AJ15" i="19"/>
  <c r="K10" i="17"/>
  <c r="BI13" i="19"/>
  <c r="K9" i="17"/>
  <c r="DB13" i="19"/>
  <c r="CC12" i="19"/>
  <c r="AT11" i="19"/>
  <c r="CR11" i="19"/>
  <c r="BD12" i="19"/>
  <c r="AY12" i="19"/>
  <c r="K7" i="17"/>
  <c r="BS10" i="19"/>
  <c r="DB10" i="19"/>
  <c r="DL9" i="19"/>
  <c r="EA9" i="19"/>
  <c r="DB9" i="19"/>
  <c r="CM10" i="19"/>
  <c r="K5" i="17"/>
  <c r="K6" i="17"/>
  <c r="DG8" i="19"/>
  <c r="CW8" i="19"/>
  <c r="BI9" i="19"/>
  <c r="K4" i="17"/>
  <c r="DH6" i="12"/>
  <c r="DV7" i="19"/>
  <c r="DQ15" i="19"/>
  <c r="DQ36" i="19"/>
  <c r="DQ35" i="19"/>
  <c r="DL26" i="19"/>
  <c r="DL25" i="19"/>
  <c r="DL16" i="19"/>
  <c r="DL28" i="19"/>
  <c r="DL7" i="19"/>
  <c r="DG15" i="19"/>
  <c r="DG16" i="19"/>
  <c r="DG36" i="19"/>
  <c r="DG35" i="19"/>
  <c r="DB15" i="19"/>
  <c r="DB14" i="19"/>
  <c r="CW11" i="19"/>
  <c r="CW13" i="19"/>
  <c r="CM31" i="19"/>
  <c r="CM7" i="19"/>
  <c r="CC19" i="19"/>
  <c r="BX20" i="19"/>
  <c r="BS35" i="19"/>
  <c r="BN9" i="19"/>
  <c r="BN15" i="19"/>
  <c r="BN7" i="19"/>
  <c r="BI12" i="19"/>
  <c r="BD15" i="19"/>
  <c r="BD36" i="19"/>
  <c r="BD7" i="19"/>
  <c r="AY27" i="19"/>
  <c r="AY28" i="19"/>
  <c r="AY35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FF29" i="12"/>
  <c r="B26" i="12"/>
  <c r="F17" i="12"/>
  <c r="F18" i="12"/>
  <c r="AP19" i="12"/>
  <c r="CN20" i="12"/>
  <c r="CN19" i="12"/>
  <c r="AT25" i="19"/>
  <c r="AT26" i="19"/>
  <c r="BD8" i="19"/>
  <c r="BD9" i="19"/>
  <c r="J8" i="9"/>
  <c r="L8" i="9"/>
  <c r="M8" i="9" s="1"/>
  <c r="BO20" i="12"/>
  <c r="B28" i="12"/>
  <c r="BS9" i="19"/>
  <c r="EA19" i="19"/>
  <c r="AT15" i="19"/>
  <c r="EA22" i="19"/>
  <c r="BI35" i="19"/>
  <c r="BD23" i="19"/>
  <c r="CW10" i="19"/>
  <c r="CC30" i="19"/>
  <c r="AT23" i="19"/>
  <c r="EV13" i="12"/>
  <c r="AT20" i="19"/>
  <c r="AO19" i="19"/>
  <c r="BI33" i="19"/>
  <c r="DB22" i="19"/>
  <c r="DB16" i="19"/>
  <c r="BN13" i="19"/>
  <c r="BI36" i="19"/>
  <c r="CM8" i="19"/>
  <c r="BS36" i="19"/>
  <c r="AJ31" i="19"/>
  <c r="BD24" i="19"/>
  <c r="CI19" i="12"/>
  <c r="BS32" i="19"/>
  <c r="BX21" i="19"/>
  <c r="EV9" i="12"/>
  <c r="DL31" i="19"/>
  <c r="DV30" i="19"/>
  <c r="CR33" i="19"/>
  <c r="DV8" i="19"/>
  <c r="BI10" i="19"/>
  <c r="AO9" i="19"/>
  <c r="AE32" i="19"/>
  <c r="DL35" i="19"/>
  <c r="DL34" i="19"/>
  <c r="DB33" i="19"/>
  <c r="BS34" i="19"/>
  <c r="BD33" i="19"/>
  <c r="AJ34" i="19"/>
  <c r="AE34" i="19"/>
  <c r="K29" i="17"/>
  <c r="CM33" i="19"/>
  <c r="BI32" i="19"/>
  <c r="AO33" i="19"/>
  <c r="EA32" i="19"/>
  <c r="DB31" i="19"/>
  <c r="DB32" i="19"/>
  <c r="BD32" i="19"/>
  <c r="AJ33" i="19"/>
  <c r="AJ32" i="19"/>
  <c r="AE31" i="19"/>
  <c r="DQ30" i="19"/>
  <c r="DQ32" i="19"/>
  <c r="CM32" i="19"/>
  <c r="BD31" i="19"/>
  <c r="AT30" i="19"/>
  <c r="AO31" i="19"/>
  <c r="DV29" i="19"/>
  <c r="DG29" i="19"/>
  <c r="DG30" i="19"/>
  <c r="DB30" i="19"/>
  <c r="CW30" i="19"/>
  <c r="CH29" i="19"/>
  <c r="AO30" i="19"/>
  <c r="AJ30" i="19"/>
  <c r="AE30" i="19"/>
  <c r="DV28" i="19"/>
  <c r="CM30" i="19"/>
  <c r="CH30" i="19"/>
  <c r="CC28" i="19"/>
  <c r="CC29" i="19"/>
  <c r="AO29" i="19"/>
  <c r="AJ29" i="19"/>
  <c r="AE29" i="19"/>
  <c r="DB28" i="19"/>
  <c r="CH28" i="19"/>
  <c r="CC27" i="19"/>
  <c r="BX28" i="19"/>
  <c r="BN29" i="19"/>
  <c r="BD29" i="19"/>
  <c r="BX27" i="19"/>
  <c r="BS28" i="19"/>
  <c r="BI28" i="19"/>
  <c r="AJ28" i="19"/>
  <c r="AJ26" i="19"/>
  <c r="AE28" i="19"/>
  <c r="V27" i="19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L28" i="9"/>
  <c r="M28" i="9" s="1"/>
  <c r="J28" i="9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J27" i="9"/>
  <c r="L27" i="9"/>
  <c r="M27" i="9" s="1"/>
  <c r="J26" i="9"/>
  <c r="L26" i="9"/>
  <c r="M26" i="9" s="1"/>
  <c r="J23" i="9"/>
  <c r="L23" i="9"/>
  <c r="M23" i="9" s="1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6" i="12"/>
  <c r="EV6" i="12"/>
  <c r="EU36" i="12"/>
  <c r="EV7" i="12"/>
  <c r="AU30" i="12"/>
  <c r="AU29" i="12"/>
  <c r="EQ26" i="12"/>
  <c r="EQ27" i="12"/>
  <c r="EV35" i="12"/>
  <c r="EV21" i="12"/>
  <c r="EV22" i="12"/>
  <c r="FQ8" i="12"/>
  <c r="FP8" i="12"/>
  <c r="U26" i="12"/>
  <c r="EV34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FQ33" i="12"/>
  <c r="FP33" i="12"/>
  <c r="BY24" i="12"/>
  <c r="FQ20" i="12"/>
  <c r="FP20" i="12"/>
  <c r="FQ34" i="12"/>
  <c r="FP34" i="12"/>
  <c r="DC30" i="12"/>
  <c r="DC29" i="12"/>
  <c r="FQ35" i="12"/>
  <c r="FP35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BO29" i="12"/>
  <c r="CD31" i="12"/>
  <c r="EG35" i="12"/>
  <c r="EK16" i="12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G23" i="24" s="1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J18" i="9"/>
  <c r="CW20" i="19"/>
  <c r="CR20" i="19"/>
  <c r="AY20" i="19"/>
  <c r="AE19" i="19"/>
  <c r="BX19" i="19"/>
  <c r="BN19" i="19"/>
  <c r="BI19" i="19"/>
  <c r="AE18" i="19"/>
  <c r="V19" i="19"/>
  <c r="G21" i="24" s="1"/>
  <c r="AZ18" i="12"/>
  <c r="AP17" i="12"/>
  <c r="AK16" i="12"/>
  <c r="L17" i="9"/>
  <c r="M17" i="9" s="1"/>
  <c r="J17" i="9"/>
  <c r="B12" i="1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L13" i="9"/>
  <c r="M13" i="9" s="1"/>
  <c r="J13" i="9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B9" i="12"/>
  <c r="B10" i="12"/>
  <c r="B7" i="12"/>
  <c r="EA12" i="19"/>
  <c r="CC13" i="19"/>
  <c r="BS13" i="19"/>
  <c r="BD13" i="19"/>
  <c r="AY13" i="19"/>
  <c r="AT13" i="19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CN9" i="12"/>
  <c r="CD9" i="12"/>
  <c r="BY7" i="12"/>
  <c r="BT8" i="12"/>
  <c r="BE7" i="12"/>
  <c r="AU9" i="12"/>
  <c r="AU7" i="12"/>
  <c r="AK9" i="12"/>
  <c r="AK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K3" i="17"/>
  <c r="EA16" i="19"/>
  <c r="EA15" i="19"/>
  <c r="EA31" i="19"/>
  <c r="EA11" i="19"/>
  <c r="EA35" i="19"/>
  <c r="DV23" i="19"/>
  <c r="DV24" i="19"/>
  <c r="DV19" i="19"/>
  <c r="DQ8" i="19"/>
  <c r="DQ13" i="19"/>
  <c r="DQ14" i="19"/>
  <c r="DQ34" i="19"/>
  <c r="DQ33" i="19"/>
  <c r="DQ19" i="19"/>
  <c r="DQ18" i="19"/>
  <c r="DQ29" i="19"/>
  <c r="DQ10" i="19"/>
  <c r="DQ24" i="19"/>
  <c r="DL8" i="19"/>
  <c r="DL24" i="19"/>
  <c r="DL29" i="19"/>
  <c r="DG14" i="19"/>
  <c r="DG13" i="19"/>
  <c r="DG34" i="19"/>
  <c r="DG33" i="19"/>
  <c r="DG10" i="19"/>
  <c r="DG28" i="19"/>
  <c r="DB25" i="19"/>
  <c r="DB26" i="19"/>
  <c r="CW15" i="19"/>
  <c r="CW16" i="19"/>
  <c r="CW7" i="19"/>
  <c r="CW35" i="19"/>
  <c r="CW36" i="19"/>
  <c r="CR25" i="19"/>
  <c r="CR26" i="19"/>
  <c r="CR35" i="19"/>
  <c r="CR36" i="19"/>
  <c r="CM17" i="19"/>
  <c r="CH27" i="19"/>
  <c r="CH26" i="19"/>
  <c r="CH7" i="19"/>
  <c r="CC16" i="19"/>
  <c r="CC17" i="19"/>
  <c r="BX33" i="19"/>
  <c r="BX13" i="19"/>
  <c r="BX25" i="19"/>
  <c r="BX30" i="19"/>
  <c r="BX29" i="19"/>
  <c r="BX34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V32" i="19"/>
  <c r="V29" i="19"/>
  <c r="G11" i="24"/>
  <c r="V22" i="19"/>
  <c r="V20" i="19"/>
  <c r="G22" i="24" s="1"/>
  <c r="K2" i="17"/>
  <c r="V33" i="19"/>
  <c r="V18" i="19"/>
  <c r="G20" i="24" s="1"/>
  <c r="V17" i="19"/>
  <c r="G19" i="24" s="1"/>
  <c r="V31" i="19"/>
  <c r="V16" i="19"/>
  <c r="G18" i="24" s="1"/>
  <c r="V30" i="19"/>
  <c r="V15" i="19"/>
  <c r="G17" i="24" s="1"/>
  <c r="V14" i="19"/>
  <c r="G16" i="24" s="1"/>
  <c r="G15" i="24"/>
  <c r="V28" i="19"/>
  <c r="V12" i="19"/>
  <c r="G14" i="24" s="1"/>
  <c r="V11" i="19"/>
  <c r="G13" i="24" s="1"/>
  <c r="V10" i="19"/>
  <c r="G12" i="24" s="1"/>
  <c r="V26" i="19"/>
  <c r="V25" i="19"/>
  <c r="G27" i="24" s="1"/>
  <c r="V8" i="19"/>
  <c r="G10" i="24" s="1"/>
  <c r="V7" i="19"/>
  <c r="G9" i="24" s="1"/>
  <c r="V6" i="19"/>
  <c r="H6" i="21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B33" i="12"/>
  <c r="FA33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L29" i="9"/>
  <c r="M29" i="9" s="1"/>
  <c r="J29" i="9"/>
  <c r="L15" i="9"/>
  <c r="M15" i="9" s="1"/>
  <c r="J15" i="9"/>
  <c r="L30" i="9"/>
  <c r="M30" i="9" s="1"/>
  <c r="J30" i="9"/>
  <c r="J14" i="9"/>
  <c r="L14" i="9"/>
  <c r="M14" i="9" s="1"/>
  <c r="J12" i="9"/>
  <c r="L12" i="9"/>
  <c r="M12" i="9" s="1"/>
  <c r="J11" i="9"/>
  <c r="L11" i="9"/>
  <c r="M11" i="9" s="1"/>
  <c r="L25" i="9"/>
  <c r="M25" i="9" s="1"/>
  <c r="J25" i="9"/>
  <c r="L10" i="9"/>
  <c r="M10" i="9" s="1"/>
  <c r="J10" i="9"/>
  <c r="J24" i="9"/>
  <c r="L24" i="9"/>
  <c r="M24" i="9" s="1"/>
  <c r="J9" i="9"/>
  <c r="L9" i="9"/>
  <c r="M9" i="9" s="1"/>
  <c r="L22" i="9"/>
  <c r="M22" i="9" s="1"/>
  <c r="J22" i="9"/>
  <c r="J7" i="9"/>
  <c r="L7" i="9"/>
  <c r="M7" i="9" s="1"/>
  <c r="J21" i="9"/>
  <c r="L21" i="9"/>
  <c r="M21" i="9" s="1"/>
  <c r="L6" i="9"/>
  <c r="M6" i="9" s="1"/>
  <c r="J6" i="9"/>
  <c r="J20" i="9"/>
  <c r="L20" i="9"/>
  <c r="M20" i="9" s="1"/>
  <c r="L19" i="9"/>
  <c r="M19" i="9" s="1"/>
  <c r="J19" i="9"/>
  <c r="L31" i="9"/>
  <c r="M31" i="9" s="1"/>
  <c r="J31" i="9"/>
  <c r="J35" i="9"/>
  <c r="L35" i="9"/>
  <c r="AV27" i="12"/>
  <c r="AG31" i="12"/>
  <c r="B32" i="12"/>
  <c r="FB32" i="1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B5" i="12"/>
  <c r="GM35" i="12"/>
  <c r="EQ35" i="12"/>
  <c r="EL35" i="12"/>
  <c r="EG34" i="12"/>
  <c r="EB35" i="12"/>
  <c r="DW35" i="12"/>
  <c r="DR35" i="12"/>
  <c r="DM35" i="12"/>
  <c r="DH35" i="12"/>
  <c r="DC35" i="12"/>
  <c r="CX35" i="12"/>
  <c r="CS35" i="12"/>
  <c r="CN35" i="12"/>
  <c r="CI35" i="12"/>
  <c r="CD35" i="12"/>
  <c r="BY35" i="12"/>
  <c r="GK35" i="12"/>
  <c r="BO35" i="12"/>
  <c r="BJ35" i="12"/>
  <c r="BE35" i="12"/>
  <c r="GI35" i="12"/>
  <c r="GG35" i="12"/>
  <c r="AU35" i="12"/>
  <c r="AK35" i="12"/>
  <c r="AF35" i="12"/>
  <c r="Z35" i="12"/>
  <c r="P35" i="12"/>
  <c r="K35" i="12"/>
  <c r="EA36" i="19"/>
  <c r="DB36" i="19"/>
  <c r="FG34" i="12"/>
  <c r="FF35" i="12"/>
  <c r="GM34" i="12"/>
  <c r="FB34" i="12"/>
  <c r="FA35" i="12"/>
  <c r="FA34" i="12"/>
  <c r="EQ34" i="12"/>
  <c r="EB34" i="12"/>
  <c r="DW34" i="12"/>
  <c r="DR34" i="12"/>
  <c r="DM34" i="12"/>
  <c r="DH34" i="12"/>
  <c r="DC34" i="12"/>
  <c r="CX34" i="12"/>
  <c r="CN34" i="12"/>
  <c r="CI34" i="12"/>
  <c r="BY34" i="12"/>
  <c r="BT35" i="12"/>
  <c r="GK34" i="12"/>
  <c r="BT34" i="12"/>
  <c r="BJ34" i="12"/>
  <c r="BE34" i="12"/>
  <c r="AZ35" i="12"/>
  <c r="GI34" i="12"/>
  <c r="AU34" i="12"/>
  <c r="GG34" i="12"/>
  <c r="AP35" i="12"/>
  <c r="AK34" i="12"/>
  <c r="AF34" i="12"/>
  <c r="Z34" i="12"/>
  <c r="U35" i="12"/>
  <c r="P34" i="12"/>
  <c r="K34" i="12"/>
  <c r="F35" i="12"/>
  <c r="L34" i="9"/>
  <c r="M34" i="9" s="1"/>
  <c r="J34" i="9"/>
  <c r="CR34" i="19"/>
  <c r="CM34" i="19"/>
  <c r="CH34" i="19"/>
  <c r="CC34" i="19"/>
  <c r="BX35" i="19"/>
  <c r="BI34" i="19"/>
  <c r="BD35" i="19"/>
  <c r="AY34" i="19"/>
  <c r="AO35" i="19"/>
  <c r="AO34" i="19"/>
  <c r="AJ36" i="19"/>
  <c r="AE33" i="19"/>
  <c r="S37" i="19"/>
  <c r="V36" i="19"/>
  <c r="V35" i="19"/>
  <c r="N37" i="19"/>
  <c r="I37" i="19"/>
  <c r="FG33" i="12"/>
  <c r="FF34" i="12"/>
  <c r="EL34" i="12"/>
  <c r="EL33" i="12"/>
  <c r="CS33" i="12"/>
  <c r="CS34" i="12"/>
  <c r="CD34" i="12"/>
  <c r="CD33" i="12"/>
  <c r="BO34" i="12"/>
  <c r="AZ34" i="12"/>
  <c r="AP34" i="12"/>
  <c r="U34" i="12"/>
  <c r="F34" i="12"/>
  <c r="L33" i="9"/>
  <c r="M33" i="9" s="1"/>
  <c r="J33" i="9"/>
  <c r="FB30" i="12"/>
  <c r="FB31" i="12"/>
  <c r="FF33" i="12"/>
  <c r="FG32" i="12"/>
  <c r="FF32" i="12"/>
  <c r="EQ33" i="12"/>
  <c r="EQ32" i="12"/>
  <c r="EG33" i="12"/>
  <c r="EG32" i="12"/>
  <c r="EB33" i="12"/>
  <c r="EB32" i="12"/>
  <c r="DW33" i="12"/>
  <c r="DW32" i="12"/>
  <c r="DR32" i="12"/>
  <c r="DR33" i="12"/>
  <c r="DM33" i="12"/>
  <c r="DM32" i="12"/>
  <c r="DH32" i="12"/>
  <c r="DH33" i="12"/>
  <c r="DC32" i="12"/>
  <c r="DC33" i="12"/>
  <c r="CX32" i="12"/>
  <c r="CX33" i="12"/>
  <c r="CN33" i="12"/>
  <c r="CN32" i="12"/>
  <c r="V34" i="19"/>
  <c r="D37" i="19"/>
  <c r="CI33" i="12"/>
  <c r="CI32" i="12"/>
  <c r="BY32" i="12"/>
  <c r="BY33" i="12"/>
  <c r="BT32" i="12"/>
  <c r="BT33" i="12"/>
  <c r="BO32" i="12"/>
  <c r="BO33" i="12"/>
  <c r="BJ32" i="12"/>
  <c r="BJ33" i="12"/>
  <c r="BE33" i="12"/>
  <c r="BE32" i="12"/>
  <c r="AZ33" i="12"/>
  <c r="AZ32" i="12"/>
  <c r="AU32" i="12"/>
  <c r="AU33" i="12"/>
  <c r="AP32" i="12"/>
  <c r="AP33" i="12"/>
  <c r="AK32" i="12"/>
  <c r="AK33" i="12"/>
  <c r="AF33" i="12"/>
  <c r="AF32" i="12"/>
  <c r="Z33" i="12"/>
  <c r="Z32" i="12"/>
  <c r="U33" i="12"/>
  <c r="U32" i="12"/>
  <c r="P32" i="12"/>
  <c r="P33" i="12"/>
  <c r="K33" i="12"/>
  <c r="K32" i="12"/>
  <c r="F33" i="12"/>
  <c r="F32" i="12"/>
  <c r="L32" i="9"/>
  <c r="M32" i="9" s="1"/>
  <c r="J32" i="9"/>
  <c r="G8" i="24" l="1"/>
  <c r="Y6" i="19"/>
  <c r="V37" i="19"/>
  <c r="G38" i="24"/>
  <c r="EQ16" i="12"/>
  <c r="AN16" i="22"/>
  <c r="AM13" i="26" s="1"/>
  <c r="EL16" i="12"/>
  <c r="AM16" i="22"/>
  <c r="AL13" i="26" s="1"/>
  <c r="AF6" i="12"/>
  <c r="Q6" i="22"/>
  <c r="P3" i="26" s="1"/>
  <c r="F22" i="24"/>
  <c r="F38" i="24"/>
  <c r="L36" i="9"/>
  <c r="M36" i="9" s="1"/>
  <c r="H8" i="26"/>
  <c r="H12" i="21"/>
  <c r="H9" i="26"/>
  <c r="W13" i="19"/>
  <c r="H13" i="21" s="1"/>
  <c r="H10" i="26"/>
  <c r="W14" i="19"/>
  <c r="H14" i="21" s="1"/>
  <c r="H11" i="26"/>
  <c r="E11" i="17" s="1"/>
  <c r="W15" i="19"/>
  <c r="H15" i="21" s="1"/>
  <c r="H12" i="26"/>
  <c r="E12" i="17" s="1"/>
  <c r="H16" i="21"/>
  <c r="H13" i="26"/>
  <c r="E13" i="17" s="1"/>
  <c r="W17" i="19"/>
  <c r="H17" i="21" s="1"/>
  <c r="H3" i="26"/>
  <c r="E3" i="17" s="1"/>
  <c r="W7" i="19"/>
  <c r="H7" i="21" s="1"/>
  <c r="H14" i="26"/>
  <c r="E14" i="17" s="1"/>
  <c r="W18" i="19"/>
  <c r="H18" i="21" s="1"/>
  <c r="H4" i="26"/>
  <c r="W8" i="19"/>
  <c r="H8" i="21" s="1"/>
  <c r="D9" i="24"/>
  <c r="F9" i="24" s="1"/>
  <c r="H5" i="26"/>
  <c r="W9" i="19"/>
  <c r="H9" i="21" s="1"/>
  <c r="H6" i="26"/>
  <c r="W10" i="19"/>
  <c r="H10" i="21" s="1"/>
  <c r="H7" i="26"/>
  <c r="W11" i="19"/>
  <c r="H11" i="21" s="1"/>
  <c r="D16" i="24"/>
  <c r="F16" i="24" s="1"/>
  <c r="E10" i="17"/>
  <c r="D15" i="24"/>
  <c r="F15" i="24" s="1"/>
  <c r="E9" i="17"/>
  <c r="D11" i="24"/>
  <c r="F11" i="24" s="1"/>
  <c r="E5" i="17"/>
  <c r="D12" i="24"/>
  <c r="F12" i="24" s="1"/>
  <c r="E6" i="17"/>
  <c r="D13" i="24"/>
  <c r="F13" i="24" s="1"/>
  <c r="E7" i="17"/>
  <c r="D14" i="24"/>
  <c r="F14" i="24" s="1"/>
  <c r="E8" i="17"/>
  <c r="K8" i="17"/>
  <c r="G7" i="22"/>
  <c r="F4" i="26" s="1"/>
  <c r="D10" i="24"/>
  <c r="F10" i="24" s="1"/>
  <c r="G13" i="17"/>
  <c r="F16" i="22"/>
  <c r="G12" i="17"/>
  <c r="F15" i="22"/>
  <c r="G32" i="17"/>
  <c r="F35" i="22"/>
  <c r="G11" i="17"/>
  <c r="F14" i="22"/>
  <c r="G10" i="17"/>
  <c r="F13" i="22"/>
  <c r="G9" i="17"/>
  <c r="F12" i="22"/>
  <c r="G8" i="17"/>
  <c r="F11" i="22"/>
  <c r="G4" i="17"/>
  <c r="F7" i="22"/>
  <c r="G7" i="17"/>
  <c r="F10" i="22"/>
  <c r="G3" i="17"/>
  <c r="G6" i="17"/>
  <c r="F9" i="22"/>
  <c r="G14" i="17"/>
  <c r="F17" i="22"/>
  <c r="G37" i="21"/>
  <c r="E5" i="22"/>
  <c r="F6" i="22" s="1"/>
  <c r="H8" i="24"/>
  <c r="H39" i="24" s="1"/>
  <c r="H40" i="24" s="1"/>
  <c r="F8" i="22"/>
  <c r="G5" i="17"/>
  <c r="F35" i="24"/>
  <c r="G30" i="17"/>
  <c r="F34" i="22"/>
  <c r="G29" i="17"/>
  <c r="F33" i="22"/>
  <c r="I34" i="22"/>
  <c r="H34" i="22"/>
  <c r="D37" i="24"/>
  <c r="F37" i="24" s="1"/>
  <c r="AE34" i="12"/>
  <c r="G37" i="24"/>
  <c r="AE33" i="12"/>
  <c r="G36" i="24"/>
  <c r="E29" i="17"/>
  <c r="I33" i="22"/>
  <c r="H33" i="22"/>
  <c r="D36" i="24"/>
  <c r="F36" i="24" s="1"/>
  <c r="G28" i="17"/>
  <c r="F32" i="22"/>
  <c r="G27" i="17"/>
  <c r="F31" i="22"/>
  <c r="AE32" i="12"/>
  <c r="G35" i="24"/>
  <c r="I31" i="22"/>
  <c r="H31" i="22"/>
  <c r="D34" i="24"/>
  <c r="F34" i="24" s="1"/>
  <c r="AE31" i="12"/>
  <c r="G34" i="24"/>
  <c r="G26" i="17"/>
  <c r="F30" i="22"/>
  <c r="I30" i="22"/>
  <c r="H30" i="22"/>
  <c r="D33" i="24"/>
  <c r="F33" i="24" s="1"/>
  <c r="G25" i="17"/>
  <c r="F29" i="22"/>
  <c r="I29" i="22"/>
  <c r="H29" i="22"/>
  <c r="D32" i="24"/>
  <c r="F32" i="24" s="1"/>
  <c r="AE30" i="12"/>
  <c r="G33" i="24"/>
  <c r="AE29" i="12"/>
  <c r="G32" i="24"/>
  <c r="G24" i="17"/>
  <c r="F28" i="22"/>
  <c r="I28" i="22"/>
  <c r="H28" i="22"/>
  <c r="D31" i="24"/>
  <c r="F31" i="24" s="1"/>
  <c r="G23" i="17"/>
  <c r="F27" i="22"/>
  <c r="F26" i="22"/>
  <c r="G22" i="17"/>
  <c r="E39" i="24"/>
  <c r="E40" i="24" s="1"/>
  <c r="I27" i="22"/>
  <c r="H27" i="22"/>
  <c r="D30" i="24"/>
  <c r="F30" i="24" s="1"/>
  <c r="AE28" i="12"/>
  <c r="G31" i="24"/>
  <c r="K26" i="22"/>
  <c r="J23" i="26" s="1"/>
  <c r="I26" i="22"/>
  <c r="D28" i="24"/>
  <c r="F28" i="24" s="1"/>
  <c r="H26" i="22"/>
  <c r="D29" i="24"/>
  <c r="F29" i="24" s="1"/>
  <c r="AE27" i="12"/>
  <c r="G30" i="24"/>
  <c r="G21" i="17"/>
  <c r="F25" i="22"/>
  <c r="I39" i="24"/>
  <c r="I40" i="24" s="1"/>
  <c r="K25" i="22"/>
  <c r="J22" i="26" s="1"/>
  <c r="I25" i="22"/>
  <c r="H25" i="22"/>
  <c r="AE26" i="12"/>
  <c r="G29" i="24"/>
  <c r="F24" i="22"/>
  <c r="G20" i="17"/>
  <c r="G19" i="17"/>
  <c r="F23" i="22"/>
  <c r="G18" i="17"/>
  <c r="F22" i="22"/>
  <c r="F21" i="22"/>
  <c r="G17" i="17"/>
  <c r="K23" i="22"/>
  <c r="J20" i="26" s="1"/>
  <c r="K22" i="22"/>
  <c r="J19" i="26" s="1"/>
  <c r="I24" i="22"/>
  <c r="I23" i="22"/>
  <c r="I22" i="22"/>
  <c r="H24" i="22"/>
  <c r="D27" i="24"/>
  <c r="F27" i="24" s="1"/>
  <c r="H23" i="22"/>
  <c r="D26" i="24"/>
  <c r="F26" i="24" s="1"/>
  <c r="H22" i="22"/>
  <c r="D25" i="24"/>
  <c r="F25" i="24" s="1"/>
  <c r="AE25" i="12"/>
  <c r="G28" i="24"/>
  <c r="AE23" i="12"/>
  <c r="G26" i="24"/>
  <c r="AE22" i="12"/>
  <c r="G25" i="24"/>
  <c r="K21" i="22"/>
  <c r="J18" i="26" s="1"/>
  <c r="I21" i="22"/>
  <c r="H21" i="22"/>
  <c r="D24" i="24"/>
  <c r="F24" i="24" s="1"/>
  <c r="AE21" i="12"/>
  <c r="G24" i="24"/>
  <c r="G16" i="17"/>
  <c r="F20" i="22"/>
  <c r="G15" i="17"/>
  <c r="F19" i="22"/>
  <c r="F18" i="22"/>
  <c r="K20" i="22"/>
  <c r="J17" i="26" s="1"/>
  <c r="K18" i="22"/>
  <c r="J15" i="26" s="1"/>
  <c r="K19" i="22"/>
  <c r="J16" i="26" s="1"/>
  <c r="I20" i="22"/>
  <c r="I18" i="22"/>
  <c r="I19" i="22"/>
  <c r="H20" i="22"/>
  <c r="D23" i="24"/>
  <c r="F23" i="24" s="1"/>
  <c r="H18" i="22"/>
  <c r="H19" i="22"/>
  <c r="D21" i="24"/>
  <c r="F21" i="24" s="1"/>
  <c r="D20" i="24"/>
  <c r="F20" i="24" s="1"/>
  <c r="D19" i="24"/>
  <c r="F19" i="24" s="1"/>
  <c r="D17" i="24"/>
  <c r="D18" i="24"/>
  <c r="F18" i="24" s="1"/>
  <c r="EM6" i="12"/>
  <c r="D41" i="3"/>
  <c r="BA29" i="12"/>
  <c r="V21" i="12"/>
  <c r="L33" i="12"/>
  <c r="BF11" i="12"/>
  <c r="DN12" i="12"/>
  <c r="CJ9" i="12"/>
  <c r="G7" i="12"/>
  <c r="FB35" i="12"/>
  <c r="G28" i="12"/>
  <c r="BZ26" i="12"/>
  <c r="AL25" i="12"/>
  <c r="CY24" i="12"/>
  <c r="DX23" i="12"/>
  <c r="CE22" i="12"/>
  <c r="CT19" i="12"/>
  <c r="AV18" i="12"/>
  <c r="G13" i="12"/>
  <c r="D41" i="7"/>
  <c r="AL15" i="12"/>
  <c r="EM20" i="12"/>
  <c r="D41" i="5"/>
  <c r="EM16" i="12"/>
  <c r="D41" i="4"/>
  <c r="AE35" i="12"/>
  <c r="DD30" i="12"/>
  <c r="Y25" i="19"/>
  <c r="AE24" i="12"/>
  <c r="AF7" i="12"/>
  <c r="AD36" i="12"/>
  <c r="EF19" i="19"/>
  <c r="EH18" i="19"/>
  <c r="FB11" i="12"/>
  <c r="CT34" i="12"/>
  <c r="CR17" i="19"/>
  <c r="CR14" i="19"/>
  <c r="Y15" i="19"/>
  <c r="AE14" i="12"/>
  <c r="Y33" i="19"/>
  <c r="AE5" i="12"/>
  <c r="Y7" i="19"/>
  <c r="AE6" i="12"/>
  <c r="AE7" i="12"/>
  <c r="Y8" i="19"/>
  <c r="AE8" i="12"/>
  <c r="Y9" i="19"/>
  <c r="Y34" i="19"/>
  <c r="AE9" i="12"/>
  <c r="Y10" i="19"/>
  <c r="Y35" i="19"/>
  <c r="AE10" i="12"/>
  <c r="Y11" i="19"/>
  <c r="Y32" i="19"/>
  <c r="Y36" i="19"/>
  <c r="AE11" i="12"/>
  <c r="Y12" i="19"/>
  <c r="AE12" i="12"/>
  <c r="Y13" i="19"/>
  <c r="Y14" i="19"/>
  <c r="AE13" i="12"/>
  <c r="Y31" i="19"/>
  <c r="Y30" i="19"/>
  <c r="Y29" i="19"/>
  <c r="Y28" i="19"/>
  <c r="Y27" i="19"/>
  <c r="Y26" i="19"/>
  <c r="Y24" i="19"/>
  <c r="Y23" i="19"/>
  <c r="Y22" i="19"/>
  <c r="AE20" i="12"/>
  <c r="Y21" i="19"/>
  <c r="Y20" i="19"/>
  <c r="AE19" i="12"/>
  <c r="AE18" i="12"/>
  <c r="Y19" i="19"/>
  <c r="Y18" i="19"/>
  <c r="AE17" i="12"/>
  <c r="Y16" i="19"/>
  <c r="AE15" i="12"/>
  <c r="AE16" i="12"/>
  <c r="Y17" i="19"/>
  <c r="FB12" i="12"/>
  <c r="EK36" i="12"/>
  <c r="EP36" i="12"/>
  <c r="FB28" i="12"/>
  <c r="EQ17" i="12"/>
  <c r="EL17" i="12"/>
  <c r="GE16" i="12"/>
  <c r="FB9" i="12"/>
  <c r="FB7" i="12"/>
  <c r="FB26" i="12"/>
  <c r="EW31" i="12"/>
  <c r="BF31" i="12"/>
  <c r="V31" i="12"/>
  <c r="DS31" i="12"/>
  <c r="ER31" i="12"/>
  <c r="G31" i="12"/>
  <c r="CE31" i="12"/>
  <c r="AQ31" i="12"/>
  <c r="CO31" i="12"/>
  <c r="AV31" i="12"/>
  <c r="BA31" i="12"/>
  <c r="BK31" i="12"/>
  <c r="FB10" i="12"/>
  <c r="DS27" i="12"/>
  <c r="DX27" i="12"/>
  <c r="CE27" i="12"/>
  <c r="BA27" i="12"/>
  <c r="CT27" i="12"/>
  <c r="G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AL31" i="12"/>
  <c r="DX31" i="12"/>
  <c r="CJ31" i="12"/>
  <c r="AA31" i="12"/>
  <c r="EC31" i="12"/>
  <c r="EM31" i="12"/>
  <c r="CY31" i="12"/>
  <c r="DI31" i="12"/>
  <c r="BU31" i="12"/>
  <c r="EH31" i="12"/>
  <c r="DN31" i="12"/>
  <c r="BP31" i="12"/>
  <c r="L29" i="12"/>
  <c r="CJ21" i="12"/>
  <c r="AG21" i="12"/>
  <c r="BZ21" i="12"/>
  <c r="CO21" i="12"/>
  <c r="AV21" i="12"/>
  <c r="DN21" i="12"/>
  <c r="DS21" i="12"/>
  <c r="BU21" i="12"/>
  <c r="EC21" i="12"/>
  <c r="AQ21" i="12"/>
  <c r="DX21" i="12"/>
  <c r="ER21" i="12"/>
  <c r="CT21" i="12"/>
  <c r="DI21" i="12"/>
  <c r="AL21" i="12"/>
  <c r="CY21" i="12"/>
  <c r="L21" i="12"/>
  <c r="EM21" i="12"/>
  <c r="EH21" i="12"/>
  <c r="DD21" i="12"/>
  <c r="AA21" i="12"/>
  <c r="BF21" i="12"/>
  <c r="CE21" i="12"/>
  <c r="EW21" i="12"/>
  <c r="BK11" i="12"/>
  <c r="BA11" i="12"/>
  <c r="AG11" i="12"/>
  <c r="EH11" i="12"/>
  <c r="CY11" i="12"/>
  <c r="DX6" i="12"/>
  <c r="DI6" i="12"/>
  <c r="AA6" i="12"/>
  <c r="DD6" i="12"/>
  <c r="L6" i="12"/>
  <c r="DS6" i="12"/>
  <c r="BA6" i="12"/>
  <c r="CE6" i="12"/>
  <c r="BP6" i="12"/>
  <c r="V19" i="12"/>
  <c r="CT31" i="12"/>
  <c r="L31" i="12"/>
  <c r="Q31" i="12"/>
  <c r="L10" i="12"/>
  <c r="AV10" i="12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G10" i="12"/>
  <c r="V10" i="12"/>
  <c r="ER10" i="12"/>
  <c r="EC10" i="1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G17" i="12"/>
  <c r="AG17" i="12"/>
  <c r="AA17" i="12"/>
  <c r="BF17" i="12"/>
  <c r="EC17" i="12"/>
  <c r="BZ17" i="12"/>
  <c r="BF14" i="12"/>
  <c r="AG14" i="12"/>
  <c r="CT14" i="12"/>
  <c r="Q14" i="12"/>
  <c r="CE14" i="12"/>
  <c r="CJ14" i="12"/>
  <c r="EC14" i="12"/>
  <c r="AQ14" i="12"/>
  <c r="AV14" i="12"/>
  <c r="EH14" i="12"/>
  <c r="G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BA8" i="12"/>
  <c r="EC8" i="12"/>
  <c r="DS8" i="12"/>
  <c r="AL8" i="12"/>
  <c r="EW8" i="12"/>
  <c r="Q8" i="12"/>
  <c r="AA8" i="12"/>
  <c r="L8" i="12"/>
  <c r="DI8" i="12"/>
  <c r="G8" i="12"/>
  <c r="BK8" i="12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J36" i="9"/>
  <c r="AG33" i="12"/>
  <c r="BU33" i="12"/>
  <c r="BK33" i="12"/>
  <c r="AQ33" i="12"/>
  <c r="CT33" i="12"/>
  <c r="CO33" i="12"/>
  <c r="CJ33" i="12"/>
  <c r="ER33" i="12"/>
  <c r="DD33" i="12"/>
  <c r="DI33" i="12"/>
  <c r="BZ33" i="12"/>
  <c r="DS33" i="12"/>
  <c r="BF33" i="12"/>
  <c r="EM33" i="12"/>
  <c r="DX33" i="12"/>
  <c r="Q33" i="12"/>
  <c r="DN33" i="12"/>
  <c r="AA33" i="12"/>
  <c r="EW33" i="12"/>
  <c r="BA33" i="12"/>
  <c r="AL33" i="12"/>
  <c r="CY33" i="12"/>
  <c r="EC33" i="12"/>
  <c r="CE33" i="12"/>
  <c r="BP33" i="12"/>
  <c r="V33" i="12"/>
  <c r="DX32" i="12"/>
  <c r="CY32" i="12"/>
  <c r="AG32" i="12"/>
  <c r="AA32" i="12"/>
  <c r="Q32" i="12"/>
  <c r="BK32" i="12"/>
  <c r="G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DN32" i="12"/>
  <c r="EM32" i="12"/>
  <c r="AV32" i="12"/>
  <c r="EC32" i="12"/>
  <c r="EH32" i="12"/>
  <c r="DS32" i="12"/>
  <c r="E4" i="17" l="1"/>
  <c r="G2" i="17"/>
  <c r="F5" i="22"/>
  <c r="H31" i="26"/>
  <c r="W35" i="19"/>
  <c r="G31" i="26"/>
  <c r="E31" i="17" s="1"/>
  <c r="K31" i="17"/>
  <c r="H30" i="26"/>
  <c r="W34" i="19"/>
  <c r="G30" i="26"/>
  <c r="E30" i="17" s="1"/>
  <c r="K30" i="17"/>
  <c r="H28" i="26"/>
  <c r="W32" i="19"/>
  <c r="G28" i="26"/>
  <c r="E28" i="17" s="1"/>
  <c r="K28" i="17"/>
  <c r="H27" i="26"/>
  <c r="W31" i="19"/>
  <c r="G27" i="26"/>
  <c r="E27" i="17" s="1"/>
  <c r="K27" i="17"/>
  <c r="H26" i="26"/>
  <c r="W30" i="19"/>
  <c r="G26" i="26"/>
  <c r="K26" i="17"/>
  <c r="H25" i="26"/>
  <c r="W29" i="19"/>
  <c r="G25" i="26"/>
  <c r="E25" i="17" s="1"/>
  <c r="K25" i="17"/>
  <c r="H24" i="26"/>
  <c r="W28" i="19"/>
  <c r="G24" i="26"/>
  <c r="E24" i="17" s="1"/>
  <c r="K24" i="17"/>
  <c r="H23" i="26"/>
  <c r="W27" i="19"/>
  <c r="G23" i="26"/>
  <c r="E23" i="17" s="1"/>
  <c r="K23" i="17"/>
  <c r="H22" i="26"/>
  <c r="W26" i="19"/>
  <c r="G22" i="26"/>
  <c r="E22" i="17" s="1"/>
  <c r="K22" i="17"/>
  <c r="G39" i="24"/>
  <c r="G40" i="24" s="1"/>
  <c r="H21" i="26"/>
  <c r="W25" i="19"/>
  <c r="H20" i="26"/>
  <c r="W24" i="19"/>
  <c r="H19" i="26"/>
  <c r="W23" i="19"/>
  <c r="G21" i="26"/>
  <c r="K21" i="17"/>
  <c r="G20" i="26"/>
  <c r="K20" i="17"/>
  <c r="G19" i="26"/>
  <c r="E19" i="17" s="1"/>
  <c r="K19" i="17"/>
  <c r="H18" i="26"/>
  <c r="W22" i="19"/>
  <c r="G18" i="26"/>
  <c r="E18" i="17" s="1"/>
  <c r="K18" i="17"/>
  <c r="H17" i="26"/>
  <c r="W21" i="19"/>
  <c r="H16" i="26"/>
  <c r="W20" i="19"/>
  <c r="H15" i="26"/>
  <c r="W19" i="19"/>
  <c r="G17" i="26"/>
  <c r="K17" i="17"/>
  <c r="G16" i="26"/>
  <c r="K16" i="17"/>
  <c r="G15" i="26"/>
  <c r="K15" i="17"/>
  <c r="F17" i="24"/>
  <c r="F39" i="24" s="1"/>
  <c r="F40" i="24" s="1"/>
  <c r="D39" i="24"/>
  <c r="D40" i="24" s="1"/>
  <c r="BU18" i="12"/>
  <c r="CO18" i="12"/>
  <c r="ER18" i="12"/>
  <c r="AA11" i="12"/>
  <c r="DD18" i="12"/>
  <c r="G21" i="12"/>
  <c r="BP21" i="12"/>
  <c r="Q21" i="12"/>
  <c r="AG29" i="12"/>
  <c r="V18" i="12"/>
  <c r="BF18" i="12"/>
  <c r="BK21" i="12"/>
  <c r="BA21" i="12"/>
  <c r="BK6" i="12"/>
  <c r="DN6" i="12"/>
  <c r="CO6" i="12"/>
  <c r="ER6" i="12"/>
  <c r="EW6" i="12"/>
  <c r="AG6" i="12"/>
  <c r="EH6" i="12"/>
  <c r="AQ6" i="12"/>
  <c r="CY6" i="12"/>
  <c r="BU6" i="12"/>
  <c r="Q6" i="12"/>
  <c r="G6" i="12"/>
  <c r="V6" i="12"/>
  <c r="BZ6" i="12"/>
  <c r="CT6" i="12"/>
  <c r="BF6" i="12"/>
  <c r="AV6" i="12"/>
  <c r="CJ6" i="12"/>
  <c r="EC6" i="12"/>
  <c r="AL6" i="12"/>
  <c r="BU29" i="12"/>
  <c r="Q11" i="12"/>
  <c r="EH12" i="12"/>
  <c r="CE12" i="12"/>
  <c r="CJ12" i="12"/>
  <c r="CT12" i="12"/>
  <c r="AL12" i="12"/>
  <c r="BF12" i="12"/>
  <c r="EM12" i="12"/>
  <c r="CO12" i="12"/>
  <c r="DS12" i="12"/>
  <c r="V12" i="12"/>
  <c r="Q12" i="12"/>
  <c r="DD12" i="12"/>
  <c r="EW12" i="12"/>
  <c r="BU12" i="12"/>
  <c r="BA12" i="12"/>
  <c r="CT11" i="12"/>
  <c r="EM11" i="12"/>
  <c r="DN11" i="12"/>
  <c r="EW11" i="12"/>
  <c r="BU11" i="12"/>
  <c r="BP11" i="12"/>
  <c r="G11" i="12"/>
  <c r="AV11" i="12"/>
  <c r="AQ11" i="12"/>
  <c r="CO9" i="12"/>
  <c r="DN9" i="12"/>
  <c r="BU9" i="12"/>
  <c r="CT9" i="12"/>
  <c r="G9" i="12"/>
  <c r="AV9" i="12"/>
  <c r="CY9" i="12"/>
  <c r="BZ9" i="12"/>
  <c r="DS7" i="12"/>
  <c r="Q7" i="12"/>
  <c r="AA7" i="12"/>
  <c r="BZ7" i="12"/>
  <c r="AG7" i="12"/>
  <c r="EM7" i="12"/>
  <c r="DI7" i="12"/>
  <c r="BU7" i="12"/>
  <c r="BF7" i="12"/>
  <c r="AQ7" i="12"/>
  <c r="CO7" i="12"/>
  <c r="CO29" i="12"/>
  <c r="Q29" i="12"/>
  <c r="CE29" i="12"/>
  <c r="DD29" i="12"/>
  <c r="DX29" i="12"/>
  <c r="G29" i="12"/>
  <c r="EW29" i="12"/>
  <c r="BK29" i="12"/>
  <c r="DN29" i="12"/>
  <c r="BP29" i="12"/>
  <c r="BF29" i="12"/>
  <c r="ER29" i="12"/>
  <c r="CT29" i="12"/>
  <c r="AQ29" i="12"/>
  <c r="EH29" i="12"/>
  <c r="EC29" i="12"/>
  <c r="DI29" i="12"/>
  <c r="EM29" i="12"/>
  <c r="BZ29" i="12"/>
  <c r="V29" i="12"/>
  <c r="AV29" i="12"/>
  <c r="CY29" i="12"/>
  <c r="AL29" i="12"/>
  <c r="CJ29" i="12"/>
  <c r="DS29" i="12"/>
  <c r="AA29" i="12"/>
  <c r="DX7" i="12"/>
  <c r="CJ7" i="12"/>
  <c r="DI9" i="12"/>
  <c r="EW9" i="12"/>
  <c r="BA9" i="12"/>
  <c r="DX9" i="12"/>
  <c r="Q18" i="12"/>
  <c r="L7" i="12"/>
  <c r="AV12" i="12"/>
  <c r="AL9" i="12"/>
  <c r="EH33" i="12"/>
  <c r="AV33" i="12"/>
  <c r="G33" i="12"/>
  <c r="CO25" i="12"/>
  <c r="CY25" i="12"/>
  <c r="G25" i="12"/>
  <c r="AV25" i="12"/>
  <c r="BP25" i="12"/>
  <c r="DN25" i="12"/>
  <c r="G18" i="12"/>
  <c r="CJ18" i="12"/>
  <c r="EW16" i="12"/>
  <c r="Q16" i="12"/>
  <c r="CJ16" i="12"/>
  <c r="BU16" i="12"/>
  <c r="BK16" i="12"/>
  <c r="DI16" i="12"/>
  <c r="AL16" i="12"/>
  <c r="L16" i="12"/>
  <c r="L12" i="12"/>
  <c r="BZ11" i="12"/>
  <c r="ER11" i="12"/>
  <c r="BP12" i="12"/>
  <c r="DS11" i="12"/>
  <c r="CO11" i="12"/>
  <c r="ER12" i="12"/>
  <c r="DI12" i="12"/>
  <c r="G12" i="12"/>
  <c r="AQ12" i="12"/>
  <c r="DI11" i="12"/>
  <c r="DX12" i="12"/>
  <c r="AA12" i="12"/>
  <c r="V11" i="12"/>
  <c r="AL11" i="12"/>
  <c r="DX11" i="12"/>
  <c r="EC11" i="12"/>
  <c r="BK12" i="12"/>
  <c r="EC12" i="12"/>
  <c r="BZ12" i="12"/>
  <c r="CY12" i="12"/>
  <c r="CJ11" i="12"/>
  <c r="AG12" i="12"/>
  <c r="DD11" i="12"/>
  <c r="L11" i="12"/>
  <c r="CE11" i="12"/>
  <c r="V9" i="12"/>
  <c r="AQ9" i="12"/>
  <c r="BK9" i="12"/>
  <c r="CE9" i="12"/>
  <c r="L9" i="12"/>
  <c r="Q9" i="12"/>
  <c r="DD9" i="12"/>
  <c r="BP7" i="12"/>
  <c r="CT7" i="12"/>
  <c r="CY7" i="12"/>
  <c r="DD7" i="12"/>
  <c r="EC9" i="12"/>
  <c r="V7" i="12"/>
  <c r="EC7" i="12"/>
  <c r="DN7" i="12"/>
  <c r="EH7" i="12"/>
  <c r="CE7" i="12"/>
  <c r="BP9" i="12"/>
  <c r="EM9" i="12"/>
  <c r="ER9" i="12"/>
  <c r="BK7" i="12"/>
  <c r="BA7" i="12"/>
  <c r="AL7" i="12"/>
  <c r="AA9" i="12"/>
  <c r="BF9" i="12"/>
  <c r="AG9" i="12"/>
  <c r="ER7" i="12"/>
  <c r="AV7" i="12"/>
  <c r="EW7" i="12"/>
  <c r="DN23" i="12"/>
  <c r="BF30" i="12"/>
  <c r="EH9" i="12"/>
  <c r="DS9" i="12"/>
  <c r="BP26" i="12"/>
  <c r="CO26" i="12"/>
  <c r="AL26" i="12"/>
  <c r="ER26" i="12"/>
  <c r="DX26" i="12"/>
  <c r="V26" i="12"/>
  <c r="DS26" i="12"/>
  <c r="L26" i="12"/>
  <c r="EC26" i="12"/>
  <c r="Q26" i="12"/>
  <c r="DI26" i="12"/>
  <c r="CJ26" i="12"/>
  <c r="AG26" i="12"/>
  <c r="DN26" i="12"/>
  <c r="EH26" i="12"/>
  <c r="BF26" i="12"/>
  <c r="EC25" i="12"/>
  <c r="CJ25" i="12"/>
  <c r="CT25" i="12"/>
  <c r="BK25" i="12"/>
  <c r="DD25" i="12"/>
  <c r="EH25" i="12"/>
  <c r="BF24" i="12"/>
  <c r="CT23" i="12"/>
  <c r="L24" i="12"/>
  <c r="AG23" i="12"/>
  <c r="EH23" i="12"/>
  <c r="CY23" i="12"/>
  <c r="G23" i="12"/>
  <c r="BK23" i="12"/>
  <c r="V23" i="12"/>
  <c r="DI23" i="12"/>
  <c r="BU23" i="12"/>
  <c r="BZ23" i="12"/>
  <c r="Q23" i="12"/>
  <c r="EM23" i="12"/>
  <c r="BP23" i="12"/>
  <c r="BZ22" i="12"/>
  <c r="BF22" i="12"/>
  <c r="EH22" i="12"/>
  <c r="L22" i="12"/>
  <c r="AV22" i="12"/>
  <c r="CO22" i="12"/>
  <c r="AV19" i="12"/>
  <c r="Q19" i="12"/>
  <c r="AG19" i="12"/>
  <c r="BA19" i="12"/>
  <c r="DX19" i="12"/>
  <c r="EC19" i="12"/>
  <c r="DD19" i="12"/>
  <c r="BK19" i="12"/>
  <c r="AA19" i="12"/>
  <c r="DN19" i="12"/>
  <c r="BU19" i="12"/>
  <c r="ER19" i="12"/>
  <c r="DS19" i="12"/>
  <c r="BK18" i="12"/>
  <c r="EH18" i="12"/>
  <c r="CT18" i="12"/>
  <c r="DN18" i="12"/>
  <c r="DS18" i="12"/>
  <c r="CE18" i="12"/>
  <c r="CY18" i="12"/>
  <c r="AL18" i="12"/>
  <c r="BP18" i="12"/>
  <c r="DX18" i="12"/>
  <c r="BA18" i="12"/>
  <c r="EM18" i="12"/>
  <c r="EC18" i="12"/>
  <c r="AA18" i="12"/>
  <c r="DI18" i="12"/>
  <c r="AG18" i="12"/>
  <c r="AQ18" i="12"/>
  <c r="BZ18" i="12"/>
  <c r="CY19" i="12"/>
  <c r="BP19" i="12"/>
  <c r="DI19" i="12"/>
  <c r="CJ19" i="12"/>
  <c r="BF19" i="12"/>
  <c r="AL19" i="12"/>
  <c r="EM19" i="12"/>
  <c r="EH19" i="12"/>
  <c r="CO19" i="12"/>
  <c r="G19" i="12"/>
  <c r="BZ19" i="12"/>
  <c r="EW19" i="12"/>
  <c r="L19" i="12"/>
  <c r="CE19" i="12"/>
  <c r="AQ19" i="12"/>
  <c r="G16" i="12"/>
  <c r="CO16" i="12"/>
  <c r="AG16" i="12"/>
  <c r="AA16" i="12"/>
  <c r="DX16" i="12"/>
  <c r="AQ16" i="12"/>
  <c r="EH16" i="12"/>
  <c r="ER16" i="12"/>
  <c r="V16" i="12"/>
  <c r="DS16" i="12"/>
  <c r="CT16" i="12"/>
  <c r="AV16" i="12"/>
  <c r="BZ16" i="12"/>
  <c r="DN16" i="12"/>
  <c r="BF16" i="12"/>
  <c r="CY16" i="12"/>
  <c r="CE16" i="12"/>
  <c r="BP16" i="12"/>
  <c r="DD16" i="12"/>
  <c r="BA16" i="12"/>
  <c r="EC16" i="12"/>
  <c r="BK13" i="12"/>
  <c r="BU13" i="12"/>
  <c r="EH13" i="12"/>
  <c r="ER13" i="12"/>
  <c r="BF13" i="12"/>
  <c r="G22" i="12"/>
  <c r="L18" i="12"/>
  <c r="AQ22" i="12"/>
  <c r="EW18" i="12"/>
  <c r="DN22" i="12"/>
  <c r="BK22" i="12"/>
  <c r="CY30" i="12"/>
  <c r="AQ30" i="12"/>
  <c r="DS30" i="12"/>
  <c r="CT30" i="12"/>
  <c r="BZ30" i="12"/>
  <c r="EH30" i="12"/>
  <c r="BA30" i="12"/>
  <c r="DI30" i="12"/>
  <c r="CJ30" i="12"/>
  <c r="CE30" i="12"/>
  <c r="L30" i="12"/>
  <c r="EW30" i="12"/>
  <c r="BK30" i="12"/>
  <c r="G30" i="12"/>
  <c r="AL30" i="12"/>
  <c r="CO30" i="12"/>
  <c r="BU30" i="12"/>
  <c r="AG30" i="12"/>
  <c r="EC30" i="12"/>
  <c r="AV30" i="12"/>
  <c r="DN30" i="12"/>
  <c r="V30" i="12"/>
  <c r="Q30" i="12"/>
  <c r="BP30" i="12"/>
  <c r="DX30" i="12"/>
  <c r="AA30" i="12"/>
  <c r="EM30" i="12"/>
  <c r="ER30" i="12"/>
  <c r="DX28" i="12"/>
  <c r="AV28" i="12"/>
  <c r="BA28" i="12"/>
  <c r="DD28" i="12"/>
  <c r="EM28" i="12"/>
  <c r="CT28" i="12"/>
  <c r="DI28" i="12"/>
  <c r="BP28" i="12"/>
  <c r="CJ28" i="12"/>
  <c r="L28" i="12"/>
  <c r="EH28" i="12"/>
  <c r="EW28" i="12"/>
  <c r="EC28" i="12"/>
  <c r="BK28" i="12"/>
  <c r="DN28" i="12"/>
  <c r="CY28" i="12"/>
  <c r="AL28" i="12"/>
  <c r="V28" i="12"/>
  <c r="BF28" i="12"/>
  <c r="BU28" i="12"/>
  <c r="AA28" i="12"/>
  <c r="DS28" i="12"/>
  <c r="ER28" i="12"/>
  <c r="AQ28" i="12"/>
  <c r="Q28" i="12"/>
  <c r="CE28" i="12"/>
  <c r="BZ28" i="12"/>
  <c r="CO28" i="12"/>
  <c r="AG28" i="12"/>
  <c r="CT26" i="12"/>
  <c r="EW26" i="12"/>
  <c r="AV26" i="12"/>
  <c r="CE26" i="12"/>
  <c r="EM26" i="12"/>
  <c r="BA26" i="12"/>
  <c r="G26" i="12"/>
  <c r="AA26" i="12"/>
  <c r="CY26" i="12"/>
  <c r="BU26" i="12"/>
  <c r="DD26" i="12"/>
  <c r="AQ26" i="12"/>
  <c r="BK26" i="12"/>
  <c r="ER25" i="12"/>
  <c r="EW25" i="12"/>
  <c r="V25" i="12"/>
  <c r="DX25" i="12"/>
  <c r="AA25" i="12"/>
  <c r="AG25" i="12"/>
  <c r="BZ25" i="12"/>
  <c r="DS25" i="12"/>
  <c r="Q25" i="12"/>
  <c r="EM25" i="12"/>
  <c r="BU25" i="12"/>
  <c r="DI25" i="12"/>
  <c r="AQ25" i="12"/>
  <c r="BF25" i="12"/>
  <c r="CE25" i="12"/>
  <c r="L25" i="12"/>
  <c r="BA25" i="12"/>
  <c r="DS24" i="12"/>
  <c r="AG24" i="12"/>
  <c r="EM24" i="12"/>
  <c r="DX24" i="12"/>
  <c r="BP24" i="12"/>
  <c r="V24" i="12"/>
  <c r="AA24" i="12"/>
  <c r="EH24" i="12"/>
  <c r="EC24" i="12"/>
  <c r="CE24" i="12"/>
  <c r="BK24" i="12"/>
  <c r="AL24" i="12"/>
  <c r="BZ24" i="12"/>
  <c r="DD24" i="12"/>
  <c r="DI24" i="12"/>
  <c r="ER24" i="12"/>
  <c r="DN24" i="12"/>
  <c r="Q24" i="12"/>
  <c r="BU24" i="12"/>
  <c r="G24" i="12"/>
  <c r="CJ24" i="12"/>
  <c r="AQ24" i="12"/>
  <c r="EW24" i="12"/>
  <c r="CT24" i="12"/>
  <c r="AV24" i="12"/>
  <c r="CO24" i="12"/>
  <c r="BA24" i="12"/>
  <c r="EC23" i="12"/>
  <c r="AV23" i="12"/>
  <c r="DD23" i="12"/>
  <c r="L23" i="12"/>
  <c r="DS23" i="12"/>
  <c r="CE23" i="12"/>
  <c r="AQ23" i="12"/>
  <c r="EW23" i="12"/>
  <c r="BA23" i="12"/>
  <c r="BF23" i="12"/>
  <c r="CJ23" i="12"/>
  <c r="CO23" i="12"/>
  <c r="AA23" i="12"/>
  <c r="AL23" i="12"/>
  <c r="ER23" i="12"/>
  <c r="DS22" i="12"/>
  <c r="Q22" i="12"/>
  <c r="BA22" i="12"/>
  <c r="DD22" i="12"/>
  <c r="EC22" i="12"/>
  <c r="CT22" i="12"/>
  <c r="AA22" i="12"/>
  <c r="AG22" i="12"/>
  <c r="AL22" i="12"/>
  <c r="BU22" i="12"/>
  <c r="BP22" i="12"/>
  <c r="DX22" i="12"/>
  <c r="V22" i="12"/>
  <c r="CJ22" i="12"/>
  <c r="EM22" i="12"/>
  <c r="DI22" i="12"/>
  <c r="ER22" i="12"/>
  <c r="EW22" i="12"/>
  <c r="CY22" i="12"/>
  <c r="AV20" i="12"/>
  <c r="BA20" i="12"/>
  <c r="CO20" i="12"/>
  <c r="V20" i="12"/>
  <c r="DI20" i="12"/>
  <c r="CT20" i="12"/>
  <c r="BK20" i="12"/>
  <c r="CJ20" i="12"/>
  <c r="EC20" i="12"/>
  <c r="DN20" i="12"/>
  <c r="AQ20" i="12"/>
  <c r="EW20" i="12"/>
  <c r="DX20" i="12"/>
  <c r="BP20" i="12"/>
  <c r="AL20" i="12"/>
  <c r="L20" i="12"/>
  <c r="AG20" i="12"/>
  <c r="BF20" i="12"/>
  <c r="CE20" i="12"/>
  <c r="AA20" i="12"/>
  <c r="ER20" i="12"/>
  <c r="DD20" i="12"/>
  <c r="BU20" i="12"/>
  <c r="CY20" i="12"/>
  <c r="BZ20" i="12"/>
  <c r="G20" i="12"/>
  <c r="EH20" i="12"/>
  <c r="Q20" i="12"/>
  <c r="DS20" i="12"/>
  <c r="DX15" i="12"/>
  <c r="CY15" i="12"/>
  <c r="EW15" i="12"/>
  <c r="Q15" i="12"/>
  <c r="BF15" i="12"/>
  <c r="CT15" i="12"/>
  <c r="EH15" i="12"/>
  <c r="DN15" i="12"/>
  <c r="AA15" i="12"/>
  <c r="AQ15" i="12"/>
  <c r="BK15" i="12"/>
  <c r="DD15" i="12"/>
  <c r="BA15" i="12"/>
  <c r="V15" i="12"/>
  <c r="AV15" i="12"/>
  <c r="CE15" i="12"/>
  <c r="EM15" i="12"/>
  <c r="ER15" i="12"/>
  <c r="DS15" i="12"/>
  <c r="BZ15" i="12"/>
  <c r="CO15" i="12"/>
  <c r="CJ15" i="12"/>
  <c r="AG15" i="12"/>
  <c r="L15" i="12"/>
  <c r="DI15" i="12"/>
  <c r="G15" i="12"/>
  <c r="BU15" i="12"/>
  <c r="EC15" i="12"/>
  <c r="BP15" i="12"/>
  <c r="EW13" i="12"/>
  <c r="AL13" i="12"/>
  <c r="AV13" i="12"/>
  <c r="DX13" i="12"/>
  <c r="AG13" i="12"/>
  <c r="BP13" i="12"/>
  <c r="CO13" i="12"/>
  <c r="DS13" i="12"/>
  <c r="CT13" i="12"/>
  <c r="Q13" i="12"/>
  <c r="DN13" i="12"/>
  <c r="EC13" i="12"/>
  <c r="AQ13" i="12"/>
  <c r="L13" i="12"/>
  <c r="DD13" i="12"/>
  <c r="DI13" i="12"/>
  <c r="AA13" i="12"/>
  <c r="CY13" i="12"/>
  <c r="BZ13" i="12"/>
  <c r="EM13" i="12"/>
  <c r="CJ13" i="12"/>
  <c r="CE13" i="12"/>
  <c r="V13" i="12"/>
  <c r="BA13" i="12"/>
  <c r="EF20" i="19"/>
  <c r="BF34" i="12"/>
  <c r="DD34" i="12"/>
  <c r="G34" i="12"/>
  <c r="CY34" i="12"/>
  <c r="AG34" i="12"/>
  <c r="V34" i="12"/>
  <c r="EM34" i="12"/>
  <c r="BK34" i="12"/>
  <c r="DN34" i="12"/>
  <c r="L34" i="12"/>
  <c r="AL34" i="12"/>
  <c r="DI34" i="12"/>
  <c r="AQ34" i="12"/>
  <c r="CO34" i="12"/>
  <c r="BZ34" i="12"/>
  <c r="BU34" i="12"/>
  <c r="CE34" i="12"/>
  <c r="AA34" i="12"/>
  <c r="DS34" i="12"/>
  <c r="BA34" i="12"/>
  <c r="EH34" i="12"/>
  <c r="EC34" i="12"/>
  <c r="BP34" i="12"/>
  <c r="ER34" i="12"/>
  <c r="AV34" i="12"/>
  <c r="Q34" i="12"/>
  <c r="CJ34" i="12"/>
  <c r="EW34" i="12"/>
  <c r="DX34" i="12"/>
  <c r="E20" i="17" l="1"/>
  <c r="E15" i="17"/>
  <c r="E21" i="17"/>
  <c r="E16" i="17"/>
  <c r="E17" i="17"/>
  <c r="E26" i="17"/>
  <c r="H35" i="21"/>
  <c r="H34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W37" i="19"/>
  <c r="W38" i="19" s="1"/>
  <c r="H19" i="21"/>
  <c r="BK35" i="12"/>
  <c r="EW35" i="12"/>
  <c r="BF35" i="12"/>
  <c r="EH19" i="19"/>
  <c r="BA35" i="12"/>
  <c r="ER35" i="12"/>
  <c r="AV35" i="12"/>
  <c r="AQ35" i="12"/>
  <c r="EH35" i="12"/>
  <c r="BU35" i="12"/>
  <c r="BP35" i="12"/>
  <c r="AL35" i="12"/>
  <c r="V35" i="12"/>
  <c r="DN35" i="12"/>
  <c r="DX35" i="12"/>
  <c r="Q35" i="12"/>
  <c r="EC35" i="12"/>
  <c r="AG35" i="12"/>
  <c r="AA35" i="12"/>
  <c r="DS35" i="12"/>
  <c r="BZ35" i="12"/>
  <c r="DI35" i="12"/>
  <c r="L35" i="12"/>
  <c r="CT35" i="12"/>
  <c r="DD35" i="12"/>
  <c r="CY35" i="12"/>
  <c r="CJ35" i="12"/>
  <c r="G35" i="12"/>
  <c r="CO35" i="12"/>
  <c r="EM35" i="12"/>
  <c r="CE35" i="12"/>
  <c r="CR27" i="19"/>
  <c r="CO28" i="19"/>
  <c r="H37" i="21" l="1"/>
  <c r="CQ28" i="19"/>
  <c r="BH27" i="22" s="1"/>
  <c r="BE24" i="26" s="1"/>
  <c r="EH20" i="19"/>
  <c r="CO29" i="19"/>
  <c r="CQ29" i="19" s="1"/>
  <c r="BH28" i="22" s="1"/>
  <c r="BE25" i="26" s="1"/>
  <c r="CR28" i="19" l="1"/>
  <c r="EF21" i="19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  <c r="N7" i="9"/>
  <c r="P7" i="9" s="1"/>
  <c r="K10" i="24" l="1"/>
  <c r="K39" i="24" s="1"/>
  <c r="K40" i="24" s="1"/>
  <c r="P36" i="9"/>
  <c r="R36" i="9" s="1"/>
  <c r="O4" i="17"/>
  <c r="O33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AO4" authorId="0" shapeId="0" xr:uid="{4D0F7529-F703-4D6A-A78B-BE72E6CED267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  <author>Ahmed Nazwan</author>
  </authors>
  <commentList>
    <comment ref="V5" authorId="0" shapeId="0" xr:uid="{866FB68B-5423-4551-851A-B58CA25AF3C9}">
      <text>
        <t>[Threaded comment]
Your version of Excel allows you to read this threaded comment; however, any edits to it will get removed if the file is opened in a newer version of Excel. Learn more: https://go.microsoft.com/fwlink/?linkid=870924
Comment:
    380</t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10</t>
      </text>
    </comment>
    <comment ref="EH5" authorId="3" shapeId="0" xr:uid="{B180E051-F6FC-421A-8759-743704C63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7</t>
      </text>
    </comment>
    <comment ref="EK5" authorId="4" shapeId="0" xr:uid="{ACDE7480-2A8A-46B4-8DE1-09EB6B7A84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6</t>
      </text>
    </comment>
    <comment ref="R19" authorId="5" shapeId="0" xr:uid="{90A7AEFE-22D5-44C6-AD4D-4928D6740B4A}">
      <text>
        <r>
          <rPr>
            <sz val="10"/>
            <rFont val="Arial"/>
          </rPr>
          <t xml:space="preserve">Ahmed Nazwan:
used new meter installed.old meter was broken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<sst xmlns="http://schemas.openxmlformats.org/spreadsheetml/2006/main" count="830" uniqueCount="216">
  <si>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</si>
  <si>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</si>
  <si>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</si>
  <si>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</si>
  <si>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</si>
  <si>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</si>
  <si>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</si>
  <si>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</si>
  <si>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</si>
  <si>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</si>
  <si>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</si>
  <si>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</si>
  <si>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</si>
  <si>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</si>
  <si>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Other fleets Petrol (Litres)</t>
  </si>
  <si>
    <t>Maldives at Landaa Giraavaru</t>
  </si>
  <si>
    <t>Solar</t>
  </si>
  <si>
    <t>GENSET NO 1</t>
  </si>
  <si>
    <t>GENSET NO 2</t>
  </si>
  <si>
    <t>GENSET NO 3</t>
  </si>
  <si>
    <t>GENSET NO 4</t>
  </si>
  <si>
    <t>GENSET NO 5</t>
  </si>
  <si>
    <t>Main BLU FEEDER PANEL 1</t>
  </si>
  <si>
    <t>Main BLU FEEDER PANEL 2</t>
  </si>
  <si>
    <t>Main POWER HOUSE FEEDER PANEL NO:3</t>
  </si>
  <si>
    <t>Main Kitchen -7</t>
  </si>
  <si>
    <t>Main Kitchen -10</t>
  </si>
  <si>
    <t>Water treatment Plant</t>
  </si>
  <si>
    <t>Sewage treatment Plant</t>
  </si>
  <si>
    <t>Laundry--8SSB  (Machineries)</t>
  </si>
  <si>
    <t>Laundry-9  (HR/Tuck Shop Building)</t>
  </si>
  <si>
    <t>New staff accomodation (E0)</t>
  </si>
  <si>
    <t>Staff block-16(E2-E3)</t>
  </si>
  <si>
    <t>Staff Block Feeder-3(E4-E5)</t>
  </si>
  <si>
    <t>Management block-5 (M1 to M6)</t>
  </si>
  <si>
    <t>SNR STAFF BLOCK (PC Block)</t>
  </si>
  <si>
    <t>BOAT DOCK FEEDER - 22</t>
  </si>
  <si>
    <t>RECEPTION Building Full (Finance/Reservation)</t>
  </si>
  <si>
    <t>DIVE CENTER (Inc MDC and Recreation)</t>
  </si>
  <si>
    <t>301-307</t>
  </si>
  <si>
    <t>308-314</t>
  </si>
  <si>
    <t>315-320</t>
  </si>
  <si>
    <t>401-407</t>
  </si>
  <si>
    <t>408-414</t>
  </si>
  <si>
    <t>415-420</t>
  </si>
  <si>
    <t>SPA - 1</t>
  </si>
  <si>
    <t>SPA - 2</t>
  </si>
  <si>
    <t>BLU KITCHEN - 1</t>
  </si>
  <si>
    <t>BLU KITCHEN - 2</t>
  </si>
  <si>
    <t>AL BARAKATH</t>
  </si>
  <si>
    <t>STAFF KITCHEN</t>
  </si>
  <si>
    <t>R/O Plant A</t>
  </si>
  <si>
    <t>R/O Plant B</t>
  </si>
  <si>
    <t>R/O Plant C</t>
  </si>
  <si>
    <t>R/O Plant D</t>
  </si>
  <si>
    <t>Laundry</t>
  </si>
  <si>
    <t xml:space="preserve">Staff Block - E0 </t>
  </si>
  <si>
    <t>Staff Block - E1</t>
  </si>
  <si>
    <t xml:space="preserve">Staff Block - E2 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</si>
  <si>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</si>
  <si>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</si>
  <si>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</si>
  <si>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</si>
  <si>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</si>
  <si>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</si>
  <si>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</si>
  <si>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</si>
  <si>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</si>
  <si>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</si>
  <si>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</si>
  <si>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</si>
  <si>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</si>
  <si>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</si>
  <si>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</si>
  <si>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</si>
  <si>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</si>
  <si>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ROOM NIGHTS</t>
  </si>
  <si>
    <t>Total Food Covers</t>
  </si>
  <si>
    <t xml:space="preserve">Days </t>
  </si>
  <si>
    <t xml:space="preserve">Electricity Meter (KWh) </t>
  </si>
  <si>
    <t>Gas Kg</t>
  </si>
  <si>
    <t xml:space="preserve"> Water  m3</t>
  </si>
  <si>
    <t xml:space="preserve">Date </t>
  </si>
  <si>
    <t xml:space="preserve">Reading KWH </t>
  </si>
  <si>
    <t>Difference KWH</t>
  </si>
  <si>
    <t xml:space="preserve"> Reading Kg</t>
  </si>
  <si>
    <t>Difference Kg</t>
  </si>
  <si>
    <t>KWh</t>
  </si>
  <si>
    <t>Reading m³</t>
  </si>
  <si>
    <t xml:space="preserve">Daily Consumption m³ </t>
  </si>
  <si>
    <t>Daily Utility Report</t>
  </si>
  <si>
    <t>DAY</t>
  </si>
  <si>
    <t>Occupancy</t>
  </si>
  <si>
    <t>No. of Guests</t>
  </si>
  <si>
    <t>Genset (Kwh)</t>
  </si>
  <si>
    <t>Solar (Kwh)</t>
  </si>
  <si>
    <t>Total (Kwh)</t>
  </si>
  <si>
    <t xml:space="preserve">   Water Consumption
 ( m3)</t>
  </si>
  <si>
    <t xml:space="preserve">   Gas Consumption
 (kg)</t>
  </si>
  <si>
    <t xml:space="preserve">Genset Diesel Consumption (Liters) </t>
  </si>
  <si>
    <t xml:space="preserve">Boats Diesel Consumption (Liters) </t>
  </si>
  <si>
    <t xml:space="preserve">Boats Petrol Consumption (Liters) </t>
  </si>
  <si>
    <t>Total</t>
  </si>
  <si>
    <t>Avg</t>
  </si>
  <si>
    <t>GAS CONSUMPTION / CYLINDERS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</si>
  <si>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</si>
  <si>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</si>
  <si>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</si>
  <si>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</si>
  <si>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</si>
  <si>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 xml:space="preserve">Total Consumption </t>
  </si>
  <si>
    <t>1000 KVA</t>
  </si>
  <si>
    <t>NO#1</t>
  </si>
  <si>
    <t>YESTARDAY</t>
  </si>
  <si>
    <t>TODAY</t>
  </si>
  <si>
    <t>Final Electricity  Consumption( KWh)</t>
  </si>
  <si>
    <t>NEW ENGINE PURCHASED FROM UK</t>
  </si>
  <si>
    <t>INSTALLED: NOV 30 2013</t>
  </si>
  <si>
    <t>1600 KVA</t>
  </si>
  <si>
    <t>NO#2</t>
  </si>
  <si>
    <t>Final Electricity  Consumption( KW h)</t>
  </si>
  <si>
    <t>900 KVA</t>
  </si>
  <si>
    <t>NO#3</t>
  </si>
  <si>
    <t>500 KVA</t>
  </si>
  <si>
    <t>NO#4</t>
  </si>
  <si>
    <t>NO#5</t>
  </si>
  <si>
    <t>Diesel Consumption - Powerhouse</t>
  </si>
  <si>
    <t xml:space="preserve">Diesel Tank Jetty Meter </t>
  </si>
  <si>
    <t xml:space="preserve">Petrol Tank Jetty Meter </t>
  </si>
  <si>
    <t>Liters</t>
  </si>
  <si>
    <t>Boat meter Reading</t>
  </si>
  <si>
    <t xml:space="preserve">Yesterday </t>
  </si>
  <si>
    <t xml:space="preserve">Today </t>
  </si>
  <si>
    <t>ConsumptionIn 24 hrs</t>
  </si>
  <si>
    <t>Yesterday</t>
  </si>
  <si>
    <t>Today</t>
  </si>
  <si>
    <t>Consumption (Liters)</t>
  </si>
  <si>
    <t>In Barrels</t>
  </si>
  <si>
    <t>Carbon Emmision</t>
  </si>
  <si>
    <t>Solar reading</t>
  </si>
  <si>
    <t>Solar meter reading</t>
  </si>
  <si>
    <t>Weather Condition</t>
  </si>
  <si>
    <t>Temperature</t>
  </si>
  <si>
    <t>1 liter diesel</t>
  </si>
  <si>
    <t>3.61 kwh</t>
  </si>
  <si>
    <t>212.88 diesel</t>
  </si>
  <si>
    <t>768.50 kwh</t>
  </si>
  <si>
    <t xml:space="preserve"> </t>
  </si>
  <si>
    <t>Daily Electricity (Kwh) Consumption by Building Categories</t>
  </si>
  <si>
    <t>POWER HOUSE FEEDER READING</t>
  </si>
  <si>
    <t xml:space="preserve">Main BLU FEEDER PANEL 1 </t>
  </si>
  <si>
    <t>MANAGR BLOCK GARDEN (White House)</t>
  </si>
  <si>
    <t>121-131</t>
  </si>
  <si>
    <t>113-120</t>
  </si>
  <si>
    <t>Room 855 Hot Water Boiler Kw reading</t>
  </si>
  <si>
    <t>Room 911 Hot Water Boiler kw reading</t>
  </si>
  <si>
    <t>Room 403 Hot Water Boiler kw reading</t>
  </si>
  <si>
    <t>Room 131 Hot Water Boiler kw reading</t>
  </si>
  <si>
    <t>Blu Feeders</t>
  </si>
  <si>
    <t>ALL Kitchens</t>
  </si>
  <si>
    <t>Laundry + HR Buidling</t>
  </si>
  <si>
    <t>Employee Block</t>
  </si>
  <si>
    <t>Managers Block + SNR Block</t>
  </si>
  <si>
    <t>HPL Project Team Usage</t>
  </si>
  <si>
    <t xml:space="preserve">Consumption </t>
  </si>
  <si>
    <t>Variance (Tdy vs Ystdy)</t>
  </si>
  <si>
    <t>%</t>
  </si>
  <si>
    <t>Var(Tdy vs Ystdy)</t>
  </si>
  <si>
    <t>Var (Tdy vs Ystdy)</t>
  </si>
  <si>
    <t>Kwh per cubic meter</t>
  </si>
  <si>
    <t>Consumption</t>
  </si>
  <si>
    <t>RO Plant Water Production Reading</t>
  </si>
  <si>
    <t>Water Consumption by locations</t>
  </si>
  <si>
    <r>
      <t xml:space="preserve">Total Production - </t>
    </r>
    <r>
      <rPr>
        <b/>
        <sz val="8"/>
        <color rgb="FFC00000"/>
        <rFont val="Arial"/>
        <family val="2"/>
      </rPr>
      <t>Average Prod 380 m</t>
    </r>
    <r>
      <rPr>
        <b/>
        <vertAlign val="superscript"/>
        <sz val="8"/>
        <color rgb="FFC00000"/>
        <rFont val="Arial"/>
        <family val="2"/>
      </rPr>
      <t>3</t>
    </r>
  </si>
  <si>
    <r>
      <t xml:space="preserve">Laundry - </t>
    </r>
    <r>
      <rPr>
        <b/>
        <sz val="10"/>
        <color rgb="FF00B050"/>
        <rFont val="Arial"/>
        <family val="2"/>
      </rPr>
      <t>Avg Consumption 28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</si>
  <si>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E0 -</t>
    </r>
    <r>
      <rPr>
        <b/>
        <sz val="10"/>
        <color rgb="FF00B050"/>
        <rFont val="Arial"/>
        <family val="2"/>
      </rPr>
      <t xml:space="preserve"> 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</si>
  <si>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E1 - </t>
    </r>
    <r>
      <rPr>
        <b/>
        <sz val="10"/>
        <color rgb="FF00B050"/>
        <rFont val="Arial"/>
        <family val="2"/>
      </rPr>
      <t>Avg Consumption 10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</si>
  <si>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E2 - </t>
    </r>
    <r>
      <rPr>
        <b/>
        <sz val="10"/>
        <color rgb="FF00B050"/>
        <rFont val="Arial"/>
        <family val="2"/>
      </rPr>
      <t>Avg Consumption 13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</si>
  <si>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E3 -</t>
    </r>
    <r>
      <rPr>
        <b/>
        <sz val="10"/>
        <color rgb="FF00B050"/>
        <rFont val="Arial"/>
        <family val="2"/>
      </rPr>
      <t>Avg Consumption 8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</si>
  <si>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E4 - </t>
    </r>
    <r>
      <rPr>
        <b/>
        <sz val="10"/>
        <color rgb="FF00B050"/>
        <rFont val="Arial"/>
        <family val="2"/>
      </rPr>
      <t>Avg Consumption 7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</si>
  <si>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E5 - </t>
    </r>
    <r>
      <rPr>
        <b/>
        <sz val="10"/>
        <color rgb="FF00B050"/>
        <rFont val="Arial"/>
        <family val="2"/>
      </rPr>
      <t>Avg Consumption 10 m3</t>
    </r>
  </si>
  <si>
    <r>
      <t xml:space="preserve">Management Block - </t>
    </r>
    <r>
      <rPr>
        <b/>
        <sz val="10"/>
        <color rgb="FF00B050"/>
        <rFont val="Arial"/>
        <family val="2"/>
      </rPr>
      <t>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</si>
  <si>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PC Block - </t>
    </r>
    <r>
      <rPr>
        <b/>
        <sz val="10"/>
        <color rgb="FF00B050"/>
        <rFont val="Arial"/>
        <family val="2"/>
      </rPr>
      <t>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</si>
  <si>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GM Bungalow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</si>
  <si>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Boat Dock  - </t>
    </r>
    <r>
      <rPr>
        <b/>
        <sz val="10"/>
        <color rgb="FF00B050"/>
        <rFont val="Arial"/>
        <family val="2"/>
      </rPr>
      <t>Avg Consumption 4.5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</si>
  <si>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Supply Jetty </t>
    </r>
    <r>
      <rPr>
        <b/>
        <sz val="10"/>
        <color rgb="FF00B050"/>
        <rFont val="Arial"/>
        <family val="2"/>
      </rPr>
      <t>- Avg Consumption 2.5 m</t>
    </r>
    <r>
      <rPr>
        <b/>
        <vertAlign val="superscript"/>
        <sz val="10"/>
        <color rgb="FF00B050"/>
        <rFont val="Arial"/>
        <family val="2"/>
      </rPr>
      <t>3</t>
    </r>
  </si>
  <si>
    <r>
      <t>Main Kitchen -</t>
    </r>
    <r>
      <rPr>
        <b/>
        <sz val="10"/>
        <color rgb="FF00B050"/>
        <rFont val="Arial"/>
        <family val="2"/>
      </rPr>
      <t xml:space="preserve"> Avg Consumption 30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</si>
  <si>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Day Facility - </t>
    </r>
    <r>
      <rPr>
        <b/>
        <sz val="10"/>
        <color rgb="FF00B050"/>
        <rFont val="Arial"/>
        <family val="2"/>
      </rPr>
      <t>Avg Consumption 3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</si>
  <si>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Reception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</si>
  <si>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Main Pool- </t>
    </r>
    <r>
      <rPr>
        <b/>
        <sz val="10"/>
        <color rgb="FF00B050"/>
        <rFont val="Arial"/>
        <family val="2"/>
      </rPr>
      <t>Avg Consumption 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</si>
  <si>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Dive Center -  </t>
    </r>
    <r>
      <rPr>
        <b/>
        <sz val="10"/>
        <color rgb="FF00B050"/>
        <rFont val="Arial"/>
        <family val="2"/>
      </rPr>
      <t>Avg Consumption 4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</si>
  <si>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Albarakthu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</si>
  <si>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Blu Resturant - </t>
    </r>
    <r>
      <rPr>
        <b/>
        <sz val="10"/>
        <color rgb="FF00B050"/>
        <rFont val="Arial"/>
        <family val="2"/>
      </rPr>
      <t xml:space="preserve"> Avg Consumption 20 m</t>
    </r>
    <r>
      <rPr>
        <b/>
        <vertAlign val="superscript"/>
        <sz val="10"/>
        <color rgb="FF00B050"/>
        <rFont val="Arial"/>
        <family val="2"/>
      </rPr>
      <t>3</t>
    </r>
  </si>
  <si>
    <r>
      <t>Main Jetty</t>
    </r>
    <r>
      <rPr>
        <b/>
        <sz val="10"/>
        <color rgb="FF00B050"/>
        <rFont val="Arial"/>
        <family val="2"/>
      </rPr>
      <t xml:space="preserve"> 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</si>
  <si>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Landaa Estate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</si>
  <si>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t>TG Group</t>
  </si>
  <si>
    <t>3rd Party Kitchen</t>
  </si>
  <si>
    <t>HRD</t>
  </si>
  <si>
    <t>Jiaz</t>
  </si>
  <si>
    <t>Hikawi</t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</si>
  <si>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</si>
  <si>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</si>
  <si>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</si>
  <si>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</si>
  <si>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</si>
  <si>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</si>
  <si>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</si>
  <si>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</si>
  <si>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Production (M3)</t>
  </si>
  <si>
    <t>Water</t>
  </si>
  <si>
    <t>Occ%</t>
  </si>
  <si>
    <t>Total Number of Guests</t>
  </si>
  <si>
    <t>Water Consumption per Guest</t>
  </si>
  <si>
    <t>Usage (m3)</t>
  </si>
  <si>
    <t>Variance (Today vs Ystday)</t>
  </si>
  <si>
    <t>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</si>
</sst>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_-* #,##0.00_-;\-* #,##0.00_-;_-* &quot;-&quot;??_-;_-@_-"/>
    <numFmt numFmtId="167" formatCode="0\ &quot;%&quot;"/>
    <numFmt numFmtId="168" formatCode="0\ &quot;°C&quot;"/>
    <numFmt numFmtId="169" formatCode="0.0"/>
    <numFmt numFmtId="170" formatCode="0.000"/>
  </numFmts>
  <fonts count="4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vertAlign val="superscript"/>
      <sz val="10"/>
      <color rgb="FF00B050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sz val="11"/>
      <color rgb="FF000000"/>
      <name val="Segoe UI Emoji"/>
      <family val="2"/>
    </font>
    <font>
      <b/>
      <sz val="11"/>
      <name val="Calibri"/>
      <family val="2"/>
      <scheme val="minor"/>
    </font>
    <font>
      <b/>
      <vertAlign val="superscript"/>
      <sz val="8"/>
      <color rgb="FFC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10"/>
      </patternFill>
    </fill>
    <fill>
      <patternFill patternType="solid">
        <fgColor theme="8" tint="0.79998168889431442"/>
        <bgColor auto="1"/>
      </patternFill>
    </fill>
    <fill>
      <patternFill patternType="solid">
        <fgColor theme="9"/>
        <bgColor indexed="64"/>
      </patternFill>
    </fill>
    <fill>
      <patternFill patternType="solid">
        <fgColor rgb="FFFFE699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4">
    <xf numFmtId="0" fontId="0" fillId="0" borderId="0"/>
    <xf numFmtId="43" fontId="5" fillId="0" borderId="0" applyFont="0" applyFill="0" applyBorder="0" applyAlignment="0" applyProtection="0"/>
    <xf numFmtId="0" fontId="3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451">
    <xf numFmtId="0" fontId="0" fillId="0" borderId="0" xfId="0"/>
    <xf numFmtId="0" fontId="4" fillId="0" borderId="0" xfId="0" applyFont="1"/>
    <xf numFmtId="43" fontId="0" fillId="0" borderId="0" xfId="0" applyNumberFormat="1"/>
    <xf numFmtId="0" fontId="5" fillId="0" borderId="0" xfId="0" applyFont="1"/>
    <xf numFmtId="17" fontId="4" fillId="0" borderId="0" xfId="0" applyNumberFormat="1" applyFont="1" applyAlignment="1">
      <alignment horizontal="center"/>
    </xf>
    <xf numFmtId="0" fontId="0" fillId="0" borderId="2" xfId="0" applyBorder="1"/>
    <xf numFmtId="2" fontId="0" fillId="0" borderId="0" xfId="0" applyNumberFormat="1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/>
    <xf numFmtId="0" fontId="4" fillId="5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/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vertical="center" textRotation="90"/>
    </xf>
    <xf numFmtId="0" fontId="5" fillId="6" borderId="0" xfId="0" applyFont="1" applyFill="1"/>
    <xf numFmtId="0" fontId="0" fillId="6" borderId="0" xfId="0" applyFill="1"/>
    <xf numFmtId="0" fontId="5" fillId="5" borderId="2" xfId="0" applyFont="1" applyFill="1" applyBorder="1" applyAlignment="1">
      <alignment horizontal="right" vertical="center" wrapText="1"/>
    </xf>
    <xf numFmtId="0" fontId="0" fillId="7" borderId="0" xfId="0" applyFill="1"/>
    <xf numFmtId="0" fontId="4" fillId="5" borderId="5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5" borderId="0" xfId="0" applyFill="1"/>
    <xf numFmtId="0" fontId="5" fillId="5" borderId="2" xfId="0" applyFont="1" applyFill="1" applyBorder="1"/>
    <xf numFmtId="0" fontId="10" fillId="5" borderId="0" xfId="0" applyFont="1" applyFill="1" applyAlignment="1">
      <alignment vertical="center" indent="1"/>
    </xf>
    <xf numFmtId="0" fontId="8" fillId="5" borderId="0" xfId="0" applyFont="1" applyFill="1" applyAlignment="1">
      <alignment vertical="center" textRotation="90"/>
    </xf>
    <xf numFmtId="49" fontId="11" fillId="5" borderId="0" xfId="0" applyNumberFormat="1" applyFont="1" applyFill="1" applyAlignment="1">
      <alignment vertical="center" textRotation="90"/>
    </xf>
    <xf numFmtId="17" fontId="4" fillId="0" borderId="0" xfId="0" applyNumberFormat="1" applyFont="1"/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textRotation="255"/>
    </xf>
    <xf numFmtId="0" fontId="4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5" borderId="5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4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5" fillId="5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/>
    </xf>
    <xf numFmtId="17" fontId="4" fillId="0" borderId="19" xfId="0" applyNumberFormat="1" applyFont="1" applyBorder="1"/>
    <xf numFmtId="0" fontId="5" fillId="9" borderId="0" xfId="0" applyFont="1" applyFill="1"/>
    <xf numFmtId="0" fontId="5" fillId="0" borderId="0" xfId="0" applyFont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2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textRotation="255"/>
    </xf>
    <xf numFmtId="49" fontId="11" fillId="0" borderId="0" xfId="0" applyNumberFormat="1" applyFont="1" applyAlignment="1">
      <alignment horizontal="center" vertical="center" textRotation="90"/>
    </xf>
    <xf numFmtId="0" fontId="14" fillId="12" borderId="1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2" xfId="1" applyNumberFormat="1" applyFont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 wrapText="1"/>
    </xf>
    <xf numFmtId="43" fontId="0" fillId="0" borderId="2" xfId="1" applyFont="1" applyBorder="1" applyAlignment="1">
      <alignment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165" fontId="15" fillId="0" borderId="2" xfId="1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6" fillId="0" borderId="2" xfId="0" applyNumberFormat="1" applyFont="1" applyBorder="1" applyAlignment="1">
      <alignment horizontal="center"/>
    </xf>
    <xf numFmtId="0" fontId="5" fillId="0" borderId="0" xfId="9"/>
    <xf numFmtId="0" fontId="4" fillId="0" borderId="0" xfId="9" applyFont="1"/>
    <xf numFmtId="0" fontId="7" fillId="21" borderId="0" xfId="9" applyFont="1" applyFill="1" applyAlignment="1">
      <alignment horizontal="center" vertical="center"/>
    </xf>
    <xf numFmtId="0" fontId="4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 wrapText="1"/>
    </xf>
    <xf numFmtId="0" fontId="6" fillId="11" borderId="2" xfId="9" applyFont="1" applyFill="1" applyBorder="1" applyAlignment="1">
      <alignment horizontal="center" vertical="center"/>
    </xf>
    <xf numFmtId="2" fontId="6" fillId="11" borderId="2" xfId="9" applyNumberFormat="1" applyFont="1" applyFill="1" applyBorder="1" applyAlignment="1">
      <alignment horizontal="center" vertical="center" wrapText="1"/>
    </xf>
    <xf numFmtId="0" fontId="5" fillId="5" borderId="31" xfId="9" applyFill="1" applyBorder="1" applyAlignment="1">
      <alignment horizontal="center" vertical="center"/>
    </xf>
    <xf numFmtId="0" fontId="5" fillId="0" borderId="10" xfId="9" applyBorder="1" applyAlignment="1">
      <alignment horizontal="center"/>
    </xf>
    <xf numFmtId="0" fontId="5" fillId="13" borderId="4" xfId="9" applyFill="1" applyBorder="1"/>
    <xf numFmtId="0" fontId="5" fillId="13" borderId="0" xfId="9" applyFill="1"/>
    <xf numFmtId="0" fontId="5" fillId="5" borderId="10" xfId="9" applyFill="1" applyBorder="1" applyAlignment="1">
      <alignment horizontal="center" vertical="center"/>
    </xf>
    <xf numFmtId="2" fontId="5" fillId="5" borderId="10" xfId="9" applyNumberFormat="1" applyFill="1" applyBorder="1" applyAlignment="1">
      <alignment horizontal="center" vertical="center"/>
    </xf>
    <xf numFmtId="0" fontId="5" fillId="5" borderId="2" xfId="9" applyFill="1" applyBorder="1" applyAlignment="1">
      <alignment horizontal="center" vertical="center"/>
    </xf>
    <xf numFmtId="0" fontId="5" fillId="5" borderId="17" xfId="9" applyFill="1" applyBorder="1" applyAlignment="1">
      <alignment horizontal="center" vertical="center"/>
    </xf>
    <xf numFmtId="0" fontId="5" fillId="0" borderId="2" xfId="9" applyBorder="1" applyAlignment="1">
      <alignment horizontal="center"/>
    </xf>
    <xf numFmtId="0" fontId="5" fillId="0" borderId="17" xfId="9" applyBorder="1" applyAlignment="1">
      <alignment horizontal="center" vertical="center"/>
    </xf>
    <xf numFmtId="0" fontId="5" fillId="13" borderId="10" xfId="9" applyFill="1" applyBorder="1"/>
    <xf numFmtId="0" fontId="5" fillId="0" borderId="0" xfId="9" applyAlignment="1">
      <alignment horizontal="center" vertical="center"/>
    </xf>
    <xf numFmtId="165" fontId="5" fillId="0" borderId="11" xfId="9" applyNumberFormat="1" applyBorder="1" applyAlignment="1">
      <alignment horizontal="center" vertical="center"/>
    </xf>
    <xf numFmtId="165" fontId="5" fillId="13" borderId="0" xfId="9" applyNumberFormat="1" applyFill="1" applyAlignment="1">
      <alignment horizontal="center" vertical="center"/>
    </xf>
    <xf numFmtId="0" fontId="5" fillId="13" borderId="0" xfId="9" applyFill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22" borderId="0" xfId="9" applyFont="1" applyFill="1" applyAlignment="1">
      <alignment horizontal="center" vertical="center"/>
    </xf>
    <xf numFmtId="17" fontId="4" fillId="22" borderId="0" xfId="9" applyNumberFormat="1" applyFont="1" applyFill="1" applyAlignment="1">
      <alignment horizontal="center" vertical="center"/>
    </xf>
    <xf numFmtId="0" fontId="4" fillId="22" borderId="0" xfId="9" applyFont="1" applyFill="1" applyAlignment="1">
      <alignment vertical="center"/>
    </xf>
    <xf numFmtId="0" fontId="5" fillId="22" borderId="0" xfId="9" applyFill="1" applyAlignment="1">
      <alignment horizontal="center" vertical="center"/>
    </xf>
    <xf numFmtId="0" fontId="5" fillId="22" borderId="0" xfId="9" applyFill="1"/>
    <xf numFmtId="0" fontId="4" fillId="5" borderId="2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 vertical="center" wrapText="1"/>
    </xf>
    <xf numFmtId="0" fontId="5" fillId="0" borderId="2" xfId="9" applyBorder="1" applyAlignment="1">
      <alignment horizontal="center" vertical="center" wrapText="1"/>
    </xf>
    <xf numFmtId="0" fontId="5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5" fillId="0" borderId="2" xfId="9" applyBorder="1" applyAlignment="1">
      <alignment horizontal="center" vertical="center"/>
    </xf>
    <xf numFmtId="2" fontId="5" fillId="0" borderId="2" xfId="9" applyNumberFormat="1" applyBorder="1" applyAlignment="1">
      <alignment horizontal="center" vertical="center"/>
    </xf>
    <xf numFmtId="165" fontId="5" fillId="0" borderId="2" xfId="9" applyNumberFormat="1" applyBorder="1" applyAlignment="1">
      <alignment horizontal="center"/>
    </xf>
    <xf numFmtId="165" fontId="5" fillId="0" borderId="2" xfId="9" applyNumberFormat="1" applyBorder="1" applyAlignment="1">
      <alignment horizontal="center" vertical="center"/>
    </xf>
    <xf numFmtId="0" fontId="5" fillId="0" borderId="0" xfId="9" applyAlignment="1">
      <alignment horizontal="center"/>
    </xf>
    <xf numFmtId="0" fontId="18" fillId="14" borderId="0" xfId="13" applyFont="1" applyFill="1" applyAlignment="1">
      <alignment horizontal="center"/>
    </xf>
    <xf numFmtId="1" fontId="19" fillId="14" borderId="0" xfId="13" applyNumberFormat="1" applyFont="1" applyFill="1" applyAlignment="1">
      <alignment horizontal="center"/>
    </xf>
    <xf numFmtId="0" fontId="2" fillId="0" borderId="0" xfId="13"/>
    <xf numFmtId="0" fontId="17" fillId="17" borderId="10" xfId="13" applyFont="1" applyFill="1" applyBorder="1" applyAlignment="1">
      <alignment horizontal="center" vertical="center"/>
    </xf>
    <xf numFmtId="0" fontId="17" fillId="18" borderId="28" xfId="13" applyFont="1" applyFill="1" applyBorder="1" applyAlignment="1">
      <alignment horizontal="center" vertical="center" wrapText="1"/>
    </xf>
    <xf numFmtId="1" fontId="17" fillId="18" borderId="10" xfId="13" applyNumberFormat="1" applyFont="1" applyFill="1" applyBorder="1" applyAlignment="1">
      <alignment horizontal="center" vertical="center" wrapText="1"/>
    </xf>
    <xf numFmtId="0" fontId="17" fillId="18" borderId="10" xfId="13" applyFont="1" applyFill="1" applyBorder="1" applyAlignment="1">
      <alignment horizontal="center" vertical="center" wrapText="1"/>
    </xf>
    <xf numFmtId="15" fontId="22" fillId="17" borderId="10" xfId="13" applyNumberFormat="1" applyFont="1" applyFill="1" applyBorder="1" applyAlignment="1">
      <alignment horizontal="center" vertical="center"/>
    </xf>
    <xf numFmtId="0" fontId="2" fillId="0" borderId="2" xfId="13" applyBorder="1" applyAlignment="1">
      <alignment horizontal="center"/>
    </xf>
    <xf numFmtId="0" fontId="16" fillId="0" borderId="2" xfId="13" applyFont="1" applyBorder="1" applyAlignment="1">
      <alignment horizontal="center"/>
    </xf>
    <xf numFmtId="0" fontId="16" fillId="0" borderId="0" xfId="13" applyFont="1" applyAlignment="1">
      <alignment horizontal="center"/>
    </xf>
    <xf numFmtId="0" fontId="16" fillId="0" borderId="0" xfId="13" applyFont="1"/>
    <xf numFmtId="1" fontId="16" fillId="0" borderId="2" xfId="13" applyNumberFormat="1" applyFont="1" applyBorder="1" applyAlignment="1">
      <alignment horizontal="center" vertical="center"/>
    </xf>
    <xf numFmtId="15" fontId="17" fillId="17" borderId="10" xfId="13" applyNumberFormat="1" applyFont="1" applyFill="1" applyBorder="1" applyAlignment="1">
      <alignment horizontal="center" vertical="center"/>
    </xf>
    <xf numFmtId="1" fontId="23" fillId="0" borderId="2" xfId="13" applyNumberFormat="1" applyFont="1" applyBorder="1" applyAlignment="1">
      <alignment horizontal="center" vertical="center"/>
    </xf>
    <xf numFmtId="1" fontId="2" fillId="0" borderId="2" xfId="13" applyNumberFormat="1" applyBorder="1" applyAlignment="1">
      <alignment horizontal="center" vertical="center"/>
    </xf>
    <xf numFmtId="0" fontId="2" fillId="0" borderId="0" xfId="13" applyAlignment="1">
      <alignment horizontal="center"/>
    </xf>
    <xf numFmtId="1" fontId="17" fillId="0" borderId="0" xfId="13" applyNumberFormat="1" applyFont="1" applyAlignment="1">
      <alignment horizontal="center"/>
    </xf>
    <xf numFmtId="1" fontId="17" fillId="19" borderId="2" xfId="13" applyNumberFormat="1" applyFont="1" applyFill="1" applyBorder="1" applyAlignment="1">
      <alignment horizontal="center" vertical="center" wrapText="1"/>
    </xf>
    <xf numFmtId="1" fontId="2" fillId="0" borderId="0" xfId="13" applyNumberFormat="1" applyAlignment="1">
      <alignment horizontal="center" vertical="center"/>
    </xf>
    <xf numFmtId="0" fontId="5" fillId="13" borderId="13" xfId="9" applyFill="1" applyBorder="1"/>
    <xf numFmtId="2" fontId="5" fillId="0" borderId="0" xfId="9" applyNumberFormat="1"/>
    <xf numFmtId="0" fontId="5" fillId="5" borderId="10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6" fillId="21" borderId="2" xfId="9" applyFont="1" applyFill="1" applyBorder="1" applyAlignment="1">
      <alignment horizontal="center" vertical="center"/>
    </xf>
    <xf numFmtId="0" fontId="6" fillId="21" borderId="32" xfId="9" applyFont="1" applyFill="1" applyBorder="1" applyAlignment="1">
      <alignment horizontal="center" vertical="center"/>
    </xf>
    <xf numFmtId="0" fontId="6" fillId="21" borderId="33" xfId="9" applyFont="1" applyFill="1" applyBorder="1" applyAlignment="1">
      <alignment horizontal="center" vertical="center" wrapText="1"/>
    </xf>
    <xf numFmtId="0" fontId="5" fillId="0" borderId="33" xfId="9" applyBorder="1" applyAlignment="1">
      <alignment horizontal="center"/>
    </xf>
    <xf numFmtId="0" fontId="5" fillId="0" borderId="16" xfId="9" applyBorder="1" applyAlignment="1">
      <alignment horizontal="center"/>
    </xf>
    <xf numFmtId="0" fontId="5" fillId="5" borderId="32" xfId="9" applyFill="1" applyBorder="1" applyAlignment="1">
      <alignment horizontal="center" vertical="center"/>
    </xf>
    <xf numFmtId="0" fontId="5" fillId="5" borderId="14" xfId="9" applyFill="1" applyBorder="1" applyAlignment="1">
      <alignment horizontal="center" vertical="center"/>
    </xf>
    <xf numFmtId="17" fontId="24" fillId="21" borderId="0" xfId="9" applyNumberFormat="1" applyFont="1" applyFill="1" applyAlignment="1">
      <alignment horizontal="center" vertical="center"/>
    </xf>
    <xf numFmtId="0" fontId="5" fillId="0" borderId="15" xfId="9" applyBorder="1" applyAlignment="1">
      <alignment horizontal="center"/>
    </xf>
    <xf numFmtId="0" fontId="5" fillId="0" borderId="32" xfId="9" applyBorder="1" applyAlignment="1">
      <alignment horizontal="center"/>
    </xf>
    <xf numFmtId="0" fontId="5" fillId="10" borderId="34" xfId="0" applyFont="1" applyFill="1" applyBorder="1" applyAlignment="1">
      <alignment horizontal="center" vertical="center"/>
    </xf>
    <xf numFmtId="0" fontId="5" fillId="10" borderId="34" xfId="0" applyFont="1" applyFill="1" applyBorder="1" applyAlignment="1">
      <alignment horizontal="center" vertical="center" wrapText="1"/>
    </xf>
    <xf numFmtId="0" fontId="5" fillId="11" borderId="34" xfId="0" applyFont="1" applyFill="1" applyBorder="1" applyAlignment="1">
      <alignment horizontal="center"/>
    </xf>
    <xf numFmtId="0" fontId="5" fillId="11" borderId="35" xfId="0" applyFont="1" applyFill="1" applyBorder="1" applyAlignment="1">
      <alignment horizontal="center" vertical="center"/>
    </xf>
    <xf numFmtId="0" fontId="5" fillId="10" borderId="36" xfId="0" applyFont="1" applyFill="1" applyBorder="1" applyAlignment="1">
      <alignment horizontal="center" vertical="center"/>
    </xf>
    <xf numFmtId="0" fontId="5" fillId="10" borderId="36" xfId="0" applyFont="1" applyFill="1" applyBorder="1" applyAlignment="1">
      <alignment horizontal="center" vertical="center" wrapText="1"/>
    </xf>
    <xf numFmtId="0" fontId="5" fillId="11" borderId="36" xfId="0" applyFont="1" applyFill="1" applyBorder="1" applyAlignment="1">
      <alignment horizontal="center" vertical="center"/>
    </xf>
    <xf numFmtId="0" fontId="5" fillId="11" borderId="36" xfId="0" applyFont="1" applyFill="1" applyBorder="1" applyAlignment="1">
      <alignment horizontal="center"/>
    </xf>
    <xf numFmtId="0" fontId="13" fillId="10" borderId="26" xfId="0" applyFont="1" applyFill="1" applyBorder="1" applyAlignment="1">
      <alignment horizontal="center" vertical="center" wrapText="1"/>
    </xf>
    <xf numFmtId="0" fontId="5" fillId="11" borderId="43" xfId="0" applyFont="1" applyFill="1" applyBorder="1" applyAlignment="1">
      <alignment horizontal="center" vertical="center"/>
    </xf>
    <xf numFmtId="0" fontId="30" fillId="10" borderId="34" xfId="0" applyFont="1" applyFill="1" applyBorder="1" applyAlignment="1">
      <alignment horizontal="center" vertical="center" wrapText="1"/>
    </xf>
    <xf numFmtId="0" fontId="30" fillId="10" borderId="41" xfId="0" applyFont="1" applyFill="1" applyBorder="1" applyAlignment="1">
      <alignment horizontal="center" vertical="center" wrapText="1"/>
    </xf>
    <xf numFmtId="0" fontId="30" fillId="10" borderId="36" xfId="0" applyFont="1" applyFill="1" applyBorder="1" applyAlignment="1">
      <alignment horizontal="center" vertical="center" wrapText="1"/>
    </xf>
    <xf numFmtId="2" fontId="30" fillId="10" borderId="42" xfId="0" applyNumberFormat="1" applyFont="1" applyFill="1" applyBorder="1" applyAlignment="1">
      <alignment horizontal="center" vertical="center" wrapText="1"/>
    </xf>
    <xf numFmtId="0" fontId="30" fillId="11" borderId="34" xfId="0" applyFont="1" applyFill="1" applyBorder="1" applyAlignment="1">
      <alignment horizontal="center"/>
    </xf>
    <xf numFmtId="0" fontId="30" fillId="11" borderId="39" xfId="0" applyFont="1" applyFill="1" applyBorder="1" applyAlignment="1">
      <alignment horizontal="center"/>
    </xf>
    <xf numFmtId="0" fontId="30" fillId="11" borderId="36" xfId="0" applyFont="1" applyFill="1" applyBorder="1" applyAlignment="1">
      <alignment horizontal="center"/>
    </xf>
    <xf numFmtId="2" fontId="30" fillId="11" borderId="40" xfId="0" applyNumberFormat="1" applyFont="1" applyFill="1" applyBorder="1" applyAlignment="1">
      <alignment horizontal="center"/>
    </xf>
    <xf numFmtId="0" fontId="5" fillId="11" borderId="35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30" fillId="10" borderId="34" xfId="0" applyFont="1" applyFill="1" applyBorder="1" applyAlignment="1">
      <alignment horizontal="center" vertical="center"/>
    </xf>
    <xf numFmtId="0" fontId="30" fillId="10" borderId="39" xfId="0" applyFont="1" applyFill="1" applyBorder="1" applyAlignment="1">
      <alignment horizontal="center" vertical="center"/>
    </xf>
    <xf numFmtId="0" fontId="5" fillId="10" borderId="43" xfId="0" applyFont="1" applyFill="1" applyBorder="1" applyAlignment="1">
      <alignment horizontal="center" vertical="center"/>
    </xf>
    <xf numFmtId="0" fontId="30" fillId="10" borderId="36" xfId="0" applyFont="1" applyFill="1" applyBorder="1" applyAlignment="1">
      <alignment horizontal="center" vertical="center"/>
    </xf>
    <xf numFmtId="2" fontId="30" fillId="10" borderId="40" xfId="0" applyNumberFormat="1" applyFont="1" applyFill="1" applyBorder="1" applyAlignment="1">
      <alignment horizontal="center" vertical="center"/>
    </xf>
    <xf numFmtId="0" fontId="15" fillId="10" borderId="36" xfId="0" applyFont="1" applyFill="1" applyBorder="1" applyAlignment="1">
      <alignment horizontal="center" vertical="center"/>
    </xf>
    <xf numFmtId="0" fontId="30" fillId="11" borderId="35" xfId="0" applyFont="1" applyFill="1" applyBorder="1" applyAlignment="1">
      <alignment horizontal="center"/>
    </xf>
    <xf numFmtId="0" fontId="30" fillId="11" borderId="45" xfId="0" applyFont="1" applyFill="1" applyBorder="1" applyAlignment="1">
      <alignment horizontal="center"/>
    </xf>
    <xf numFmtId="0" fontId="13" fillId="11" borderId="44" xfId="0" applyFont="1" applyFill="1" applyBorder="1" applyAlignment="1">
      <alignment horizontal="center" vertical="center"/>
    </xf>
    <xf numFmtId="0" fontId="13" fillId="11" borderId="44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5" fillId="23" borderId="2" xfId="0" applyFont="1" applyFill="1" applyBorder="1" applyAlignment="1">
      <alignment horizontal="center" vertical="center" wrapText="1"/>
    </xf>
    <xf numFmtId="0" fontId="0" fillId="23" borderId="0" xfId="0" applyFill="1" applyAlignment="1">
      <alignment horizontal="center" vertical="center"/>
    </xf>
    <xf numFmtId="0" fontId="0" fillId="23" borderId="10" xfId="0" applyFill="1" applyBorder="1" applyAlignment="1">
      <alignment horizontal="center" vertical="center"/>
    </xf>
    <xf numFmtId="0" fontId="5" fillId="23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3" fontId="4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7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0" fontId="13" fillId="24" borderId="2" xfId="0" applyFont="1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13" fillId="24" borderId="2" xfId="0" applyFont="1" applyFill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 wrapText="1"/>
    </xf>
    <xf numFmtId="1" fontId="5" fillId="24" borderId="2" xfId="0" applyNumberFormat="1" applyFont="1" applyFill="1" applyBorder="1" applyAlignment="1">
      <alignment horizontal="center"/>
    </xf>
    <xf numFmtId="0" fontId="4" fillId="25" borderId="0" xfId="0" applyFont="1" applyFill="1"/>
    <xf numFmtId="0" fontId="0" fillId="25" borderId="0" xfId="0" applyFill="1"/>
    <xf numFmtId="0" fontId="5" fillId="25" borderId="0" xfId="0" applyFont="1" applyFill="1"/>
    <xf numFmtId="0" fontId="31" fillId="27" borderId="32" xfId="0" applyFont="1" applyFill="1" applyBorder="1" applyAlignment="1">
      <alignment horizontal="center" vertical="center"/>
    </xf>
    <xf numFmtId="0" fontId="31" fillId="27" borderId="33" xfId="0" applyFont="1" applyFill="1" applyBorder="1" applyAlignment="1">
      <alignment horizontal="center" vertical="center"/>
    </xf>
    <xf numFmtId="0" fontId="5" fillId="0" borderId="33" xfId="0" applyFont="1" applyBorder="1"/>
    <xf numFmtId="0" fontId="5" fillId="5" borderId="33" xfId="0" applyFont="1" applyFill="1" applyBorder="1"/>
    <xf numFmtId="0" fontId="5" fillId="0" borderId="16" xfId="0" applyFont="1" applyBorder="1"/>
    <xf numFmtId="0" fontId="5" fillId="0" borderId="32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11" xfId="0" applyNumberFormat="1" applyFont="1" applyBorder="1" applyAlignment="1">
      <alignment vertical="center"/>
    </xf>
    <xf numFmtId="37" fontId="5" fillId="0" borderId="11" xfId="0" applyNumberFormat="1" applyFont="1" applyBorder="1" applyAlignment="1">
      <alignment horizontal="center" vertical="center"/>
    </xf>
    <xf numFmtId="0" fontId="32" fillId="27" borderId="32" xfId="0" applyFont="1" applyFill="1" applyBorder="1" applyAlignment="1">
      <alignment horizontal="center" vertical="center"/>
    </xf>
    <xf numFmtId="0" fontId="32" fillId="27" borderId="33" xfId="0" applyFont="1" applyFill="1" applyBorder="1" applyAlignment="1">
      <alignment horizontal="center" vertical="center"/>
    </xf>
    <xf numFmtId="168" fontId="5" fillId="5" borderId="2" xfId="0" applyNumberFormat="1" applyFont="1" applyFill="1" applyBorder="1" applyAlignment="1">
      <alignment horizontal="center"/>
    </xf>
    <xf numFmtId="0" fontId="6" fillId="21" borderId="51" xfId="9" applyFont="1" applyFill="1" applyBorder="1" applyAlignment="1">
      <alignment horizontal="center" vertical="center" wrapText="1"/>
    </xf>
    <xf numFmtId="0" fontId="5" fillId="0" borderId="52" xfId="9" applyBorder="1" applyAlignment="1">
      <alignment horizontal="center"/>
    </xf>
    <xf numFmtId="0" fontId="5" fillId="0" borderId="51" xfId="9" applyBorder="1" applyAlignment="1">
      <alignment horizontal="center"/>
    </xf>
    <xf numFmtId="0" fontId="5" fillId="0" borderId="53" xfId="9" applyBorder="1" applyAlignment="1">
      <alignment horizontal="center"/>
    </xf>
    <xf numFmtId="0" fontId="6" fillId="21" borderId="2" xfId="9" applyFont="1" applyFill="1" applyBorder="1" applyAlignment="1">
      <alignment horizontal="center" vertical="center" wrapText="1"/>
    </xf>
    <xf numFmtId="0" fontId="5" fillId="0" borderId="14" xfId="9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21" borderId="32" xfId="9" applyFont="1" applyFill="1" applyBorder="1" applyAlignment="1">
      <alignment horizontal="center" vertical="center" wrapText="1"/>
    </xf>
    <xf numFmtId="0" fontId="30" fillId="11" borderId="54" xfId="0" applyFont="1" applyFill="1" applyBorder="1" applyAlignment="1">
      <alignment horizontal="center"/>
    </xf>
    <xf numFmtId="2" fontId="30" fillId="11" borderId="42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6" fillId="11" borderId="2" xfId="9" applyFont="1" applyFill="1" applyBorder="1" applyAlignment="1">
      <alignment horizontal="center" vertical="center" wrapText="1"/>
    </xf>
    <xf numFmtId="0" fontId="7" fillId="20" borderId="0" xfId="9" applyFont="1" applyFill="1" applyAlignment="1">
      <alignment horizontal="center"/>
    </xf>
    <xf numFmtId="0" fontId="7" fillId="21" borderId="0" xfId="9" applyFont="1" applyFill="1" applyAlignment="1">
      <alignment horizontal="center"/>
    </xf>
    <xf numFmtId="0" fontId="4" fillId="11" borderId="2" xfId="9" applyFont="1" applyFill="1" applyBorder="1" applyAlignment="1">
      <alignment horizontal="center"/>
    </xf>
    <xf numFmtId="0" fontId="6" fillId="11" borderId="2" xfId="9" applyFont="1" applyFill="1" applyBorder="1" applyAlignment="1">
      <alignment horizontal="center" wrapText="1"/>
    </xf>
    <xf numFmtId="2" fontId="5" fillId="0" borderId="10" xfId="9" applyNumberFormat="1" applyBorder="1" applyAlignment="1">
      <alignment horizontal="center"/>
    </xf>
    <xf numFmtId="0" fontId="5" fillId="30" borderId="0" xfId="9" applyFill="1"/>
    <xf numFmtId="0" fontId="4" fillId="30" borderId="0" xfId="9" applyFont="1" applyFill="1"/>
    <xf numFmtId="0" fontId="5" fillId="30" borderId="0" xfId="9" applyFill="1" applyAlignment="1">
      <alignment horizontal="center" vertical="center"/>
    </xf>
    <xf numFmtId="0" fontId="15" fillId="0" borderId="2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5" fillId="21" borderId="0" xfId="9" applyFont="1" applyFill="1" applyAlignment="1">
      <alignment horizontal="left" vertical="center"/>
    </xf>
    <xf numFmtId="0" fontId="6" fillId="9" borderId="32" xfId="9" applyFont="1" applyFill="1" applyBorder="1" applyAlignment="1">
      <alignment horizontal="center" vertical="center"/>
    </xf>
    <xf numFmtId="0" fontId="6" fillId="9" borderId="2" xfId="9" applyFont="1" applyFill="1" applyBorder="1" applyAlignment="1">
      <alignment horizontal="center" vertical="center"/>
    </xf>
    <xf numFmtId="0" fontId="6" fillId="9" borderId="33" xfId="9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right"/>
    </xf>
    <xf numFmtId="43" fontId="37" fillId="0" borderId="0" xfId="1" applyFont="1"/>
    <xf numFmtId="0" fontId="5" fillId="9" borderId="17" xfId="9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5" fontId="38" fillId="0" borderId="11" xfId="0" applyNumberFormat="1" applyFont="1" applyBorder="1" applyAlignment="1">
      <alignment horizontal="center" vertical="center"/>
    </xf>
    <xf numFmtId="165" fontId="38" fillId="0" borderId="3" xfId="0" applyNumberFormat="1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0" borderId="0" xfId="9" applyFont="1" applyAlignment="1">
      <alignment horizontal="center"/>
    </xf>
    <xf numFmtId="43" fontId="5" fillId="0" borderId="0" xfId="9" applyNumberFormat="1" applyAlignment="1">
      <alignment horizontal="center" vertical="center"/>
    </xf>
    <xf numFmtId="14" fontId="5" fillId="0" borderId="0" xfId="9" applyNumberFormat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/>
    <xf numFmtId="0" fontId="4" fillId="2" borderId="2" xfId="9" applyFont="1" applyFill="1" applyBorder="1" applyAlignment="1">
      <alignment horizontal="center" vertical="center"/>
    </xf>
    <xf numFmtId="0" fontId="4" fillId="2" borderId="2" xfId="9" applyFont="1" applyFill="1" applyBorder="1" applyAlignment="1">
      <alignment horizontal="center" vertical="center" wrapText="1"/>
    </xf>
    <xf numFmtId="43" fontId="4" fillId="2" borderId="2" xfId="9" applyNumberFormat="1" applyFont="1" applyFill="1" applyBorder="1" applyAlignment="1">
      <alignment horizontal="center" vertical="center" wrapText="1"/>
    </xf>
    <xf numFmtId="167" fontId="5" fillId="0" borderId="2" xfId="9" applyNumberFormat="1" applyBorder="1" applyAlignment="1">
      <alignment horizontal="center" vertical="center"/>
    </xf>
    <xf numFmtId="167" fontId="5" fillId="0" borderId="0" xfId="9" applyNumberFormat="1" applyAlignment="1">
      <alignment horizontal="center" vertical="center"/>
    </xf>
    <xf numFmtId="165" fontId="35" fillId="9" borderId="11" xfId="9" applyNumberFormat="1" applyFont="1" applyFill="1" applyBorder="1" applyAlignment="1">
      <alignment horizontal="center" vertical="center"/>
    </xf>
    <xf numFmtId="43" fontId="35" fillId="9" borderId="11" xfId="9" applyNumberFormat="1" applyFont="1" applyFill="1" applyBorder="1" applyAlignment="1">
      <alignment vertical="center"/>
    </xf>
    <xf numFmtId="43" fontId="5" fillId="0" borderId="0" xfId="9" applyNumberFormat="1" applyAlignment="1">
      <alignment vertical="center"/>
    </xf>
    <xf numFmtId="0" fontId="5" fillId="9" borderId="0" xfId="9" applyFill="1" applyAlignment="1">
      <alignment horizontal="center"/>
    </xf>
    <xf numFmtId="0" fontId="5" fillId="0" borderId="0" xfId="9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19" fillId="14" borderId="10" xfId="13" applyFont="1" applyFill="1" applyBorder="1" applyAlignment="1">
      <alignment horizontal="center"/>
    </xf>
    <xf numFmtId="2" fontId="20" fillId="15" borderId="22" xfId="13" applyNumberFormat="1" applyFont="1" applyFill="1" applyBorder="1" applyAlignment="1">
      <alignment horizontal="center" vertical="center" wrapText="1"/>
    </xf>
    <xf numFmtId="2" fontId="21" fillId="16" borderId="57" xfId="13" applyNumberFormat="1" applyFont="1" applyFill="1" applyBorder="1" applyAlignment="1">
      <alignment horizontal="center" vertical="center" wrapText="1"/>
    </xf>
    <xf numFmtId="2" fontId="17" fillId="31" borderId="2" xfId="13" applyNumberFormat="1" applyFont="1" applyFill="1" applyBorder="1" applyAlignment="1">
      <alignment horizontal="center" vertical="center" wrapText="1"/>
    </xf>
    <xf numFmtId="2" fontId="2" fillId="0" borderId="0" xfId="13" applyNumberFormat="1" applyAlignment="1">
      <alignment wrapText="1"/>
    </xf>
    <xf numFmtId="0" fontId="17" fillId="32" borderId="48" xfId="13" applyFont="1" applyFill="1" applyBorder="1" applyAlignment="1">
      <alignment horizontal="center" vertical="center" wrapText="1"/>
    </xf>
    <xf numFmtId="0" fontId="17" fillId="32" borderId="10" xfId="13" applyFont="1" applyFill="1" applyBorder="1" applyAlignment="1">
      <alignment horizontal="center" wrapText="1"/>
    </xf>
    <xf numFmtId="0" fontId="1" fillId="0" borderId="2" xfId="13" applyFont="1" applyBorder="1" applyAlignment="1">
      <alignment horizontal="center"/>
    </xf>
    <xf numFmtId="1" fontId="16" fillId="0" borderId="0" xfId="13" applyNumberFormat="1" applyFont="1" applyAlignment="1">
      <alignment horizontal="center"/>
    </xf>
    <xf numFmtId="0" fontId="16" fillId="0" borderId="55" xfId="13" applyFont="1" applyBorder="1" applyAlignment="1">
      <alignment horizontal="center"/>
    </xf>
    <xf numFmtId="0" fontId="16" fillId="29" borderId="32" xfId="13" applyFont="1" applyFill="1" applyBorder="1" applyAlignment="1">
      <alignment horizontal="center"/>
    </xf>
    <xf numFmtId="0" fontId="16" fillId="29" borderId="2" xfId="13" applyFont="1" applyFill="1" applyBorder="1" applyAlignment="1">
      <alignment horizontal="center" vertical="center"/>
    </xf>
    <xf numFmtId="1" fontId="39" fillId="0" borderId="2" xfId="13" applyNumberFormat="1" applyFont="1" applyBorder="1" applyAlignment="1">
      <alignment horizontal="center" vertical="center"/>
    </xf>
    <xf numFmtId="1" fontId="39" fillId="0" borderId="33" xfId="13" applyNumberFormat="1" applyFont="1" applyBorder="1" applyAlignment="1">
      <alignment horizontal="center" vertical="center"/>
    </xf>
    <xf numFmtId="0" fontId="26" fillId="29" borderId="32" xfId="13" applyFont="1" applyFill="1" applyBorder="1" applyAlignment="1">
      <alignment horizontal="center"/>
    </xf>
    <xf numFmtId="1" fontId="39" fillId="29" borderId="2" xfId="13" applyNumberFormat="1" applyFont="1" applyFill="1" applyBorder="1" applyAlignment="1">
      <alignment horizontal="center" vertical="center"/>
    </xf>
    <xf numFmtId="1" fontId="1" fillId="0" borderId="2" xfId="13" applyNumberFormat="1" applyFont="1" applyBorder="1" applyAlignment="1">
      <alignment horizontal="center" vertical="center"/>
    </xf>
    <xf numFmtId="1" fontId="23" fillId="0" borderId="33" xfId="13" applyNumberFormat="1" applyFont="1" applyBorder="1" applyAlignment="1">
      <alignment horizontal="center" vertical="center"/>
    </xf>
    <xf numFmtId="0" fontId="26" fillId="0" borderId="32" xfId="13" applyFont="1" applyBorder="1" applyAlignment="1">
      <alignment horizontal="center"/>
    </xf>
    <xf numFmtId="1" fontId="23" fillId="0" borderId="0" xfId="13" applyNumberFormat="1" applyFont="1" applyAlignment="1">
      <alignment horizontal="center" vertical="center"/>
    </xf>
    <xf numFmtId="0" fontId="17" fillId="0" borderId="58" xfId="9" applyFont="1" applyBorder="1" applyAlignment="1">
      <alignment horizontal="center" vertical="center" wrapText="1"/>
    </xf>
    <xf numFmtId="0" fontId="22" fillId="0" borderId="58" xfId="9" applyFont="1" applyBorder="1" applyAlignment="1">
      <alignment horizontal="center" vertical="center" wrapText="1"/>
    </xf>
    <xf numFmtId="0" fontId="40" fillId="0" borderId="58" xfId="9" applyFont="1" applyBorder="1" applyAlignment="1">
      <alignment horizontal="center" vertical="center" wrapText="1"/>
    </xf>
    <xf numFmtId="2" fontId="40" fillId="0" borderId="58" xfId="9" applyNumberFormat="1" applyFont="1" applyBorder="1" applyAlignment="1">
      <alignment horizontal="center" vertical="center" wrapText="1"/>
    </xf>
    <xf numFmtId="0" fontId="4" fillId="0" borderId="58" xfId="9" applyFont="1" applyBorder="1" applyAlignment="1">
      <alignment horizontal="center" vertical="center" wrapText="1"/>
    </xf>
    <xf numFmtId="0" fontId="4" fillId="21" borderId="58" xfId="9" applyFont="1" applyFill="1" applyBorder="1" applyAlignment="1">
      <alignment horizontal="center" vertical="center" wrapText="1"/>
    </xf>
    <xf numFmtId="0" fontId="17" fillId="0" borderId="59" xfId="9" applyFont="1" applyBorder="1" applyAlignment="1">
      <alignment horizontal="center"/>
    </xf>
    <xf numFmtId="0" fontId="22" fillId="0" borderId="59" xfId="9" applyFont="1" applyBorder="1" applyAlignment="1">
      <alignment horizontal="center"/>
    </xf>
    <xf numFmtId="1" fontId="5" fillId="0" borderId="59" xfId="9" applyNumberFormat="1" applyBorder="1" applyAlignment="1">
      <alignment horizontal="center"/>
    </xf>
    <xf numFmtId="0" fontId="17" fillId="0" borderId="60" xfId="9" applyFont="1" applyBorder="1" applyAlignment="1">
      <alignment horizontal="center"/>
    </xf>
    <xf numFmtId="0" fontId="17" fillId="0" borderId="61" xfId="9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7" fillId="0" borderId="56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0" fontId="17" fillId="0" borderId="56" xfId="0" applyFont="1" applyBorder="1" applyAlignment="1">
      <alignment horizontal="center" vertical="center" wrapText="1"/>
    </xf>
    <xf numFmtId="2" fontId="22" fillId="0" borderId="56" xfId="0" applyNumberFormat="1" applyFont="1" applyBorder="1" applyAlignment="1">
      <alignment horizontal="center" vertical="center" wrapText="1"/>
    </xf>
    <xf numFmtId="0" fontId="22" fillId="0" borderId="56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170" fontId="16" fillId="0" borderId="2" xfId="0" applyNumberFormat="1" applyFont="1" applyBorder="1" applyAlignment="1">
      <alignment horizontal="center"/>
    </xf>
    <xf numFmtId="0" fontId="5" fillId="21" borderId="30" xfId="0" applyFont="1" applyFill="1" applyBorder="1" applyAlignment="1">
      <alignment horizontal="center" vertical="center"/>
    </xf>
    <xf numFmtId="0" fontId="5" fillId="21" borderId="28" xfId="0" applyFont="1" applyFill="1" applyBorder="1" applyAlignment="1">
      <alignment horizontal="center" vertical="center"/>
    </xf>
    <xf numFmtId="0" fontId="0" fillId="11" borderId="0" xfId="0" applyFill="1"/>
    <xf numFmtId="0" fontId="0" fillId="11" borderId="0" xfId="0" applyFill="1" applyAlignment="1">
      <alignment vertical="center"/>
    </xf>
    <xf numFmtId="0" fontId="8" fillId="11" borderId="0" xfId="0" applyFont="1" applyFill="1" applyAlignment="1">
      <alignment vertical="center"/>
    </xf>
    <xf numFmtId="0" fontId="8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right"/>
    </xf>
    <xf numFmtId="17" fontId="4" fillId="11" borderId="31" xfId="0" applyNumberFormat="1" applyFont="1" applyFill="1" applyBorder="1"/>
    <xf numFmtId="0" fontId="0" fillId="11" borderId="1" xfId="0" applyFill="1" applyBorder="1" applyAlignment="1">
      <alignment horizontal="center"/>
    </xf>
    <xf numFmtId="0" fontId="0" fillId="11" borderId="28" xfId="0" applyFill="1" applyBorder="1" applyAlignment="1">
      <alignment horizontal="center"/>
    </xf>
    <xf numFmtId="0" fontId="0" fillId="11" borderId="2" xfId="0" applyFill="1" applyBorder="1"/>
    <xf numFmtId="0" fontId="0" fillId="11" borderId="2" xfId="0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29" fillId="11" borderId="0" xfId="0" applyFont="1" applyFill="1" applyAlignment="1">
      <alignment horizontal="left" vertical="center"/>
    </xf>
    <xf numFmtId="0" fontId="0" fillId="11" borderId="0" xfId="0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11" borderId="62" xfId="0" applyFont="1" applyFill="1" applyBorder="1" applyAlignment="1">
      <alignment horizontal="center" vertical="center"/>
    </xf>
    <xf numFmtId="0" fontId="5" fillId="11" borderId="63" xfId="0" applyFont="1" applyFill="1" applyBorder="1" applyAlignment="1">
      <alignment horizontal="center" vertical="center"/>
    </xf>
    <xf numFmtId="0" fontId="5" fillId="11" borderId="63" xfId="0" applyFont="1" applyFill="1" applyBorder="1" applyAlignment="1">
      <alignment horizontal="center"/>
    </xf>
    <xf numFmtId="0" fontId="30" fillId="11" borderId="63" xfId="0" applyFont="1" applyFill="1" applyBorder="1" applyAlignment="1">
      <alignment horizontal="center"/>
    </xf>
    <xf numFmtId="2" fontId="30" fillId="11" borderId="64" xfId="0" applyNumberFormat="1" applyFont="1" applyFill="1" applyBorder="1" applyAlignment="1">
      <alignment horizontal="center"/>
    </xf>
    <xf numFmtId="0" fontId="13" fillId="20" borderId="44" xfId="0" applyFont="1" applyFill="1" applyBorder="1" applyAlignment="1">
      <alignment horizontal="center" vertical="center"/>
    </xf>
    <xf numFmtId="0" fontId="13" fillId="20" borderId="44" xfId="0" applyFont="1" applyFill="1" applyBorder="1" applyAlignment="1">
      <alignment horizontal="center" vertical="center" wrapText="1"/>
    </xf>
    <xf numFmtId="0" fontId="5" fillId="20" borderId="36" xfId="0" applyFont="1" applyFill="1" applyBorder="1" applyAlignment="1">
      <alignment horizontal="center" vertical="center"/>
    </xf>
    <xf numFmtId="0" fontId="5" fillId="20" borderId="34" xfId="0" applyFont="1" applyFill="1" applyBorder="1" applyAlignment="1">
      <alignment horizontal="center"/>
    </xf>
    <xf numFmtId="0" fontId="30" fillId="20" borderId="34" xfId="0" applyFont="1" applyFill="1" applyBorder="1" applyAlignment="1">
      <alignment horizontal="center"/>
    </xf>
    <xf numFmtId="0" fontId="30" fillId="20" borderId="39" xfId="0" applyFont="1" applyFill="1" applyBorder="1" applyAlignment="1">
      <alignment horizontal="center"/>
    </xf>
    <xf numFmtId="0" fontId="5" fillId="20" borderId="38" xfId="0" applyFont="1" applyFill="1" applyBorder="1" applyAlignment="1">
      <alignment horizontal="center" vertical="center"/>
    </xf>
    <xf numFmtId="0" fontId="5" fillId="20" borderId="36" xfId="0" applyFont="1" applyFill="1" applyBorder="1" applyAlignment="1">
      <alignment horizontal="center"/>
    </xf>
    <xf numFmtId="0" fontId="30" fillId="20" borderId="36" xfId="0" applyFont="1" applyFill="1" applyBorder="1" applyAlignment="1">
      <alignment horizontal="center"/>
    </xf>
    <xf numFmtId="2" fontId="30" fillId="20" borderId="40" xfId="0" applyNumberFormat="1" applyFont="1" applyFill="1" applyBorder="1" applyAlignment="1">
      <alignment horizontal="center"/>
    </xf>
    <xf numFmtId="0" fontId="33" fillId="20" borderId="44" xfId="0" applyFont="1" applyFill="1" applyBorder="1" applyAlignment="1">
      <alignment horizontal="center" vertical="center" wrapText="1"/>
    </xf>
    <xf numFmtId="169" fontId="5" fillId="20" borderId="34" xfId="0" applyNumberFormat="1" applyFont="1" applyFill="1" applyBorder="1" applyAlignment="1">
      <alignment horizontal="center"/>
    </xf>
    <xf numFmtId="169" fontId="5" fillId="20" borderId="36" xfId="0" applyNumberFormat="1" applyFont="1" applyFill="1" applyBorder="1" applyAlignment="1">
      <alignment horizontal="center"/>
    </xf>
    <xf numFmtId="0" fontId="14" fillId="29" borderId="15" xfId="0" applyFont="1" applyFill="1" applyBorder="1" applyAlignment="1">
      <alignment horizontal="center" vertical="center"/>
    </xf>
    <xf numFmtId="0" fontId="14" fillId="29" borderId="15" xfId="0" applyFont="1" applyFill="1" applyBorder="1" applyAlignment="1">
      <alignment horizontal="center" vertical="center" wrapText="1"/>
    </xf>
    <xf numFmtId="0" fontId="5" fillId="29" borderId="36" xfId="0" applyFont="1" applyFill="1" applyBorder="1" applyAlignment="1">
      <alignment horizontal="center" vertical="center"/>
    </xf>
    <xf numFmtId="1" fontId="5" fillId="29" borderId="34" xfId="0" applyNumberFormat="1" applyFont="1" applyFill="1" applyBorder="1" applyAlignment="1">
      <alignment horizontal="center"/>
    </xf>
    <xf numFmtId="0" fontId="30" fillId="29" borderId="34" xfId="0" applyFont="1" applyFill="1" applyBorder="1" applyAlignment="1">
      <alignment horizontal="center"/>
    </xf>
    <xf numFmtId="0" fontId="30" fillId="29" borderId="39" xfId="0" applyFont="1" applyFill="1" applyBorder="1" applyAlignment="1">
      <alignment horizontal="center"/>
    </xf>
    <xf numFmtId="1" fontId="5" fillId="29" borderId="36" xfId="0" applyNumberFormat="1" applyFont="1" applyFill="1" applyBorder="1" applyAlignment="1">
      <alignment horizontal="center"/>
    </xf>
    <xf numFmtId="0" fontId="30" fillId="29" borderId="36" xfId="0" applyFont="1" applyFill="1" applyBorder="1" applyAlignment="1">
      <alignment horizontal="center"/>
    </xf>
    <xf numFmtId="2" fontId="30" fillId="29" borderId="40" xfId="0" applyNumberFormat="1" applyFont="1" applyFill="1" applyBorder="1" applyAlignment="1">
      <alignment horizontal="center"/>
    </xf>
    <xf numFmtId="0" fontId="5" fillId="29" borderId="34" xfId="0" applyFont="1" applyFill="1" applyBorder="1" applyAlignment="1">
      <alignment horizontal="center"/>
    </xf>
    <xf numFmtId="0" fontId="5" fillId="29" borderId="36" xfId="0" applyFont="1" applyFill="1" applyBorder="1" applyAlignment="1">
      <alignment horizontal="center"/>
    </xf>
    <xf numFmtId="0" fontId="5" fillId="29" borderId="35" xfId="0" applyFont="1" applyFill="1" applyBorder="1" applyAlignment="1">
      <alignment horizontal="center" vertical="center"/>
    </xf>
    <xf numFmtId="0" fontId="7" fillId="21" borderId="0" xfId="9" applyFont="1" applyFill="1" applyAlignment="1">
      <alignment horizontal="right" vertical="center"/>
    </xf>
    <xf numFmtId="165" fontId="6" fillId="11" borderId="2" xfId="1" applyNumberFormat="1" applyFont="1" applyFill="1" applyBorder="1" applyAlignment="1">
      <alignment horizontal="right" vertical="center"/>
    </xf>
    <xf numFmtId="165" fontId="0" fillId="5" borderId="10" xfId="1" applyNumberFormat="1" applyFont="1" applyFill="1" applyBorder="1" applyAlignment="1">
      <alignment horizontal="right" vertical="center"/>
    </xf>
    <xf numFmtId="165" fontId="0" fillId="5" borderId="2" xfId="1" applyNumberFormat="1" applyFont="1" applyFill="1" applyBorder="1" applyAlignment="1">
      <alignment horizontal="right" vertical="center"/>
    </xf>
    <xf numFmtId="165" fontId="5" fillId="5" borderId="2" xfId="1" applyNumberFormat="1" applyFont="1" applyFill="1" applyBorder="1" applyAlignment="1">
      <alignment horizontal="right" vertical="center"/>
    </xf>
    <xf numFmtId="165" fontId="5" fillId="0" borderId="66" xfId="9" applyNumberFormat="1" applyBorder="1" applyAlignment="1">
      <alignment horizontal="right" vertical="center"/>
    </xf>
    <xf numFmtId="0" fontId="5" fillId="0" borderId="0" xfId="9" applyAlignment="1">
      <alignment horizontal="right" vertical="center"/>
    </xf>
    <xf numFmtId="1" fontId="0" fillId="0" borderId="0" xfId="0" applyNumberFormat="1"/>
    <xf numFmtId="0" fontId="19" fillId="14" borderId="10" xfId="13" applyFont="1" applyFill="1" applyBorder="1" applyAlignment="1">
      <alignment horizontal="center"/>
    </xf>
    <xf numFmtId="2" fontId="17" fillId="31" borderId="26" xfId="13" applyNumberFormat="1" applyFont="1" applyFill="1" applyBorder="1" applyAlignment="1">
      <alignment horizontal="center" vertical="center" wrapText="1"/>
    </xf>
    <xf numFmtId="2" fontId="17" fillId="31" borderId="27" xfId="13" applyNumberFormat="1" applyFont="1" applyFill="1" applyBorder="1" applyAlignment="1">
      <alignment horizontal="center" vertical="center" wrapText="1"/>
    </xf>
    <xf numFmtId="0" fontId="18" fillId="14" borderId="2" xfId="13" applyFont="1" applyFill="1" applyBorder="1" applyAlignment="1">
      <alignment horizontal="center"/>
    </xf>
    <xf numFmtId="2" fontId="21" fillId="16" borderId="23" xfId="13" applyNumberFormat="1" applyFont="1" applyFill="1" applyBorder="1" applyAlignment="1">
      <alignment horizontal="center" vertical="center" wrapText="1"/>
    </xf>
    <xf numFmtId="2" fontId="21" fillId="16" borderId="24" xfId="13" applyNumberFormat="1" applyFont="1" applyFill="1" applyBorder="1" applyAlignment="1">
      <alignment horizontal="center" vertical="center" wrapText="1"/>
    </xf>
    <xf numFmtId="2" fontId="21" fillId="16" borderId="25" xfId="13" applyNumberFormat="1" applyFont="1" applyFill="1" applyBorder="1" applyAlignment="1">
      <alignment horizontal="center" vertical="center" wrapText="1"/>
    </xf>
    <xf numFmtId="0" fontId="4" fillId="0" borderId="0" xfId="9" applyFont="1" applyAlignment="1">
      <alignment horizontal="center" vertical="center"/>
    </xf>
    <xf numFmtId="0" fontId="29" fillId="0" borderId="0" xfId="9" applyFont="1" applyAlignment="1">
      <alignment horizontal="center" vertical="center"/>
    </xf>
    <xf numFmtId="17" fontId="4" fillId="0" borderId="0" xfId="9" applyNumberFormat="1" applyFont="1" applyAlignment="1">
      <alignment horizontal="center"/>
    </xf>
    <xf numFmtId="0" fontId="4" fillId="0" borderId="0" xfId="9" applyFont="1" applyAlignment="1">
      <alignment horizontal="center"/>
    </xf>
    <xf numFmtId="0" fontId="25" fillId="22" borderId="0" xfId="9" applyFont="1" applyFill="1" applyAlignment="1">
      <alignment horizontal="left" vertical="center"/>
    </xf>
    <xf numFmtId="16" fontId="4" fillId="5" borderId="17" xfId="9" applyNumberFormat="1" applyFont="1" applyFill="1" applyBorder="1" applyAlignment="1">
      <alignment horizontal="right" vertical="center"/>
    </xf>
    <xf numFmtId="0" fontId="4" fillId="5" borderId="29" xfId="9" applyFont="1" applyFill="1" applyBorder="1" applyAlignment="1">
      <alignment horizontal="right" vertical="center"/>
    </xf>
    <xf numFmtId="0" fontId="4" fillId="5" borderId="30" xfId="9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49" fontId="4" fillId="0" borderId="13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11" borderId="46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/>
    </xf>
    <xf numFmtId="0" fontId="4" fillId="11" borderId="47" xfId="0" applyFont="1" applyFill="1" applyBorder="1" applyAlignment="1">
      <alignment horizontal="center"/>
    </xf>
    <xf numFmtId="0" fontId="4" fillId="11" borderId="65" xfId="0" applyFont="1" applyFill="1" applyBorder="1" applyAlignment="1">
      <alignment horizontal="center" vertical="center"/>
    </xf>
    <xf numFmtId="0" fontId="4" fillId="34" borderId="65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33" borderId="0" xfId="0" applyFont="1" applyFill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14" fillId="29" borderId="18" xfId="0" applyFont="1" applyFill="1" applyBorder="1" applyAlignment="1">
      <alignment horizontal="center" vertical="center"/>
    </xf>
    <xf numFmtId="0" fontId="14" fillId="29" borderId="20" xfId="0" applyFont="1" applyFill="1" applyBorder="1" applyAlignment="1">
      <alignment horizontal="center" vertical="center"/>
    </xf>
    <xf numFmtId="0" fontId="14" fillId="29" borderId="21" xfId="0" applyFont="1" applyFill="1" applyBorder="1" applyAlignment="1">
      <alignment horizontal="center" vertical="center"/>
    </xf>
    <xf numFmtId="17" fontId="4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3" fillId="11" borderId="44" xfId="0" applyFont="1" applyFill="1" applyBorder="1" applyAlignment="1">
      <alignment horizontal="center" vertical="center"/>
    </xf>
    <xf numFmtId="0" fontId="13" fillId="20" borderId="44" xfId="0" applyFont="1" applyFill="1" applyBorder="1" applyAlignment="1">
      <alignment horizontal="center" vertical="center"/>
    </xf>
    <xf numFmtId="0" fontId="11" fillId="25" borderId="55" xfId="0" applyFont="1" applyFill="1" applyBorder="1" applyAlignment="1">
      <alignment horizontal="center"/>
    </xf>
    <xf numFmtId="0" fontId="31" fillId="28" borderId="18" xfId="0" applyFont="1" applyFill="1" applyBorder="1" applyAlignment="1">
      <alignment horizontal="center"/>
    </xf>
    <xf numFmtId="0" fontId="31" fillId="28" borderId="21" xfId="0" applyFont="1" applyFill="1" applyBorder="1" applyAlignment="1">
      <alignment horizontal="center"/>
    </xf>
    <xf numFmtId="0" fontId="32" fillId="28" borderId="48" xfId="0" applyFont="1" applyFill="1" applyBorder="1" applyAlignment="1">
      <alignment horizontal="center"/>
    </xf>
    <xf numFmtId="0" fontId="32" fillId="28" borderId="49" xfId="0" applyFont="1" applyFill="1" applyBorder="1" applyAlignment="1">
      <alignment horizontal="center"/>
    </xf>
    <xf numFmtId="0" fontId="4" fillId="26" borderId="0" xfId="0" applyFont="1" applyFill="1" applyAlignment="1">
      <alignment horizontal="center" vertical="center"/>
    </xf>
    <xf numFmtId="0" fontId="4" fillId="26" borderId="50" xfId="0" applyFont="1" applyFill="1" applyBorder="1" applyAlignment="1">
      <alignment horizontal="center" vertical="center"/>
    </xf>
    <xf numFmtId="0" fontId="31" fillId="28" borderId="48" xfId="0" applyFont="1" applyFill="1" applyBorder="1" applyAlignment="1">
      <alignment horizontal="center"/>
    </xf>
    <xf numFmtId="0" fontId="31" fillId="28" borderId="49" xfId="0" applyFont="1" applyFill="1" applyBorder="1" applyAlignment="1">
      <alignment horizontal="center"/>
    </xf>
    <xf numFmtId="0" fontId="34" fillId="27" borderId="18" xfId="9" applyFont="1" applyFill="1" applyBorder="1" applyAlignment="1">
      <alignment horizontal="center" vertical="center"/>
    </xf>
    <xf numFmtId="0" fontId="34" fillId="27" borderId="20" xfId="9" applyFont="1" applyFill="1" applyBorder="1" applyAlignment="1">
      <alignment horizontal="center" vertical="center"/>
    </xf>
    <xf numFmtId="0" fontId="34" fillId="27" borderId="21" xfId="9" applyFont="1" applyFill="1" applyBorder="1" applyAlignment="1">
      <alignment horizontal="center" vertical="center"/>
    </xf>
    <xf numFmtId="0" fontId="4" fillId="27" borderId="18" xfId="9" applyFont="1" applyFill="1" applyBorder="1" applyAlignment="1">
      <alignment horizontal="center" vertical="center"/>
    </xf>
    <xf numFmtId="0" fontId="4" fillId="27" borderId="20" xfId="9" applyFont="1" applyFill="1" applyBorder="1" applyAlignment="1">
      <alignment horizontal="center" vertical="center"/>
    </xf>
    <xf numFmtId="0" fontId="4" fillId="27" borderId="21" xfId="9" applyFont="1" applyFill="1" applyBorder="1" applyAlignment="1">
      <alignment horizontal="center" vertical="center"/>
    </xf>
    <xf numFmtId="0" fontId="25" fillId="21" borderId="0" xfId="9" applyFont="1" applyFill="1" applyAlignment="1">
      <alignment horizontal="left" vertical="center"/>
    </xf>
    <xf numFmtId="0" fontId="25" fillId="21" borderId="50" xfId="9" applyFont="1" applyFill="1" applyBorder="1" applyAlignment="1">
      <alignment horizontal="left" vertical="center"/>
    </xf>
    <xf numFmtId="0" fontId="4" fillId="0" borderId="18" xfId="9" applyFont="1" applyBorder="1" applyAlignment="1">
      <alignment horizontal="center" vertical="center"/>
    </xf>
    <xf numFmtId="0" fontId="4" fillId="0" borderId="20" xfId="9" applyFont="1" applyBorder="1" applyAlignment="1">
      <alignment horizontal="center" vertical="center"/>
    </xf>
    <xf numFmtId="0" fontId="4" fillId="0" borderId="21" xfId="9" applyFont="1" applyBorder="1" applyAlignment="1">
      <alignment horizontal="center" vertical="center"/>
    </xf>
    <xf numFmtId="0" fontId="7" fillId="20" borderId="0" xfId="9" applyFont="1" applyFill="1" applyAlignment="1">
      <alignment horizontal="center" vertical="center"/>
    </xf>
    <xf numFmtId="0" fontId="24" fillId="21" borderId="1" xfId="9" applyFont="1" applyFill="1" applyBorder="1" applyAlignment="1">
      <alignment horizontal="center" vertical="center"/>
    </xf>
    <xf numFmtId="0" fontId="4" fillId="4" borderId="17" xfId="9" applyFont="1" applyFill="1" applyBorder="1" applyAlignment="1">
      <alignment horizontal="center" vertical="center"/>
    </xf>
    <xf numFmtId="0" fontId="4" fillId="4" borderId="29" xfId="9" applyFont="1" applyFill="1" applyBorder="1" applyAlignment="1">
      <alignment horizontal="center" vertical="center"/>
    </xf>
    <xf numFmtId="0" fontId="4" fillId="4" borderId="30" xfId="9" applyFont="1" applyFill="1" applyBorder="1" applyAlignment="1">
      <alignment horizontal="center" vertical="center"/>
    </xf>
    <xf numFmtId="0" fontId="31" fillId="11" borderId="17" xfId="9" applyFont="1" applyFill="1" applyBorder="1" applyAlignment="1">
      <alignment horizontal="center" vertical="center"/>
    </xf>
    <xf numFmtId="0" fontId="31" fillId="11" borderId="29" xfId="9" applyFont="1" applyFill="1" applyBorder="1" applyAlignment="1">
      <alignment horizontal="center" vertical="center"/>
    </xf>
    <xf numFmtId="0" fontId="31" fillId="11" borderId="30" xfId="9" applyFont="1" applyFill="1" applyBorder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4416</c:v>
                </c:pt>
                <c:pt idx="1">
                  <c:v>4316</c:v>
                </c:pt>
                <c:pt idx="2">
                  <c:v>4338</c:v>
                </c:pt>
                <c:pt idx="3">
                  <c:v>4349</c:v>
                </c:pt>
                <c:pt idx="4">
                  <c:v>4138</c:v>
                </c:pt>
                <c:pt idx="5">
                  <c:v>4423</c:v>
                </c:pt>
                <c:pt idx="6">
                  <c:v>4356</c:v>
                </c:pt>
                <c:pt idx="7">
                  <c:v>4075</c:v>
                </c:pt>
                <c:pt idx="8">
                  <c:v>3970</c:v>
                </c:pt>
                <c:pt idx="9">
                  <c:v>3839</c:v>
                </c:pt>
                <c:pt idx="10">
                  <c:v>3629</c:v>
                </c:pt>
                <c:pt idx="11">
                  <c:v>3458</c:v>
                </c:pt>
                <c:pt idx="12">
                  <c:v>3421</c:v>
                </c:pt>
                <c:pt idx="13">
                  <c:v>3701</c:v>
                </c:pt>
                <c:pt idx="14">
                  <c:v>3779</c:v>
                </c:pt>
                <c:pt idx="15">
                  <c:v>3844</c:v>
                </c:pt>
                <c:pt idx="16">
                  <c:v>3973</c:v>
                </c:pt>
                <c:pt idx="17">
                  <c:v>4121</c:v>
                </c:pt>
                <c:pt idx="18">
                  <c:v>4360</c:v>
                </c:pt>
                <c:pt idx="19">
                  <c:v>3985</c:v>
                </c:pt>
                <c:pt idx="20">
                  <c:v>3632</c:v>
                </c:pt>
                <c:pt idx="21">
                  <c:v>4117</c:v>
                </c:pt>
                <c:pt idx="22">
                  <c:v>4068</c:v>
                </c:pt>
                <c:pt idx="23">
                  <c:v>3612</c:v>
                </c:pt>
                <c:pt idx="24">
                  <c:v>3602</c:v>
                </c:pt>
                <c:pt idx="25">
                  <c:v>3370</c:v>
                </c:pt>
                <c:pt idx="26">
                  <c:v>3450</c:v>
                </c:pt>
                <c:pt idx="27">
                  <c:v>3463</c:v>
                </c:pt>
                <c:pt idx="28">
                  <c:v>3363</c:v>
                </c:pt>
                <c:pt idx="29">
                  <c:v>3478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4900</c:v>
                </c:pt>
                <c:pt idx="1">
                  <c:v>4766</c:v>
                </c:pt>
                <c:pt idx="2">
                  <c:v>4664</c:v>
                </c:pt>
                <c:pt idx="3">
                  <c:v>4661</c:v>
                </c:pt>
                <c:pt idx="4">
                  <c:v>4769</c:v>
                </c:pt>
                <c:pt idx="5">
                  <c:v>4621</c:v>
                </c:pt>
                <c:pt idx="6">
                  <c:v>4463</c:v>
                </c:pt>
                <c:pt idx="7">
                  <c:v>4494</c:v>
                </c:pt>
                <c:pt idx="8">
                  <c:v>4695</c:v>
                </c:pt>
                <c:pt idx="9">
                  <c:v>4138</c:v>
                </c:pt>
                <c:pt idx="10">
                  <c:v>3859</c:v>
                </c:pt>
                <c:pt idx="11">
                  <c:v>3569</c:v>
                </c:pt>
                <c:pt idx="12">
                  <c:v>3381</c:v>
                </c:pt>
                <c:pt idx="13">
                  <c:v>3756</c:v>
                </c:pt>
                <c:pt idx="14">
                  <c:v>3857</c:v>
                </c:pt>
                <c:pt idx="15">
                  <c:v>4275</c:v>
                </c:pt>
                <c:pt idx="16">
                  <c:v>4065</c:v>
                </c:pt>
                <c:pt idx="17">
                  <c:v>4633</c:v>
                </c:pt>
                <c:pt idx="18">
                  <c:v>5137</c:v>
                </c:pt>
                <c:pt idx="19">
                  <c:v>4509</c:v>
                </c:pt>
                <c:pt idx="20">
                  <c:v>3708</c:v>
                </c:pt>
                <c:pt idx="21">
                  <c:v>4627</c:v>
                </c:pt>
                <c:pt idx="22">
                  <c:v>4547</c:v>
                </c:pt>
                <c:pt idx="23">
                  <c:v>3517</c:v>
                </c:pt>
                <c:pt idx="24">
                  <c:v>3878</c:v>
                </c:pt>
                <c:pt idx="25">
                  <c:v>3803</c:v>
                </c:pt>
                <c:pt idx="26">
                  <c:v>4562</c:v>
                </c:pt>
                <c:pt idx="27">
                  <c:v>4371</c:v>
                </c:pt>
                <c:pt idx="28">
                  <c:v>3635</c:v>
                </c:pt>
                <c:pt idx="29">
                  <c:v>3924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12450</c:v>
                </c:pt>
                <c:pt idx="1">
                  <c:v>12544</c:v>
                </c:pt>
                <c:pt idx="2">
                  <c:v>12712</c:v>
                </c:pt>
                <c:pt idx="3">
                  <c:v>11714</c:v>
                </c:pt>
                <c:pt idx="4">
                  <c:v>12322</c:v>
                </c:pt>
                <c:pt idx="5">
                  <c:v>12388</c:v>
                </c:pt>
                <c:pt idx="6">
                  <c:v>12336</c:v>
                </c:pt>
                <c:pt idx="7">
                  <c:v>11206</c:v>
                </c:pt>
                <c:pt idx="8">
                  <c:v>11415</c:v>
                </c:pt>
                <c:pt idx="9">
                  <c:v>11193</c:v>
                </c:pt>
                <c:pt idx="10">
                  <c:v>10932</c:v>
                </c:pt>
                <c:pt idx="11">
                  <c:v>11155</c:v>
                </c:pt>
                <c:pt idx="12">
                  <c:v>10123</c:v>
                </c:pt>
                <c:pt idx="13">
                  <c:v>10581</c:v>
                </c:pt>
                <c:pt idx="14">
                  <c:v>10796</c:v>
                </c:pt>
                <c:pt idx="15">
                  <c:v>11116</c:v>
                </c:pt>
                <c:pt idx="16">
                  <c:v>11545</c:v>
                </c:pt>
                <c:pt idx="17">
                  <c:v>12316</c:v>
                </c:pt>
                <c:pt idx="18">
                  <c:v>11971</c:v>
                </c:pt>
                <c:pt idx="19">
                  <c:v>11905</c:v>
                </c:pt>
                <c:pt idx="20">
                  <c:v>10377</c:v>
                </c:pt>
                <c:pt idx="21">
                  <c:v>11803</c:v>
                </c:pt>
                <c:pt idx="22">
                  <c:v>12162</c:v>
                </c:pt>
                <c:pt idx="23">
                  <c:v>10742</c:v>
                </c:pt>
                <c:pt idx="24">
                  <c:v>11004</c:v>
                </c:pt>
                <c:pt idx="25">
                  <c:v>10644</c:v>
                </c:pt>
                <c:pt idx="26">
                  <c:v>11447</c:v>
                </c:pt>
                <c:pt idx="27">
                  <c:v>10936</c:v>
                </c:pt>
                <c:pt idx="28">
                  <c:v>11537</c:v>
                </c:pt>
                <c:pt idx="29">
                  <c:v>10776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2500</c:v>
                </c:pt>
                <c:pt idx="1">
                  <c:v>2400</c:v>
                </c:pt>
                <c:pt idx="2">
                  <c:v>2500</c:v>
                </c:pt>
                <c:pt idx="3">
                  <c:v>2300</c:v>
                </c:pt>
                <c:pt idx="4">
                  <c:v>2500</c:v>
                </c:pt>
                <c:pt idx="5">
                  <c:v>2300</c:v>
                </c:pt>
                <c:pt idx="6">
                  <c:v>2400</c:v>
                </c:pt>
                <c:pt idx="7">
                  <c:v>2300</c:v>
                </c:pt>
                <c:pt idx="8">
                  <c:v>2200</c:v>
                </c:pt>
                <c:pt idx="9">
                  <c:v>2100</c:v>
                </c:pt>
                <c:pt idx="10">
                  <c:v>2200</c:v>
                </c:pt>
                <c:pt idx="11">
                  <c:v>2100</c:v>
                </c:pt>
                <c:pt idx="12">
                  <c:v>2000</c:v>
                </c:pt>
                <c:pt idx="13">
                  <c:v>2200</c:v>
                </c:pt>
                <c:pt idx="14">
                  <c:v>2100</c:v>
                </c:pt>
                <c:pt idx="15">
                  <c:v>2100</c:v>
                </c:pt>
                <c:pt idx="16">
                  <c:v>2200</c:v>
                </c:pt>
                <c:pt idx="17">
                  <c:v>2300</c:v>
                </c:pt>
                <c:pt idx="18">
                  <c:v>2300</c:v>
                </c:pt>
                <c:pt idx="19">
                  <c:v>2300</c:v>
                </c:pt>
                <c:pt idx="20">
                  <c:v>2100</c:v>
                </c:pt>
                <c:pt idx="21">
                  <c:v>2300</c:v>
                </c:pt>
                <c:pt idx="22">
                  <c:v>2300</c:v>
                </c:pt>
                <c:pt idx="23">
                  <c:v>2100</c:v>
                </c:pt>
                <c:pt idx="24">
                  <c:v>2200</c:v>
                </c:pt>
                <c:pt idx="25">
                  <c:v>2100</c:v>
                </c:pt>
                <c:pt idx="26">
                  <c:v>2200</c:v>
                </c:pt>
                <c:pt idx="27">
                  <c:v>2200</c:v>
                </c:pt>
                <c:pt idx="28">
                  <c:v>2100</c:v>
                </c:pt>
                <c:pt idx="29">
                  <c:v>2100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3072</c:v>
                </c:pt>
                <c:pt idx="1">
                  <c:v>3068</c:v>
                </c:pt>
                <c:pt idx="2">
                  <c:v>3034</c:v>
                </c:pt>
                <c:pt idx="3">
                  <c:v>2960</c:v>
                </c:pt>
                <c:pt idx="4">
                  <c:v>3077</c:v>
                </c:pt>
                <c:pt idx="5">
                  <c:v>3058</c:v>
                </c:pt>
                <c:pt idx="6">
                  <c:v>2974</c:v>
                </c:pt>
                <c:pt idx="7">
                  <c:v>2843</c:v>
                </c:pt>
                <c:pt idx="8">
                  <c:v>2966</c:v>
                </c:pt>
                <c:pt idx="9">
                  <c:v>2907</c:v>
                </c:pt>
                <c:pt idx="10">
                  <c:v>2878</c:v>
                </c:pt>
                <c:pt idx="11">
                  <c:v>2820</c:v>
                </c:pt>
                <c:pt idx="12">
                  <c:v>2737</c:v>
                </c:pt>
                <c:pt idx="13">
                  <c:v>3120</c:v>
                </c:pt>
                <c:pt idx="14">
                  <c:v>2550</c:v>
                </c:pt>
                <c:pt idx="15">
                  <c:v>2850</c:v>
                </c:pt>
                <c:pt idx="16">
                  <c:v>2877</c:v>
                </c:pt>
                <c:pt idx="17">
                  <c:v>2892</c:v>
                </c:pt>
                <c:pt idx="18">
                  <c:v>2915</c:v>
                </c:pt>
                <c:pt idx="19">
                  <c:v>2888</c:v>
                </c:pt>
                <c:pt idx="20">
                  <c:v>2625</c:v>
                </c:pt>
                <c:pt idx="21">
                  <c:v>2852</c:v>
                </c:pt>
                <c:pt idx="22">
                  <c:v>2916</c:v>
                </c:pt>
                <c:pt idx="23">
                  <c:v>2699</c:v>
                </c:pt>
                <c:pt idx="24">
                  <c:v>2761</c:v>
                </c:pt>
                <c:pt idx="25">
                  <c:v>2850</c:v>
                </c:pt>
                <c:pt idx="26">
                  <c:v>2892</c:v>
                </c:pt>
                <c:pt idx="27">
                  <c:v>3016</c:v>
                </c:pt>
                <c:pt idx="28">
                  <c:v>2810</c:v>
                </c:pt>
                <c:pt idx="29">
                  <c:v>2867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700</c:v>
                </c:pt>
                <c:pt idx="1">
                  <c:v>700</c:v>
                </c:pt>
                <c:pt idx="2">
                  <c:v>600</c:v>
                </c:pt>
                <c:pt idx="3">
                  <c:v>800</c:v>
                </c:pt>
                <c:pt idx="4">
                  <c:v>700</c:v>
                </c:pt>
                <c:pt idx="5">
                  <c:v>700</c:v>
                </c:pt>
                <c:pt idx="6">
                  <c:v>800</c:v>
                </c:pt>
                <c:pt idx="7">
                  <c:v>700</c:v>
                </c:pt>
                <c:pt idx="8">
                  <c:v>700</c:v>
                </c:pt>
                <c:pt idx="9">
                  <c:v>800</c:v>
                </c:pt>
                <c:pt idx="10">
                  <c:v>700</c:v>
                </c:pt>
                <c:pt idx="11">
                  <c:v>600</c:v>
                </c:pt>
                <c:pt idx="12">
                  <c:v>700</c:v>
                </c:pt>
                <c:pt idx="13">
                  <c:v>700</c:v>
                </c:pt>
                <c:pt idx="14">
                  <c:v>700</c:v>
                </c:pt>
                <c:pt idx="15">
                  <c:v>600</c:v>
                </c:pt>
                <c:pt idx="16">
                  <c:v>700</c:v>
                </c:pt>
                <c:pt idx="17">
                  <c:v>700</c:v>
                </c:pt>
                <c:pt idx="18">
                  <c:v>700</c:v>
                </c:pt>
                <c:pt idx="19">
                  <c:v>700</c:v>
                </c:pt>
                <c:pt idx="20">
                  <c:v>700</c:v>
                </c:pt>
                <c:pt idx="21">
                  <c:v>700</c:v>
                </c:pt>
                <c:pt idx="22">
                  <c:v>700</c:v>
                </c:pt>
                <c:pt idx="23">
                  <c:v>700</c:v>
                </c:pt>
                <c:pt idx="24">
                  <c:v>700</c:v>
                </c:pt>
                <c:pt idx="25">
                  <c:v>700</c:v>
                </c:pt>
                <c:pt idx="26">
                  <c:v>600</c:v>
                </c:pt>
                <c:pt idx="27">
                  <c:v>700</c:v>
                </c:pt>
                <c:pt idx="28">
                  <c:v>700</c:v>
                </c:pt>
                <c:pt idx="29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'!$AT$5:$AT$34</c:f>
              <c:numCache>
                <c:formatCode>General</c:formatCode>
                <c:ptCount val="30"/>
                <c:pt idx="0">
                  <c:v>2900</c:v>
                </c:pt>
                <c:pt idx="1">
                  <c:v>2800</c:v>
                </c:pt>
                <c:pt idx="2">
                  <c:v>2600</c:v>
                </c:pt>
                <c:pt idx="3">
                  <c:v>2500</c:v>
                </c:pt>
                <c:pt idx="4">
                  <c:v>2900</c:v>
                </c:pt>
                <c:pt idx="5">
                  <c:v>2500</c:v>
                </c:pt>
                <c:pt idx="6">
                  <c:v>2500</c:v>
                </c:pt>
                <c:pt idx="7">
                  <c:v>2300</c:v>
                </c:pt>
                <c:pt idx="8">
                  <c:v>1900</c:v>
                </c:pt>
                <c:pt idx="9">
                  <c:v>1900</c:v>
                </c:pt>
                <c:pt idx="10">
                  <c:v>2000</c:v>
                </c:pt>
                <c:pt idx="11">
                  <c:v>1900</c:v>
                </c:pt>
                <c:pt idx="12">
                  <c:v>1800</c:v>
                </c:pt>
                <c:pt idx="13">
                  <c:v>1800</c:v>
                </c:pt>
                <c:pt idx="14">
                  <c:v>1700</c:v>
                </c:pt>
                <c:pt idx="15">
                  <c:v>1800</c:v>
                </c:pt>
                <c:pt idx="16">
                  <c:v>2000</c:v>
                </c:pt>
                <c:pt idx="17">
                  <c:v>1800</c:v>
                </c:pt>
                <c:pt idx="18">
                  <c:v>2000</c:v>
                </c:pt>
                <c:pt idx="19">
                  <c:v>2000</c:v>
                </c:pt>
                <c:pt idx="20">
                  <c:v>1700</c:v>
                </c:pt>
                <c:pt idx="21">
                  <c:v>1800</c:v>
                </c:pt>
                <c:pt idx="22">
                  <c:v>2000</c:v>
                </c:pt>
                <c:pt idx="23">
                  <c:v>2100</c:v>
                </c:pt>
                <c:pt idx="24">
                  <c:v>1700</c:v>
                </c:pt>
                <c:pt idx="25">
                  <c:v>2000</c:v>
                </c:pt>
                <c:pt idx="26">
                  <c:v>1700</c:v>
                </c:pt>
                <c:pt idx="27">
                  <c:v>1600</c:v>
                </c:pt>
                <c:pt idx="28">
                  <c:v>1900</c:v>
                </c:pt>
                <c:pt idx="29">
                  <c:v>1700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'!$BG$5:$BG$34</c:f>
              <c:numCache>
                <c:formatCode>General</c:formatCode>
                <c:ptCount val="30"/>
                <c:pt idx="0">
                  <c:v>1098700</c:v>
                </c:pt>
                <c:pt idx="1">
                  <c:v>1099000</c:v>
                </c:pt>
                <c:pt idx="2">
                  <c:v>1099300</c:v>
                </c:pt>
                <c:pt idx="3">
                  <c:v>1099600</c:v>
                </c:pt>
                <c:pt idx="4">
                  <c:v>1099900</c:v>
                </c:pt>
                <c:pt idx="5">
                  <c:v>1100200</c:v>
                </c:pt>
                <c:pt idx="6">
                  <c:v>1100500</c:v>
                </c:pt>
                <c:pt idx="7">
                  <c:v>1100900</c:v>
                </c:pt>
                <c:pt idx="8">
                  <c:v>1101200</c:v>
                </c:pt>
                <c:pt idx="9">
                  <c:v>1101400</c:v>
                </c:pt>
                <c:pt idx="10">
                  <c:v>1101700</c:v>
                </c:pt>
                <c:pt idx="11">
                  <c:v>1102000</c:v>
                </c:pt>
                <c:pt idx="12">
                  <c:v>1102300</c:v>
                </c:pt>
                <c:pt idx="13">
                  <c:v>1102600</c:v>
                </c:pt>
                <c:pt idx="14">
                  <c:v>1102800</c:v>
                </c:pt>
                <c:pt idx="15">
                  <c:v>1103100</c:v>
                </c:pt>
                <c:pt idx="16">
                  <c:v>1103400</c:v>
                </c:pt>
                <c:pt idx="17">
                  <c:v>1103700</c:v>
                </c:pt>
                <c:pt idx="18">
                  <c:v>1104000</c:v>
                </c:pt>
                <c:pt idx="19">
                  <c:v>1104300</c:v>
                </c:pt>
                <c:pt idx="20">
                  <c:v>1104600</c:v>
                </c:pt>
                <c:pt idx="21">
                  <c:v>1104900</c:v>
                </c:pt>
                <c:pt idx="22">
                  <c:v>1105200</c:v>
                </c:pt>
                <c:pt idx="23">
                  <c:v>1105500</c:v>
                </c:pt>
                <c:pt idx="24">
                  <c:v>1105800</c:v>
                </c:pt>
                <c:pt idx="25">
                  <c:v>1106100</c:v>
                </c:pt>
                <c:pt idx="26">
                  <c:v>1106300</c:v>
                </c:pt>
                <c:pt idx="27">
                  <c:v>1106600</c:v>
                </c:pt>
                <c:pt idx="28">
                  <c:v>1106900</c:v>
                </c:pt>
                <c:pt idx="29">
                  <c:v>1107200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4" Type="http://schemas.openxmlformats.org/officeDocument/2006/relationships/chart" Target="../charts/chart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981075</xdr:colOff>
      <xdr:row>0</xdr:row>
      <xdr:rowOff>0</xdr:rowOff>
    </xdr:from>
    <xdr:to>
      <xdr:col>6</xdr:col>
      <xdr:colOff>933450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1030DA-D5AD-4701-A48A-0480D66F7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0"/>
          <a:ext cx="1190625" cy="723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40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-my.sharepoint.com/Engineering%20Manager/3.%20ENERGY%20CONSUMPTION/1.%20ENERGY%20INPUT/LG/2022/HEP%20new%20sheets/11.%20Nov/FS%20Maldives%20at%20LG_HEP_Daily_Novem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 "/>
      <sheetName val="Maldives at LG Daily"/>
      <sheetName val="Rooms nights and Food Covers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Sheet1"/>
      <sheetName val="KWH Summary"/>
      <sheetName val="Focus Data"/>
    </sheetNames>
    <sheetDataSet>
      <sheetData sheetId="0"/>
      <sheetData sheetId="1"/>
      <sheetData sheetId="2">
        <row r="34">
          <cell r="C34">
            <v>104697810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G5"/>
        </row>
      </sheetData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O33"/>
  <sheetViews>
    <sheetView tabSelected="1" workbookViewId="0">
      <selection activeCell="O1" sqref="O1"/>
    </sheetView>
  </sheetViews>
  <sheetFormatPr defaultRowHeight="12.75"/>
  <cols>
    <col min="1" max="1" width="27.42578125" bestFit="1" customWidth="1"/>
    <col min="5" max="5" width="10.7109375" customWidth="1"/>
    <col min="6" max="6" width="12.140625" customWidth="1"/>
    <col min="9" max="9" width="11.7109375" style="7" bestFit="1" customWidth="1"/>
    <col min="10" max="10" width="11.7109375" style="74" bestFit="1" customWidth="1"/>
    <col min="11" max="11" width="10.85546875" customWidth="1"/>
    <col min="12" max="12" width="11.28515625" customWidth="1"/>
  </cols>
  <sheetData>
    <row r="1" spans="1:15" ht="60">
      <c r="A1" s="85" t="s">
        <v>0</v>
      </c>
      <c r="B1" s="316" t="s">
        <v>1</v>
      </c>
      <c r="C1" s="317" t="s">
        <v>2</v>
      </c>
      <c r="D1" s="316" t="s">
        <v>3</v>
      </c>
      <c r="E1" s="318" t="s">
        <v>4</v>
      </c>
      <c r="F1" s="319" t="s">
        <v>5</v>
      </c>
      <c r="G1" s="318" t="s">
        <v>6</v>
      </c>
      <c r="H1" s="319" t="s">
        <v>7</v>
      </c>
      <c r="I1" s="315" t="s">
        <v>8</v>
      </c>
      <c r="J1" s="315" t="s">
        <v>9</v>
      </c>
      <c r="K1" s="318" t="s">
        <v>10</v>
      </c>
      <c r="L1" s="320" t="s">
        <v>11</v>
      </c>
      <c r="M1" s="318" t="s">
        <v>12</v>
      </c>
      <c r="N1" s="318" t="s">
        <v>13</v>
      </c>
      <c r="O1" s="318" t="s">
        <v>14</v>
      </c>
    </row>
    <row r="2" spans="1:15" ht="15">
      <c r="A2" s="86" t="s">
        <v>15</v>
      </c>
      <c r="B2" s="86">
        <v>1</v>
      </c>
      <c r="C2" s="87">
        <v>1</v>
      </c>
      <c r="D2" s="86">
        <v>2023</v>
      </c>
      <c r="E2" s="88">
        <f>'Submetering '!E2+'Submetering '!F2+'Submetering '!G2+'Submetering '!H2+'Submetering '!I2+'Submetering '!J2</f>
        <v>33144</v>
      </c>
      <c r="F2" s="323">
        <v>0.35399999999999998</v>
      </c>
      <c r="G2" s="88">
        <f>'Maldives at LG Daily'!E5</f>
        <v>405</v>
      </c>
      <c r="H2" s="89">
        <v>1.24</v>
      </c>
      <c r="I2" s="321">
        <f>'Diesel consumption'!D5</f>
        <v>8380</v>
      </c>
      <c r="J2" s="322">
        <v>1.3</v>
      </c>
      <c r="K2" s="88">
        <f>'Maldives at LG Daily'!H5</f>
        <v>9389</v>
      </c>
      <c r="L2" s="89">
        <v>0</v>
      </c>
      <c r="M2" s="88">
        <v>96</v>
      </c>
      <c r="N2" s="88">
        <f>'Submetering '!BN2</f>
        <v>692</v>
      </c>
      <c r="O2" s="88">
        <f>'Diesel consumption'!H5+'Diesel consumption'!P5</f>
        <v>4200</v>
      </c>
    </row>
    <row r="3" spans="1:15" ht="15">
      <c r="A3" s="86" t="s">
        <v>15</v>
      </c>
      <c r="B3" s="86">
        <v>2</v>
      </c>
      <c r="C3" s="87">
        <v>1</v>
      </c>
      <c r="D3" s="86">
        <v>2023</v>
      </c>
      <c r="E3" s="88">
        <f>'Submetering '!E3+'Submetering '!F3+'Submetering '!G3+'Submetering '!H3+'Submetering '!I3+'Submetering '!J3</f>
        <v>32415</v>
      </c>
      <c r="F3" s="323">
        <v>0.35399999999999998</v>
      </c>
      <c r="G3" s="88">
        <f>'Maldives at LG Daily'!E6</f>
        <v>270</v>
      </c>
      <c r="H3" s="89">
        <v>1.24</v>
      </c>
      <c r="I3" s="321">
        <f>'Diesel consumption'!D6</f>
        <v>8520</v>
      </c>
      <c r="J3" s="322">
        <v>1.3</v>
      </c>
      <c r="K3" s="88">
        <f>'Maldives at LG Daily'!H6</f>
        <v>9191</v>
      </c>
      <c r="L3" s="89">
        <v>0</v>
      </c>
      <c r="M3" s="88">
        <v>91</v>
      </c>
      <c r="N3" s="88">
        <f>'Submetering '!BN3</f>
        <v>701</v>
      </c>
      <c r="O3" s="88">
        <f>'Diesel consumption'!H6+'Diesel consumption'!P6</f>
        <v>1110</v>
      </c>
    </row>
    <row r="4" spans="1:15" ht="15">
      <c r="A4" s="86" t="s">
        <v>15</v>
      </c>
      <c r="B4" s="86">
        <v>3</v>
      </c>
      <c r="C4" s="87">
        <v>1</v>
      </c>
      <c r="D4" s="86">
        <v>2023</v>
      </c>
      <c r="E4" s="88">
        <f>'Submetering '!E4+'Submetering '!F4+'Submetering '!G4+'Submetering '!H4+'Submetering '!I4+'Submetering '!J4</f>
        <v>31874</v>
      </c>
      <c r="F4" s="323">
        <v>0.35399999999999998</v>
      </c>
      <c r="G4" s="88">
        <f>'Maldives at LG Daily'!E7</f>
        <v>315</v>
      </c>
      <c r="H4" s="89">
        <v>1.24</v>
      </c>
      <c r="I4" s="321">
        <f>'Diesel consumption'!D7</f>
        <v>8110</v>
      </c>
      <c r="J4" s="322">
        <v>1.3</v>
      </c>
      <c r="K4" s="88">
        <f>'Maldives at LG Daily'!H7</f>
        <v>6813</v>
      </c>
      <c r="L4" s="89">
        <v>0</v>
      </c>
      <c r="M4" s="88">
        <v>91</v>
      </c>
      <c r="N4" s="88">
        <f>'Submetering '!BN4</f>
        <v>740</v>
      </c>
      <c r="O4" s="88">
        <f>'Diesel consumption'!H7+'Diesel consumption'!P7</f>
        <v>2200</v>
      </c>
    </row>
    <row r="5" spans="1:15" ht="15">
      <c r="A5" s="86" t="s">
        <v>15</v>
      </c>
      <c r="B5" s="86">
        <v>4</v>
      </c>
      <c r="C5" s="87">
        <v>1</v>
      </c>
      <c r="D5" s="86">
        <v>2023</v>
      </c>
      <c r="E5" s="88">
        <f>'Submetering '!E5+'Submetering '!F5+'Submetering '!G5+'Submetering '!H5+'Submetering '!I5+'Submetering '!J5</f>
        <v>31641</v>
      </c>
      <c r="F5" s="323">
        <v>0.35399999999999998</v>
      </c>
      <c r="G5" s="88">
        <f>'Maldives at LG Daily'!E8</f>
        <v>270</v>
      </c>
      <c r="H5" s="89">
        <v>1.24</v>
      </c>
      <c r="I5" s="321">
        <f>'Diesel consumption'!D8</f>
        <v>8050</v>
      </c>
      <c r="J5" s="322">
        <v>1.3</v>
      </c>
      <c r="K5" s="88">
        <f>'Maldives at LG Daily'!H8</f>
        <v>10465</v>
      </c>
      <c r="L5" s="89">
        <v>0</v>
      </c>
      <c r="M5" s="88">
        <v>83</v>
      </c>
      <c r="N5" s="88">
        <f>'Submetering '!BN5</f>
        <v>647</v>
      </c>
      <c r="O5" s="88">
        <f>'Diesel consumption'!H8+'Diesel consumption'!P8</f>
        <v>260</v>
      </c>
    </row>
    <row r="6" spans="1:15" ht="15">
      <c r="A6" s="86" t="s">
        <v>15</v>
      </c>
      <c r="B6" s="86">
        <v>5</v>
      </c>
      <c r="C6" s="87">
        <v>1</v>
      </c>
      <c r="D6" s="86">
        <v>2023</v>
      </c>
      <c r="E6" s="88">
        <f>'Submetering '!E6+'Submetering '!F6+'Submetering '!G6+'Submetering '!H6+'Submetering '!I6+'Submetering '!J6</f>
        <v>31544</v>
      </c>
      <c r="F6" s="323">
        <v>0.35399999999999998</v>
      </c>
      <c r="G6" s="88">
        <f>'Maldives at LG Daily'!E9</f>
        <v>360</v>
      </c>
      <c r="H6" s="89">
        <v>1.24</v>
      </c>
      <c r="I6" s="321">
        <f>'Diesel consumption'!D9</f>
        <v>8160</v>
      </c>
      <c r="J6" s="322">
        <v>1.3</v>
      </c>
      <c r="K6" s="88">
        <f>'Maldives at LG Daily'!H9</f>
        <v>9400</v>
      </c>
      <c r="L6" s="89">
        <v>0</v>
      </c>
      <c r="M6" s="88">
        <v>79</v>
      </c>
      <c r="N6" s="88">
        <f>'Submetering '!BN6</f>
        <v>639</v>
      </c>
      <c r="O6" s="88">
        <f>'Diesel consumption'!H9+'Diesel consumption'!P9</f>
        <v>3340</v>
      </c>
    </row>
    <row r="7" spans="1:15" ht="15">
      <c r="A7" s="86" t="s">
        <v>15</v>
      </c>
      <c r="B7" s="86">
        <v>6</v>
      </c>
      <c r="C7" s="87">
        <v>1</v>
      </c>
      <c r="D7" s="86">
        <v>2023</v>
      </c>
      <c r="E7" s="88">
        <f>'Submetering '!E7+'Submetering '!F7+'Submetering '!G7+'Submetering '!H7+'Submetering '!I7+'Submetering '!J7</f>
        <v>31798</v>
      </c>
      <c r="F7" s="323">
        <v>0.35399999999999998</v>
      </c>
      <c r="G7" s="88">
        <f>'Maldives at LG Daily'!E10</f>
        <v>315</v>
      </c>
      <c r="H7" s="89">
        <v>1.24</v>
      </c>
      <c r="I7" s="321">
        <f>'Diesel consumption'!D10</f>
        <v>8160</v>
      </c>
      <c r="J7" s="322">
        <v>1.3</v>
      </c>
      <c r="K7" s="88">
        <f>'Maldives at LG Daily'!H10</f>
        <v>7536</v>
      </c>
      <c r="L7" s="89">
        <v>0</v>
      </c>
      <c r="M7" s="88">
        <v>69</v>
      </c>
      <c r="N7" s="88">
        <f>'Submetering '!BN7</f>
        <v>532</v>
      </c>
      <c r="O7" s="88">
        <f>'Diesel consumption'!H10+'Diesel consumption'!P10</f>
        <v>1750</v>
      </c>
    </row>
    <row r="8" spans="1:15" ht="15">
      <c r="A8" s="86" t="s">
        <v>15</v>
      </c>
      <c r="B8" s="86">
        <v>7</v>
      </c>
      <c r="C8" s="87">
        <v>1</v>
      </c>
      <c r="D8" s="86">
        <v>2023</v>
      </c>
      <c r="E8" s="88">
        <f>'Submetering '!E8+'Submetering '!F8+'Submetering '!G8+'Submetering '!H8+'Submetering '!I8+'Submetering '!J8</f>
        <v>30700</v>
      </c>
      <c r="F8" s="323">
        <v>0.35399999999999998</v>
      </c>
      <c r="G8" s="88">
        <f>'Maldives at LG Daily'!E11</f>
        <v>270</v>
      </c>
      <c r="H8" s="89">
        <v>1.24</v>
      </c>
      <c r="I8" s="321">
        <f>'Diesel consumption'!D11</f>
        <v>7810</v>
      </c>
      <c r="J8" s="322">
        <v>1.3</v>
      </c>
      <c r="K8" s="88">
        <f>'Maldives at LG Daily'!H11</f>
        <v>8861</v>
      </c>
      <c r="L8" s="89">
        <v>0</v>
      </c>
      <c r="M8" s="88">
        <v>63</v>
      </c>
      <c r="N8" s="88">
        <f>'Submetering '!BN8</f>
        <v>539</v>
      </c>
      <c r="O8" s="88">
        <f>'Diesel consumption'!H11+'Diesel consumption'!P11</f>
        <v>140</v>
      </c>
    </row>
    <row r="9" spans="1:15" ht="15">
      <c r="A9" s="86" t="s">
        <v>15</v>
      </c>
      <c r="B9" s="86">
        <v>8</v>
      </c>
      <c r="C9" s="87">
        <v>1</v>
      </c>
      <c r="D9" s="86">
        <v>2023</v>
      </c>
      <c r="E9" s="88">
        <f>'Submetering '!E9+'Submetering '!F9+'Submetering '!G9+'Submetering '!H9+'Submetering '!I9+'Submetering '!J9</f>
        <v>29862</v>
      </c>
      <c r="F9" s="323">
        <v>0.35399999999999998</v>
      </c>
      <c r="G9" s="88">
        <f>'Maldives at LG Daily'!E12</f>
        <v>315</v>
      </c>
      <c r="H9" s="89">
        <v>1.24</v>
      </c>
      <c r="I9" s="321">
        <f>'Diesel consumption'!D12</f>
        <v>7650</v>
      </c>
      <c r="J9" s="322">
        <v>1.3</v>
      </c>
      <c r="K9" s="88">
        <f>'Maldives at LG Daily'!H12</f>
        <v>7577</v>
      </c>
      <c r="L9" s="89">
        <v>0</v>
      </c>
      <c r="M9" s="88">
        <v>45</v>
      </c>
      <c r="N9" s="88">
        <f>'Submetering '!BN9</f>
        <v>334</v>
      </c>
      <c r="O9" s="88">
        <f>'Diesel consumption'!H12+'Diesel consumption'!P12</f>
        <v>1660</v>
      </c>
    </row>
    <row r="10" spans="1:15" ht="15">
      <c r="A10" s="86" t="s">
        <v>15</v>
      </c>
      <c r="B10" s="86">
        <v>9</v>
      </c>
      <c r="C10" s="87">
        <v>1</v>
      </c>
      <c r="D10" s="86">
        <v>2023</v>
      </c>
      <c r="E10" s="88">
        <f>'Submetering '!E10+'Submetering '!F10+'Submetering '!G10+'Submetering '!H10+'Submetering '!I10+'Submetering '!J10</f>
        <v>29322</v>
      </c>
      <c r="F10" s="323">
        <v>0.35399999999999998</v>
      </c>
      <c r="G10" s="88">
        <f>'Maldives at LG Daily'!E13</f>
        <v>225</v>
      </c>
      <c r="H10" s="89">
        <v>1.24</v>
      </c>
      <c r="I10" s="321">
        <f>'Diesel consumption'!D13</f>
        <v>7300</v>
      </c>
      <c r="J10" s="322">
        <v>1.3</v>
      </c>
      <c r="K10" s="88">
        <f>'Maldives at LG Daily'!H13</f>
        <v>10197</v>
      </c>
      <c r="L10" s="89">
        <v>0</v>
      </c>
      <c r="M10" s="88">
        <v>44</v>
      </c>
      <c r="N10" s="88">
        <f>'Submetering '!BN10</f>
        <v>338</v>
      </c>
      <c r="O10" s="88">
        <f>'Diesel consumption'!H13+'Diesel consumption'!P13</f>
        <v>1640</v>
      </c>
    </row>
    <row r="11" spans="1:15" ht="15">
      <c r="A11" s="86" t="s">
        <v>15</v>
      </c>
      <c r="B11" s="86">
        <v>10</v>
      </c>
      <c r="C11" s="87">
        <v>1</v>
      </c>
      <c r="D11" s="86">
        <v>2023</v>
      </c>
      <c r="E11" s="88">
        <f>'Submetering '!E11+'Submetering '!F11+'Submetering '!G11+'Submetering '!H11+'Submetering '!I11+'Submetering '!J11</f>
        <v>28708</v>
      </c>
      <c r="F11" s="323">
        <v>0.35399999999999998</v>
      </c>
      <c r="G11" s="88">
        <f>'Maldives at LG Daily'!E14</f>
        <v>270</v>
      </c>
      <c r="H11" s="89">
        <v>1.24</v>
      </c>
      <c r="I11" s="321">
        <f>'Diesel consumption'!D14</f>
        <v>7280</v>
      </c>
      <c r="J11" s="322">
        <v>1.3</v>
      </c>
      <c r="K11" s="88">
        <f>'Maldives at LG Daily'!H14</f>
        <v>6741</v>
      </c>
      <c r="L11" s="89">
        <v>0</v>
      </c>
      <c r="M11" s="88">
        <v>38</v>
      </c>
      <c r="N11" s="88">
        <f>'Submetering '!BN11</f>
        <v>285</v>
      </c>
      <c r="O11" s="88">
        <f>'Diesel consumption'!H14+'Diesel consumption'!P14</f>
        <v>1900</v>
      </c>
    </row>
    <row r="12" spans="1:15" ht="15">
      <c r="A12" s="86" t="s">
        <v>15</v>
      </c>
      <c r="B12" s="86">
        <v>11</v>
      </c>
      <c r="C12" s="87">
        <v>1</v>
      </c>
      <c r="D12" s="86">
        <v>2023</v>
      </c>
      <c r="E12" s="88">
        <f>'Submetering '!E12+'Submetering '!F12+'Submetering '!G12+'Submetering '!H12+'Submetering '!I12+'Submetering '!J12</f>
        <v>27709</v>
      </c>
      <c r="F12" s="323">
        <v>0.35399999999999998</v>
      </c>
      <c r="G12" s="88">
        <f>'Maldives at LG Daily'!E15</f>
        <v>270</v>
      </c>
      <c r="H12" s="89">
        <v>1.24</v>
      </c>
      <c r="I12" s="321">
        <f>'Diesel consumption'!D15</f>
        <v>7340</v>
      </c>
      <c r="J12" s="322">
        <v>1.3</v>
      </c>
      <c r="K12" s="88">
        <f>'Maldives at LG Daily'!H15</f>
        <v>4793</v>
      </c>
      <c r="L12" s="89">
        <v>0</v>
      </c>
      <c r="M12" s="88">
        <v>42</v>
      </c>
      <c r="N12" s="88">
        <f>'Submetering '!BN12</f>
        <v>346</v>
      </c>
      <c r="O12" s="88">
        <f>'Diesel consumption'!H15+'Diesel consumption'!P15</f>
        <v>700</v>
      </c>
    </row>
    <row r="13" spans="1:15" ht="15">
      <c r="A13" s="86" t="s">
        <v>15</v>
      </c>
      <c r="B13" s="86">
        <v>12</v>
      </c>
      <c r="C13" s="87">
        <v>1</v>
      </c>
      <c r="D13" s="86">
        <v>2023</v>
      </c>
      <c r="E13" s="88">
        <f>'Submetering '!E13+'Submetering '!F13+'Submetering '!G13+'Submetering '!H13+'Submetering '!I13+'Submetering '!J13</f>
        <v>26452</v>
      </c>
      <c r="F13" s="323">
        <v>0.35399999999999998</v>
      </c>
      <c r="G13" s="88">
        <f>'Maldives at LG Daily'!E16</f>
        <v>270</v>
      </c>
      <c r="H13" s="89">
        <v>1.24</v>
      </c>
      <c r="I13" s="321">
        <f>'Diesel consumption'!D16</f>
        <v>6740</v>
      </c>
      <c r="J13" s="322">
        <v>1.3</v>
      </c>
      <c r="K13" s="88">
        <f>'Maldives at LG Daily'!H16</f>
        <v>0</v>
      </c>
      <c r="L13" s="89">
        <v>0</v>
      </c>
      <c r="M13" s="88">
        <v>48</v>
      </c>
      <c r="N13" s="88">
        <f>'Submetering '!BN13</f>
        <v>372</v>
      </c>
      <c r="O13" s="88">
        <f>'Diesel consumption'!H16+'Diesel consumption'!P16</f>
        <v>1500</v>
      </c>
    </row>
    <row r="14" spans="1:15" ht="15">
      <c r="A14" s="86" t="s">
        <v>15</v>
      </c>
      <c r="B14" s="86">
        <v>13</v>
      </c>
      <c r="C14" s="87">
        <v>1</v>
      </c>
      <c r="D14" s="86">
        <v>2023</v>
      </c>
      <c r="E14" s="88">
        <f>'Submetering '!E14+'Submetering '!F14+'Submetering '!G14+'Submetering '!H14+'Submetering '!I14+'Submetering '!J14</f>
        <v>26492</v>
      </c>
      <c r="F14" s="323">
        <v>0.35399999999999998</v>
      </c>
      <c r="G14" s="88">
        <f>'Maldives at LG Daily'!E17</f>
        <v>270</v>
      </c>
      <c r="H14" s="89">
        <v>1.24</v>
      </c>
      <c r="I14" s="321">
        <f>'Diesel consumption'!D17</f>
        <v>6580</v>
      </c>
      <c r="J14" s="322">
        <v>1.3</v>
      </c>
      <c r="K14" s="88">
        <f>'Maldives at LG Daily'!H17</f>
        <v>7407</v>
      </c>
      <c r="L14" s="89">
        <v>0</v>
      </c>
      <c r="M14" s="88">
        <v>52</v>
      </c>
      <c r="N14" s="88">
        <f>'Submetering '!BN14</f>
        <v>381</v>
      </c>
      <c r="O14" s="88">
        <f>'Diesel consumption'!H17+'Diesel consumption'!P17</f>
        <v>900</v>
      </c>
    </row>
    <row r="15" spans="1:15" ht="15">
      <c r="A15" s="86" t="s">
        <v>15</v>
      </c>
      <c r="B15" s="86">
        <v>14</v>
      </c>
      <c r="C15" s="87">
        <v>1</v>
      </c>
      <c r="D15" s="86">
        <v>2023</v>
      </c>
      <c r="E15" s="88">
        <f>'Submetering '!E15+'Submetering '!F15+'Submetering '!G15+'Submetering '!H15+'Submetering '!I15+'Submetering '!J15</f>
        <v>26960</v>
      </c>
      <c r="F15" s="323">
        <v>0.35399999999999998</v>
      </c>
      <c r="G15" s="88">
        <f>'Maldives at LG Daily'!E18</f>
        <v>225</v>
      </c>
      <c r="H15" s="89">
        <v>1.24</v>
      </c>
      <c r="I15" s="321">
        <f>'Diesel consumption'!D18</f>
        <v>6890</v>
      </c>
      <c r="J15" s="322">
        <v>1.3</v>
      </c>
      <c r="K15" s="88">
        <f>'Maldives at LG Daily'!H18</f>
        <v>9521</v>
      </c>
      <c r="L15" s="89">
        <v>0</v>
      </c>
      <c r="M15" s="88">
        <v>55</v>
      </c>
      <c r="N15" s="88">
        <f>'Submetering '!BN15</f>
        <v>405</v>
      </c>
      <c r="O15" s="88">
        <f>'Diesel consumption'!H18+'Diesel consumption'!P18</f>
        <v>3850</v>
      </c>
    </row>
    <row r="16" spans="1:15" ht="15">
      <c r="A16" s="86" t="s">
        <v>15</v>
      </c>
      <c r="B16" s="86">
        <v>15</v>
      </c>
      <c r="C16" s="87">
        <v>1</v>
      </c>
      <c r="D16" s="86">
        <v>2023</v>
      </c>
      <c r="E16" s="88">
        <f>'Submetering '!E16+'Submetering '!F16+'Submetering '!G16+'Submetering '!H16+'Submetering '!I16+'Submetering '!J16</f>
        <v>27189</v>
      </c>
      <c r="F16" s="323">
        <v>0.35399999999999998</v>
      </c>
      <c r="G16" s="88">
        <f>'Maldives at LG Daily'!E19</f>
        <v>270</v>
      </c>
      <c r="H16" s="89">
        <v>1.24</v>
      </c>
      <c r="I16" s="321">
        <f>'Diesel consumption'!D19</f>
        <v>7040</v>
      </c>
      <c r="J16" s="322">
        <v>1.3</v>
      </c>
      <c r="K16" s="88">
        <f>'Maldives at LG Daily'!H19</f>
        <v>6215</v>
      </c>
      <c r="L16" s="89">
        <v>0</v>
      </c>
      <c r="M16" s="88">
        <v>52</v>
      </c>
      <c r="N16" s="88">
        <f>'Submetering '!BN16</f>
        <v>402</v>
      </c>
      <c r="O16" s="88">
        <f>'Diesel consumption'!H19+'Diesel consumption'!P19</f>
        <v>1330</v>
      </c>
    </row>
    <row r="17" spans="1:15" ht="15">
      <c r="A17" s="86" t="s">
        <v>15</v>
      </c>
      <c r="B17" s="86">
        <v>16</v>
      </c>
      <c r="C17" s="87">
        <v>1</v>
      </c>
      <c r="D17" s="86">
        <v>2023</v>
      </c>
      <c r="E17" s="88">
        <f>'Submetering '!E17+'Submetering '!F17+'Submetering '!G17+'Submetering '!H17+'Submetering '!I17+'Submetering '!J17</f>
        <v>28515</v>
      </c>
      <c r="F17" s="323">
        <v>0.35399999999999998</v>
      </c>
      <c r="G17" s="88">
        <f>'Maldives at LG Daily'!E20</f>
        <v>270</v>
      </c>
      <c r="H17" s="89">
        <v>1.24</v>
      </c>
      <c r="I17" s="321">
        <f>'Diesel consumption'!D20</f>
        <v>7040</v>
      </c>
      <c r="J17" s="322">
        <v>1.3</v>
      </c>
      <c r="K17" s="88">
        <f>'Maldives at LG Daily'!H20</f>
        <v>7147</v>
      </c>
      <c r="L17" s="89">
        <v>0</v>
      </c>
      <c r="M17" s="88">
        <v>43</v>
      </c>
      <c r="N17" s="88">
        <f>'Submetering '!BN17</f>
        <v>302</v>
      </c>
      <c r="O17" s="88">
        <f>'Diesel consumption'!H20+'Diesel consumption'!P20</f>
        <v>4310</v>
      </c>
    </row>
    <row r="18" spans="1:15" ht="15">
      <c r="A18" s="86" t="s">
        <v>15</v>
      </c>
      <c r="B18" s="86">
        <v>17</v>
      </c>
      <c r="C18" s="87">
        <v>1</v>
      </c>
      <c r="D18" s="86">
        <v>2023</v>
      </c>
      <c r="E18" s="88">
        <f>'Submetering '!E18+'Submetering '!F18+'Submetering '!G18+'Submetering '!H18+'Submetering '!I18+'Submetering '!J18</f>
        <v>28857</v>
      </c>
      <c r="F18" s="323">
        <v>0.35399999999999998</v>
      </c>
      <c r="G18" s="88">
        <f>'Maldives at LG Daily'!E21</f>
        <v>270</v>
      </c>
      <c r="H18" s="89">
        <v>1.24</v>
      </c>
      <c r="I18" s="321">
        <f>'Diesel consumption'!D21</f>
        <v>7280</v>
      </c>
      <c r="J18" s="322">
        <v>1.3</v>
      </c>
      <c r="K18" s="88">
        <f>'Maldives at LG Daily'!H21</f>
        <v>4611</v>
      </c>
      <c r="L18" s="89">
        <v>0</v>
      </c>
      <c r="M18" s="88">
        <v>74</v>
      </c>
      <c r="N18" s="88">
        <f>'Submetering '!BN18</f>
        <v>424</v>
      </c>
      <c r="O18" s="88">
        <f>'Diesel consumption'!H21+'Diesel consumption'!P21</f>
        <v>1670</v>
      </c>
    </row>
    <row r="19" spans="1:15" ht="15">
      <c r="A19" s="86" t="s">
        <v>15</v>
      </c>
      <c r="B19" s="86">
        <v>18</v>
      </c>
      <c r="C19" s="87">
        <v>1</v>
      </c>
      <c r="D19" s="86">
        <v>2023</v>
      </c>
      <c r="E19" s="88">
        <f>'Submetering '!E19+'Submetering '!F19+'Submetering '!G19+'Submetering '!H19+'Submetering '!I19+'Submetering '!J19</f>
        <v>29980</v>
      </c>
      <c r="F19" s="323">
        <v>0.35399999999999998</v>
      </c>
      <c r="G19" s="88">
        <f>'Maldives at LG Daily'!E22</f>
        <v>225</v>
      </c>
      <c r="H19" s="89">
        <v>1.24</v>
      </c>
      <c r="I19" s="321">
        <f>'Diesel consumption'!D22</f>
        <v>7820</v>
      </c>
      <c r="J19" s="322">
        <v>1.3</v>
      </c>
      <c r="K19" s="88">
        <f>'Maldives at LG Daily'!H22</f>
        <v>6587</v>
      </c>
      <c r="L19" s="89">
        <v>0</v>
      </c>
      <c r="M19" s="88">
        <v>71</v>
      </c>
      <c r="N19" s="88">
        <f>'Submetering '!BN19</f>
        <v>469</v>
      </c>
      <c r="O19" s="88">
        <f>'Diesel consumption'!H22+'Diesel consumption'!P22</f>
        <v>3200</v>
      </c>
    </row>
    <row r="20" spans="1:15" ht="15">
      <c r="A20" s="86" t="s">
        <v>15</v>
      </c>
      <c r="B20" s="86">
        <v>19</v>
      </c>
      <c r="C20" s="87">
        <v>1</v>
      </c>
      <c r="D20" s="86">
        <v>2023</v>
      </c>
      <c r="E20" s="88">
        <f>'Submetering '!E20+'Submetering '!F20+'Submetering '!G20+'Submetering '!H20+'Submetering '!I20+'Submetering '!J20</f>
        <v>31142</v>
      </c>
      <c r="F20" s="323">
        <v>0.35399999999999998</v>
      </c>
      <c r="G20" s="88">
        <f>'Maldives at LG Daily'!E23</f>
        <v>315</v>
      </c>
      <c r="H20" s="89">
        <v>1.24</v>
      </c>
      <c r="I20" s="321">
        <f>'Diesel consumption'!D23</f>
        <v>7930</v>
      </c>
      <c r="J20" s="322">
        <v>1.3</v>
      </c>
      <c r="K20" s="88">
        <f>'Maldives at LG Daily'!H23</f>
        <v>6537</v>
      </c>
      <c r="L20" s="89">
        <v>0</v>
      </c>
      <c r="M20" s="88">
        <v>80</v>
      </c>
      <c r="N20" s="88">
        <f>'Submetering '!BN20</f>
        <v>566</v>
      </c>
      <c r="O20" s="88">
        <f>'Diesel consumption'!H23+'Diesel consumption'!P23</f>
        <v>2530</v>
      </c>
    </row>
    <row r="21" spans="1:15" ht="15">
      <c r="A21" s="86" t="s">
        <v>15</v>
      </c>
      <c r="B21" s="86">
        <v>20</v>
      </c>
      <c r="C21" s="87">
        <v>1</v>
      </c>
      <c r="D21" s="86">
        <v>2023</v>
      </c>
      <c r="E21" s="88">
        <f>'Submetering '!E21+'Submetering '!F21+'Submetering '!G21+'Submetering '!H21+'Submetering '!I21+'Submetering '!J21</f>
        <v>29982</v>
      </c>
      <c r="F21" s="323">
        <v>0.35399999999999998</v>
      </c>
      <c r="G21" s="88">
        <f>'Maldives at LG Daily'!E24</f>
        <v>225</v>
      </c>
      <c r="H21" s="89">
        <v>1.24</v>
      </c>
      <c r="I21" s="321">
        <f>'Diesel consumption'!D24</f>
        <v>7670</v>
      </c>
      <c r="J21" s="322">
        <v>1.3</v>
      </c>
      <c r="K21" s="88">
        <f>'Maldives at LG Daily'!H24</f>
        <v>10374</v>
      </c>
      <c r="L21" s="89">
        <v>0</v>
      </c>
      <c r="M21" s="88">
        <v>58</v>
      </c>
      <c r="N21" s="88">
        <f>'Submetering '!BN21</f>
        <v>348</v>
      </c>
      <c r="O21" s="88">
        <f>'Diesel consumption'!H24+'Diesel consumption'!P24</f>
        <v>2720</v>
      </c>
    </row>
    <row r="22" spans="1:15" ht="15">
      <c r="A22" s="86" t="s">
        <v>15</v>
      </c>
      <c r="B22" s="86">
        <v>21</v>
      </c>
      <c r="C22" s="87">
        <v>1</v>
      </c>
      <c r="D22" s="86">
        <v>2023</v>
      </c>
      <c r="E22" s="88">
        <f>'Submetering '!E22+'Submetering '!F22+'Submetering '!G22+'Submetering '!H22+'Submetering '!I22+'Submetering '!J22</f>
        <v>27146</v>
      </c>
      <c r="F22" s="323">
        <v>0.35399999999999998</v>
      </c>
      <c r="G22" s="88">
        <f>'Maldives at LG Daily'!E25</f>
        <v>315</v>
      </c>
      <c r="H22" s="89">
        <v>1.24</v>
      </c>
      <c r="I22" s="321">
        <f>'Diesel consumption'!D25</f>
        <v>6730</v>
      </c>
      <c r="J22" s="322">
        <v>1.3</v>
      </c>
      <c r="K22" s="88">
        <f>'Maldives at LG Daily'!H25</f>
        <v>5550</v>
      </c>
      <c r="L22" s="89">
        <v>0</v>
      </c>
      <c r="M22" s="88">
        <v>68</v>
      </c>
      <c r="N22" s="88">
        <f>'Submetering '!BN22</f>
        <v>408</v>
      </c>
      <c r="O22" s="88">
        <f>'Diesel consumption'!H25+'Diesel consumption'!P25</f>
        <v>2380</v>
      </c>
    </row>
    <row r="23" spans="1:15" ht="15">
      <c r="A23" s="86" t="s">
        <v>15</v>
      </c>
      <c r="B23" s="86">
        <v>22</v>
      </c>
      <c r="C23" s="87">
        <v>1</v>
      </c>
      <c r="D23" s="86">
        <v>2023</v>
      </c>
      <c r="E23" s="88">
        <f>'Submetering '!E23+'Submetering '!F23+'Submetering '!G23+'Submetering '!H23+'Submetering '!I23+'Submetering '!J23</f>
        <v>30149</v>
      </c>
      <c r="F23" s="323">
        <v>0.35399999999999998</v>
      </c>
      <c r="G23" s="88">
        <f>'Maldives at LG Daily'!E26</f>
        <v>315</v>
      </c>
      <c r="H23" s="89">
        <v>1.24</v>
      </c>
      <c r="I23" s="321">
        <f>'Diesel consumption'!D26</f>
        <v>7680</v>
      </c>
      <c r="J23" s="322">
        <v>1.3</v>
      </c>
      <c r="K23" s="88">
        <f>'Maldives at LG Daily'!H26</f>
        <v>7392</v>
      </c>
      <c r="L23" s="89">
        <v>0</v>
      </c>
      <c r="M23" s="88">
        <v>60</v>
      </c>
      <c r="N23" s="88">
        <f>'Submetering '!BN23</f>
        <v>421</v>
      </c>
      <c r="O23" s="88">
        <f>'Diesel consumption'!H26+'Diesel consumption'!P26</f>
        <v>3750</v>
      </c>
    </row>
    <row r="24" spans="1:15" ht="15">
      <c r="A24" s="86" t="s">
        <v>15</v>
      </c>
      <c r="B24" s="86">
        <v>23</v>
      </c>
      <c r="C24" s="87">
        <v>1</v>
      </c>
      <c r="D24" s="86">
        <v>2023</v>
      </c>
      <c r="E24" s="88">
        <f>'Submetering '!E24+'Submetering '!F24+'Submetering '!G24+'Submetering '!H24+'Submetering '!I24+'Submetering '!J24</f>
        <v>29806</v>
      </c>
      <c r="F24" s="323">
        <v>0.35399999999999998</v>
      </c>
      <c r="G24" s="88">
        <f>'Maldives at LG Daily'!E27</f>
        <v>225</v>
      </c>
      <c r="H24" s="89">
        <v>1.24</v>
      </c>
      <c r="I24" s="321">
        <f>'Diesel consumption'!D27</f>
        <v>7630</v>
      </c>
      <c r="J24" s="322">
        <v>1.3</v>
      </c>
      <c r="K24" s="88">
        <f>'Maldives at LG Daily'!H27</f>
        <v>5612</v>
      </c>
      <c r="L24" s="89">
        <v>0</v>
      </c>
      <c r="M24" s="88">
        <v>50</v>
      </c>
      <c r="N24" s="88">
        <f>'Submetering '!BN24</f>
        <v>372</v>
      </c>
      <c r="O24" s="88">
        <f>'Diesel consumption'!H27+'Diesel consumption'!P27</f>
        <v>2700</v>
      </c>
    </row>
    <row r="25" spans="1:15" ht="15">
      <c r="A25" s="86" t="s">
        <v>15</v>
      </c>
      <c r="B25" s="86">
        <v>24</v>
      </c>
      <c r="C25" s="87">
        <v>1</v>
      </c>
      <c r="D25" s="86">
        <v>2023</v>
      </c>
      <c r="E25" s="88">
        <f>'Submetering '!E25+'Submetering '!F25+'Submetering '!G25+'Submetering '!H25+'Submetering '!I25+'Submetering '!J25</f>
        <v>26820</v>
      </c>
      <c r="F25" s="323">
        <v>0.35399999999999998</v>
      </c>
      <c r="G25" s="88">
        <f>'Maldives at LG Daily'!E28</f>
        <v>315</v>
      </c>
      <c r="H25" s="89">
        <v>1.24</v>
      </c>
      <c r="I25" s="321">
        <f>'Diesel consumption'!D28</f>
        <v>7140</v>
      </c>
      <c r="J25" s="322">
        <v>1.3</v>
      </c>
      <c r="K25" s="88">
        <f>'Maldives at LG Daily'!H28</f>
        <v>9994</v>
      </c>
      <c r="L25" s="89">
        <v>0</v>
      </c>
      <c r="M25" s="88">
        <v>47</v>
      </c>
      <c r="N25" s="88">
        <f>'Submetering '!BN25</f>
        <v>360</v>
      </c>
      <c r="O25" s="88">
        <f>'Diesel consumption'!H28+'Diesel consumption'!P28</f>
        <v>1780</v>
      </c>
    </row>
    <row r="26" spans="1:15" ht="15">
      <c r="A26" s="86" t="s">
        <v>15</v>
      </c>
      <c r="B26" s="86">
        <v>25</v>
      </c>
      <c r="C26" s="87">
        <v>1</v>
      </c>
      <c r="D26" s="86">
        <v>2023</v>
      </c>
      <c r="E26" s="88">
        <f>'Submetering '!E26+'Submetering '!F26+'Submetering '!G26+'Submetering '!H26+'Submetering '!I26+'Submetering '!J26</f>
        <v>27189</v>
      </c>
      <c r="F26" s="323">
        <v>0.35399999999999998</v>
      </c>
      <c r="G26" s="88">
        <f>'Maldives at LG Daily'!E29</f>
        <v>315</v>
      </c>
      <c r="H26" s="89">
        <v>1.24</v>
      </c>
      <c r="I26" s="321">
        <f>'Diesel consumption'!D29</f>
        <v>7000</v>
      </c>
      <c r="J26" s="322">
        <v>1.3</v>
      </c>
      <c r="K26" s="88">
        <f>'Maldives at LG Daily'!H29</f>
        <v>9298</v>
      </c>
      <c r="L26" s="89">
        <v>0</v>
      </c>
      <c r="M26" s="88">
        <v>46</v>
      </c>
      <c r="N26" s="88">
        <f>'Submetering '!BN26</f>
        <v>352</v>
      </c>
      <c r="O26" s="88">
        <f>'Diesel consumption'!H29+'Diesel consumption'!P29</f>
        <v>1310</v>
      </c>
    </row>
    <row r="27" spans="1:15" ht="15">
      <c r="A27" s="86" t="s">
        <v>15</v>
      </c>
      <c r="B27" s="86">
        <v>26</v>
      </c>
      <c r="C27" s="87">
        <v>1</v>
      </c>
      <c r="D27" s="86">
        <v>2023</v>
      </c>
      <c r="E27" s="88">
        <f>'Submetering '!E27+'Submetering '!F27+'Submetering '!G27+'Submetering '!H27+'Submetering '!I27+'Submetering '!J27</f>
        <v>27186</v>
      </c>
      <c r="F27" s="323">
        <v>0.35399999999999998</v>
      </c>
      <c r="G27" s="88">
        <f>'Maldives at LG Daily'!E30</f>
        <v>225</v>
      </c>
      <c r="H27" s="89">
        <v>1.24</v>
      </c>
      <c r="I27" s="321">
        <f>'Diesel consumption'!D30</f>
        <v>6720</v>
      </c>
      <c r="J27" s="322">
        <v>1.3</v>
      </c>
      <c r="K27" s="88">
        <f>'Maldives at LG Daily'!H30</f>
        <v>8782</v>
      </c>
      <c r="L27" s="89">
        <v>0</v>
      </c>
      <c r="M27" s="88">
        <v>46</v>
      </c>
      <c r="N27" s="88">
        <f>'Submetering '!BN27</f>
        <v>359</v>
      </c>
      <c r="O27" s="88">
        <f>'Diesel consumption'!H30+'Diesel consumption'!P30</f>
        <v>2880</v>
      </c>
    </row>
    <row r="28" spans="1:15" ht="15">
      <c r="A28" s="86" t="s">
        <v>15</v>
      </c>
      <c r="B28" s="86">
        <v>27</v>
      </c>
      <c r="C28" s="87">
        <v>1</v>
      </c>
      <c r="D28" s="86">
        <v>2023</v>
      </c>
      <c r="E28" s="88">
        <f>'Submetering '!E28+'Submetering '!F28+'Submetering '!G28+'Submetering '!H28+'Submetering '!I28+'Submetering '!J28</f>
        <v>28496</v>
      </c>
      <c r="F28" s="323">
        <v>0.35399999999999998</v>
      </c>
      <c r="G28" s="88">
        <f>'Maldives at LG Daily'!E31</f>
        <v>315</v>
      </c>
      <c r="H28" s="89">
        <v>1.24</v>
      </c>
      <c r="I28" s="321">
        <f>'Diesel consumption'!D31</f>
        <v>7330</v>
      </c>
      <c r="J28" s="322">
        <v>1.3</v>
      </c>
      <c r="K28" s="88">
        <f>'Maldives at LG Daily'!H31</f>
        <v>9188</v>
      </c>
      <c r="L28" s="89">
        <v>0</v>
      </c>
      <c r="M28" s="88">
        <v>46</v>
      </c>
      <c r="N28" s="88">
        <f>'Submetering '!BN28</f>
        <v>332</v>
      </c>
      <c r="O28" s="88">
        <f>'Diesel consumption'!H31+'Diesel consumption'!P31</f>
        <v>1850</v>
      </c>
    </row>
    <row r="29" spans="1:15" ht="15">
      <c r="A29" s="86" t="s">
        <v>15</v>
      </c>
      <c r="B29" s="86">
        <v>28</v>
      </c>
      <c r="C29" s="87">
        <v>1</v>
      </c>
      <c r="D29" s="86">
        <v>2023</v>
      </c>
      <c r="E29" s="88">
        <f>'Submetering '!E29+'Submetering '!F29+'Submetering '!G29+'Submetering '!H29+'Submetering '!I29+'Submetering '!J29</f>
        <v>27697</v>
      </c>
      <c r="F29" s="323">
        <v>0.35399999999999998</v>
      </c>
      <c r="G29" s="88">
        <f>'Maldives at LG Daily'!E32</f>
        <v>270</v>
      </c>
      <c r="H29" s="89">
        <v>1.24</v>
      </c>
      <c r="I29" s="321">
        <f>'Diesel consumption'!D32</f>
        <v>6980</v>
      </c>
      <c r="J29" s="322">
        <v>1.3</v>
      </c>
      <c r="K29" s="88">
        <f>'Maldives at LG Daily'!H32</f>
        <v>6722</v>
      </c>
      <c r="L29" s="89">
        <v>0</v>
      </c>
      <c r="M29" s="88">
        <v>46</v>
      </c>
      <c r="N29" s="88">
        <f>'Submetering '!BN29</f>
        <v>330</v>
      </c>
      <c r="O29" s="88">
        <f>'Diesel consumption'!H32+'Diesel consumption'!P32</f>
        <v>1230</v>
      </c>
    </row>
    <row r="30" spans="1:15" ht="15">
      <c r="A30" s="86" t="s">
        <v>15</v>
      </c>
      <c r="B30" s="86">
        <v>29</v>
      </c>
      <c r="C30" s="87">
        <v>1</v>
      </c>
      <c r="D30" s="86">
        <v>2023</v>
      </c>
      <c r="E30" s="88">
        <f>'Submetering '!E30+'Submetering '!F30+'Submetering '!G30+'Submetering '!H30+'Submetering '!I30+'Submetering '!J30</f>
        <v>26535</v>
      </c>
      <c r="F30" s="323">
        <v>0.35399999999999998</v>
      </c>
      <c r="G30" s="88">
        <f>'Maldives at LG Daily'!E33</f>
        <v>315</v>
      </c>
      <c r="H30" s="89">
        <v>1.24</v>
      </c>
      <c r="I30" s="321">
        <f>'Diesel consumption'!D33</f>
        <v>7030</v>
      </c>
      <c r="J30" s="322">
        <v>1.3</v>
      </c>
      <c r="K30" s="88">
        <f>'Maldives at LG Daily'!H33</f>
        <v>13884</v>
      </c>
      <c r="L30" s="89">
        <v>0</v>
      </c>
      <c r="M30" s="88">
        <v>47</v>
      </c>
      <c r="N30" s="88">
        <f>'Submetering '!BN30</f>
        <v>318</v>
      </c>
      <c r="O30" s="88">
        <f>'Diesel consumption'!H33+'Diesel consumption'!P33</f>
        <v>710</v>
      </c>
    </row>
    <row r="31" spans="1:15" ht="15">
      <c r="A31" s="86" t="s">
        <v>15</v>
      </c>
      <c r="B31" s="86">
        <v>30</v>
      </c>
      <c r="C31" s="87">
        <v>1</v>
      </c>
      <c r="D31" s="86">
        <v>2023</v>
      </c>
      <c r="E31" s="88">
        <f>'Submetering '!E31+'Submetering '!F31+'Submetering '!G31+'Submetering '!H31+'Submetering '!I31+'Submetering '!J31</f>
        <v>26966</v>
      </c>
      <c r="F31" s="323">
        <v>0.35399999999999998</v>
      </c>
      <c r="G31" s="88">
        <f>'Maldives at LG Daily'!E34</f>
        <v>315</v>
      </c>
      <c r="H31" s="89">
        <v>2.2400000000000002</v>
      </c>
      <c r="I31" s="321">
        <f>'Diesel consumption'!D34</f>
        <v>6830</v>
      </c>
      <c r="J31" s="322">
        <v>1.3</v>
      </c>
      <c r="K31" s="88">
        <f>'Maldives at LG Daily'!H34</f>
        <v>14341</v>
      </c>
      <c r="L31" s="89">
        <v>1</v>
      </c>
      <c r="M31" s="88">
        <v>47</v>
      </c>
      <c r="N31" s="88">
        <f>'Submetering '!BN31</f>
        <v>302</v>
      </c>
      <c r="O31" s="88">
        <f>'Diesel consumption'!H34+'Diesel consumption'!P34</f>
        <v>2650</v>
      </c>
    </row>
    <row r="32" spans="1:15" ht="15">
      <c r="A32" s="86" t="s">
        <v>15</v>
      </c>
      <c r="B32" s="86">
        <v>31</v>
      </c>
      <c r="C32" s="87">
        <v>1</v>
      </c>
      <c r="D32" s="86">
        <v>2023</v>
      </c>
      <c r="E32" s="88">
        <f>'Submetering '!E32+'Submetering '!F32+'Submetering '!G32+'Submetering '!H32+'Submetering '!I32+'Submetering '!J32</f>
        <v>28139</v>
      </c>
      <c r="F32" s="323">
        <v>0.35399999999999998</v>
      </c>
      <c r="G32" s="88">
        <f>'Maldives at LG Daily'!E35</f>
        <v>225</v>
      </c>
      <c r="H32" s="89">
        <v>1.24</v>
      </c>
      <c r="I32" s="321">
        <f>'Diesel consumption'!D35</f>
        <v>7010</v>
      </c>
      <c r="J32" s="322">
        <v>1.3</v>
      </c>
      <c r="K32" s="88">
        <f>'Maldives at LG Daily'!H36</f>
        <v>0</v>
      </c>
      <c r="L32" s="89">
        <v>0</v>
      </c>
      <c r="M32" s="88">
        <v>51</v>
      </c>
      <c r="N32" s="88">
        <f>'Submetering '!BN32</f>
        <v>317</v>
      </c>
      <c r="O32" s="88">
        <f>'Diesel consumption'!H35+'Diesel consumption'!P35</f>
        <v>2430</v>
      </c>
    </row>
    <row r="33" spans="13:15">
      <c r="M33" s="377">
        <f>SUM(M2:M32)</f>
        <v>1828</v>
      </c>
      <c r="N33" s="377">
        <f>SUM(N2:N32)</f>
        <v>13333</v>
      </c>
      <c r="O33" s="377">
        <f>SUM(O2:O32)</f>
        <v>64580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A208-84A1-4C73-957F-933647BB7C87}">
  <sheetPr>
    <tabColor rgb="FFFF0000"/>
  </sheetPr>
  <dimension ref="A1:BN32"/>
  <sheetViews>
    <sheetView workbookViewId="0">
      <selection activeCell="F24" sqref="F24:J24"/>
    </sheetView>
  </sheetViews>
  <sheetFormatPr defaultRowHeight="12.75"/>
  <cols>
    <col min="1" max="1" width="27.42578125" style="90" bestFit="1" customWidth="1"/>
    <col min="2" max="4" width="9.140625" style="90"/>
    <col min="5" max="5" width="9.5703125" style="90" bestFit="1" customWidth="1"/>
    <col min="6" max="6" width="10.7109375" style="90" customWidth="1"/>
    <col min="7" max="7" width="12.140625" style="90" customWidth="1"/>
    <col min="8" max="9" width="9.140625" style="90"/>
    <col min="10" max="10" width="10.85546875" style="90" customWidth="1"/>
    <col min="11" max="11" width="11.28515625" style="90" customWidth="1"/>
    <col min="12" max="16384" width="9.140625" style="90"/>
  </cols>
  <sheetData>
    <row r="1" spans="1:66" ht="90.75" thickBot="1">
      <c r="A1" s="304" t="s">
        <v>0</v>
      </c>
      <c r="B1" s="304" t="s">
        <v>1</v>
      </c>
      <c r="C1" s="305" t="s">
        <v>2</v>
      </c>
      <c r="D1" s="304" t="s">
        <v>3</v>
      </c>
      <c r="E1" s="304" t="s">
        <v>16</v>
      </c>
      <c r="F1" s="306" t="s">
        <v>17</v>
      </c>
      <c r="G1" s="307" t="s">
        <v>18</v>
      </c>
      <c r="H1" s="306" t="s">
        <v>19</v>
      </c>
      <c r="I1" s="307" t="s">
        <v>20</v>
      </c>
      <c r="J1" s="306" t="s">
        <v>21</v>
      </c>
      <c r="K1" s="306" t="s">
        <v>22</v>
      </c>
      <c r="L1" s="304" t="s">
        <v>23</v>
      </c>
      <c r="M1" s="304" t="s">
        <v>24</v>
      </c>
      <c r="N1" s="308" t="s">
        <v>25</v>
      </c>
      <c r="O1" s="308" t="s">
        <v>26</v>
      </c>
      <c r="P1" s="308" t="s">
        <v>27</v>
      </c>
      <c r="Q1" s="308" t="s">
        <v>28</v>
      </c>
      <c r="R1" s="308" t="s">
        <v>29</v>
      </c>
      <c r="S1" s="308" t="s">
        <v>30</v>
      </c>
      <c r="T1" s="308" t="s">
        <v>31</v>
      </c>
      <c r="U1" s="308" t="s">
        <v>32</v>
      </c>
      <c r="V1" s="308" t="s">
        <v>33</v>
      </c>
      <c r="W1" s="308" t="s">
        <v>34</v>
      </c>
      <c r="X1" s="308" t="s">
        <v>35</v>
      </c>
      <c r="Y1" s="308" t="s">
        <v>36</v>
      </c>
      <c r="Z1" s="308" t="s">
        <v>37</v>
      </c>
      <c r="AA1" s="308" t="s">
        <v>38</v>
      </c>
      <c r="AB1" s="308" t="s">
        <v>39</v>
      </c>
      <c r="AC1" s="308" t="s">
        <v>40</v>
      </c>
      <c r="AD1" s="308" t="s">
        <v>41</v>
      </c>
      <c r="AE1" s="308" t="s">
        <v>42</v>
      </c>
      <c r="AF1" s="308" t="s">
        <v>43</v>
      </c>
      <c r="AG1" s="308" t="s">
        <v>44</v>
      </c>
      <c r="AH1" s="308" t="s">
        <v>45</v>
      </c>
      <c r="AI1" s="308" t="s">
        <v>46</v>
      </c>
      <c r="AJ1" s="308" t="s">
        <v>47</v>
      </c>
      <c r="AK1" s="308" t="s">
        <v>48</v>
      </c>
      <c r="AL1" s="308" t="s">
        <v>49</v>
      </c>
      <c r="AM1" s="308" t="s">
        <v>50</v>
      </c>
      <c r="AN1" s="309" t="s">
        <v>51</v>
      </c>
      <c r="AO1" s="309" t="s">
        <v>52</v>
      </c>
      <c r="AP1" s="309" t="s">
        <v>53</v>
      </c>
      <c r="AQ1" s="309" t="s">
        <v>54</v>
      </c>
      <c r="AR1" s="309" t="s">
        <v>55</v>
      </c>
      <c r="AS1" s="309" t="s">
        <v>56</v>
      </c>
      <c r="AT1" s="309" t="s">
        <v>57</v>
      </c>
      <c r="AU1" s="309" t="s">
        <v>58</v>
      </c>
      <c r="AV1" s="309" t="s">
        <v>59</v>
      </c>
      <c r="AW1" s="309" t="s">
        <v>60</v>
      </c>
      <c r="AX1" s="309" t="s">
        <v>61</v>
      </c>
      <c r="AY1" s="309" t="s">
        <v>62</v>
      </c>
      <c r="AZ1" s="309" t="s">
        <v>63</v>
      </c>
      <c r="BA1" s="309" t="s">
        <v>64</v>
      </c>
      <c r="BB1" s="309" t="s">
        <v>65</v>
      </c>
      <c r="BC1" s="309" t="s">
        <v>66</v>
      </c>
      <c r="BD1" s="309" t="s">
        <v>67</v>
      </c>
      <c r="BE1" s="309" t="s">
        <v>68</v>
      </c>
      <c r="BF1" s="309" t="s">
        <v>69</v>
      </c>
      <c r="BG1" s="309" t="s">
        <v>70</v>
      </c>
      <c r="BH1" s="309" t="s">
        <v>71</v>
      </c>
      <c r="BI1" s="309" t="s">
        <v>72</v>
      </c>
      <c r="BJ1" s="309" t="s">
        <v>73</v>
      </c>
      <c r="BK1" s="309" t="s">
        <v>74</v>
      </c>
      <c r="BL1" s="309" t="s">
        <v>75</v>
      </c>
      <c r="BM1" s="309" t="s">
        <v>76</v>
      </c>
      <c r="BN1" s="309" t="s">
        <v>77</v>
      </c>
    </row>
    <row r="2" spans="1:66" ht="16.5" thickTop="1" thickBot="1">
      <c r="A2" s="310" t="s">
        <v>15</v>
      </c>
      <c r="B2" s="310">
        <v>1</v>
      </c>
      <c r="C2" s="311">
        <f>TOTAL!C2</f>
        <v>1</v>
      </c>
      <c r="D2" s="310">
        <f>TOTAL!D2</f>
        <v>2023</v>
      </c>
      <c r="E2" s="312">
        <f>'SOLAR METER READING'!D9</f>
        <v>2990</v>
      </c>
      <c r="F2" s="312">
        <f>'Maldives at LG Daily'!G5</f>
        <v>6308</v>
      </c>
      <c r="G2" s="312">
        <f>'Maldives at LG Daily'!H5</f>
        <v>9389</v>
      </c>
      <c r="H2" s="312">
        <f>'Maldives at LG Daily'!I5</f>
        <v>5488</v>
      </c>
      <c r="I2" s="312">
        <f>'Maldives at LG Daily'!J5</f>
        <v>2984</v>
      </c>
      <c r="J2" s="312">
        <f>'Maldives at LG Daily'!K5</f>
        <v>5985</v>
      </c>
      <c r="K2" s="312">
        <f>'Maldives at LG Daily'!L5</f>
        <v>4416</v>
      </c>
      <c r="L2" s="312">
        <f>'Maldives at LG Daily'!M5</f>
        <v>4900</v>
      </c>
      <c r="M2" s="312">
        <f>'Maldives at LG Daily'!N5</f>
        <v>12450</v>
      </c>
      <c r="N2" s="312">
        <f>'Maldives at LG Daily'!O5</f>
        <v>2500</v>
      </c>
      <c r="O2" s="312">
        <f>'Maldives at LG Daily'!P5</f>
        <v>3072</v>
      </c>
      <c r="P2" s="312">
        <f>'Maldives at LG Daily'!Q5</f>
        <v>2200</v>
      </c>
      <c r="Q2" s="312">
        <f>'Maldives at LG Daily'!R5</f>
        <v>484</v>
      </c>
      <c r="R2" s="312">
        <f>'Maldives at LG Daily'!S5</f>
        <v>700</v>
      </c>
      <c r="S2" s="312">
        <f>'Maldives at LG Daily'!T5</f>
        <v>2900</v>
      </c>
      <c r="T2" s="312">
        <f>'Maldives at LG Daily'!U5</f>
        <v>417</v>
      </c>
      <c r="U2" s="312">
        <f>'Maldives at LG Daily'!V5</f>
        <v>300</v>
      </c>
      <c r="V2" s="312">
        <f>'Maldives at LG Daily'!W5</f>
        <v>300</v>
      </c>
      <c r="W2" s="312">
        <f>'Maldives at LG Daily'!X5</f>
        <v>500</v>
      </c>
      <c r="X2" s="312">
        <f>'Maldives at LG Daily'!Y5</f>
        <v>200</v>
      </c>
      <c r="Y2" s="312">
        <f>'Maldives at LG Daily'!Z5</f>
        <v>350</v>
      </c>
      <c r="Z2" s="312">
        <f>'Maldives at LG Daily'!AA5</f>
        <v>1200</v>
      </c>
      <c r="AA2" s="312">
        <f>'Maldives at LG Daily'!AB5</f>
        <v>430</v>
      </c>
      <c r="AB2" s="312">
        <f>'Maldives at LG Daily'!AC5</f>
        <v>1100</v>
      </c>
      <c r="AC2" s="312">
        <f>'Maldives at LG Daily'!AD5</f>
        <v>1090</v>
      </c>
      <c r="AD2" s="312">
        <f>'Maldives at LG Daily'!AE5</f>
        <v>1100</v>
      </c>
      <c r="AE2" s="312">
        <f>'Maldives at LG Daily'!AF5</f>
        <v>1100</v>
      </c>
      <c r="AF2" s="312">
        <f>'Maldives at LG Daily'!AG5</f>
        <v>910</v>
      </c>
      <c r="AG2" s="312">
        <f>'Maldives at LG Daily'!AH5</f>
        <v>730</v>
      </c>
      <c r="AH2" s="312">
        <f>'Maldives at LG Daily'!AI5</f>
        <v>390</v>
      </c>
      <c r="AI2" s="312">
        <f>'Maldives at LG Daily'!AJ5</f>
        <v>150</v>
      </c>
      <c r="AJ2" s="312">
        <f>'Maldives at LG Daily'!AK5</f>
        <v>1030</v>
      </c>
      <c r="AK2" s="312">
        <f>'Maldives at LG Daily'!AL5</f>
        <v>290</v>
      </c>
      <c r="AL2" s="312">
        <f>'Maldives at LG Daily'!AM5</f>
        <v>720</v>
      </c>
      <c r="AM2" s="312">
        <f>'Maldives at LG Daily'!AN5</f>
        <v>1110</v>
      </c>
      <c r="AN2" s="312">
        <f>'Maldives at LG Daily'!AQ5</f>
        <v>243</v>
      </c>
      <c r="AO2" s="312">
        <f>'Maldives at LG Daily'!AR5</f>
        <v>73</v>
      </c>
      <c r="AP2" s="312">
        <f>'Maldives at LG Daily'!AS5</f>
        <v>0</v>
      </c>
      <c r="AQ2" s="312">
        <f>'Maldives at LG Daily'!AT5</f>
        <v>75</v>
      </c>
      <c r="AR2" s="312">
        <f>'Maldives at LG Daily'!AU5</f>
        <v>38</v>
      </c>
      <c r="AS2" s="312">
        <f>'Maldives at LG Daily'!AV5</f>
        <v>7</v>
      </c>
      <c r="AT2" s="312">
        <f>'Maldives at LG Daily'!AW5</f>
        <v>5</v>
      </c>
      <c r="AU2" s="312">
        <f>'Maldives at LG Daily'!AX5</f>
        <v>11</v>
      </c>
      <c r="AV2" s="312">
        <f>'Maldives at LG Daily'!AY5</f>
        <v>9</v>
      </c>
      <c r="AW2" s="312">
        <f>'Maldives at LG Daily'!AZ5</f>
        <v>6</v>
      </c>
      <c r="AX2" s="312">
        <f>'Maldives at LG Daily'!BA5</f>
        <v>8</v>
      </c>
      <c r="AY2" s="312">
        <f>'Maldives at LG Daily'!BB5</f>
        <v>8</v>
      </c>
      <c r="AZ2" s="312">
        <f>'Maldives at LG Daily'!BC5</f>
        <v>4</v>
      </c>
      <c r="BA2" s="312">
        <f>'Maldives at LG Daily'!BD5</f>
        <v>0</v>
      </c>
      <c r="BB2" s="312">
        <f>'Maldives at LG Daily'!BE5</f>
        <v>3</v>
      </c>
      <c r="BC2" s="312">
        <f>'Maldives at LG Daily'!BF5</f>
        <v>2</v>
      </c>
      <c r="BD2" s="312">
        <f>'Maldives at LG Daily'!BG5</f>
        <v>33</v>
      </c>
      <c r="BE2" s="312">
        <f>'Maldives at LG Daily'!BH5</f>
        <v>7</v>
      </c>
      <c r="BF2" s="312">
        <f>'Maldives at LG Daily'!BI5</f>
        <v>1</v>
      </c>
      <c r="BG2" s="312">
        <f>'Maldives at LG Daily'!BJ5</f>
        <v>7</v>
      </c>
      <c r="BH2" s="312">
        <f>'Maldives at LG Daily'!BK5</f>
        <v>3</v>
      </c>
      <c r="BI2" s="312">
        <f>'Maldives at LG Daily'!BL5</f>
        <v>2</v>
      </c>
      <c r="BJ2" s="312">
        <f>'Maldives at LG Daily'!BM5</f>
        <v>19</v>
      </c>
      <c r="BK2" s="312">
        <f>'Maldives at LG Daily'!BN5</f>
        <v>0</v>
      </c>
      <c r="BL2" s="312">
        <f>'Maldives at LG Daily'!BO5</f>
        <v>1</v>
      </c>
      <c r="BM2" s="312">
        <f>'Room Nights and Food Covers'!B5</f>
        <v>93.2</v>
      </c>
      <c r="BN2" s="312">
        <f>'Room Nights and Food Covers'!C5</f>
        <v>692</v>
      </c>
    </row>
    <row r="3" spans="1:66" ht="15.75" thickBot="1">
      <c r="A3" s="313" t="s">
        <v>15</v>
      </c>
      <c r="B3" s="313">
        <v>2</v>
      </c>
      <c r="C3" s="311">
        <f>TOTAL!C3</f>
        <v>1</v>
      </c>
      <c r="D3" s="310">
        <f>TOTAL!D3</f>
        <v>2023</v>
      </c>
      <c r="E3" s="312">
        <f>'SOLAR METER READING'!D10</f>
        <v>3058</v>
      </c>
      <c r="F3" s="312">
        <f>'Maldives at LG Daily'!G6</f>
        <v>5796</v>
      </c>
      <c r="G3" s="312">
        <f>'Maldives at LG Daily'!H6</f>
        <v>9191</v>
      </c>
      <c r="H3" s="312">
        <f>'Maldives at LG Daily'!I6</f>
        <v>3869</v>
      </c>
      <c r="I3" s="312">
        <f>'Maldives at LG Daily'!J6</f>
        <v>4064</v>
      </c>
      <c r="J3" s="312">
        <f>'Maldives at LG Daily'!K6</f>
        <v>6437</v>
      </c>
      <c r="K3" s="312">
        <f>'Maldives at LG Daily'!L6</f>
        <v>4316</v>
      </c>
      <c r="L3" s="312">
        <f>'Maldives at LG Daily'!M6</f>
        <v>4766</v>
      </c>
      <c r="M3" s="312">
        <f>'Maldives at LG Daily'!N6</f>
        <v>12544</v>
      </c>
      <c r="N3" s="312">
        <f>'Maldives at LG Daily'!O6</f>
        <v>2400</v>
      </c>
      <c r="O3" s="312">
        <f>'Maldives at LG Daily'!P6</f>
        <v>3068</v>
      </c>
      <c r="P3" s="312">
        <f>'Maldives at LG Daily'!Q6</f>
        <v>2400</v>
      </c>
      <c r="Q3" s="312">
        <f>'Maldives at LG Daily'!R6</f>
        <v>465</v>
      </c>
      <c r="R3" s="312">
        <f>'Maldives at LG Daily'!S6</f>
        <v>700</v>
      </c>
      <c r="S3" s="312">
        <f>'Maldives at LG Daily'!T6</f>
        <v>2800</v>
      </c>
      <c r="T3" s="312">
        <f>'Maldives at LG Daily'!U6</f>
        <v>438</v>
      </c>
      <c r="U3" s="312">
        <f>'Maldives at LG Daily'!V6</f>
        <v>300</v>
      </c>
      <c r="V3" s="312">
        <f>'Maldives at LG Daily'!W6</f>
        <v>300</v>
      </c>
      <c r="W3" s="312">
        <f>'Maldives at LG Daily'!X6</f>
        <v>600</v>
      </c>
      <c r="X3" s="312">
        <f>'Maldives at LG Daily'!Y6</f>
        <v>130</v>
      </c>
      <c r="Y3" s="312">
        <f>'Maldives at LG Daily'!Z6</f>
        <v>360</v>
      </c>
      <c r="Z3" s="312">
        <f>'Maldives at LG Daily'!AA6</f>
        <v>1200</v>
      </c>
      <c r="AA3" s="312">
        <f>'Maldives at LG Daily'!AB6</f>
        <v>510</v>
      </c>
      <c r="AB3" s="312">
        <f>'Maldives at LG Daily'!AC6</f>
        <v>1180</v>
      </c>
      <c r="AC3" s="312">
        <f>'Maldives at LG Daily'!AD6</f>
        <v>1070</v>
      </c>
      <c r="AD3" s="312">
        <f>'Maldives at LG Daily'!AE6</f>
        <v>1100</v>
      </c>
      <c r="AE3" s="312">
        <f>'Maldives at LG Daily'!AF6</f>
        <v>1100</v>
      </c>
      <c r="AF3" s="312">
        <f>'Maldives at LG Daily'!AG6</f>
        <v>880</v>
      </c>
      <c r="AG3" s="312">
        <f>'Maldives at LG Daily'!AH6</f>
        <v>630</v>
      </c>
      <c r="AH3" s="312">
        <f>'Maldives at LG Daily'!AI6</f>
        <v>320</v>
      </c>
      <c r="AI3" s="312">
        <f>'Maldives at LG Daily'!AJ6</f>
        <v>170</v>
      </c>
      <c r="AJ3" s="312">
        <f>'Maldives at LG Daily'!AK6</f>
        <v>1010</v>
      </c>
      <c r="AK3" s="312">
        <f>'Maldives at LG Daily'!AL6</f>
        <v>310</v>
      </c>
      <c r="AL3" s="312">
        <f>'Maldives at LG Daily'!AM6</f>
        <v>350</v>
      </c>
      <c r="AM3" s="312">
        <f>'Maldives at LG Daily'!AN6</f>
        <v>580</v>
      </c>
      <c r="AN3" s="312">
        <f>'Maldives at LG Daily'!AQ6</f>
        <v>216</v>
      </c>
      <c r="AO3" s="312">
        <f>'Maldives at LG Daily'!AR6</f>
        <v>91</v>
      </c>
      <c r="AP3" s="312">
        <f>'Maldives at LG Daily'!AS6</f>
        <v>0</v>
      </c>
      <c r="AQ3" s="312">
        <f>'Maldives at LG Daily'!AT6</f>
        <v>122</v>
      </c>
      <c r="AR3" s="312">
        <f>'Maldives at LG Daily'!AU6</f>
        <v>34</v>
      </c>
      <c r="AS3" s="312">
        <f>'Maldives at LG Daily'!AV6</f>
        <v>6</v>
      </c>
      <c r="AT3" s="312">
        <f>'Maldives at LG Daily'!AW6</f>
        <v>10</v>
      </c>
      <c r="AU3" s="312">
        <f>'Maldives at LG Daily'!AX6</f>
        <v>12</v>
      </c>
      <c r="AV3" s="312">
        <f>'Maldives at LG Daily'!AY6</f>
        <v>9</v>
      </c>
      <c r="AW3" s="312">
        <f>'Maldives at LG Daily'!AZ6</f>
        <v>7</v>
      </c>
      <c r="AX3" s="312">
        <f>'Maldives at LG Daily'!BA6</f>
        <v>9</v>
      </c>
      <c r="AY3" s="312">
        <f>'Maldives at LG Daily'!BB6</f>
        <v>10</v>
      </c>
      <c r="AZ3" s="312">
        <f>'Maldives at LG Daily'!BC6</f>
        <v>2</v>
      </c>
      <c r="BA3" s="312">
        <f>'Maldives at LG Daily'!BD6</f>
        <v>0</v>
      </c>
      <c r="BB3" s="312">
        <f>'Maldives at LG Daily'!BE6</f>
        <v>3</v>
      </c>
      <c r="BC3" s="312">
        <f>'Maldives at LG Daily'!BF6</f>
        <v>4</v>
      </c>
      <c r="BD3" s="312">
        <f>'Maldives at LG Daily'!BG6</f>
        <v>36</v>
      </c>
      <c r="BE3" s="312">
        <f>'Maldives at LG Daily'!BH6</f>
        <v>14</v>
      </c>
      <c r="BF3" s="312">
        <f>'Maldives at LG Daily'!BI6</f>
        <v>2</v>
      </c>
      <c r="BG3" s="312">
        <f>'Maldives at LG Daily'!BJ6</f>
        <v>4</v>
      </c>
      <c r="BH3" s="312">
        <f>'Maldives at LG Daily'!BK6</f>
        <v>4</v>
      </c>
      <c r="BI3" s="312">
        <f>'Maldives at LG Daily'!BL6</f>
        <v>6</v>
      </c>
      <c r="BJ3" s="312">
        <f>'Maldives at LG Daily'!BM6</f>
        <v>21</v>
      </c>
      <c r="BK3" s="312">
        <f>'Maldives at LG Daily'!BN6</f>
        <v>7</v>
      </c>
      <c r="BL3" s="312">
        <f>'Maldives at LG Daily'!BO6</f>
        <v>3</v>
      </c>
      <c r="BM3" s="312">
        <f>'Room Nights and Food Covers'!B6</f>
        <v>88.3</v>
      </c>
      <c r="BN3" s="312">
        <f>'Room Nights and Food Covers'!C6</f>
        <v>701</v>
      </c>
    </row>
    <row r="4" spans="1:66" ht="15.75" thickBot="1">
      <c r="A4" s="313" t="s">
        <v>15</v>
      </c>
      <c r="B4" s="313">
        <v>3</v>
      </c>
      <c r="C4" s="311">
        <f>TOTAL!C4</f>
        <v>1</v>
      </c>
      <c r="D4" s="310">
        <f>TOTAL!D4</f>
        <v>2023</v>
      </c>
      <c r="E4" s="312">
        <f>'SOLAR METER READING'!D11</f>
        <v>2887</v>
      </c>
      <c r="F4" s="312">
        <f>'Maldives at LG Daily'!G7</f>
        <v>7321</v>
      </c>
      <c r="G4" s="312">
        <f>'Maldives at LG Daily'!H7</f>
        <v>6813</v>
      </c>
      <c r="H4" s="312">
        <f>'Maldives at LG Daily'!I7</f>
        <v>4139</v>
      </c>
      <c r="I4" s="312">
        <f>'Maldives at LG Daily'!J7</f>
        <v>3476</v>
      </c>
      <c r="J4" s="312">
        <f>'Maldives at LG Daily'!K7</f>
        <v>7238</v>
      </c>
      <c r="K4" s="312">
        <f>'Maldives at LG Daily'!L7</f>
        <v>4338</v>
      </c>
      <c r="L4" s="312">
        <f>'Maldives at LG Daily'!M7</f>
        <v>4664</v>
      </c>
      <c r="M4" s="312">
        <f>'Maldives at LG Daily'!N7</f>
        <v>12712</v>
      </c>
      <c r="N4" s="312">
        <f>'Maldives at LG Daily'!O7</f>
        <v>2500</v>
      </c>
      <c r="O4" s="312">
        <f>'Maldives at LG Daily'!P7</f>
        <v>3034</v>
      </c>
      <c r="P4" s="312">
        <f>'Maldives at LG Daily'!Q7</f>
        <v>2400</v>
      </c>
      <c r="Q4" s="312">
        <f>'Maldives at LG Daily'!R7</f>
        <v>484</v>
      </c>
      <c r="R4" s="312">
        <f>'Maldives at LG Daily'!S7</f>
        <v>600</v>
      </c>
      <c r="S4" s="312">
        <f>'Maldives at LG Daily'!T7</f>
        <v>2600</v>
      </c>
      <c r="T4" s="312">
        <f>'Maldives at LG Daily'!U7</f>
        <v>465</v>
      </c>
      <c r="U4" s="312">
        <f>'Maldives at LG Daily'!V7</f>
        <v>300</v>
      </c>
      <c r="V4" s="312">
        <f>'Maldives at LG Daily'!W7</f>
        <v>300</v>
      </c>
      <c r="W4" s="312">
        <f>'Maldives at LG Daily'!X7</f>
        <v>600</v>
      </c>
      <c r="X4" s="312">
        <f>'Maldives at LG Daily'!Y7</f>
        <v>150</v>
      </c>
      <c r="Y4" s="312">
        <f>'Maldives at LG Daily'!Z7</f>
        <v>430</v>
      </c>
      <c r="Z4" s="312">
        <f>'Maldives at LG Daily'!AA7</f>
        <v>1200</v>
      </c>
      <c r="AA4" s="312">
        <f>'Maldives at LG Daily'!AB7</f>
        <v>510</v>
      </c>
      <c r="AB4" s="312">
        <f>'Maldives at LG Daily'!AC7</f>
        <v>1150</v>
      </c>
      <c r="AC4" s="312">
        <f>'Maldives at LG Daily'!AD7</f>
        <v>960</v>
      </c>
      <c r="AD4" s="312">
        <f>'Maldives at LG Daily'!AE7</f>
        <v>1100</v>
      </c>
      <c r="AE4" s="312">
        <f>'Maldives at LG Daily'!AF7</f>
        <v>1100</v>
      </c>
      <c r="AF4" s="312">
        <f>'Maldives at LG Daily'!AG7</f>
        <v>800</v>
      </c>
      <c r="AG4" s="312">
        <f>'Maldives at LG Daily'!AH7</f>
        <v>610</v>
      </c>
      <c r="AH4" s="312">
        <f>'Maldives at LG Daily'!AI7</f>
        <v>340</v>
      </c>
      <c r="AI4" s="312">
        <f>'Maldives at LG Daily'!AJ7</f>
        <v>170</v>
      </c>
      <c r="AJ4" s="312">
        <f>'Maldives at LG Daily'!AK7</f>
        <v>1080</v>
      </c>
      <c r="AK4" s="312">
        <f>'Maldives at LG Daily'!AL7</f>
        <v>330</v>
      </c>
      <c r="AL4" s="312">
        <f>'Maldives at LG Daily'!AM7</f>
        <v>380</v>
      </c>
      <c r="AM4" s="312">
        <f>'Maldives at LG Daily'!AN7</f>
        <v>560</v>
      </c>
      <c r="AN4" s="312">
        <f>'Maldives at LG Daily'!AQ7</f>
        <v>195</v>
      </c>
      <c r="AO4" s="312">
        <f>'Maldives at LG Daily'!AR7</f>
        <v>85</v>
      </c>
      <c r="AP4" s="312">
        <f>'Maldives at LG Daily'!AS7</f>
        <v>0</v>
      </c>
      <c r="AQ4" s="312">
        <f>'Maldives at LG Daily'!AT7</f>
        <v>119</v>
      </c>
      <c r="AR4" s="312">
        <f>'Maldives at LG Daily'!AU7</f>
        <v>36</v>
      </c>
      <c r="AS4" s="312">
        <f>'Maldives at LG Daily'!AV7</f>
        <v>8</v>
      </c>
      <c r="AT4" s="312">
        <f>'Maldives at LG Daily'!AW7</f>
        <v>9</v>
      </c>
      <c r="AU4" s="312">
        <f>'Maldives at LG Daily'!AX7</f>
        <v>12</v>
      </c>
      <c r="AV4" s="312">
        <f>'Maldives at LG Daily'!AY7</f>
        <v>10</v>
      </c>
      <c r="AW4" s="312">
        <f>'Maldives at LG Daily'!AZ7</f>
        <v>6</v>
      </c>
      <c r="AX4" s="312">
        <f>'Maldives at LG Daily'!BA7</f>
        <v>8</v>
      </c>
      <c r="AY4" s="312">
        <f>'Maldives at LG Daily'!BB7</f>
        <v>9</v>
      </c>
      <c r="AZ4" s="312">
        <f>'Maldives at LG Daily'!BC7</f>
        <v>2</v>
      </c>
      <c r="BA4" s="312">
        <f>'Maldives at LG Daily'!BD7</f>
        <v>0</v>
      </c>
      <c r="BB4" s="312">
        <f>'Maldives at LG Daily'!BE7</f>
        <v>4</v>
      </c>
      <c r="BC4" s="312">
        <f>'Maldives at LG Daily'!BF7</f>
        <v>0</v>
      </c>
      <c r="BD4" s="312">
        <f>'Maldives at LG Daily'!BG7</f>
        <v>33</v>
      </c>
      <c r="BE4" s="312">
        <f>'Maldives at LG Daily'!BH7</f>
        <v>9</v>
      </c>
      <c r="BF4" s="312">
        <f>'Maldives at LG Daily'!BI7</f>
        <v>1</v>
      </c>
      <c r="BG4" s="312">
        <f>'Maldives at LG Daily'!BJ7</f>
        <v>7</v>
      </c>
      <c r="BH4" s="312">
        <f>'Maldives at LG Daily'!BK7</f>
        <v>3</v>
      </c>
      <c r="BI4" s="312">
        <f>'Maldives at LG Daily'!BL7</f>
        <v>5</v>
      </c>
      <c r="BJ4" s="312">
        <f>'Maldives at LG Daily'!BM7</f>
        <v>21</v>
      </c>
      <c r="BK4" s="312">
        <f>'Maldives at LG Daily'!BN7</f>
        <v>5</v>
      </c>
      <c r="BL4" s="312">
        <f>'Maldives at LG Daily'!BO7</f>
        <v>4</v>
      </c>
      <c r="BM4" s="312">
        <f>'Room Nights and Food Covers'!B7</f>
        <v>90.3</v>
      </c>
      <c r="BN4" s="312">
        <f>'Room Nights and Food Covers'!C7</f>
        <v>740</v>
      </c>
    </row>
    <row r="5" spans="1:66" ht="15.75" thickBot="1">
      <c r="A5" s="313" t="s">
        <v>15</v>
      </c>
      <c r="B5" s="313">
        <v>4</v>
      </c>
      <c r="C5" s="311">
        <f>TOTAL!C5</f>
        <v>1</v>
      </c>
      <c r="D5" s="310">
        <f>TOTAL!D5</f>
        <v>2023</v>
      </c>
      <c r="E5" s="312">
        <f>'SOLAR METER READING'!D12</f>
        <v>3027</v>
      </c>
      <c r="F5" s="312">
        <f>'Maldives at LG Daily'!G8</f>
        <v>4960</v>
      </c>
      <c r="G5" s="312">
        <f>'Maldives at LG Daily'!H8</f>
        <v>10465</v>
      </c>
      <c r="H5" s="312">
        <f>'Maldives at LG Daily'!I8</f>
        <v>3888</v>
      </c>
      <c r="I5" s="312">
        <f>'Maldives at LG Daily'!J8</f>
        <v>3021</v>
      </c>
      <c r="J5" s="312">
        <f>'Maldives at LG Daily'!K8</f>
        <v>6280</v>
      </c>
      <c r="K5" s="312">
        <f>'Maldives at LG Daily'!L8</f>
        <v>4349</v>
      </c>
      <c r="L5" s="312">
        <f>'Maldives at LG Daily'!M8</f>
        <v>4661</v>
      </c>
      <c r="M5" s="312">
        <f>'Maldives at LG Daily'!N8</f>
        <v>11714</v>
      </c>
      <c r="N5" s="312">
        <f>'Maldives at LG Daily'!O8</f>
        <v>2300</v>
      </c>
      <c r="O5" s="312">
        <f>'Maldives at LG Daily'!P8</f>
        <v>2960</v>
      </c>
      <c r="P5" s="312">
        <f>'Maldives at LG Daily'!Q8</f>
        <v>2100</v>
      </c>
      <c r="Q5" s="312">
        <f>'Maldives at LG Daily'!R8</f>
        <v>504</v>
      </c>
      <c r="R5" s="312">
        <f>'Maldives at LG Daily'!S8</f>
        <v>800</v>
      </c>
      <c r="S5" s="312">
        <f>'Maldives at LG Daily'!T8</f>
        <v>2500</v>
      </c>
      <c r="T5" s="312">
        <f>'Maldives at LG Daily'!U8</f>
        <v>426</v>
      </c>
      <c r="U5" s="312">
        <f>'Maldives at LG Daily'!V8</f>
        <v>300</v>
      </c>
      <c r="V5" s="312">
        <f>'Maldives at LG Daily'!W8</f>
        <v>300</v>
      </c>
      <c r="W5" s="312">
        <f>'Maldives at LG Daily'!X8</f>
        <v>600</v>
      </c>
      <c r="X5" s="312">
        <f>'Maldives at LG Daily'!Y8</f>
        <v>120</v>
      </c>
      <c r="Y5" s="312">
        <f>'Maldives at LG Daily'!Z8</f>
        <v>390</v>
      </c>
      <c r="Z5" s="312">
        <f>'Maldives at LG Daily'!AA8</f>
        <v>1200</v>
      </c>
      <c r="AA5" s="312">
        <f>'Maldives at LG Daily'!AB8</f>
        <v>470</v>
      </c>
      <c r="AB5" s="312">
        <f>'Maldives at LG Daily'!AC8</f>
        <v>1160</v>
      </c>
      <c r="AC5" s="312">
        <f>'Maldives at LG Daily'!AD8</f>
        <v>1060</v>
      </c>
      <c r="AD5" s="312">
        <f>'Maldives at LG Daily'!AE8</f>
        <v>220</v>
      </c>
      <c r="AE5" s="312">
        <f>'Maldives at LG Daily'!AF8</f>
        <v>220</v>
      </c>
      <c r="AF5" s="312">
        <f>'Maldives at LG Daily'!AG8</f>
        <v>720</v>
      </c>
      <c r="AG5" s="312">
        <f>'Maldives at LG Daily'!AH8</f>
        <v>610</v>
      </c>
      <c r="AH5" s="312">
        <f>'Maldives at LG Daily'!AI8</f>
        <v>370</v>
      </c>
      <c r="AI5" s="312">
        <f>'Maldives at LG Daily'!AJ8</f>
        <v>140</v>
      </c>
      <c r="AJ5" s="312">
        <f>'Maldives at LG Daily'!AK8</f>
        <v>970</v>
      </c>
      <c r="AK5" s="312">
        <f>'Maldives at LG Daily'!AL8</f>
        <v>290</v>
      </c>
      <c r="AL5" s="312">
        <f>'Maldives at LG Daily'!AM8</f>
        <v>350</v>
      </c>
      <c r="AM5" s="312">
        <f>'Maldives at LG Daily'!AN8</f>
        <v>570</v>
      </c>
      <c r="AN5" s="312">
        <f>'Maldives at LG Daily'!AQ8</f>
        <v>187</v>
      </c>
      <c r="AO5" s="312">
        <f>'Maldives at LG Daily'!AR8</f>
        <v>15</v>
      </c>
      <c r="AP5" s="312">
        <f>'Maldives at LG Daily'!AS8</f>
        <v>179</v>
      </c>
      <c r="AQ5" s="312">
        <f>'Maldives at LG Daily'!AT8</f>
        <v>84</v>
      </c>
      <c r="AR5" s="312">
        <f>'Maldives at LG Daily'!AU8</f>
        <v>32</v>
      </c>
      <c r="AS5" s="312">
        <f>'Maldives at LG Daily'!AV8</f>
        <v>6</v>
      </c>
      <c r="AT5" s="312">
        <f>'Maldives at LG Daily'!AW8</f>
        <v>10</v>
      </c>
      <c r="AU5" s="312">
        <f>'Maldives at LG Daily'!AX8</f>
        <v>13</v>
      </c>
      <c r="AV5" s="312">
        <f>'Maldives at LG Daily'!AY8</f>
        <v>10</v>
      </c>
      <c r="AW5" s="312">
        <f>'Maldives at LG Daily'!AZ8</f>
        <v>8</v>
      </c>
      <c r="AX5" s="312">
        <f>'Maldives at LG Daily'!BA8</f>
        <v>8</v>
      </c>
      <c r="AY5" s="312">
        <f>'Maldives at LG Daily'!BB8</f>
        <v>9</v>
      </c>
      <c r="AZ5" s="312">
        <f>'Maldives at LG Daily'!BC8</f>
        <v>2</v>
      </c>
      <c r="BA5" s="312">
        <f>'Maldives at LG Daily'!BD8</f>
        <v>0</v>
      </c>
      <c r="BB5" s="312">
        <f>'Maldives at LG Daily'!BE8</f>
        <v>3</v>
      </c>
      <c r="BC5" s="312">
        <f>'Maldives at LG Daily'!BF8</f>
        <v>2</v>
      </c>
      <c r="BD5" s="312">
        <f>'Maldives at LG Daily'!BG8</f>
        <v>33</v>
      </c>
      <c r="BE5" s="312">
        <f>'Maldives at LG Daily'!BH8</f>
        <v>13</v>
      </c>
      <c r="BF5" s="312">
        <f>'Maldives at LG Daily'!BI8</f>
        <v>1</v>
      </c>
      <c r="BG5" s="312">
        <f>'Maldives at LG Daily'!BJ8</f>
        <v>16</v>
      </c>
      <c r="BH5" s="312">
        <f>'Maldives at LG Daily'!BK8</f>
        <v>6</v>
      </c>
      <c r="BI5" s="312">
        <f>'Maldives at LG Daily'!BL8</f>
        <v>3</v>
      </c>
      <c r="BJ5" s="312">
        <f>'Maldives at LG Daily'!BM8</f>
        <v>20</v>
      </c>
      <c r="BK5" s="312">
        <f>'Maldives at LG Daily'!BN8</f>
        <v>2</v>
      </c>
      <c r="BL5" s="312">
        <f>'Maldives at LG Daily'!BO8</f>
        <v>2</v>
      </c>
      <c r="BM5" s="312">
        <f>'Room Nights and Food Covers'!B8</f>
        <v>81.599999999999994</v>
      </c>
      <c r="BN5" s="312">
        <f>'Room Nights and Food Covers'!C8</f>
        <v>647</v>
      </c>
    </row>
    <row r="6" spans="1:66" ht="15.75" thickBot="1">
      <c r="A6" s="313" t="s">
        <v>15</v>
      </c>
      <c r="B6" s="313">
        <v>5</v>
      </c>
      <c r="C6" s="311">
        <f>TOTAL!C6</f>
        <v>1</v>
      </c>
      <c r="D6" s="310">
        <f>TOTAL!D6</f>
        <v>2023</v>
      </c>
      <c r="E6" s="312">
        <f>'SOLAR METER READING'!D13</f>
        <v>2794</v>
      </c>
      <c r="F6" s="312">
        <f>'Maldives at LG Daily'!G9</f>
        <v>5580</v>
      </c>
      <c r="G6" s="312">
        <f>'Maldives at LG Daily'!H9</f>
        <v>9400</v>
      </c>
      <c r="H6" s="312">
        <f>'Maldives at LG Daily'!I9</f>
        <v>4621</v>
      </c>
      <c r="I6" s="312">
        <f>'Maldives at LG Daily'!J9</f>
        <v>1945</v>
      </c>
      <c r="J6" s="312">
        <f>'Maldives at LG Daily'!K9</f>
        <v>7204</v>
      </c>
      <c r="K6" s="312">
        <f>'Maldives at LG Daily'!L9</f>
        <v>4138</v>
      </c>
      <c r="L6" s="312">
        <f>'Maldives at LG Daily'!M9</f>
        <v>4769</v>
      </c>
      <c r="M6" s="312">
        <f>'Maldives at LG Daily'!N9</f>
        <v>12322</v>
      </c>
      <c r="N6" s="312">
        <f>'Maldives at LG Daily'!O9</f>
        <v>2500</v>
      </c>
      <c r="O6" s="312">
        <f>'Maldives at LG Daily'!P9</f>
        <v>3077</v>
      </c>
      <c r="P6" s="312">
        <f>'Maldives at LG Daily'!Q9</f>
        <v>1900</v>
      </c>
      <c r="Q6" s="312">
        <f>'Maldives at LG Daily'!R9</f>
        <v>494</v>
      </c>
      <c r="R6" s="312">
        <f>'Maldives at LG Daily'!S9</f>
        <v>700</v>
      </c>
      <c r="S6" s="312">
        <f>'Maldives at LG Daily'!T9</f>
        <v>2900</v>
      </c>
      <c r="T6" s="312">
        <f>'Maldives at LG Daily'!U9</f>
        <v>438</v>
      </c>
      <c r="U6" s="312">
        <f>'Maldives at LG Daily'!V9</f>
        <v>300</v>
      </c>
      <c r="V6" s="312">
        <f>'Maldives at LG Daily'!W9</f>
        <v>300</v>
      </c>
      <c r="W6" s="312">
        <f>'Maldives at LG Daily'!X9</f>
        <v>600</v>
      </c>
      <c r="X6" s="312">
        <f>'Maldives at LG Daily'!Y9</f>
        <v>130</v>
      </c>
      <c r="Y6" s="312">
        <f>'Maldives at LG Daily'!Z9</f>
        <v>400</v>
      </c>
      <c r="Z6" s="312">
        <f>'Maldives at LG Daily'!AA9</f>
        <v>1200</v>
      </c>
      <c r="AA6" s="312">
        <f>'Maldives at LG Daily'!AB9</f>
        <v>480</v>
      </c>
      <c r="AB6" s="312">
        <f>'Maldives at LG Daily'!AC9</f>
        <v>1200</v>
      </c>
      <c r="AC6" s="312">
        <f>'Maldives at LG Daily'!AD9</f>
        <v>960</v>
      </c>
      <c r="AD6" s="312">
        <f>'Maldives at LG Daily'!AE9</f>
        <v>1980</v>
      </c>
      <c r="AE6" s="312">
        <f>'Maldives at LG Daily'!AF9</f>
        <v>1980</v>
      </c>
      <c r="AF6" s="312">
        <f>'Maldives at LG Daily'!AG9</f>
        <v>680</v>
      </c>
      <c r="AG6" s="312">
        <f>'Maldives at LG Daily'!AH9</f>
        <v>680</v>
      </c>
      <c r="AH6" s="312">
        <f>'Maldives at LG Daily'!AI9</f>
        <v>330</v>
      </c>
      <c r="AI6" s="312">
        <f>'Maldives at LG Daily'!AJ9</f>
        <v>150</v>
      </c>
      <c r="AJ6" s="312">
        <f>'Maldives at LG Daily'!AK9</f>
        <v>1040</v>
      </c>
      <c r="AK6" s="312">
        <f>'Maldives at LG Daily'!AL9</f>
        <v>320</v>
      </c>
      <c r="AL6" s="312">
        <f>'Maldives at LG Daily'!AM9</f>
        <v>370</v>
      </c>
      <c r="AM6" s="312">
        <f>'Maldives at LG Daily'!AN9</f>
        <v>520</v>
      </c>
      <c r="AN6" s="312">
        <f>'Maldives at LG Daily'!AQ9</f>
        <v>180</v>
      </c>
      <c r="AO6" s="312">
        <f>'Maldives at LG Daily'!AR9</f>
        <v>67</v>
      </c>
      <c r="AP6" s="312">
        <f>'Maldives at LG Daily'!AS9</f>
        <v>166</v>
      </c>
      <c r="AQ6" s="312">
        <f>'Maldives at LG Daily'!AT9</f>
        <v>7</v>
      </c>
      <c r="AR6" s="312">
        <f>'Maldives at LG Daily'!AU9</f>
        <v>34</v>
      </c>
      <c r="AS6" s="312">
        <f>'Maldives at LG Daily'!AV9</f>
        <v>7</v>
      </c>
      <c r="AT6" s="312">
        <f>'Maldives at LG Daily'!AW9</f>
        <v>9</v>
      </c>
      <c r="AU6" s="312">
        <f>'Maldives at LG Daily'!AX9</f>
        <v>12</v>
      </c>
      <c r="AV6" s="312">
        <f>'Maldives at LG Daily'!AY9</f>
        <v>9</v>
      </c>
      <c r="AW6" s="312">
        <f>'Maldives at LG Daily'!AZ9</f>
        <v>6</v>
      </c>
      <c r="AX6" s="312">
        <f>'Maldives at LG Daily'!BA9</f>
        <v>9</v>
      </c>
      <c r="AY6" s="312">
        <f>'Maldives at LG Daily'!BB9</f>
        <v>9</v>
      </c>
      <c r="AZ6" s="312">
        <f>'Maldives at LG Daily'!BC9</f>
        <v>2</v>
      </c>
      <c r="BA6" s="312">
        <f>'Maldives at LG Daily'!BD9</f>
        <v>0</v>
      </c>
      <c r="BB6" s="312">
        <f>'Maldives at LG Daily'!BE9</f>
        <v>5</v>
      </c>
      <c r="BC6" s="312">
        <f>'Maldives at LG Daily'!BF9</f>
        <v>3</v>
      </c>
      <c r="BD6" s="312">
        <f>'Maldives at LG Daily'!BG9</f>
        <v>31</v>
      </c>
      <c r="BE6" s="312">
        <f>'Maldives at LG Daily'!BH9</f>
        <v>10</v>
      </c>
      <c r="BF6" s="312">
        <f>'Maldives at LG Daily'!BI9</f>
        <v>1</v>
      </c>
      <c r="BG6" s="312">
        <f>'Maldives at LG Daily'!BJ9</f>
        <v>6</v>
      </c>
      <c r="BH6" s="312">
        <f>'Maldives at LG Daily'!BK9</f>
        <v>4</v>
      </c>
      <c r="BI6" s="312">
        <f>'Maldives at LG Daily'!BL9</f>
        <v>6</v>
      </c>
      <c r="BJ6" s="312">
        <f>'Maldives at LG Daily'!BM9</f>
        <v>22</v>
      </c>
      <c r="BK6" s="312">
        <f>'Maldives at LG Daily'!BN9</f>
        <v>5</v>
      </c>
      <c r="BL6" s="312">
        <f>'Maldives at LG Daily'!BO9</f>
        <v>14</v>
      </c>
      <c r="BM6" s="312">
        <f>'Room Nights and Food Covers'!B9</f>
        <v>77.7</v>
      </c>
      <c r="BN6" s="312">
        <f>'Room Nights and Food Covers'!C9</f>
        <v>639</v>
      </c>
    </row>
    <row r="7" spans="1:66" ht="15.75" thickBot="1">
      <c r="A7" s="313" t="s">
        <v>15</v>
      </c>
      <c r="B7" s="313">
        <v>6</v>
      </c>
      <c r="C7" s="311">
        <f>TOTAL!C7</f>
        <v>1</v>
      </c>
      <c r="D7" s="310">
        <f>TOTAL!D7</f>
        <v>2023</v>
      </c>
      <c r="E7" s="312">
        <f>'SOLAR METER READING'!D14</f>
        <v>2867</v>
      </c>
      <c r="F7" s="312">
        <f>'Maldives at LG Daily'!G10</f>
        <v>7411</v>
      </c>
      <c r="G7" s="312">
        <f>'Maldives at LG Daily'!H10</f>
        <v>7536</v>
      </c>
      <c r="H7" s="312">
        <f>'Maldives at LG Daily'!I10</f>
        <v>2796</v>
      </c>
      <c r="I7" s="312">
        <f>'Maldives at LG Daily'!J10</f>
        <v>3476</v>
      </c>
      <c r="J7" s="312">
        <f>'Maldives at LG Daily'!K10</f>
        <v>7712</v>
      </c>
      <c r="K7" s="312">
        <f>'Maldives at LG Daily'!L10</f>
        <v>4423</v>
      </c>
      <c r="L7" s="312">
        <f>'Maldives at LG Daily'!M10</f>
        <v>4621</v>
      </c>
      <c r="M7" s="312">
        <f>'Maldives at LG Daily'!N10</f>
        <v>12388</v>
      </c>
      <c r="N7" s="312">
        <f>'Maldives at LG Daily'!O10</f>
        <v>2300</v>
      </c>
      <c r="O7" s="312">
        <f>'Maldives at LG Daily'!P10</f>
        <v>3058</v>
      </c>
      <c r="P7" s="312">
        <f>'Maldives at LG Daily'!Q10</f>
        <v>2400</v>
      </c>
      <c r="Q7" s="312">
        <f>'Maldives at LG Daily'!R10</f>
        <v>472</v>
      </c>
      <c r="R7" s="312">
        <f>'Maldives at LG Daily'!S10</f>
        <v>700</v>
      </c>
      <c r="S7" s="312">
        <f>'Maldives at LG Daily'!T10</f>
        <v>2500</v>
      </c>
      <c r="T7" s="312">
        <f>'Maldives at LG Daily'!U10</f>
        <v>429</v>
      </c>
      <c r="U7" s="312">
        <f>'Maldives at LG Daily'!V10</f>
        <v>300</v>
      </c>
      <c r="V7" s="312">
        <f>'Maldives at LG Daily'!W10</f>
        <v>300</v>
      </c>
      <c r="W7" s="312">
        <f>'Maldives at LG Daily'!X10</f>
        <v>500</v>
      </c>
      <c r="X7" s="312">
        <f>'Maldives at LG Daily'!Y10</f>
        <v>110</v>
      </c>
      <c r="Y7" s="312">
        <f>'Maldives at LG Daily'!Z10</f>
        <v>370</v>
      </c>
      <c r="Z7" s="312">
        <f>'Maldives at LG Daily'!AA10</f>
        <v>1200</v>
      </c>
      <c r="AA7" s="312">
        <f>'Maldives at LG Daily'!AB10</f>
        <v>510</v>
      </c>
      <c r="AB7" s="312">
        <f>'Maldives at LG Daily'!AC10</f>
        <v>1120</v>
      </c>
      <c r="AC7" s="312">
        <f>'Maldives at LG Daily'!AD10</f>
        <v>1020</v>
      </c>
      <c r="AD7" s="312">
        <f>'Maldives at LG Daily'!AE10</f>
        <v>1100</v>
      </c>
      <c r="AE7" s="312">
        <f>'Maldives at LG Daily'!AF10</f>
        <v>1100</v>
      </c>
      <c r="AF7" s="312">
        <f>'Maldives at LG Daily'!AG10</f>
        <v>720</v>
      </c>
      <c r="AG7" s="312">
        <f>'Maldives at LG Daily'!AH10</f>
        <v>550</v>
      </c>
      <c r="AH7" s="312">
        <f>'Maldives at LG Daily'!AI10</f>
        <v>350</v>
      </c>
      <c r="AI7" s="312">
        <f>'Maldives at LG Daily'!AJ10</f>
        <v>160</v>
      </c>
      <c r="AJ7" s="312">
        <f>'Maldives at LG Daily'!AK10</f>
        <v>990</v>
      </c>
      <c r="AK7" s="312">
        <f>'Maldives at LG Daily'!AL10</f>
        <v>320</v>
      </c>
      <c r="AL7" s="312">
        <f>'Maldives at LG Daily'!AM10</f>
        <v>370</v>
      </c>
      <c r="AM7" s="312">
        <f>'Maldives at LG Daily'!AN10</f>
        <v>570</v>
      </c>
      <c r="AN7" s="312">
        <f>'Maldives at LG Daily'!AQ10</f>
        <v>89</v>
      </c>
      <c r="AO7" s="312">
        <f>'Maldives at LG Daily'!AR10</f>
        <v>42</v>
      </c>
      <c r="AP7" s="312">
        <f>'Maldives at LG Daily'!AS10</f>
        <v>182</v>
      </c>
      <c r="AQ7" s="312">
        <f>'Maldives at LG Daily'!AT10</f>
        <v>62</v>
      </c>
      <c r="AR7" s="312">
        <f>'Maldives at LG Daily'!AU10</f>
        <v>34</v>
      </c>
      <c r="AS7" s="312">
        <f>'Maldives at LG Daily'!AV10</f>
        <v>7</v>
      </c>
      <c r="AT7" s="312">
        <f>'Maldives at LG Daily'!AW10</f>
        <v>11</v>
      </c>
      <c r="AU7" s="312">
        <f>'Maldives at LG Daily'!AX10</f>
        <v>15</v>
      </c>
      <c r="AV7" s="312">
        <f>'Maldives at LG Daily'!AY10</f>
        <v>11</v>
      </c>
      <c r="AW7" s="312">
        <f>'Maldives at LG Daily'!AZ10</f>
        <v>8</v>
      </c>
      <c r="AX7" s="312">
        <f>'Maldives at LG Daily'!BA10</f>
        <v>9</v>
      </c>
      <c r="AY7" s="312">
        <f>'Maldives at LG Daily'!BB10</f>
        <v>9</v>
      </c>
      <c r="AZ7" s="312">
        <f>'Maldives at LG Daily'!BC10</f>
        <v>2</v>
      </c>
      <c r="BA7" s="312">
        <f>'Maldives at LG Daily'!BD10</f>
        <v>0</v>
      </c>
      <c r="BB7" s="312">
        <f>'Maldives at LG Daily'!BE10</f>
        <v>3</v>
      </c>
      <c r="BC7" s="312">
        <f>'Maldives at LG Daily'!BF10</f>
        <v>0</v>
      </c>
      <c r="BD7" s="312">
        <f>'Maldives at LG Daily'!BG10</f>
        <v>26</v>
      </c>
      <c r="BE7" s="312">
        <f>'Maldives at LG Daily'!BH10</f>
        <v>12</v>
      </c>
      <c r="BF7" s="312">
        <f>'Maldives at LG Daily'!BI10</f>
        <v>0</v>
      </c>
      <c r="BG7" s="312">
        <f>'Maldives at LG Daily'!BJ10</f>
        <v>6</v>
      </c>
      <c r="BH7" s="312">
        <f>'Maldives at LG Daily'!BK10</f>
        <v>3</v>
      </c>
      <c r="BI7" s="312">
        <f>'Maldives at LG Daily'!BL10</f>
        <v>3</v>
      </c>
      <c r="BJ7" s="312">
        <f>'Maldives at LG Daily'!BM10</f>
        <v>21</v>
      </c>
      <c r="BK7" s="312">
        <f>'Maldives at LG Daily'!BN10</f>
        <v>3</v>
      </c>
      <c r="BL7" s="312">
        <f>'Maldives at LG Daily'!BO10</f>
        <v>2</v>
      </c>
      <c r="BM7" s="312">
        <f>'Room Nights and Food Covers'!B10</f>
        <v>67</v>
      </c>
      <c r="BN7" s="312">
        <f>'Room Nights and Food Covers'!C10</f>
        <v>532</v>
      </c>
    </row>
    <row r="8" spans="1:66" ht="15.75" thickBot="1">
      <c r="A8" s="313" t="s">
        <v>15</v>
      </c>
      <c r="B8" s="313">
        <v>7</v>
      </c>
      <c r="C8" s="311">
        <f>TOTAL!C8</f>
        <v>1</v>
      </c>
      <c r="D8" s="310">
        <f>TOTAL!D8</f>
        <v>2023</v>
      </c>
      <c r="E8" s="312">
        <f>'SOLAR METER READING'!D15</f>
        <v>2807</v>
      </c>
      <c r="F8" s="312">
        <f>'Maldives at LG Daily'!G11</f>
        <v>6511</v>
      </c>
      <c r="G8" s="312">
        <f>'Maldives at LG Daily'!H11</f>
        <v>8861</v>
      </c>
      <c r="H8" s="312">
        <f>'Maldives at LG Daily'!I11</f>
        <v>2573</v>
      </c>
      <c r="I8" s="312">
        <f>'Maldives at LG Daily'!J11</f>
        <v>2473</v>
      </c>
      <c r="J8" s="312">
        <f>'Maldives at LG Daily'!K11</f>
        <v>7475</v>
      </c>
      <c r="K8" s="312">
        <f>'Maldives at LG Daily'!L11</f>
        <v>4356</v>
      </c>
      <c r="L8" s="312">
        <f>'Maldives at LG Daily'!M11</f>
        <v>4463</v>
      </c>
      <c r="M8" s="312">
        <f>'Maldives at LG Daily'!N11</f>
        <v>12336</v>
      </c>
      <c r="N8" s="312">
        <f>'Maldives at LG Daily'!O11</f>
        <v>2400</v>
      </c>
      <c r="O8" s="312">
        <f>'Maldives at LG Daily'!P11</f>
        <v>2974</v>
      </c>
      <c r="P8" s="312">
        <f>'Maldives at LG Daily'!Q11</f>
        <v>2100</v>
      </c>
      <c r="Q8" s="312">
        <f>'Maldives at LG Daily'!R11</f>
        <v>447</v>
      </c>
      <c r="R8" s="312">
        <f>'Maldives at LG Daily'!S11</f>
        <v>800</v>
      </c>
      <c r="S8" s="312">
        <f>'Maldives at LG Daily'!T11</f>
        <v>2500</v>
      </c>
      <c r="T8" s="312">
        <f>'Maldives at LG Daily'!U11</f>
        <v>432</v>
      </c>
      <c r="U8" s="312">
        <f>'Maldives at LG Daily'!V11</f>
        <v>400</v>
      </c>
      <c r="V8" s="312">
        <f>'Maldives at LG Daily'!W11</f>
        <v>400</v>
      </c>
      <c r="W8" s="312">
        <f>'Maldives at LG Daily'!X11</f>
        <v>600</v>
      </c>
      <c r="X8" s="312">
        <f>'Maldives at LG Daily'!Y11</f>
        <v>130</v>
      </c>
      <c r="Y8" s="312">
        <f>'Maldives at LG Daily'!Z11</f>
        <v>400</v>
      </c>
      <c r="Z8" s="312">
        <f>'Maldives at LG Daily'!AA11</f>
        <v>1200</v>
      </c>
      <c r="AA8" s="312">
        <f>'Maldives at LG Daily'!AB11</f>
        <v>470</v>
      </c>
      <c r="AB8" s="312">
        <f>'Maldives at LG Daily'!AC11</f>
        <v>1260</v>
      </c>
      <c r="AC8" s="312">
        <f>'Maldives at LG Daily'!AD11</f>
        <v>1030</v>
      </c>
      <c r="AD8" s="312">
        <f>'Maldives at LG Daily'!AE11</f>
        <v>1300</v>
      </c>
      <c r="AE8" s="312">
        <f>'Maldives at LG Daily'!AF11</f>
        <v>1300</v>
      </c>
      <c r="AF8" s="312">
        <f>'Maldives at LG Daily'!AG11</f>
        <v>720</v>
      </c>
      <c r="AG8" s="312">
        <f>'Maldives at LG Daily'!AH11</f>
        <v>550</v>
      </c>
      <c r="AH8" s="312">
        <f>'Maldives at LG Daily'!AI11</f>
        <v>350</v>
      </c>
      <c r="AI8" s="312">
        <f>'Maldives at LG Daily'!AJ11</f>
        <v>140</v>
      </c>
      <c r="AJ8" s="312">
        <f>'Maldives at LG Daily'!AK11</f>
        <v>1070</v>
      </c>
      <c r="AK8" s="312">
        <f>'Maldives at LG Daily'!AL11</f>
        <v>340</v>
      </c>
      <c r="AL8" s="312">
        <f>'Maldives at LG Daily'!AM11</f>
        <v>480</v>
      </c>
      <c r="AM8" s="312">
        <f>'Maldives at LG Daily'!AN11</f>
        <v>540</v>
      </c>
      <c r="AN8" s="312">
        <f>'Maldives at LG Daily'!AQ11</f>
        <v>153</v>
      </c>
      <c r="AO8" s="312">
        <f>'Maldives at LG Daily'!AR11</f>
        <v>53</v>
      </c>
      <c r="AP8" s="312">
        <f>'Maldives at LG Daily'!AS11</f>
        <v>101</v>
      </c>
      <c r="AQ8" s="312">
        <f>'Maldives at LG Daily'!AT11</f>
        <v>0</v>
      </c>
      <c r="AR8" s="312">
        <f>'Maldives at LG Daily'!AU11</f>
        <v>35</v>
      </c>
      <c r="AS8" s="312">
        <f>'Maldives at LG Daily'!AV11</f>
        <v>8</v>
      </c>
      <c r="AT8" s="312">
        <f>'Maldives at LG Daily'!AW11</f>
        <v>10</v>
      </c>
      <c r="AU8" s="312">
        <f>'Maldives at LG Daily'!AX11</f>
        <v>13</v>
      </c>
      <c r="AV8" s="312">
        <f>'Maldives at LG Daily'!AY11</f>
        <v>9</v>
      </c>
      <c r="AW8" s="312">
        <f>'Maldives at LG Daily'!AZ11</f>
        <v>7</v>
      </c>
      <c r="AX8" s="312">
        <f>'Maldives at LG Daily'!BA11</f>
        <v>9</v>
      </c>
      <c r="AY8" s="312">
        <f>'Maldives at LG Daily'!BB11</f>
        <v>9</v>
      </c>
      <c r="AZ8" s="312">
        <f>'Maldives at LG Daily'!BC11</f>
        <v>1</v>
      </c>
      <c r="BA8" s="312">
        <f>'Maldives at LG Daily'!BD11</f>
        <v>2</v>
      </c>
      <c r="BB8" s="312">
        <f>'Maldives at LG Daily'!BE11</f>
        <v>2</v>
      </c>
      <c r="BC8" s="312">
        <f>'Maldives at LG Daily'!BF11</f>
        <v>2</v>
      </c>
      <c r="BD8" s="312">
        <f>'Maldives at LG Daily'!BG11</f>
        <v>27</v>
      </c>
      <c r="BE8" s="312">
        <f>'Maldives at LG Daily'!BH11</f>
        <v>6</v>
      </c>
      <c r="BF8" s="312">
        <f>'Maldives at LG Daily'!BI11</f>
        <v>2</v>
      </c>
      <c r="BG8" s="312">
        <f>'Maldives at LG Daily'!BJ11</f>
        <v>1</v>
      </c>
      <c r="BH8" s="312">
        <f>'Maldives at LG Daily'!BK11</f>
        <v>4</v>
      </c>
      <c r="BI8" s="312">
        <f>'Maldives at LG Daily'!BL11</f>
        <v>4</v>
      </c>
      <c r="BJ8" s="312">
        <f>'Maldives at LG Daily'!BM11</f>
        <v>19</v>
      </c>
      <c r="BK8" s="312">
        <f>'Maldives at LG Daily'!BN11</f>
        <v>2</v>
      </c>
      <c r="BL8" s="312">
        <f>'Maldives at LG Daily'!BO11</f>
        <v>2</v>
      </c>
      <c r="BM8" s="312">
        <f>'Room Nights and Food Covers'!B11</f>
        <v>61.2</v>
      </c>
      <c r="BN8" s="312">
        <f>'Room Nights and Food Covers'!C11</f>
        <v>539</v>
      </c>
    </row>
    <row r="9" spans="1:66" ht="15.75" thickBot="1">
      <c r="A9" s="313" t="s">
        <v>15</v>
      </c>
      <c r="B9" s="313">
        <v>8</v>
      </c>
      <c r="C9" s="311">
        <f>TOTAL!C9</f>
        <v>1</v>
      </c>
      <c r="D9" s="310">
        <f>TOTAL!D9</f>
        <v>2023</v>
      </c>
      <c r="E9" s="312">
        <f>'SOLAR METER READING'!D16</f>
        <v>2972</v>
      </c>
      <c r="F9" s="312">
        <f>'Maldives at LG Daily'!G12</f>
        <v>6893</v>
      </c>
      <c r="G9" s="312">
        <f>'Maldives at LG Daily'!H12</f>
        <v>7577</v>
      </c>
      <c r="H9" s="312">
        <f>'Maldives at LG Daily'!I12</f>
        <v>3036</v>
      </c>
      <c r="I9" s="312">
        <f>'Maldives at LG Daily'!J12</f>
        <v>2179</v>
      </c>
      <c r="J9" s="312">
        <f>'Maldives at LG Daily'!K12</f>
        <v>7205</v>
      </c>
      <c r="K9" s="312">
        <f>'Maldives at LG Daily'!L12</f>
        <v>4075</v>
      </c>
      <c r="L9" s="312">
        <f>'Maldives at LG Daily'!M12</f>
        <v>4494</v>
      </c>
      <c r="M9" s="312">
        <f>'Maldives at LG Daily'!N12</f>
        <v>11206</v>
      </c>
      <c r="N9" s="312">
        <f>'Maldives at LG Daily'!O12</f>
        <v>2300</v>
      </c>
      <c r="O9" s="312">
        <f>'Maldives at LG Daily'!P12</f>
        <v>2843</v>
      </c>
      <c r="P9" s="312">
        <f>'Maldives at LG Daily'!Q12</f>
        <v>1600</v>
      </c>
      <c r="Q9" s="312">
        <f>'Maldives at LG Daily'!R12</f>
        <v>466</v>
      </c>
      <c r="R9" s="312">
        <f>'Maldives at LG Daily'!S12</f>
        <v>700</v>
      </c>
      <c r="S9" s="312">
        <f>'Maldives at LG Daily'!T12</f>
        <v>2300</v>
      </c>
      <c r="T9" s="312">
        <f>'Maldives at LG Daily'!U12</f>
        <v>448</v>
      </c>
      <c r="U9" s="312">
        <f>'Maldives at LG Daily'!V12</f>
        <v>300</v>
      </c>
      <c r="V9" s="312">
        <f>'Maldives at LG Daily'!W12</f>
        <v>300</v>
      </c>
      <c r="W9" s="312">
        <f>'Maldives at LG Daily'!X12</f>
        <v>600</v>
      </c>
      <c r="X9" s="312">
        <f>'Maldives at LG Daily'!Y12</f>
        <v>120</v>
      </c>
      <c r="Y9" s="312">
        <f>'Maldives at LG Daily'!Z12</f>
        <v>410</v>
      </c>
      <c r="Z9" s="312">
        <f>'Maldives at LG Daily'!AA12</f>
        <v>1200</v>
      </c>
      <c r="AA9" s="312">
        <f>'Maldives at LG Daily'!AB12</f>
        <v>430</v>
      </c>
      <c r="AB9" s="312">
        <f>'Maldives at LG Daily'!AC12</f>
        <v>1070</v>
      </c>
      <c r="AC9" s="312">
        <f>'Maldives at LG Daily'!AD12</f>
        <v>840</v>
      </c>
      <c r="AD9" s="312">
        <f>'Maldives at LG Daily'!AE12</f>
        <v>800</v>
      </c>
      <c r="AE9" s="312">
        <f>'Maldives at LG Daily'!AF12</f>
        <v>800</v>
      </c>
      <c r="AF9" s="312">
        <f>'Maldives at LG Daily'!AG12</f>
        <v>700</v>
      </c>
      <c r="AG9" s="312">
        <f>'Maldives at LG Daily'!AH12</f>
        <v>510</v>
      </c>
      <c r="AH9" s="312">
        <f>'Maldives at LG Daily'!AI12</f>
        <v>330</v>
      </c>
      <c r="AI9" s="312">
        <f>'Maldives at LG Daily'!AJ12</f>
        <v>120</v>
      </c>
      <c r="AJ9" s="312">
        <f>'Maldives at LG Daily'!AK12</f>
        <v>850</v>
      </c>
      <c r="AK9" s="312">
        <f>'Maldives at LG Daily'!AL12</f>
        <v>300</v>
      </c>
      <c r="AL9" s="312">
        <f>'Maldives at LG Daily'!AM12</f>
        <v>380</v>
      </c>
      <c r="AM9" s="312">
        <f>'Maldives at LG Daily'!AN12</f>
        <v>510</v>
      </c>
      <c r="AN9" s="312">
        <f>'Maldives at LG Daily'!AQ12</f>
        <v>169</v>
      </c>
      <c r="AO9" s="312">
        <f>'Maldives at LG Daily'!AR12</f>
        <v>10</v>
      </c>
      <c r="AP9" s="312">
        <f>'Maldives at LG Daily'!AS12</f>
        <v>125</v>
      </c>
      <c r="AQ9" s="312">
        <f>'Maldives at LG Daily'!AT12</f>
        <v>0</v>
      </c>
      <c r="AR9" s="312">
        <f>'Maldives at LG Daily'!AU12</f>
        <v>32</v>
      </c>
      <c r="AS9" s="312">
        <f>'Maldives at LG Daily'!AV12</f>
        <v>6</v>
      </c>
      <c r="AT9" s="312">
        <f>'Maldives at LG Daily'!AW12</f>
        <v>9</v>
      </c>
      <c r="AU9" s="312">
        <f>'Maldives at LG Daily'!AX12</f>
        <v>12</v>
      </c>
      <c r="AV9" s="312">
        <f>'Maldives at LG Daily'!AY12</f>
        <v>10</v>
      </c>
      <c r="AW9" s="312">
        <f>'Maldives at LG Daily'!AZ12</f>
        <v>7</v>
      </c>
      <c r="AX9" s="312">
        <f>'Maldives at LG Daily'!BA12</f>
        <v>9</v>
      </c>
      <c r="AY9" s="312">
        <f>'Maldives at LG Daily'!BB12</f>
        <v>9</v>
      </c>
      <c r="AZ9" s="312">
        <f>'Maldives at LG Daily'!BC12</f>
        <v>2</v>
      </c>
      <c r="BA9" s="312">
        <f>'Maldives at LG Daily'!BD12</f>
        <v>0</v>
      </c>
      <c r="BB9" s="312">
        <f>'Maldives at LG Daily'!BE12</f>
        <v>3</v>
      </c>
      <c r="BC9" s="312">
        <f>'Maldives at LG Daily'!BF12</f>
        <v>1</v>
      </c>
      <c r="BD9" s="312">
        <f>'Maldives at LG Daily'!BG12</f>
        <v>23</v>
      </c>
      <c r="BE9" s="312">
        <f>'Maldives at LG Daily'!BH12</f>
        <v>17</v>
      </c>
      <c r="BF9" s="312">
        <f>'Maldives at LG Daily'!BI12</f>
        <v>1</v>
      </c>
      <c r="BG9" s="312">
        <f>'Maldives at LG Daily'!BJ12</f>
        <v>1</v>
      </c>
      <c r="BH9" s="312">
        <f>'Maldives at LG Daily'!BK12</f>
        <v>3</v>
      </c>
      <c r="BI9" s="312">
        <f>'Maldives at LG Daily'!BL12</f>
        <v>4</v>
      </c>
      <c r="BJ9" s="312">
        <f>'Maldives at LG Daily'!BM12</f>
        <v>20</v>
      </c>
      <c r="BK9" s="312">
        <f>'Maldives at LG Daily'!BN12</f>
        <v>4</v>
      </c>
      <c r="BL9" s="312">
        <f>'Maldives at LG Daily'!BO12</f>
        <v>2</v>
      </c>
      <c r="BM9" s="312">
        <f>'Room Nights and Food Covers'!B12</f>
        <v>43.7</v>
      </c>
      <c r="BN9" s="312">
        <f>'Room Nights and Food Covers'!C12</f>
        <v>334</v>
      </c>
    </row>
    <row r="10" spans="1:66" ht="15.75" thickBot="1">
      <c r="A10" s="313" t="s">
        <v>15</v>
      </c>
      <c r="B10" s="313">
        <v>9</v>
      </c>
      <c r="C10" s="311">
        <f>TOTAL!C10</f>
        <v>1</v>
      </c>
      <c r="D10" s="310">
        <f>TOTAL!D10</f>
        <v>2023</v>
      </c>
      <c r="E10" s="312">
        <f>'SOLAR METER READING'!D17</f>
        <v>2822</v>
      </c>
      <c r="F10" s="312">
        <f>'Maldives at LG Daily'!G13</f>
        <v>0</v>
      </c>
      <c r="G10" s="312">
        <f>'Maldives at LG Daily'!H13</f>
        <v>10197</v>
      </c>
      <c r="H10" s="312">
        <f>'Maldives at LG Daily'!I13</f>
        <v>7274</v>
      </c>
      <c r="I10" s="312">
        <f>'Maldives at LG Daily'!J13</f>
        <v>3110</v>
      </c>
      <c r="J10" s="312">
        <f>'Maldives at LG Daily'!K13</f>
        <v>5919</v>
      </c>
      <c r="K10" s="312">
        <f>'Maldives at LG Daily'!L13</f>
        <v>3970</v>
      </c>
      <c r="L10" s="312">
        <f>'Maldives at LG Daily'!M13</f>
        <v>4695</v>
      </c>
      <c r="M10" s="312">
        <f>'Maldives at LG Daily'!N13</f>
        <v>11415</v>
      </c>
      <c r="N10" s="312">
        <f>'Maldives at LG Daily'!O13</f>
        <v>2200</v>
      </c>
      <c r="O10" s="312">
        <f>'Maldives at LG Daily'!P13</f>
        <v>2966</v>
      </c>
      <c r="P10" s="312">
        <f>'Maldives at LG Daily'!Q13</f>
        <v>1600</v>
      </c>
      <c r="Q10" s="312">
        <f>'Maldives at LG Daily'!R13</f>
        <v>475</v>
      </c>
      <c r="R10" s="312">
        <f>'Maldives at LG Daily'!S13</f>
        <v>700</v>
      </c>
      <c r="S10" s="312">
        <f>'Maldives at LG Daily'!T13</f>
        <v>1900</v>
      </c>
      <c r="T10" s="312">
        <f>'Maldives at LG Daily'!U13</f>
        <v>472</v>
      </c>
      <c r="U10" s="312">
        <f>'Maldives at LG Daily'!V13</f>
        <v>200</v>
      </c>
      <c r="V10" s="312">
        <f>'Maldives at LG Daily'!W13</f>
        <v>200</v>
      </c>
      <c r="W10" s="312">
        <f>'Maldives at LG Daily'!X13</f>
        <v>600</v>
      </c>
      <c r="X10" s="312">
        <f>'Maldives at LG Daily'!Y13</f>
        <v>130</v>
      </c>
      <c r="Y10" s="312">
        <f>'Maldives at LG Daily'!Z13</f>
        <v>430</v>
      </c>
      <c r="Z10" s="312">
        <f>'Maldives at LG Daily'!AA13</f>
        <v>1200</v>
      </c>
      <c r="AA10" s="312">
        <f>'Maldives at LG Daily'!AB13</f>
        <v>440</v>
      </c>
      <c r="AB10" s="312">
        <f>'Maldives at LG Daily'!AC13</f>
        <v>1050</v>
      </c>
      <c r="AC10" s="312">
        <f>'Maldives at LG Daily'!AD13</f>
        <v>1040</v>
      </c>
      <c r="AD10" s="312">
        <f>'Maldives at LG Daily'!AE13</f>
        <v>1200</v>
      </c>
      <c r="AE10" s="312">
        <f>'Maldives at LG Daily'!AF13</f>
        <v>1200</v>
      </c>
      <c r="AF10" s="312">
        <f>'Maldives at LG Daily'!AG13</f>
        <v>760</v>
      </c>
      <c r="AG10" s="312">
        <f>'Maldives at LG Daily'!AH13</f>
        <v>570</v>
      </c>
      <c r="AH10" s="312">
        <f>'Maldives at LG Daily'!AI13</f>
        <v>320</v>
      </c>
      <c r="AI10" s="312">
        <f>'Maldives at LG Daily'!AJ13</f>
        <v>100</v>
      </c>
      <c r="AJ10" s="312">
        <f>'Maldives at LG Daily'!AK13</f>
        <v>920</v>
      </c>
      <c r="AK10" s="312">
        <f>'Maldives at LG Daily'!AL13</f>
        <v>290</v>
      </c>
      <c r="AL10" s="312">
        <f>'Maldives at LG Daily'!AM13</f>
        <v>360</v>
      </c>
      <c r="AM10" s="312">
        <f>'Maldives at LG Daily'!AN13</f>
        <v>560</v>
      </c>
      <c r="AN10" s="312">
        <f>'Maldives at LG Daily'!AQ13</f>
        <v>182</v>
      </c>
      <c r="AO10" s="312">
        <f>'Maldives at LG Daily'!AR13</f>
        <v>0</v>
      </c>
      <c r="AP10" s="312">
        <f>'Maldives at LG Daily'!AS13</f>
        <v>149</v>
      </c>
      <c r="AQ10" s="312">
        <f>'Maldives at LG Daily'!AT13</f>
        <v>0</v>
      </c>
      <c r="AR10" s="312">
        <f>'Maldives at LG Daily'!AU13</f>
        <v>31</v>
      </c>
      <c r="AS10" s="312">
        <f>'Maldives at LG Daily'!AV13</f>
        <v>6</v>
      </c>
      <c r="AT10" s="312">
        <f>'Maldives at LG Daily'!AW13</f>
        <v>10</v>
      </c>
      <c r="AU10" s="312">
        <f>'Maldives at LG Daily'!AX13</f>
        <v>11</v>
      </c>
      <c r="AV10" s="312">
        <f>'Maldives at LG Daily'!AY13</f>
        <v>9</v>
      </c>
      <c r="AW10" s="312">
        <f>'Maldives at LG Daily'!AZ13</f>
        <v>7</v>
      </c>
      <c r="AX10" s="312">
        <f>'Maldives at LG Daily'!BA13</f>
        <v>9</v>
      </c>
      <c r="AY10" s="312">
        <f>'Maldives at LG Daily'!BB13</f>
        <v>7</v>
      </c>
      <c r="AZ10" s="312">
        <f>'Maldives at LG Daily'!BC13</f>
        <v>2</v>
      </c>
      <c r="BA10" s="312">
        <f>'Maldives at LG Daily'!BD13</f>
        <v>1</v>
      </c>
      <c r="BB10" s="312">
        <f>'Maldives at LG Daily'!BE13</f>
        <v>5</v>
      </c>
      <c r="BC10" s="312">
        <f>'Maldives at LG Daily'!BF13</f>
        <v>4</v>
      </c>
      <c r="BD10" s="312">
        <f>'Maldives at LG Daily'!BG13</f>
        <v>24</v>
      </c>
      <c r="BE10" s="312">
        <f>'Maldives at LG Daily'!BH13</f>
        <v>8</v>
      </c>
      <c r="BF10" s="312">
        <f>'Maldives at LG Daily'!BI13</f>
        <v>1</v>
      </c>
      <c r="BG10" s="312">
        <f>'Maldives at LG Daily'!BJ13</f>
        <v>1</v>
      </c>
      <c r="BH10" s="312">
        <f>'Maldives at LG Daily'!BK13</f>
        <v>3</v>
      </c>
      <c r="BI10" s="312">
        <f>'Maldives at LG Daily'!BL13</f>
        <v>2</v>
      </c>
      <c r="BJ10" s="312">
        <f>'Maldives at LG Daily'!BM13</f>
        <v>10</v>
      </c>
      <c r="BK10" s="312">
        <f>'Maldives at LG Daily'!BN13</f>
        <v>6</v>
      </c>
      <c r="BL10" s="312">
        <f>'Maldives at LG Daily'!BO13</f>
        <v>3</v>
      </c>
      <c r="BM10" s="312">
        <f>'Room Nights and Food Covers'!B13</f>
        <v>42.7</v>
      </c>
      <c r="BN10" s="312">
        <f>'Room Nights and Food Covers'!C13</f>
        <v>338</v>
      </c>
    </row>
    <row r="11" spans="1:66" ht="15.75" thickBot="1">
      <c r="A11" s="313" t="s">
        <v>15</v>
      </c>
      <c r="B11" s="313">
        <v>10</v>
      </c>
      <c r="C11" s="311">
        <f>TOTAL!C11</f>
        <v>1</v>
      </c>
      <c r="D11" s="310">
        <f>TOTAL!D11</f>
        <v>2023</v>
      </c>
      <c r="E11" s="312">
        <f>'SOLAR METER READING'!D18</f>
        <v>2734</v>
      </c>
      <c r="F11" s="312">
        <f>'Maldives at LG Daily'!G14</f>
        <v>7687</v>
      </c>
      <c r="G11" s="312">
        <f>'Maldives at LG Daily'!H14</f>
        <v>6741</v>
      </c>
      <c r="H11" s="312">
        <f>'Maldives at LG Daily'!I14</f>
        <v>15</v>
      </c>
      <c r="I11" s="312">
        <f>'Maldives at LG Daily'!J14</f>
        <v>3666</v>
      </c>
      <c r="J11" s="312">
        <f>'Maldives at LG Daily'!K14</f>
        <v>7865</v>
      </c>
      <c r="K11" s="312">
        <f>'Maldives at LG Daily'!L14</f>
        <v>3839</v>
      </c>
      <c r="L11" s="312">
        <f>'Maldives at LG Daily'!M14</f>
        <v>4138</v>
      </c>
      <c r="M11" s="312">
        <f>'Maldives at LG Daily'!N14</f>
        <v>11193</v>
      </c>
      <c r="N11" s="312">
        <f>'Maldives at LG Daily'!O14</f>
        <v>2100</v>
      </c>
      <c r="O11" s="312">
        <f>'Maldives at LG Daily'!P14</f>
        <v>2907</v>
      </c>
      <c r="P11" s="312">
        <f>'Maldives at LG Daily'!Q14</f>
        <v>1600</v>
      </c>
      <c r="Q11" s="312">
        <f>'Maldives at LG Daily'!R14</f>
        <v>466</v>
      </c>
      <c r="R11" s="312">
        <f>'Maldives at LG Daily'!S14</f>
        <v>800</v>
      </c>
      <c r="S11" s="312">
        <f>'Maldives at LG Daily'!T14</f>
        <v>1900</v>
      </c>
      <c r="T11" s="312">
        <f>'Maldives at LG Daily'!U14</f>
        <v>430</v>
      </c>
      <c r="U11" s="312">
        <f>'Maldives at LG Daily'!V14</f>
        <v>300</v>
      </c>
      <c r="V11" s="312">
        <f>'Maldives at LG Daily'!W14</f>
        <v>300</v>
      </c>
      <c r="W11" s="312">
        <f>'Maldives at LG Daily'!X14</f>
        <v>500</v>
      </c>
      <c r="X11" s="312">
        <f>'Maldives at LG Daily'!Y14</f>
        <v>130</v>
      </c>
      <c r="Y11" s="312">
        <f>'Maldives at LG Daily'!Z14</f>
        <v>370</v>
      </c>
      <c r="Z11" s="312">
        <f>'Maldives at LG Daily'!AA14</f>
        <v>1200</v>
      </c>
      <c r="AA11" s="312">
        <f>'Maldives at LG Daily'!AB14</f>
        <v>410</v>
      </c>
      <c r="AB11" s="312">
        <f>'Maldives at LG Daily'!AC14</f>
        <v>770</v>
      </c>
      <c r="AC11" s="312">
        <f>'Maldives at LG Daily'!AD14</f>
        <v>990</v>
      </c>
      <c r="AD11" s="312">
        <f>'Maldives at LG Daily'!AE14</f>
        <v>1000</v>
      </c>
      <c r="AE11" s="312">
        <f>'Maldives at LG Daily'!AF14</f>
        <v>1000</v>
      </c>
      <c r="AF11" s="312">
        <f>'Maldives at LG Daily'!AG14</f>
        <v>790</v>
      </c>
      <c r="AG11" s="312">
        <f>'Maldives at LG Daily'!AH14</f>
        <v>580</v>
      </c>
      <c r="AH11" s="312">
        <f>'Maldives at LG Daily'!AI14</f>
        <v>320</v>
      </c>
      <c r="AI11" s="312">
        <f>'Maldives at LG Daily'!AJ14</f>
        <v>140</v>
      </c>
      <c r="AJ11" s="312">
        <f>'Maldives at LG Daily'!AK14</f>
        <v>940</v>
      </c>
      <c r="AK11" s="312">
        <f>'Maldives at LG Daily'!AL14</f>
        <v>300</v>
      </c>
      <c r="AL11" s="312">
        <f>'Maldives at LG Daily'!AM14</f>
        <v>430</v>
      </c>
      <c r="AM11" s="312">
        <f>'Maldives at LG Daily'!AN14</f>
        <v>520</v>
      </c>
      <c r="AN11" s="312">
        <f>'Maldives at LG Daily'!AQ14</f>
        <v>181</v>
      </c>
      <c r="AO11" s="312">
        <f>'Maldives at LG Daily'!AR14</f>
        <v>0</v>
      </c>
      <c r="AP11" s="312">
        <f>'Maldives at LG Daily'!AS14</f>
        <v>125</v>
      </c>
      <c r="AQ11" s="312">
        <f>'Maldives at LG Daily'!AT14</f>
        <v>0</v>
      </c>
      <c r="AR11" s="312">
        <f>'Maldives at LG Daily'!AU14</f>
        <v>26</v>
      </c>
      <c r="AS11" s="312">
        <f>'Maldives at LG Daily'!AV14</f>
        <v>7</v>
      </c>
      <c r="AT11" s="312">
        <f>'Maldives at LG Daily'!AW14</f>
        <v>10</v>
      </c>
      <c r="AU11" s="312">
        <f>'Maldives at LG Daily'!AX14</f>
        <v>13</v>
      </c>
      <c r="AV11" s="312">
        <f>'Maldives at LG Daily'!AY14</f>
        <v>7</v>
      </c>
      <c r="AW11" s="312">
        <f>'Maldives at LG Daily'!AZ14</f>
        <v>6</v>
      </c>
      <c r="AX11" s="312">
        <f>'Maldives at LG Daily'!BA14</f>
        <v>8</v>
      </c>
      <c r="AY11" s="312">
        <f>'Maldives at LG Daily'!BB14</f>
        <v>7</v>
      </c>
      <c r="AZ11" s="312">
        <f>'Maldives at LG Daily'!BC14</f>
        <v>2</v>
      </c>
      <c r="BA11" s="312">
        <f>'Maldives at LG Daily'!BD14</f>
        <v>1</v>
      </c>
      <c r="BB11" s="312">
        <f>'Maldives at LG Daily'!BE14</f>
        <v>4</v>
      </c>
      <c r="BC11" s="312">
        <f>'Maldives at LG Daily'!BF14</f>
        <v>1</v>
      </c>
      <c r="BD11" s="312">
        <f>'Maldives at LG Daily'!BG14</f>
        <v>23</v>
      </c>
      <c r="BE11" s="312">
        <f>'Maldives at LG Daily'!BH14</f>
        <v>8</v>
      </c>
      <c r="BF11" s="312">
        <f>'Maldives at LG Daily'!BI14</f>
        <v>1</v>
      </c>
      <c r="BG11" s="312">
        <f>'Maldives at LG Daily'!BJ14</f>
        <v>0</v>
      </c>
      <c r="BH11" s="312">
        <f>'Maldives at LG Daily'!BK14</f>
        <v>2</v>
      </c>
      <c r="BI11" s="312">
        <f>'Maldives at LG Daily'!BL14</f>
        <v>2</v>
      </c>
      <c r="BJ11" s="312">
        <f>'Maldives at LG Daily'!BM14</f>
        <v>20</v>
      </c>
      <c r="BK11" s="312">
        <f>'Maldives at LG Daily'!BN14</f>
        <v>2</v>
      </c>
      <c r="BL11" s="312">
        <f>'Maldives at LG Daily'!BO14</f>
        <v>1</v>
      </c>
      <c r="BM11" s="312">
        <f>'Room Nights and Food Covers'!B14</f>
        <v>35</v>
      </c>
      <c r="BN11" s="312">
        <f>'Room Nights and Food Covers'!C14</f>
        <v>285</v>
      </c>
    </row>
    <row r="12" spans="1:66" ht="15.75" thickBot="1">
      <c r="A12" s="313" t="s">
        <v>15</v>
      </c>
      <c r="B12" s="313">
        <v>11</v>
      </c>
      <c r="C12" s="311">
        <f>TOTAL!C12</f>
        <v>1</v>
      </c>
      <c r="D12" s="310">
        <f>TOTAL!D12</f>
        <v>2023</v>
      </c>
      <c r="E12" s="312">
        <f>'SOLAR METER READING'!D19</f>
        <v>2817</v>
      </c>
      <c r="F12" s="312">
        <f>'Maldives at LG Daily'!G15</f>
        <v>7264</v>
      </c>
      <c r="G12" s="312">
        <f>'Maldives at LG Daily'!H15</f>
        <v>4793</v>
      </c>
      <c r="H12" s="312">
        <f>'Maldives at LG Daily'!I15</f>
        <v>2625</v>
      </c>
      <c r="I12" s="312">
        <f>'Maldives at LG Daily'!J15</f>
        <v>4780</v>
      </c>
      <c r="J12" s="312">
        <f>'Maldives at LG Daily'!K15</f>
        <v>5430</v>
      </c>
      <c r="K12" s="312">
        <f>'Maldives at LG Daily'!L15</f>
        <v>3629</v>
      </c>
      <c r="L12" s="312">
        <f>'Maldives at LG Daily'!M15</f>
        <v>3859</v>
      </c>
      <c r="M12" s="312">
        <f>'Maldives at LG Daily'!N15</f>
        <v>10932</v>
      </c>
      <c r="N12" s="312">
        <f>'Maldives at LG Daily'!O15</f>
        <v>2200</v>
      </c>
      <c r="O12" s="312">
        <f>'Maldives at LG Daily'!P15</f>
        <v>2878</v>
      </c>
      <c r="P12" s="312">
        <f>'Maldives at LG Daily'!Q15</f>
        <v>1500</v>
      </c>
      <c r="Q12" s="312">
        <f>'Maldives at LG Daily'!R15</f>
        <v>425</v>
      </c>
      <c r="R12" s="312">
        <f>'Maldives at LG Daily'!S15</f>
        <v>700</v>
      </c>
      <c r="S12" s="312">
        <f>'Maldives at LG Daily'!T15</f>
        <v>2000</v>
      </c>
      <c r="T12" s="312">
        <f>'Maldives at LG Daily'!U15</f>
        <v>420</v>
      </c>
      <c r="U12" s="312">
        <f>'Maldives at LG Daily'!V15</f>
        <v>300</v>
      </c>
      <c r="V12" s="312">
        <f>'Maldives at LG Daily'!W15</f>
        <v>300</v>
      </c>
      <c r="W12" s="312">
        <f>'Maldives at LG Daily'!X15</f>
        <v>600</v>
      </c>
      <c r="X12" s="312">
        <f>'Maldives at LG Daily'!Y15</f>
        <v>120</v>
      </c>
      <c r="Y12" s="312">
        <f>'Maldives at LG Daily'!Z15</f>
        <v>320</v>
      </c>
      <c r="Z12" s="312">
        <f>'Maldives at LG Daily'!AA15</f>
        <v>1100</v>
      </c>
      <c r="AA12" s="312">
        <f>'Maldives at LG Daily'!AB15</f>
        <v>430</v>
      </c>
      <c r="AB12" s="312">
        <f>'Maldives at LG Daily'!AC15</f>
        <v>750</v>
      </c>
      <c r="AC12" s="312">
        <f>'Maldives at LG Daily'!AD15</f>
        <v>960</v>
      </c>
      <c r="AD12" s="312">
        <f>'Maldives at LG Daily'!AE15</f>
        <v>800</v>
      </c>
      <c r="AE12" s="312">
        <f>'Maldives at LG Daily'!AF15</f>
        <v>800</v>
      </c>
      <c r="AF12" s="312">
        <f>'Maldives at LG Daily'!AG15</f>
        <v>750</v>
      </c>
      <c r="AG12" s="312">
        <f>'Maldives at LG Daily'!AH15</f>
        <v>610</v>
      </c>
      <c r="AH12" s="312">
        <f>'Maldives at LG Daily'!AI15</f>
        <v>290</v>
      </c>
      <c r="AI12" s="312">
        <f>'Maldives at LG Daily'!AJ15</f>
        <v>110</v>
      </c>
      <c r="AJ12" s="312">
        <f>'Maldives at LG Daily'!AK15</f>
        <v>950</v>
      </c>
      <c r="AK12" s="312">
        <f>'Maldives at LG Daily'!AL15</f>
        <v>300</v>
      </c>
      <c r="AL12" s="312">
        <f>'Maldives at LG Daily'!AM15</f>
        <v>400</v>
      </c>
      <c r="AM12" s="312">
        <f>'Maldives at LG Daily'!AN15</f>
        <v>530</v>
      </c>
      <c r="AN12" s="312">
        <f>'Maldives at LG Daily'!AQ15</f>
        <v>175</v>
      </c>
      <c r="AO12" s="312">
        <f>'Maldives at LG Daily'!AR15</f>
        <v>31</v>
      </c>
      <c r="AP12" s="312">
        <f>'Maldives at LG Daily'!AS15</f>
        <v>132</v>
      </c>
      <c r="AQ12" s="312">
        <f>'Maldives at LG Daily'!AT15</f>
        <v>0</v>
      </c>
      <c r="AR12" s="312">
        <f>'Maldives at LG Daily'!AU15</f>
        <v>24</v>
      </c>
      <c r="AS12" s="312">
        <f>'Maldives at LG Daily'!AV15</f>
        <v>6</v>
      </c>
      <c r="AT12" s="312">
        <f>'Maldives at LG Daily'!AW15</f>
        <v>10</v>
      </c>
      <c r="AU12" s="312">
        <f>'Maldives at LG Daily'!AX15</f>
        <v>10</v>
      </c>
      <c r="AV12" s="312">
        <f>'Maldives at LG Daily'!AY15</f>
        <v>9</v>
      </c>
      <c r="AW12" s="312">
        <f>'Maldives at LG Daily'!AZ15</f>
        <v>7</v>
      </c>
      <c r="AX12" s="312">
        <f>'Maldives at LG Daily'!BA15</f>
        <v>8</v>
      </c>
      <c r="AY12" s="312">
        <f>'Maldives at LG Daily'!BB15</f>
        <v>9</v>
      </c>
      <c r="AZ12" s="312">
        <f>'Maldives at LG Daily'!BC15</f>
        <v>2</v>
      </c>
      <c r="BA12" s="312">
        <f>'Maldives at LG Daily'!BD15</f>
        <v>1</v>
      </c>
      <c r="BB12" s="312">
        <f>'Maldives at LG Daily'!BE15</f>
        <v>1</v>
      </c>
      <c r="BC12" s="312">
        <f>'Maldives at LG Daily'!BF15</f>
        <v>1</v>
      </c>
      <c r="BD12" s="312">
        <f>'Maldives at LG Daily'!BG15</f>
        <v>25</v>
      </c>
      <c r="BE12" s="312">
        <f>'Maldives at LG Daily'!BH15</f>
        <v>11</v>
      </c>
      <c r="BF12" s="312">
        <f>'Maldives at LG Daily'!BI15</f>
        <v>1</v>
      </c>
      <c r="BG12" s="312">
        <f>'Maldives at LG Daily'!BJ15</f>
        <v>1</v>
      </c>
      <c r="BH12" s="312">
        <f>'Maldives at LG Daily'!BK15</f>
        <v>4</v>
      </c>
      <c r="BI12" s="312">
        <f>'Maldives at LG Daily'!BL15</f>
        <v>4</v>
      </c>
      <c r="BJ12" s="312">
        <f>'Maldives at LG Daily'!BM15</f>
        <v>12</v>
      </c>
      <c r="BK12" s="312">
        <f>'Maldives at LG Daily'!BN15</f>
        <v>1</v>
      </c>
      <c r="BL12" s="312">
        <f>'Maldives at LG Daily'!BO15</f>
        <v>2</v>
      </c>
      <c r="BM12" s="312">
        <f>'Room Nights and Food Covers'!B15</f>
        <v>40.799999999999997</v>
      </c>
      <c r="BN12" s="312">
        <f>'Room Nights and Food Covers'!C15</f>
        <v>346</v>
      </c>
    </row>
    <row r="13" spans="1:66" ht="15.75" thickBot="1">
      <c r="A13" s="313" t="s">
        <v>15</v>
      </c>
      <c r="B13" s="313">
        <v>12</v>
      </c>
      <c r="C13" s="311">
        <f>TOTAL!C13</f>
        <v>1</v>
      </c>
      <c r="D13" s="310">
        <f>TOTAL!D13</f>
        <v>2023</v>
      </c>
      <c r="E13" s="312">
        <f>'SOLAR METER READING'!D20</f>
        <v>2161</v>
      </c>
      <c r="F13" s="312">
        <f>'Maldives at LG Daily'!G16</f>
        <v>7040</v>
      </c>
      <c r="G13" s="312">
        <f>'Maldives at LG Daily'!H16</f>
        <v>0</v>
      </c>
      <c r="H13" s="312">
        <f>'Maldives at LG Daily'!I16</f>
        <v>3473</v>
      </c>
      <c r="I13" s="312">
        <f>'Maldives at LG Daily'!J16</f>
        <v>2892</v>
      </c>
      <c r="J13" s="312">
        <f>'Maldives at LG Daily'!K16</f>
        <v>10886</v>
      </c>
      <c r="K13" s="312">
        <f>'Maldives at LG Daily'!L16</f>
        <v>3458</v>
      </c>
      <c r="L13" s="312">
        <f>'Maldives at LG Daily'!M16</f>
        <v>3569</v>
      </c>
      <c r="M13" s="312">
        <f>'Maldives at LG Daily'!N16</f>
        <v>11155</v>
      </c>
      <c r="N13" s="312">
        <f>'Maldives at LG Daily'!O16</f>
        <v>2100</v>
      </c>
      <c r="O13" s="312">
        <f>'Maldives at LG Daily'!P16</f>
        <v>2820</v>
      </c>
      <c r="P13" s="312">
        <f>'Maldives at LG Daily'!Q16</f>
        <v>1700</v>
      </c>
      <c r="Q13" s="312">
        <f>'Maldives at LG Daily'!R16</f>
        <v>481</v>
      </c>
      <c r="R13" s="312">
        <f>'Maldives at LG Daily'!S16</f>
        <v>600</v>
      </c>
      <c r="S13" s="312">
        <f>'Maldives at LG Daily'!T16</f>
        <v>1900</v>
      </c>
      <c r="T13" s="312">
        <f>'Maldives at LG Daily'!U16</f>
        <v>358</v>
      </c>
      <c r="U13" s="312">
        <f>'Maldives at LG Daily'!V16</f>
        <v>300</v>
      </c>
      <c r="V13" s="312">
        <f>'Maldives at LG Daily'!W16</f>
        <v>300</v>
      </c>
      <c r="W13" s="312">
        <f>'Maldives at LG Daily'!X16</f>
        <v>500</v>
      </c>
      <c r="X13" s="312">
        <f>'Maldives at LG Daily'!Y16</f>
        <v>100</v>
      </c>
      <c r="Y13" s="312">
        <f>'Maldives at LG Daily'!Z16</f>
        <v>400</v>
      </c>
      <c r="Z13" s="312">
        <f>'Maldives at LG Daily'!AA16</f>
        <v>1200</v>
      </c>
      <c r="AA13" s="312">
        <f>'Maldives at LG Daily'!AB16</f>
        <v>480</v>
      </c>
      <c r="AB13" s="312">
        <f>'Maldives at LG Daily'!AC16</f>
        <v>670</v>
      </c>
      <c r="AC13" s="312">
        <f>'Maldives at LG Daily'!AD16</f>
        <v>770</v>
      </c>
      <c r="AD13" s="312">
        <f>'Maldives at LG Daily'!AE16</f>
        <v>700</v>
      </c>
      <c r="AE13" s="312">
        <f>'Maldives at LG Daily'!AF16</f>
        <v>700</v>
      </c>
      <c r="AF13" s="312">
        <f>'Maldives at LG Daily'!AG16</f>
        <v>610</v>
      </c>
      <c r="AG13" s="312">
        <f>'Maldives at LG Daily'!AH16</f>
        <v>520</v>
      </c>
      <c r="AH13" s="312">
        <f>'Maldives at LG Daily'!AI16</f>
        <v>310</v>
      </c>
      <c r="AI13" s="312">
        <f>'Maldives at LG Daily'!AJ16</f>
        <v>120</v>
      </c>
      <c r="AJ13" s="312">
        <f>'Maldives at LG Daily'!AK16</f>
        <v>870</v>
      </c>
      <c r="AK13" s="312">
        <f>'Maldives at LG Daily'!AL16</f>
        <v>260</v>
      </c>
      <c r="AL13" s="312">
        <f>'Maldives at LG Daily'!AM16</f>
        <v>330</v>
      </c>
      <c r="AM13" s="312">
        <f>'Maldives at LG Daily'!AN16</f>
        <v>520</v>
      </c>
      <c r="AN13" s="312">
        <f>'Maldives at LG Daily'!AQ16</f>
        <v>169</v>
      </c>
      <c r="AO13" s="312">
        <f>'Maldives at LG Daily'!AR16</f>
        <v>21</v>
      </c>
      <c r="AP13" s="312">
        <f>'Maldives at LG Daily'!AS16</f>
        <v>120</v>
      </c>
      <c r="AQ13" s="312">
        <f>'Maldives at LG Daily'!AT16</f>
        <v>0</v>
      </c>
      <c r="AR13" s="312">
        <f>'Maldives at LG Daily'!AU16</f>
        <v>28</v>
      </c>
      <c r="AS13" s="312">
        <f>'Maldives at LG Daily'!AV16</f>
        <v>5</v>
      </c>
      <c r="AT13" s="312">
        <f>'Maldives at LG Daily'!AW16</f>
        <v>10</v>
      </c>
      <c r="AU13" s="312">
        <f>'Maldives at LG Daily'!AX16</f>
        <v>11</v>
      </c>
      <c r="AV13" s="312">
        <f>'Maldives at LG Daily'!AY16</f>
        <v>8</v>
      </c>
      <c r="AW13" s="312">
        <f>'Maldives at LG Daily'!AZ16</f>
        <v>7</v>
      </c>
      <c r="AX13" s="312">
        <f>'Maldives at LG Daily'!BA16</f>
        <v>8</v>
      </c>
      <c r="AY13" s="312">
        <f>'Maldives at LG Daily'!BB16</f>
        <v>7</v>
      </c>
      <c r="AZ13" s="312">
        <f>'Maldives at LG Daily'!BC16</f>
        <v>2</v>
      </c>
      <c r="BA13" s="312">
        <f>'Maldives at LG Daily'!BD16</f>
        <v>1</v>
      </c>
      <c r="BB13" s="312">
        <f>'Maldives at LG Daily'!BE16</f>
        <v>5</v>
      </c>
      <c r="BC13" s="312">
        <f>'Maldives at LG Daily'!BF16</f>
        <v>3</v>
      </c>
      <c r="BD13" s="312">
        <f>'Maldives at LG Daily'!BG16</f>
        <v>30</v>
      </c>
      <c r="BE13" s="312">
        <f>'Maldives at LG Daily'!BH16</f>
        <v>10</v>
      </c>
      <c r="BF13" s="312">
        <f>'Maldives at LG Daily'!BI16</f>
        <v>4</v>
      </c>
      <c r="BG13" s="312">
        <f>'Maldives at LG Daily'!BJ16</f>
        <v>0</v>
      </c>
      <c r="BH13" s="312">
        <f>'Maldives at LG Daily'!BK16</f>
        <v>2</v>
      </c>
      <c r="BI13" s="312">
        <f>'Maldives at LG Daily'!BL16</f>
        <v>3</v>
      </c>
      <c r="BJ13" s="312">
        <f>'Maldives at LG Daily'!BM16</f>
        <v>13</v>
      </c>
      <c r="BK13" s="312">
        <f>'Maldives at LG Daily'!BN16</f>
        <v>4</v>
      </c>
      <c r="BL13" s="312">
        <f>'Maldives at LG Daily'!BO16</f>
        <v>8</v>
      </c>
      <c r="BM13" s="312">
        <f>'Room Nights and Food Covers'!B16</f>
        <v>46.6</v>
      </c>
      <c r="BN13" s="312">
        <f>'Room Nights and Food Covers'!C16</f>
        <v>372</v>
      </c>
    </row>
    <row r="14" spans="1:66" ht="15.75" thickBot="1">
      <c r="A14" s="313" t="s">
        <v>15</v>
      </c>
      <c r="B14" s="313">
        <v>13</v>
      </c>
      <c r="C14" s="311">
        <f>TOTAL!C14</f>
        <v>1</v>
      </c>
      <c r="D14" s="310">
        <f>TOTAL!D14</f>
        <v>2023</v>
      </c>
      <c r="E14" s="312">
        <f>'SOLAR METER READING'!D21</f>
        <v>3075</v>
      </c>
      <c r="F14" s="312">
        <f>'Maldives at LG Daily'!G17</f>
        <v>5002</v>
      </c>
      <c r="G14" s="312">
        <f>'Maldives at LG Daily'!H17</f>
        <v>7407</v>
      </c>
      <c r="H14" s="312">
        <f>'Maldives at LG Daily'!I17</f>
        <v>2117</v>
      </c>
      <c r="I14" s="312">
        <f>'Maldives at LG Daily'!J17</f>
        <v>1604</v>
      </c>
      <c r="J14" s="312">
        <f>'Maldives at LG Daily'!K17</f>
        <v>7287</v>
      </c>
      <c r="K14" s="312">
        <f>'Maldives at LG Daily'!L17</f>
        <v>3421</v>
      </c>
      <c r="L14" s="312">
        <f>'Maldives at LG Daily'!M17</f>
        <v>3381</v>
      </c>
      <c r="M14" s="312">
        <f>'Maldives at LG Daily'!N17</f>
        <v>10123</v>
      </c>
      <c r="N14" s="312">
        <f>'Maldives at LG Daily'!O17</f>
        <v>2000</v>
      </c>
      <c r="O14" s="312">
        <f>'Maldives at LG Daily'!P17</f>
        <v>2737</v>
      </c>
      <c r="P14" s="312">
        <f>'Maldives at LG Daily'!Q17</f>
        <v>1800</v>
      </c>
      <c r="Q14" s="312">
        <f>'Maldives at LG Daily'!R17</f>
        <v>441</v>
      </c>
      <c r="R14" s="312">
        <f>'Maldives at LG Daily'!S17</f>
        <v>700</v>
      </c>
      <c r="S14" s="312">
        <f>'Maldives at LG Daily'!T17</f>
        <v>1800</v>
      </c>
      <c r="T14" s="312">
        <f>'Maldives at LG Daily'!U17</f>
        <v>346</v>
      </c>
      <c r="U14" s="312">
        <f>'Maldives at LG Daily'!V17</f>
        <v>300</v>
      </c>
      <c r="V14" s="312">
        <f>'Maldives at LG Daily'!W17</f>
        <v>300</v>
      </c>
      <c r="W14" s="312">
        <f>'Maldives at LG Daily'!X17</f>
        <v>500</v>
      </c>
      <c r="X14" s="312">
        <f>'Maldives at LG Daily'!Y17</f>
        <v>80</v>
      </c>
      <c r="Y14" s="312">
        <f>'Maldives at LG Daily'!Z17</f>
        <v>310</v>
      </c>
      <c r="Z14" s="312">
        <f>'Maldives at LG Daily'!AA17</f>
        <v>1100</v>
      </c>
      <c r="AA14" s="312">
        <f>'Maldives at LG Daily'!AB17</f>
        <v>420</v>
      </c>
      <c r="AB14" s="312">
        <f>'Maldives at LG Daily'!AC17</f>
        <v>700</v>
      </c>
      <c r="AC14" s="312">
        <f>'Maldives at LG Daily'!AD17</f>
        <v>720</v>
      </c>
      <c r="AD14" s="312">
        <f>'Maldives at LG Daily'!AE17</f>
        <v>800</v>
      </c>
      <c r="AE14" s="312">
        <f>'Maldives at LG Daily'!AF17</f>
        <v>800</v>
      </c>
      <c r="AF14" s="312">
        <f>'Maldives at LG Daily'!AG17</f>
        <v>630</v>
      </c>
      <c r="AG14" s="312">
        <f>'Maldives at LG Daily'!AH17</f>
        <v>550</v>
      </c>
      <c r="AH14" s="312">
        <f>'Maldives at LG Daily'!AI17</f>
        <v>340</v>
      </c>
      <c r="AI14" s="312">
        <f>'Maldives at LG Daily'!AJ17</f>
        <v>120</v>
      </c>
      <c r="AJ14" s="312">
        <f>'Maldives at LG Daily'!AK17</f>
        <v>950</v>
      </c>
      <c r="AK14" s="312">
        <f>'Maldives at LG Daily'!AL17</f>
        <v>290</v>
      </c>
      <c r="AL14" s="312">
        <f>'Maldives at LG Daily'!AM17</f>
        <v>390</v>
      </c>
      <c r="AM14" s="312">
        <f>'Maldives at LG Daily'!AN17</f>
        <v>500</v>
      </c>
      <c r="AN14" s="312">
        <f>'Maldives at LG Daily'!AQ17</f>
        <v>149</v>
      </c>
      <c r="AO14" s="312">
        <f>'Maldives at LG Daily'!AR17</f>
        <v>32</v>
      </c>
      <c r="AP14" s="312">
        <f>'Maldives at LG Daily'!AS17</f>
        <v>159</v>
      </c>
      <c r="AQ14" s="312">
        <f>'Maldives at LG Daily'!AT17</f>
        <v>0</v>
      </c>
      <c r="AR14" s="312">
        <f>'Maldives at LG Daily'!AU17</f>
        <v>27</v>
      </c>
      <c r="AS14" s="312">
        <f>'Maldives at LG Daily'!AV17</f>
        <v>6</v>
      </c>
      <c r="AT14" s="312">
        <f>'Maldives at LG Daily'!AW17</f>
        <v>8</v>
      </c>
      <c r="AU14" s="312">
        <f>'Maldives at LG Daily'!AX17</f>
        <v>11</v>
      </c>
      <c r="AV14" s="312">
        <f>'Maldives at LG Daily'!AY17</f>
        <v>8</v>
      </c>
      <c r="AW14" s="312">
        <f>'Maldives at LG Daily'!AZ17</f>
        <v>7</v>
      </c>
      <c r="AX14" s="312">
        <f>'Maldives at LG Daily'!BA17</f>
        <v>9</v>
      </c>
      <c r="AY14" s="312">
        <f>'Maldives at LG Daily'!BB17</f>
        <v>9</v>
      </c>
      <c r="AZ14" s="312">
        <f>'Maldives at LG Daily'!BC17</f>
        <v>1</v>
      </c>
      <c r="BA14" s="312">
        <f>'Maldives at LG Daily'!BD17</f>
        <v>2</v>
      </c>
      <c r="BB14" s="312">
        <f>'Maldives at LG Daily'!BE17</f>
        <v>2</v>
      </c>
      <c r="BC14" s="312">
        <f>'Maldives at LG Daily'!BF17</f>
        <v>0</v>
      </c>
      <c r="BD14" s="312">
        <f>'Maldives at LG Daily'!BG17</f>
        <v>27</v>
      </c>
      <c r="BE14" s="312">
        <f>'Maldives at LG Daily'!BH17</f>
        <v>9</v>
      </c>
      <c r="BF14" s="312">
        <f>'Maldives at LG Daily'!BI17</f>
        <v>1</v>
      </c>
      <c r="BG14" s="312">
        <f>'Maldives at LG Daily'!BJ17</f>
        <v>1</v>
      </c>
      <c r="BH14" s="312">
        <f>'Maldives at LG Daily'!BK17</f>
        <v>2</v>
      </c>
      <c r="BI14" s="312">
        <f>'Maldives at LG Daily'!BL17</f>
        <v>6</v>
      </c>
      <c r="BJ14" s="312">
        <f>'Maldives at LG Daily'!BM17</f>
        <v>18</v>
      </c>
      <c r="BK14" s="312">
        <f>'Maldives at LG Daily'!BN17</f>
        <v>2</v>
      </c>
      <c r="BL14" s="312">
        <f>'Maldives at LG Daily'!BO17</f>
        <v>2</v>
      </c>
      <c r="BM14" s="312">
        <f>'Room Nights and Food Covers'!B17</f>
        <v>50.5</v>
      </c>
      <c r="BN14" s="312">
        <f>'Room Nights and Food Covers'!C17</f>
        <v>381</v>
      </c>
    </row>
    <row r="15" spans="1:66" ht="15.75" thickBot="1">
      <c r="A15" s="313" t="s">
        <v>15</v>
      </c>
      <c r="B15" s="313">
        <v>14</v>
      </c>
      <c r="C15" s="311">
        <f>TOTAL!C15</f>
        <v>1</v>
      </c>
      <c r="D15" s="310">
        <f>TOTAL!D15</f>
        <v>2023</v>
      </c>
      <c r="E15" s="312">
        <f>'SOLAR METER READING'!D22</f>
        <v>2750</v>
      </c>
      <c r="F15" s="312">
        <f>'Maldives at LG Daily'!G18</f>
        <v>5477</v>
      </c>
      <c r="G15" s="312">
        <f>'Maldives at LG Daily'!H18</f>
        <v>9521</v>
      </c>
      <c r="H15" s="312">
        <f>'Maldives at LG Daily'!I18</f>
        <v>1904</v>
      </c>
      <c r="I15" s="312">
        <f>'Maldives at LG Daily'!J18</f>
        <v>1863</v>
      </c>
      <c r="J15" s="312">
        <f>'Maldives at LG Daily'!K18</f>
        <v>5445</v>
      </c>
      <c r="K15" s="312">
        <f>'Maldives at LG Daily'!L18</f>
        <v>3701</v>
      </c>
      <c r="L15" s="312">
        <f>'Maldives at LG Daily'!M18</f>
        <v>3756</v>
      </c>
      <c r="M15" s="312">
        <f>'Maldives at LG Daily'!N18</f>
        <v>10581</v>
      </c>
      <c r="N15" s="312">
        <f>'Maldives at LG Daily'!O18</f>
        <v>2200</v>
      </c>
      <c r="O15" s="312">
        <f>'Maldives at LG Daily'!P18</f>
        <v>3120</v>
      </c>
      <c r="P15" s="312">
        <f>'Maldives at LG Daily'!Q18</f>
        <v>1700</v>
      </c>
      <c r="Q15" s="312">
        <f>'Maldives at LG Daily'!R18</f>
        <v>466</v>
      </c>
      <c r="R15" s="312">
        <f>'Maldives at LG Daily'!S18</f>
        <v>700</v>
      </c>
      <c r="S15" s="312">
        <f>'Maldives at LG Daily'!T18</f>
        <v>1800</v>
      </c>
      <c r="T15" s="312">
        <f>'Maldives at LG Daily'!U18</f>
        <v>339</v>
      </c>
      <c r="U15" s="312">
        <f>'Maldives at LG Daily'!V18</f>
        <v>200</v>
      </c>
      <c r="V15" s="312">
        <f>'Maldives at LG Daily'!W18</f>
        <v>200</v>
      </c>
      <c r="W15" s="312">
        <f>'Maldives at LG Daily'!X18</f>
        <v>500</v>
      </c>
      <c r="X15" s="312">
        <f>'Maldives at LG Daily'!Y18</f>
        <v>100</v>
      </c>
      <c r="Y15" s="312">
        <f>'Maldives at LG Daily'!Z18</f>
        <v>310</v>
      </c>
      <c r="Z15" s="312">
        <f>'Maldives at LG Daily'!AA18</f>
        <v>1200</v>
      </c>
      <c r="AA15" s="312">
        <f>'Maldives at LG Daily'!AB18</f>
        <v>400</v>
      </c>
      <c r="AB15" s="312">
        <f>'Maldives at LG Daily'!AC18</f>
        <v>830</v>
      </c>
      <c r="AC15" s="312">
        <f>'Maldives at LG Daily'!AD18</f>
        <v>910</v>
      </c>
      <c r="AD15" s="312">
        <f>'Maldives at LG Daily'!AE18</f>
        <v>900</v>
      </c>
      <c r="AE15" s="312">
        <f>'Maldives at LG Daily'!AF18</f>
        <v>900</v>
      </c>
      <c r="AF15" s="312">
        <f>'Maldives at LG Daily'!AG18</f>
        <v>660</v>
      </c>
      <c r="AG15" s="312">
        <f>'Maldives at LG Daily'!AH18</f>
        <v>620</v>
      </c>
      <c r="AH15" s="312">
        <f>'Maldives at LG Daily'!AI18</f>
        <v>320</v>
      </c>
      <c r="AI15" s="312">
        <f>'Maldives at LG Daily'!AJ18</f>
        <v>140</v>
      </c>
      <c r="AJ15" s="312">
        <f>'Maldives at LG Daily'!AK18</f>
        <v>1020</v>
      </c>
      <c r="AK15" s="312">
        <f>'Maldives at LG Daily'!AL18</f>
        <v>240</v>
      </c>
      <c r="AL15" s="312">
        <f>'Maldives at LG Daily'!AM18</f>
        <v>310</v>
      </c>
      <c r="AM15" s="312">
        <f>'Maldives at LG Daily'!AN18</f>
        <v>540</v>
      </c>
      <c r="AN15" s="312">
        <f>'Maldives at LG Daily'!AQ18</f>
        <v>145</v>
      </c>
      <c r="AO15" s="312">
        <f>'Maldives at LG Daily'!AR18</f>
        <v>0</v>
      </c>
      <c r="AP15" s="312">
        <f>'Maldives at LG Daily'!AS18</f>
        <v>162</v>
      </c>
      <c r="AQ15" s="312">
        <f>'Maldives at LG Daily'!AT18</f>
        <v>0</v>
      </c>
      <c r="AR15" s="312">
        <f>'Maldives at LG Daily'!AU18</f>
        <v>25</v>
      </c>
      <c r="AS15" s="312">
        <f>'Maldives at LG Daily'!AV18</f>
        <v>6</v>
      </c>
      <c r="AT15" s="312">
        <f>'Maldives at LG Daily'!AW18</f>
        <v>10</v>
      </c>
      <c r="AU15" s="312">
        <f>'Maldives at LG Daily'!AX18</f>
        <v>10</v>
      </c>
      <c r="AV15" s="312">
        <f>'Maldives at LG Daily'!AY18</f>
        <v>7</v>
      </c>
      <c r="AW15" s="312">
        <f>'Maldives at LG Daily'!AZ18</f>
        <v>6</v>
      </c>
      <c r="AX15" s="312">
        <f>'Maldives at LG Daily'!BA18</f>
        <v>9</v>
      </c>
      <c r="AY15" s="312">
        <f>'Maldives at LG Daily'!BB18</f>
        <v>7</v>
      </c>
      <c r="AZ15" s="312">
        <f>'Maldives at LG Daily'!BC18</f>
        <v>0</v>
      </c>
      <c r="BA15" s="312">
        <f>'Maldives at LG Daily'!BD18</f>
        <v>2</v>
      </c>
      <c r="BB15" s="312">
        <f>'Maldives at LG Daily'!BE18</f>
        <v>2</v>
      </c>
      <c r="BC15" s="312">
        <f>'Maldives at LG Daily'!BF18</f>
        <v>1</v>
      </c>
      <c r="BD15" s="312">
        <f>'Maldives at LG Daily'!BG18</f>
        <v>30</v>
      </c>
      <c r="BE15" s="312">
        <f>'Maldives at LG Daily'!BH18</f>
        <v>10</v>
      </c>
      <c r="BF15" s="312">
        <f>'Maldives at LG Daily'!BI18</f>
        <v>1</v>
      </c>
      <c r="BG15" s="312">
        <f>'Maldives at LG Daily'!BJ18</f>
        <v>0</v>
      </c>
      <c r="BH15" s="312">
        <f>'Maldives at LG Daily'!BK18</f>
        <v>2</v>
      </c>
      <c r="BI15" s="312">
        <f>'Maldives at LG Daily'!BL18</f>
        <v>3</v>
      </c>
      <c r="BJ15" s="312">
        <f>'Maldives at LG Daily'!BM18</f>
        <v>17</v>
      </c>
      <c r="BK15" s="312">
        <f>'Maldives at LG Daily'!BN18</f>
        <v>3</v>
      </c>
      <c r="BL15" s="312">
        <f>'Maldives at LG Daily'!BO18</f>
        <v>4</v>
      </c>
      <c r="BM15" s="312">
        <f>'Room Nights and Food Covers'!B18</f>
        <v>54.4</v>
      </c>
      <c r="BN15" s="312">
        <f>'Room Nights and Food Covers'!C18</f>
        <v>405</v>
      </c>
    </row>
    <row r="16" spans="1:66" ht="15.75" thickBot="1">
      <c r="A16" s="313" t="s">
        <v>15</v>
      </c>
      <c r="B16" s="313">
        <v>15</v>
      </c>
      <c r="C16" s="311">
        <f>TOTAL!C16</f>
        <v>1</v>
      </c>
      <c r="D16" s="310">
        <f>TOTAL!D16</f>
        <v>2023</v>
      </c>
      <c r="E16" s="312">
        <f>'SOLAR METER READING'!D23</f>
        <v>2822</v>
      </c>
      <c r="F16" s="312">
        <f>'Maldives at LG Daily'!G19</f>
        <v>7643</v>
      </c>
      <c r="G16" s="312">
        <f>'Maldives at LG Daily'!H19</f>
        <v>6215</v>
      </c>
      <c r="H16" s="312">
        <f>'Maldives at LG Daily'!I19</f>
        <v>2290</v>
      </c>
      <c r="I16" s="312">
        <f>'Maldives at LG Daily'!J19</f>
        <v>2890</v>
      </c>
      <c r="J16" s="312">
        <f>'Maldives at LG Daily'!K19</f>
        <v>5329</v>
      </c>
      <c r="K16" s="312">
        <f>'Maldives at LG Daily'!L19</f>
        <v>3779</v>
      </c>
      <c r="L16" s="312">
        <f>'Maldives at LG Daily'!M19</f>
        <v>3857</v>
      </c>
      <c r="M16" s="312">
        <f>'Maldives at LG Daily'!N19</f>
        <v>10796</v>
      </c>
      <c r="N16" s="312">
        <f>'Maldives at LG Daily'!O19</f>
        <v>2100</v>
      </c>
      <c r="O16" s="312">
        <f>'Maldives at LG Daily'!P19</f>
        <v>2550</v>
      </c>
      <c r="P16" s="312">
        <f>'Maldives at LG Daily'!Q19</f>
        <v>1700</v>
      </c>
      <c r="Q16" s="312">
        <f>'Maldives at LG Daily'!R19</f>
        <v>474</v>
      </c>
      <c r="R16" s="312">
        <f>'Maldives at LG Daily'!S19</f>
        <v>700</v>
      </c>
      <c r="S16" s="312">
        <f>'Maldives at LG Daily'!T19</f>
        <v>1700</v>
      </c>
      <c r="T16" s="312">
        <f>'Maldives at LG Daily'!U19</f>
        <v>388</v>
      </c>
      <c r="U16" s="312">
        <f>'Maldives at LG Daily'!V19</f>
        <v>300</v>
      </c>
      <c r="V16" s="312">
        <f>'Maldives at LG Daily'!W19</f>
        <v>300</v>
      </c>
      <c r="W16" s="312">
        <f>'Maldives at LG Daily'!X19</f>
        <v>600</v>
      </c>
      <c r="X16" s="312">
        <f>'Maldives at LG Daily'!Y19</f>
        <v>90</v>
      </c>
      <c r="Y16" s="312">
        <f>'Maldives at LG Daily'!Z19</f>
        <v>320</v>
      </c>
      <c r="Z16" s="312">
        <f>'Maldives at LG Daily'!AA19</f>
        <v>1100</v>
      </c>
      <c r="AA16" s="312">
        <f>'Maldives at LG Daily'!AB19</f>
        <v>430</v>
      </c>
      <c r="AB16" s="312">
        <f>'Maldives at LG Daily'!AC19</f>
        <v>840</v>
      </c>
      <c r="AC16" s="312">
        <f>'Maldives at LG Daily'!AD19</f>
        <v>800</v>
      </c>
      <c r="AD16" s="312">
        <f>'Maldives at LG Daily'!AE19</f>
        <v>900</v>
      </c>
      <c r="AE16" s="312">
        <f>'Maldives at LG Daily'!AF19</f>
        <v>900</v>
      </c>
      <c r="AF16" s="312">
        <f>'Maldives at LG Daily'!AG19</f>
        <v>730</v>
      </c>
      <c r="AG16" s="312">
        <f>'Maldives at LG Daily'!AH19</f>
        <v>660</v>
      </c>
      <c r="AH16" s="312">
        <f>'Maldives at LG Daily'!AI19</f>
        <v>310</v>
      </c>
      <c r="AI16" s="312">
        <f>'Maldives at LG Daily'!AJ19</f>
        <v>110</v>
      </c>
      <c r="AJ16" s="312">
        <f>'Maldives at LG Daily'!AK19</f>
        <v>1030</v>
      </c>
      <c r="AK16" s="312">
        <f>'Maldives at LG Daily'!AL19</f>
        <v>290</v>
      </c>
      <c r="AL16" s="312">
        <f>'Maldives at LG Daily'!AM19</f>
        <v>410</v>
      </c>
      <c r="AM16" s="312">
        <f>'Maldives at LG Daily'!AN19</f>
        <v>520</v>
      </c>
      <c r="AN16" s="312">
        <f>'Maldives at LG Daily'!AQ19</f>
        <v>151</v>
      </c>
      <c r="AO16" s="312">
        <f>'Maldives at LG Daily'!AR19</f>
        <v>0</v>
      </c>
      <c r="AP16" s="312">
        <f>'Maldives at LG Daily'!AS19</f>
        <v>171</v>
      </c>
      <c r="AQ16" s="312">
        <f>'Maldives at LG Daily'!AT19</f>
        <v>21</v>
      </c>
      <c r="AR16" s="312">
        <f>'Maldives at LG Daily'!AU19</f>
        <v>49</v>
      </c>
      <c r="AS16" s="312">
        <f>'Maldives at LG Daily'!AV19</f>
        <v>6</v>
      </c>
      <c r="AT16" s="312">
        <f>'Maldives at LG Daily'!AW19</f>
        <v>9</v>
      </c>
      <c r="AU16" s="312">
        <f>'Maldives at LG Daily'!AX19</f>
        <v>12</v>
      </c>
      <c r="AV16" s="312">
        <f>'Maldives at LG Daily'!AY19</f>
        <v>9</v>
      </c>
      <c r="AW16" s="312">
        <f>'Maldives at LG Daily'!AZ19</f>
        <v>6</v>
      </c>
      <c r="AX16" s="312">
        <f>'Maldives at LG Daily'!BA19</f>
        <v>9</v>
      </c>
      <c r="AY16" s="312">
        <f>'Maldives at LG Daily'!BB19</f>
        <v>9</v>
      </c>
      <c r="AZ16" s="312">
        <f>'Maldives at LG Daily'!BC19</f>
        <v>2</v>
      </c>
      <c r="BA16" s="312">
        <f>'Maldives at LG Daily'!BD19</f>
        <v>0</v>
      </c>
      <c r="BB16" s="312">
        <f>'Maldives at LG Daily'!BE19</f>
        <v>3</v>
      </c>
      <c r="BC16" s="312">
        <f>'Maldives at LG Daily'!BF19</f>
        <v>3</v>
      </c>
      <c r="BD16" s="312">
        <f>'Maldives at LG Daily'!BG19</f>
        <v>31</v>
      </c>
      <c r="BE16" s="312">
        <f>'Maldives at LG Daily'!BH19</f>
        <v>10</v>
      </c>
      <c r="BF16" s="312">
        <f>'Maldives at LG Daily'!BI19</f>
        <v>0</v>
      </c>
      <c r="BG16" s="312">
        <f>'Maldives at LG Daily'!BJ19</f>
        <v>2</v>
      </c>
      <c r="BH16" s="312">
        <f>'Maldives at LG Daily'!BK19</f>
        <v>6</v>
      </c>
      <c r="BI16" s="312">
        <f>'Maldives at LG Daily'!BL19</f>
        <v>2</v>
      </c>
      <c r="BJ16" s="312">
        <f>'Maldives at LG Daily'!BM19</f>
        <v>15</v>
      </c>
      <c r="BK16" s="312">
        <f>'Maldives at LG Daily'!BN19</f>
        <v>2</v>
      </c>
      <c r="BL16" s="312">
        <f>'Maldives at LG Daily'!BO19</f>
        <v>4</v>
      </c>
      <c r="BM16" s="312">
        <f>'Room Nights and Food Covers'!B19</f>
        <v>50.5</v>
      </c>
      <c r="BN16" s="312">
        <f>'Room Nights and Food Covers'!C19</f>
        <v>402</v>
      </c>
    </row>
    <row r="17" spans="1:66" ht="15.75" thickBot="1">
      <c r="A17" s="313" t="s">
        <v>15</v>
      </c>
      <c r="B17" s="313">
        <v>16</v>
      </c>
      <c r="C17" s="311">
        <f>TOTAL!C17</f>
        <v>1</v>
      </c>
      <c r="D17" s="310">
        <f>TOTAL!D17</f>
        <v>2023</v>
      </c>
      <c r="E17" s="312">
        <f>'SOLAR METER READING'!D24</f>
        <v>2895</v>
      </c>
      <c r="F17" s="312">
        <f>'Maldives at LG Daily'!G20</f>
        <v>2464</v>
      </c>
      <c r="G17" s="312">
        <f>'Maldives at LG Daily'!H20</f>
        <v>7147</v>
      </c>
      <c r="H17" s="312">
        <f>'Maldives at LG Daily'!I20</f>
        <v>5943</v>
      </c>
      <c r="I17" s="312">
        <f>'Maldives at LG Daily'!J20</f>
        <v>2871</v>
      </c>
      <c r="J17" s="312">
        <f>'Maldives at LG Daily'!K20</f>
        <v>7195</v>
      </c>
      <c r="K17" s="312">
        <f>'Maldives at LG Daily'!L20</f>
        <v>3844</v>
      </c>
      <c r="L17" s="312">
        <f>'Maldives at LG Daily'!M20</f>
        <v>4275</v>
      </c>
      <c r="M17" s="312">
        <f>'Maldives at LG Daily'!N20</f>
        <v>11116</v>
      </c>
      <c r="N17" s="312">
        <f>'Maldives at LG Daily'!O20</f>
        <v>2100</v>
      </c>
      <c r="O17" s="312">
        <f>'Maldives at LG Daily'!P20</f>
        <v>2850</v>
      </c>
      <c r="P17" s="312">
        <f>'Maldives at LG Daily'!Q20</f>
        <v>1800</v>
      </c>
      <c r="Q17" s="312">
        <f>'Maldives at LG Daily'!R20</f>
        <v>456</v>
      </c>
      <c r="R17" s="312">
        <f>'Maldives at LG Daily'!S20</f>
        <v>600</v>
      </c>
      <c r="S17" s="312">
        <f>'Maldives at LG Daily'!T20</f>
        <v>1800</v>
      </c>
      <c r="T17" s="312">
        <f>'Maldives at LG Daily'!U20</f>
        <v>404</v>
      </c>
      <c r="U17" s="312">
        <f>'Maldives at LG Daily'!V20</f>
        <v>300</v>
      </c>
      <c r="V17" s="312">
        <f>'Maldives at LG Daily'!W20</f>
        <v>300</v>
      </c>
      <c r="W17" s="312">
        <f>'Maldives at LG Daily'!X20</f>
        <v>500</v>
      </c>
      <c r="X17" s="312">
        <f>'Maldives at LG Daily'!Y20</f>
        <v>110</v>
      </c>
      <c r="Y17" s="312">
        <f>'Maldives at LG Daily'!Z20</f>
        <v>350</v>
      </c>
      <c r="Z17" s="312">
        <f>'Maldives at LG Daily'!AA20</f>
        <v>1200</v>
      </c>
      <c r="AA17" s="312">
        <f>'Maldives at LG Daily'!AB20</f>
        <v>460</v>
      </c>
      <c r="AB17" s="312">
        <f>'Maldives at LG Daily'!AC20</f>
        <v>920</v>
      </c>
      <c r="AC17" s="312">
        <f>'Maldives at LG Daily'!AD20</f>
        <v>870</v>
      </c>
      <c r="AD17" s="312">
        <f>'Maldives at LG Daily'!AE20</f>
        <v>1100</v>
      </c>
      <c r="AE17" s="312">
        <f>'Maldives at LG Daily'!AF20</f>
        <v>1100</v>
      </c>
      <c r="AF17" s="312">
        <f>'Maldives at LG Daily'!AG20</f>
        <v>730</v>
      </c>
      <c r="AG17" s="312">
        <f>'Maldives at LG Daily'!AH20</f>
        <v>700</v>
      </c>
      <c r="AH17" s="312">
        <f>'Maldives at LG Daily'!AI20</f>
        <v>320</v>
      </c>
      <c r="AI17" s="312">
        <f>'Maldives at LG Daily'!AJ20</f>
        <v>140</v>
      </c>
      <c r="AJ17" s="312">
        <f>'Maldives at LG Daily'!AK20</f>
        <v>1000</v>
      </c>
      <c r="AK17" s="312">
        <f>'Maldives at LG Daily'!AL20</f>
        <v>290</v>
      </c>
      <c r="AL17" s="312">
        <f>'Maldives at LG Daily'!AM20</f>
        <v>360</v>
      </c>
      <c r="AM17" s="312">
        <f>'Maldives at LG Daily'!AN20</f>
        <v>530</v>
      </c>
      <c r="AN17" s="312">
        <f>'Maldives at LG Daily'!AQ20</f>
        <v>190</v>
      </c>
      <c r="AO17" s="312">
        <f>'Maldives at LG Daily'!AR20</f>
        <v>9</v>
      </c>
      <c r="AP17" s="312">
        <f>'Maldives at LG Daily'!AS20</f>
        <v>184</v>
      </c>
      <c r="AQ17" s="312">
        <f>'Maldives at LG Daily'!AT20</f>
        <v>0</v>
      </c>
      <c r="AR17" s="312">
        <f>'Maldives at LG Daily'!AU20</f>
        <v>27</v>
      </c>
      <c r="AS17" s="312">
        <f>'Maldives at LG Daily'!AV20</f>
        <v>7</v>
      </c>
      <c r="AT17" s="312">
        <f>'Maldives at LG Daily'!AW20</f>
        <v>10</v>
      </c>
      <c r="AU17" s="312">
        <f>'Maldives at LG Daily'!AX20</f>
        <v>12</v>
      </c>
      <c r="AV17" s="312">
        <f>'Maldives at LG Daily'!AY20</f>
        <v>9</v>
      </c>
      <c r="AW17" s="312">
        <f>'Maldives at LG Daily'!AZ20</f>
        <v>7</v>
      </c>
      <c r="AX17" s="312">
        <f>'Maldives at LG Daily'!BA20</f>
        <v>9</v>
      </c>
      <c r="AY17" s="312">
        <f>'Maldives at LG Daily'!BB20</f>
        <v>9</v>
      </c>
      <c r="AZ17" s="312">
        <f>'Maldives at LG Daily'!BC20</f>
        <v>1</v>
      </c>
      <c r="BA17" s="312">
        <f>'Maldives at LG Daily'!BD20</f>
        <v>0</v>
      </c>
      <c r="BB17" s="312">
        <f>'Maldives at LG Daily'!BE20</f>
        <v>4</v>
      </c>
      <c r="BC17" s="312">
        <f>'Maldives at LG Daily'!BF20</f>
        <v>0</v>
      </c>
      <c r="BD17" s="312">
        <f>'Maldives at LG Daily'!BG20</f>
        <v>32</v>
      </c>
      <c r="BE17" s="312">
        <f>'Maldives at LG Daily'!BH20</f>
        <v>8</v>
      </c>
      <c r="BF17" s="312">
        <f>'Maldives at LG Daily'!BI20</f>
        <v>1</v>
      </c>
      <c r="BG17" s="312">
        <f>'Maldives at LG Daily'!BJ20</f>
        <v>1</v>
      </c>
      <c r="BH17" s="312">
        <f>'Maldives at LG Daily'!BK20</f>
        <v>3</v>
      </c>
      <c r="BI17" s="312">
        <f>'Maldives at LG Daily'!BL20</f>
        <v>5</v>
      </c>
      <c r="BJ17" s="312">
        <f>'Maldives at LG Daily'!BM20</f>
        <v>17</v>
      </c>
      <c r="BK17" s="312">
        <f>'Maldives at LG Daily'!BN20</f>
        <v>4</v>
      </c>
      <c r="BL17" s="312">
        <f>'Maldives at LG Daily'!BO20</f>
        <v>5</v>
      </c>
      <c r="BM17" s="312">
        <f>'Room Nights and Food Covers'!B20</f>
        <v>41.7</v>
      </c>
      <c r="BN17" s="312">
        <f>'Room Nights and Food Covers'!C20</f>
        <v>302</v>
      </c>
    </row>
    <row r="18" spans="1:66" ht="15.75" thickBot="1">
      <c r="A18" s="313" t="s">
        <v>15</v>
      </c>
      <c r="B18" s="313">
        <v>17</v>
      </c>
      <c r="C18" s="311">
        <f>TOTAL!C18</f>
        <v>1</v>
      </c>
      <c r="D18" s="310">
        <f>TOTAL!D18</f>
        <v>2023</v>
      </c>
      <c r="E18" s="312">
        <f>'SOLAR METER READING'!D25</f>
        <v>2775</v>
      </c>
      <c r="F18" s="312">
        <f>'Maldives at LG Daily'!G21</f>
        <v>7590</v>
      </c>
      <c r="G18" s="312">
        <f>'Maldives at LG Daily'!H21</f>
        <v>4611</v>
      </c>
      <c r="H18" s="312">
        <f>'Maldives at LG Daily'!I21</f>
        <v>1053</v>
      </c>
      <c r="I18" s="312">
        <f>'Maldives at LG Daily'!J21</f>
        <v>4045</v>
      </c>
      <c r="J18" s="312">
        <f>'Maldives at LG Daily'!K21</f>
        <v>8783</v>
      </c>
      <c r="K18" s="312">
        <f>'Maldives at LG Daily'!L21</f>
        <v>3973</v>
      </c>
      <c r="L18" s="312">
        <f>'Maldives at LG Daily'!M21</f>
        <v>4065</v>
      </c>
      <c r="M18" s="312">
        <f>'Maldives at LG Daily'!N21</f>
        <v>11545</v>
      </c>
      <c r="N18" s="312">
        <f>'Maldives at LG Daily'!O21</f>
        <v>2200</v>
      </c>
      <c r="O18" s="312">
        <f>'Maldives at LG Daily'!P21</f>
        <v>2877</v>
      </c>
      <c r="P18" s="312">
        <f>'Maldives at LG Daily'!Q21</f>
        <v>1900</v>
      </c>
      <c r="Q18" s="312">
        <f>'Maldives at LG Daily'!R21</f>
        <v>460</v>
      </c>
      <c r="R18" s="312">
        <f>'Maldives at LG Daily'!S21</f>
        <v>700</v>
      </c>
      <c r="S18" s="312">
        <f>'Maldives at LG Daily'!T21</f>
        <v>2000</v>
      </c>
      <c r="T18" s="312">
        <f>'Maldives at LG Daily'!U21</f>
        <v>436</v>
      </c>
      <c r="U18" s="312">
        <f>'Maldives at LG Daily'!V21</f>
        <v>300</v>
      </c>
      <c r="V18" s="312">
        <f>'Maldives at LG Daily'!W21</f>
        <v>300</v>
      </c>
      <c r="W18" s="312">
        <f>'Maldives at LG Daily'!X21</f>
        <v>600</v>
      </c>
      <c r="X18" s="312">
        <f>'Maldives at LG Daily'!Y21</f>
        <v>100</v>
      </c>
      <c r="Y18" s="312">
        <f>'Maldives at LG Daily'!Z21</f>
        <v>350</v>
      </c>
      <c r="Z18" s="312">
        <f>'Maldives at LG Daily'!AA21</f>
        <v>1200</v>
      </c>
      <c r="AA18" s="312">
        <f>'Maldives at LG Daily'!AB21</f>
        <v>470</v>
      </c>
      <c r="AB18" s="312">
        <f>'Maldives at LG Daily'!AC21</f>
        <v>980</v>
      </c>
      <c r="AC18" s="312">
        <f>'Maldives at LG Daily'!AD21</f>
        <v>850</v>
      </c>
      <c r="AD18" s="312">
        <f>'Maldives at LG Daily'!AE21</f>
        <v>1100</v>
      </c>
      <c r="AE18" s="312">
        <f>'Maldives at LG Daily'!AF21</f>
        <v>1100</v>
      </c>
      <c r="AF18" s="312">
        <f>'Maldives at LG Daily'!AG21</f>
        <v>800</v>
      </c>
      <c r="AG18" s="312">
        <f>'Maldives at LG Daily'!AH21</f>
        <v>550</v>
      </c>
      <c r="AH18" s="312">
        <f>'Maldives at LG Daily'!AI21</f>
        <v>340</v>
      </c>
      <c r="AI18" s="312">
        <f>'Maldives at LG Daily'!AJ21</f>
        <v>140</v>
      </c>
      <c r="AJ18" s="312">
        <f>'Maldives at LG Daily'!AK21</f>
        <v>1110</v>
      </c>
      <c r="AK18" s="312">
        <f>'Maldives at LG Daily'!AL21</f>
        <v>290</v>
      </c>
      <c r="AL18" s="312">
        <f>'Maldives at LG Daily'!AM21</f>
        <v>380</v>
      </c>
      <c r="AM18" s="312">
        <f>'Maldives at LG Daily'!AN21</f>
        <v>540</v>
      </c>
      <c r="AN18" s="312">
        <f>'Maldives at LG Daily'!AQ21</f>
        <v>196</v>
      </c>
      <c r="AO18" s="312">
        <f>'Maldives at LG Daily'!AR21</f>
        <v>15</v>
      </c>
      <c r="AP18" s="312">
        <f>'Maldives at LG Daily'!AS21</f>
        <v>180</v>
      </c>
      <c r="AQ18" s="312">
        <f>'Maldives at LG Daily'!AT21</f>
        <v>0</v>
      </c>
      <c r="AR18" s="312">
        <f>'Maldives at LG Daily'!AU21</f>
        <v>24</v>
      </c>
      <c r="AS18" s="312">
        <f>'Maldives at LG Daily'!AV21</f>
        <v>6</v>
      </c>
      <c r="AT18" s="312">
        <f>'Maldives at LG Daily'!AW21</f>
        <v>11</v>
      </c>
      <c r="AU18" s="312">
        <f>'Maldives at LG Daily'!AX21</f>
        <v>12</v>
      </c>
      <c r="AV18" s="312">
        <f>'Maldives at LG Daily'!AY21</f>
        <v>10</v>
      </c>
      <c r="AW18" s="312">
        <f>'Maldives at LG Daily'!AZ21</f>
        <v>8</v>
      </c>
      <c r="AX18" s="312">
        <f>'Maldives at LG Daily'!BA21</f>
        <v>8</v>
      </c>
      <c r="AY18" s="312">
        <f>'Maldives at LG Daily'!BB21</f>
        <v>9</v>
      </c>
      <c r="AZ18" s="312">
        <f>'Maldives at LG Daily'!BC21</f>
        <v>1</v>
      </c>
      <c r="BA18" s="312">
        <f>'Maldives at LG Daily'!BD21</f>
        <v>0</v>
      </c>
      <c r="BB18" s="312">
        <f>'Maldives at LG Daily'!BE21</f>
        <v>2</v>
      </c>
      <c r="BC18" s="312">
        <f>'Maldives at LG Daily'!BF21</f>
        <v>0</v>
      </c>
      <c r="BD18" s="312">
        <f>'Maldives at LG Daily'!BG21</f>
        <v>34</v>
      </c>
      <c r="BE18" s="312">
        <f>'Maldives at LG Daily'!BH21</f>
        <v>10</v>
      </c>
      <c r="BF18" s="312">
        <f>'Maldives at LG Daily'!BI21</f>
        <v>0</v>
      </c>
      <c r="BG18" s="312">
        <f>'Maldives at LG Daily'!BJ21</f>
        <v>15</v>
      </c>
      <c r="BH18" s="312">
        <f>'Maldives at LG Daily'!BK21</f>
        <v>4</v>
      </c>
      <c r="BI18" s="312">
        <f>'Maldives at LG Daily'!BL21</f>
        <v>11</v>
      </c>
      <c r="BJ18" s="312">
        <f>'Maldives at LG Daily'!BM21</f>
        <v>22</v>
      </c>
      <c r="BK18" s="312">
        <f>'Maldives at LG Daily'!BN21</f>
        <v>2</v>
      </c>
      <c r="BL18" s="312">
        <f>'Maldives at LG Daily'!BO21</f>
        <v>3</v>
      </c>
      <c r="BM18" s="312">
        <f>'Room Nights and Food Covers'!B21</f>
        <v>71.8</v>
      </c>
      <c r="BN18" s="312">
        <f>'Room Nights and Food Covers'!C21</f>
        <v>424</v>
      </c>
    </row>
    <row r="19" spans="1:66" ht="15.75" thickBot="1">
      <c r="A19" s="313" t="s">
        <v>15</v>
      </c>
      <c r="B19" s="313">
        <v>18</v>
      </c>
      <c r="C19" s="311">
        <f>TOTAL!C19</f>
        <v>1</v>
      </c>
      <c r="D19" s="310">
        <f>TOTAL!D19</f>
        <v>2023</v>
      </c>
      <c r="E19" s="312">
        <f>'SOLAR METER READING'!D26</f>
        <v>2337</v>
      </c>
      <c r="F19" s="312">
        <f>'Maldives at LG Daily'!G22</f>
        <v>8016</v>
      </c>
      <c r="G19" s="312">
        <f>'Maldives at LG Daily'!H22</f>
        <v>6587</v>
      </c>
      <c r="H19" s="312">
        <f>'Maldives at LG Daily'!I22</f>
        <v>0</v>
      </c>
      <c r="I19" s="312">
        <f>'Maldives at LG Daily'!J22</f>
        <v>5061</v>
      </c>
      <c r="J19" s="312">
        <f>'Maldives at LG Daily'!K22</f>
        <v>7979</v>
      </c>
      <c r="K19" s="312">
        <f>'Maldives at LG Daily'!L22</f>
        <v>4121</v>
      </c>
      <c r="L19" s="312">
        <f>'Maldives at LG Daily'!M22</f>
        <v>4633</v>
      </c>
      <c r="M19" s="312">
        <f>'Maldives at LG Daily'!N22</f>
        <v>12316</v>
      </c>
      <c r="N19" s="312">
        <f>'Maldives at LG Daily'!O22</f>
        <v>2300</v>
      </c>
      <c r="O19" s="312">
        <f>'Maldives at LG Daily'!P22</f>
        <v>2892</v>
      </c>
      <c r="P19" s="312">
        <f>'Maldives at LG Daily'!Q22</f>
        <v>2000</v>
      </c>
      <c r="Q19" s="312">
        <f>'Maldives at LG Daily'!R22</f>
        <v>463</v>
      </c>
      <c r="R19" s="312">
        <f>'Maldives at LG Daily'!S22</f>
        <v>700</v>
      </c>
      <c r="S19" s="312">
        <f>'Maldives at LG Daily'!T22</f>
        <v>1800</v>
      </c>
      <c r="T19" s="312">
        <f>'Maldives at LG Daily'!U22</f>
        <v>446</v>
      </c>
      <c r="U19" s="312">
        <f>'Maldives at LG Daily'!V22</f>
        <v>300</v>
      </c>
      <c r="V19" s="312">
        <f>'Maldives at LG Daily'!W22</f>
        <v>300</v>
      </c>
      <c r="W19" s="312">
        <f>'Maldives at LG Daily'!X22</f>
        <v>600</v>
      </c>
      <c r="X19" s="312">
        <f>'Maldives at LG Daily'!Y22</f>
        <v>110</v>
      </c>
      <c r="Y19" s="312">
        <f>'Maldives at LG Daily'!Z22</f>
        <v>350</v>
      </c>
      <c r="Z19" s="312">
        <f>'Maldives at LG Daily'!AA22</f>
        <v>1200</v>
      </c>
      <c r="AA19" s="312">
        <f>'Maldives at LG Daily'!AB22</f>
        <v>420</v>
      </c>
      <c r="AB19" s="312">
        <f>'Maldives at LG Daily'!AC22</f>
        <v>1020</v>
      </c>
      <c r="AC19" s="312">
        <f>'Maldives at LG Daily'!AD22</f>
        <v>150</v>
      </c>
      <c r="AD19" s="312">
        <f>'Maldives at LG Daily'!AE22</f>
        <v>1100</v>
      </c>
      <c r="AE19" s="312">
        <f>'Maldives at LG Daily'!AF22</f>
        <v>1100</v>
      </c>
      <c r="AF19" s="312">
        <f>'Maldives at LG Daily'!AG22</f>
        <v>690</v>
      </c>
      <c r="AG19" s="312">
        <f>'Maldives at LG Daily'!AH22</f>
        <v>470</v>
      </c>
      <c r="AH19" s="312">
        <f>'Maldives at LG Daily'!AI22</f>
        <v>140</v>
      </c>
      <c r="AI19" s="312">
        <f>'Maldives at LG Daily'!AJ22</f>
        <v>140</v>
      </c>
      <c r="AJ19" s="312">
        <f>'Maldives at LG Daily'!AK22</f>
        <v>820</v>
      </c>
      <c r="AK19" s="312">
        <f>'Maldives at LG Daily'!AL22</f>
        <v>210</v>
      </c>
      <c r="AL19" s="312">
        <f>'Maldives at LG Daily'!AM22</f>
        <v>290</v>
      </c>
      <c r="AM19" s="312">
        <f>'Maldives at LG Daily'!AN22</f>
        <v>450</v>
      </c>
      <c r="AN19" s="312">
        <f>'Maldives at LG Daily'!AQ22</f>
        <v>180</v>
      </c>
      <c r="AO19" s="312">
        <f>'Maldives at LG Daily'!AR22</f>
        <v>39</v>
      </c>
      <c r="AP19" s="312">
        <f>'Maldives at LG Daily'!AS22</f>
        <v>181</v>
      </c>
      <c r="AQ19" s="312">
        <f>'Maldives at LG Daily'!AT22</f>
        <v>0</v>
      </c>
      <c r="AR19" s="312">
        <f>'Maldives at LG Daily'!AU22</f>
        <v>24</v>
      </c>
      <c r="AS19" s="312">
        <f>'Maldives at LG Daily'!AV22</f>
        <v>7</v>
      </c>
      <c r="AT19" s="312">
        <f>'Maldives at LG Daily'!AW22</f>
        <v>9</v>
      </c>
      <c r="AU19" s="312">
        <f>'Maldives at LG Daily'!AX22</f>
        <v>12</v>
      </c>
      <c r="AV19" s="312">
        <f>'Maldives at LG Daily'!AY22</f>
        <v>9</v>
      </c>
      <c r="AW19" s="312">
        <f>'Maldives at LG Daily'!AZ22</f>
        <v>8</v>
      </c>
      <c r="AX19" s="312">
        <f>'Maldives at LG Daily'!BA22</f>
        <v>11</v>
      </c>
      <c r="AY19" s="312">
        <f>'Maldives at LG Daily'!BB22</f>
        <v>9</v>
      </c>
      <c r="AZ19" s="312">
        <f>'Maldives at LG Daily'!BC22</f>
        <v>2</v>
      </c>
      <c r="BA19" s="312">
        <f>'Maldives at LG Daily'!BD22</f>
        <v>1</v>
      </c>
      <c r="BB19" s="312">
        <f>'Maldives at LG Daily'!BE22</f>
        <v>5</v>
      </c>
      <c r="BC19" s="312">
        <f>'Maldives at LG Daily'!BF22</f>
        <v>13</v>
      </c>
      <c r="BD19" s="312">
        <f>'Maldives at LG Daily'!BG22</f>
        <v>36</v>
      </c>
      <c r="BE19" s="312">
        <f>'Maldives at LG Daily'!BH22</f>
        <v>10</v>
      </c>
      <c r="BF19" s="312">
        <f>'Maldives at LG Daily'!BI22</f>
        <v>1</v>
      </c>
      <c r="BG19" s="312">
        <f>'Maldives at LG Daily'!BJ22</f>
        <v>3</v>
      </c>
      <c r="BH19" s="312">
        <f>'Maldives at LG Daily'!BK22</f>
        <v>4</v>
      </c>
      <c r="BI19" s="312">
        <f>'Maldives at LG Daily'!BL22</f>
        <v>8</v>
      </c>
      <c r="BJ19" s="312">
        <f>'Maldives at LG Daily'!BM22</f>
        <v>18</v>
      </c>
      <c r="BK19" s="312">
        <f>'Maldives at LG Daily'!BN22</f>
        <v>3</v>
      </c>
      <c r="BL19" s="312">
        <f>'Maldives at LG Daily'!BO22</f>
        <v>6</v>
      </c>
      <c r="BM19" s="312">
        <f>'Room Nights and Food Covers'!B22</f>
        <v>68.900000000000006</v>
      </c>
      <c r="BN19" s="312">
        <f>'Room Nights and Food Covers'!C22</f>
        <v>469</v>
      </c>
    </row>
    <row r="20" spans="1:66" ht="15.75" thickBot="1">
      <c r="A20" s="313" t="s">
        <v>15</v>
      </c>
      <c r="B20" s="313">
        <v>19</v>
      </c>
      <c r="C20" s="311">
        <f>TOTAL!C20</f>
        <v>1</v>
      </c>
      <c r="D20" s="310">
        <f>TOTAL!D20</f>
        <v>2023</v>
      </c>
      <c r="E20" s="312">
        <f>'SOLAR METER READING'!D27</f>
        <v>2820</v>
      </c>
      <c r="F20" s="312">
        <f>'Maldives at LG Daily'!G23</f>
        <v>8225</v>
      </c>
      <c r="G20" s="312">
        <f>'Maldives at LG Daily'!H23</f>
        <v>6537</v>
      </c>
      <c r="H20" s="312">
        <f>'Maldives at LG Daily'!I23</f>
        <v>0</v>
      </c>
      <c r="I20" s="312">
        <f>'Maldives at LG Daily'!J23</f>
        <v>5341</v>
      </c>
      <c r="J20" s="312">
        <f>'Maldives at LG Daily'!K23</f>
        <v>8219</v>
      </c>
      <c r="K20" s="312">
        <f>'Maldives at LG Daily'!L23</f>
        <v>4360</v>
      </c>
      <c r="L20" s="312">
        <f>'Maldives at LG Daily'!M23</f>
        <v>5137</v>
      </c>
      <c r="M20" s="312">
        <f>'Maldives at LG Daily'!N23</f>
        <v>11971</v>
      </c>
      <c r="N20" s="312">
        <f>'Maldives at LG Daily'!O23</f>
        <v>2300</v>
      </c>
      <c r="O20" s="312">
        <f>'Maldives at LG Daily'!P23</f>
        <v>2915</v>
      </c>
      <c r="P20" s="312">
        <f>'Maldives at LG Daily'!Q23</f>
        <v>1800</v>
      </c>
      <c r="Q20" s="312">
        <f>'Maldives at LG Daily'!R23</f>
        <v>471</v>
      </c>
      <c r="R20" s="312">
        <f>'Maldives at LG Daily'!S23</f>
        <v>700</v>
      </c>
      <c r="S20" s="312">
        <f>'Maldives at LG Daily'!T23</f>
        <v>2000</v>
      </c>
      <c r="T20" s="312">
        <f>'Maldives at LG Daily'!U23</f>
        <v>480</v>
      </c>
      <c r="U20" s="312">
        <f>'Maldives at LG Daily'!V23</f>
        <v>300</v>
      </c>
      <c r="V20" s="312">
        <f>'Maldives at LG Daily'!W23</f>
        <v>300</v>
      </c>
      <c r="W20" s="312">
        <f>'Maldives at LG Daily'!X23</f>
        <v>600</v>
      </c>
      <c r="X20" s="312">
        <f>'Maldives at LG Daily'!Y23</f>
        <v>130</v>
      </c>
      <c r="Y20" s="312">
        <f>'Maldives at LG Daily'!Z23</f>
        <v>380</v>
      </c>
      <c r="Z20" s="312">
        <f>'Maldives at LG Daily'!AA23</f>
        <v>1200</v>
      </c>
      <c r="AA20" s="312">
        <f>'Maldives at LG Daily'!AB23</f>
        <v>420</v>
      </c>
      <c r="AB20" s="312">
        <f>'Maldives at LG Daily'!AC23</f>
        <v>1240</v>
      </c>
      <c r="AC20" s="312">
        <f>'Maldives at LG Daily'!AD23</f>
        <v>1860</v>
      </c>
      <c r="AD20" s="312">
        <f>'Maldives at LG Daily'!AE23</f>
        <v>1400</v>
      </c>
      <c r="AE20" s="312">
        <f>'Maldives at LG Daily'!AF23</f>
        <v>1400</v>
      </c>
      <c r="AF20" s="312">
        <f>'Maldives at LG Daily'!AG23</f>
        <v>960</v>
      </c>
      <c r="AG20" s="312">
        <f>'Maldives at LG Daily'!AH23</f>
        <v>670</v>
      </c>
      <c r="AH20" s="312">
        <f>'Maldives at LG Daily'!AI23</f>
        <v>520</v>
      </c>
      <c r="AI20" s="312">
        <f>'Maldives at LG Daily'!AJ23</f>
        <v>210</v>
      </c>
      <c r="AJ20" s="312">
        <f>'Maldives at LG Daily'!AK23</f>
        <v>1170</v>
      </c>
      <c r="AK20" s="312">
        <f>'Maldives at LG Daily'!AL23</f>
        <v>320</v>
      </c>
      <c r="AL20" s="312">
        <f>'Maldives at LG Daily'!AM23</f>
        <v>590</v>
      </c>
      <c r="AM20" s="312">
        <f>'Maldives at LG Daily'!AN23</f>
        <v>570</v>
      </c>
      <c r="AN20" s="312">
        <f>'Maldives at LG Daily'!AQ23</f>
        <v>167</v>
      </c>
      <c r="AO20" s="312">
        <f>'Maldives at LG Daily'!AR23</f>
        <v>7</v>
      </c>
      <c r="AP20" s="312">
        <f>'Maldives at LG Daily'!AS23</f>
        <v>193</v>
      </c>
      <c r="AQ20" s="312">
        <f>'Maldives at LG Daily'!AT23</f>
        <v>10</v>
      </c>
      <c r="AR20" s="312">
        <f>'Maldives at LG Daily'!AU23</f>
        <v>31</v>
      </c>
      <c r="AS20" s="312">
        <f>'Maldives at LG Daily'!AV23</f>
        <v>6</v>
      </c>
      <c r="AT20" s="312">
        <f>'Maldives at LG Daily'!AW23</f>
        <v>10</v>
      </c>
      <c r="AU20" s="312">
        <f>'Maldives at LG Daily'!AX23</f>
        <v>12</v>
      </c>
      <c r="AV20" s="312">
        <f>'Maldives at LG Daily'!AY23</f>
        <v>9</v>
      </c>
      <c r="AW20" s="312">
        <f>'Maldives at LG Daily'!AZ23</f>
        <v>7</v>
      </c>
      <c r="AX20" s="312">
        <f>'Maldives at LG Daily'!BA23</f>
        <v>10</v>
      </c>
      <c r="AY20" s="312">
        <f>'Maldives at LG Daily'!BB23</f>
        <v>9</v>
      </c>
      <c r="AZ20" s="312">
        <f>'Maldives at LG Daily'!BC23</f>
        <v>2</v>
      </c>
      <c r="BA20" s="312">
        <f>'Maldives at LG Daily'!BD23</f>
        <v>0</v>
      </c>
      <c r="BB20" s="312">
        <f>'Maldives at LG Daily'!BE23</f>
        <v>12</v>
      </c>
      <c r="BC20" s="312">
        <f>'Maldives at LG Daily'!BF23</f>
        <v>2</v>
      </c>
      <c r="BD20" s="312">
        <f>'Maldives at LG Daily'!BG23</f>
        <v>31</v>
      </c>
      <c r="BE20" s="312">
        <f>'Maldives at LG Daily'!BH23</f>
        <v>9</v>
      </c>
      <c r="BF20" s="312">
        <f>'Maldives at LG Daily'!BI23</f>
        <v>1</v>
      </c>
      <c r="BG20" s="312">
        <f>'Maldives at LG Daily'!BJ23</f>
        <v>6</v>
      </c>
      <c r="BH20" s="312">
        <f>'Maldives at LG Daily'!BK23</f>
        <v>2</v>
      </c>
      <c r="BI20" s="312">
        <f>'Maldives at LG Daily'!BL23</f>
        <v>10</v>
      </c>
      <c r="BJ20" s="312">
        <f>'Maldives at LG Daily'!BM23</f>
        <v>19</v>
      </c>
      <c r="BK20" s="312">
        <f>'Maldives at LG Daily'!BN23</f>
        <v>3</v>
      </c>
      <c r="BL20" s="312">
        <f>'Maldives at LG Daily'!BO23</f>
        <v>2</v>
      </c>
      <c r="BM20" s="312">
        <f>'Room Nights and Food Covers'!B23</f>
        <v>77.7</v>
      </c>
      <c r="BN20" s="312">
        <f>'Room Nights and Food Covers'!C23</f>
        <v>566</v>
      </c>
    </row>
    <row r="21" spans="1:66" ht="15.75" thickBot="1">
      <c r="A21" s="313" t="s">
        <v>15</v>
      </c>
      <c r="B21" s="313">
        <v>20</v>
      </c>
      <c r="C21" s="311">
        <f>TOTAL!C21</f>
        <v>1</v>
      </c>
      <c r="D21" s="310">
        <f>TOTAL!D21</f>
        <v>2023</v>
      </c>
      <c r="E21" s="312">
        <f>'SOLAR METER READING'!D28</f>
        <v>2983</v>
      </c>
      <c r="F21" s="312">
        <f>'Maldives at LG Daily'!G24</f>
        <v>5486</v>
      </c>
      <c r="G21" s="312">
        <f>'Maldives at LG Daily'!H24</f>
        <v>10374</v>
      </c>
      <c r="H21" s="312">
        <f>'Maldives at LG Daily'!I24</f>
        <v>0</v>
      </c>
      <c r="I21" s="312">
        <f>'Maldives at LG Daily'!J24</f>
        <v>2265</v>
      </c>
      <c r="J21" s="312">
        <f>'Maldives at LG Daily'!K24</f>
        <v>8874</v>
      </c>
      <c r="K21" s="312">
        <f>'Maldives at LG Daily'!L24</f>
        <v>3985</v>
      </c>
      <c r="L21" s="312">
        <f>'Maldives at LG Daily'!M24</f>
        <v>4509</v>
      </c>
      <c r="M21" s="312">
        <f>'Maldives at LG Daily'!N24</f>
        <v>11905</v>
      </c>
      <c r="N21" s="312">
        <f>'Maldives at LG Daily'!O24</f>
        <v>2300</v>
      </c>
      <c r="O21" s="312">
        <f>'Maldives at LG Daily'!P24</f>
        <v>2888</v>
      </c>
      <c r="P21" s="312">
        <f>'Maldives at LG Daily'!Q24</f>
        <v>2000</v>
      </c>
      <c r="Q21" s="312">
        <f>'Maldives at LG Daily'!R24</f>
        <v>460</v>
      </c>
      <c r="R21" s="312">
        <f>'Maldives at LG Daily'!S24</f>
        <v>700</v>
      </c>
      <c r="S21" s="312">
        <f>'Maldives at LG Daily'!T24</f>
        <v>2000</v>
      </c>
      <c r="T21" s="312">
        <f>'Maldives at LG Daily'!U24</f>
        <v>442</v>
      </c>
      <c r="U21" s="312">
        <f>'Maldives at LG Daily'!V24</f>
        <v>300</v>
      </c>
      <c r="V21" s="312">
        <f>'Maldives at LG Daily'!W24</f>
        <v>300</v>
      </c>
      <c r="W21" s="312">
        <f>'Maldives at LG Daily'!X24</f>
        <v>600</v>
      </c>
      <c r="X21" s="312">
        <f>'Maldives at LG Daily'!Y24</f>
        <v>130</v>
      </c>
      <c r="Y21" s="312">
        <f>'Maldives at LG Daily'!Z24</f>
        <v>340</v>
      </c>
      <c r="Z21" s="312">
        <f>'Maldives at LG Daily'!AA24</f>
        <v>1200</v>
      </c>
      <c r="AA21" s="312">
        <f>'Maldives at LG Daily'!AB24</f>
        <v>500</v>
      </c>
      <c r="AB21" s="312">
        <f>'Maldives at LG Daily'!AC24</f>
        <v>1080</v>
      </c>
      <c r="AC21" s="312">
        <f>'Maldives at LG Daily'!AD24</f>
        <v>830</v>
      </c>
      <c r="AD21" s="312">
        <f>'Maldives at LG Daily'!AE24</f>
        <v>1100</v>
      </c>
      <c r="AE21" s="312">
        <f>'Maldives at LG Daily'!AF24</f>
        <v>1100</v>
      </c>
      <c r="AF21" s="312">
        <f>'Maldives at LG Daily'!AG24</f>
        <v>860</v>
      </c>
      <c r="AG21" s="312">
        <f>'Maldives at LG Daily'!AH24</f>
        <v>640</v>
      </c>
      <c r="AH21" s="312">
        <f>'Maldives at LG Daily'!AI24</f>
        <v>320</v>
      </c>
      <c r="AI21" s="312">
        <f>'Maldives at LG Daily'!AJ24</f>
        <v>140</v>
      </c>
      <c r="AJ21" s="312">
        <f>'Maldives at LG Daily'!AK24</f>
        <v>1000</v>
      </c>
      <c r="AK21" s="312">
        <f>'Maldives at LG Daily'!AL24</f>
        <v>290</v>
      </c>
      <c r="AL21" s="312">
        <f>'Maldives at LG Daily'!AM24</f>
        <v>510</v>
      </c>
      <c r="AM21" s="312">
        <f>'Maldives at LG Daily'!AN24</f>
        <v>540</v>
      </c>
      <c r="AN21" s="312">
        <f>'Maldives at LG Daily'!AQ24</f>
        <v>185</v>
      </c>
      <c r="AO21" s="312">
        <f>'Maldives at LG Daily'!AR24</f>
        <v>0</v>
      </c>
      <c r="AP21" s="312">
        <f>'Maldives at LG Daily'!AS24</f>
        <v>169</v>
      </c>
      <c r="AQ21" s="312">
        <f>'Maldives at LG Daily'!AT24</f>
        <v>26</v>
      </c>
      <c r="AR21" s="312">
        <f>'Maldives at LG Daily'!AU24</f>
        <v>25</v>
      </c>
      <c r="AS21" s="312">
        <f>'Maldives at LG Daily'!AV24</f>
        <v>7</v>
      </c>
      <c r="AT21" s="312">
        <f>'Maldives at LG Daily'!AW24</f>
        <v>10</v>
      </c>
      <c r="AU21" s="312">
        <f>'Maldives at LG Daily'!AX24</f>
        <v>13</v>
      </c>
      <c r="AV21" s="312">
        <f>'Maldives at LG Daily'!AY24</f>
        <v>10</v>
      </c>
      <c r="AW21" s="312">
        <f>'Maldives at LG Daily'!AZ24</f>
        <v>7</v>
      </c>
      <c r="AX21" s="312">
        <f>'Maldives at LG Daily'!BA24</f>
        <v>10</v>
      </c>
      <c r="AY21" s="312">
        <f>'Maldives at LG Daily'!BB24</f>
        <v>10</v>
      </c>
      <c r="AZ21" s="312">
        <f>'Maldives at LG Daily'!BC24</f>
        <v>1</v>
      </c>
      <c r="BA21" s="312">
        <f>'Maldives at LG Daily'!BD24</f>
        <v>0</v>
      </c>
      <c r="BB21" s="312">
        <f>'Maldives at LG Daily'!BE24</f>
        <v>2</v>
      </c>
      <c r="BC21" s="312">
        <f>'Maldives at LG Daily'!BF24</f>
        <v>1</v>
      </c>
      <c r="BD21" s="312">
        <f>'Maldives at LG Daily'!BG24</f>
        <v>28</v>
      </c>
      <c r="BE21" s="312">
        <f>'Maldives at LG Daily'!BH24</f>
        <v>10</v>
      </c>
      <c r="BF21" s="312">
        <f>'Maldives at LG Daily'!BI24</f>
        <v>1</v>
      </c>
      <c r="BG21" s="312">
        <f>'Maldives at LG Daily'!BJ24</f>
        <v>10</v>
      </c>
      <c r="BH21" s="312">
        <f>'Maldives at LG Daily'!BK24</f>
        <v>3</v>
      </c>
      <c r="BI21" s="312">
        <f>'Maldives at LG Daily'!BL24</f>
        <v>7</v>
      </c>
      <c r="BJ21" s="312">
        <f>'Maldives at LG Daily'!BM24</f>
        <v>17</v>
      </c>
      <c r="BK21" s="312">
        <f>'Maldives at LG Daily'!BN24</f>
        <v>1</v>
      </c>
      <c r="BL21" s="312">
        <f>'Maldives at LG Daily'!BO24</f>
        <v>4</v>
      </c>
      <c r="BM21" s="312">
        <f>'Room Nights and Food Covers'!B24</f>
        <v>56.3</v>
      </c>
      <c r="BN21" s="312">
        <f>'Room Nights and Food Covers'!C24</f>
        <v>348</v>
      </c>
    </row>
    <row r="22" spans="1:66" ht="15.75" thickBot="1">
      <c r="A22" s="313" t="s">
        <v>15</v>
      </c>
      <c r="B22" s="313">
        <v>21</v>
      </c>
      <c r="C22" s="311">
        <f>TOTAL!C22</f>
        <v>1</v>
      </c>
      <c r="D22" s="310">
        <f>TOTAL!D22</f>
        <v>2023</v>
      </c>
      <c r="E22" s="312">
        <f>'SOLAR METER READING'!D29</f>
        <v>3131</v>
      </c>
      <c r="F22" s="312">
        <f>'Maldives at LG Daily'!G25</f>
        <v>7745</v>
      </c>
      <c r="G22" s="312">
        <f>'Maldives at LG Daily'!H25</f>
        <v>5550</v>
      </c>
      <c r="H22" s="312">
        <f>'Maldives at LG Daily'!I25</f>
        <v>0</v>
      </c>
      <c r="I22" s="312">
        <f>'Maldives at LG Daily'!J25</f>
        <v>3173</v>
      </c>
      <c r="J22" s="312">
        <f>'Maldives at LG Daily'!K25</f>
        <v>7547</v>
      </c>
      <c r="K22" s="312">
        <f>'Maldives at LG Daily'!L25</f>
        <v>3632</v>
      </c>
      <c r="L22" s="312">
        <f>'Maldives at LG Daily'!M25</f>
        <v>3708</v>
      </c>
      <c r="M22" s="312">
        <f>'Maldives at LG Daily'!N25</f>
        <v>10377</v>
      </c>
      <c r="N22" s="312">
        <f>'Maldives at LG Daily'!O25</f>
        <v>2100</v>
      </c>
      <c r="O22" s="312">
        <f>'Maldives at LG Daily'!P25</f>
        <v>2625</v>
      </c>
      <c r="P22" s="312">
        <f>'Maldives at LG Daily'!Q25</f>
        <v>1800</v>
      </c>
      <c r="Q22" s="312">
        <f>'Maldives at LG Daily'!R25</f>
        <v>441</v>
      </c>
      <c r="R22" s="312">
        <f>'Maldives at LG Daily'!S25</f>
        <v>700</v>
      </c>
      <c r="S22" s="312">
        <f>'Maldives at LG Daily'!T25</f>
        <v>1700</v>
      </c>
      <c r="T22" s="312">
        <f>'Maldives at LG Daily'!U25</f>
        <v>353</v>
      </c>
      <c r="U22" s="312">
        <f>'Maldives at LG Daily'!V25</f>
        <v>300</v>
      </c>
      <c r="V22" s="312">
        <f>'Maldives at LG Daily'!W25</f>
        <v>300</v>
      </c>
      <c r="W22" s="312">
        <f>'Maldives at LG Daily'!X25</f>
        <v>500</v>
      </c>
      <c r="X22" s="312">
        <f>'Maldives at LG Daily'!Y25</f>
        <v>110</v>
      </c>
      <c r="Y22" s="312">
        <f>'Maldives at LG Daily'!Z25</f>
        <v>290</v>
      </c>
      <c r="Z22" s="312">
        <f>'Maldives at LG Daily'!AA25</f>
        <v>1200</v>
      </c>
      <c r="AA22" s="312">
        <f>'Maldives at LG Daily'!AB25</f>
        <v>430</v>
      </c>
      <c r="AB22" s="312">
        <f>'Maldives at LG Daily'!AC25</f>
        <v>880</v>
      </c>
      <c r="AC22" s="312">
        <f>'Maldives at LG Daily'!AD25</f>
        <v>590</v>
      </c>
      <c r="AD22" s="312">
        <f>'Maldives at LG Daily'!AE25</f>
        <v>1000</v>
      </c>
      <c r="AE22" s="312">
        <f>'Maldives at LG Daily'!AF25</f>
        <v>1000</v>
      </c>
      <c r="AF22" s="312">
        <f>'Maldives at LG Daily'!AG25</f>
        <v>860</v>
      </c>
      <c r="AG22" s="312">
        <f>'Maldives at LG Daily'!AH25</f>
        <v>590</v>
      </c>
      <c r="AH22" s="312">
        <f>'Maldives at LG Daily'!AI25</f>
        <v>320</v>
      </c>
      <c r="AI22" s="312">
        <f>'Maldives at LG Daily'!AJ25</f>
        <v>130</v>
      </c>
      <c r="AJ22" s="312">
        <f>'Maldives at LG Daily'!AK25</f>
        <v>1030</v>
      </c>
      <c r="AK22" s="312">
        <f>'Maldives at LG Daily'!AL25</f>
        <v>280</v>
      </c>
      <c r="AL22" s="312">
        <f>'Maldives at LG Daily'!AM25</f>
        <v>370</v>
      </c>
      <c r="AM22" s="312">
        <f>'Maldives at LG Daily'!AN25</f>
        <v>520</v>
      </c>
      <c r="AN22" s="312">
        <f>'Maldives at LG Daily'!AQ25</f>
        <v>192</v>
      </c>
      <c r="AO22" s="312">
        <f>'Maldives at LG Daily'!AR25</f>
        <v>22</v>
      </c>
      <c r="AP22" s="312">
        <f>'Maldives at LG Daily'!AS25</f>
        <v>185</v>
      </c>
      <c r="AQ22" s="312">
        <f>'Maldives at LG Daily'!AT25</f>
        <v>0</v>
      </c>
      <c r="AR22" s="312">
        <f>'Maldives at LG Daily'!AU25</f>
        <v>27</v>
      </c>
      <c r="AS22" s="312">
        <f>'Maldives at LG Daily'!AV25</f>
        <v>6</v>
      </c>
      <c r="AT22" s="312">
        <f>'Maldives at LG Daily'!AW25</f>
        <v>10</v>
      </c>
      <c r="AU22" s="312">
        <f>'Maldives at LG Daily'!AX25</f>
        <v>12</v>
      </c>
      <c r="AV22" s="312">
        <f>'Maldives at LG Daily'!AY25</f>
        <v>9</v>
      </c>
      <c r="AW22" s="312">
        <f>'Maldives at LG Daily'!AZ25</f>
        <v>7</v>
      </c>
      <c r="AX22" s="312">
        <f>'Maldives at LG Daily'!BA25</f>
        <v>9</v>
      </c>
      <c r="AY22" s="312">
        <f>'Maldives at LG Daily'!BB25</f>
        <v>9</v>
      </c>
      <c r="AZ22" s="312">
        <f>'Maldives at LG Daily'!BC25</f>
        <v>0</v>
      </c>
      <c r="BA22" s="312">
        <f>'Maldives at LG Daily'!BD25</f>
        <v>0</v>
      </c>
      <c r="BB22" s="312">
        <f>'Maldives at LG Daily'!BE25</f>
        <v>1</v>
      </c>
      <c r="BC22" s="312">
        <f>'Maldives at LG Daily'!BF25</f>
        <v>0</v>
      </c>
      <c r="BD22" s="312">
        <f>'Maldives at LG Daily'!BG25</f>
        <v>33</v>
      </c>
      <c r="BE22" s="312">
        <f>'Maldives at LG Daily'!BH25</f>
        <v>10</v>
      </c>
      <c r="BF22" s="312">
        <f>'Maldives at LG Daily'!BI25</f>
        <v>3</v>
      </c>
      <c r="BG22" s="312">
        <f>'Maldives at LG Daily'!BJ25</f>
        <v>6</v>
      </c>
      <c r="BH22" s="312">
        <f>'Maldives at LG Daily'!BK25</f>
        <v>2</v>
      </c>
      <c r="BI22" s="312">
        <f>'Maldives at LG Daily'!BL25</f>
        <v>4</v>
      </c>
      <c r="BJ22" s="312">
        <f>'Maldives at LG Daily'!BM25</f>
        <v>19</v>
      </c>
      <c r="BK22" s="312">
        <f>'Maldives at LG Daily'!BN25</f>
        <v>6</v>
      </c>
      <c r="BL22" s="312">
        <f>'Maldives at LG Daily'!BO25</f>
        <v>8</v>
      </c>
      <c r="BM22" s="312">
        <f>'Room Nights and Food Covers'!B25</f>
        <v>66</v>
      </c>
      <c r="BN22" s="312">
        <f>'Room Nights and Food Covers'!C25</f>
        <v>408</v>
      </c>
    </row>
    <row r="23" spans="1:66" ht="15.75" thickBot="1">
      <c r="A23" s="313" t="s">
        <v>15</v>
      </c>
      <c r="B23" s="313">
        <v>22</v>
      </c>
      <c r="C23" s="311">
        <f>TOTAL!C23</f>
        <v>1</v>
      </c>
      <c r="D23" s="310">
        <f>TOTAL!D23</f>
        <v>2023</v>
      </c>
      <c r="E23" s="312">
        <f>'SOLAR METER READING'!D30</f>
        <v>2998</v>
      </c>
      <c r="F23" s="312">
        <f>'Maldives at LG Daily'!G26</f>
        <v>7495</v>
      </c>
      <c r="G23" s="312">
        <f>'Maldives at LG Daily'!H26</f>
        <v>7392</v>
      </c>
      <c r="H23" s="312">
        <f>'Maldives at LG Daily'!I26</f>
        <v>0</v>
      </c>
      <c r="I23" s="312">
        <f>'Maldives at LG Daily'!J26</f>
        <v>4807</v>
      </c>
      <c r="J23" s="312">
        <f>'Maldives at LG Daily'!K26</f>
        <v>7457</v>
      </c>
      <c r="K23" s="312">
        <f>'Maldives at LG Daily'!L26</f>
        <v>4117</v>
      </c>
      <c r="L23" s="312">
        <f>'Maldives at LG Daily'!M26</f>
        <v>4627</v>
      </c>
      <c r="M23" s="312">
        <f>'Maldives at LG Daily'!N26</f>
        <v>11803</v>
      </c>
      <c r="N23" s="312">
        <f>'Maldives at LG Daily'!O26</f>
        <v>2300</v>
      </c>
      <c r="O23" s="312">
        <f>'Maldives at LG Daily'!P26</f>
        <v>2852</v>
      </c>
      <c r="P23" s="312">
        <f>'Maldives at LG Daily'!Q26</f>
        <v>1900</v>
      </c>
      <c r="Q23" s="312">
        <f>'Maldives at LG Daily'!R26</f>
        <v>482</v>
      </c>
      <c r="R23" s="312">
        <f>'Maldives at LG Daily'!S26</f>
        <v>700</v>
      </c>
      <c r="S23" s="312">
        <f>'Maldives at LG Daily'!T26</f>
        <v>1800</v>
      </c>
      <c r="T23" s="312">
        <f>'Maldives at LG Daily'!U26</f>
        <v>434</v>
      </c>
      <c r="U23" s="312">
        <f>'Maldives at LG Daily'!V26</f>
        <v>300</v>
      </c>
      <c r="V23" s="312">
        <f>'Maldives at LG Daily'!W26</f>
        <v>300</v>
      </c>
      <c r="W23" s="312">
        <f>'Maldives at LG Daily'!X26</f>
        <v>600</v>
      </c>
      <c r="X23" s="312">
        <f>'Maldives at LG Daily'!Y26</f>
        <v>120</v>
      </c>
      <c r="Y23" s="312">
        <f>'Maldives at LG Daily'!Z26</f>
        <v>350</v>
      </c>
      <c r="Z23" s="312">
        <f>'Maldives at LG Daily'!AA26</f>
        <v>1100</v>
      </c>
      <c r="AA23" s="312">
        <f>'Maldives at LG Daily'!AB26</f>
        <v>420</v>
      </c>
      <c r="AB23" s="312">
        <f>'Maldives at LG Daily'!AC26</f>
        <v>1320</v>
      </c>
      <c r="AC23" s="312">
        <f>'Maldives at LG Daily'!AD26</f>
        <v>810</v>
      </c>
      <c r="AD23" s="312">
        <f>'Maldives at LG Daily'!AE26</f>
        <v>1200</v>
      </c>
      <c r="AE23" s="312">
        <f>'Maldives at LG Daily'!AF26</f>
        <v>1200</v>
      </c>
      <c r="AF23" s="312">
        <f>'Maldives at LG Daily'!AG26</f>
        <v>940</v>
      </c>
      <c r="AG23" s="312">
        <f>'Maldives at LG Daily'!AH26</f>
        <v>650</v>
      </c>
      <c r="AH23" s="312">
        <f>'Maldives at LG Daily'!AI26</f>
        <v>330</v>
      </c>
      <c r="AI23" s="312">
        <f>'Maldives at LG Daily'!AJ26</f>
        <v>130</v>
      </c>
      <c r="AJ23" s="312">
        <f>'Maldives at LG Daily'!AK26</f>
        <v>1040</v>
      </c>
      <c r="AK23" s="312">
        <f>'Maldives at LG Daily'!AL26</f>
        <v>290</v>
      </c>
      <c r="AL23" s="312">
        <f>'Maldives at LG Daily'!AM26</f>
        <v>400</v>
      </c>
      <c r="AM23" s="312">
        <f>'Maldives at LG Daily'!AN26</f>
        <v>510</v>
      </c>
      <c r="AN23" s="312">
        <f>'Maldives at LG Daily'!AQ26</f>
        <v>185</v>
      </c>
      <c r="AO23" s="312">
        <f>'Maldives at LG Daily'!AR26</f>
        <v>0</v>
      </c>
      <c r="AP23" s="312">
        <f>'Maldives at LG Daily'!AS26</f>
        <v>180</v>
      </c>
      <c r="AQ23" s="312">
        <f>'Maldives at LG Daily'!AT26</f>
        <v>27</v>
      </c>
      <c r="AR23" s="312">
        <f>'Maldives at LG Daily'!AU26</f>
        <v>29</v>
      </c>
      <c r="AS23" s="312">
        <f>'Maldives at LG Daily'!AV26</f>
        <v>6</v>
      </c>
      <c r="AT23" s="312">
        <f>'Maldives at LG Daily'!AW26</f>
        <v>8</v>
      </c>
      <c r="AU23" s="312">
        <f>'Maldives at LG Daily'!AX26</f>
        <v>12</v>
      </c>
      <c r="AV23" s="312">
        <f>'Maldives at LG Daily'!AY26</f>
        <v>8</v>
      </c>
      <c r="AW23" s="312">
        <f>'Maldives at LG Daily'!AZ26</f>
        <v>7</v>
      </c>
      <c r="AX23" s="312">
        <f>'Maldives at LG Daily'!BA26</f>
        <v>9</v>
      </c>
      <c r="AY23" s="312">
        <f>'Maldives at LG Daily'!BB26</f>
        <v>8</v>
      </c>
      <c r="AZ23" s="312">
        <f>'Maldives at LG Daily'!BC26</f>
        <v>2</v>
      </c>
      <c r="BA23" s="312">
        <f>'Maldives at LG Daily'!BD26</f>
        <v>1</v>
      </c>
      <c r="BB23" s="312">
        <f>'Maldives at LG Daily'!BE26</f>
        <v>2</v>
      </c>
      <c r="BC23" s="312">
        <f>'Maldives at LG Daily'!BF26</f>
        <v>1</v>
      </c>
      <c r="BD23" s="312">
        <f>'Maldives at LG Daily'!BG26</f>
        <v>32</v>
      </c>
      <c r="BE23" s="312">
        <f>'Maldives at LG Daily'!BH26</f>
        <v>11</v>
      </c>
      <c r="BF23" s="312">
        <f>'Maldives at LG Daily'!BI26</f>
        <v>0</v>
      </c>
      <c r="BG23" s="312">
        <f>'Maldives at LG Daily'!BJ26</f>
        <v>8</v>
      </c>
      <c r="BH23" s="312">
        <f>'Maldives at LG Daily'!BK26</f>
        <v>4</v>
      </c>
      <c r="BI23" s="312">
        <f>'Maldives at LG Daily'!BL26</f>
        <v>4</v>
      </c>
      <c r="BJ23" s="312">
        <f>'Maldives at LG Daily'!BM26</f>
        <v>20</v>
      </c>
      <c r="BK23" s="312">
        <f>'Maldives at LG Daily'!BN26</f>
        <v>3</v>
      </c>
      <c r="BL23" s="312">
        <f>'Maldives at LG Daily'!BO26</f>
        <v>5</v>
      </c>
      <c r="BM23" s="312">
        <f>'Room Nights and Food Covers'!B26</f>
        <v>58.3</v>
      </c>
      <c r="BN23" s="312">
        <f>'Room Nights and Food Covers'!C26</f>
        <v>421</v>
      </c>
    </row>
    <row r="24" spans="1:66" ht="15.75" thickBot="1">
      <c r="A24" s="313" t="s">
        <v>15</v>
      </c>
      <c r="B24" s="313">
        <v>23</v>
      </c>
      <c r="C24" s="311">
        <f>TOTAL!C24</f>
        <v>1</v>
      </c>
      <c r="D24" s="310">
        <f>TOTAL!D24</f>
        <v>2023</v>
      </c>
      <c r="E24" s="312">
        <f>'SOLAR METER READING'!D31</f>
        <v>2469</v>
      </c>
      <c r="F24" s="312">
        <f>'Maldives at LG Daily'!G27</f>
        <v>8621</v>
      </c>
      <c r="G24" s="312">
        <f>'Maldives at LG Daily'!H27</f>
        <v>5612</v>
      </c>
      <c r="H24" s="312">
        <f>'Maldives at LG Daily'!I27</f>
        <v>0</v>
      </c>
      <c r="I24" s="312">
        <f>'Maldives at LG Daily'!J27</f>
        <v>4535</v>
      </c>
      <c r="J24" s="312">
        <f>'Maldives at LG Daily'!K27</f>
        <v>8569</v>
      </c>
      <c r="K24" s="312">
        <f>'Maldives at LG Daily'!L27</f>
        <v>4068</v>
      </c>
      <c r="L24" s="312">
        <f>'Maldives at LG Daily'!M27</f>
        <v>4547</v>
      </c>
      <c r="M24" s="312">
        <f>'Maldives at LG Daily'!N27</f>
        <v>12162</v>
      </c>
      <c r="N24" s="312">
        <f>'Maldives at LG Daily'!O27</f>
        <v>2300</v>
      </c>
      <c r="O24" s="312">
        <f>'Maldives at LG Daily'!P27</f>
        <v>2916</v>
      </c>
      <c r="P24" s="312">
        <f>'Maldives at LG Daily'!Q27</f>
        <v>1900</v>
      </c>
      <c r="Q24" s="312">
        <f>'Maldives at LG Daily'!R27</f>
        <v>439</v>
      </c>
      <c r="R24" s="312">
        <f>'Maldives at LG Daily'!S27</f>
        <v>700</v>
      </c>
      <c r="S24" s="312">
        <f>'Maldives at LG Daily'!T27</f>
        <v>2000</v>
      </c>
      <c r="T24" s="312">
        <f>'Maldives at LG Daily'!U27</f>
        <v>402</v>
      </c>
      <c r="U24" s="312">
        <f>'Maldives at LG Daily'!V27</f>
        <v>300</v>
      </c>
      <c r="V24" s="312">
        <f>'Maldives at LG Daily'!W27</f>
        <v>300</v>
      </c>
      <c r="W24" s="312">
        <f>'Maldives at LG Daily'!X27</f>
        <v>600</v>
      </c>
      <c r="X24" s="312">
        <f>'Maldives at LG Daily'!Y27</f>
        <v>130</v>
      </c>
      <c r="Y24" s="312">
        <f>'Maldives at LG Daily'!Z27</f>
        <v>430</v>
      </c>
      <c r="Z24" s="312">
        <f>'Maldives at LG Daily'!AA27</f>
        <v>1300</v>
      </c>
      <c r="AA24" s="312">
        <f>'Maldives at LG Daily'!AB27</f>
        <v>460</v>
      </c>
      <c r="AB24" s="312">
        <f>'Maldives at LG Daily'!AC27</f>
        <v>1020</v>
      </c>
      <c r="AC24" s="312">
        <f>'Maldives at LG Daily'!AD27</f>
        <v>800</v>
      </c>
      <c r="AD24" s="312">
        <f>'Maldives at LG Daily'!AE27</f>
        <v>800</v>
      </c>
      <c r="AE24" s="312">
        <f>'Maldives at LG Daily'!AF27</f>
        <v>800</v>
      </c>
      <c r="AF24" s="312">
        <f>'Maldives at LG Daily'!AG27</f>
        <v>880</v>
      </c>
      <c r="AG24" s="312">
        <f>'Maldives at LG Daily'!AH27</f>
        <v>520</v>
      </c>
      <c r="AH24" s="312">
        <f>'Maldives at LG Daily'!AI27</f>
        <v>310</v>
      </c>
      <c r="AI24" s="312">
        <f>'Maldives at LG Daily'!AJ27</f>
        <v>120</v>
      </c>
      <c r="AJ24" s="312">
        <f>'Maldives at LG Daily'!AK27</f>
        <v>890</v>
      </c>
      <c r="AK24" s="312">
        <f>'Maldives at LG Daily'!AL27</f>
        <v>260</v>
      </c>
      <c r="AL24" s="312">
        <f>'Maldives at LG Daily'!AM27</f>
        <v>330</v>
      </c>
      <c r="AM24" s="312">
        <f>'Maldives at LG Daily'!AN27</f>
        <v>530</v>
      </c>
      <c r="AN24" s="312">
        <f>'Maldives at LG Daily'!AQ27</f>
        <v>174</v>
      </c>
      <c r="AO24" s="312">
        <f>'Maldives at LG Daily'!AR27</f>
        <v>0</v>
      </c>
      <c r="AP24" s="312">
        <f>'Maldives at LG Daily'!AS27</f>
        <v>169</v>
      </c>
      <c r="AQ24" s="312">
        <f>'Maldives at LG Daily'!AT27</f>
        <v>6</v>
      </c>
      <c r="AR24" s="312">
        <f>'Maldives at LG Daily'!AU27</f>
        <v>29</v>
      </c>
      <c r="AS24" s="312">
        <f>'Maldives at LG Daily'!AV27</f>
        <v>6</v>
      </c>
      <c r="AT24" s="312">
        <f>'Maldives at LG Daily'!AW27</f>
        <v>10</v>
      </c>
      <c r="AU24" s="312">
        <f>'Maldives at LG Daily'!AX27</f>
        <v>12</v>
      </c>
      <c r="AV24" s="312">
        <f>'Maldives at LG Daily'!AY27</f>
        <v>8</v>
      </c>
      <c r="AW24" s="312">
        <f>'Maldives at LG Daily'!AZ27</f>
        <v>6</v>
      </c>
      <c r="AX24" s="312">
        <f>'Maldives at LG Daily'!BA27</f>
        <v>10</v>
      </c>
      <c r="AY24" s="312">
        <f>'Maldives at LG Daily'!BB27</f>
        <v>9</v>
      </c>
      <c r="AZ24" s="312">
        <f>'Maldives at LG Daily'!BC27</f>
        <v>0</v>
      </c>
      <c r="BA24" s="312">
        <f>'Maldives at LG Daily'!BD27</f>
        <v>1</v>
      </c>
      <c r="BB24" s="312">
        <f>'Maldives at LG Daily'!BE27</f>
        <v>5</v>
      </c>
      <c r="BC24" s="312">
        <f>'Maldives at LG Daily'!BF27</f>
        <v>4</v>
      </c>
      <c r="BD24" s="312">
        <f>'Maldives at LG Daily'!BG27</f>
        <v>32</v>
      </c>
      <c r="BE24" s="312">
        <f>'Maldives at LG Daily'!BH27</f>
        <v>9</v>
      </c>
      <c r="BF24" s="312">
        <f>'Maldives at LG Daily'!BI27</f>
        <v>1</v>
      </c>
      <c r="BG24" s="312">
        <f>'Maldives at LG Daily'!BJ27</f>
        <v>3</v>
      </c>
      <c r="BH24" s="312">
        <f>'Maldives at LG Daily'!BK27</f>
        <v>4</v>
      </c>
      <c r="BI24" s="312">
        <f>'Maldives at LG Daily'!BL27</f>
        <v>4</v>
      </c>
      <c r="BJ24" s="312">
        <f>'Maldives at LG Daily'!BM27</f>
        <v>13</v>
      </c>
      <c r="BK24" s="312">
        <f>'Maldives at LG Daily'!BN27</f>
        <v>3</v>
      </c>
      <c r="BL24" s="312">
        <f>'Maldives at LG Daily'!BO27</f>
        <v>0</v>
      </c>
      <c r="BM24" s="312">
        <f>'Room Nights and Food Covers'!B27</f>
        <v>48.5</v>
      </c>
      <c r="BN24" s="312">
        <f>'Room Nights and Food Covers'!C27</f>
        <v>372</v>
      </c>
    </row>
    <row r="25" spans="1:66" ht="15.75" thickBot="1">
      <c r="A25" s="313" t="s">
        <v>15</v>
      </c>
      <c r="B25" s="313">
        <v>24</v>
      </c>
      <c r="C25" s="311">
        <f>TOTAL!C25</f>
        <v>1</v>
      </c>
      <c r="D25" s="310">
        <f>TOTAL!D25</f>
        <v>2023</v>
      </c>
      <c r="E25" s="312">
        <f>'SOLAR METER READING'!D32</f>
        <v>2319</v>
      </c>
      <c r="F25" s="312">
        <f>'Maldives at LG Daily'!G28</f>
        <v>6609</v>
      </c>
      <c r="G25" s="312">
        <f>'Maldives at LG Daily'!H28</f>
        <v>9994</v>
      </c>
      <c r="H25" s="312">
        <f>'Maldives at LG Daily'!I28</f>
        <v>0</v>
      </c>
      <c r="I25" s="312">
        <f>'Maldives at LG Daily'!J28</f>
        <v>3261</v>
      </c>
      <c r="J25" s="312">
        <f>'Maldives at LG Daily'!K28</f>
        <v>4637</v>
      </c>
      <c r="K25" s="312">
        <f>'Maldives at LG Daily'!L28</f>
        <v>3612</v>
      </c>
      <c r="L25" s="312">
        <f>'Maldives at LG Daily'!M28</f>
        <v>3517</v>
      </c>
      <c r="M25" s="312">
        <f>'Maldives at LG Daily'!N28</f>
        <v>10742</v>
      </c>
      <c r="N25" s="312">
        <f>'Maldives at LG Daily'!O28</f>
        <v>2100</v>
      </c>
      <c r="O25" s="312">
        <f>'Maldives at LG Daily'!P28</f>
        <v>2699</v>
      </c>
      <c r="P25" s="312">
        <f>'Maldives at LG Daily'!Q28</f>
        <v>1600</v>
      </c>
      <c r="Q25" s="312">
        <f>'Maldives at LG Daily'!R28</f>
        <v>904</v>
      </c>
      <c r="R25" s="312">
        <f>'Maldives at LG Daily'!S28</f>
        <v>700</v>
      </c>
      <c r="S25" s="312">
        <f>'Maldives at LG Daily'!T28</f>
        <v>2100</v>
      </c>
      <c r="T25" s="312">
        <f>'Maldives at LG Daily'!U28</f>
        <v>337</v>
      </c>
      <c r="U25" s="312">
        <f>'Maldives at LG Daily'!V28</f>
        <v>300</v>
      </c>
      <c r="V25" s="312">
        <f>'Maldives at LG Daily'!W28</f>
        <v>300</v>
      </c>
      <c r="W25" s="312">
        <f>'Maldives at LG Daily'!X28</f>
        <v>500</v>
      </c>
      <c r="X25" s="312">
        <f>'Maldives at LG Daily'!Y28</f>
        <v>100</v>
      </c>
      <c r="Y25" s="312">
        <f>'Maldives at LG Daily'!Z28</f>
        <v>350</v>
      </c>
      <c r="Z25" s="312">
        <f>'Maldives at LG Daily'!AA28</f>
        <v>1100</v>
      </c>
      <c r="AA25" s="312">
        <f>'Maldives at LG Daily'!AB28</f>
        <v>440</v>
      </c>
      <c r="AB25" s="312">
        <f>'Maldives at LG Daily'!AC28</f>
        <v>760</v>
      </c>
      <c r="AC25" s="312">
        <f>'Maldives at LG Daily'!AD28</f>
        <v>730</v>
      </c>
      <c r="AD25" s="312">
        <f>'Maldives at LG Daily'!AE28</f>
        <v>800</v>
      </c>
      <c r="AE25" s="312">
        <f>'Maldives at LG Daily'!AF28</f>
        <v>800</v>
      </c>
      <c r="AF25" s="312">
        <f>'Maldives at LG Daily'!AG28</f>
        <v>790</v>
      </c>
      <c r="AG25" s="312">
        <f>'Maldives at LG Daily'!AH28</f>
        <v>450</v>
      </c>
      <c r="AH25" s="312">
        <f>'Maldives at LG Daily'!AI28</f>
        <v>320</v>
      </c>
      <c r="AI25" s="312">
        <f>'Maldives at LG Daily'!AJ28</f>
        <v>110</v>
      </c>
      <c r="AJ25" s="312">
        <f>'Maldives at LG Daily'!AK28</f>
        <v>1000</v>
      </c>
      <c r="AK25" s="312">
        <f>'Maldives at LG Daily'!AL28</f>
        <v>290</v>
      </c>
      <c r="AL25" s="312">
        <f>'Maldives at LG Daily'!AM28</f>
        <v>380</v>
      </c>
      <c r="AM25" s="312">
        <f>'Maldives at LG Daily'!AN28</f>
        <v>530</v>
      </c>
      <c r="AN25" s="312">
        <f>'Maldives at LG Daily'!AQ28</f>
        <v>108</v>
      </c>
      <c r="AO25" s="312">
        <f>'Maldives at LG Daily'!AR28</f>
        <v>14</v>
      </c>
      <c r="AP25" s="312">
        <f>'Maldives at LG Daily'!AS28</f>
        <v>160</v>
      </c>
      <c r="AQ25" s="312">
        <f>'Maldives at LG Daily'!AT28</f>
        <v>0</v>
      </c>
      <c r="AR25" s="312">
        <f>'Maldives at LG Daily'!AU28</f>
        <v>24</v>
      </c>
      <c r="AS25" s="312">
        <f>'Maldives at LG Daily'!AV28</f>
        <v>5</v>
      </c>
      <c r="AT25" s="312">
        <f>'Maldives at LG Daily'!AW28</f>
        <v>18</v>
      </c>
      <c r="AU25" s="312">
        <f>'Maldives at LG Daily'!AX28</f>
        <v>9</v>
      </c>
      <c r="AV25" s="312">
        <f>'Maldives at LG Daily'!AY28</f>
        <v>7</v>
      </c>
      <c r="AW25" s="312">
        <f>'Maldives at LG Daily'!AZ28</f>
        <v>6</v>
      </c>
      <c r="AX25" s="312">
        <f>'Maldives at LG Daily'!BA28</f>
        <v>8</v>
      </c>
      <c r="AY25" s="312">
        <f>'Maldives at LG Daily'!BB28</f>
        <v>1</v>
      </c>
      <c r="AZ25" s="312">
        <f>'Maldives at LG Daily'!BC28</f>
        <v>1</v>
      </c>
      <c r="BA25" s="312">
        <f>'Maldives at LG Daily'!BD28</f>
        <v>0</v>
      </c>
      <c r="BB25" s="312">
        <f>'Maldives at LG Daily'!BE28</f>
        <v>2</v>
      </c>
      <c r="BC25" s="312">
        <f>'Maldives at LG Daily'!BF28</f>
        <v>1</v>
      </c>
      <c r="BD25" s="312">
        <f>'Maldives at LG Daily'!BG28</f>
        <v>29</v>
      </c>
      <c r="BE25" s="312">
        <f>'Maldives at LG Daily'!BH28</f>
        <v>12</v>
      </c>
      <c r="BF25" s="312">
        <f>'Maldives at LG Daily'!BI28</f>
        <v>1</v>
      </c>
      <c r="BG25" s="312">
        <f>'Maldives at LG Daily'!BJ28</f>
        <v>2</v>
      </c>
      <c r="BH25" s="312">
        <f>'Maldives at LG Daily'!BK28</f>
        <v>3</v>
      </c>
      <c r="BI25" s="312">
        <f>'Maldives at LG Daily'!BL28</f>
        <v>3</v>
      </c>
      <c r="BJ25" s="312">
        <f>'Maldives at LG Daily'!BM28</f>
        <v>18</v>
      </c>
      <c r="BK25" s="312">
        <f>'Maldives at LG Daily'!BN28</f>
        <v>1</v>
      </c>
      <c r="BL25" s="312">
        <f>'Maldives at LG Daily'!BO28</f>
        <v>1</v>
      </c>
      <c r="BM25" s="312">
        <f>'Room Nights and Food Covers'!B28</f>
        <v>45.6</v>
      </c>
      <c r="BN25" s="312">
        <f>'Room Nights and Food Covers'!C28</f>
        <v>360</v>
      </c>
    </row>
    <row r="26" spans="1:66" ht="15.75" thickBot="1">
      <c r="A26" s="313" t="s">
        <v>15</v>
      </c>
      <c r="B26" s="313">
        <v>25</v>
      </c>
      <c r="C26" s="311">
        <f>TOTAL!C26</f>
        <v>1</v>
      </c>
      <c r="D26" s="310">
        <f>TOTAL!D26</f>
        <v>2023</v>
      </c>
      <c r="E26" s="312">
        <f>'SOLAR METER READING'!D33</f>
        <v>2641</v>
      </c>
      <c r="F26" s="312">
        <f>'Maldives at LG Daily'!G29</f>
        <v>5844</v>
      </c>
      <c r="G26" s="312">
        <f>'Maldives at LG Daily'!H29</f>
        <v>9298</v>
      </c>
      <c r="H26" s="312">
        <f>'Maldives at LG Daily'!I29</f>
        <v>0</v>
      </c>
      <c r="I26" s="312">
        <f>'Maldives at LG Daily'!J29</f>
        <v>2181</v>
      </c>
      <c r="J26" s="312">
        <f>'Maldives at LG Daily'!K29</f>
        <v>7225</v>
      </c>
      <c r="K26" s="312">
        <f>'Maldives at LG Daily'!L29</f>
        <v>3602</v>
      </c>
      <c r="L26" s="312">
        <f>'Maldives at LG Daily'!M29</f>
        <v>3878</v>
      </c>
      <c r="M26" s="312">
        <f>'Maldives at LG Daily'!N29</f>
        <v>11004</v>
      </c>
      <c r="N26" s="312">
        <f>'Maldives at LG Daily'!O29</f>
        <v>2200</v>
      </c>
      <c r="O26" s="312">
        <f>'Maldives at LG Daily'!P29</f>
        <v>2761</v>
      </c>
      <c r="P26" s="312">
        <f>'Maldives at LG Daily'!Q29</f>
        <v>1600</v>
      </c>
      <c r="Q26" s="312">
        <f>'Maldives at LG Daily'!R29</f>
        <v>23</v>
      </c>
      <c r="R26" s="312">
        <f>'Maldives at LG Daily'!S29</f>
        <v>700</v>
      </c>
      <c r="S26" s="312">
        <f>'Maldives at LG Daily'!T29</f>
        <v>1700</v>
      </c>
      <c r="T26" s="312">
        <f>'Maldives at LG Daily'!U29</f>
        <v>356</v>
      </c>
      <c r="U26" s="312">
        <f>'Maldives at LG Daily'!V29</f>
        <v>300</v>
      </c>
      <c r="V26" s="312">
        <f>'Maldives at LG Daily'!W29</f>
        <v>300</v>
      </c>
      <c r="W26" s="312">
        <f>'Maldives at LG Daily'!X29</f>
        <v>500</v>
      </c>
      <c r="X26" s="312">
        <f>'Maldives at LG Daily'!Y29</f>
        <v>120</v>
      </c>
      <c r="Y26" s="312">
        <f>'Maldives at LG Daily'!Z29</f>
        <v>330</v>
      </c>
      <c r="Z26" s="312">
        <f>'Maldives at LG Daily'!AA29</f>
        <v>1200</v>
      </c>
      <c r="AA26" s="312">
        <f>'Maldives at LG Daily'!AB29</f>
        <v>450</v>
      </c>
      <c r="AB26" s="312">
        <f>'Maldives at LG Daily'!AC29</f>
        <v>790</v>
      </c>
      <c r="AC26" s="312">
        <f>'Maldives at LG Daily'!AD29</f>
        <v>740</v>
      </c>
      <c r="AD26" s="312">
        <f>'Maldives at LG Daily'!AE29</f>
        <v>900</v>
      </c>
      <c r="AE26" s="312">
        <f>'Maldives at LG Daily'!AF29</f>
        <v>900</v>
      </c>
      <c r="AF26" s="312">
        <f>'Maldives at LG Daily'!AG29</f>
        <v>770</v>
      </c>
      <c r="AG26" s="312">
        <f>'Maldives at LG Daily'!AH29</f>
        <v>490</v>
      </c>
      <c r="AH26" s="312">
        <f>'Maldives at LG Daily'!AI29</f>
        <v>310</v>
      </c>
      <c r="AI26" s="312">
        <f>'Maldives at LG Daily'!AJ29</f>
        <v>110</v>
      </c>
      <c r="AJ26" s="312">
        <f>'Maldives at LG Daily'!AK29</f>
        <v>920</v>
      </c>
      <c r="AK26" s="312">
        <f>'Maldives at LG Daily'!AL29</f>
        <v>270</v>
      </c>
      <c r="AL26" s="312">
        <f>'Maldives at LG Daily'!AM29</f>
        <v>370</v>
      </c>
      <c r="AM26" s="312">
        <f>'Maldives at LG Daily'!AN29</f>
        <v>500</v>
      </c>
      <c r="AN26" s="312">
        <f>'Maldives at LG Daily'!AQ29</f>
        <v>158</v>
      </c>
      <c r="AO26" s="312">
        <f>'Maldives at LG Daily'!AR29</f>
        <v>0</v>
      </c>
      <c r="AP26" s="312">
        <f>'Maldives at LG Daily'!AS29</f>
        <v>127</v>
      </c>
      <c r="AQ26" s="312">
        <f>'Maldives at LG Daily'!AT29</f>
        <v>33</v>
      </c>
      <c r="AR26" s="312">
        <f>'Maldives at LG Daily'!AU29</f>
        <v>25</v>
      </c>
      <c r="AS26" s="312">
        <f>'Maldives at LG Daily'!AV29</f>
        <v>6</v>
      </c>
      <c r="AT26" s="312">
        <f>'Maldives at LG Daily'!AW29</f>
        <v>0</v>
      </c>
      <c r="AU26" s="312">
        <f>'Maldives at LG Daily'!AX29</f>
        <v>10</v>
      </c>
      <c r="AV26" s="312">
        <f>'Maldives at LG Daily'!AY29</f>
        <v>8</v>
      </c>
      <c r="AW26" s="312">
        <f>'Maldives at LG Daily'!AZ29</f>
        <v>7</v>
      </c>
      <c r="AX26" s="312">
        <f>'Maldives at LG Daily'!BA29</f>
        <v>8</v>
      </c>
      <c r="AY26" s="312">
        <f>'Maldives at LG Daily'!BB29</f>
        <v>9</v>
      </c>
      <c r="AZ26" s="312">
        <f>'Maldives at LG Daily'!BC29</f>
        <v>1</v>
      </c>
      <c r="BA26" s="312">
        <f>'Maldives at LG Daily'!BD29</f>
        <v>0</v>
      </c>
      <c r="BB26" s="312">
        <f>'Maldives at LG Daily'!BE29</f>
        <v>3</v>
      </c>
      <c r="BC26" s="312">
        <f>'Maldives at LG Daily'!BF29</f>
        <v>2</v>
      </c>
      <c r="BD26" s="312">
        <f>'Maldives at LG Daily'!BG29</f>
        <v>31</v>
      </c>
      <c r="BE26" s="312">
        <f>'Maldives at LG Daily'!BH29</f>
        <v>8</v>
      </c>
      <c r="BF26" s="312">
        <f>'Maldives at LG Daily'!BI29</f>
        <v>1</v>
      </c>
      <c r="BG26" s="312">
        <f>'Maldives at LG Daily'!BJ29</f>
        <v>1</v>
      </c>
      <c r="BH26" s="312">
        <f>'Maldives at LG Daily'!BK29</f>
        <v>4</v>
      </c>
      <c r="BI26" s="312">
        <f>'Maldives at LG Daily'!BL29</f>
        <v>5</v>
      </c>
      <c r="BJ26" s="312">
        <f>'Maldives at LG Daily'!BM29</f>
        <v>15</v>
      </c>
      <c r="BK26" s="312">
        <f>'Maldives at LG Daily'!BN29</f>
        <v>5</v>
      </c>
      <c r="BL26" s="312">
        <f>'Maldives at LG Daily'!BO29</f>
        <v>1</v>
      </c>
      <c r="BM26" s="312">
        <f>'Room Nights and Food Covers'!B29</f>
        <v>44.7</v>
      </c>
      <c r="BN26" s="312">
        <f>'Room Nights and Food Covers'!C29</f>
        <v>352</v>
      </c>
    </row>
    <row r="27" spans="1:66" ht="15.75" thickBot="1">
      <c r="A27" s="313" t="s">
        <v>15</v>
      </c>
      <c r="B27" s="313">
        <v>26</v>
      </c>
      <c r="C27" s="311">
        <f>TOTAL!C27</f>
        <v>1</v>
      </c>
      <c r="D27" s="310">
        <f>TOTAL!D27</f>
        <v>2023</v>
      </c>
      <c r="E27" s="312">
        <f>'SOLAR METER READING'!D34</f>
        <v>3077</v>
      </c>
      <c r="F27" s="312">
        <f>'Maldives at LG Daily'!G30</f>
        <v>5927</v>
      </c>
      <c r="G27" s="312">
        <f>'Maldives at LG Daily'!H30</f>
        <v>8782</v>
      </c>
      <c r="H27" s="312">
        <f>'Maldives at LG Daily'!I30</f>
        <v>0</v>
      </c>
      <c r="I27" s="312">
        <f>'Maldives at LG Daily'!J30</f>
        <v>2288</v>
      </c>
      <c r="J27" s="312">
        <f>'Maldives at LG Daily'!K30</f>
        <v>7112</v>
      </c>
      <c r="K27" s="312">
        <f>'Maldives at LG Daily'!L30</f>
        <v>3370</v>
      </c>
      <c r="L27" s="312">
        <f>'Maldives at LG Daily'!M30</f>
        <v>3803</v>
      </c>
      <c r="M27" s="312">
        <f>'Maldives at LG Daily'!N30</f>
        <v>10644</v>
      </c>
      <c r="N27" s="312">
        <f>'Maldives at LG Daily'!O30</f>
        <v>2100</v>
      </c>
      <c r="O27" s="312">
        <f>'Maldives at LG Daily'!P30</f>
        <v>2850</v>
      </c>
      <c r="P27" s="312">
        <f>'Maldives at LG Daily'!Q30</f>
        <v>1600</v>
      </c>
      <c r="Q27" s="312">
        <f>'Maldives at LG Daily'!R30</f>
        <v>502</v>
      </c>
      <c r="R27" s="312">
        <f>'Maldives at LG Daily'!S30</f>
        <v>700</v>
      </c>
      <c r="S27" s="312">
        <f>'Maldives at LG Daily'!T30</f>
        <v>2000</v>
      </c>
      <c r="T27" s="312">
        <f>'Maldives at LG Daily'!U30</f>
        <v>356</v>
      </c>
      <c r="U27" s="312">
        <f>'Maldives at LG Daily'!V30</f>
        <v>200</v>
      </c>
      <c r="V27" s="312">
        <f>'Maldives at LG Daily'!W30</f>
        <v>200</v>
      </c>
      <c r="W27" s="312">
        <f>'Maldives at LG Daily'!X30</f>
        <v>600</v>
      </c>
      <c r="X27" s="312">
        <f>'Maldives at LG Daily'!Y30</f>
        <v>120</v>
      </c>
      <c r="Y27" s="312">
        <f>'Maldives at LG Daily'!Z30</f>
        <v>320</v>
      </c>
      <c r="Z27" s="312">
        <f>'Maldives at LG Daily'!AA30</f>
        <v>1100</v>
      </c>
      <c r="AA27" s="312">
        <f>'Maldives at LG Daily'!AB30</f>
        <v>400</v>
      </c>
      <c r="AB27" s="312">
        <f>'Maldives at LG Daily'!AC30</f>
        <v>900</v>
      </c>
      <c r="AC27" s="312">
        <f>'Maldives at LG Daily'!AD30</f>
        <v>620</v>
      </c>
      <c r="AD27" s="312">
        <f>'Maldives at LG Daily'!AE30</f>
        <v>100</v>
      </c>
      <c r="AE27" s="312">
        <f>'Maldives at LG Daily'!AF30</f>
        <v>100</v>
      </c>
      <c r="AF27" s="312">
        <f>'Maldives at LG Daily'!AG30</f>
        <v>710</v>
      </c>
      <c r="AG27" s="312">
        <f>'Maldives at LG Daily'!AH30</f>
        <v>600</v>
      </c>
      <c r="AH27" s="312">
        <f>'Maldives at LG Daily'!AI30</f>
        <v>330</v>
      </c>
      <c r="AI27" s="312">
        <f>'Maldives at LG Daily'!AJ30</f>
        <v>120</v>
      </c>
      <c r="AJ27" s="312">
        <f>'Maldives at LG Daily'!AK30</f>
        <v>950</v>
      </c>
      <c r="AK27" s="312">
        <f>'Maldives at LG Daily'!AL30</f>
        <v>280</v>
      </c>
      <c r="AL27" s="312">
        <f>'Maldives at LG Daily'!AM30</f>
        <v>450</v>
      </c>
      <c r="AM27" s="312">
        <f>'Maldives at LG Daily'!AN30</f>
        <v>550</v>
      </c>
      <c r="AN27" s="312">
        <f>'Maldives at LG Daily'!AQ30</f>
        <v>118</v>
      </c>
      <c r="AO27" s="312">
        <f>'Maldives at LG Daily'!AR30</f>
        <v>12</v>
      </c>
      <c r="AP27" s="312">
        <f>'Maldives at LG Daily'!AS30</f>
        <v>159</v>
      </c>
      <c r="AQ27" s="312">
        <f>'Maldives at LG Daily'!AT30</f>
        <v>0</v>
      </c>
      <c r="AR27" s="312">
        <f>'Maldives at LG Daily'!AU30</f>
        <v>26</v>
      </c>
      <c r="AS27" s="312">
        <f>'Maldives at LG Daily'!AV30</f>
        <v>6</v>
      </c>
      <c r="AT27" s="312">
        <f>'Maldives at LG Daily'!AW30</f>
        <v>8</v>
      </c>
      <c r="AU27" s="312">
        <f>'Maldives at LG Daily'!AX30</f>
        <v>10</v>
      </c>
      <c r="AV27" s="312">
        <f>'Maldives at LG Daily'!AY30</f>
        <v>7</v>
      </c>
      <c r="AW27" s="312">
        <f>'Maldives at LG Daily'!AZ30</f>
        <v>6</v>
      </c>
      <c r="AX27" s="312">
        <f>'Maldives at LG Daily'!BA30</f>
        <v>10</v>
      </c>
      <c r="AY27" s="312">
        <f>'Maldives at LG Daily'!BB30</f>
        <v>17</v>
      </c>
      <c r="AZ27" s="312">
        <f>'Maldives at LG Daily'!BC30</f>
        <v>1</v>
      </c>
      <c r="BA27" s="312">
        <f>'Maldives at LG Daily'!BD30</f>
        <v>0</v>
      </c>
      <c r="BB27" s="312">
        <f>'Maldives at LG Daily'!BE30</f>
        <v>6</v>
      </c>
      <c r="BC27" s="312">
        <f>'Maldives at LG Daily'!BF30</f>
        <v>4</v>
      </c>
      <c r="BD27" s="312">
        <f>'Maldives at LG Daily'!BG30</f>
        <v>29</v>
      </c>
      <c r="BE27" s="312">
        <f>'Maldives at LG Daily'!BH30</f>
        <v>8</v>
      </c>
      <c r="BF27" s="312">
        <f>'Maldives at LG Daily'!BI30</f>
        <v>1</v>
      </c>
      <c r="BG27" s="312">
        <f>'Maldives at LG Daily'!BJ30</f>
        <v>1</v>
      </c>
      <c r="BH27" s="312">
        <f>'Maldives at LG Daily'!BK30</f>
        <v>2</v>
      </c>
      <c r="BI27" s="312">
        <f>'Maldives at LG Daily'!BL30</f>
        <v>3</v>
      </c>
      <c r="BJ27" s="312">
        <f>'Maldives at LG Daily'!BM30</f>
        <v>16</v>
      </c>
      <c r="BK27" s="312">
        <f>'Maldives at LG Daily'!BN30</f>
        <v>2</v>
      </c>
      <c r="BL27" s="312">
        <f>'Maldives at LG Daily'!BO30</f>
        <v>1</v>
      </c>
      <c r="BM27" s="312">
        <f>'Room Nights and Food Covers'!B30</f>
        <v>44.7</v>
      </c>
      <c r="BN27" s="312">
        <f>'Room Nights and Food Covers'!C30</f>
        <v>359</v>
      </c>
    </row>
    <row r="28" spans="1:66" ht="15.75" thickBot="1">
      <c r="A28" s="313" t="s">
        <v>15</v>
      </c>
      <c r="B28" s="313">
        <v>27</v>
      </c>
      <c r="C28" s="311">
        <f>TOTAL!C28</f>
        <v>1</v>
      </c>
      <c r="D28" s="310">
        <f>TOTAL!D28</f>
        <v>2023</v>
      </c>
      <c r="E28" s="312">
        <f>'SOLAR METER READING'!D35</f>
        <v>2685</v>
      </c>
      <c r="F28" s="312">
        <f>'Maldives at LG Daily'!G31</f>
        <v>7747</v>
      </c>
      <c r="G28" s="312">
        <f>'Maldives at LG Daily'!H31</f>
        <v>9188</v>
      </c>
      <c r="H28" s="312">
        <f>'Maldives at LG Daily'!I31</f>
        <v>0</v>
      </c>
      <c r="I28" s="312">
        <f>'Maldives at LG Daily'!J31</f>
        <v>2895</v>
      </c>
      <c r="J28" s="312">
        <f>'Maldives at LG Daily'!K31</f>
        <v>5981</v>
      </c>
      <c r="K28" s="312">
        <f>'Maldives at LG Daily'!L31</f>
        <v>3450</v>
      </c>
      <c r="L28" s="312">
        <f>'Maldives at LG Daily'!M31</f>
        <v>4562</v>
      </c>
      <c r="M28" s="312">
        <f>'Maldives at LG Daily'!N31</f>
        <v>11447</v>
      </c>
      <c r="N28" s="312">
        <f>'Maldives at LG Daily'!O31</f>
        <v>2200</v>
      </c>
      <c r="O28" s="312">
        <f>'Maldives at LG Daily'!P31</f>
        <v>2892</v>
      </c>
      <c r="P28" s="312">
        <f>'Maldives at LG Daily'!Q31</f>
        <v>1600</v>
      </c>
      <c r="Q28" s="312">
        <f>'Maldives at LG Daily'!R31</f>
        <v>487</v>
      </c>
      <c r="R28" s="312">
        <f>'Maldives at LG Daily'!S31</f>
        <v>600</v>
      </c>
      <c r="S28" s="312">
        <f>'Maldives at LG Daily'!T31</f>
        <v>1700</v>
      </c>
      <c r="T28" s="312">
        <f>'Maldives at LG Daily'!U31</f>
        <v>431</v>
      </c>
      <c r="U28" s="312">
        <f>'Maldives at LG Daily'!V31</f>
        <v>300</v>
      </c>
      <c r="V28" s="312">
        <f>'Maldives at LG Daily'!W31</f>
        <v>300</v>
      </c>
      <c r="W28" s="312">
        <f>'Maldives at LG Daily'!X31</f>
        <v>500</v>
      </c>
      <c r="X28" s="312">
        <f>'Maldives at LG Daily'!Y31</f>
        <v>130</v>
      </c>
      <c r="Y28" s="312">
        <f>'Maldives at LG Daily'!Z31</f>
        <v>330</v>
      </c>
      <c r="Z28" s="312">
        <f>'Maldives at LG Daily'!AA31</f>
        <v>1300</v>
      </c>
      <c r="AA28" s="312">
        <f>'Maldives at LG Daily'!AB31</f>
        <v>400</v>
      </c>
      <c r="AB28" s="312">
        <f>'Maldives at LG Daily'!AC31</f>
        <v>1070</v>
      </c>
      <c r="AC28" s="312">
        <f>'Maldives at LG Daily'!AD31</f>
        <v>950</v>
      </c>
      <c r="AD28" s="312">
        <f>'Maldives at LG Daily'!AE31</f>
        <v>1100</v>
      </c>
      <c r="AE28" s="312">
        <f>'Maldives at LG Daily'!AF31</f>
        <v>1100</v>
      </c>
      <c r="AF28" s="312">
        <f>'Maldives at LG Daily'!AG31</f>
        <v>780</v>
      </c>
      <c r="AG28" s="312">
        <f>'Maldives at LG Daily'!AH31</f>
        <v>540</v>
      </c>
      <c r="AH28" s="312">
        <f>'Maldives at LG Daily'!AI31</f>
        <v>320</v>
      </c>
      <c r="AI28" s="312">
        <f>'Maldives at LG Daily'!AJ31</f>
        <v>110</v>
      </c>
      <c r="AJ28" s="312">
        <f>'Maldives at LG Daily'!AK31</f>
        <v>870</v>
      </c>
      <c r="AK28" s="312">
        <f>'Maldives at LG Daily'!AL31</f>
        <v>260</v>
      </c>
      <c r="AL28" s="312">
        <f>'Maldives at LG Daily'!AM31</f>
        <v>340</v>
      </c>
      <c r="AM28" s="312">
        <f>'Maldives at LG Daily'!AN31</f>
        <v>500</v>
      </c>
      <c r="AN28" s="312">
        <f>'Maldives at LG Daily'!AQ31</f>
        <v>167</v>
      </c>
      <c r="AO28" s="312">
        <f>'Maldives at LG Daily'!AR31</f>
        <v>3</v>
      </c>
      <c r="AP28" s="312">
        <f>'Maldives at LG Daily'!AS31</f>
        <v>134</v>
      </c>
      <c r="AQ28" s="312">
        <f>'Maldives at LG Daily'!AT31</f>
        <v>11</v>
      </c>
      <c r="AR28" s="312">
        <f>'Maldives at LG Daily'!AU31</f>
        <v>21</v>
      </c>
      <c r="AS28" s="312">
        <f>'Maldives at LG Daily'!AV31</f>
        <v>5</v>
      </c>
      <c r="AT28" s="312">
        <f>'Maldives at LG Daily'!AW31</f>
        <v>9</v>
      </c>
      <c r="AU28" s="312">
        <f>'Maldives at LG Daily'!AX31</f>
        <v>10</v>
      </c>
      <c r="AV28" s="312">
        <f>'Maldives at LG Daily'!AY31</f>
        <v>8</v>
      </c>
      <c r="AW28" s="312">
        <f>'Maldives at LG Daily'!AZ31</f>
        <v>6</v>
      </c>
      <c r="AX28" s="312">
        <f>'Maldives at LG Daily'!BA31</f>
        <v>10</v>
      </c>
      <c r="AY28" s="312">
        <f>'Maldives at LG Daily'!BB31</f>
        <v>8</v>
      </c>
      <c r="AZ28" s="312">
        <f>'Maldives at LG Daily'!BC31</f>
        <v>1</v>
      </c>
      <c r="BA28" s="312">
        <f>'Maldives at LG Daily'!BD31</f>
        <v>0</v>
      </c>
      <c r="BB28" s="312">
        <f>'Maldives at LG Daily'!BE31</f>
        <v>2</v>
      </c>
      <c r="BC28" s="312">
        <f>'Maldives at LG Daily'!BF31</f>
        <v>1</v>
      </c>
      <c r="BD28" s="312">
        <f>'Maldives at LG Daily'!BG31</f>
        <v>31</v>
      </c>
      <c r="BE28" s="312">
        <f>'Maldives at LG Daily'!BH31</f>
        <v>10</v>
      </c>
      <c r="BF28" s="312">
        <f>'Maldives at LG Daily'!BI31</f>
        <v>0</v>
      </c>
      <c r="BG28" s="312">
        <f>'Maldives at LG Daily'!BJ31</f>
        <v>1</v>
      </c>
      <c r="BH28" s="312">
        <f>'Maldives at LG Daily'!BK31</f>
        <v>5</v>
      </c>
      <c r="BI28" s="312">
        <f>'Maldives at LG Daily'!BL31</f>
        <v>4</v>
      </c>
      <c r="BJ28" s="312">
        <f>'Maldives at LG Daily'!BM31</f>
        <v>17</v>
      </c>
      <c r="BK28" s="312">
        <f>'Maldives at LG Daily'!BN31</f>
        <v>3</v>
      </c>
      <c r="BL28" s="312">
        <f>'Maldives at LG Daily'!BO31</f>
        <v>2</v>
      </c>
      <c r="BM28" s="312">
        <f>'Room Nights and Food Covers'!B31</f>
        <v>41.7</v>
      </c>
      <c r="BN28" s="312">
        <f>'Room Nights and Food Covers'!C31</f>
        <v>332</v>
      </c>
    </row>
    <row r="29" spans="1:66" ht="15.75" thickBot="1">
      <c r="A29" s="314" t="s">
        <v>15</v>
      </c>
      <c r="B29" s="314">
        <v>28</v>
      </c>
      <c r="C29" s="311">
        <f>TOTAL!C29</f>
        <v>1</v>
      </c>
      <c r="D29" s="310">
        <f>TOTAL!D29</f>
        <v>2023</v>
      </c>
      <c r="E29" s="312">
        <f>'SOLAR METER READING'!D36</f>
        <v>2943</v>
      </c>
      <c r="F29" s="312">
        <f>'Maldives at LG Daily'!G32</f>
        <v>7418</v>
      </c>
      <c r="G29" s="312">
        <f>'Maldives at LG Daily'!H32</f>
        <v>6722</v>
      </c>
      <c r="H29" s="312">
        <f>'Maldives at LG Daily'!I32</f>
        <v>0</v>
      </c>
      <c r="I29" s="312">
        <f>'Maldives at LG Daily'!J32</f>
        <v>3236</v>
      </c>
      <c r="J29" s="312">
        <f>'Maldives at LG Daily'!K32</f>
        <v>7378</v>
      </c>
      <c r="K29" s="312">
        <f>'Maldives at LG Daily'!L32</f>
        <v>3463</v>
      </c>
      <c r="L29" s="312">
        <f>'Maldives at LG Daily'!M32</f>
        <v>4371</v>
      </c>
      <c r="M29" s="312">
        <f>'Maldives at LG Daily'!N32</f>
        <v>10936</v>
      </c>
      <c r="N29" s="312">
        <f>'Maldives at LG Daily'!O32</f>
        <v>2200</v>
      </c>
      <c r="O29" s="312">
        <f>'Maldives at LG Daily'!P32</f>
        <v>3016</v>
      </c>
      <c r="P29" s="312">
        <f>'Maldives at LG Daily'!Q32</f>
        <v>1700</v>
      </c>
      <c r="Q29" s="312">
        <f>'Maldives at LG Daily'!R32</f>
        <v>459</v>
      </c>
      <c r="R29" s="312">
        <f>'Maldives at LG Daily'!S32</f>
        <v>700</v>
      </c>
      <c r="S29" s="312">
        <f>'Maldives at LG Daily'!T32</f>
        <v>1600</v>
      </c>
      <c r="T29" s="312">
        <f>'Maldives at LG Daily'!U32</f>
        <v>392</v>
      </c>
      <c r="U29" s="312">
        <f>'Maldives at LG Daily'!V32</f>
        <v>300</v>
      </c>
      <c r="V29" s="312">
        <f>'Maldives at LG Daily'!W32</f>
        <v>300</v>
      </c>
      <c r="W29" s="312">
        <f>'Maldives at LG Daily'!X32</f>
        <v>600</v>
      </c>
      <c r="X29" s="312">
        <f>'Maldives at LG Daily'!Y32</f>
        <v>120</v>
      </c>
      <c r="Y29" s="312">
        <f>'Maldives at LG Daily'!Z32</f>
        <v>310</v>
      </c>
      <c r="Z29" s="312">
        <f>'Maldives at LG Daily'!AA32</f>
        <v>1200</v>
      </c>
      <c r="AA29" s="312">
        <f>'Maldives at LG Daily'!AB32</f>
        <v>390</v>
      </c>
      <c r="AB29" s="312">
        <f>'Maldives at LG Daily'!AC32</f>
        <v>1030</v>
      </c>
      <c r="AC29" s="312">
        <f>'Maldives at LG Daily'!AD32</f>
        <v>1060</v>
      </c>
      <c r="AD29" s="312">
        <f>'Maldives at LG Daily'!AE32</f>
        <v>1100</v>
      </c>
      <c r="AE29" s="312">
        <f>'Maldives at LG Daily'!AF32</f>
        <v>1100</v>
      </c>
      <c r="AF29" s="312">
        <f>'Maldives at LG Daily'!AG32</f>
        <v>830</v>
      </c>
      <c r="AG29" s="312">
        <f>'Maldives at LG Daily'!AH32</f>
        <v>630</v>
      </c>
      <c r="AH29" s="312">
        <f>'Maldives at LG Daily'!AI32</f>
        <v>310</v>
      </c>
      <c r="AI29" s="312">
        <f>'Maldives at LG Daily'!AJ32</f>
        <v>120</v>
      </c>
      <c r="AJ29" s="312">
        <f>'Maldives at LG Daily'!AK32</f>
        <v>1030</v>
      </c>
      <c r="AK29" s="312">
        <f>'Maldives at LG Daily'!AL32</f>
        <v>290</v>
      </c>
      <c r="AL29" s="312">
        <f>'Maldives at LG Daily'!AM32</f>
        <v>360</v>
      </c>
      <c r="AM29" s="312">
        <f>'Maldives at LG Daily'!AN32</f>
        <v>510</v>
      </c>
      <c r="AN29" s="312">
        <f>'Maldives at LG Daily'!AQ32</f>
        <v>184</v>
      </c>
      <c r="AO29" s="312">
        <f>'Maldives at LG Daily'!AR32</f>
        <v>14</v>
      </c>
      <c r="AP29" s="312">
        <f>'Maldives at LG Daily'!AS32</f>
        <v>139</v>
      </c>
      <c r="AQ29" s="312">
        <f>'Maldives at LG Daily'!AT32</f>
        <v>0</v>
      </c>
      <c r="AR29" s="312">
        <f>'Maldives at LG Daily'!AU32</f>
        <v>23</v>
      </c>
      <c r="AS29" s="312">
        <f>'Maldives at LG Daily'!AV32</f>
        <v>6</v>
      </c>
      <c r="AT29" s="312">
        <f>'Maldives at LG Daily'!AW32</f>
        <v>9</v>
      </c>
      <c r="AU29" s="312">
        <f>'Maldives at LG Daily'!AX32</f>
        <v>10</v>
      </c>
      <c r="AV29" s="312">
        <f>'Maldives at LG Daily'!AY32</f>
        <v>7</v>
      </c>
      <c r="AW29" s="312">
        <f>'Maldives at LG Daily'!AZ32</f>
        <v>7</v>
      </c>
      <c r="AX29" s="312">
        <f>'Maldives at LG Daily'!BA32</f>
        <v>0</v>
      </c>
      <c r="AY29" s="312">
        <f>'Maldives at LG Daily'!BB32</f>
        <v>8</v>
      </c>
      <c r="AZ29" s="312">
        <f>'Maldives at LG Daily'!BC32</f>
        <v>0</v>
      </c>
      <c r="BA29" s="312">
        <f>'Maldives at LG Daily'!BD32</f>
        <v>0</v>
      </c>
      <c r="BB29" s="312">
        <f>'Maldives at LG Daily'!BE32</f>
        <v>3</v>
      </c>
      <c r="BC29" s="312">
        <f>'Maldives at LG Daily'!BF32</f>
        <v>0</v>
      </c>
      <c r="BD29" s="312">
        <f>'Maldives at LG Daily'!BG32</f>
        <v>31</v>
      </c>
      <c r="BE29" s="312">
        <f>'Maldives at LG Daily'!BH32</f>
        <v>9</v>
      </c>
      <c r="BF29" s="312">
        <f>'Maldives at LG Daily'!BI32</f>
        <v>1</v>
      </c>
      <c r="BG29" s="312">
        <f>'Maldives at LG Daily'!BJ32</f>
        <v>0</v>
      </c>
      <c r="BH29" s="312">
        <f>'Maldives at LG Daily'!BK32</f>
        <v>8</v>
      </c>
      <c r="BI29" s="312">
        <f>'Maldives at LG Daily'!BL32</f>
        <v>3</v>
      </c>
      <c r="BJ29" s="312">
        <f>'Maldives at LG Daily'!BM32</f>
        <v>13</v>
      </c>
      <c r="BK29" s="312">
        <f>'Maldives at LG Daily'!BN32</f>
        <v>5</v>
      </c>
      <c r="BL29" s="312">
        <f>'Maldives at LG Daily'!BO32</f>
        <v>1</v>
      </c>
      <c r="BM29" s="312">
        <f>'Room Nights and Food Covers'!B32</f>
        <v>44.7</v>
      </c>
      <c r="BN29" s="312">
        <f>'Room Nights and Food Covers'!C32</f>
        <v>330</v>
      </c>
    </row>
    <row r="30" spans="1:66" ht="15.75" thickBot="1">
      <c r="A30" s="314" t="s">
        <v>15</v>
      </c>
      <c r="B30" s="314">
        <v>29</v>
      </c>
      <c r="C30" s="311">
        <f>TOTAL!C30</f>
        <v>1</v>
      </c>
      <c r="D30" s="310">
        <f>TOTAL!D30</f>
        <v>2023</v>
      </c>
      <c r="E30" s="312">
        <f>'SOLAR METER READING'!D37</f>
        <v>1717</v>
      </c>
      <c r="F30" s="312">
        <f>'Maldives at LG Daily'!G33</f>
        <v>2671</v>
      </c>
      <c r="G30" s="312">
        <f>'Maldives at LG Daily'!H33</f>
        <v>13884</v>
      </c>
      <c r="H30" s="312">
        <f>'Maldives at LG Daily'!I33</f>
        <v>0</v>
      </c>
      <c r="I30" s="312">
        <f>'Maldives at LG Daily'!J33</f>
        <v>2373</v>
      </c>
      <c r="J30" s="312">
        <f>'Maldives at LG Daily'!K33</f>
        <v>5890</v>
      </c>
      <c r="K30" s="312">
        <f>'Maldives at LG Daily'!L33</f>
        <v>3363</v>
      </c>
      <c r="L30" s="312">
        <f>'Maldives at LG Daily'!M33</f>
        <v>3635</v>
      </c>
      <c r="M30" s="312">
        <f>'Maldives at LG Daily'!N33</f>
        <v>11537</v>
      </c>
      <c r="N30" s="312">
        <f>'Maldives at LG Daily'!O33</f>
        <v>2100</v>
      </c>
      <c r="O30" s="312">
        <f>'Maldives at LG Daily'!P33</f>
        <v>2810</v>
      </c>
      <c r="P30" s="312">
        <f>'Maldives at LG Daily'!Q33</f>
        <v>1500</v>
      </c>
      <c r="Q30" s="312">
        <f>'Maldives at LG Daily'!R33</f>
        <v>514</v>
      </c>
      <c r="R30" s="312">
        <f>'Maldives at LG Daily'!S33</f>
        <v>700</v>
      </c>
      <c r="S30" s="312">
        <f>'Maldives at LG Daily'!T33</f>
        <v>1900</v>
      </c>
      <c r="T30" s="312">
        <f>'Maldives at LG Daily'!U33</f>
        <v>369</v>
      </c>
      <c r="U30" s="312">
        <f>'Maldives at LG Daily'!V33</f>
        <v>300</v>
      </c>
      <c r="V30" s="312">
        <f>'Maldives at LG Daily'!W33</f>
        <v>300</v>
      </c>
      <c r="W30" s="312">
        <f>'Maldives at LG Daily'!X33</f>
        <v>500</v>
      </c>
      <c r="X30" s="312">
        <f>'Maldives at LG Daily'!Y33</f>
        <v>110</v>
      </c>
      <c r="Y30" s="312">
        <f>'Maldives at LG Daily'!Z33</f>
        <v>340</v>
      </c>
      <c r="Z30" s="312">
        <f>'Maldives at LG Daily'!AA33</f>
        <v>1100</v>
      </c>
      <c r="AA30" s="312">
        <f>'Maldives at LG Daily'!AB33</f>
        <v>430</v>
      </c>
      <c r="AB30" s="312">
        <f>'Maldives at LG Daily'!AC33</f>
        <v>790</v>
      </c>
      <c r="AC30" s="312">
        <f>'Maldives at LG Daily'!AD33</f>
        <v>780</v>
      </c>
      <c r="AD30" s="312">
        <f>'Maldives at LG Daily'!AE33</f>
        <v>1000</v>
      </c>
      <c r="AE30" s="312">
        <f>'Maldives at LG Daily'!AF33</f>
        <v>1000</v>
      </c>
      <c r="AF30" s="312">
        <f>'Maldives at LG Daily'!AG33</f>
        <v>570</v>
      </c>
      <c r="AG30" s="312">
        <f>'Maldives at LG Daily'!AH33</f>
        <v>470</v>
      </c>
      <c r="AH30" s="312">
        <f>'Maldives at LG Daily'!AI33</f>
        <v>320</v>
      </c>
      <c r="AI30" s="312">
        <f>'Maldives at LG Daily'!AJ33</f>
        <v>110</v>
      </c>
      <c r="AJ30" s="312">
        <f>'Maldives at LG Daily'!AK33</f>
        <v>910</v>
      </c>
      <c r="AK30" s="312">
        <f>'Maldives at LG Daily'!AL33</f>
        <v>250</v>
      </c>
      <c r="AL30" s="312">
        <f>'Maldives at LG Daily'!AM33</f>
        <v>400</v>
      </c>
      <c r="AM30" s="312">
        <f>'Maldives at LG Daily'!AN33</f>
        <v>520</v>
      </c>
      <c r="AN30" s="312">
        <f>'Maldives at LG Daily'!AQ33</f>
        <v>169</v>
      </c>
      <c r="AO30" s="312">
        <f>'Maldives at LG Daily'!AR33</f>
        <v>0</v>
      </c>
      <c r="AP30" s="312">
        <f>'Maldives at LG Daily'!AS33</f>
        <v>116</v>
      </c>
      <c r="AQ30" s="312">
        <f>'Maldives at LG Daily'!AT33</f>
        <v>16</v>
      </c>
      <c r="AR30" s="312">
        <f>'Maldives at LG Daily'!AU33</f>
        <v>28</v>
      </c>
      <c r="AS30" s="312">
        <f>'Maldives at LG Daily'!AV33</f>
        <v>5</v>
      </c>
      <c r="AT30" s="312">
        <f>'Maldives at LG Daily'!AW33</f>
        <v>9</v>
      </c>
      <c r="AU30" s="312">
        <f>'Maldives at LG Daily'!AX33</f>
        <v>10</v>
      </c>
      <c r="AV30" s="312">
        <f>'Maldives at LG Daily'!AY33</f>
        <v>8</v>
      </c>
      <c r="AW30" s="312">
        <f>'Maldives at LG Daily'!AZ33</f>
        <v>5</v>
      </c>
      <c r="AX30" s="312">
        <f>'Maldives at LG Daily'!BA33</f>
        <v>18</v>
      </c>
      <c r="AY30" s="312">
        <f>'Maldives at LG Daily'!BB33</f>
        <v>8</v>
      </c>
      <c r="AZ30" s="312">
        <f>'Maldives at LG Daily'!BC33</f>
        <v>1</v>
      </c>
      <c r="BA30" s="312">
        <f>'Maldives at LG Daily'!BD33</f>
        <v>1</v>
      </c>
      <c r="BB30" s="312">
        <f>'Maldives at LG Daily'!BE33</f>
        <v>3</v>
      </c>
      <c r="BC30" s="312">
        <f>'Maldives at LG Daily'!BF33</f>
        <v>2</v>
      </c>
      <c r="BD30" s="312">
        <f>'Maldives at LG Daily'!BG33</f>
        <v>31</v>
      </c>
      <c r="BE30" s="312">
        <f>'Maldives at LG Daily'!BH33</f>
        <v>9</v>
      </c>
      <c r="BF30" s="312">
        <f>'Maldives at LG Daily'!BI33</f>
        <v>0</v>
      </c>
      <c r="BG30" s="312">
        <f>'Maldives at LG Daily'!BJ33</f>
        <v>2</v>
      </c>
      <c r="BH30" s="312">
        <f>'Maldives at LG Daily'!BK33</f>
        <v>2</v>
      </c>
      <c r="BI30" s="312">
        <f>'Maldives at LG Daily'!BL33</f>
        <v>3</v>
      </c>
      <c r="BJ30" s="312">
        <f>'Maldives at LG Daily'!BM33</f>
        <v>15</v>
      </c>
      <c r="BK30" s="312">
        <f>'Maldives at LG Daily'!BN33</f>
        <v>8</v>
      </c>
      <c r="BL30" s="312">
        <f>'Maldives at LG Daily'!BO33</f>
        <v>1</v>
      </c>
      <c r="BM30" s="312">
        <f>'Room Nights and Food Covers'!B33</f>
        <v>45.6</v>
      </c>
      <c r="BN30" s="312">
        <f>'Room Nights and Food Covers'!C33</f>
        <v>318</v>
      </c>
    </row>
    <row r="31" spans="1:66" ht="15.75" thickBot="1">
      <c r="A31" s="314" t="s">
        <v>15</v>
      </c>
      <c r="B31" s="314">
        <v>30</v>
      </c>
      <c r="C31" s="311">
        <f>TOTAL!C31</f>
        <v>1</v>
      </c>
      <c r="D31" s="310">
        <f>TOTAL!D31</f>
        <v>2023</v>
      </c>
      <c r="E31" s="312">
        <f>'SOLAR METER READING'!D38</f>
        <v>2927</v>
      </c>
      <c r="F31" s="312">
        <f>'Maldives at LG Daily'!G34</f>
        <v>2228</v>
      </c>
      <c r="G31" s="312">
        <f>'Maldives at LG Daily'!H34</f>
        <v>14341</v>
      </c>
      <c r="H31" s="312">
        <f>'Maldives at LG Daily'!I34</f>
        <v>0</v>
      </c>
      <c r="I31" s="312">
        <f>'Maldives at LG Daily'!J34</f>
        <v>4</v>
      </c>
      <c r="J31" s="312">
        <f>'Maldives at LG Daily'!K34</f>
        <v>7466</v>
      </c>
      <c r="K31" s="312">
        <f>'Maldives at LG Daily'!L34</f>
        <v>3478</v>
      </c>
      <c r="L31" s="312">
        <f>'Maldives at LG Daily'!M34</f>
        <v>3924</v>
      </c>
      <c r="M31" s="312">
        <f>'Maldives at LG Daily'!N34</f>
        <v>10776</v>
      </c>
      <c r="N31" s="312">
        <f>'Maldives at LG Daily'!O34</f>
        <v>2100</v>
      </c>
      <c r="O31" s="312">
        <f>'Maldives at LG Daily'!P34</f>
        <v>2867</v>
      </c>
      <c r="P31" s="312">
        <f>'Maldives at LG Daily'!Q34</f>
        <v>1600</v>
      </c>
      <c r="Q31" s="312">
        <f>'Maldives at LG Daily'!R34</f>
        <v>510</v>
      </c>
      <c r="R31" s="312">
        <f>'Maldives at LG Daily'!S34</f>
        <v>700</v>
      </c>
      <c r="S31" s="312">
        <f>'Maldives at LG Daily'!T34</f>
        <v>1700</v>
      </c>
      <c r="T31" s="312">
        <f>'Maldives at LG Daily'!U34</f>
        <v>352</v>
      </c>
      <c r="U31" s="312">
        <f>'Maldives at LG Daily'!V34</f>
        <v>200</v>
      </c>
      <c r="V31" s="312">
        <f>'Maldives at LG Daily'!W34</f>
        <v>200</v>
      </c>
      <c r="W31" s="312">
        <f>'Maldives at LG Daily'!X34</f>
        <v>500</v>
      </c>
      <c r="X31" s="312">
        <f>'Maldives at LG Daily'!Y34</f>
        <v>110</v>
      </c>
      <c r="Y31" s="312">
        <f>'Maldives at LG Daily'!Z34</f>
        <v>330</v>
      </c>
      <c r="Z31" s="312">
        <f>'Maldives at LG Daily'!AA34</f>
        <v>1200</v>
      </c>
      <c r="AA31" s="312">
        <f>'Maldives at LG Daily'!AB34</f>
        <v>390</v>
      </c>
      <c r="AB31" s="312">
        <f>'Maldives at LG Daily'!AC34</f>
        <v>810</v>
      </c>
      <c r="AC31" s="312">
        <f>'Maldives at LG Daily'!AD34</f>
        <v>830</v>
      </c>
      <c r="AD31" s="312">
        <f>'Maldives at LG Daily'!AE34</f>
        <v>1000</v>
      </c>
      <c r="AE31" s="312">
        <f>'Maldives at LG Daily'!AF34</f>
        <v>1000</v>
      </c>
      <c r="AF31" s="312">
        <f>'Maldives at LG Daily'!AG34</f>
        <v>860</v>
      </c>
      <c r="AG31" s="312">
        <f>'Maldives at LG Daily'!AH34</f>
        <v>600</v>
      </c>
      <c r="AH31" s="312">
        <f>'Maldives at LG Daily'!AI34</f>
        <v>330</v>
      </c>
      <c r="AI31" s="312">
        <f>'Maldives at LG Daily'!AJ34</f>
        <v>130</v>
      </c>
      <c r="AJ31" s="312">
        <f>'Maldives at LG Daily'!AK34</f>
        <v>1020</v>
      </c>
      <c r="AK31" s="312">
        <f>'Maldives at LG Daily'!AL34</f>
        <v>310</v>
      </c>
      <c r="AL31" s="312">
        <f>'Maldives at LG Daily'!AM34</f>
        <v>370</v>
      </c>
      <c r="AM31" s="312">
        <f>'Maldives at LG Daily'!AN34</f>
        <v>540</v>
      </c>
      <c r="AN31" s="312">
        <f>'Maldives at LG Daily'!AQ34</f>
        <v>173</v>
      </c>
      <c r="AO31" s="312">
        <f>'Maldives at LG Daily'!AR34</f>
        <v>20</v>
      </c>
      <c r="AP31" s="312">
        <f>'Maldives at LG Daily'!AS34</f>
        <v>138</v>
      </c>
      <c r="AQ31" s="312">
        <f>'Maldives at LG Daily'!AT34</f>
        <v>0</v>
      </c>
      <c r="AR31" s="312">
        <f>'Maldives at LG Daily'!AU34</f>
        <v>27</v>
      </c>
      <c r="AS31" s="312">
        <f>'Maldives at LG Daily'!AV34</f>
        <v>6</v>
      </c>
      <c r="AT31" s="312">
        <f>'Maldives at LG Daily'!AW34</f>
        <v>9</v>
      </c>
      <c r="AU31" s="312">
        <f>'Maldives at LG Daily'!AX34</f>
        <v>10</v>
      </c>
      <c r="AV31" s="312">
        <f>'Maldives at LG Daily'!AY34</f>
        <v>8</v>
      </c>
      <c r="AW31" s="312">
        <f>'Maldives at LG Daily'!AZ34</f>
        <v>5</v>
      </c>
      <c r="AX31" s="312">
        <f>'Maldives at LG Daily'!BA34</f>
        <v>10</v>
      </c>
      <c r="AY31" s="312">
        <f>'Maldives at LG Daily'!BB34</f>
        <v>8</v>
      </c>
      <c r="AZ31" s="312">
        <f>'Maldives at LG Daily'!BC34</f>
        <v>1</v>
      </c>
      <c r="BA31" s="312">
        <f>'Maldives at LG Daily'!BD34</f>
        <v>0</v>
      </c>
      <c r="BB31" s="312">
        <f>'Maldives at LG Daily'!BE34</f>
        <v>3</v>
      </c>
      <c r="BC31" s="312">
        <f>'Maldives at LG Daily'!BF34</f>
        <v>3</v>
      </c>
      <c r="BD31" s="312">
        <f>'Maldives at LG Daily'!BG34</f>
        <v>30</v>
      </c>
      <c r="BE31" s="312">
        <f>'Maldives at LG Daily'!BH34</f>
        <v>8</v>
      </c>
      <c r="BF31" s="312">
        <f>'Maldives at LG Daily'!BI34</f>
        <v>1</v>
      </c>
      <c r="BG31" s="312">
        <f>'Maldives at LG Daily'!BJ34</f>
        <v>1</v>
      </c>
      <c r="BH31" s="312">
        <f>'Maldives at LG Daily'!BK34</f>
        <v>3</v>
      </c>
      <c r="BI31" s="312">
        <f>'Maldives at LG Daily'!BL34</f>
        <v>1</v>
      </c>
      <c r="BJ31" s="312">
        <f>'Maldives at LG Daily'!BM34</f>
        <v>14</v>
      </c>
      <c r="BK31" s="312">
        <f>'Maldives at LG Daily'!BN34</f>
        <v>5</v>
      </c>
      <c r="BL31" s="312">
        <f>'Maldives at LG Daily'!BO34</f>
        <v>0</v>
      </c>
      <c r="BM31" s="312">
        <f>'Room Nights and Food Covers'!B34</f>
        <v>45.6</v>
      </c>
      <c r="BN31" s="312">
        <f>'Room Nights and Food Covers'!C34</f>
        <v>302</v>
      </c>
    </row>
    <row r="32" spans="1:66" ht="15.75" thickBot="1">
      <c r="A32" s="314" t="s">
        <v>15</v>
      </c>
      <c r="B32" s="314">
        <v>31</v>
      </c>
      <c r="C32" s="311">
        <f>TOTAL!C32</f>
        <v>1</v>
      </c>
      <c r="D32" s="310">
        <f>TOTAL!D32</f>
        <v>2023</v>
      </c>
      <c r="E32" s="312">
        <f>'SOLAR METER READING'!D39</f>
        <v>2921</v>
      </c>
      <c r="F32" s="312">
        <f>'Maldives at LG Daily'!G35</f>
        <v>5489</v>
      </c>
      <c r="G32" s="312">
        <f>'Maldives at LG Daily'!H35</f>
        <v>9630</v>
      </c>
      <c r="H32" s="312">
        <f>'Maldives at LG Daily'!I35</f>
        <v>0</v>
      </c>
      <c r="I32" s="312">
        <f>'Maldives at LG Daily'!J35</f>
        <v>3232</v>
      </c>
      <c r="J32" s="312">
        <f>'Maldives at LG Daily'!K35</f>
        <v>6867</v>
      </c>
      <c r="K32" s="312">
        <f>'Maldives at LG Daily'!L35</f>
        <v>3801</v>
      </c>
      <c r="L32" s="312">
        <f>'Maldives at LG Daily'!M35</f>
        <v>4077</v>
      </c>
      <c r="M32" s="312">
        <f>'Maldives at LG Daily'!N35</f>
        <v>10874</v>
      </c>
      <c r="N32" s="312">
        <f>'Maldives at LG Daily'!O35</f>
        <v>2100</v>
      </c>
      <c r="O32" s="312">
        <f>'Maldives at LG Daily'!P35</f>
        <v>2922</v>
      </c>
      <c r="P32" s="312">
        <f>'Maldives at LG Daily'!Q35</f>
        <v>1700</v>
      </c>
      <c r="Q32" s="312">
        <f>'Maldives at LG Daily'!R35</f>
        <v>512</v>
      </c>
      <c r="R32" s="312">
        <f>'Maldives at LG Daily'!S35</f>
        <v>700</v>
      </c>
      <c r="S32" s="312">
        <f>'Maldives at LG Daily'!T35</f>
        <v>1600</v>
      </c>
      <c r="T32" s="312">
        <f>'Maldives at LG Daily'!U35</f>
        <v>357</v>
      </c>
      <c r="U32" s="312">
        <f>'Maldives at LG Daily'!V35</f>
        <v>300</v>
      </c>
      <c r="V32" s="312">
        <f>'Maldives at LG Daily'!W35</f>
        <v>300</v>
      </c>
      <c r="W32" s="312">
        <f>'Maldives at LG Daily'!X35</f>
        <v>500</v>
      </c>
      <c r="X32" s="312">
        <f>'Maldives at LG Daily'!Y35</f>
        <v>110</v>
      </c>
      <c r="Y32" s="312">
        <f>'Maldives at LG Daily'!Z35</f>
        <v>310</v>
      </c>
      <c r="Z32" s="312">
        <f>'Maldives at LG Daily'!AA35</f>
        <v>1100</v>
      </c>
      <c r="AA32" s="312">
        <f>'Maldives at LG Daily'!AB35</f>
        <v>430</v>
      </c>
      <c r="AB32" s="312">
        <f>'Maldives at LG Daily'!AC35</f>
        <v>910</v>
      </c>
      <c r="AC32" s="312">
        <f>'Maldives at LG Daily'!AD35</f>
        <v>950</v>
      </c>
      <c r="AD32" s="312">
        <f>'Maldives at LG Daily'!AE35</f>
        <v>900</v>
      </c>
      <c r="AE32" s="312">
        <f>'Maldives at LG Daily'!AF35</f>
        <v>900</v>
      </c>
      <c r="AF32" s="312">
        <f>'Maldives at LG Daily'!AG35</f>
        <v>800</v>
      </c>
      <c r="AG32" s="312">
        <f>'Maldives at LG Daily'!AH35</f>
        <v>570</v>
      </c>
      <c r="AH32" s="312">
        <f>'Maldives at LG Daily'!AI35</f>
        <v>340</v>
      </c>
      <c r="AI32" s="312">
        <f>'Maldives at LG Daily'!AJ35</f>
        <v>120</v>
      </c>
      <c r="AJ32" s="312">
        <f>'Maldives at LG Daily'!AK35</f>
        <v>1000</v>
      </c>
      <c r="AK32" s="312">
        <f>'Maldives at LG Daily'!AL35</f>
        <v>270</v>
      </c>
      <c r="AL32" s="312">
        <f>'Maldives at LG Daily'!AM35</f>
        <v>380</v>
      </c>
      <c r="AM32" s="312">
        <f>'Maldives at LG Daily'!AN35</f>
        <v>530</v>
      </c>
      <c r="AN32" s="312">
        <f>'Maldives at LG Daily'!AQ35</f>
        <v>173</v>
      </c>
      <c r="AO32" s="312">
        <f>'Maldives at LG Daily'!AR35</f>
        <v>0</v>
      </c>
      <c r="AP32" s="312">
        <f>'Maldives at LG Daily'!AS35</f>
        <v>139</v>
      </c>
      <c r="AQ32" s="312">
        <f>'Maldives at LG Daily'!AT35</f>
        <v>0</v>
      </c>
      <c r="AR32" s="312">
        <f>'Maldives at LG Daily'!AU35</f>
        <v>28</v>
      </c>
      <c r="AS32" s="312">
        <f>'Maldives at LG Daily'!AV35</f>
        <v>6</v>
      </c>
      <c r="AT32" s="312">
        <f>'Maldives at LG Daily'!AW35</f>
        <v>10</v>
      </c>
      <c r="AU32" s="312">
        <f>'Maldives at LG Daily'!AX35</f>
        <v>11</v>
      </c>
      <c r="AV32" s="312">
        <f>'Maldives at LG Daily'!AY35</f>
        <v>7</v>
      </c>
      <c r="AW32" s="312">
        <f>'Maldives at LG Daily'!AZ35</f>
        <v>6</v>
      </c>
      <c r="AX32" s="312">
        <f>'Maldives at LG Daily'!BA35</f>
        <v>9</v>
      </c>
      <c r="AY32" s="312">
        <f>'Maldives at LG Daily'!BB35</f>
        <v>7</v>
      </c>
      <c r="AZ32" s="312">
        <f>'Maldives at LG Daily'!BC35</f>
        <v>1</v>
      </c>
      <c r="BA32" s="312">
        <f>'Maldives at LG Daily'!BD35</f>
        <v>0</v>
      </c>
      <c r="BB32" s="312">
        <f>'Maldives at LG Daily'!BE35</f>
        <v>4</v>
      </c>
      <c r="BC32" s="312">
        <f>'Maldives at LG Daily'!BF35</f>
        <v>2</v>
      </c>
      <c r="BD32" s="312">
        <f>'Maldives at LG Daily'!BG35</f>
        <v>29</v>
      </c>
      <c r="BE32" s="312">
        <f>'Maldives at LG Daily'!BH35</f>
        <v>9</v>
      </c>
      <c r="BF32" s="312">
        <f>'Maldives at LG Daily'!BI35</f>
        <v>0</v>
      </c>
      <c r="BG32" s="312">
        <f>'Maldives at LG Daily'!BJ35</f>
        <v>1</v>
      </c>
      <c r="BH32" s="312">
        <f>'Maldives at LG Daily'!BK35</f>
        <v>3</v>
      </c>
      <c r="BI32" s="312">
        <f>'Maldives at LG Daily'!BL35</f>
        <v>2</v>
      </c>
      <c r="BJ32" s="312">
        <f>'Maldives at LG Daily'!BM35</f>
        <v>17</v>
      </c>
      <c r="BK32" s="312">
        <f>'Maldives at LG Daily'!BN35</f>
        <v>3</v>
      </c>
      <c r="BL32" s="312">
        <f>'Maldives at LG Daily'!BO35</f>
        <v>0</v>
      </c>
      <c r="BM32" s="312">
        <f>'Room Nights and Food Covers'!B35</f>
        <v>49.5</v>
      </c>
      <c r="BN32" s="312">
        <f>'Room Nights and Food Covers'!C35</f>
        <v>317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X36"/>
  <sheetViews>
    <sheetView zoomScale="85" zoomScaleNormal="85" workbookViewId="0">
      <pane xSplit="1" topLeftCell="H1" activePane="topRight" state="frozen"/>
      <selection pane="topRight" activeCell="I21" sqref="I21"/>
    </sheetView>
  </sheetViews>
  <sheetFormatPr defaultRowHeight="15"/>
  <cols>
    <col min="1" max="1" width="14" style="131" customWidth="1"/>
    <col min="2" max="2" width="2" style="131" customWidth="1"/>
    <col min="3" max="3" width="11.85546875" style="145" customWidth="1"/>
    <col min="4" max="4" width="13.5703125" style="146" customWidth="1"/>
    <col min="5" max="5" width="14.85546875" style="131" customWidth="1"/>
    <col min="6" max="11" width="14.85546875" style="145" customWidth="1"/>
    <col min="12" max="12" width="16.140625" style="145" customWidth="1"/>
    <col min="13" max="40" width="14.85546875" style="145" customWidth="1"/>
    <col min="41" max="41" width="8.85546875" style="131" customWidth="1"/>
    <col min="42" max="67" width="12.5703125" style="131" customWidth="1"/>
    <col min="68" max="69" width="13" style="148" customWidth="1"/>
    <col min="70" max="75" width="9.140625" style="131"/>
    <col min="76" max="76" width="13.140625" style="131" bestFit="1" customWidth="1"/>
    <col min="77" max="313" width="9.140625" style="131"/>
    <col min="314" max="314" width="14" style="131" customWidth="1"/>
    <col min="315" max="315" width="2" style="131" customWidth="1"/>
    <col min="316" max="316" width="11.85546875" style="131" customWidth="1"/>
    <col min="317" max="317" width="13.5703125" style="131" customWidth="1"/>
    <col min="318" max="319" width="13.85546875" style="131" customWidth="1"/>
    <col min="320" max="321" width="14.85546875" style="131" customWidth="1"/>
    <col min="322" max="322" width="8.85546875" style="131" customWidth="1"/>
    <col min="323" max="323" width="12.5703125" style="131" customWidth="1"/>
    <col min="324" max="325" width="13" style="131" customWidth="1"/>
    <col min="326" max="569" width="9.140625" style="131"/>
    <col min="570" max="570" width="14" style="131" customWidth="1"/>
    <col min="571" max="571" width="2" style="131" customWidth="1"/>
    <col min="572" max="572" width="11.85546875" style="131" customWidth="1"/>
    <col min="573" max="573" width="13.5703125" style="131" customWidth="1"/>
    <col min="574" max="575" width="13.85546875" style="131" customWidth="1"/>
    <col min="576" max="577" width="14.85546875" style="131" customWidth="1"/>
    <col min="578" max="578" width="8.85546875" style="131" customWidth="1"/>
    <col min="579" max="579" width="12.5703125" style="131" customWidth="1"/>
    <col min="580" max="581" width="13" style="131" customWidth="1"/>
    <col min="582" max="825" width="9.140625" style="131"/>
    <col min="826" max="826" width="14" style="131" customWidth="1"/>
    <col min="827" max="827" width="2" style="131" customWidth="1"/>
    <col min="828" max="828" width="11.85546875" style="131" customWidth="1"/>
    <col min="829" max="829" width="13.5703125" style="131" customWidth="1"/>
    <col min="830" max="831" width="13.85546875" style="131" customWidth="1"/>
    <col min="832" max="833" width="14.85546875" style="131" customWidth="1"/>
    <col min="834" max="834" width="8.85546875" style="131" customWidth="1"/>
    <col min="835" max="835" width="12.5703125" style="131" customWidth="1"/>
    <col min="836" max="837" width="13" style="131" customWidth="1"/>
    <col min="838" max="1081" width="9.140625" style="131"/>
    <col min="1082" max="1082" width="14" style="131" customWidth="1"/>
    <col min="1083" max="1083" width="2" style="131" customWidth="1"/>
    <col min="1084" max="1084" width="11.85546875" style="131" customWidth="1"/>
    <col min="1085" max="1085" width="13.5703125" style="131" customWidth="1"/>
    <col min="1086" max="1087" width="13.85546875" style="131" customWidth="1"/>
    <col min="1088" max="1089" width="14.85546875" style="131" customWidth="1"/>
    <col min="1090" max="1090" width="8.85546875" style="131" customWidth="1"/>
    <col min="1091" max="1091" width="12.5703125" style="131" customWidth="1"/>
    <col min="1092" max="1093" width="13" style="131" customWidth="1"/>
    <col min="1094" max="1337" width="9.140625" style="131"/>
    <col min="1338" max="1338" width="14" style="131" customWidth="1"/>
    <col min="1339" max="1339" width="2" style="131" customWidth="1"/>
    <col min="1340" max="1340" width="11.85546875" style="131" customWidth="1"/>
    <col min="1341" max="1341" width="13.5703125" style="131" customWidth="1"/>
    <col min="1342" max="1343" width="13.85546875" style="131" customWidth="1"/>
    <col min="1344" max="1345" width="14.85546875" style="131" customWidth="1"/>
    <col min="1346" max="1346" width="8.85546875" style="131" customWidth="1"/>
    <col min="1347" max="1347" width="12.5703125" style="131" customWidth="1"/>
    <col min="1348" max="1349" width="13" style="131" customWidth="1"/>
    <col min="1350" max="1593" width="9.140625" style="131"/>
    <col min="1594" max="1594" width="14" style="131" customWidth="1"/>
    <col min="1595" max="1595" width="2" style="131" customWidth="1"/>
    <col min="1596" max="1596" width="11.85546875" style="131" customWidth="1"/>
    <col min="1597" max="1597" width="13.5703125" style="131" customWidth="1"/>
    <col min="1598" max="1599" width="13.85546875" style="131" customWidth="1"/>
    <col min="1600" max="1601" width="14.85546875" style="131" customWidth="1"/>
    <col min="1602" max="1602" width="8.85546875" style="131" customWidth="1"/>
    <col min="1603" max="1603" width="12.5703125" style="131" customWidth="1"/>
    <col min="1604" max="1605" width="13" style="131" customWidth="1"/>
    <col min="1606" max="1849" width="9.140625" style="131"/>
    <col min="1850" max="1850" width="14" style="131" customWidth="1"/>
    <col min="1851" max="1851" width="2" style="131" customWidth="1"/>
    <col min="1852" max="1852" width="11.85546875" style="131" customWidth="1"/>
    <col min="1853" max="1853" width="13.5703125" style="131" customWidth="1"/>
    <col min="1854" max="1855" width="13.85546875" style="131" customWidth="1"/>
    <col min="1856" max="1857" width="14.85546875" style="131" customWidth="1"/>
    <col min="1858" max="1858" width="8.85546875" style="131" customWidth="1"/>
    <col min="1859" max="1859" width="12.5703125" style="131" customWidth="1"/>
    <col min="1860" max="1861" width="13" style="131" customWidth="1"/>
    <col min="1862" max="2105" width="9.140625" style="131"/>
    <col min="2106" max="2106" width="14" style="131" customWidth="1"/>
    <col min="2107" max="2107" width="2" style="131" customWidth="1"/>
    <col min="2108" max="2108" width="11.85546875" style="131" customWidth="1"/>
    <col min="2109" max="2109" width="13.5703125" style="131" customWidth="1"/>
    <col min="2110" max="2111" width="13.85546875" style="131" customWidth="1"/>
    <col min="2112" max="2113" width="14.85546875" style="131" customWidth="1"/>
    <col min="2114" max="2114" width="8.85546875" style="131" customWidth="1"/>
    <col min="2115" max="2115" width="12.5703125" style="131" customWidth="1"/>
    <col min="2116" max="2117" width="13" style="131" customWidth="1"/>
    <col min="2118" max="2361" width="9.140625" style="131"/>
    <col min="2362" max="2362" width="14" style="131" customWidth="1"/>
    <col min="2363" max="2363" width="2" style="131" customWidth="1"/>
    <col min="2364" max="2364" width="11.85546875" style="131" customWidth="1"/>
    <col min="2365" max="2365" width="13.5703125" style="131" customWidth="1"/>
    <col min="2366" max="2367" width="13.85546875" style="131" customWidth="1"/>
    <col min="2368" max="2369" width="14.85546875" style="131" customWidth="1"/>
    <col min="2370" max="2370" width="8.85546875" style="131" customWidth="1"/>
    <col min="2371" max="2371" width="12.5703125" style="131" customWidth="1"/>
    <col min="2372" max="2373" width="13" style="131" customWidth="1"/>
    <col min="2374" max="2617" width="9.140625" style="131"/>
    <col min="2618" max="2618" width="14" style="131" customWidth="1"/>
    <col min="2619" max="2619" width="2" style="131" customWidth="1"/>
    <col min="2620" max="2620" width="11.85546875" style="131" customWidth="1"/>
    <col min="2621" max="2621" width="13.5703125" style="131" customWidth="1"/>
    <col min="2622" max="2623" width="13.85546875" style="131" customWidth="1"/>
    <col min="2624" max="2625" width="14.85546875" style="131" customWidth="1"/>
    <col min="2626" max="2626" width="8.85546875" style="131" customWidth="1"/>
    <col min="2627" max="2627" width="12.5703125" style="131" customWidth="1"/>
    <col min="2628" max="2629" width="13" style="131" customWidth="1"/>
    <col min="2630" max="2873" width="9.140625" style="131"/>
    <col min="2874" max="2874" width="14" style="131" customWidth="1"/>
    <col min="2875" max="2875" width="2" style="131" customWidth="1"/>
    <col min="2876" max="2876" width="11.85546875" style="131" customWidth="1"/>
    <col min="2877" max="2877" width="13.5703125" style="131" customWidth="1"/>
    <col min="2878" max="2879" width="13.85546875" style="131" customWidth="1"/>
    <col min="2880" max="2881" width="14.85546875" style="131" customWidth="1"/>
    <col min="2882" max="2882" width="8.85546875" style="131" customWidth="1"/>
    <col min="2883" max="2883" width="12.5703125" style="131" customWidth="1"/>
    <col min="2884" max="2885" width="13" style="131" customWidth="1"/>
    <col min="2886" max="3129" width="9.140625" style="131"/>
    <col min="3130" max="3130" width="14" style="131" customWidth="1"/>
    <col min="3131" max="3131" width="2" style="131" customWidth="1"/>
    <col min="3132" max="3132" width="11.85546875" style="131" customWidth="1"/>
    <col min="3133" max="3133" width="13.5703125" style="131" customWidth="1"/>
    <col min="3134" max="3135" width="13.85546875" style="131" customWidth="1"/>
    <col min="3136" max="3137" width="14.85546875" style="131" customWidth="1"/>
    <col min="3138" max="3138" width="8.85546875" style="131" customWidth="1"/>
    <col min="3139" max="3139" width="12.5703125" style="131" customWidth="1"/>
    <col min="3140" max="3141" width="13" style="131" customWidth="1"/>
    <col min="3142" max="3385" width="9.140625" style="131"/>
    <col min="3386" max="3386" width="14" style="131" customWidth="1"/>
    <col min="3387" max="3387" width="2" style="131" customWidth="1"/>
    <col min="3388" max="3388" width="11.85546875" style="131" customWidth="1"/>
    <col min="3389" max="3389" width="13.5703125" style="131" customWidth="1"/>
    <col min="3390" max="3391" width="13.85546875" style="131" customWidth="1"/>
    <col min="3392" max="3393" width="14.85546875" style="131" customWidth="1"/>
    <col min="3394" max="3394" width="8.85546875" style="131" customWidth="1"/>
    <col min="3395" max="3395" width="12.5703125" style="131" customWidth="1"/>
    <col min="3396" max="3397" width="13" style="131" customWidth="1"/>
    <col min="3398" max="3641" width="9.140625" style="131"/>
    <col min="3642" max="3642" width="14" style="131" customWidth="1"/>
    <col min="3643" max="3643" width="2" style="131" customWidth="1"/>
    <col min="3644" max="3644" width="11.85546875" style="131" customWidth="1"/>
    <col min="3645" max="3645" width="13.5703125" style="131" customWidth="1"/>
    <col min="3646" max="3647" width="13.85546875" style="131" customWidth="1"/>
    <col min="3648" max="3649" width="14.85546875" style="131" customWidth="1"/>
    <col min="3650" max="3650" width="8.85546875" style="131" customWidth="1"/>
    <col min="3651" max="3651" width="12.5703125" style="131" customWidth="1"/>
    <col min="3652" max="3653" width="13" style="131" customWidth="1"/>
    <col min="3654" max="3897" width="9.140625" style="131"/>
    <col min="3898" max="3898" width="14" style="131" customWidth="1"/>
    <col min="3899" max="3899" width="2" style="131" customWidth="1"/>
    <col min="3900" max="3900" width="11.85546875" style="131" customWidth="1"/>
    <col min="3901" max="3901" width="13.5703125" style="131" customWidth="1"/>
    <col min="3902" max="3903" width="13.85546875" style="131" customWidth="1"/>
    <col min="3904" max="3905" width="14.85546875" style="131" customWidth="1"/>
    <col min="3906" max="3906" width="8.85546875" style="131" customWidth="1"/>
    <col min="3907" max="3907" width="12.5703125" style="131" customWidth="1"/>
    <col min="3908" max="3909" width="13" style="131" customWidth="1"/>
    <col min="3910" max="4153" width="9.140625" style="131"/>
    <col min="4154" max="4154" width="14" style="131" customWidth="1"/>
    <col min="4155" max="4155" width="2" style="131" customWidth="1"/>
    <col min="4156" max="4156" width="11.85546875" style="131" customWidth="1"/>
    <col min="4157" max="4157" width="13.5703125" style="131" customWidth="1"/>
    <col min="4158" max="4159" width="13.85546875" style="131" customWidth="1"/>
    <col min="4160" max="4161" width="14.85546875" style="131" customWidth="1"/>
    <col min="4162" max="4162" width="8.85546875" style="131" customWidth="1"/>
    <col min="4163" max="4163" width="12.5703125" style="131" customWidth="1"/>
    <col min="4164" max="4165" width="13" style="131" customWidth="1"/>
    <col min="4166" max="4409" width="9.140625" style="131"/>
    <col min="4410" max="4410" width="14" style="131" customWidth="1"/>
    <col min="4411" max="4411" width="2" style="131" customWidth="1"/>
    <col min="4412" max="4412" width="11.85546875" style="131" customWidth="1"/>
    <col min="4413" max="4413" width="13.5703125" style="131" customWidth="1"/>
    <col min="4414" max="4415" width="13.85546875" style="131" customWidth="1"/>
    <col min="4416" max="4417" width="14.85546875" style="131" customWidth="1"/>
    <col min="4418" max="4418" width="8.85546875" style="131" customWidth="1"/>
    <col min="4419" max="4419" width="12.5703125" style="131" customWidth="1"/>
    <col min="4420" max="4421" width="13" style="131" customWidth="1"/>
    <col min="4422" max="4665" width="9.140625" style="131"/>
    <col min="4666" max="4666" width="14" style="131" customWidth="1"/>
    <col min="4667" max="4667" width="2" style="131" customWidth="1"/>
    <col min="4668" max="4668" width="11.85546875" style="131" customWidth="1"/>
    <col min="4669" max="4669" width="13.5703125" style="131" customWidth="1"/>
    <col min="4670" max="4671" width="13.85546875" style="131" customWidth="1"/>
    <col min="4672" max="4673" width="14.85546875" style="131" customWidth="1"/>
    <col min="4674" max="4674" width="8.85546875" style="131" customWidth="1"/>
    <col min="4675" max="4675" width="12.5703125" style="131" customWidth="1"/>
    <col min="4676" max="4677" width="13" style="131" customWidth="1"/>
    <col min="4678" max="4921" width="9.140625" style="131"/>
    <col min="4922" max="4922" width="14" style="131" customWidth="1"/>
    <col min="4923" max="4923" width="2" style="131" customWidth="1"/>
    <col min="4924" max="4924" width="11.85546875" style="131" customWidth="1"/>
    <col min="4925" max="4925" width="13.5703125" style="131" customWidth="1"/>
    <col min="4926" max="4927" width="13.85546875" style="131" customWidth="1"/>
    <col min="4928" max="4929" width="14.85546875" style="131" customWidth="1"/>
    <col min="4930" max="4930" width="8.85546875" style="131" customWidth="1"/>
    <col min="4931" max="4931" width="12.5703125" style="131" customWidth="1"/>
    <col min="4932" max="4933" width="13" style="131" customWidth="1"/>
    <col min="4934" max="5177" width="9.140625" style="131"/>
    <col min="5178" max="5178" width="14" style="131" customWidth="1"/>
    <col min="5179" max="5179" width="2" style="131" customWidth="1"/>
    <col min="5180" max="5180" width="11.85546875" style="131" customWidth="1"/>
    <col min="5181" max="5181" width="13.5703125" style="131" customWidth="1"/>
    <col min="5182" max="5183" width="13.85546875" style="131" customWidth="1"/>
    <col min="5184" max="5185" width="14.85546875" style="131" customWidth="1"/>
    <col min="5186" max="5186" width="8.85546875" style="131" customWidth="1"/>
    <col min="5187" max="5187" width="12.5703125" style="131" customWidth="1"/>
    <col min="5188" max="5189" width="13" style="131" customWidth="1"/>
    <col min="5190" max="5433" width="9.140625" style="131"/>
    <col min="5434" max="5434" width="14" style="131" customWidth="1"/>
    <col min="5435" max="5435" width="2" style="131" customWidth="1"/>
    <col min="5436" max="5436" width="11.85546875" style="131" customWidth="1"/>
    <col min="5437" max="5437" width="13.5703125" style="131" customWidth="1"/>
    <col min="5438" max="5439" width="13.85546875" style="131" customWidth="1"/>
    <col min="5440" max="5441" width="14.85546875" style="131" customWidth="1"/>
    <col min="5442" max="5442" width="8.85546875" style="131" customWidth="1"/>
    <col min="5443" max="5443" width="12.5703125" style="131" customWidth="1"/>
    <col min="5444" max="5445" width="13" style="131" customWidth="1"/>
    <col min="5446" max="5689" width="9.140625" style="131"/>
    <col min="5690" max="5690" width="14" style="131" customWidth="1"/>
    <col min="5691" max="5691" width="2" style="131" customWidth="1"/>
    <col min="5692" max="5692" width="11.85546875" style="131" customWidth="1"/>
    <col min="5693" max="5693" width="13.5703125" style="131" customWidth="1"/>
    <col min="5694" max="5695" width="13.85546875" style="131" customWidth="1"/>
    <col min="5696" max="5697" width="14.85546875" style="131" customWidth="1"/>
    <col min="5698" max="5698" width="8.85546875" style="131" customWidth="1"/>
    <col min="5699" max="5699" width="12.5703125" style="131" customWidth="1"/>
    <col min="5700" max="5701" width="13" style="131" customWidth="1"/>
    <col min="5702" max="5945" width="9.140625" style="131"/>
    <col min="5946" max="5946" width="14" style="131" customWidth="1"/>
    <col min="5947" max="5947" width="2" style="131" customWidth="1"/>
    <col min="5948" max="5948" width="11.85546875" style="131" customWidth="1"/>
    <col min="5949" max="5949" width="13.5703125" style="131" customWidth="1"/>
    <col min="5950" max="5951" width="13.85546875" style="131" customWidth="1"/>
    <col min="5952" max="5953" width="14.85546875" style="131" customWidth="1"/>
    <col min="5954" max="5954" width="8.85546875" style="131" customWidth="1"/>
    <col min="5955" max="5955" width="12.5703125" style="131" customWidth="1"/>
    <col min="5956" max="5957" width="13" style="131" customWidth="1"/>
    <col min="5958" max="6201" width="9.140625" style="131"/>
    <col min="6202" max="6202" width="14" style="131" customWidth="1"/>
    <col min="6203" max="6203" width="2" style="131" customWidth="1"/>
    <col min="6204" max="6204" width="11.85546875" style="131" customWidth="1"/>
    <col min="6205" max="6205" width="13.5703125" style="131" customWidth="1"/>
    <col min="6206" max="6207" width="13.85546875" style="131" customWidth="1"/>
    <col min="6208" max="6209" width="14.85546875" style="131" customWidth="1"/>
    <col min="6210" max="6210" width="8.85546875" style="131" customWidth="1"/>
    <col min="6211" max="6211" width="12.5703125" style="131" customWidth="1"/>
    <col min="6212" max="6213" width="13" style="131" customWidth="1"/>
    <col min="6214" max="6457" width="9.140625" style="131"/>
    <col min="6458" max="6458" width="14" style="131" customWidth="1"/>
    <col min="6459" max="6459" width="2" style="131" customWidth="1"/>
    <col min="6460" max="6460" width="11.85546875" style="131" customWidth="1"/>
    <col min="6461" max="6461" width="13.5703125" style="131" customWidth="1"/>
    <col min="6462" max="6463" width="13.85546875" style="131" customWidth="1"/>
    <col min="6464" max="6465" width="14.85546875" style="131" customWidth="1"/>
    <col min="6466" max="6466" width="8.85546875" style="131" customWidth="1"/>
    <col min="6467" max="6467" width="12.5703125" style="131" customWidth="1"/>
    <col min="6468" max="6469" width="13" style="131" customWidth="1"/>
    <col min="6470" max="6713" width="9.140625" style="131"/>
    <col min="6714" max="6714" width="14" style="131" customWidth="1"/>
    <col min="6715" max="6715" width="2" style="131" customWidth="1"/>
    <col min="6716" max="6716" width="11.85546875" style="131" customWidth="1"/>
    <col min="6717" max="6717" width="13.5703125" style="131" customWidth="1"/>
    <col min="6718" max="6719" width="13.85546875" style="131" customWidth="1"/>
    <col min="6720" max="6721" width="14.85546875" style="131" customWidth="1"/>
    <col min="6722" max="6722" width="8.85546875" style="131" customWidth="1"/>
    <col min="6723" max="6723" width="12.5703125" style="131" customWidth="1"/>
    <col min="6724" max="6725" width="13" style="131" customWidth="1"/>
    <col min="6726" max="6969" width="9.140625" style="131"/>
    <col min="6970" max="6970" width="14" style="131" customWidth="1"/>
    <col min="6971" max="6971" width="2" style="131" customWidth="1"/>
    <col min="6972" max="6972" width="11.85546875" style="131" customWidth="1"/>
    <col min="6973" max="6973" width="13.5703125" style="131" customWidth="1"/>
    <col min="6974" max="6975" width="13.85546875" style="131" customWidth="1"/>
    <col min="6976" max="6977" width="14.85546875" style="131" customWidth="1"/>
    <col min="6978" max="6978" width="8.85546875" style="131" customWidth="1"/>
    <col min="6979" max="6979" width="12.5703125" style="131" customWidth="1"/>
    <col min="6980" max="6981" width="13" style="131" customWidth="1"/>
    <col min="6982" max="7225" width="9.140625" style="131"/>
    <col min="7226" max="7226" width="14" style="131" customWidth="1"/>
    <col min="7227" max="7227" width="2" style="131" customWidth="1"/>
    <col min="7228" max="7228" width="11.85546875" style="131" customWidth="1"/>
    <col min="7229" max="7229" width="13.5703125" style="131" customWidth="1"/>
    <col min="7230" max="7231" width="13.85546875" style="131" customWidth="1"/>
    <col min="7232" max="7233" width="14.85546875" style="131" customWidth="1"/>
    <col min="7234" max="7234" width="8.85546875" style="131" customWidth="1"/>
    <col min="7235" max="7235" width="12.5703125" style="131" customWidth="1"/>
    <col min="7236" max="7237" width="13" style="131" customWidth="1"/>
    <col min="7238" max="7481" width="9.140625" style="131"/>
    <col min="7482" max="7482" width="14" style="131" customWidth="1"/>
    <col min="7483" max="7483" width="2" style="131" customWidth="1"/>
    <col min="7484" max="7484" width="11.85546875" style="131" customWidth="1"/>
    <col min="7485" max="7485" width="13.5703125" style="131" customWidth="1"/>
    <col min="7486" max="7487" width="13.85546875" style="131" customWidth="1"/>
    <col min="7488" max="7489" width="14.85546875" style="131" customWidth="1"/>
    <col min="7490" max="7490" width="8.85546875" style="131" customWidth="1"/>
    <col min="7491" max="7491" width="12.5703125" style="131" customWidth="1"/>
    <col min="7492" max="7493" width="13" style="131" customWidth="1"/>
    <col min="7494" max="7737" width="9.140625" style="131"/>
    <col min="7738" max="7738" width="14" style="131" customWidth="1"/>
    <col min="7739" max="7739" width="2" style="131" customWidth="1"/>
    <col min="7740" max="7740" width="11.85546875" style="131" customWidth="1"/>
    <col min="7741" max="7741" width="13.5703125" style="131" customWidth="1"/>
    <col min="7742" max="7743" width="13.85546875" style="131" customWidth="1"/>
    <col min="7744" max="7745" width="14.85546875" style="131" customWidth="1"/>
    <col min="7746" max="7746" width="8.85546875" style="131" customWidth="1"/>
    <col min="7747" max="7747" width="12.5703125" style="131" customWidth="1"/>
    <col min="7748" max="7749" width="13" style="131" customWidth="1"/>
    <col min="7750" max="7993" width="9.140625" style="131"/>
    <col min="7994" max="7994" width="14" style="131" customWidth="1"/>
    <col min="7995" max="7995" width="2" style="131" customWidth="1"/>
    <col min="7996" max="7996" width="11.85546875" style="131" customWidth="1"/>
    <col min="7997" max="7997" width="13.5703125" style="131" customWidth="1"/>
    <col min="7998" max="7999" width="13.85546875" style="131" customWidth="1"/>
    <col min="8000" max="8001" width="14.85546875" style="131" customWidth="1"/>
    <col min="8002" max="8002" width="8.85546875" style="131" customWidth="1"/>
    <col min="8003" max="8003" width="12.5703125" style="131" customWidth="1"/>
    <col min="8004" max="8005" width="13" style="131" customWidth="1"/>
    <col min="8006" max="8249" width="9.140625" style="131"/>
    <col min="8250" max="8250" width="14" style="131" customWidth="1"/>
    <col min="8251" max="8251" width="2" style="131" customWidth="1"/>
    <col min="8252" max="8252" width="11.85546875" style="131" customWidth="1"/>
    <col min="8253" max="8253" width="13.5703125" style="131" customWidth="1"/>
    <col min="8254" max="8255" width="13.85546875" style="131" customWidth="1"/>
    <col min="8256" max="8257" width="14.85546875" style="131" customWidth="1"/>
    <col min="8258" max="8258" width="8.85546875" style="131" customWidth="1"/>
    <col min="8259" max="8259" width="12.5703125" style="131" customWidth="1"/>
    <col min="8260" max="8261" width="13" style="131" customWidth="1"/>
    <col min="8262" max="8505" width="9.140625" style="131"/>
    <col min="8506" max="8506" width="14" style="131" customWidth="1"/>
    <col min="8507" max="8507" width="2" style="131" customWidth="1"/>
    <col min="8508" max="8508" width="11.85546875" style="131" customWidth="1"/>
    <col min="8509" max="8509" width="13.5703125" style="131" customWidth="1"/>
    <col min="8510" max="8511" width="13.85546875" style="131" customWidth="1"/>
    <col min="8512" max="8513" width="14.85546875" style="131" customWidth="1"/>
    <col min="8514" max="8514" width="8.85546875" style="131" customWidth="1"/>
    <col min="8515" max="8515" width="12.5703125" style="131" customWidth="1"/>
    <col min="8516" max="8517" width="13" style="131" customWidth="1"/>
    <col min="8518" max="8761" width="9.140625" style="131"/>
    <col min="8762" max="8762" width="14" style="131" customWidth="1"/>
    <col min="8763" max="8763" width="2" style="131" customWidth="1"/>
    <col min="8764" max="8764" width="11.85546875" style="131" customWidth="1"/>
    <col min="8765" max="8765" width="13.5703125" style="131" customWidth="1"/>
    <col min="8766" max="8767" width="13.85546875" style="131" customWidth="1"/>
    <col min="8768" max="8769" width="14.85546875" style="131" customWidth="1"/>
    <col min="8770" max="8770" width="8.85546875" style="131" customWidth="1"/>
    <col min="8771" max="8771" width="12.5703125" style="131" customWidth="1"/>
    <col min="8772" max="8773" width="13" style="131" customWidth="1"/>
    <col min="8774" max="9017" width="9.140625" style="131"/>
    <col min="9018" max="9018" width="14" style="131" customWidth="1"/>
    <col min="9019" max="9019" width="2" style="131" customWidth="1"/>
    <col min="9020" max="9020" width="11.85546875" style="131" customWidth="1"/>
    <col min="9021" max="9021" width="13.5703125" style="131" customWidth="1"/>
    <col min="9022" max="9023" width="13.85546875" style="131" customWidth="1"/>
    <col min="9024" max="9025" width="14.85546875" style="131" customWidth="1"/>
    <col min="9026" max="9026" width="8.85546875" style="131" customWidth="1"/>
    <col min="9027" max="9027" width="12.5703125" style="131" customWidth="1"/>
    <col min="9028" max="9029" width="13" style="131" customWidth="1"/>
    <col min="9030" max="9273" width="9.140625" style="131"/>
    <col min="9274" max="9274" width="14" style="131" customWidth="1"/>
    <col min="9275" max="9275" width="2" style="131" customWidth="1"/>
    <col min="9276" max="9276" width="11.85546875" style="131" customWidth="1"/>
    <col min="9277" max="9277" width="13.5703125" style="131" customWidth="1"/>
    <col min="9278" max="9279" width="13.85546875" style="131" customWidth="1"/>
    <col min="9280" max="9281" width="14.85546875" style="131" customWidth="1"/>
    <col min="9282" max="9282" width="8.85546875" style="131" customWidth="1"/>
    <col min="9283" max="9283" width="12.5703125" style="131" customWidth="1"/>
    <col min="9284" max="9285" width="13" style="131" customWidth="1"/>
    <col min="9286" max="9529" width="9.140625" style="131"/>
    <col min="9530" max="9530" width="14" style="131" customWidth="1"/>
    <col min="9531" max="9531" width="2" style="131" customWidth="1"/>
    <col min="9532" max="9532" width="11.85546875" style="131" customWidth="1"/>
    <col min="9533" max="9533" width="13.5703125" style="131" customWidth="1"/>
    <col min="9534" max="9535" width="13.85546875" style="131" customWidth="1"/>
    <col min="9536" max="9537" width="14.85546875" style="131" customWidth="1"/>
    <col min="9538" max="9538" width="8.85546875" style="131" customWidth="1"/>
    <col min="9539" max="9539" width="12.5703125" style="131" customWidth="1"/>
    <col min="9540" max="9541" width="13" style="131" customWidth="1"/>
    <col min="9542" max="9785" width="9.140625" style="131"/>
    <col min="9786" max="9786" width="14" style="131" customWidth="1"/>
    <col min="9787" max="9787" width="2" style="131" customWidth="1"/>
    <col min="9788" max="9788" width="11.85546875" style="131" customWidth="1"/>
    <col min="9789" max="9789" width="13.5703125" style="131" customWidth="1"/>
    <col min="9790" max="9791" width="13.85546875" style="131" customWidth="1"/>
    <col min="9792" max="9793" width="14.85546875" style="131" customWidth="1"/>
    <col min="9794" max="9794" width="8.85546875" style="131" customWidth="1"/>
    <col min="9795" max="9795" width="12.5703125" style="131" customWidth="1"/>
    <col min="9796" max="9797" width="13" style="131" customWidth="1"/>
    <col min="9798" max="10041" width="9.140625" style="131"/>
    <col min="10042" max="10042" width="14" style="131" customWidth="1"/>
    <col min="10043" max="10043" width="2" style="131" customWidth="1"/>
    <col min="10044" max="10044" width="11.85546875" style="131" customWidth="1"/>
    <col min="10045" max="10045" width="13.5703125" style="131" customWidth="1"/>
    <col min="10046" max="10047" width="13.85546875" style="131" customWidth="1"/>
    <col min="10048" max="10049" width="14.85546875" style="131" customWidth="1"/>
    <col min="10050" max="10050" width="8.85546875" style="131" customWidth="1"/>
    <col min="10051" max="10051" width="12.5703125" style="131" customWidth="1"/>
    <col min="10052" max="10053" width="13" style="131" customWidth="1"/>
    <col min="10054" max="10297" width="9.140625" style="131"/>
    <col min="10298" max="10298" width="14" style="131" customWidth="1"/>
    <col min="10299" max="10299" width="2" style="131" customWidth="1"/>
    <col min="10300" max="10300" width="11.85546875" style="131" customWidth="1"/>
    <col min="10301" max="10301" width="13.5703125" style="131" customWidth="1"/>
    <col min="10302" max="10303" width="13.85546875" style="131" customWidth="1"/>
    <col min="10304" max="10305" width="14.85546875" style="131" customWidth="1"/>
    <col min="10306" max="10306" width="8.85546875" style="131" customWidth="1"/>
    <col min="10307" max="10307" width="12.5703125" style="131" customWidth="1"/>
    <col min="10308" max="10309" width="13" style="131" customWidth="1"/>
    <col min="10310" max="10553" width="9.140625" style="131"/>
    <col min="10554" max="10554" width="14" style="131" customWidth="1"/>
    <col min="10555" max="10555" width="2" style="131" customWidth="1"/>
    <col min="10556" max="10556" width="11.85546875" style="131" customWidth="1"/>
    <col min="10557" max="10557" width="13.5703125" style="131" customWidth="1"/>
    <col min="10558" max="10559" width="13.85546875" style="131" customWidth="1"/>
    <col min="10560" max="10561" width="14.85546875" style="131" customWidth="1"/>
    <col min="10562" max="10562" width="8.85546875" style="131" customWidth="1"/>
    <col min="10563" max="10563" width="12.5703125" style="131" customWidth="1"/>
    <col min="10564" max="10565" width="13" style="131" customWidth="1"/>
    <col min="10566" max="10809" width="9.140625" style="131"/>
    <col min="10810" max="10810" width="14" style="131" customWidth="1"/>
    <col min="10811" max="10811" width="2" style="131" customWidth="1"/>
    <col min="10812" max="10812" width="11.85546875" style="131" customWidth="1"/>
    <col min="10813" max="10813" width="13.5703125" style="131" customWidth="1"/>
    <col min="10814" max="10815" width="13.85546875" style="131" customWidth="1"/>
    <col min="10816" max="10817" width="14.85546875" style="131" customWidth="1"/>
    <col min="10818" max="10818" width="8.85546875" style="131" customWidth="1"/>
    <col min="10819" max="10819" width="12.5703125" style="131" customWidth="1"/>
    <col min="10820" max="10821" width="13" style="131" customWidth="1"/>
    <col min="10822" max="11065" width="9.140625" style="131"/>
    <col min="11066" max="11066" width="14" style="131" customWidth="1"/>
    <col min="11067" max="11067" width="2" style="131" customWidth="1"/>
    <col min="11068" max="11068" width="11.85546875" style="131" customWidth="1"/>
    <col min="11069" max="11069" width="13.5703125" style="131" customWidth="1"/>
    <col min="11070" max="11071" width="13.85546875" style="131" customWidth="1"/>
    <col min="11072" max="11073" width="14.85546875" style="131" customWidth="1"/>
    <col min="11074" max="11074" width="8.85546875" style="131" customWidth="1"/>
    <col min="11075" max="11075" width="12.5703125" style="131" customWidth="1"/>
    <col min="11076" max="11077" width="13" style="131" customWidth="1"/>
    <col min="11078" max="11321" width="9.140625" style="131"/>
    <col min="11322" max="11322" width="14" style="131" customWidth="1"/>
    <col min="11323" max="11323" width="2" style="131" customWidth="1"/>
    <col min="11324" max="11324" width="11.85546875" style="131" customWidth="1"/>
    <col min="11325" max="11325" width="13.5703125" style="131" customWidth="1"/>
    <col min="11326" max="11327" width="13.85546875" style="131" customWidth="1"/>
    <col min="11328" max="11329" width="14.85546875" style="131" customWidth="1"/>
    <col min="11330" max="11330" width="8.85546875" style="131" customWidth="1"/>
    <col min="11331" max="11331" width="12.5703125" style="131" customWidth="1"/>
    <col min="11332" max="11333" width="13" style="131" customWidth="1"/>
    <col min="11334" max="11577" width="9.140625" style="131"/>
    <col min="11578" max="11578" width="14" style="131" customWidth="1"/>
    <col min="11579" max="11579" width="2" style="131" customWidth="1"/>
    <col min="11580" max="11580" width="11.85546875" style="131" customWidth="1"/>
    <col min="11581" max="11581" width="13.5703125" style="131" customWidth="1"/>
    <col min="11582" max="11583" width="13.85546875" style="131" customWidth="1"/>
    <col min="11584" max="11585" width="14.85546875" style="131" customWidth="1"/>
    <col min="11586" max="11586" width="8.85546875" style="131" customWidth="1"/>
    <col min="11587" max="11587" width="12.5703125" style="131" customWidth="1"/>
    <col min="11588" max="11589" width="13" style="131" customWidth="1"/>
    <col min="11590" max="11833" width="9.140625" style="131"/>
    <col min="11834" max="11834" width="14" style="131" customWidth="1"/>
    <col min="11835" max="11835" width="2" style="131" customWidth="1"/>
    <col min="11836" max="11836" width="11.85546875" style="131" customWidth="1"/>
    <col min="11837" max="11837" width="13.5703125" style="131" customWidth="1"/>
    <col min="11838" max="11839" width="13.85546875" style="131" customWidth="1"/>
    <col min="11840" max="11841" width="14.85546875" style="131" customWidth="1"/>
    <col min="11842" max="11842" width="8.85546875" style="131" customWidth="1"/>
    <col min="11843" max="11843" width="12.5703125" style="131" customWidth="1"/>
    <col min="11844" max="11845" width="13" style="131" customWidth="1"/>
    <col min="11846" max="12089" width="9.140625" style="131"/>
    <col min="12090" max="12090" width="14" style="131" customWidth="1"/>
    <col min="12091" max="12091" width="2" style="131" customWidth="1"/>
    <col min="12092" max="12092" width="11.85546875" style="131" customWidth="1"/>
    <col min="12093" max="12093" width="13.5703125" style="131" customWidth="1"/>
    <col min="12094" max="12095" width="13.85546875" style="131" customWidth="1"/>
    <col min="12096" max="12097" width="14.85546875" style="131" customWidth="1"/>
    <col min="12098" max="12098" width="8.85546875" style="131" customWidth="1"/>
    <col min="12099" max="12099" width="12.5703125" style="131" customWidth="1"/>
    <col min="12100" max="12101" width="13" style="131" customWidth="1"/>
    <col min="12102" max="12345" width="9.140625" style="131"/>
    <col min="12346" max="12346" width="14" style="131" customWidth="1"/>
    <col min="12347" max="12347" width="2" style="131" customWidth="1"/>
    <col min="12348" max="12348" width="11.85546875" style="131" customWidth="1"/>
    <col min="12349" max="12349" width="13.5703125" style="131" customWidth="1"/>
    <col min="12350" max="12351" width="13.85546875" style="131" customWidth="1"/>
    <col min="12352" max="12353" width="14.85546875" style="131" customWidth="1"/>
    <col min="12354" max="12354" width="8.85546875" style="131" customWidth="1"/>
    <col min="12355" max="12355" width="12.5703125" style="131" customWidth="1"/>
    <col min="12356" max="12357" width="13" style="131" customWidth="1"/>
    <col min="12358" max="12601" width="9.140625" style="131"/>
    <col min="12602" max="12602" width="14" style="131" customWidth="1"/>
    <col min="12603" max="12603" width="2" style="131" customWidth="1"/>
    <col min="12604" max="12604" width="11.85546875" style="131" customWidth="1"/>
    <col min="12605" max="12605" width="13.5703125" style="131" customWidth="1"/>
    <col min="12606" max="12607" width="13.85546875" style="131" customWidth="1"/>
    <col min="12608" max="12609" width="14.85546875" style="131" customWidth="1"/>
    <col min="12610" max="12610" width="8.85546875" style="131" customWidth="1"/>
    <col min="12611" max="12611" width="12.5703125" style="131" customWidth="1"/>
    <col min="12612" max="12613" width="13" style="131" customWidth="1"/>
    <col min="12614" max="12857" width="9.140625" style="131"/>
    <col min="12858" max="12858" width="14" style="131" customWidth="1"/>
    <col min="12859" max="12859" width="2" style="131" customWidth="1"/>
    <col min="12860" max="12860" width="11.85546875" style="131" customWidth="1"/>
    <col min="12861" max="12861" width="13.5703125" style="131" customWidth="1"/>
    <col min="12862" max="12863" width="13.85546875" style="131" customWidth="1"/>
    <col min="12864" max="12865" width="14.85546875" style="131" customWidth="1"/>
    <col min="12866" max="12866" width="8.85546875" style="131" customWidth="1"/>
    <col min="12867" max="12867" width="12.5703125" style="131" customWidth="1"/>
    <col min="12868" max="12869" width="13" style="131" customWidth="1"/>
    <col min="12870" max="13113" width="9.140625" style="131"/>
    <col min="13114" max="13114" width="14" style="131" customWidth="1"/>
    <col min="13115" max="13115" width="2" style="131" customWidth="1"/>
    <col min="13116" max="13116" width="11.85546875" style="131" customWidth="1"/>
    <col min="13117" max="13117" width="13.5703125" style="131" customWidth="1"/>
    <col min="13118" max="13119" width="13.85546875" style="131" customWidth="1"/>
    <col min="13120" max="13121" width="14.85546875" style="131" customWidth="1"/>
    <col min="13122" max="13122" width="8.85546875" style="131" customWidth="1"/>
    <col min="13123" max="13123" width="12.5703125" style="131" customWidth="1"/>
    <col min="13124" max="13125" width="13" style="131" customWidth="1"/>
    <col min="13126" max="13369" width="9.140625" style="131"/>
    <col min="13370" max="13370" width="14" style="131" customWidth="1"/>
    <col min="13371" max="13371" width="2" style="131" customWidth="1"/>
    <col min="13372" max="13372" width="11.85546875" style="131" customWidth="1"/>
    <col min="13373" max="13373" width="13.5703125" style="131" customWidth="1"/>
    <col min="13374" max="13375" width="13.85546875" style="131" customWidth="1"/>
    <col min="13376" max="13377" width="14.85546875" style="131" customWidth="1"/>
    <col min="13378" max="13378" width="8.85546875" style="131" customWidth="1"/>
    <col min="13379" max="13379" width="12.5703125" style="131" customWidth="1"/>
    <col min="13380" max="13381" width="13" style="131" customWidth="1"/>
    <col min="13382" max="13625" width="9.140625" style="131"/>
    <col min="13626" max="13626" width="14" style="131" customWidth="1"/>
    <col min="13627" max="13627" width="2" style="131" customWidth="1"/>
    <col min="13628" max="13628" width="11.85546875" style="131" customWidth="1"/>
    <col min="13629" max="13629" width="13.5703125" style="131" customWidth="1"/>
    <col min="13630" max="13631" width="13.85546875" style="131" customWidth="1"/>
    <col min="13632" max="13633" width="14.85546875" style="131" customWidth="1"/>
    <col min="13634" max="13634" width="8.85546875" style="131" customWidth="1"/>
    <col min="13635" max="13635" width="12.5703125" style="131" customWidth="1"/>
    <col min="13636" max="13637" width="13" style="131" customWidth="1"/>
    <col min="13638" max="13881" width="9.140625" style="131"/>
    <col min="13882" max="13882" width="14" style="131" customWidth="1"/>
    <col min="13883" max="13883" width="2" style="131" customWidth="1"/>
    <col min="13884" max="13884" width="11.85546875" style="131" customWidth="1"/>
    <col min="13885" max="13885" width="13.5703125" style="131" customWidth="1"/>
    <col min="13886" max="13887" width="13.85546875" style="131" customWidth="1"/>
    <col min="13888" max="13889" width="14.85546875" style="131" customWidth="1"/>
    <col min="13890" max="13890" width="8.85546875" style="131" customWidth="1"/>
    <col min="13891" max="13891" width="12.5703125" style="131" customWidth="1"/>
    <col min="13892" max="13893" width="13" style="131" customWidth="1"/>
    <col min="13894" max="14137" width="9.140625" style="131"/>
    <col min="14138" max="14138" width="14" style="131" customWidth="1"/>
    <col min="14139" max="14139" width="2" style="131" customWidth="1"/>
    <col min="14140" max="14140" width="11.85546875" style="131" customWidth="1"/>
    <col min="14141" max="14141" width="13.5703125" style="131" customWidth="1"/>
    <col min="14142" max="14143" width="13.85546875" style="131" customWidth="1"/>
    <col min="14144" max="14145" width="14.85546875" style="131" customWidth="1"/>
    <col min="14146" max="14146" width="8.85546875" style="131" customWidth="1"/>
    <col min="14147" max="14147" width="12.5703125" style="131" customWidth="1"/>
    <col min="14148" max="14149" width="13" style="131" customWidth="1"/>
    <col min="14150" max="14393" width="9.140625" style="131"/>
    <col min="14394" max="14394" width="14" style="131" customWidth="1"/>
    <col min="14395" max="14395" width="2" style="131" customWidth="1"/>
    <col min="14396" max="14396" width="11.85546875" style="131" customWidth="1"/>
    <col min="14397" max="14397" width="13.5703125" style="131" customWidth="1"/>
    <col min="14398" max="14399" width="13.85546875" style="131" customWidth="1"/>
    <col min="14400" max="14401" width="14.85546875" style="131" customWidth="1"/>
    <col min="14402" max="14402" width="8.85546875" style="131" customWidth="1"/>
    <col min="14403" max="14403" width="12.5703125" style="131" customWidth="1"/>
    <col min="14404" max="14405" width="13" style="131" customWidth="1"/>
    <col min="14406" max="14649" width="9.140625" style="131"/>
    <col min="14650" max="14650" width="14" style="131" customWidth="1"/>
    <col min="14651" max="14651" width="2" style="131" customWidth="1"/>
    <col min="14652" max="14652" width="11.85546875" style="131" customWidth="1"/>
    <col min="14653" max="14653" width="13.5703125" style="131" customWidth="1"/>
    <col min="14654" max="14655" width="13.85546875" style="131" customWidth="1"/>
    <col min="14656" max="14657" width="14.85546875" style="131" customWidth="1"/>
    <col min="14658" max="14658" width="8.85546875" style="131" customWidth="1"/>
    <col min="14659" max="14659" width="12.5703125" style="131" customWidth="1"/>
    <col min="14660" max="14661" width="13" style="131" customWidth="1"/>
    <col min="14662" max="14905" width="9.140625" style="131"/>
    <col min="14906" max="14906" width="14" style="131" customWidth="1"/>
    <col min="14907" max="14907" width="2" style="131" customWidth="1"/>
    <col min="14908" max="14908" width="11.85546875" style="131" customWidth="1"/>
    <col min="14909" max="14909" width="13.5703125" style="131" customWidth="1"/>
    <col min="14910" max="14911" width="13.85546875" style="131" customWidth="1"/>
    <col min="14912" max="14913" width="14.85546875" style="131" customWidth="1"/>
    <col min="14914" max="14914" width="8.85546875" style="131" customWidth="1"/>
    <col min="14915" max="14915" width="12.5703125" style="131" customWidth="1"/>
    <col min="14916" max="14917" width="13" style="131" customWidth="1"/>
    <col min="14918" max="15161" width="9.140625" style="131"/>
    <col min="15162" max="15162" width="14" style="131" customWidth="1"/>
    <col min="15163" max="15163" width="2" style="131" customWidth="1"/>
    <col min="15164" max="15164" width="11.85546875" style="131" customWidth="1"/>
    <col min="15165" max="15165" width="13.5703125" style="131" customWidth="1"/>
    <col min="15166" max="15167" width="13.85546875" style="131" customWidth="1"/>
    <col min="15168" max="15169" width="14.85546875" style="131" customWidth="1"/>
    <col min="15170" max="15170" width="8.85546875" style="131" customWidth="1"/>
    <col min="15171" max="15171" width="12.5703125" style="131" customWidth="1"/>
    <col min="15172" max="15173" width="13" style="131" customWidth="1"/>
    <col min="15174" max="15417" width="9.140625" style="131"/>
    <col min="15418" max="15418" width="14" style="131" customWidth="1"/>
    <col min="15419" max="15419" width="2" style="131" customWidth="1"/>
    <col min="15420" max="15420" width="11.85546875" style="131" customWidth="1"/>
    <col min="15421" max="15421" width="13.5703125" style="131" customWidth="1"/>
    <col min="15422" max="15423" width="13.85546875" style="131" customWidth="1"/>
    <col min="15424" max="15425" width="14.85546875" style="131" customWidth="1"/>
    <col min="15426" max="15426" width="8.85546875" style="131" customWidth="1"/>
    <col min="15427" max="15427" width="12.5703125" style="131" customWidth="1"/>
    <col min="15428" max="15429" width="13" style="131" customWidth="1"/>
    <col min="15430" max="15673" width="9.140625" style="131"/>
    <col min="15674" max="15674" width="14" style="131" customWidth="1"/>
    <col min="15675" max="15675" width="2" style="131" customWidth="1"/>
    <col min="15676" max="15676" width="11.85546875" style="131" customWidth="1"/>
    <col min="15677" max="15677" width="13.5703125" style="131" customWidth="1"/>
    <col min="15678" max="15679" width="13.85546875" style="131" customWidth="1"/>
    <col min="15680" max="15681" width="14.85546875" style="131" customWidth="1"/>
    <col min="15682" max="15682" width="8.85546875" style="131" customWidth="1"/>
    <col min="15683" max="15683" width="12.5703125" style="131" customWidth="1"/>
    <col min="15684" max="15685" width="13" style="131" customWidth="1"/>
    <col min="15686" max="15929" width="9.140625" style="131"/>
    <col min="15930" max="15930" width="14" style="131" customWidth="1"/>
    <col min="15931" max="15931" width="2" style="131" customWidth="1"/>
    <col min="15932" max="15932" width="11.85546875" style="131" customWidth="1"/>
    <col min="15933" max="15933" width="13.5703125" style="131" customWidth="1"/>
    <col min="15934" max="15935" width="13.85546875" style="131" customWidth="1"/>
    <col min="15936" max="15937" width="14.85546875" style="131" customWidth="1"/>
    <col min="15938" max="15938" width="8.85546875" style="131" customWidth="1"/>
    <col min="15939" max="15939" width="12.5703125" style="131" customWidth="1"/>
    <col min="15940" max="15941" width="13" style="131" customWidth="1"/>
    <col min="15942" max="16185" width="9.140625" style="131"/>
    <col min="16186" max="16186" width="14" style="131" customWidth="1"/>
    <col min="16187" max="16187" width="2" style="131" customWidth="1"/>
    <col min="16188" max="16188" width="11.85546875" style="131" customWidth="1"/>
    <col min="16189" max="16189" width="13.5703125" style="131" customWidth="1"/>
    <col min="16190" max="16191" width="13.85546875" style="131" customWidth="1"/>
    <col min="16192" max="16193" width="14.85546875" style="131" customWidth="1"/>
    <col min="16194" max="16194" width="8.85546875" style="131" customWidth="1"/>
    <col min="16195" max="16195" width="12.5703125" style="131" customWidth="1"/>
    <col min="16196" max="16197" width="13" style="131" customWidth="1"/>
    <col min="16198" max="16384" width="9.140625" style="131"/>
  </cols>
  <sheetData>
    <row r="1" spans="1:69" ht="10.5" customHeight="1" thickBot="1">
      <c r="A1" s="129"/>
      <c r="B1" s="381"/>
      <c r="C1" s="129"/>
      <c r="D1" s="130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378"/>
      <c r="AP1" s="378"/>
      <c r="AQ1" s="284"/>
      <c r="AR1" s="284"/>
      <c r="AS1" s="284"/>
      <c r="AT1" s="284"/>
      <c r="AU1" s="284"/>
      <c r="AV1" s="284"/>
      <c r="AW1" s="284"/>
      <c r="AX1" s="284"/>
      <c r="AY1" s="284"/>
      <c r="AZ1" s="284"/>
      <c r="BA1" s="284"/>
      <c r="BB1" s="284"/>
      <c r="BC1" s="284"/>
      <c r="BD1" s="284"/>
      <c r="BE1" s="284"/>
      <c r="BF1" s="284"/>
      <c r="BG1" s="284"/>
      <c r="BH1" s="284"/>
      <c r="BI1" s="284"/>
      <c r="BJ1" s="284"/>
      <c r="BK1" s="284"/>
      <c r="BL1" s="284"/>
      <c r="BM1" s="284"/>
      <c r="BN1" s="284"/>
      <c r="BO1" s="284"/>
      <c r="BP1" s="144"/>
      <c r="BQ1" s="144"/>
    </row>
    <row r="2" spans="1:69" s="288" customFormat="1" ht="61.5" customHeight="1" thickBot="1">
      <c r="A2" s="285" t="s">
        <v>78</v>
      </c>
      <c r="B2" s="381"/>
      <c r="C2" s="382" t="s">
        <v>79</v>
      </c>
      <c r="D2" s="383"/>
      <c r="E2" s="384" t="s">
        <v>80</v>
      </c>
      <c r="F2" s="384"/>
      <c r="G2" s="286" t="s">
        <v>17</v>
      </c>
      <c r="H2" s="286" t="s">
        <v>18</v>
      </c>
      <c r="I2" s="286" t="s">
        <v>19</v>
      </c>
      <c r="J2" s="286" t="s">
        <v>20</v>
      </c>
      <c r="K2" s="286" t="s">
        <v>21</v>
      </c>
      <c r="L2" s="286" t="s">
        <v>22</v>
      </c>
      <c r="M2" s="286" t="s">
        <v>23</v>
      </c>
      <c r="N2" s="286" t="s">
        <v>24</v>
      </c>
      <c r="O2" s="286" t="s">
        <v>25</v>
      </c>
      <c r="P2" s="286" t="s">
        <v>26</v>
      </c>
      <c r="Q2" s="286" t="s">
        <v>27</v>
      </c>
      <c r="R2" s="286" t="s">
        <v>28</v>
      </c>
      <c r="S2" s="286" t="s">
        <v>29</v>
      </c>
      <c r="T2" s="286" t="s">
        <v>30</v>
      </c>
      <c r="U2" s="286" t="s">
        <v>31</v>
      </c>
      <c r="V2" s="286" t="s">
        <v>32</v>
      </c>
      <c r="W2" s="286" t="s">
        <v>33</v>
      </c>
      <c r="X2" s="286" t="s">
        <v>34</v>
      </c>
      <c r="Y2" s="286" t="s">
        <v>35</v>
      </c>
      <c r="Z2" s="286" t="s">
        <v>36</v>
      </c>
      <c r="AA2" s="286" t="s">
        <v>37</v>
      </c>
      <c r="AB2" s="286" t="s">
        <v>38</v>
      </c>
      <c r="AC2" s="286" t="s">
        <v>39</v>
      </c>
      <c r="AD2" s="286" t="s">
        <v>40</v>
      </c>
      <c r="AE2" s="286" t="s">
        <v>41</v>
      </c>
      <c r="AF2" s="286" t="s">
        <v>42</v>
      </c>
      <c r="AG2" s="286" t="s">
        <v>43</v>
      </c>
      <c r="AH2" s="286" t="s">
        <v>44</v>
      </c>
      <c r="AI2" s="286" t="s">
        <v>45</v>
      </c>
      <c r="AJ2" s="286" t="s">
        <v>46</v>
      </c>
      <c r="AK2" s="286" t="s">
        <v>47</v>
      </c>
      <c r="AL2" s="286" t="s">
        <v>48</v>
      </c>
      <c r="AM2" s="286" t="s">
        <v>49</v>
      </c>
      <c r="AN2" s="286" t="s">
        <v>50</v>
      </c>
      <c r="AO2" s="379" t="s">
        <v>81</v>
      </c>
      <c r="AP2" s="380"/>
      <c r="AQ2" s="287" t="s">
        <v>51</v>
      </c>
      <c r="AR2" s="287" t="s">
        <v>52</v>
      </c>
      <c r="AS2" s="287" t="s">
        <v>53</v>
      </c>
      <c r="AT2" s="287" t="s">
        <v>54</v>
      </c>
      <c r="AU2" s="287" t="s">
        <v>55</v>
      </c>
      <c r="AV2" s="287" t="s">
        <v>56</v>
      </c>
      <c r="AW2" s="287" t="s">
        <v>57</v>
      </c>
      <c r="AX2" s="287" t="s">
        <v>58</v>
      </c>
      <c r="AY2" s="287" t="s">
        <v>59</v>
      </c>
      <c r="AZ2" s="287" t="s">
        <v>60</v>
      </c>
      <c r="BA2" s="287" t="s">
        <v>61</v>
      </c>
      <c r="BB2" s="287" t="s">
        <v>62</v>
      </c>
      <c r="BC2" s="287" t="s">
        <v>63</v>
      </c>
      <c r="BD2" s="287" t="s">
        <v>64</v>
      </c>
      <c r="BE2" s="287" t="s">
        <v>65</v>
      </c>
      <c r="BF2" s="287" t="s">
        <v>66</v>
      </c>
      <c r="BG2" s="287" t="s">
        <v>67</v>
      </c>
      <c r="BH2" s="287" t="s">
        <v>68</v>
      </c>
      <c r="BI2" s="287" t="s">
        <v>69</v>
      </c>
      <c r="BJ2" s="287" t="s">
        <v>70</v>
      </c>
      <c r="BK2" s="287" t="s">
        <v>71</v>
      </c>
      <c r="BL2" s="287" t="s">
        <v>72</v>
      </c>
      <c r="BM2" s="287" t="s">
        <v>73</v>
      </c>
      <c r="BN2" s="287" t="s">
        <v>74</v>
      </c>
      <c r="BO2" s="287" t="s">
        <v>75</v>
      </c>
      <c r="BP2" s="147"/>
      <c r="BQ2" s="147"/>
    </row>
    <row r="3" spans="1:69" ht="44.25" customHeight="1">
      <c r="A3" s="132" t="s">
        <v>82</v>
      </c>
      <c r="B3" s="381"/>
      <c r="C3" s="133" t="s">
        <v>83</v>
      </c>
      <c r="D3" s="134" t="s">
        <v>84</v>
      </c>
      <c r="E3" s="135" t="s">
        <v>85</v>
      </c>
      <c r="F3" s="135" t="s">
        <v>86</v>
      </c>
      <c r="G3" s="135" t="s">
        <v>87</v>
      </c>
      <c r="H3" s="135" t="s">
        <v>87</v>
      </c>
      <c r="I3" s="135" t="s">
        <v>87</v>
      </c>
      <c r="J3" s="135" t="s">
        <v>87</v>
      </c>
      <c r="K3" s="135" t="s">
        <v>87</v>
      </c>
      <c r="L3" s="135" t="s">
        <v>87</v>
      </c>
      <c r="M3" s="135" t="s">
        <v>87</v>
      </c>
      <c r="N3" s="135" t="s">
        <v>87</v>
      </c>
      <c r="O3" s="135" t="s">
        <v>87</v>
      </c>
      <c r="P3" s="135" t="s">
        <v>87</v>
      </c>
      <c r="Q3" s="135" t="s">
        <v>87</v>
      </c>
      <c r="R3" s="135" t="s">
        <v>87</v>
      </c>
      <c r="S3" s="135" t="s">
        <v>87</v>
      </c>
      <c r="T3" s="135" t="s">
        <v>87</v>
      </c>
      <c r="U3" s="135" t="s">
        <v>87</v>
      </c>
      <c r="V3" s="135" t="s">
        <v>87</v>
      </c>
      <c r="W3" s="135" t="s">
        <v>87</v>
      </c>
      <c r="X3" s="135" t="s">
        <v>87</v>
      </c>
      <c r="Y3" s="135" t="s">
        <v>87</v>
      </c>
      <c r="Z3" s="135" t="s">
        <v>87</v>
      </c>
      <c r="AA3" s="135" t="s">
        <v>87</v>
      </c>
      <c r="AB3" s="135" t="s">
        <v>87</v>
      </c>
      <c r="AC3" s="135" t="s">
        <v>87</v>
      </c>
      <c r="AD3" s="135" t="s">
        <v>87</v>
      </c>
      <c r="AE3" s="135" t="s">
        <v>87</v>
      </c>
      <c r="AF3" s="135" t="s">
        <v>87</v>
      </c>
      <c r="AG3" s="135" t="s">
        <v>87</v>
      </c>
      <c r="AH3" s="135" t="s">
        <v>87</v>
      </c>
      <c r="AI3" s="135" t="s">
        <v>87</v>
      </c>
      <c r="AJ3" s="135" t="s">
        <v>87</v>
      </c>
      <c r="AK3" s="135" t="s">
        <v>87</v>
      </c>
      <c r="AL3" s="135" t="s">
        <v>87</v>
      </c>
      <c r="AM3" s="135" t="s">
        <v>87</v>
      </c>
      <c r="AN3" s="135" t="s">
        <v>87</v>
      </c>
      <c r="AO3" s="289" t="s">
        <v>88</v>
      </c>
      <c r="AP3" s="290" t="s">
        <v>89</v>
      </c>
      <c r="AQ3" s="290" t="s">
        <v>89</v>
      </c>
      <c r="AR3" s="290" t="s">
        <v>89</v>
      </c>
      <c r="AS3" s="290" t="s">
        <v>89</v>
      </c>
      <c r="AT3" s="290" t="s">
        <v>89</v>
      </c>
      <c r="AU3" s="290" t="s">
        <v>89</v>
      </c>
      <c r="AV3" s="290" t="s">
        <v>89</v>
      </c>
      <c r="AW3" s="290" t="s">
        <v>89</v>
      </c>
      <c r="AX3" s="290" t="s">
        <v>89</v>
      </c>
      <c r="AY3" s="290" t="s">
        <v>89</v>
      </c>
      <c r="AZ3" s="290" t="s">
        <v>89</v>
      </c>
      <c r="BA3" s="290" t="s">
        <v>89</v>
      </c>
      <c r="BB3" s="290" t="s">
        <v>89</v>
      </c>
      <c r="BC3" s="290" t="s">
        <v>89</v>
      </c>
      <c r="BD3" s="290" t="s">
        <v>89</v>
      </c>
      <c r="BE3" s="290" t="s">
        <v>89</v>
      </c>
      <c r="BF3" s="290" t="s">
        <v>89</v>
      </c>
      <c r="BG3" s="290" t="s">
        <v>89</v>
      </c>
      <c r="BH3" s="290" t="s">
        <v>89</v>
      </c>
      <c r="BI3" s="290" t="s">
        <v>89</v>
      </c>
      <c r="BJ3" s="290" t="s">
        <v>89</v>
      </c>
      <c r="BK3" s="290" t="s">
        <v>89</v>
      </c>
      <c r="BL3" s="290" t="s">
        <v>89</v>
      </c>
      <c r="BM3" s="290" t="s">
        <v>89</v>
      </c>
      <c r="BN3" s="290" t="s">
        <v>89</v>
      </c>
      <c r="BO3" s="290" t="s">
        <v>89</v>
      </c>
      <c r="BP3" s="147" t="s">
        <v>76</v>
      </c>
      <c r="BQ3" s="147" t="s">
        <v>77</v>
      </c>
    </row>
    <row r="4" spans="1:69" s="140" customFormat="1" ht="35.25" customHeight="1">
      <c r="A4" s="136">
        <v>44926</v>
      </c>
      <c r="B4" s="381"/>
      <c r="C4" s="291">
        <v>105508122</v>
      </c>
      <c r="D4" s="292"/>
      <c r="E4" s="138">
        <f>'[1]Gas-2'!G5</f>
        <v>0</v>
      </c>
      <c r="F4" s="139">
        <v>90</v>
      </c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293"/>
      <c r="AO4" s="294">
        <v>1143399</v>
      </c>
      <c r="AP4" s="295">
        <v>318</v>
      </c>
      <c r="AQ4" s="295"/>
      <c r="AR4" s="295"/>
      <c r="AS4" s="295"/>
      <c r="AT4" s="295"/>
      <c r="AU4" s="295"/>
      <c r="AV4" s="295"/>
      <c r="AW4" s="295"/>
      <c r="AX4" s="295"/>
      <c r="AY4" s="295"/>
      <c r="AZ4" s="295"/>
      <c r="BA4" s="295"/>
      <c r="BB4" s="295"/>
      <c r="BC4" s="295"/>
      <c r="BD4" s="295"/>
      <c r="BE4" s="295"/>
      <c r="BF4" s="295"/>
      <c r="BG4" s="295"/>
      <c r="BH4" s="295"/>
      <c r="BI4" s="295"/>
      <c r="BJ4" s="295"/>
      <c r="BK4" s="295"/>
      <c r="BL4" s="295"/>
      <c r="BM4" s="295"/>
      <c r="BN4" s="295"/>
      <c r="BO4" s="295"/>
      <c r="BP4" s="141">
        <f>'Room Nights and Food Covers'!B4</f>
        <v>0</v>
      </c>
      <c r="BQ4" s="141">
        <f>'Room Nights and Food Covers'!C4</f>
        <v>0</v>
      </c>
    </row>
    <row r="5" spans="1:69" ht="33" customHeight="1">
      <c r="A5" s="142">
        <f>A4+1</f>
        <v>44927</v>
      </c>
      <c r="B5" s="381"/>
      <c r="C5" s="291">
        <f>SUM('GENSET #1'!C10+'GENSET #2'!C10+'GENSET #3'!C10+'GENSET #4'!C10+'GENSET #5'!C10)</f>
        <v>105538276</v>
      </c>
      <c r="D5" s="296">
        <f>IF((C5-C4&lt;0), "0",C5-C4)</f>
        <v>30154</v>
      </c>
      <c r="E5" s="291">
        <f>'Gas-2'!G6</f>
        <v>405</v>
      </c>
      <c r="F5" s="296">
        <f>IF((E5-E4&lt;0), "0",E5-E4)</f>
        <v>405</v>
      </c>
      <c r="G5" s="296">
        <f>'GENSET #1'!D10</f>
        <v>6308</v>
      </c>
      <c r="H5" s="296">
        <f>'GENSET #2'!D10</f>
        <v>9389</v>
      </c>
      <c r="I5" s="296">
        <f>'GENSET #3'!D10</f>
        <v>5488</v>
      </c>
      <c r="J5" s="296">
        <f>'GENSET #4'!D10</f>
        <v>2984</v>
      </c>
      <c r="K5" s="296">
        <f>'GENSET #5'!D10</f>
        <v>5985</v>
      </c>
      <c r="L5" s="296">
        <f>'FEEDER Consumption '!E5</f>
        <v>4416</v>
      </c>
      <c r="M5" s="296">
        <f>'FEEDER Consumption '!J5</f>
        <v>4900</v>
      </c>
      <c r="N5" s="296">
        <f>'FEEDER Consumption '!O5</f>
        <v>12450</v>
      </c>
      <c r="O5" s="296">
        <f>'FEEDER Consumption '!T5</f>
        <v>2500</v>
      </c>
      <c r="P5" s="296">
        <f>'FEEDER Consumption '!Y5</f>
        <v>3072</v>
      </c>
      <c r="Q5" s="296">
        <f>'FEEDER Consumption '!AD5</f>
        <v>2200</v>
      </c>
      <c r="R5" s="296">
        <f>'FEEDER Consumption '!AJ5</f>
        <v>484</v>
      </c>
      <c r="S5" s="296">
        <f>'FEEDER Consumption '!AO5</f>
        <v>700</v>
      </c>
      <c r="T5" s="296">
        <f>'FEEDER Consumption '!AT5</f>
        <v>2900</v>
      </c>
      <c r="U5" s="296">
        <f>'FEEDER Consumption '!AY5</f>
        <v>417</v>
      </c>
      <c r="V5" s="296">
        <f>'FEEDER Consumption '!BI5</f>
        <v>300</v>
      </c>
      <c r="W5" s="296">
        <f>'FEEDER Consumption '!BI5</f>
        <v>300</v>
      </c>
      <c r="X5" s="296">
        <f>'FEEDER Consumption '!BN5</f>
        <v>500</v>
      </c>
      <c r="Y5" s="296">
        <f>'FEEDER Consumption '!BS5</f>
        <v>200</v>
      </c>
      <c r="Z5" s="296">
        <f>'FEEDER Consumption '!BX5</f>
        <v>350</v>
      </c>
      <c r="AA5" s="296">
        <f>'FEEDER Consumption '!CC5</f>
        <v>1200</v>
      </c>
      <c r="AB5" s="296">
        <f>'FEEDER Consumption '!CH5</f>
        <v>430</v>
      </c>
      <c r="AC5" s="296">
        <f>'FEEDER Consumption '!CM5</f>
        <v>1100</v>
      </c>
      <c r="AD5" s="296">
        <f>'FEEDER Consumption '!CR5</f>
        <v>1090</v>
      </c>
      <c r="AE5" s="296">
        <f>'FEEDER Consumption '!DB5</f>
        <v>1100</v>
      </c>
      <c r="AF5" s="296">
        <f>'FEEDER Consumption '!DB5</f>
        <v>1100</v>
      </c>
      <c r="AG5" s="296">
        <f>'FEEDER Consumption '!DG5</f>
        <v>910</v>
      </c>
      <c r="AH5" s="296">
        <f>'FEEDER Consumption '!DL5</f>
        <v>730</v>
      </c>
      <c r="AI5" s="296">
        <f>'FEEDER Consumption '!DQ5</f>
        <v>390</v>
      </c>
      <c r="AJ5" s="296">
        <f>'FEEDER Consumption '!DV5</f>
        <v>150</v>
      </c>
      <c r="AK5" s="296">
        <f>'FEEDER Consumption '!EA5</f>
        <v>1030</v>
      </c>
      <c r="AL5" s="296">
        <f>'FEEDER Consumption '!EF5</f>
        <v>290</v>
      </c>
      <c r="AM5" s="296">
        <f>'FEEDER Consumption '!EK5</f>
        <v>720</v>
      </c>
      <c r="AN5" s="297">
        <f>'FEEDER Consumption '!EP5</f>
        <v>1110</v>
      </c>
      <c r="AO5" s="298">
        <f>SUM(WATER!C6,WATER!H6,WATER!M6,WATER!R6)</f>
        <v>1154541</v>
      </c>
      <c r="AP5" s="299">
        <f>IF((AO5-AO4&lt;0), "0",AO5-AO4)</f>
        <v>11142</v>
      </c>
      <c r="AQ5" s="299">
        <f>WATER!D6</f>
        <v>243</v>
      </c>
      <c r="AR5" s="299">
        <f>WATER!I6</f>
        <v>73</v>
      </c>
      <c r="AS5" s="299">
        <f>WATER!N6</f>
        <v>0</v>
      </c>
      <c r="AT5" s="299">
        <f>WATER!S6</f>
        <v>75</v>
      </c>
      <c r="AU5" s="299">
        <f>WATER!AD6</f>
        <v>38</v>
      </c>
      <c r="AV5" s="299">
        <f>WATER!AI6</f>
        <v>7</v>
      </c>
      <c r="AW5" s="299">
        <f>WATER!AN6</f>
        <v>5</v>
      </c>
      <c r="AX5" s="299">
        <f>WATER!AS6</f>
        <v>11</v>
      </c>
      <c r="AY5" s="299">
        <f>WATER!AX6</f>
        <v>9</v>
      </c>
      <c r="AZ5" s="299">
        <f>WATER!BC6</f>
        <v>6</v>
      </c>
      <c r="BA5" s="299">
        <f>WATER!BH6</f>
        <v>8</v>
      </c>
      <c r="BB5" s="299">
        <f>WATER!BM6</f>
        <v>8</v>
      </c>
      <c r="BC5" s="299">
        <f>WATER!BR6</f>
        <v>4</v>
      </c>
      <c r="BD5" s="299">
        <f>WATER!BW6</f>
        <v>0</v>
      </c>
      <c r="BE5" s="299">
        <f>WATER!CB6</f>
        <v>3</v>
      </c>
      <c r="BF5" s="299">
        <f>WATER!CG6</f>
        <v>2</v>
      </c>
      <c r="BG5" s="299">
        <f>WATER!CL6</f>
        <v>33</v>
      </c>
      <c r="BH5" s="299">
        <f>WATER!CQ6</f>
        <v>7</v>
      </c>
      <c r="BI5" s="299">
        <f>WATER!CV6</f>
        <v>1</v>
      </c>
      <c r="BJ5" s="299">
        <f>WATER!DA6</f>
        <v>7</v>
      </c>
      <c r="BK5" s="299">
        <f>WATER!DF6</f>
        <v>3</v>
      </c>
      <c r="BL5" s="299">
        <f>WATER!DK6</f>
        <v>2</v>
      </c>
      <c r="BM5" s="299">
        <f>WATER!DP6</f>
        <v>19</v>
      </c>
      <c r="BN5" s="299">
        <f>WATER!DU6</f>
        <v>0</v>
      </c>
      <c r="BO5" s="299">
        <f>WATER!DZ6</f>
        <v>1</v>
      </c>
      <c r="BP5" s="141">
        <f>'Room Nights and Food Covers'!B5</f>
        <v>93.2</v>
      </c>
      <c r="BQ5" s="141">
        <f>'Room Nights and Food Covers'!C5</f>
        <v>692</v>
      </c>
    </row>
    <row r="6" spans="1:69" ht="45" customHeight="1">
      <c r="A6" s="142">
        <f t="shared" ref="A6:A35" si="0">A5+1</f>
        <v>44928</v>
      </c>
      <c r="B6" s="381"/>
      <c r="C6" s="291">
        <f>SUM('GENSET #1'!C11+'GENSET #2'!C11+'GENSET #3'!C11+'GENSET #4'!C11+'GENSET #5'!C11)</f>
        <v>105567633</v>
      </c>
      <c r="D6" s="296">
        <f>IF((C6-C5&lt;0), "0",C6-C5)</f>
        <v>29357</v>
      </c>
      <c r="E6" s="291">
        <f>'Gas-2'!G7</f>
        <v>270</v>
      </c>
      <c r="F6" s="296" t="str">
        <f>IF((E6-E5&lt;0), "0",E6-E5)</f>
        <v>0</v>
      </c>
      <c r="G6" s="296">
        <f>'GENSET #1'!D11</f>
        <v>5796</v>
      </c>
      <c r="H6" s="296">
        <f>'GENSET #2'!D11</f>
        <v>9191</v>
      </c>
      <c r="I6" s="296">
        <f>'GENSET #3'!D11</f>
        <v>3869</v>
      </c>
      <c r="J6" s="296">
        <f>'GENSET #4'!D11</f>
        <v>4064</v>
      </c>
      <c r="K6" s="296">
        <f>'GENSET #5'!D11</f>
        <v>6437</v>
      </c>
      <c r="L6" s="296">
        <f>'FEEDER Consumption '!E6</f>
        <v>4316</v>
      </c>
      <c r="M6" s="296">
        <f>'FEEDER Consumption '!J6</f>
        <v>4766</v>
      </c>
      <c r="N6" s="296">
        <f>'FEEDER Consumption '!O6</f>
        <v>12544</v>
      </c>
      <c r="O6" s="296">
        <f>'FEEDER Consumption '!T6</f>
        <v>2400</v>
      </c>
      <c r="P6" s="296">
        <f>'FEEDER Consumption '!Y6</f>
        <v>3068</v>
      </c>
      <c r="Q6" s="296">
        <f>'FEEDER Consumption '!AD6</f>
        <v>2400</v>
      </c>
      <c r="R6" s="296">
        <f>'FEEDER Consumption '!AJ6</f>
        <v>465</v>
      </c>
      <c r="S6" s="296">
        <f>'FEEDER Consumption '!AO6</f>
        <v>700</v>
      </c>
      <c r="T6" s="296">
        <f>'FEEDER Consumption '!AT6</f>
        <v>2800</v>
      </c>
      <c r="U6" s="296">
        <f>'FEEDER Consumption '!AY6</f>
        <v>438</v>
      </c>
      <c r="V6" s="296">
        <f>'FEEDER Consumption '!BI6</f>
        <v>300</v>
      </c>
      <c r="W6" s="296">
        <f>'FEEDER Consumption '!BI6</f>
        <v>300</v>
      </c>
      <c r="X6" s="296">
        <f>'FEEDER Consumption '!BN6</f>
        <v>600</v>
      </c>
      <c r="Y6" s="296">
        <f>'FEEDER Consumption '!BS6</f>
        <v>130</v>
      </c>
      <c r="Z6" s="296">
        <f>'FEEDER Consumption '!BX6</f>
        <v>360</v>
      </c>
      <c r="AA6" s="296">
        <f>'FEEDER Consumption '!CC6</f>
        <v>1200</v>
      </c>
      <c r="AB6" s="296">
        <f>'FEEDER Consumption '!CH6</f>
        <v>510</v>
      </c>
      <c r="AC6" s="296">
        <f>'FEEDER Consumption '!CM6</f>
        <v>1180</v>
      </c>
      <c r="AD6" s="296">
        <f>'FEEDER Consumption '!CR6</f>
        <v>1070</v>
      </c>
      <c r="AE6" s="296">
        <f>'FEEDER Consumption '!DB6</f>
        <v>1100</v>
      </c>
      <c r="AF6" s="296">
        <f>'FEEDER Consumption '!DB6</f>
        <v>1100</v>
      </c>
      <c r="AG6" s="296">
        <f>'FEEDER Consumption '!DG6</f>
        <v>880</v>
      </c>
      <c r="AH6" s="296">
        <f>'FEEDER Consumption '!DL6</f>
        <v>630</v>
      </c>
      <c r="AI6" s="296">
        <f>'FEEDER Consumption '!DQ6</f>
        <v>320</v>
      </c>
      <c r="AJ6" s="296">
        <f>'FEEDER Consumption '!DV6</f>
        <v>170</v>
      </c>
      <c r="AK6" s="296">
        <f>'FEEDER Consumption '!EA6</f>
        <v>1010</v>
      </c>
      <c r="AL6" s="296">
        <f>'FEEDER Consumption '!EF6</f>
        <v>310</v>
      </c>
      <c r="AM6" s="296">
        <f>'FEEDER Consumption '!EK6</f>
        <v>350</v>
      </c>
      <c r="AN6" s="297">
        <f>'FEEDER Consumption '!EP6</f>
        <v>580</v>
      </c>
      <c r="AO6" s="298">
        <f>SUM(WATER!C7,WATER!H7,WATER!M7,WATER!R7)</f>
        <v>1154970</v>
      </c>
      <c r="AP6" s="299">
        <f>IF((AO6-AO5&lt;0), "0",AO6-AO5)</f>
        <v>429</v>
      </c>
      <c r="AQ6" s="299">
        <f>WATER!D7</f>
        <v>216</v>
      </c>
      <c r="AR6" s="299">
        <f>WATER!I7</f>
        <v>91</v>
      </c>
      <c r="AS6" s="299">
        <f>WATER!N7</f>
        <v>0</v>
      </c>
      <c r="AT6" s="299">
        <f>WATER!S7</f>
        <v>122</v>
      </c>
      <c r="AU6" s="299">
        <f>WATER!AD7</f>
        <v>34</v>
      </c>
      <c r="AV6" s="299">
        <f>WATER!AI7</f>
        <v>6</v>
      </c>
      <c r="AW6" s="299">
        <f>WATER!AN7</f>
        <v>10</v>
      </c>
      <c r="AX6" s="299">
        <f>WATER!AS7</f>
        <v>12</v>
      </c>
      <c r="AY6" s="299">
        <f>WATER!AX7</f>
        <v>9</v>
      </c>
      <c r="AZ6" s="299">
        <f>WATER!BC7</f>
        <v>7</v>
      </c>
      <c r="BA6" s="299">
        <f>WATER!BH7</f>
        <v>9</v>
      </c>
      <c r="BB6" s="299">
        <f>WATER!BM7</f>
        <v>10</v>
      </c>
      <c r="BC6" s="299">
        <f>WATER!BR7</f>
        <v>2</v>
      </c>
      <c r="BD6" s="299">
        <f>WATER!BW7</f>
        <v>0</v>
      </c>
      <c r="BE6" s="299">
        <f>WATER!CB7</f>
        <v>3</v>
      </c>
      <c r="BF6" s="299">
        <f>WATER!CG7</f>
        <v>4</v>
      </c>
      <c r="BG6" s="299">
        <f>WATER!CL7</f>
        <v>36</v>
      </c>
      <c r="BH6" s="299">
        <f>WATER!CQ7</f>
        <v>14</v>
      </c>
      <c r="BI6" s="299">
        <f>WATER!CV7</f>
        <v>2</v>
      </c>
      <c r="BJ6" s="299">
        <f>WATER!DA7</f>
        <v>4</v>
      </c>
      <c r="BK6" s="299">
        <f>WATER!DF7</f>
        <v>4</v>
      </c>
      <c r="BL6" s="299">
        <f>WATER!DK7</f>
        <v>6</v>
      </c>
      <c r="BM6" s="299">
        <f>WATER!DP7</f>
        <v>21</v>
      </c>
      <c r="BN6" s="299">
        <f>WATER!DU7</f>
        <v>7</v>
      </c>
      <c r="BO6" s="299">
        <f>WATER!DZ7</f>
        <v>3</v>
      </c>
      <c r="BP6" s="141">
        <f>'Room Nights and Food Covers'!B6</f>
        <v>88.3</v>
      </c>
      <c r="BQ6" s="141">
        <f>'Room Nights and Food Covers'!C6</f>
        <v>701</v>
      </c>
    </row>
    <row r="7" spans="1:69" ht="45" customHeight="1">
      <c r="A7" s="142">
        <f t="shared" si="0"/>
        <v>44929</v>
      </c>
      <c r="B7" s="381"/>
      <c r="C7" s="291">
        <f>SUM('GENSET #1'!C12+'GENSET #2'!C12+'GENSET #3'!C12+'GENSET #4'!C12+'GENSET #5'!C12)</f>
        <v>105596620</v>
      </c>
      <c r="D7" s="296">
        <f t="shared" ref="D7:D22" si="1">IF((C7-C6&lt;0), "0",C7-C6)</f>
        <v>28987</v>
      </c>
      <c r="E7" s="291">
        <f>'Gas-2'!G8</f>
        <v>315</v>
      </c>
      <c r="F7" s="296">
        <f>IF((E7-E6&lt;0), "0",E7-E6)</f>
        <v>45</v>
      </c>
      <c r="G7" s="296">
        <f>'GENSET #1'!D12</f>
        <v>7321</v>
      </c>
      <c r="H7" s="296">
        <f>'GENSET #2'!D12</f>
        <v>6813</v>
      </c>
      <c r="I7" s="296">
        <f>'GENSET #3'!D12</f>
        <v>4139</v>
      </c>
      <c r="J7" s="296">
        <f>'GENSET #4'!D12</f>
        <v>3476</v>
      </c>
      <c r="K7" s="296">
        <f>'GENSET #5'!D12</f>
        <v>7238</v>
      </c>
      <c r="L7" s="296">
        <f>'FEEDER Consumption '!E7</f>
        <v>4338</v>
      </c>
      <c r="M7" s="296">
        <f>'FEEDER Consumption '!J7</f>
        <v>4664</v>
      </c>
      <c r="N7" s="296">
        <f>'FEEDER Consumption '!O7</f>
        <v>12712</v>
      </c>
      <c r="O7" s="296">
        <f>'FEEDER Consumption '!T7</f>
        <v>2500</v>
      </c>
      <c r="P7" s="296">
        <f>'FEEDER Consumption '!Y7</f>
        <v>3034</v>
      </c>
      <c r="Q7" s="296">
        <f>'FEEDER Consumption '!AD7</f>
        <v>2400</v>
      </c>
      <c r="R7" s="296">
        <f>'FEEDER Consumption '!AJ7</f>
        <v>484</v>
      </c>
      <c r="S7" s="296">
        <f>'FEEDER Consumption '!AO7</f>
        <v>600</v>
      </c>
      <c r="T7" s="296">
        <f>'FEEDER Consumption '!AT7</f>
        <v>2600</v>
      </c>
      <c r="U7" s="296">
        <f>'FEEDER Consumption '!AY7</f>
        <v>465</v>
      </c>
      <c r="V7" s="296">
        <f>'FEEDER Consumption '!BI7</f>
        <v>300</v>
      </c>
      <c r="W7" s="296">
        <f>'FEEDER Consumption '!BI7</f>
        <v>300</v>
      </c>
      <c r="X7" s="296">
        <f>'FEEDER Consumption '!BN7</f>
        <v>600</v>
      </c>
      <c r="Y7" s="296">
        <f>'FEEDER Consumption '!BS7</f>
        <v>150</v>
      </c>
      <c r="Z7" s="296">
        <f>'FEEDER Consumption '!BX7</f>
        <v>430</v>
      </c>
      <c r="AA7" s="296">
        <f>'FEEDER Consumption '!CC7</f>
        <v>1200</v>
      </c>
      <c r="AB7" s="296">
        <f>'FEEDER Consumption '!CH7</f>
        <v>510</v>
      </c>
      <c r="AC7" s="296">
        <f>'FEEDER Consumption '!CM7</f>
        <v>1150</v>
      </c>
      <c r="AD7" s="296">
        <f>'FEEDER Consumption '!CR7</f>
        <v>960</v>
      </c>
      <c r="AE7" s="296">
        <f>'FEEDER Consumption '!DB7</f>
        <v>1100</v>
      </c>
      <c r="AF7" s="296">
        <f>'FEEDER Consumption '!DB7</f>
        <v>1100</v>
      </c>
      <c r="AG7" s="296">
        <f>'FEEDER Consumption '!DG7</f>
        <v>800</v>
      </c>
      <c r="AH7" s="296">
        <f>'FEEDER Consumption '!DL7</f>
        <v>610</v>
      </c>
      <c r="AI7" s="296">
        <f>'FEEDER Consumption '!DQ7</f>
        <v>340</v>
      </c>
      <c r="AJ7" s="296">
        <f>'FEEDER Consumption '!DV7</f>
        <v>170</v>
      </c>
      <c r="AK7" s="296">
        <f>'FEEDER Consumption '!EA7</f>
        <v>1080</v>
      </c>
      <c r="AL7" s="296">
        <f>'FEEDER Consumption '!EF7</f>
        <v>330</v>
      </c>
      <c r="AM7" s="296">
        <f>'FEEDER Consumption '!EK7</f>
        <v>380</v>
      </c>
      <c r="AN7" s="297">
        <f>'FEEDER Consumption '!EP7</f>
        <v>560</v>
      </c>
      <c r="AO7" s="298">
        <f>SUM(WATER!C8,WATER!H8,WATER!M8,WATER!R8)</f>
        <v>1155369</v>
      </c>
      <c r="AP7" s="299">
        <f t="shared" ref="AP7:AP34" si="2">IF((AO7-AO6&lt;0), "0",AO7-AO6)</f>
        <v>399</v>
      </c>
      <c r="AQ7" s="299">
        <f>WATER!D8</f>
        <v>195</v>
      </c>
      <c r="AR7" s="299">
        <f>WATER!I8</f>
        <v>85</v>
      </c>
      <c r="AS7" s="299">
        <f>WATER!N8</f>
        <v>0</v>
      </c>
      <c r="AT7" s="299">
        <f>WATER!S8</f>
        <v>119</v>
      </c>
      <c r="AU7" s="299">
        <f>WATER!AD8</f>
        <v>36</v>
      </c>
      <c r="AV7" s="299">
        <f>WATER!AI8</f>
        <v>8</v>
      </c>
      <c r="AW7" s="299">
        <f>WATER!AN8</f>
        <v>9</v>
      </c>
      <c r="AX7" s="299">
        <f>WATER!AS8</f>
        <v>12</v>
      </c>
      <c r="AY7" s="299">
        <f>WATER!AX8</f>
        <v>10</v>
      </c>
      <c r="AZ7" s="299">
        <f>WATER!BC8</f>
        <v>6</v>
      </c>
      <c r="BA7" s="299">
        <f>WATER!BH8</f>
        <v>8</v>
      </c>
      <c r="BB7" s="299">
        <f>WATER!BM8</f>
        <v>9</v>
      </c>
      <c r="BC7" s="299">
        <f>WATER!BR8</f>
        <v>2</v>
      </c>
      <c r="BD7" s="299">
        <f>WATER!BW8</f>
        <v>0</v>
      </c>
      <c r="BE7" s="299">
        <f>WATER!CB8</f>
        <v>4</v>
      </c>
      <c r="BF7" s="299">
        <f>WATER!CG8</f>
        <v>0</v>
      </c>
      <c r="BG7" s="299">
        <f>WATER!CL8</f>
        <v>33</v>
      </c>
      <c r="BH7" s="299">
        <f>WATER!CQ8</f>
        <v>9</v>
      </c>
      <c r="BI7" s="299">
        <f>WATER!CV8</f>
        <v>1</v>
      </c>
      <c r="BJ7" s="299">
        <f>WATER!DA8</f>
        <v>7</v>
      </c>
      <c r="BK7" s="299">
        <f>WATER!DF8</f>
        <v>3</v>
      </c>
      <c r="BL7" s="299">
        <f>WATER!DK8</f>
        <v>5</v>
      </c>
      <c r="BM7" s="299">
        <f>WATER!DP8</f>
        <v>21</v>
      </c>
      <c r="BN7" s="299">
        <f>WATER!DU8</f>
        <v>5</v>
      </c>
      <c r="BO7" s="299">
        <f>WATER!DZ8</f>
        <v>4</v>
      </c>
      <c r="BP7" s="141">
        <f>'Room Nights and Food Covers'!B7</f>
        <v>90.3</v>
      </c>
      <c r="BQ7" s="141">
        <f>'Room Nights and Food Covers'!C7</f>
        <v>740</v>
      </c>
    </row>
    <row r="8" spans="1:69" ht="45" customHeight="1">
      <c r="A8" s="142">
        <f t="shared" si="0"/>
        <v>44930</v>
      </c>
      <c r="B8" s="381"/>
      <c r="C8" s="291">
        <f>SUM('GENSET #1'!C13+'GENSET #2'!C13+'GENSET #3'!C13+'GENSET #4'!C13+'GENSET #5'!C13)</f>
        <v>105625234</v>
      </c>
      <c r="D8" s="296">
        <f t="shared" si="1"/>
        <v>28614</v>
      </c>
      <c r="E8" s="291">
        <f>'Gas-2'!G9</f>
        <v>270</v>
      </c>
      <c r="F8" s="296" t="str">
        <f t="shared" ref="F8:F34" si="3">IF((E8-E7&lt;0), "0",E8-E7)</f>
        <v>0</v>
      </c>
      <c r="G8" s="296">
        <f>'GENSET #1'!D13</f>
        <v>4960</v>
      </c>
      <c r="H8" s="296">
        <f>'GENSET #2'!D13</f>
        <v>10465</v>
      </c>
      <c r="I8" s="296">
        <f>'GENSET #3'!D13</f>
        <v>3888</v>
      </c>
      <c r="J8" s="296">
        <f>'GENSET #4'!D13</f>
        <v>3021</v>
      </c>
      <c r="K8" s="296">
        <f>'GENSET #5'!D13</f>
        <v>6280</v>
      </c>
      <c r="L8" s="296">
        <f>'FEEDER Consumption '!E8</f>
        <v>4349</v>
      </c>
      <c r="M8" s="296">
        <f>'FEEDER Consumption '!J8</f>
        <v>4661</v>
      </c>
      <c r="N8" s="296">
        <f>'FEEDER Consumption '!O8</f>
        <v>11714</v>
      </c>
      <c r="O8" s="296">
        <f>'FEEDER Consumption '!T8</f>
        <v>2300</v>
      </c>
      <c r="P8" s="296">
        <f>'FEEDER Consumption '!Y8</f>
        <v>2960</v>
      </c>
      <c r="Q8" s="296">
        <f>'FEEDER Consumption '!AD8</f>
        <v>2100</v>
      </c>
      <c r="R8" s="296">
        <f>'FEEDER Consumption '!AJ8</f>
        <v>504</v>
      </c>
      <c r="S8" s="296">
        <f>'FEEDER Consumption '!AO8</f>
        <v>800</v>
      </c>
      <c r="T8" s="296">
        <f>'FEEDER Consumption '!AT8</f>
        <v>2500</v>
      </c>
      <c r="U8" s="296">
        <f>'FEEDER Consumption '!AY8</f>
        <v>426</v>
      </c>
      <c r="V8" s="296">
        <f>'FEEDER Consumption '!BI8</f>
        <v>300</v>
      </c>
      <c r="W8" s="296">
        <f>'FEEDER Consumption '!BI8</f>
        <v>300</v>
      </c>
      <c r="X8" s="296">
        <f>'FEEDER Consumption '!BN8</f>
        <v>600</v>
      </c>
      <c r="Y8" s="296">
        <f>'FEEDER Consumption '!BS8</f>
        <v>120</v>
      </c>
      <c r="Z8" s="296">
        <f>'FEEDER Consumption '!BX8</f>
        <v>390</v>
      </c>
      <c r="AA8" s="296">
        <f>'FEEDER Consumption '!CC8</f>
        <v>1200</v>
      </c>
      <c r="AB8" s="296">
        <f>'FEEDER Consumption '!CH8</f>
        <v>470</v>
      </c>
      <c r="AC8" s="296">
        <f>'FEEDER Consumption '!CM8</f>
        <v>1160</v>
      </c>
      <c r="AD8" s="296">
        <f>'FEEDER Consumption '!CR8</f>
        <v>1060</v>
      </c>
      <c r="AE8" s="296">
        <f>'FEEDER Consumption '!DB8</f>
        <v>220</v>
      </c>
      <c r="AF8" s="296">
        <f>'FEEDER Consumption '!DB8</f>
        <v>220</v>
      </c>
      <c r="AG8" s="296">
        <f>'FEEDER Consumption '!DG8</f>
        <v>720</v>
      </c>
      <c r="AH8" s="296">
        <f>'FEEDER Consumption '!DL8</f>
        <v>610</v>
      </c>
      <c r="AI8" s="296">
        <f>'FEEDER Consumption '!DQ8</f>
        <v>370</v>
      </c>
      <c r="AJ8" s="296">
        <f>'FEEDER Consumption '!DV8</f>
        <v>140</v>
      </c>
      <c r="AK8" s="296">
        <f>'FEEDER Consumption '!EA8</f>
        <v>970</v>
      </c>
      <c r="AL8" s="296">
        <f>'FEEDER Consumption '!EF8</f>
        <v>290</v>
      </c>
      <c r="AM8" s="296">
        <f>'FEEDER Consumption '!EK8</f>
        <v>350</v>
      </c>
      <c r="AN8" s="297">
        <f>'FEEDER Consumption '!EP8</f>
        <v>570</v>
      </c>
      <c r="AO8" s="298">
        <f>SUM(WATER!C9,WATER!H9,WATER!M9,WATER!R9)</f>
        <v>1155834</v>
      </c>
      <c r="AP8" s="299">
        <f t="shared" si="2"/>
        <v>465</v>
      </c>
      <c r="AQ8" s="299">
        <f>WATER!D9</f>
        <v>187</v>
      </c>
      <c r="AR8" s="299">
        <f>WATER!I9</f>
        <v>15</v>
      </c>
      <c r="AS8" s="299">
        <f>WATER!N9</f>
        <v>179</v>
      </c>
      <c r="AT8" s="299">
        <f>WATER!S9</f>
        <v>84</v>
      </c>
      <c r="AU8" s="299">
        <f>WATER!AD9</f>
        <v>32</v>
      </c>
      <c r="AV8" s="299">
        <f>WATER!AI9</f>
        <v>6</v>
      </c>
      <c r="AW8" s="299">
        <f>WATER!AN9</f>
        <v>10</v>
      </c>
      <c r="AX8" s="299">
        <f>WATER!AS9</f>
        <v>13</v>
      </c>
      <c r="AY8" s="299">
        <f>WATER!AX9</f>
        <v>10</v>
      </c>
      <c r="AZ8" s="299">
        <f>WATER!BC9</f>
        <v>8</v>
      </c>
      <c r="BA8" s="299">
        <f>WATER!BH9</f>
        <v>8</v>
      </c>
      <c r="BB8" s="299">
        <f>WATER!BM9</f>
        <v>9</v>
      </c>
      <c r="BC8" s="299">
        <f>WATER!BR9</f>
        <v>2</v>
      </c>
      <c r="BD8" s="299">
        <f>WATER!BW9</f>
        <v>0</v>
      </c>
      <c r="BE8" s="299">
        <f>WATER!CB9</f>
        <v>3</v>
      </c>
      <c r="BF8" s="299">
        <f>WATER!CG9</f>
        <v>2</v>
      </c>
      <c r="BG8" s="299">
        <f>WATER!CL9</f>
        <v>33</v>
      </c>
      <c r="BH8" s="299">
        <f>WATER!CQ9</f>
        <v>13</v>
      </c>
      <c r="BI8" s="299">
        <f>WATER!CV9</f>
        <v>1</v>
      </c>
      <c r="BJ8" s="299">
        <f>WATER!DA9</f>
        <v>16</v>
      </c>
      <c r="BK8" s="299">
        <f>WATER!DF9</f>
        <v>6</v>
      </c>
      <c r="BL8" s="299">
        <f>WATER!DK9</f>
        <v>3</v>
      </c>
      <c r="BM8" s="299">
        <f>WATER!DP9</f>
        <v>20</v>
      </c>
      <c r="BN8" s="299">
        <f>WATER!DU9</f>
        <v>2</v>
      </c>
      <c r="BO8" s="299">
        <f>WATER!DZ9</f>
        <v>2</v>
      </c>
      <c r="BP8" s="141">
        <f>'Room Nights and Food Covers'!B8</f>
        <v>81.599999999999994</v>
      </c>
      <c r="BQ8" s="141">
        <f>'Room Nights and Food Covers'!C8</f>
        <v>647</v>
      </c>
    </row>
    <row r="9" spans="1:69" ht="45" customHeight="1">
      <c r="A9" s="142">
        <f t="shared" si="0"/>
        <v>44931</v>
      </c>
      <c r="B9" s="381"/>
      <c r="C9" s="291">
        <f>SUM('GENSET #1'!C14+'GENSET #2'!C14+'GENSET #3'!C14+'GENSET #4'!C14+'GENSET #5'!C14)</f>
        <v>105653984</v>
      </c>
      <c r="D9" s="296">
        <f t="shared" si="1"/>
        <v>28750</v>
      </c>
      <c r="E9" s="291">
        <f>'Gas-2'!G10</f>
        <v>360</v>
      </c>
      <c r="F9" s="296">
        <f t="shared" si="3"/>
        <v>90</v>
      </c>
      <c r="G9" s="296">
        <f>'GENSET #1'!D14</f>
        <v>5580</v>
      </c>
      <c r="H9" s="296">
        <f>'GENSET #2'!D14</f>
        <v>9400</v>
      </c>
      <c r="I9" s="296">
        <f>'GENSET #3'!D14</f>
        <v>4621</v>
      </c>
      <c r="J9" s="296">
        <f>'GENSET #4'!D14</f>
        <v>1945</v>
      </c>
      <c r="K9" s="296">
        <f>'GENSET #5'!D14</f>
        <v>7204</v>
      </c>
      <c r="L9" s="296">
        <f>'FEEDER Consumption '!E9</f>
        <v>4138</v>
      </c>
      <c r="M9" s="296">
        <f>'FEEDER Consumption '!J9</f>
        <v>4769</v>
      </c>
      <c r="N9" s="296">
        <f>'FEEDER Consumption '!O9</f>
        <v>12322</v>
      </c>
      <c r="O9" s="296">
        <f>'FEEDER Consumption '!T9</f>
        <v>2500</v>
      </c>
      <c r="P9" s="296">
        <f>'FEEDER Consumption '!Y9</f>
        <v>3077</v>
      </c>
      <c r="Q9" s="296">
        <f>'FEEDER Consumption '!AD9</f>
        <v>1900</v>
      </c>
      <c r="R9" s="296">
        <f>'FEEDER Consumption '!AJ9</f>
        <v>494</v>
      </c>
      <c r="S9" s="296">
        <f>'FEEDER Consumption '!AO9</f>
        <v>700</v>
      </c>
      <c r="T9" s="296">
        <f>'FEEDER Consumption '!AT9</f>
        <v>2900</v>
      </c>
      <c r="U9" s="296">
        <f>'FEEDER Consumption '!AY9</f>
        <v>438</v>
      </c>
      <c r="V9" s="296">
        <f>'FEEDER Consumption '!BI9</f>
        <v>300</v>
      </c>
      <c r="W9" s="296">
        <f>'FEEDER Consumption '!BI9</f>
        <v>300</v>
      </c>
      <c r="X9" s="296">
        <f>'FEEDER Consumption '!BN9</f>
        <v>600</v>
      </c>
      <c r="Y9" s="296">
        <f>'FEEDER Consumption '!BS9</f>
        <v>130</v>
      </c>
      <c r="Z9" s="296">
        <f>'FEEDER Consumption '!BX9</f>
        <v>400</v>
      </c>
      <c r="AA9" s="296">
        <f>'FEEDER Consumption '!CC9</f>
        <v>1200</v>
      </c>
      <c r="AB9" s="296">
        <f>'FEEDER Consumption '!CH9</f>
        <v>480</v>
      </c>
      <c r="AC9" s="296">
        <f>'FEEDER Consumption '!CM9</f>
        <v>1200</v>
      </c>
      <c r="AD9" s="296">
        <f>'FEEDER Consumption '!CR9</f>
        <v>960</v>
      </c>
      <c r="AE9" s="296">
        <f>'FEEDER Consumption '!DB9</f>
        <v>1980</v>
      </c>
      <c r="AF9" s="296">
        <f>'FEEDER Consumption '!DB9</f>
        <v>1980</v>
      </c>
      <c r="AG9" s="296">
        <f>'FEEDER Consumption '!DG9</f>
        <v>680</v>
      </c>
      <c r="AH9" s="296">
        <f>'FEEDER Consumption '!DL9</f>
        <v>680</v>
      </c>
      <c r="AI9" s="296">
        <f>'FEEDER Consumption '!DQ9</f>
        <v>330</v>
      </c>
      <c r="AJ9" s="296">
        <f>'FEEDER Consumption '!DV9</f>
        <v>150</v>
      </c>
      <c r="AK9" s="296">
        <f>'FEEDER Consumption '!EA9</f>
        <v>1040</v>
      </c>
      <c r="AL9" s="296">
        <f>'FEEDER Consumption '!EF9</f>
        <v>320</v>
      </c>
      <c r="AM9" s="296">
        <f>'FEEDER Consumption '!EK9</f>
        <v>370</v>
      </c>
      <c r="AN9" s="297">
        <f>'FEEDER Consumption '!EP9</f>
        <v>520</v>
      </c>
      <c r="AO9" s="298">
        <f>SUM(WATER!C10,WATER!H10,WATER!M10,WATER!R10)</f>
        <v>1156254</v>
      </c>
      <c r="AP9" s="299">
        <f t="shared" si="2"/>
        <v>420</v>
      </c>
      <c r="AQ9" s="299">
        <f>WATER!D10</f>
        <v>180</v>
      </c>
      <c r="AR9" s="299">
        <f>WATER!I10</f>
        <v>67</v>
      </c>
      <c r="AS9" s="299">
        <f>WATER!N10</f>
        <v>166</v>
      </c>
      <c r="AT9" s="299">
        <f>WATER!S10</f>
        <v>7</v>
      </c>
      <c r="AU9" s="299">
        <f>WATER!AD10</f>
        <v>34</v>
      </c>
      <c r="AV9" s="299">
        <f>WATER!AI10</f>
        <v>7</v>
      </c>
      <c r="AW9" s="299">
        <f>WATER!AN10</f>
        <v>9</v>
      </c>
      <c r="AX9" s="299">
        <f>WATER!AS10</f>
        <v>12</v>
      </c>
      <c r="AY9" s="299">
        <f>WATER!AX10</f>
        <v>9</v>
      </c>
      <c r="AZ9" s="299">
        <f>WATER!BC10</f>
        <v>6</v>
      </c>
      <c r="BA9" s="299">
        <f>WATER!BH10</f>
        <v>9</v>
      </c>
      <c r="BB9" s="299">
        <f>WATER!BM10</f>
        <v>9</v>
      </c>
      <c r="BC9" s="299">
        <f>WATER!BR10</f>
        <v>2</v>
      </c>
      <c r="BD9" s="299">
        <f>WATER!BW10</f>
        <v>0</v>
      </c>
      <c r="BE9" s="299">
        <f>WATER!CB10</f>
        <v>5</v>
      </c>
      <c r="BF9" s="299">
        <f>WATER!CG10</f>
        <v>3</v>
      </c>
      <c r="BG9" s="299">
        <f>WATER!CL10</f>
        <v>31</v>
      </c>
      <c r="BH9" s="299">
        <f>WATER!CQ10</f>
        <v>10</v>
      </c>
      <c r="BI9" s="299">
        <f>WATER!CV10</f>
        <v>1</v>
      </c>
      <c r="BJ9" s="299">
        <f>WATER!DA10</f>
        <v>6</v>
      </c>
      <c r="BK9" s="299">
        <f>WATER!DF10</f>
        <v>4</v>
      </c>
      <c r="BL9" s="299">
        <f>WATER!DK10</f>
        <v>6</v>
      </c>
      <c r="BM9" s="299">
        <f>WATER!DP10</f>
        <v>22</v>
      </c>
      <c r="BN9" s="299">
        <f>WATER!DU10</f>
        <v>5</v>
      </c>
      <c r="BO9" s="299">
        <f>WATER!DZ10</f>
        <v>14</v>
      </c>
      <c r="BP9" s="141">
        <f>'Room Nights and Food Covers'!B9</f>
        <v>77.7</v>
      </c>
      <c r="BQ9" s="141">
        <f>'Room Nights and Food Covers'!C9</f>
        <v>639</v>
      </c>
    </row>
    <row r="10" spans="1:69" ht="45" customHeight="1">
      <c r="A10" s="142">
        <f t="shared" si="0"/>
        <v>44932</v>
      </c>
      <c r="B10" s="381"/>
      <c r="C10" s="291">
        <f>SUM('GENSET #1'!C15+'GENSET #2'!C15+'GENSET #3'!C15+'GENSET #4'!C15+'GENSET #5'!C15)</f>
        <v>105682915</v>
      </c>
      <c r="D10" s="296">
        <f t="shared" si="1"/>
        <v>28931</v>
      </c>
      <c r="E10" s="291">
        <f>'Gas-2'!G11</f>
        <v>315</v>
      </c>
      <c r="F10" s="296" t="str">
        <f t="shared" si="3"/>
        <v>0</v>
      </c>
      <c r="G10" s="296">
        <f>'GENSET #1'!D15</f>
        <v>7411</v>
      </c>
      <c r="H10" s="296">
        <f>'GENSET #2'!D15</f>
        <v>7536</v>
      </c>
      <c r="I10" s="296">
        <f>'GENSET #3'!D15</f>
        <v>2796</v>
      </c>
      <c r="J10" s="296">
        <f>'GENSET #4'!D15</f>
        <v>3476</v>
      </c>
      <c r="K10" s="296">
        <f>'GENSET #5'!D15</f>
        <v>7712</v>
      </c>
      <c r="L10" s="296">
        <f>'FEEDER Consumption '!E10</f>
        <v>4423</v>
      </c>
      <c r="M10" s="296">
        <f>'FEEDER Consumption '!J10</f>
        <v>4621</v>
      </c>
      <c r="N10" s="296">
        <f>'FEEDER Consumption '!O10</f>
        <v>12388</v>
      </c>
      <c r="O10" s="296">
        <f>'FEEDER Consumption '!T10</f>
        <v>2300</v>
      </c>
      <c r="P10" s="296">
        <f>'FEEDER Consumption '!Y10</f>
        <v>3058</v>
      </c>
      <c r="Q10" s="296">
        <f>'FEEDER Consumption '!AD10</f>
        <v>2400</v>
      </c>
      <c r="R10" s="296">
        <f>'FEEDER Consumption '!AJ10</f>
        <v>472</v>
      </c>
      <c r="S10" s="296">
        <f>'FEEDER Consumption '!AO10</f>
        <v>700</v>
      </c>
      <c r="T10" s="296">
        <f>'FEEDER Consumption '!AT10</f>
        <v>2500</v>
      </c>
      <c r="U10" s="296">
        <f>'FEEDER Consumption '!AY10</f>
        <v>429</v>
      </c>
      <c r="V10" s="296">
        <f>'FEEDER Consumption '!BI10</f>
        <v>300</v>
      </c>
      <c r="W10" s="296">
        <f>'FEEDER Consumption '!BI10</f>
        <v>300</v>
      </c>
      <c r="X10" s="296">
        <f>'FEEDER Consumption '!BN10</f>
        <v>500</v>
      </c>
      <c r="Y10" s="296">
        <f>'FEEDER Consumption '!BS10</f>
        <v>110</v>
      </c>
      <c r="Z10" s="296">
        <f>'FEEDER Consumption '!BX10</f>
        <v>370</v>
      </c>
      <c r="AA10" s="296">
        <f>'FEEDER Consumption '!CC10</f>
        <v>1200</v>
      </c>
      <c r="AB10" s="296">
        <f>'FEEDER Consumption '!CH10</f>
        <v>510</v>
      </c>
      <c r="AC10" s="296">
        <f>'FEEDER Consumption '!CM10</f>
        <v>1120</v>
      </c>
      <c r="AD10" s="296">
        <f>'FEEDER Consumption '!CR10</f>
        <v>1020</v>
      </c>
      <c r="AE10" s="296">
        <f>'FEEDER Consumption '!DB10</f>
        <v>1100</v>
      </c>
      <c r="AF10" s="296">
        <f>'FEEDER Consumption '!DB10</f>
        <v>1100</v>
      </c>
      <c r="AG10" s="296">
        <f>'FEEDER Consumption '!DG10</f>
        <v>720</v>
      </c>
      <c r="AH10" s="296">
        <f>'FEEDER Consumption '!DL10</f>
        <v>550</v>
      </c>
      <c r="AI10" s="296">
        <f>'FEEDER Consumption '!DQ10</f>
        <v>350</v>
      </c>
      <c r="AJ10" s="296">
        <f>'FEEDER Consumption '!DV10</f>
        <v>160</v>
      </c>
      <c r="AK10" s="296">
        <f>'FEEDER Consumption '!EA10</f>
        <v>990</v>
      </c>
      <c r="AL10" s="296">
        <f>'FEEDER Consumption '!EF10</f>
        <v>320</v>
      </c>
      <c r="AM10" s="296">
        <f>'FEEDER Consumption '!EK10</f>
        <v>370</v>
      </c>
      <c r="AN10" s="297">
        <f>'FEEDER Consumption '!EP10</f>
        <v>570</v>
      </c>
      <c r="AO10" s="298">
        <f>SUM(WATER!C11,WATER!H11,WATER!M11,WATER!R11)</f>
        <v>1156629</v>
      </c>
      <c r="AP10" s="299">
        <f t="shared" si="2"/>
        <v>375</v>
      </c>
      <c r="AQ10" s="299">
        <f>WATER!D11</f>
        <v>89</v>
      </c>
      <c r="AR10" s="299">
        <f>WATER!I11</f>
        <v>42</v>
      </c>
      <c r="AS10" s="299">
        <f>WATER!N11</f>
        <v>182</v>
      </c>
      <c r="AT10" s="299">
        <f>WATER!S11</f>
        <v>62</v>
      </c>
      <c r="AU10" s="299">
        <f>WATER!AD11</f>
        <v>34</v>
      </c>
      <c r="AV10" s="299">
        <f>WATER!AI11</f>
        <v>7</v>
      </c>
      <c r="AW10" s="299">
        <f>WATER!AN11</f>
        <v>11</v>
      </c>
      <c r="AX10" s="299">
        <f>WATER!AS11</f>
        <v>15</v>
      </c>
      <c r="AY10" s="299">
        <f>WATER!AX11</f>
        <v>11</v>
      </c>
      <c r="AZ10" s="299">
        <f>WATER!BC11</f>
        <v>8</v>
      </c>
      <c r="BA10" s="299">
        <f>WATER!BH11</f>
        <v>9</v>
      </c>
      <c r="BB10" s="299">
        <f>WATER!BM11</f>
        <v>9</v>
      </c>
      <c r="BC10" s="299">
        <f>WATER!BR11</f>
        <v>2</v>
      </c>
      <c r="BD10" s="299">
        <f>WATER!BW11</f>
        <v>0</v>
      </c>
      <c r="BE10" s="299">
        <f>WATER!CB11</f>
        <v>3</v>
      </c>
      <c r="BF10" s="299">
        <f>WATER!CG11</f>
        <v>0</v>
      </c>
      <c r="BG10" s="299">
        <f>WATER!CL11</f>
        <v>26</v>
      </c>
      <c r="BH10" s="299">
        <f>WATER!CQ11</f>
        <v>12</v>
      </c>
      <c r="BI10" s="299">
        <f>WATER!CV11</f>
        <v>0</v>
      </c>
      <c r="BJ10" s="299">
        <f>WATER!DA11</f>
        <v>6</v>
      </c>
      <c r="BK10" s="299">
        <f>WATER!DF11</f>
        <v>3</v>
      </c>
      <c r="BL10" s="299">
        <f>WATER!DK11</f>
        <v>3</v>
      </c>
      <c r="BM10" s="299">
        <f>WATER!DP11</f>
        <v>21</v>
      </c>
      <c r="BN10" s="299">
        <f>WATER!DU11</f>
        <v>3</v>
      </c>
      <c r="BO10" s="299">
        <f>WATER!DZ11</f>
        <v>2</v>
      </c>
      <c r="BP10" s="141">
        <f>'Room Nights and Food Covers'!B10</f>
        <v>67</v>
      </c>
      <c r="BQ10" s="141">
        <f>'Room Nights and Food Covers'!C10</f>
        <v>532</v>
      </c>
    </row>
    <row r="11" spans="1:69" ht="45" customHeight="1">
      <c r="A11" s="142">
        <f t="shared" si="0"/>
        <v>44933</v>
      </c>
      <c r="B11" s="381"/>
      <c r="C11" s="291">
        <f>SUM('GENSET #1'!C16+'GENSET #2'!C16+'GENSET #3'!C16+'GENSET #4'!C16+'GENSET #5'!C16)</f>
        <v>105710808</v>
      </c>
      <c r="D11" s="296">
        <f t="shared" si="1"/>
        <v>27893</v>
      </c>
      <c r="E11" s="291">
        <f>'Gas-2'!G12</f>
        <v>270</v>
      </c>
      <c r="F11" s="296" t="str">
        <f t="shared" si="3"/>
        <v>0</v>
      </c>
      <c r="G11" s="296">
        <f>'GENSET #1'!D16</f>
        <v>6511</v>
      </c>
      <c r="H11" s="296">
        <f>'GENSET #2'!D16</f>
        <v>8861</v>
      </c>
      <c r="I11" s="296">
        <f>'GENSET #3'!D16</f>
        <v>2573</v>
      </c>
      <c r="J11" s="296">
        <f>'GENSET #4'!D16</f>
        <v>2473</v>
      </c>
      <c r="K11" s="296">
        <f>'GENSET #5'!D16</f>
        <v>7475</v>
      </c>
      <c r="L11" s="296">
        <f>'FEEDER Consumption '!E11</f>
        <v>4356</v>
      </c>
      <c r="M11" s="296">
        <f>'FEEDER Consumption '!J11</f>
        <v>4463</v>
      </c>
      <c r="N11" s="296">
        <f>'FEEDER Consumption '!O11</f>
        <v>12336</v>
      </c>
      <c r="O11" s="296">
        <f>'FEEDER Consumption '!T11</f>
        <v>2400</v>
      </c>
      <c r="P11" s="296">
        <f>'FEEDER Consumption '!Y11</f>
        <v>2974</v>
      </c>
      <c r="Q11" s="296">
        <f>'FEEDER Consumption '!AD11</f>
        <v>2100</v>
      </c>
      <c r="R11" s="296">
        <f>'FEEDER Consumption '!AJ11</f>
        <v>447</v>
      </c>
      <c r="S11" s="296">
        <f>'FEEDER Consumption '!AO11</f>
        <v>800</v>
      </c>
      <c r="T11" s="296">
        <f>'FEEDER Consumption '!AT11</f>
        <v>2500</v>
      </c>
      <c r="U11" s="296">
        <f>'FEEDER Consumption '!AY11</f>
        <v>432</v>
      </c>
      <c r="V11" s="296">
        <f>'FEEDER Consumption '!BI11</f>
        <v>400</v>
      </c>
      <c r="W11" s="296">
        <f>'FEEDER Consumption '!BI11</f>
        <v>400</v>
      </c>
      <c r="X11" s="296">
        <f>'FEEDER Consumption '!BN11</f>
        <v>600</v>
      </c>
      <c r="Y11" s="296">
        <f>'FEEDER Consumption '!BS11</f>
        <v>130</v>
      </c>
      <c r="Z11" s="296">
        <f>'FEEDER Consumption '!BX11</f>
        <v>400</v>
      </c>
      <c r="AA11" s="296">
        <f>'FEEDER Consumption '!CC11</f>
        <v>1200</v>
      </c>
      <c r="AB11" s="296">
        <f>'FEEDER Consumption '!CH11</f>
        <v>470</v>
      </c>
      <c r="AC11" s="296">
        <f>'FEEDER Consumption '!CM11</f>
        <v>1260</v>
      </c>
      <c r="AD11" s="296">
        <f>'FEEDER Consumption '!CR11</f>
        <v>1030</v>
      </c>
      <c r="AE11" s="296">
        <f>'FEEDER Consumption '!DB11</f>
        <v>1300</v>
      </c>
      <c r="AF11" s="296">
        <f>'FEEDER Consumption '!DB11</f>
        <v>1300</v>
      </c>
      <c r="AG11" s="296">
        <f>'FEEDER Consumption '!DG11</f>
        <v>720</v>
      </c>
      <c r="AH11" s="296">
        <f>'FEEDER Consumption '!DL11</f>
        <v>550</v>
      </c>
      <c r="AI11" s="296">
        <f>'FEEDER Consumption '!DQ11</f>
        <v>350</v>
      </c>
      <c r="AJ11" s="296">
        <f>'FEEDER Consumption '!DV11</f>
        <v>140</v>
      </c>
      <c r="AK11" s="296">
        <f>'FEEDER Consumption '!EA11</f>
        <v>1070</v>
      </c>
      <c r="AL11" s="296">
        <f>'FEEDER Consumption '!EF11</f>
        <v>340</v>
      </c>
      <c r="AM11" s="296">
        <f>'FEEDER Consumption '!EK11</f>
        <v>480</v>
      </c>
      <c r="AN11" s="297">
        <f>'FEEDER Consumption '!EP11</f>
        <v>540</v>
      </c>
      <c r="AO11" s="298">
        <f>SUM(WATER!C12,WATER!H12,WATER!M12,WATER!R12)</f>
        <v>1156936</v>
      </c>
      <c r="AP11" s="299">
        <f t="shared" si="2"/>
        <v>307</v>
      </c>
      <c r="AQ11" s="299">
        <f>WATER!D12</f>
        <v>153</v>
      </c>
      <c r="AR11" s="299">
        <f>WATER!I12</f>
        <v>53</v>
      </c>
      <c r="AS11" s="299">
        <f>WATER!N12</f>
        <v>101</v>
      </c>
      <c r="AT11" s="299">
        <f>WATER!S12</f>
        <v>0</v>
      </c>
      <c r="AU11" s="299">
        <f>WATER!AD12</f>
        <v>35</v>
      </c>
      <c r="AV11" s="299">
        <f>WATER!AI12</f>
        <v>8</v>
      </c>
      <c r="AW11" s="299">
        <f>WATER!AN12</f>
        <v>10</v>
      </c>
      <c r="AX11" s="299">
        <f>WATER!AS12</f>
        <v>13</v>
      </c>
      <c r="AY11" s="299">
        <f>WATER!AX12</f>
        <v>9</v>
      </c>
      <c r="AZ11" s="299">
        <f>WATER!BC12</f>
        <v>7</v>
      </c>
      <c r="BA11" s="299">
        <f>WATER!BH12</f>
        <v>9</v>
      </c>
      <c r="BB11" s="299">
        <f>WATER!BM12</f>
        <v>9</v>
      </c>
      <c r="BC11" s="299">
        <f>WATER!BR12</f>
        <v>1</v>
      </c>
      <c r="BD11" s="299">
        <f>WATER!BW12</f>
        <v>2</v>
      </c>
      <c r="BE11" s="299">
        <f>WATER!CB12</f>
        <v>2</v>
      </c>
      <c r="BF11" s="299">
        <f>WATER!CG12</f>
        <v>2</v>
      </c>
      <c r="BG11" s="299">
        <f>WATER!CL12</f>
        <v>27</v>
      </c>
      <c r="BH11" s="299">
        <f>WATER!CQ12</f>
        <v>6</v>
      </c>
      <c r="BI11" s="299">
        <f>WATER!CV12</f>
        <v>2</v>
      </c>
      <c r="BJ11" s="299">
        <f>WATER!DA12</f>
        <v>1</v>
      </c>
      <c r="BK11" s="299">
        <f>WATER!DF12</f>
        <v>4</v>
      </c>
      <c r="BL11" s="299">
        <f>WATER!DK12</f>
        <v>4</v>
      </c>
      <c r="BM11" s="299">
        <f>WATER!DP12</f>
        <v>19</v>
      </c>
      <c r="BN11" s="299">
        <f>WATER!DU12</f>
        <v>2</v>
      </c>
      <c r="BO11" s="299">
        <f>WATER!DZ12</f>
        <v>2</v>
      </c>
      <c r="BP11" s="141">
        <f>'Room Nights and Food Covers'!B11</f>
        <v>61.2</v>
      </c>
      <c r="BQ11" s="141">
        <f>'Room Nights and Food Covers'!C11</f>
        <v>539</v>
      </c>
    </row>
    <row r="12" spans="1:69" ht="45" customHeight="1">
      <c r="A12" s="142">
        <f t="shared" si="0"/>
        <v>44934</v>
      </c>
      <c r="B12" s="381"/>
      <c r="C12" s="291">
        <f>SUM('GENSET #1'!C17+'GENSET #2'!C17+'GENSET #3'!C17+'GENSET #4'!C17+'GENSET #5'!C17)</f>
        <v>105737698</v>
      </c>
      <c r="D12" s="296">
        <f t="shared" si="1"/>
        <v>26890</v>
      </c>
      <c r="E12" s="291">
        <f>'Gas-2'!G13</f>
        <v>315</v>
      </c>
      <c r="F12" s="296">
        <f t="shared" si="3"/>
        <v>45</v>
      </c>
      <c r="G12" s="296">
        <f>'GENSET #1'!D17</f>
        <v>6893</v>
      </c>
      <c r="H12" s="296">
        <f>'GENSET #2'!D17</f>
        <v>7577</v>
      </c>
      <c r="I12" s="296">
        <f>'GENSET #3'!D17</f>
        <v>3036</v>
      </c>
      <c r="J12" s="296">
        <f>'GENSET #4'!D17</f>
        <v>2179</v>
      </c>
      <c r="K12" s="296">
        <f>'GENSET #5'!D17</f>
        <v>7205</v>
      </c>
      <c r="L12" s="296">
        <f>'FEEDER Consumption '!E12</f>
        <v>4075</v>
      </c>
      <c r="M12" s="296">
        <f>'FEEDER Consumption '!J12</f>
        <v>4494</v>
      </c>
      <c r="N12" s="296">
        <f>'FEEDER Consumption '!O12</f>
        <v>11206</v>
      </c>
      <c r="O12" s="296">
        <f>'FEEDER Consumption '!T12</f>
        <v>2300</v>
      </c>
      <c r="P12" s="296">
        <f>'FEEDER Consumption '!Y12</f>
        <v>2843</v>
      </c>
      <c r="Q12" s="296">
        <f>'FEEDER Consumption '!AD12</f>
        <v>1600</v>
      </c>
      <c r="R12" s="296">
        <f>'FEEDER Consumption '!AJ12</f>
        <v>466</v>
      </c>
      <c r="S12" s="296">
        <f>'FEEDER Consumption '!AO12</f>
        <v>700</v>
      </c>
      <c r="T12" s="296">
        <f>'FEEDER Consumption '!AT12</f>
        <v>2300</v>
      </c>
      <c r="U12" s="296">
        <f>'FEEDER Consumption '!AY12</f>
        <v>448</v>
      </c>
      <c r="V12" s="296">
        <f>'FEEDER Consumption '!BI12</f>
        <v>300</v>
      </c>
      <c r="W12" s="296">
        <f>'FEEDER Consumption '!BI12</f>
        <v>300</v>
      </c>
      <c r="X12" s="296">
        <f>'FEEDER Consumption '!BN12</f>
        <v>600</v>
      </c>
      <c r="Y12" s="296">
        <f>'FEEDER Consumption '!BS12</f>
        <v>120</v>
      </c>
      <c r="Z12" s="296">
        <f>'FEEDER Consumption '!BX12</f>
        <v>410</v>
      </c>
      <c r="AA12" s="296">
        <f>'FEEDER Consumption '!CC12</f>
        <v>1200</v>
      </c>
      <c r="AB12" s="296">
        <f>'FEEDER Consumption '!CH12</f>
        <v>430</v>
      </c>
      <c r="AC12" s="296">
        <f>'FEEDER Consumption '!CM12</f>
        <v>1070</v>
      </c>
      <c r="AD12" s="296">
        <f>'FEEDER Consumption '!CR12</f>
        <v>840</v>
      </c>
      <c r="AE12" s="296">
        <f>'FEEDER Consumption '!DB12</f>
        <v>800</v>
      </c>
      <c r="AF12" s="296">
        <f>'FEEDER Consumption '!DB12</f>
        <v>800</v>
      </c>
      <c r="AG12" s="296">
        <f>'FEEDER Consumption '!DG12</f>
        <v>700</v>
      </c>
      <c r="AH12" s="296">
        <f>'FEEDER Consumption '!DL12</f>
        <v>510</v>
      </c>
      <c r="AI12" s="296">
        <f>'FEEDER Consumption '!DQ12</f>
        <v>330</v>
      </c>
      <c r="AJ12" s="296">
        <f>'FEEDER Consumption '!DV12</f>
        <v>120</v>
      </c>
      <c r="AK12" s="296">
        <f>'FEEDER Consumption '!EA12</f>
        <v>850</v>
      </c>
      <c r="AL12" s="296">
        <f>'FEEDER Consumption '!EF12</f>
        <v>300</v>
      </c>
      <c r="AM12" s="296">
        <f>'FEEDER Consumption '!EK12</f>
        <v>380</v>
      </c>
      <c r="AN12" s="297">
        <f>'FEEDER Consumption '!EP12</f>
        <v>510</v>
      </c>
      <c r="AO12" s="298">
        <f>SUM(WATER!C13,WATER!H13,WATER!M13,WATER!R13)</f>
        <v>1157240</v>
      </c>
      <c r="AP12" s="299">
        <f t="shared" si="2"/>
        <v>304</v>
      </c>
      <c r="AQ12" s="299">
        <f>WATER!D13</f>
        <v>169</v>
      </c>
      <c r="AR12" s="299">
        <f>WATER!I13</f>
        <v>10</v>
      </c>
      <c r="AS12" s="299">
        <f>WATER!N13</f>
        <v>125</v>
      </c>
      <c r="AT12" s="299">
        <f>WATER!S13</f>
        <v>0</v>
      </c>
      <c r="AU12" s="299">
        <f>WATER!AD13</f>
        <v>32</v>
      </c>
      <c r="AV12" s="299">
        <f>WATER!AI13</f>
        <v>6</v>
      </c>
      <c r="AW12" s="299">
        <f>WATER!AN13</f>
        <v>9</v>
      </c>
      <c r="AX12" s="299">
        <f>WATER!AS13</f>
        <v>12</v>
      </c>
      <c r="AY12" s="299">
        <f>WATER!AX13</f>
        <v>10</v>
      </c>
      <c r="AZ12" s="299">
        <f>WATER!BC13</f>
        <v>7</v>
      </c>
      <c r="BA12" s="299">
        <f>WATER!BH13</f>
        <v>9</v>
      </c>
      <c r="BB12" s="299">
        <f>WATER!BM13</f>
        <v>9</v>
      </c>
      <c r="BC12" s="299">
        <f>WATER!BR13</f>
        <v>2</v>
      </c>
      <c r="BD12" s="299">
        <f>WATER!BW13</f>
        <v>0</v>
      </c>
      <c r="BE12" s="299">
        <f>WATER!CB13</f>
        <v>3</v>
      </c>
      <c r="BF12" s="299">
        <f>WATER!CG13</f>
        <v>1</v>
      </c>
      <c r="BG12" s="299">
        <f>WATER!CL13</f>
        <v>23</v>
      </c>
      <c r="BH12" s="299">
        <f>WATER!CQ13</f>
        <v>17</v>
      </c>
      <c r="BI12" s="299">
        <f>WATER!CV13</f>
        <v>1</v>
      </c>
      <c r="BJ12" s="299">
        <f>WATER!DA13</f>
        <v>1</v>
      </c>
      <c r="BK12" s="299">
        <f>WATER!DF13</f>
        <v>3</v>
      </c>
      <c r="BL12" s="299">
        <f>WATER!DK13</f>
        <v>4</v>
      </c>
      <c r="BM12" s="299">
        <f>WATER!DP13</f>
        <v>20</v>
      </c>
      <c r="BN12" s="299">
        <f>WATER!DU13</f>
        <v>4</v>
      </c>
      <c r="BO12" s="299">
        <f>WATER!DZ13</f>
        <v>2</v>
      </c>
      <c r="BP12" s="141">
        <f>'Room Nights and Food Covers'!B12</f>
        <v>43.7</v>
      </c>
      <c r="BQ12" s="141">
        <f>'Room Nights and Food Covers'!C12</f>
        <v>334</v>
      </c>
    </row>
    <row r="13" spans="1:69" ht="45" customHeight="1">
      <c r="A13" s="142">
        <f t="shared" si="0"/>
        <v>44935</v>
      </c>
      <c r="B13" s="381"/>
      <c r="C13" s="291">
        <f>SUM('GENSET #1'!C18+'GENSET #2'!C18+'GENSET #3'!C18+'GENSET #4'!C18+'GENSET #5'!C18)</f>
        <v>105764198</v>
      </c>
      <c r="D13" s="296">
        <f t="shared" si="1"/>
        <v>26500</v>
      </c>
      <c r="E13" s="291">
        <f>'Gas-2'!G14</f>
        <v>225</v>
      </c>
      <c r="F13" s="296" t="str">
        <f t="shared" si="3"/>
        <v>0</v>
      </c>
      <c r="G13" s="296">
        <f>'GENSET #1'!D18</f>
        <v>0</v>
      </c>
      <c r="H13" s="296">
        <f>'GENSET #2'!D18</f>
        <v>10197</v>
      </c>
      <c r="I13" s="296">
        <f>'GENSET #3'!D18</f>
        <v>7274</v>
      </c>
      <c r="J13" s="296">
        <f>'GENSET #4'!D18</f>
        <v>3110</v>
      </c>
      <c r="K13" s="296">
        <f>'GENSET #5'!D18</f>
        <v>5919</v>
      </c>
      <c r="L13" s="296">
        <f>'FEEDER Consumption '!E13</f>
        <v>3970</v>
      </c>
      <c r="M13" s="296">
        <f>'FEEDER Consumption '!J13</f>
        <v>4695</v>
      </c>
      <c r="N13" s="296">
        <f>'FEEDER Consumption '!O13</f>
        <v>11415</v>
      </c>
      <c r="O13" s="296">
        <f>'FEEDER Consumption '!T13</f>
        <v>2200</v>
      </c>
      <c r="P13" s="296">
        <f>'FEEDER Consumption '!Y13</f>
        <v>2966</v>
      </c>
      <c r="Q13" s="296">
        <f>'FEEDER Consumption '!AD13</f>
        <v>1600</v>
      </c>
      <c r="R13" s="296">
        <f>'FEEDER Consumption '!AJ13</f>
        <v>475</v>
      </c>
      <c r="S13" s="296">
        <f>'FEEDER Consumption '!AO13</f>
        <v>700</v>
      </c>
      <c r="T13" s="296">
        <f>'FEEDER Consumption '!AT13</f>
        <v>1900</v>
      </c>
      <c r="U13" s="296">
        <f>'FEEDER Consumption '!AY13</f>
        <v>472</v>
      </c>
      <c r="V13" s="296">
        <f>'FEEDER Consumption '!BI13</f>
        <v>200</v>
      </c>
      <c r="W13" s="296">
        <f>'FEEDER Consumption '!BI13</f>
        <v>200</v>
      </c>
      <c r="X13" s="296">
        <f>'FEEDER Consumption '!BN13</f>
        <v>600</v>
      </c>
      <c r="Y13" s="296">
        <f>'FEEDER Consumption '!BS13</f>
        <v>130</v>
      </c>
      <c r="Z13" s="296">
        <f>'FEEDER Consumption '!BX13</f>
        <v>430</v>
      </c>
      <c r="AA13" s="296">
        <f>'FEEDER Consumption '!CC13</f>
        <v>1200</v>
      </c>
      <c r="AB13" s="296">
        <f>'FEEDER Consumption '!CH13</f>
        <v>440</v>
      </c>
      <c r="AC13" s="296">
        <f>'FEEDER Consumption '!CM13</f>
        <v>1050</v>
      </c>
      <c r="AD13" s="296">
        <f>'FEEDER Consumption '!CR13</f>
        <v>1040</v>
      </c>
      <c r="AE13" s="296">
        <f>'FEEDER Consumption '!DB13</f>
        <v>1200</v>
      </c>
      <c r="AF13" s="296">
        <f>'FEEDER Consumption '!DB13</f>
        <v>1200</v>
      </c>
      <c r="AG13" s="296">
        <f>'FEEDER Consumption '!DG13</f>
        <v>760</v>
      </c>
      <c r="AH13" s="296">
        <f>'FEEDER Consumption '!DL13</f>
        <v>570</v>
      </c>
      <c r="AI13" s="296">
        <f>'FEEDER Consumption '!DQ13</f>
        <v>320</v>
      </c>
      <c r="AJ13" s="296">
        <f>'FEEDER Consumption '!DV13</f>
        <v>100</v>
      </c>
      <c r="AK13" s="296">
        <f>'FEEDER Consumption '!EA13</f>
        <v>920</v>
      </c>
      <c r="AL13" s="296">
        <f>'FEEDER Consumption '!EF13</f>
        <v>290</v>
      </c>
      <c r="AM13" s="296">
        <f>'FEEDER Consumption '!EK13</f>
        <v>360</v>
      </c>
      <c r="AN13" s="297">
        <f>'FEEDER Consumption '!EP13</f>
        <v>560</v>
      </c>
      <c r="AO13" s="298">
        <f>SUM(WATER!C14,WATER!H14,WATER!M14,WATER!R14)</f>
        <v>1157571</v>
      </c>
      <c r="AP13" s="299">
        <f t="shared" si="2"/>
        <v>331</v>
      </c>
      <c r="AQ13" s="299">
        <f>WATER!D14</f>
        <v>182</v>
      </c>
      <c r="AR13" s="299">
        <f>WATER!I14</f>
        <v>0</v>
      </c>
      <c r="AS13" s="299">
        <f>WATER!N14</f>
        <v>149</v>
      </c>
      <c r="AT13" s="299">
        <f>WATER!S14</f>
        <v>0</v>
      </c>
      <c r="AU13" s="299">
        <f>WATER!AD14</f>
        <v>31</v>
      </c>
      <c r="AV13" s="299">
        <f>WATER!AI14</f>
        <v>6</v>
      </c>
      <c r="AW13" s="299">
        <f>WATER!AN14</f>
        <v>10</v>
      </c>
      <c r="AX13" s="299">
        <f>WATER!AS14</f>
        <v>11</v>
      </c>
      <c r="AY13" s="299">
        <f>WATER!AX14</f>
        <v>9</v>
      </c>
      <c r="AZ13" s="299">
        <f>WATER!BC14</f>
        <v>7</v>
      </c>
      <c r="BA13" s="299">
        <f>WATER!BH14</f>
        <v>9</v>
      </c>
      <c r="BB13" s="299">
        <f>WATER!BM14</f>
        <v>7</v>
      </c>
      <c r="BC13" s="299">
        <f>WATER!BR14</f>
        <v>2</v>
      </c>
      <c r="BD13" s="299">
        <f>WATER!BW14</f>
        <v>1</v>
      </c>
      <c r="BE13" s="299">
        <f>WATER!CB14</f>
        <v>5</v>
      </c>
      <c r="BF13" s="299">
        <f>WATER!CG14</f>
        <v>4</v>
      </c>
      <c r="BG13" s="299">
        <f>WATER!CL14</f>
        <v>24</v>
      </c>
      <c r="BH13" s="299">
        <f>WATER!CQ14</f>
        <v>8</v>
      </c>
      <c r="BI13" s="299">
        <f>WATER!CV14</f>
        <v>1</v>
      </c>
      <c r="BJ13" s="299">
        <f>WATER!DA14</f>
        <v>1</v>
      </c>
      <c r="BK13" s="299">
        <f>WATER!DF14</f>
        <v>3</v>
      </c>
      <c r="BL13" s="299">
        <f>WATER!DK14</f>
        <v>2</v>
      </c>
      <c r="BM13" s="299">
        <f>WATER!DP14</f>
        <v>10</v>
      </c>
      <c r="BN13" s="299">
        <f>WATER!DU14</f>
        <v>6</v>
      </c>
      <c r="BO13" s="299">
        <f>WATER!DZ14</f>
        <v>3</v>
      </c>
      <c r="BP13" s="141">
        <f>'Room Nights and Food Covers'!B13</f>
        <v>42.7</v>
      </c>
      <c r="BQ13" s="141">
        <f>'Room Nights and Food Covers'!C13</f>
        <v>338</v>
      </c>
    </row>
    <row r="14" spans="1:69" ht="45" customHeight="1">
      <c r="A14" s="142">
        <f t="shared" si="0"/>
        <v>44936</v>
      </c>
      <c r="B14" s="381"/>
      <c r="C14" s="291">
        <f>SUM('GENSET #1'!C19+'GENSET #2'!C19+'GENSET #3'!C19+'GENSET #4'!C19+'GENSET #5'!C19)</f>
        <v>105790172</v>
      </c>
      <c r="D14" s="296">
        <f t="shared" si="1"/>
        <v>25974</v>
      </c>
      <c r="E14" s="291">
        <f>'Gas-2'!G15</f>
        <v>270</v>
      </c>
      <c r="F14" s="296">
        <f t="shared" si="3"/>
        <v>45</v>
      </c>
      <c r="G14" s="296">
        <f>'GENSET #1'!D19</f>
        <v>7687</v>
      </c>
      <c r="H14" s="296">
        <f>'GENSET #2'!D19</f>
        <v>6741</v>
      </c>
      <c r="I14" s="296">
        <f>'GENSET #3'!D19</f>
        <v>15</v>
      </c>
      <c r="J14" s="296">
        <f>'GENSET #4'!D19</f>
        <v>3666</v>
      </c>
      <c r="K14" s="296">
        <f>'GENSET #5'!D19</f>
        <v>7865</v>
      </c>
      <c r="L14" s="296">
        <f>'FEEDER Consumption '!E14</f>
        <v>3839</v>
      </c>
      <c r="M14" s="296">
        <f>'FEEDER Consumption '!J14</f>
        <v>4138</v>
      </c>
      <c r="N14" s="296">
        <f>'FEEDER Consumption '!O14</f>
        <v>11193</v>
      </c>
      <c r="O14" s="296">
        <f>'FEEDER Consumption '!T14</f>
        <v>2100</v>
      </c>
      <c r="P14" s="296">
        <f>'FEEDER Consumption '!Y14</f>
        <v>2907</v>
      </c>
      <c r="Q14" s="296">
        <f>'FEEDER Consumption '!AD14</f>
        <v>1600</v>
      </c>
      <c r="R14" s="296">
        <f>'FEEDER Consumption '!AJ14</f>
        <v>466</v>
      </c>
      <c r="S14" s="296">
        <f>'FEEDER Consumption '!AO14</f>
        <v>800</v>
      </c>
      <c r="T14" s="296">
        <f>'FEEDER Consumption '!AT14</f>
        <v>1900</v>
      </c>
      <c r="U14" s="296">
        <f>'FEEDER Consumption '!AY14</f>
        <v>430</v>
      </c>
      <c r="V14" s="296">
        <f>'FEEDER Consumption '!BI14</f>
        <v>300</v>
      </c>
      <c r="W14" s="296">
        <f>'FEEDER Consumption '!BI14</f>
        <v>300</v>
      </c>
      <c r="X14" s="296">
        <f>'FEEDER Consumption '!BN14</f>
        <v>500</v>
      </c>
      <c r="Y14" s="296">
        <f>'FEEDER Consumption '!BS14</f>
        <v>130</v>
      </c>
      <c r="Z14" s="296">
        <f>'FEEDER Consumption '!BX14</f>
        <v>370</v>
      </c>
      <c r="AA14" s="296">
        <f>'FEEDER Consumption '!CC14</f>
        <v>1200</v>
      </c>
      <c r="AB14" s="296">
        <f>'FEEDER Consumption '!CH14</f>
        <v>410</v>
      </c>
      <c r="AC14" s="296">
        <f>'FEEDER Consumption '!CM14</f>
        <v>770</v>
      </c>
      <c r="AD14" s="296">
        <f>'FEEDER Consumption '!CR14</f>
        <v>990</v>
      </c>
      <c r="AE14" s="296">
        <f>'FEEDER Consumption '!DB14</f>
        <v>1000</v>
      </c>
      <c r="AF14" s="296">
        <f>'FEEDER Consumption '!DB14</f>
        <v>1000</v>
      </c>
      <c r="AG14" s="296">
        <f>'FEEDER Consumption '!DG14</f>
        <v>790</v>
      </c>
      <c r="AH14" s="296">
        <f>'FEEDER Consumption '!DL14</f>
        <v>580</v>
      </c>
      <c r="AI14" s="296">
        <f>'FEEDER Consumption '!DQ14</f>
        <v>320</v>
      </c>
      <c r="AJ14" s="296">
        <f>'FEEDER Consumption '!DV14</f>
        <v>140</v>
      </c>
      <c r="AK14" s="296">
        <f>'FEEDER Consumption '!EA14</f>
        <v>940</v>
      </c>
      <c r="AL14" s="296">
        <f>'FEEDER Consumption '!EF14</f>
        <v>300</v>
      </c>
      <c r="AM14" s="296">
        <f>'FEEDER Consumption '!EK14</f>
        <v>430</v>
      </c>
      <c r="AN14" s="297">
        <f>'FEEDER Consumption '!EP14</f>
        <v>520</v>
      </c>
      <c r="AO14" s="298">
        <f>SUM(WATER!C15,WATER!H15,WATER!M15,WATER!R15)</f>
        <v>1157877</v>
      </c>
      <c r="AP14" s="299">
        <f t="shared" si="2"/>
        <v>306</v>
      </c>
      <c r="AQ14" s="299">
        <f>WATER!D15</f>
        <v>181</v>
      </c>
      <c r="AR14" s="299">
        <f>WATER!I15</f>
        <v>0</v>
      </c>
      <c r="AS14" s="299">
        <f>WATER!N15</f>
        <v>125</v>
      </c>
      <c r="AT14" s="299">
        <f>WATER!S15</f>
        <v>0</v>
      </c>
      <c r="AU14" s="299">
        <f>WATER!AD15</f>
        <v>26</v>
      </c>
      <c r="AV14" s="299">
        <f>WATER!AI15</f>
        <v>7</v>
      </c>
      <c r="AW14" s="299">
        <f>WATER!AN15</f>
        <v>10</v>
      </c>
      <c r="AX14" s="299">
        <f>WATER!AS15</f>
        <v>13</v>
      </c>
      <c r="AY14" s="299">
        <f>WATER!AX15</f>
        <v>7</v>
      </c>
      <c r="AZ14" s="299">
        <f>WATER!BC15</f>
        <v>6</v>
      </c>
      <c r="BA14" s="299">
        <f>WATER!BH15</f>
        <v>8</v>
      </c>
      <c r="BB14" s="299">
        <f>WATER!BM15</f>
        <v>7</v>
      </c>
      <c r="BC14" s="299">
        <f>WATER!BR15</f>
        <v>2</v>
      </c>
      <c r="BD14" s="299">
        <f>WATER!BW15</f>
        <v>1</v>
      </c>
      <c r="BE14" s="299">
        <f>WATER!CB15</f>
        <v>4</v>
      </c>
      <c r="BF14" s="299">
        <f>WATER!CG15</f>
        <v>1</v>
      </c>
      <c r="BG14" s="299">
        <f>WATER!CL15</f>
        <v>23</v>
      </c>
      <c r="BH14" s="299">
        <f>WATER!CQ15</f>
        <v>8</v>
      </c>
      <c r="BI14" s="299">
        <f>WATER!CV15</f>
        <v>1</v>
      </c>
      <c r="BJ14" s="299">
        <f>WATER!DA15</f>
        <v>0</v>
      </c>
      <c r="BK14" s="299">
        <f>WATER!DF15</f>
        <v>2</v>
      </c>
      <c r="BL14" s="299">
        <f>WATER!DK15</f>
        <v>2</v>
      </c>
      <c r="BM14" s="299">
        <f>WATER!DP15</f>
        <v>20</v>
      </c>
      <c r="BN14" s="299">
        <f>WATER!DU15</f>
        <v>2</v>
      </c>
      <c r="BO14" s="299">
        <f>WATER!DZ15</f>
        <v>1</v>
      </c>
      <c r="BP14" s="141">
        <f>'Room Nights and Food Covers'!B14</f>
        <v>35</v>
      </c>
      <c r="BQ14" s="141">
        <f>'Room Nights and Food Covers'!C14</f>
        <v>285</v>
      </c>
    </row>
    <row r="15" spans="1:69" ht="45" customHeight="1">
      <c r="A15" s="142">
        <f t="shared" si="0"/>
        <v>44937</v>
      </c>
      <c r="B15" s="381"/>
      <c r="C15" s="291">
        <f>SUM('GENSET #1'!C20+'GENSET #2'!C20+'GENSET #3'!C20+'GENSET #4'!C20+'GENSET #5'!C20)</f>
        <v>105815064</v>
      </c>
      <c r="D15" s="296">
        <f t="shared" si="1"/>
        <v>24892</v>
      </c>
      <c r="E15" s="291">
        <f>'Gas-2'!G16</f>
        <v>270</v>
      </c>
      <c r="F15" s="296">
        <f t="shared" si="3"/>
        <v>0</v>
      </c>
      <c r="G15" s="296">
        <f>'GENSET #1'!D20</f>
        <v>7264</v>
      </c>
      <c r="H15" s="296">
        <f>'GENSET #2'!D20</f>
        <v>4793</v>
      </c>
      <c r="I15" s="296">
        <f>'GENSET #3'!D20</f>
        <v>2625</v>
      </c>
      <c r="J15" s="296">
        <f>'GENSET #4'!D20</f>
        <v>4780</v>
      </c>
      <c r="K15" s="296">
        <f>'GENSET #5'!D20</f>
        <v>5430</v>
      </c>
      <c r="L15" s="296">
        <f>'FEEDER Consumption '!E15</f>
        <v>3629</v>
      </c>
      <c r="M15" s="296">
        <f>'FEEDER Consumption '!J15</f>
        <v>3859</v>
      </c>
      <c r="N15" s="296">
        <f>'FEEDER Consumption '!O15</f>
        <v>10932</v>
      </c>
      <c r="O15" s="296">
        <f>'FEEDER Consumption '!T15</f>
        <v>2200</v>
      </c>
      <c r="P15" s="296">
        <f>'FEEDER Consumption '!Y15</f>
        <v>2878</v>
      </c>
      <c r="Q15" s="296">
        <f>'FEEDER Consumption '!AD15</f>
        <v>1500</v>
      </c>
      <c r="R15" s="296">
        <f>'FEEDER Consumption '!AJ15</f>
        <v>425</v>
      </c>
      <c r="S15" s="296">
        <f>'FEEDER Consumption '!AO15</f>
        <v>700</v>
      </c>
      <c r="T15" s="296">
        <f>'FEEDER Consumption '!AT15</f>
        <v>2000</v>
      </c>
      <c r="U15" s="296">
        <f>'FEEDER Consumption '!AY15</f>
        <v>420</v>
      </c>
      <c r="V15" s="296">
        <f>'FEEDER Consumption '!BI15</f>
        <v>300</v>
      </c>
      <c r="W15" s="296">
        <f>'FEEDER Consumption '!BI15</f>
        <v>300</v>
      </c>
      <c r="X15" s="296">
        <f>'FEEDER Consumption '!BN15</f>
        <v>600</v>
      </c>
      <c r="Y15" s="296">
        <f>'FEEDER Consumption '!BS15</f>
        <v>120</v>
      </c>
      <c r="Z15" s="296">
        <f>'FEEDER Consumption '!BX15</f>
        <v>320</v>
      </c>
      <c r="AA15" s="296">
        <f>'FEEDER Consumption '!CC15</f>
        <v>1100</v>
      </c>
      <c r="AB15" s="296">
        <f>'FEEDER Consumption '!CH15</f>
        <v>430</v>
      </c>
      <c r="AC15" s="296">
        <f>'FEEDER Consumption '!CM15</f>
        <v>750</v>
      </c>
      <c r="AD15" s="296">
        <f>'FEEDER Consumption '!CR15</f>
        <v>960</v>
      </c>
      <c r="AE15" s="296">
        <f>'FEEDER Consumption '!DB15</f>
        <v>800</v>
      </c>
      <c r="AF15" s="296">
        <f>'FEEDER Consumption '!DB15</f>
        <v>800</v>
      </c>
      <c r="AG15" s="296">
        <f>'FEEDER Consumption '!DG15</f>
        <v>750</v>
      </c>
      <c r="AH15" s="296">
        <f>'FEEDER Consumption '!DL15</f>
        <v>610</v>
      </c>
      <c r="AI15" s="296">
        <f>'FEEDER Consumption '!DQ15</f>
        <v>290</v>
      </c>
      <c r="AJ15" s="296">
        <f>'FEEDER Consumption '!DV15</f>
        <v>110</v>
      </c>
      <c r="AK15" s="296">
        <f>'FEEDER Consumption '!EA15</f>
        <v>950</v>
      </c>
      <c r="AL15" s="296">
        <f>'FEEDER Consumption '!EF15</f>
        <v>300</v>
      </c>
      <c r="AM15" s="296">
        <f>'FEEDER Consumption '!EK15</f>
        <v>400</v>
      </c>
      <c r="AN15" s="297">
        <f>'FEEDER Consumption '!EP15</f>
        <v>530</v>
      </c>
      <c r="AO15" s="298">
        <f>SUM(WATER!C16,WATER!H16,WATER!M16,WATER!R16)</f>
        <v>1158215</v>
      </c>
      <c r="AP15" s="299">
        <f t="shared" si="2"/>
        <v>338</v>
      </c>
      <c r="AQ15" s="299">
        <f>WATER!D16</f>
        <v>175</v>
      </c>
      <c r="AR15" s="299">
        <f>WATER!I16</f>
        <v>31</v>
      </c>
      <c r="AS15" s="299">
        <f>WATER!N16</f>
        <v>132</v>
      </c>
      <c r="AT15" s="299">
        <f>WATER!S16</f>
        <v>0</v>
      </c>
      <c r="AU15" s="299">
        <f>WATER!AD16</f>
        <v>24</v>
      </c>
      <c r="AV15" s="299">
        <f>WATER!AI16</f>
        <v>6</v>
      </c>
      <c r="AW15" s="299">
        <f>WATER!AN16</f>
        <v>10</v>
      </c>
      <c r="AX15" s="299">
        <f>WATER!AS16</f>
        <v>10</v>
      </c>
      <c r="AY15" s="299">
        <f>WATER!AX16</f>
        <v>9</v>
      </c>
      <c r="AZ15" s="299">
        <f>WATER!BC16</f>
        <v>7</v>
      </c>
      <c r="BA15" s="299">
        <f>WATER!BH16</f>
        <v>8</v>
      </c>
      <c r="BB15" s="299">
        <f>WATER!BM16</f>
        <v>9</v>
      </c>
      <c r="BC15" s="299">
        <f>WATER!BR16</f>
        <v>2</v>
      </c>
      <c r="BD15" s="299">
        <f>WATER!BW16</f>
        <v>1</v>
      </c>
      <c r="BE15" s="299">
        <f>WATER!CB16</f>
        <v>1</v>
      </c>
      <c r="BF15" s="299">
        <f>WATER!CG16</f>
        <v>1</v>
      </c>
      <c r="BG15" s="299">
        <f>WATER!CL16</f>
        <v>25</v>
      </c>
      <c r="BH15" s="299">
        <f>WATER!CQ16</f>
        <v>11</v>
      </c>
      <c r="BI15" s="299">
        <f>WATER!CV16</f>
        <v>1</v>
      </c>
      <c r="BJ15" s="299">
        <f>WATER!DA16</f>
        <v>1</v>
      </c>
      <c r="BK15" s="299">
        <f>WATER!DF16</f>
        <v>4</v>
      </c>
      <c r="BL15" s="299">
        <f>WATER!DK16</f>
        <v>4</v>
      </c>
      <c r="BM15" s="299">
        <f>WATER!DP16</f>
        <v>12</v>
      </c>
      <c r="BN15" s="299">
        <f>WATER!DU16</f>
        <v>1</v>
      </c>
      <c r="BO15" s="299">
        <f>WATER!DZ16</f>
        <v>2</v>
      </c>
      <c r="BP15" s="141">
        <f>'Room Nights and Food Covers'!B15</f>
        <v>40.799999999999997</v>
      </c>
      <c r="BQ15" s="141">
        <f>'Room Nights and Food Covers'!C15</f>
        <v>346</v>
      </c>
    </row>
    <row r="16" spans="1:69" ht="45" customHeight="1">
      <c r="A16" s="142">
        <f t="shared" si="0"/>
        <v>44938</v>
      </c>
      <c r="B16" s="381"/>
      <c r="C16" s="291">
        <f>SUM('GENSET #1'!C21+'GENSET #2'!C21+'GENSET #3'!C21+'GENSET #4'!C21+'GENSET #5'!C21)</f>
        <v>105839355</v>
      </c>
      <c r="D16" s="296">
        <f t="shared" si="1"/>
        <v>24291</v>
      </c>
      <c r="E16" s="291">
        <f>'Gas-2'!G17</f>
        <v>270</v>
      </c>
      <c r="F16" s="296">
        <f t="shared" si="3"/>
        <v>0</v>
      </c>
      <c r="G16" s="296">
        <f>'GENSET #1'!D21</f>
        <v>7040</v>
      </c>
      <c r="H16" s="296">
        <f>'GENSET #2'!D21</f>
        <v>0</v>
      </c>
      <c r="I16" s="296">
        <f>'GENSET #3'!D21</f>
        <v>3473</v>
      </c>
      <c r="J16" s="296">
        <f>'GENSET #4'!D21</f>
        <v>2892</v>
      </c>
      <c r="K16" s="296">
        <f>'GENSET #5'!D21</f>
        <v>10886</v>
      </c>
      <c r="L16" s="296">
        <f>'FEEDER Consumption '!E16</f>
        <v>3458</v>
      </c>
      <c r="M16" s="296">
        <f>'FEEDER Consumption '!J16</f>
        <v>3569</v>
      </c>
      <c r="N16" s="296">
        <f>'FEEDER Consumption '!O16</f>
        <v>11155</v>
      </c>
      <c r="O16" s="296">
        <f>'FEEDER Consumption '!T16</f>
        <v>2100</v>
      </c>
      <c r="P16" s="296">
        <f>'FEEDER Consumption '!Y16</f>
        <v>2820</v>
      </c>
      <c r="Q16" s="296">
        <f>'FEEDER Consumption '!AD16</f>
        <v>1700</v>
      </c>
      <c r="R16" s="296">
        <f>'FEEDER Consumption '!AJ16</f>
        <v>481</v>
      </c>
      <c r="S16" s="296">
        <f>'FEEDER Consumption '!AO16</f>
        <v>600</v>
      </c>
      <c r="T16" s="296">
        <f>'FEEDER Consumption '!AT16</f>
        <v>1900</v>
      </c>
      <c r="U16" s="296">
        <f>'FEEDER Consumption '!AY16</f>
        <v>358</v>
      </c>
      <c r="V16" s="296">
        <f>'FEEDER Consumption '!BI16</f>
        <v>300</v>
      </c>
      <c r="W16" s="296">
        <f>'FEEDER Consumption '!BI16</f>
        <v>300</v>
      </c>
      <c r="X16" s="296">
        <f>'FEEDER Consumption '!BN16</f>
        <v>500</v>
      </c>
      <c r="Y16" s="296">
        <f>'FEEDER Consumption '!BS16</f>
        <v>100</v>
      </c>
      <c r="Z16" s="296">
        <f>'FEEDER Consumption '!BX16</f>
        <v>400</v>
      </c>
      <c r="AA16" s="296">
        <f>'FEEDER Consumption '!CC16</f>
        <v>1200</v>
      </c>
      <c r="AB16" s="296">
        <f>'FEEDER Consumption '!CH16</f>
        <v>480</v>
      </c>
      <c r="AC16" s="296">
        <f>'FEEDER Consumption '!CM16</f>
        <v>670</v>
      </c>
      <c r="AD16" s="296">
        <f>'FEEDER Consumption '!CR16</f>
        <v>770</v>
      </c>
      <c r="AE16" s="296">
        <f>'FEEDER Consumption '!DB16</f>
        <v>700</v>
      </c>
      <c r="AF16" s="296">
        <f>'FEEDER Consumption '!DB16</f>
        <v>700</v>
      </c>
      <c r="AG16" s="296">
        <f>'FEEDER Consumption '!DG16</f>
        <v>610</v>
      </c>
      <c r="AH16" s="296">
        <f>'FEEDER Consumption '!DL16</f>
        <v>520</v>
      </c>
      <c r="AI16" s="296">
        <f>'FEEDER Consumption '!DQ16</f>
        <v>310</v>
      </c>
      <c r="AJ16" s="296">
        <f>'FEEDER Consumption '!DV16</f>
        <v>120</v>
      </c>
      <c r="AK16" s="296">
        <f>'FEEDER Consumption '!EA16</f>
        <v>870</v>
      </c>
      <c r="AL16" s="296">
        <f>'FEEDER Consumption '!EF16</f>
        <v>260</v>
      </c>
      <c r="AM16" s="296">
        <f>'FEEDER Consumption '!EK16</f>
        <v>330</v>
      </c>
      <c r="AN16" s="297">
        <f>'FEEDER Consumption '!EP16</f>
        <v>520</v>
      </c>
      <c r="AO16" s="298">
        <f>SUM(WATER!C17,WATER!H17,WATER!M17,WATER!R17)</f>
        <v>1158525</v>
      </c>
      <c r="AP16" s="299">
        <f t="shared" si="2"/>
        <v>310</v>
      </c>
      <c r="AQ16" s="299">
        <f>WATER!D17</f>
        <v>169</v>
      </c>
      <c r="AR16" s="299">
        <f>WATER!I17</f>
        <v>21</v>
      </c>
      <c r="AS16" s="299">
        <f>WATER!N17</f>
        <v>120</v>
      </c>
      <c r="AT16" s="299">
        <f>WATER!S17</f>
        <v>0</v>
      </c>
      <c r="AU16" s="299">
        <f>WATER!AD17</f>
        <v>28</v>
      </c>
      <c r="AV16" s="299">
        <f>WATER!AI17</f>
        <v>5</v>
      </c>
      <c r="AW16" s="299">
        <f>WATER!AN17</f>
        <v>10</v>
      </c>
      <c r="AX16" s="299">
        <f>WATER!AS17</f>
        <v>11</v>
      </c>
      <c r="AY16" s="299">
        <f>WATER!AX17</f>
        <v>8</v>
      </c>
      <c r="AZ16" s="299">
        <f>WATER!BC17</f>
        <v>7</v>
      </c>
      <c r="BA16" s="299">
        <f>WATER!BH17</f>
        <v>8</v>
      </c>
      <c r="BB16" s="299">
        <f>WATER!BM17</f>
        <v>7</v>
      </c>
      <c r="BC16" s="299">
        <f>WATER!BR17</f>
        <v>2</v>
      </c>
      <c r="BD16" s="299">
        <f>WATER!BW17</f>
        <v>1</v>
      </c>
      <c r="BE16" s="299">
        <f>WATER!CB17</f>
        <v>5</v>
      </c>
      <c r="BF16" s="299">
        <f>WATER!CG17</f>
        <v>3</v>
      </c>
      <c r="BG16" s="299">
        <f>WATER!CL17</f>
        <v>30</v>
      </c>
      <c r="BH16" s="299">
        <f>WATER!CQ17</f>
        <v>10</v>
      </c>
      <c r="BI16" s="299">
        <f>WATER!CV17</f>
        <v>4</v>
      </c>
      <c r="BJ16" s="299">
        <f>WATER!DA17</f>
        <v>0</v>
      </c>
      <c r="BK16" s="299">
        <f>WATER!DF17</f>
        <v>2</v>
      </c>
      <c r="BL16" s="299">
        <f>WATER!DK17</f>
        <v>3</v>
      </c>
      <c r="BM16" s="299">
        <f>WATER!DP17</f>
        <v>13</v>
      </c>
      <c r="BN16" s="299">
        <f>WATER!DU17</f>
        <v>4</v>
      </c>
      <c r="BO16" s="299">
        <f>WATER!DZ17</f>
        <v>8</v>
      </c>
      <c r="BP16" s="141">
        <f>'Room Nights and Food Covers'!B16</f>
        <v>46.6</v>
      </c>
      <c r="BQ16" s="141">
        <f>'Room Nights and Food Covers'!C16</f>
        <v>372</v>
      </c>
    </row>
    <row r="17" spans="1:76" ht="45" customHeight="1">
      <c r="A17" s="142">
        <f t="shared" si="0"/>
        <v>44939</v>
      </c>
      <c r="B17" s="381"/>
      <c r="C17" s="291">
        <f>SUM('GENSET #1'!C22+'GENSET #2'!C22+'GENSET #3'!C22+'GENSET #4'!C22+'GENSET #5'!C22)</f>
        <v>105862772</v>
      </c>
      <c r="D17" s="296">
        <f t="shared" si="1"/>
        <v>23417</v>
      </c>
      <c r="E17" s="291">
        <f>'Gas-2'!G18</f>
        <v>270</v>
      </c>
      <c r="F17" s="296">
        <f t="shared" si="3"/>
        <v>0</v>
      </c>
      <c r="G17" s="296">
        <f>'GENSET #1'!D22</f>
        <v>5002</v>
      </c>
      <c r="H17" s="296">
        <f>'GENSET #2'!D22</f>
        <v>7407</v>
      </c>
      <c r="I17" s="296">
        <f>'GENSET #3'!D22</f>
        <v>2117</v>
      </c>
      <c r="J17" s="296">
        <f>'GENSET #4'!D22</f>
        <v>1604</v>
      </c>
      <c r="K17" s="296">
        <f>'GENSET #5'!D22</f>
        <v>7287</v>
      </c>
      <c r="L17" s="296">
        <f>'FEEDER Consumption '!E17</f>
        <v>3421</v>
      </c>
      <c r="M17" s="296">
        <f>'FEEDER Consumption '!J17</f>
        <v>3381</v>
      </c>
      <c r="N17" s="296">
        <f>'FEEDER Consumption '!O17</f>
        <v>10123</v>
      </c>
      <c r="O17" s="296">
        <f>'FEEDER Consumption '!T17</f>
        <v>2000</v>
      </c>
      <c r="P17" s="296">
        <f>'FEEDER Consumption '!Y17</f>
        <v>2737</v>
      </c>
      <c r="Q17" s="296">
        <f>'FEEDER Consumption '!AD17</f>
        <v>1800</v>
      </c>
      <c r="R17" s="296">
        <f>'FEEDER Consumption '!AJ17</f>
        <v>441</v>
      </c>
      <c r="S17" s="296">
        <f>'FEEDER Consumption '!AO17</f>
        <v>700</v>
      </c>
      <c r="T17" s="296">
        <f>'FEEDER Consumption '!AT17</f>
        <v>1800</v>
      </c>
      <c r="U17" s="296">
        <f>'FEEDER Consumption '!AY17</f>
        <v>346</v>
      </c>
      <c r="V17" s="296">
        <f>'FEEDER Consumption '!BI17</f>
        <v>300</v>
      </c>
      <c r="W17" s="296">
        <f>'FEEDER Consumption '!BI17</f>
        <v>300</v>
      </c>
      <c r="X17" s="296">
        <f>'FEEDER Consumption '!BN17</f>
        <v>500</v>
      </c>
      <c r="Y17" s="296">
        <f>'FEEDER Consumption '!BS17</f>
        <v>80</v>
      </c>
      <c r="Z17" s="296">
        <f>'FEEDER Consumption '!BX17</f>
        <v>310</v>
      </c>
      <c r="AA17" s="296">
        <f>'FEEDER Consumption '!CC17</f>
        <v>1100</v>
      </c>
      <c r="AB17" s="296">
        <f>'FEEDER Consumption '!CH17</f>
        <v>420</v>
      </c>
      <c r="AC17" s="296">
        <f>'FEEDER Consumption '!CM17</f>
        <v>700</v>
      </c>
      <c r="AD17" s="296">
        <f>'FEEDER Consumption '!CR17</f>
        <v>720</v>
      </c>
      <c r="AE17" s="296">
        <f>'FEEDER Consumption '!DB17</f>
        <v>800</v>
      </c>
      <c r="AF17" s="296">
        <f>'FEEDER Consumption '!DB17</f>
        <v>800</v>
      </c>
      <c r="AG17" s="296">
        <f>'FEEDER Consumption '!DG17</f>
        <v>630</v>
      </c>
      <c r="AH17" s="296">
        <f>'FEEDER Consumption '!DL17</f>
        <v>550</v>
      </c>
      <c r="AI17" s="296">
        <f>'FEEDER Consumption '!DQ17</f>
        <v>340</v>
      </c>
      <c r="AJ17" s="296">
        <f>'FEEDER Consumption '!DV17</f>
        <v>120</v>
      </c>
      <c r="AK17" s="296">
        <f>'FEEDER Consumption '!EA17</f>
        <v>950</v>
      </c>
      <c r="AL17" s="296">
        <f>'FEEDER Consumption '!EF17</f>
        <v>290</v>
      </c>
      <c r="AM17" s="296">
        <f>'FEEDER Consumption '!EK17</f>
        <v>390</v>
      </c>
      <c r="AN17" s="297">
        <f>'FEEDER Consumption '!EP17</f>
        <v>500</v>
      </c>
      <c r="AO17" s="298">
        <f>SUM(WATER!C18,WATER!H18,WATER!M18,WATER!R18)</f>
        <v>1158865</v>
      </c>
      <c r="AP17" s="299">
        <f t="shared" si="2"/>
        <v>340</v>
      </c>
      <c r="AQ17" s="299">
        <f>WATER!D18</f>
        <v>149</v>
      </c>
      <c r="AR17" s="299">
        <f>WATER!I18</f>
        <v>32</v>
      </c>
      <c r="AS17" s="299">
        <f>WATER!N18</f>
        <v>159</v>
      </c>
      <c r="AT17" s="299">
        <f>WATER!S18</f>
        <v>0</v>
      </c>
      <c r="AU17" s="299">
        <f>WATER!AD18</f>
        <v>27</v>
      </c>
      <c r="AV17" s="299">
        <f>WATER!AI18</f>
        <v>6</v>
      </c>
      <c r="AW17" s="299">
        <f>WATER!AN18</f>
        <v>8</v>
      </c>
      <c r="AX17" s="299">
        <f>WATER!AS18</f>
        <v>11</v>
      </c>
      <c r="AY17" s="299">
        <f>WATER!AX18</f>
        <v>8</v>
      </c>
      <c r="AZ17" s="299">
        <f>WATER!BC18</f>
        <v>7</v>
      </c>
      <c r="BA17" s="299">
        <f>WATER!BH18</f>
        <v>9</v>
      </c>
      <c r="BB17" s="299">
        <f>WATER!BM18</f>
        <v>9</v>
      </c>
      <c r="BC17" s="299">
        <f>WATER!BR18</f>
        <v>1</v>
      </c>
      <c r="BD17" s="299">
        <f>WATER!BW18</f>
        <v>2</v>
      </c>
      <c r="BE17" s="299">
        <f>WATER!CB18</f>
        <v>2</v>
      </c>
      <c r="BF17" s="299">
        <f>WATER!CG18</f>
        <v>0</v>
      </c>
      <c r="BG17" s="299">
        <f>WATER!CL18</f>
        <v>27</v>
      </c>
      <c r="BH17" s="299">
        <f>WATER!CQ18</f>
        <v>9</v>
      </c>
      <c r="BI17" s="299">
        <f>WATER!CV18</f>
        <v>1</v>
      </c>
      <c r="BJ17" s="299">
        <f>WATER!DA18</f>
        <v>1</v>
      </c>
      <c r="BK17" s="299">
        <f>WATER!DF18</f>
        <v>2</v>
      </c>
      <c r="BL17" s="299">
        <f>WATER!DK18</f>
        <v>6</v>
      </c>
      <c r="BM17" s="299">
        <f>WATER!DP18</f>
        <v>18</v>
      </c>
      <c r="BN17" s="299">
        <f>WATER!DU18</f>
        <v>2</v>
      </c>
      <c r="BO17" s="299">
        <f>WATER!DZ18</f>
        <v>2</v>
      </c>
      <c r="BP17" s="141">
        <f>'Room Nights and Food Covers'!B17</f>
        <v>50.5</v>
      </c>
      <c r="BQ17" s="141">
        <f>'Room Nights and Food Covers'!C17</f>
        <v>381</v>
      </c>
    </row>
    <row r="18" spans="1:76" ht="45" customHeight="1">
      <c r="A18" s="142">
        <f t="shared" si="0"/>
        <v>44940</v>
      </c>
      <c r="B18" s="381"/>
      <c r="C18" s="291">
        <f>SUM('GENSET #1'!C23+'GENSET #2'!C23+'GENSET #3'!C23+'GENSET #4'!C23+'GENSET #5'!C23)</f>
        <v>105886982</v>
      </c>
      <c r="D18" s="296">
        <f t="shared" si="1"/>
        <v>24210</v>
      </c>
      <c r="E18" s="291">
        <f>'Gas-2'!G19</f>
        <v>225</v>
      </c>
      <c r="F18" s="296" t="str">
        <f t="shared" si="3"/>
        <v>0</v>
      </c>
      <c r="G18" s="296">
        <f>'GENSET #1'!D23</f>
        <v>5477</v>
      </c>
      <c r="H18" s="296">
        <f>'GENSET #2'!D23</f>
        <v>9521</v>
      </c>
      <c r="I18" s="296">
        <f>'GENSET #3'!D23</f>
        <v>1904</v>
      </c>
      <c r="J18" s="296">
        <f>'GENSET #4'!D23</f>
        <v>1863</v>
      </c>
      <c r="K18" s="296">
        <f>'GENSET #5'!D23</f>
        <v>5445</v>
      </c>
      <c r="L18" s="296">
        <f>'FEEDER Consumption '!E18</f>
        <v>3701</v>
      </c>
      <c r="M18" s="296">
        <f>'FEEDER Consumption '!J18</f>
        <v>3756</v>
      </c>
      <c r="N18" s="296">
        <f>'FEEDER Consumption '!O18</f>
        <v>10581</v>
      </c>
      <c r="O18" s="296">
        <f>'FEEDER Consumption '!T18</f>
        <v>2200</v>
      </c>
      <c r="P18" s="296">
        <f>'FEEDER Consumption '!Y18</f>
        <v>3120</v>
      </c>
      <c r="Q18" s="296">
        <f>'FEEDER Consumption '!AD18</f>
        <v>1700</v>
      </c>
      <c r="R18" s="296">
        <f>'FEEDER Consumption '!AJ18</f>
        <v>466</v>
      </c>
      <c r="S18" s="296">
        <f>'FEEDER Consumption '!AO18</f>
        <v>700</v>
      </c>
      <c r="T18" s="296">
        <f>'FEEDER Consumption '!AT18</f>
        <v>1800</v>
      </c>
      <c r="U18" s="296">
        <f>'FEEDER Consumption '!AY18</f>
        <v>339</v>
      </c>
      <c r="V18" s="296">
        <f>'FEEDER Consumption '!BI18</f>
        <v>200</v>
      </c>
      <c r="W18" s="296">
        <f>'FEEDER Consumption '!BI18</f>
        <v>200</v>
      </c>
      <c r="X18" s="296">
        <f>'FEEDER Consumption '!BN18</f>
        <v>500</v>
      </c>
      <c r="Y18" s="296">
        <f>'FEEDER Consumption '!BS18</f>
        <v>100</v>
      </c>
      <c r="Z18" s="296">
        <f>'FEEDER Consumption '!BX18</f>
        <v>310</v>
      </c>
      <c r="AA18" s="296">
        <f>'FEEDER Consumption '!CC18</f>
        <v>1200</v>
      </c>
      <c r="AB18" s="296">
        <f>'FEEDER Consumption '!CH18</f>
        <v>400</v>
      </c>
      <c r="AC18" s="296">
        <f>'FEEDER Consumption '!CM18</f>
        <v>830</v>
      </c>
      <c r="AD18" s="296">
        <f>'FEEDER Consumption '!CR18</f>
        <v>910</v>
      </c>
      <c r="AE18" s="296">
        <f>'FEEDER Consumption '!DB18</f>
        <v>900</v>
      </c>
      <c r="AF18" s="296">
        <f>'FEEDER Consumption '!DB18</f>
        <v>900</v>
      </c>
      <c r="AG18" s="296">
        <f>'FEEDER Consumption '!DG18</f>
        <v>660</v>
      </c>
      <c r="AH18" s="296">
        <f>'FEEDER Consumption '!DL18</f>
        <v>620</v>
      </c>
      <c r="AI18" s="296">
        <f>'FEEDER Consumption '!DQ18</f>
        <v>320</v>
      </c>
      <c r="AJ18" s="296">
        <f>'FEEDER Consumption '!DV18</f>
        <v>140</v>
      </c>
      <c r="AK18" s="296">
        <f>'FEEDER Consumption '!EA18</f>
        <v>1020</v>
      </c>
      <c r="AL18" s="296">
        <f>'FEEDER Consumption '!EF18</f>
        <v>240</v>
      </c>
      <c r="AM18" s="296">
        <f>'FEEDER Consumption '!EK18</f>
        <v>310</v>
      </c>
      <c r="AN18" s="297">
        <f>'FEEDER Consumption '!EP18</f>
        <v>540</v>
      </c>
      <c r="AO18" s="298">
        <f>SUM(WATER!C19,WATER!H19,WATER!M19,WATER!R19)</f>
        <v>911676</v>
      </c>
      <c r="AP18" s="299" t="str">
        <f t="shared" si="2"/>
        <v>0</v>
      </c>
      <c r="AQ18" s="299">
        <f>WATER!D19</f>
        <v>145</v>
      </c>
      <c r="AR18" s="299">
        <f>WATER!I19</f>
        <v>0</v>
      </c>
      <c r="AS18" s="299">
        <f>WATER!N19</f>
        <v>162</v>
      </c>
      <c r="AT18" s="299">
        <f>WATER!S19</f>
        <v>0</v>
      </c>
      <c r="AU18" s="299">
        <f>WATER!AD19</f>
        <v>25</v>
      </c>
      <c r="AV18" s="299">
        <f>WATER!AI19</f>
        <v>6</v>
      </c>
      <c r="AW18" s="299">
        <f>WATER!AN19</f>
        <v>10</v>
      </c>
      <c r="AX18" s="299">
        <f>WATER!AS19</f>
        <v>10</v>
      </c>
      <c r="AY18" s="299">
        <f>WATER!AX19</f>
        <v>7</v>
      </c>
      <c r="AZ18" s="299">
        <f>WATER!BC19</f>
        <v>6</v>
      </c>
      <c r="BA18" s="299">
        <f>WATER!BH19</f>
        <v>9</v>
      </c>
      <c r="BB18" s="299">
        <f>WATER!BM19</f>
        <v>7</v>
      </c>
      <c r="BC18" s="299">
        <f>WATER!BR19</f>
        <v>0</v>
      </c>
      <c r="BD18" s="299">
        <f>WATER!BW19</f>
        <v>2</v>
      </c>
      <c r="BE18" s="299">
        <f>WATER!CB19</f>
        <v>2</v>
      </c>
      <c r="BF18" s="299">
        <f>WATER!CG19</f>
        <v>1</v>
      </c>
      <c r="BG18" s="299">
        <f>WATER!CL19</f>
        <v>30</v>
      </c>
      <c r="BH18" s="299">
        <f>WATER!CQ19</f>
        <v>10</v>
      </c>
      <c r="BI18" s="299">
        <f>WATER!CV19</f>
        <v>1</v>
      </c>
      <c r="BJ18" s="299">
        <f>WATER!DA19</f>
        <v>0</v>
      </c>
      <c r="BK18" s="299">
        <f>WATER!DF19</f>
        <v>2</v>
      </c>
      <c r="BL18" s="299">
        <f>WATER!DK19</f>
        <v>3</v>
      </c>
      <c r="BM18" s="299">
        <f>WATER!DP19</f>
        <v>17</v>
      </c>
      <c r="BN18" s="299">
        <f>WATER!DU19</f>
        <v>3</v>
      </c>
      <c r="BO18" s="299">
        <f>WATER!DZ19</f>
        <v>4</v>
      </c>
      <c r="BP18" s="141">
        <f>'Room Nights and Food Covers'!B18</f>
        <v>54.4</v>
      </c>
      <c r="BQ18" s="141">
        <f>'Room Nights and Food Covers'!C18</f>
        <v>405</v>
      </c>
    </row>
    <row r="19" spans="1:76" ht="45" customHeight="1">
      <c r="A19" s="142">
        <f t="shared" si="0"/>
        <v>44941</v>
      </c>
      <c r="B19" s="381"/>
      <c r="C19" s="291">
        <f>SUM('GENSET #1'!C24+'GENSET #2'!C24+'GENSET #3'!C24+'GENSET #4'!C24+'GENSET #5'!C24)</f>
        <v>105911349</v>
      </c>
      <c r="D19" s="296">
        <f t="shared" si="1"/>
        <v>24367</v>
      </c>
      <c r="E19" s="291">
        <f>'Gas-2'!G20</f>
        <v>270</v>
      </c>
      <c r="F19" s="296">
        <f t="shared" si="3"/>
        <v>45</v>
      </c>
      <c r="G19" s="296">
        <f>'GENSET #1'!D24</f>
        <v>7643</v>
      </c>
      <c r="H19" s="296">
        <f>'GENSET #2'!D24</f>
        <v>6215</v>
      </c>
      <c r="I19" s="296">
        <f>'GENSET #3'!D24</f>
        <v>2290</v>
      </c>
      <c r="J19" s="296">
        <f>'GENSET #4'!D24</f>
        <v>2890</v>
      </c>
      <c r="K19" s="296">
        <f>'GENSET #5'!D24</f>
        <v>5329</v>
      </c>
      <c r="L19" s="296">
        <f>'FEEDER Consumption '!E19</f>
        <v>3779</v>
      </c>
      <c r="M19" s="296">
        <f>'FEEDER Consumption '!J19</f>
        <v>3857</v>
      </c>
      <c r="N19" s="296">
        <f>'FEEDER Consumption '!O19</f>
        <v>10796</v>
      </c>
      <c r="O19" s="296">
        <f>'FEEDER Consumption '!T19</f>
        <v>2100</v>
      </c>
      <c r="P19" s="296">
        <f>'FEEDER Consumption '!Y19</f>
        <v>2550</v>
      </c>
      <c r="Q19" s="296">
        <f>'FEEDER Consumption '!AD19</f>
        <v>1700</v>
      </c>
      <c r="R19" s="296">
        <f>'FEEDER Consumption '!AJ19</f>
        <v>474</v>
      </c>
      <c r="S19" s="296">
        <f>'FEEDER Consumption '!AO19</f>
        <v>700</v>
      </c>
      <c r="T19" s="296">
        <f>'FEEDER Consumption '!AT19</f>
        <v>1700</v>
      </c>
      <c r="U19" s="296">
        <f>'FEEDER Consumption '!AY19</f>
        <v>388</v>
      </c>
      <c r="V19" s="296">
        <f>'FEEDER Consumption '!BI19</f>
        <v>300</v>
      </c>
      <c r="W19" s="296">
        <f>'FEEDER Consumption '!BI19</f>
        <v>300</v>
      </c>
      <c r="X19" s="296">
        <f>'FEEDER Consumption '!BN19</f>
        <v>600</v>
      </c>
      <c r="Y19" s="296">
        <f>'FEEDER Consumption '!BS19</f>
        <v>90</v>
      </c>
      <c r="Z19" s="296">
        <f>'FEEDER Consumption '!BX19</f>
        <v>320</v>
      </c>
      <c r="AA19" s="296">
        <f>'FEEDER Consumption '!CC19</f>
        <v>1100</v>
      </c>
      <c r="AB19" s="296">
        <f>'FEEDER Consumption '!CH19</f>
        <v>430</v>
      </c>
      <c r="AC19" s="296">
        <f>'FEEDER Consumption '!CM19</f>
        <v>840</v>
      </c>
      <c r="AD19" s="296">
        <f>'FEEDER Consumption '!CR19</f>
        <v>800</v>
      </c>
      <c r="AE19" s="296">
        <f>'FEEDER Consumption '!DB19</f>
        <v>900</v>
      </c>
      <c r="AF19" s="296">
        <f>'FEEDER Consumption '!DB19</f>
        <v>900</v>
      </c>
      <c r="AG19" s="296">
        <f>'FEEDER Consumption '!DG19</f>
        <v>730</v>
      </c>
      <c r="AH19" s="296">
        <f>'FEEDER Consumption '!DL19</f>
        <v>660</v>
      </c>
      <c r="AI19" s="296">
        <f>'FEEDER Consumption '!DQ19</f>
        <v>310</v>
      </c>
      <c r="AJ19" s="296">
        <f>'FEEDER Consumption '!DV19</f>
        <v>110</v>
      </c>
      <c r="AK19" s="296">
        <f>'FEEDER Consumption '!EA19</f>
        <v>1030</v>
      </c>
      <c r="AL19" s="296">
        <f>'FEEDER Consumption '!EF19</f>
        <v>290</v>
      </c>
      <c r="AM19" s="296">
        <f>'FEEDER Consumption '!EK19</f>
        <v>410</v>
      </c>
      <c r="AN19" s="297">
        <f>'FEEDER Consumption '!EP19</f>
        <v>520</v>
      </c>
      <c r="AO19" s="298">
        <f>SUM(WATER!C20,WATER!H20,WATER!M20,WATER!R20)</f>
        <v>912019</v>
      </c>
      <c r="AP19" s="299">
        <f t="shared" si="2"/>
        <v>343</v>
      </c>
      <c r="AQ19" s="299">
        <f>WATER!D20</f>
        <v>151</v>
      </c>
      <c r="AR19" s="299">
        <f>WATER!I20</f>
        <v>0</v>
      </c>
      <c r="AS19" s="299">
        <f>WATER!N20</f>
        <v>171</v>
      </c>
      <c r="AT19" s="299">
        <f>WATER!S20</f>
        <v>21</v>
      </c>
      <c r="AU19" s="299">
        <f>WATER!AD20</f>
        <v>49</v>
      </c>
      <c r="AV19" s="299">
        <f>WATER!AI20</f>
        <v>6</v>
      </c>
      <c r="AW19" s="299">
        <f>WATER!AN20</f>
        <v>9</v>
      </c>
      <c r="AX19" s="299">
        <f>WATER!AS20</f>
        <v>12</v>
      </c>
      <c r="AY19" s="299">
        <f>WATER!AX20</f>
        <v>9</v>
      </c>
      <c r="AZ19" s="299">
        <f>WATER!BC20</f>
        <v>6</v>
      </c>
      <c r="BA19" s="299">
        <f>WATER!BH20</f>
        <v>9</v>
      </c>
      <c r="BB19" s="299">
        <f>WATER!BM20</f>
        <v>9</v>
      </c>
      <c r="BC19" s="299">
        <f>WATER!BR20</f>
        <v>2</v>
      </c>
      <c r="BD19" s="299">
        <f>WATER!BW20</f>
        <v>0</v>
      </c>
      <c r="BE19" s="299">
        <f>WATER!CB20</f>
        <v>3</v>
      </c>
      <c r="BF19" s="299">
        <f>WATER!CG20</f>
        <v>3</v>
      </c>
      <c r="BG19" s="299">
        <f>WATER!CL20</f>
        <v>31</v>
      </c>
      <c r="BH19" s="299">
        <f>WATER!CQ20</f>
        <v>10</v>
      </c>
      <c r="BI19" s="299">
        <f>WATER!CV20</f>
        <v>0</v>
      </c>
      <c r="BJ19" s="299">
        <f>WATER!DA20</f>
        <v>2</v>
      </c>
      <c r="BK19" s="299">
        <f>WATER!DF20</f>
        <v>6</v>
      </c>
      <c r="BL19" s="299">
        <f>WATER!DK20</f>
        <v>2</v>
      </c>
      <c r="BM19" s="299">
        <f>WATER!DP20</f>
        <v>15</v>
      </c>
      <c r="BN19" s="299">
        <f>WATER!DU20</f>
        <v>2</v>
      </c>
      <c r="BO19" s="299">
        <f>WATER!DZ20</f>
        <v>4</v>
      </c>
      <c r="BP19" s="141">
        <f>'Room Nights and Food Covers'!B19</f>
        <v>50.5</v>
      </c>
      <c r="BQ19" s="141">
        <f>'Room Nights and Food Covers'!C19</f>
        <v>402</v>
      </c>
    </row>
    <row r="20" spans="1:76" ht="45" customHeight="1">
      <c r="A20" s="142">
        <f t="shared" si="0"/>
        <v>44942</v>
      </c>
      <c r="B20" s="381"/>
      <c r="C20" s="291">
        <f>SUM('GENSET #1'!C25+'GENSET #2'!C25+'GENSET #3'!C25+'GENSET #4'!C25+'GENSET #5'!C25)</f>
        <v>105936969</v>
      </c>
      <c r="D20" s="296">
        <f t="shared" si="1"/>
        <v>25620</v>
      </c>
      <c r="E20" s="291">
        <f>'Gas-2'!G21</f>
        <v>270</v>
      </c>
      <c r="F20" s="296">
        <f t="shared" si="3"/>
        <v>0</v>
      </c>
      <c r="G20" s="296">
        <f>'GENSET #1'!D25</f>
        <v>2464</v>
      </c>
      <c r="H20" s="296">
        <f>'GENSET #2'!D25</f>
        <v>7147</v>
      </c>
      <c r="I20" s="296">
        <f>'GENSET #3'!D25</f>
        <v>5943</v>
      </c>
      <c r="J20" s="296">
        <f>'GENSET #4'!D25</f>
        <v>2871</v>
      </c>
      <c r="K20" s="296">
        <f>'GENSET #5'!D25</f>
        <v>7195</v>
      </c>
      <c r="L20" s="296">
        <f>'FEEDER Consumption '!E20</f>
        <v>3844</v>
      </c>
      <c r="M20" s="296">
        <f>'FEEDER Consumption '!J20</f>
        <v>4275</v>
      </c>
      <c r="N20" s="296">
        <f>'FEEDER Consumption '!O20</f>
        <v>11116</v>
      </c>
      <c r="O20" s="296">
        <f>'FEEDER Consumption '!T20</f>
        <v>2100</v>
      </c>
      <c r="P20" s="296">
        <f>'FEEDER Consumption '!Y20</f>
        <v>2850</v>
      </c>
      <c r="Q20" s="296">
        <f>'FEEDER Consumption '!AD20</f>
        <v>1800</v>
      </c>
      <c r="R20" s="296">
        <f>'FEEDER Consumption '!AJ20</f>
        <v>456</v>
      </c>
      <c r="S20" s="296">
        <f>'FEEDER Consumption '!AO20</f>
        <v>600</v>
      </c>
      <c r="T20" s="296">
        <f>'FEEDER Consumption '!AT20</f>
        <v>1800</v>
      </c>
      <c r="U20" s="296">
        <f>'FEEDER Consumption '!AY20</f>
        <v>404</v>
      </c>
      <c r="V20" s="296">
        <f>'FEEDER Consumption '!BI20</f>
        <v>300</v>
      </c>
      <c r="W20" s="296">
        <f>'FEEDER Consumption '!BI20</f>
        <v>300</v>
      </c>
      <c r="X20" s="296">
        <f>'FEEDER Consumption '!BN20</f>
        <v>500</v>
      </c>
      <c r="Y20" s="296">
        <f>'FEEDER Consumption '!BS20</f>
        <v>110</v>
      </c>
      <c r="Z20" s="296">
        <f>'FEEDER Consumption '!BX20</f>
        <v>350</v>
      </c>
      <c r="AA20" s="296">
        <f>'FEEDER Consumption '!CC20</f>
        <v>1200</v>
      </c>
      <c r="AB20" s="296">
        <f>'FEEDER Consumption '!CH20</f>
        <v>460</v>
      </c>
      <c r="AC20" s="296">
        <f>'FEEDER Consumption '!CM20</f>
        <v>920</v>
      </c>
      <c r="AD20" s="296">
        <f>'FEEDER Consumption '!CR20</f>
        <v>870</v>
      </c>
      <c r="AE20" s="296">
        <f>'FEEDER Consumption '!DB20</f>
        <v>1100</v>
      </c>
      <c r="AF20" s="296">
        <f>'FEEDER Consumption '!DB20</f>
        <v>1100</v>
      </c>
      <c r="AG20" s="296">
        <f>'FEEDER Consumption '!DG20</f>
        <v>730</v>
      </c>
      <c r="AH20" s="296">
        <f>'FEEDER Consumption '!DL20</f>
        <v>700</v>
      </c>
      <c r="AI20" s="296">
        <f>'FEEDER Consumption '!DQ20</f>
        <v>320</v>
      </c>
      <c r="AJ20" s="296">
        <f>'FEEDER Consumption '!DV20</f>
        <v>140</v>
      </c>
      <c r="AK20" s="296">
        <f>'FEEDER Consumption '!EA20</f>
        <v>1000</v>
      </c>
      <c r="AL20" s="296">
        <f>'FEEDER Consumption '!EF20</f>
        <v>290</v>
      </c>
      <c r="AM20" s="296">
        <f>'FEEDER Consumption '!EK20</f>
        <v>360</v>
      </c>
      <c r="AN20" s="297">
        <f>'FEEDER Consumption '!EP20</f>
        <v>530</v>
      </c>
      <c r="AO20" s="298">
        <f>SUM(WATER!C21,WATER!H21,WATER!M21,WATER!R21)</f>
        <v>912402</v>
      </c>
      <c r="AP20" s="299">
        <f t="shared" si="2"/>
        <v>383</v>
      </c>
      <c r="AQ20" s="299">
        <f>WATER!D21</f>
        <v>190</v>
      </c>
      <c r="AR20" s="299">
        <f>WATER!I21</f>
        <v>9</v>
      </c>
      <c r="AS20" s="299">
        <f>WATER!N21</f>
        <v>184</v>
      </c>
      <c r="AT20" s="299">
        <f>WATER!S21</f>
        <v>0</v>
      </c>
      <c r="AU20" s="299">
        <f>WATER!AD21</f>
        <v>27</v>
      </c>
      <c r="AV20" s="299">
        <f>WATER!AI21</f>
        <v>7</v>
      </c>
      <c r="AW20" s="299">
        <f>WATER!AN21</f>
        <v>10</v>
      </c>
      <c r="AX20" s="299">
        <f>WATER!AS21</f>
        <v>12</v>
      </c>
      <c r="AY20" s="299">
        <f>WATER!AX21</f>
        <v>9</v>
      </c>
      <c r="AZ20" s="299">
        <f>WATER!BC21</f>
        <v>7</v>
      </c>
      <c r="BA20" s="299">
        <f>WATER!BH21</f>
        <v>9</v>
      </c>
      <c r="BB20" s="299">
        <f>WATER!BM21</f>
        <v>9</v>
      </c>
      <c r="BC20" s="299">
        <f>WATER!BR21</f>
        <v>1</v>
      </c>
      <c r="BD20" s="299">
        <f>WATER!BW21</f>
        <v>0</v>
      </c>
      <c r="BE20" s="299">
        <f>WATER!CB21</f>
        <v>4</v>
      </c>
      <c r="BF20" s="299">
        <f>WATER!CG21</f>
        <v>0</v>
      </c>
      <c r="BG20" s="299">
        <f>WATER!CL21</f>
        <v>32</v>
      </c>
      <c r="BH20" s="299">
        <f>WATER!CQ21</f>
        <v>8</v>
      </c>
      <c r="BI20" s="299">
        <f>WATER!CV21</f>
        <v>1</v>
      </c>
      <c r="BJ20" s="299">
        <f>WATER!DA21</f>
        <v>1</v>
      </c>
      <c r="BK20" s="299">
        <f>WATER!DF21</f>
        <v>3</v>
      </c>
      <c r="BL20" s="299">
        <f>WATER!DK21</f>
        <v>5</v>
      </c>
      <c r="BM20" s="299">
        <f>WATER!DP21</f>
        <v>17</v>
      </c>
      <c r="BN20" s="299">
        <f>WATER!DU21</f>
        <v>4</v>
      </c>
      <c r="BO20" s="299">
        <f>WATER!DZ21</f>
        <v>5</v>
      </c>
      <c r="BP20" s="141">
        <f>'Room Nights and Food Covers'!B20</f>
        <v>41.7</v>
      </c>
      <c r="BQ20" s="141">
        <f>'Room Nights and Food Covers'!C20</f>
        <v>302</v>
      </c>
    </row>
    <row r="21" spans="1:76" ht="45" customHeight="1">
      <c r="A21" s="142">
        <f t="shared" si="0"/>
        <v>44943</v>
      </c>
      <c r="B21" s="381"/>
      <c r="C21" s="291">
        <f>SUM('GENSET #1'!C26+'GENSET #2'!C26+'GENSET #3'!C26+'GENSET #4'!C26+'GENSET #5'!C26)</f>
        <v>105963051</v>
      </c>
      <c r="D21" s="296">
        <f t="shared" si="1"/>
        <v>26082</v>
      </c>
      <c r="E21" s="291">
        <f>'Gas-2'!G22</f>
        <v>270</v>
      </c>
      <c r="F21" s="296">
        <f t="shared" si="3"/>
        <v>0</v>
      </c>
      <c r="G21" s="296">
        <f>'GENSET #1'!D26</f>
        <v>7590</v>
      </c>
      <c r="H21" s="296">
        <f>'GENSET #2'!D26</f>
        <v>4611</v>
      </c>
      <c r="I21" s="296">
        <f>'GENSET #3'!D26</f>
        <v>1053</v>
      </c>
      <c r="J21" s="296">
        <f>'GENSET #4'!D26</f>
        <v>4045</v>
      </c>
      <c r="K21" s="296">
        <f>'GENSET #5'!D26</f>
        <v>8783</v>
      </c>
      <c r="L21" s="296">
        <f>'FEEDER Consumption '!E21</f>
        <v>3973</v>
      </c>
      <c r="M21" s="296">
        <f>'FEEDER Consumption '!J21</f>
        <v>4065</v>
      </c>
      <c r="N21" s="296">
        <f>'FEEDER Consumption '!O21</f>
        <v>11545</v>
      </c>
      <c r="O21" s="296">
        <f>'FEEDER Consumption '!T21</f>
        <v>2200</v>
      </c>
      <c r="P21" s="296">
        <f>'FEEDER Consumption '!Y21</f>
        <v>2877</v>
      </c>
      <c r="Q21" s="296">
        <f>'FEEDER Consumption '!AD21</f>
        <v>1900</v>
      </c>
      <c r="R21" s="296">
        <f>'FEEDER Consumption '!AJ21</f>
        <v>460</v>
      </c>
      <c r="S21" s="296">
        <f>'FEEDER Consumption '!AO21</f>
        <v>700</v>
      </c>
      <c r="T21" s="296">
        <f>'FEEDER Consumption '!AT21</f>
        <v>2000</v>
      </c>
      <c r="U21" s="296">
        <f>'FEEDER Consumption '!AY21</f>
        <v>436</v>
      </c>
      <c r="V21" s="296">
        <f>'FEEDER Consumption '!BI21</f>
        <v>300</v>
      </c>
      <c r="W21" s="296">
        <f>'FEEDER Consumption '!BI21</f>
        <v>300</v>
      </c>
      <c r="X21" s="296">
        <f>'FEEDER Consumption '!BN21</f>
        <v>600</v>
      </c>
      <c r="Y21" s="296">
        <f>'FEEDER Consumption '!BS21</f>
        <v>100</v>
      </c>
      <c r="Z21" s="296">
        <f>'FEEDER Consumption '!BX21</f>
        <v>350</v>
      </c>
      <c r="AA21" s="296">
        <f>'FEEDER Consumption '!CC21</f>
        <v>1200</v>
      </c>
      <c r="AB21" s="296">
        <f>'FEEDER Consumption '!CH21</f>
        <v>470</v>
      </c>
      <c r="AC21" s="296">
        <f>'FEEDER Consumption '!CM21</f>
        <v>980</v>
      </c>
      <c r="AD21" s="296">
        <f>'FEEDER Consumption '!CR21</f>
        <v>850</v>
      </c>
      <c r="AE21" s="296">
        <f>'FEEDER Consumption '!DB21</f>
        <v>1100</v>
      </c>
      <c r="AF21" s="296">
        <f>'FEEDER Consumption '!DB21</f>
        <v>1100</v>
      </c>
      <c r="AG21" s="296">
        <f>'FEEDER Consumption '!DG21</f>
        <v>800</v>
      </c>
      <c r="AH21" s="296">
        <f>'FEEDER Consumption '!DL21</f>
        <v>550</v>
      </c>
      <c r="AI21" s="296">
        <f>'FEEDER Consumption '!DQ21</f>
        <v>340</v>
      </c>
      <c r="AJ21" s="296">
        <f>'FEEDER Consumption '!DV21</f>
        <v>140</v>
      </c>
      <c r="AK21" s="296">
        <f>'FEEDER Consumption '!EA21</f>
        <v>1110</v>
      </c>
      <c r="AL21" s="296">
        <f>'FEEDER Consumption '!EF21</f>
        <v>290</v>
      </c>
      <c r="AM21" s="296">
        <f>'FEEDER Consumption '!EK21</f>
        <v>380</v>
      </c>
      <c r="AN21" s="297">
        <f>'FEEDER Consumption '!EP21</f>
        <v>540</v>
      </c>
      <c r="AO21" s="298">
        <f>SUM(WATER!C22,WATER!H22,WATER!M22,WATER!R22)</f>
        <v>912793</v>
      </c>
      <c r="AP21" s="299">
        <f t="shared" si="2"/>
        <v>391</v>
      </c>
      <c r="AQ21" s="299">
        <f>WATER!D22</f>
        <v>196</v>
      </c>
      <c r="AR21" s="299">
        <f>WATER!I22</f>
        <v>15</v>
      </c>
      <c r="AS21" s="299">
        <f>WATER!N22</f>
        <v>180</v>
      </c>
      <c r="AT21" s="299">
        <f>WATER!S22</f>
        <v>0</v>
      </c>
      <c r="AU21" s="299">
        <f>WATER!AD22</f>
        <v>24</v>
      </c>
      <c r="AV21" s="299">
        <f>WATER!AI22</f>
        <v>6</v>
      </c>
      <c r="AW21" s="299">
        <f>WATER!AN22</f>
        <v>11</v>
      </c>
      <c r="AX21" s="299">
        <f>WATER!AS22</f>
        <v>12</v>
      </c>
      <c r="AY21" s="299">
        <f>WATER!AX22</f>
        <v>10</v>
      </c>
      <c r="AZ21" s="299">
        <f>WATER!BC22</f>
        <v>8</v>
      </c>
      <c r="BA21" s="299">
        <f>WATER!BH22</f>
        <v>8</v>
      </c>
      <c r="BB21" s="299">
        <f>WATER!BM22</f>
        <v>9</v>
      </c>
      <c r="BC21" s="299">
        <f>WATER!BR22</f>
        <v>1</v>
      </c>
      <c r="BD21" s="299">
        <f>WATER!BW22</f>
        <v>0</v>
      </c>
      <c r="BE21" s="299">
        <f>WATER!CB22</f>
        <v>2</v>
      </c>
      <c r="BF21" s="299">
        <f>WATER!CG22</f>
        <v>0</v>
      </c>
      <c r="BG21" s="299">
        <f>WATER!CL22</f>
        <v>34</v>
      </c>
      <c r="BH21" s="299">
        <f>WATER!CQ22</f>
        <v>10</v>
      </c>
      <c r="BI21" s="299">
        <f>WATER!CV22</f>
        <v>0</v>
      </c>
      <c r="BJ21" s="299">
        <f>WATER!DA22</f>
        <v>15</v>
      </c>
      <c r="BK21" s="299">
        <f>WATER!DF22</f>
        <v>4</v>
      </c>
      <c r="BL21" s="299">
        <f>WATER!DK22</f>
        <v>11</v>
      </c>
      <c r="BM21" s="299">
        <f>WATER!DP22</f>
        <v>22</v>
      </c>
      <c r="BN21" s="299">
        <f>WATER!DU22</f>
        <v>2</v>
      </c>
      <c r="BO21" s="299">
        <f>WATER!DZ22</f>
        <v>3</v>
      </c>
      <c r="BP21" s="141">
        <f>'Room Nights and Food Covers'!B21</f>
        <v>71.8</v>
      </c>
      <c r="BQ21" s="141">
        <f>'Room Nights and Food Covers'!C21</f>
        <v>424</v>
      </c>
    </row>
    <row r="22" spans="1:76" ht="45" customHeight="1">
      <c r="A22" s="142">
        <f t="shared" si="0"/>
        <v>44944</v>
      </c>
      <c r="B22" s="381"/>
      <c r="C22" s="291">
        <f>SUM('GENSET #1'!C27+'GENSET #2'!C27+'GENSET #3'!C27+'GENSET #4'!C27+'GENSET #5'!C27)</f>
        <v>105990694</v>
      </c>
      <c r="D22" s="296">
        <f t="shared" si="1"/>
        <v>27643</v>
      </c>
      <c r="E22" s="291">
        <f>'Gas-2'!G23</f>
        <v>225</v>
      </c>
      <c r="F22" s="296" t="str">
        <f t="shared" si="3"/>
        <v>0</v>
      </c>
      <c r="G22" s="296">
        <f>'GENSET #1'!D27</f>
        <v>8016</v>
      </c>
      <c r="H22" s="296">
        <f>'GENSET #2'!D27</f>
        <v>6587</v>
      </c>
      <c r="I22" s="296">
        <f>'GENSET #3'!D27</f>
        <v>0</v>
      </c>
      <c r="J22" s="296">
        <f>'GENSET #4'!D27</f>
        <v>5061</v>
      </c>
      <c r="K22" s="296">
        <f>'GENSET #5'!D27</f>
        <v>7979</v>
      </c>
      <c r="L22" s="296">
        <f>'FEEDER Consumption '!E22</f>
        <v>4121</v>
      </c>
      <c r="M22" s="296">
        <f>'FEEDER Consumption '!J22</f>
        <v>4633</v>
      </c>
      <c r="N22" s="296">
        <f>'FEEDER Consumption '!O22</f>
        <v>12316</v>
      </c>
      <c r="O22" s="296">
        <f>'FEEDER Consumption '!T22</f>
        <v>2300</v>
      </c>
      <c r="P22" s="296">
        <f>'FEEDER Consumption '!Y22</f>
        <v>2892</v>
      </c>
      <c r="Q22" s="296">
        <f>'FEEDER Consumption '!AD22</f>
        <v>2000</v>
      </c>
      <c r="R22" s="296">
        <f>'FEEDER Consumption '!AJ22</f>
        <v>463</v>
      </c>
      <c r="S22" s="296">
        <f>'FEEDER Consumption '!AO22</f>
        <v>700</v>
      </c>
      <c r="T22" s="296">
        <f>'FEEDER Consumption '!AT22</f>
        <v>1800</v>
      </c>
      <c r="U22" s="296">
        <f>'FEEDER Consumption '!AY22</f>
        <v>446</v>
      </c>
      <c r="V22" s="296">
        <f>'FEEDER Consumption '!BI22</f>
        <v>300</v>
      </c>
      <c r="W22" s="296">
        <f>'FEEDER Consumption '!BI22</f>
        <v>300</v>
      </c>
      <c r="X22" s="296">
        <f>'FEEDER Consumption '!BN22</f>
        <v>600</v>
      </c>
      <c r="Y22" s="296">
        <f>'FEEDER Consumption '!BS22</f>
        <v>110</v>
      </c>
      <c r="Z22" s="296">
        <f>'FEEDER Consumption '!BX22</f>
        <v>350</v>
      </c>
      <c r="AA22" s="296">
        <f>'FEEDER Consumption '!CC22</f>
        <v>1200</v>
      </c>
      <c r="AB22" s="296">
        <f>'FEEDER Consumption '!CH22</f>
        <v>420</v>
      </c>
      <c r="AC22" s="296">
        <f>'FEEDER Consumption '!CM22</f>
        <v>1020</v>
      </c>
      <c r="AD22" s="296">
        <f>'FEEDER Consumption '!CR22</f>
        <v>150</v>
      </c>
      <c r="AE22" s="296">
        <f>'FEEDER Consumption '!DB22</f>
        <v>1100</v>
      </c>
      <c r="AF22" s="296">
        <f>'FEEDER Consumption '!DB22</f>
        <v>1100</v>
      </c>
      <c r="AG22" s="296">
        <f>'FEEDER Consumption '!DG22</f>
        <v>690</v>
      </c>
      <c r="AH22" s="296">
        <f>'FEEDER Consumption '!DL22</f>
        <v>470</v>
      </c>
      <c r="AI22" s="296">
        <f>'FEEDER Consumption '!DQ22</f>
        <v>140</v>
      </c>
      <c r="AJ22" s="296">
        <f>'FEEDER Consumption '!DV22</f>
        <v>140</v>
      </c>
      <c r="AK22" s="296">
        <f>'FEEDER Consumption '!EA22</f>
        <v>820</v>
      </c>
      <c r="AL22" s="296">
        <f>'FEEDER Consumption '!EF22</f>
        <v>210</v>
      </c>
      <c r="AM22" s="296">
        <f>'FEEDER Consumption '!EK22</f>
        <v>290</v>
      </c>
      <c r="AN22" s="297">
        <f>'FEEDER Consumption '!EP22</f>
        <v>450</v>
      </c>
      <c r="AO22" s="298">
        <f>SUM(WATER!C23,WATER!H23,WATER!M23,WATER!R23)</f>
        <v>913193</v>
      </c>
      <c r="AP22" s="299">
        <f t="shared" si="2"/>
        <v>400</v>
      </c>
      <c r="AQ22" s="299">
        <f>WATER!D23</f>
        <v>180</v>
      </c>
      <c r="AR22" s="299">
        <f>WATER!I23</f>
        <v>39</v>
      </c>
      <c r="AS22" s="299">
        <f>WATER!N23</f>
        <v>181</v>
      </c>
      <c r="AT22" s="299">
        <f>WATER!S23</f>
        <v>0</v>
      </c>
      <c r="AU22" s="299">
        <f>WATER!AD23</f>
        <v>24</v>
      </c>
      <c r="AV22" s="299">
        <f>WATER!AI23</f>
        <v>7</v>
      </c>
      <c r="AW22" s="299">
        <f>WATER!AN23</f>
        <v>9</v>
      </c>
      <c r="AX22" s="299">
        <f>WATER!AS23</f>
        <v>12</v>
      </c>
      <c r="AY22" s="299">
        <f>WATER!AX23</f>
        <v>9</v>
      </c>
      <c r="AZ22" s="299">
        <f>WATER!BC23</f>
        <v>8</v>
      </c>
      <c r="BA22" s="299">
        <f>WATER!BH23</f>
        <v>11</v>
      </c>
      <c r="BB22" s="299">
        <f>WATER!BM23</f>
        <v>9</v>
      </c>
      <c r="BC22" s="299">
        <f>WATER!BR23</f>
        <v>2</v>
      </c>
      <c r="BD22" s="299">
        <f>WATER!BW23</f>
        <v>1</v>
      </c>
      <c r="BE22" s="299">
        <f>WATER!CB23</f>
        <v>5</v>
      </c>
      <c r="BF22" s="299">
        <f>WATER!CG23</f>
        <v>13</v>
      </c>
      <c r="BG22" s="299">
        <f>WATER!CL23</f>
        <v>36</v>
      </c>
      <c r="BH22" s="299">
        <f>WATER!CQ23</f>
        <v>10</v>
      </c>
      <c r="BI22" s="299">
        <f>WATER!CV23</f>
        <v>1</v>
      </c>
      <c r="BJ22" s="299">
        <f>WATER!DA23</f>
        <v>3</v>
      </c>
      <c r="BK22" s="299">
        <f>WATER!DF23</f>
        <v>4</v>
      </c>
      <c r="BL22" s="299">
        <f>WATER!DK23</f>
        <v>8</v>
      </c>
      <c r="BM22" s="299">
        <f>WATER!DP23</f>
        <v>18</v>
      </c>
      <c r="BN22" s="299">
        <f>WATER!DU23</f>
        <v>3</v>
      </c>
      <c r="BO22" s="299">
        <f>WATER!DZ23</f>
        <v>6</v>
      </c>
      <c r="BP22" s="141">
        <f>'Room Nights and Food Covers'!B22</f>
        <v>68.900000000000006</v>
      </c>
      <c r="BQ22" s="141">
        <f>'Room Nights and Food Covers'!C22</f>
        <v>469</v>
      </c>
    </row>
    <row r="23" spans="1:76" ht="45" customHeight="1">
      <c r="A23" s="142">
        <f t="shared" si="0"/>
        <v>44945</v>
      </c>
      <c r="B23" s="381"/>
      <c r="C23" s="291">
        <f>SUM('GENSET #1'!C28+'GENSET #2'!C28+'GENSET #3'!C28+'GENSET #4'!C28+'GENSET #5'!C28)</f>
        <v>106019016</v>
      </c>
      <c r="D23" s="296">
        <f>IF((C23-C22&lt;0), "0",C23-C22)</f>
        <v>28322</v>
      </c>
      <c r="E23" s="291">
        <f>'Gas-2'!G24</f>
        <v>315</v>
      </c>
      <c r="F23" s="296">
        <f t="shared" si="3"/>
        <v>90</v>
      </c>
      <c r="G23" s="296">
        <f>'GENSET #1'!D28</f>
        <v>8225</v>
      </c>
      <c r="H23" s="296">
        <f>'GENSET #2'!D28</f>
        <v>6537</v>
      </c>
      <c r="I23" s="296">
        <f>'GENSET #3'!D28</f>
        <v>0</v>
      </c>
      <c r="J23" s="296">
        <f>'GENSET #4'!D28</f>
        <v>5341</v>
      </c>
      <c r="K23" s="296">
        <f>'GENSET #5'!D28</f>
        <v>8219</v>
      </c>
      <c r="L23" s="296">
        <f>'FEEDER Consumption '!E23</f>
        <v>4360</v>
      </c>
      <c r="M23" s="296">
        <f>'FEEDER Consumption '!J23</f>
        <v>5137</v>
      </c>
      <c r="N23" s="296">
        <f>'FEEDER Consumption '!O23</f>
        <v>11971</v>
      </c>
      <c r="O23" s="296">
        <f>'FEEDER Consumption '!T23</f>
        <v>2300</v>
      </c>
      <c r="P23" s="296">
        <f>'FEEDER Consumption '!Y23</f>
        <v>2915</v>
      </c>
      <c r="Q23" s="296">
        <f>'FEEDER Consumption '!AD23</f>
        <v>1800</v>
      </c>
      <c r="R23" s="296">
        <f>'FEEDER Consumption '!AJ23</f>
        <v>471</v>
      </c>
      <c r="S23" s="296">
        <f>'FEEDER Consumption '!AO23</f>
        <v>700</v>
      </c>
      <c r="T23" s="296">
        <f>'FEEDER Consumption '!AT23</f>
        <v>2000</v>
      </c>
      <c r="U23" s="296">
        <f>'FEEDER Consumption '!AY23</f>
        <v>480</v>
      </c>
      <c r="V23" s="296">
        <f>'FEEDER Consumption '!BI23</f>
        <v>300</v>
      </c>
      <c r="W23" s="296">
        <f>'FEEDER Consumption '!BI23</f>
        <v>300</v>
      </c>
      <c r="X23" s="296">
        <f>'FEEDER Consumption '!BN23</f>
        <v>600</v>
      </c>
      <c r="Y23" s="296">
        <f>'FEEDER Consumption '!BS23</f>
        <v>130</v>
      </c>
      <c r="Z23" s="296">
        <f>'FEEDER Consumption '!BX23</f>
        <v>380</v>
      </c>
      <c r="AA23" s="296">
        <f>'FEEDER Consumption '!CC23</f>
        <v>1200</v>
      </c>
      <c r="AB23" s="296">
        <f>'FEEDER Consumption '!CH23</f>
        <v>420</v>
      </c>
      <c r="AC23" s="296">
        <f>'FEEDER Consumption '!CM23</f>
        <v>1240</v>
      </c>
      <c r="AD23" s="296">
        <f>'FEEDER Consumption '!CR23</f>
        <v>1860</v>
      </c>
      <c r="AE23" s="296">
        <f>'FEEDER Consumption '!DB23</f>
        <v>1400</v>
      </c>
      <c r="AF23" s="296">
        <f>'FEEDER Consumption '!DB23</f>
        <v>1400</v>
      </c>
      <c r="AG23" s="296">
        <f>'FEEDER Consumption '!DG23</f>
        <v>960</v>
      </c>
      <c r="AH23" s="296">
        <f>'FEEDER Consumption '!DL23</f>
        <v>670</v>
      </c>
      <c r="AI23" s="296">
        <f>'FEEDER Consumption '!DQ23</f>
        <v>520</v>
      </c>
      <c r="AJ23" s="296">
        <f>'FEEDER Consumption '!DV23</f>
        <v>210</v>
      </c>
      <c r="AK23" s="296">
        <f>'FEEDER Consumption '!EA23</f>
        <v>1170</v>
      </c>
      <c r="AL23" s="296">
        <f>'FEEDER Consumption '!EF23</f>
        <v>320</v>
      </c>
      <c r="AM23" s="296">
        <f>'FEEDER Consumption '!EK23</f>
        <v>590</v>
      </c>
      <c r="AN23" s="297">
        <f>'FEEDER Consumption '!EP23</f>
        <v>570</v>
      </c>
      <c r="AO23" s="298">
        <f>SUM(WATER!C24,WATER!H24,WATER!M24,WATER!R24)</f>
        <v>913570</v>
      </c>
      <c r="AP23" s="299">
        <f t="shared" si="2"/>
        <v>377</v>
      </c>
      <c r="AQ23" s="299">
        <f>WATER!D24</f>
        <v>167</v>
      </c>
      <c r="AR23" s="299">
        <f>WATER!I24</f>
        <v>7</v>
      </c>
      <c r="AS23" s="299">
        <f>WATER!N24</f>
        <v>193</v>
      </c>
      <c r="AT23" s="299">
        <f>WATER!S24</f>
        <v>10</v>
      </c>
      <c r="AU23" s="299">
        <f>WATER!AD24</f>
        <v>31</v>
      </c>
      <c r="AV23" s="299">
        <f>WATER!AI24</f>
        <v>6</v>
      </c>
      <c r="AW23" s="299">
        <f>WATER!AN24</f>
        <v>10</v>
      </c>
      <c r="AX23" s="299">
        <f>WATER!AS24</f>
        <v>12</v>
      </c>
      <c r="AY23" s="299">
        <f>WATER!AX24</f>
        <v>9</v>
      </c>
      <c r="AZ23" s="299">
        <f>WATER!BC24</f>
        <v>7</v>
      </c>
      <c r="BA23" s="299">
        <f>WATER!BH24</f>
        <v>10</v>
      </c>
      <c r="BB23" s="299">
        <f>WATER!BM24</f>
        <v>9</v>
      </c>
      <c r="BC23" s="299">
        <f>WATER!BR24</f>
        <v>2</v>
      </c>
      <c r="BD23" s="299">
        <f>WATER!BW24</f>
        <v>0</v>
      </c>
      <c r="BE23" s="299">
        <f>WATER!CB24</f>
        <v>12</v>
      </c>
      <c r="BF23" s="299">
        <f>WATER!CG24</f>
        <v>2</v>
      </c>
      <c r="BG23" s="299">
        <f>WATER!CL24</f>
        <v>31</v>
      </c>
      <c r="BH23" s="299">
        <f>WATER!CQ24</f>
        <v>9</v>
      </c>
      <c r="BI23" s="299">
        <f>WATER!CV24</f>
        <v>1</v>
      </c>
      <c r="BJ23" s="299">
        <f>WATER!DA24</f>
        <v>6</v>
      </c>
      <c r="BK23" s="299">
        <f>WATER!DF24</f>
        <v>2</v>
      </c>
      <c r="BL23" s="299">
        <f>WATER!DK24</f>
        <v>10</v>
      </c>
      <c r="BM23" s="299">
        <f>WATER!DP24</f>
        <v>19</v>
      </c>
      <c r="BN23" s="299">
        <f>WATER!DU24</f>
        <v>3</v>
      </c>
      <c r="BO23" s="299">
        <f>WATER!DZ24</f>
        <v>2</v>
      </c>
      <c r="BP23" s="141">
        <f>'Room Nights and Food Covers'!B23</f>
        <v>77.7</v>
      </c>
      <c r="BQ23" s="141">
        <f>'Room Nights and Food Covers'!C23</f>
        <v>566</v>
      </c>
    </row>
    <row r="24" spans="1:76" ht="45" customHeight="1">
      <c r="A24" s="142">
        <f t="shared" si="0"/>
        <v>44946</v>
      </c>
      <c r="B24" s="381"/>
      <c r="C24" s="291">
        <f>SUM('GENSET #1'!C29+'GENSET #2'!C29+'GENSET #3'!C29+'GENSET #4'!C29+'GENSET #5'!C29)</f>
        <v>106046015</v>
      </c>
      <c r="D24" s="296">
        <f t="shared" ref="D24:D34" si="4">IF((C24-C23&lt;0), "0",C24-C23)</f>
        <v>26999</v>
      </c>
      <c r="E24" s="291">
        <f>'Gas-2'!G25</f>
        <v>225</v>
      </c>
      <c r="F24" s="296" t="str">
        <f t="shared" si="3"/>
        <v>0</v>
      </c>
      <c r="G24" s="296">
        <f>'GENSET #1'!D29</f>
        <v>5486</v>
      </c>
      <c r="H24" s="296">
        <f>'GENSET #2'!D29</f>
        <v>10374</v>
      </c>
      <c r="I24" s="296">
        <f>'GENSET #3'!D29</f>
        <v>0</v>
      </c>
      <c r="J24" s="296">
        <f>'GENSET #4'!D29</f>
        <v>2265</v>
      </c>
      <c r="K24" s="296">
        <f>'GENSET #5'!D29</f>
        <v>8874</v>
      </c>
      <c r="L24" s="296">
        <f>'FEEDER Consumption '!E24</f>
        <v>3985</v>
      </c>
      <c r="M24" s="296">
        <f>'FEEDER Consumption '!J24</f>
        <v>4509</v>
      </c>
      <c r="N24" s="296">
        <f>'FEEDER Consumption '!O24</f>
        <v>11905</v>
      </c>
      <c r="O24" s="296">
        <f>'FEEDER Consumption '!T24</f>
        <v>2300</v>
      </c>
      <c r="P24" s="296">
        <f>'FEEDER Consumption '!Y24</f>
        <v>2888</v>
      </c>
      <c r="Q24" s="296">
        <f>'FEEDER Consumption '!AD24</f>
        <v>2000</v>
      </c>
      <c r="R24" s="296">
        <f>'FEEDER Consumption '!AJ24</f>
        <v>460</v>
      </c>
      <c r="S24" s="296">
        <f>'FEEDER Consumption '!AO24</f>
        <v>700</v>
      </c>
      <c r="T24" s="296">
        <f>'FEEDER Consumption '!AT24</f>
        <v>2000</v>
      </c>
      <c r="U24" s="296">
        <f>'FEEDER Consumption '!AY24</f>
        <v>442</v>
      </c>
      <c r="V24" s="296">
        <f>'FEEDER Consumption '!BI24</f>
        <v>300</v>
      </c>
      <c r="W24" s="296">
        <f>'FEEDER Consumption '!BI24</f>
        <v>300</v>
      </c>
      <c r="X24" s="296">
        <f>'FEEDER Consumption '!BN24</f>
        <v>600</v>
      </c>
      <c r="Y24" s="296">
        <f>'FEEDER Consumption '!BS24</f>
        <v>130</v>
      </c>
      <c r="Z24" s="296">
        <f>'FEEDER Consumption '!BX24</f>
        <v>340</v>
      </c>
      <c r="AA24" s="296">
        <f>'FEEDER Consumption '!CC24</f>
        <v>1200</v>
      </c>
      <c r="AB24" s="296">
        <f>'FEEDER Consumption '!CH24</f>
        <v>500</v>
      </c>
      <c r="AC24" s="296">
        <f>'FEEDER Consumption '!CM24</f>
        <v>1080</v>
      </c>
      <c r="AD24" s="296">
        <f>'FEEDER Consumption '!CR24</f>
        <v>830</v>
      </c>
      <c r="AE24" s="296">
        <f>'FEEDER Consumption '!DB24</f>
        <v>1100</v>
      </c>
      <c r="AF24" s="296">
        <f>'FEEDER Consumption '!DB24</f>
        <v>1100</v>
      </c>
      <c r="AG24" s="296">
        <f>'FEEDER Consumption '!DG24</f>
        <v>860</v>
      </c>
      <c r="AH24" s="296">
        <f>'FEEDER Consumption '!DL24</f>
        <v>640</v>
      </c>
      <c r="AI24" s="296">
        <f>'FEEDER Consumption '!DQ24</f>
        <v>320</v>
      </c>
      <c r="AJ24" s="296">
        <f>'FEEDER Consumption '!DV24</f>
        <v>140</v>
      </c>
      <c r="AK24" s="296">
        <f>'FEEDER Consumption '!EA24</f>
        <v>1000</v>
      </c>
      <c r="AL24" s="296">
        <f>'FEEDER Consumption '!EF24</f>
        <v>290</v>
      </c>
      <c r="AM24" s="296">
        <f>'FEEDER Consumption '!EK24</f>
        <v>510</v>
      </c>
      <c r="AN24" s="297">
        <f>'FEEDER Consumption '!EP24</f>
        <v>540</v>
      </c>
      <c r="AO24" s="298">
        <f>SUM(WATER!C25,WATER!H25,WATER!M25,WATER!R25)</f>
        <v>913950</v>
      </c>
      <c r="AP24" s="299">
        <f t="shared" si="2"/>
        <v>380</v>
      </c>
      <c r="AQ24" s="299">
        <f>WATER!D25</f>
        <v>185</v>
      </c>
      <c r="AR24" s="299">
        <f>WATER!I25</f>
        <v>0</v>
      </c>
      <c r="AS24" s="299">
        <f>WATER!N25</f>
        <v>169</v>
      </c>
      <c r="AT24" s="299">
        <f>WATER!S25</f>
        <v>26</v>
      </c>
      <c r="AU24" s="299">
        <f>WATER!AD25</f>
        <v>25</v>
      </c>
      <c r="AV24" s="299">
        <f>WATER!AI25</f>
        <v>7</v>
      </c>
      <c r="AW24" s="299">
        <f>WATER!AN25</f>
        <v>10</v>
      </c>
      <c r="AX24" s="299">
        <f>WATER!AS25</f>
        <v>13</v>
      </c>
      <c r="AY24" s="299">
        <f>WATER!AX25</f>
        <v>10</v>
      </c>
      <c r="AZ24" s="299">
        <f>WATER!BC25</f>
        <v>7</v>
      </c>
      <c r="BA24" s="299">
        <f>WATER!BH25</f>
        <v>10</v>
      </c>
      <c r="BB24" s="299">
        <f>WATER!BM25</f>
        <v>10</v>
      </c>
      <c r="BC24" s="299">
        <f>WATER!BR25</f>
        <v>1</v>
      </c>
      <c r="BD24" s="299">
        <f>WATER!BW25</f>
        <v>0</v>
      </c>
      <c r="BE24" s="299">
        <f>WATER!CB25</f>
        <v>2</v>
      </c>
      <c r="BF24" s="299">
        <f>WATER!CG25</f>
        <v>1</v>
      </c>
      <c r="BG24" s="299">
        <f>WATER!CL25</f>
        <v>28</v>
      </c>
      <c r="BH24" s="299">
        <f>WATER!CQ25</f>
        <v>10</v>
      </c>
      <c r="BI24" s="299">
        <f>WATER!CV25</f>
        <v>1</v>
      </c>
      <c r="BJ24" s="299">
        <f>WATER!DA25</f>
        <v>10</v>
      </c>
      <c r="BK24" s="299">
        <f>WATER!DF25</f>
        <v>3</v>
      </c>
      <c r="BL24" s="299">
        <f>WATER!DK25</f>
        <v>7</v>
      </c>
      <c r="BM24" s="299">
        <f>WATER!DP25</f>
        <v>17</v>
      </c>
      <c r="BN24" s="299">
        <f>WATER!DU25</f>
        <v>1</v>
      </c>
      <c r="BO24" s="299">
        <f>WATER!DZ25</f>
        <v>4</v>
      </c>
      <c r="BP24" s="141">
        <f>'Room Nights and Food Covers'!B24</f>
        <v>56.3</v>
      </c>
      <c r="BQ24" s="141">
        <f>'Room Nights and Food Covers'!C24</f>
        <v>348</v>
      </c>
      <c r="BX24" s="262"/>
    </row>
    <row r="25" spans="1:76" ht="45" customHeight="1">
      <c r="A25" s="142">
        <f t="shared" si="0"/>
        <v>44947</v>
      </c>
      <c r="B25" s="381"/>
      <c r="C25" s="291">
        <f>SUM('GENSET #1'!C30+'GENSET #2'!C30+'GENSET #3'!C30+'GENSET #4'!C30+'GENSET #5'!C30)</f>
        <v>106070030</v>
      </c>
      <c r="D25" s="296">
        <f t="shared" si="4"/>
        <v>24015</v>
      </c>
      <c r="E25" s="291">
        <f>'Gas-2'!G26</f>
        <v>315</v>
      </c>
      <c r="F25" s="296">
        <f t="shared" si="3"/>
        <v>90</v>
      </c>
      <c r="G25" s="296">
        <f>'GENSET #1'!D30</f>
        <v>7745</v>
      </c>
      <c r="H25" s="296">
        <f>'GENSET #2'!D30</f>
        <v>5550</v>
      </c>
      <c r="I25" s="296">
        <f>'GENSET #3'!D30</f>
        <v>0</v>
      </c>
      <c r="J25" s="296">
        <f>'GENSET #4'!D30</f>
        <v>3173</v>
      </c>
      <c r="K25" s="296">
        <f>'GENSET #5'!D30</f>
        <v>7547</v>
      </c>
      <c r="L25" s="296">
        <f>'FEEDER Consumption '!E25</f>
        <v>3632</v>
      </c>
      <c r="M25" s="296">
        <f>'FEEDER Consumption '!J25</f>
        <v>3708</v>
      </c>
      <c r="N25" s="296">
        <f>'FEEDER Consumption '!O25</f>
        <v>10377</v>
      </c>
      <c r="O25" s="296">
        <f>'FEEDER Consumption '!T25</f>
        <v>2100</v>
      </c>
      <c r="P25" s="296">
        <f>'FEEDER Consumption '!Y25</f>
        <v>2625</v>
      </c>
      <c r="Q25" s="296">
        <f>'FEEDER Consumption '!AD25</f>
        <v>1800</v>
      </c>
      <c r="R25" s="296">
        <f>'FEEDER Consumption '!AJ25</f>
        <v>441</v>
      </c>
      <c r="S25" s="296">
        <f>'FEEDER Consumption '!AO25</f>
        <v>700</v>
      </c>
      <c r="T25" s="296">
        <f>'FEEDER Consumption '!AT25</f>
        <v>1700</v>
      </c>
      <c r="U25" s="296">
        <f>'FEEDER Consumption '!AY25</f>
        <v>353</v>
      </c>
      <c r="V25" s="296">
        <f>'FEEDER Consumption '!BI25</f>
        <v>300</v>
      </c>
      <c r="W25" s="296">
        <f>'FEEDER Consumption '!BI25</f>
        <v>300</v>
      </c>
      <c r="X25" s="296">
        <f>'FEEDER Consumption '!BN25</f>
        <v>500</v>
      </c>
      <c r="Y25" s="296">
        <f>'FEEDER Consumption '!BS25</f>
        <v>110</v>
      </c>
      <c r="Z25" s="296">
        <f>'FEEDER Consumption '!BX25</f>
        <v>290</v>
      </c>
      <c r="AA25" s="296">
        <f>'FEEDER Consumption '!CC25</f>
        <v>1200</v>
      </c>
      <c r="AB25" s="296">
        <f>'FEEDER Consumption '!CH25</f>
        <v>430</v>
      </c>
      <c r="AC25" s="296">
        <f>'FEEDER Consumption '!CM25</f>
        <v>880</v>
      </c>
      <c r="AD25" s="296">
        <f>'FEEDER Consumption '!CR25</f>
        <v>590</v>
      </c>
      <c r="AE25" s="296">
        <f>'FEEDER Consumption '!DB25</f>
        <v>1000</v>
      </c>
      <c r="AF25" s="296">
        <f>'FEEDER Consumption '!DB25</f>
        <v>1000</v>
      </c>
      <c r="AG25" s="296">
        <f>'FEEDER Consumption '!DG25</f>
        <v>860</v>
      </c>
      <c r="AH25" s="296">
        <f>'FEEDER Consumption '!DL25</f>
        <v>590</v>
      </c>
      <c r="AI25" s="296">
        <f>'FEEDER Consumption '!DQ25</f>
        <v>320</v>
      </c>
      <c r="AJ25" s="296">
        <f>'FEEDER Consumption '!DV25</f>
        <v>130</v>
      </c>
      <c r="AK25" s="296">
        <f>'FEEDER Consumption '!EA25</f>
        <v>1030</v>
      </c>
      <c r="AL25" s="296">
        <f>'FEEDER Consumption '!EF25</f>
        <v>280</v>
      </c>
      <c r="AM25" s="296">
        <f>'FEEDER Consumption '!EK25</f>
        <v>370</v>
      </c>
      <c r="AN25" s="297">
        <f>'FEEDER Consumption '!EP25</f>
        <v>520</v>
      </c>
      <c r="AO25" s="298">
        <f>SUM(WATER!C26,WATER!H26,WATER!M26,WATER!R26)</f>
        <v>914349</v>
      </c>
      <c r="AP25" s="299">
        <f t="shared" si="2"/>
        <v>399</v>
      </c>
      <c r="AQ25" s="299">
        <f>WATER!D26</f>
        <v>192</v>
      </c>
      <c r="AR25" s="299">
        <f>WATER!I26</f>
        <v>22</v>
      </c>
      <c r="AS25" s="299">
        <f>WATER!N26</f>
        <v>185</v>
      </c>
      <c r="AT25" s="299">
        <f>WATER!S26</f>
        <v>0</v>
      </c>
      <c r="AU25" s="299">
        <f>WATER!AD26</f>
        <v>27</v>
      </c>
      <c r="AV25" s="299">
        <f>WATER!AI26</f>
        <v>6</v>
      </c>
      <c r="AW25" s="299">
        <f>WATER!AN26</f>
        <v>10</v>
      </c>
      <c r="AX25" s="299">
        <f>WATER!AS26</f>
        <v>12</v>
      </c>
      <c r="AY25" s="299">
        <f>WATER!AX26</f>
        <v>9</v>
      </c>
      <c r="AZ25" s="299">
        <f>WATER!BC26</f>
        <v>7</v>
      </c>
      <c r="BA25" s="299">
        <f>WATER!BH26</f>
        <v>9</v>
      </c>
      <c r="BB25" s="299">
        <f>WATER!BM26</f>
        <v>9</v>
      </c>
      <c r="BC25" s="299">
        <f>WATER!BR26</f>
        <v>0</v>
      </c>
      <c r="BD25" s="299">
        <f>WATER!BW26</f>
        <v>0</v>
      </c>
      <c r="BE25" s="299">
        <f>WATER!CB26</f>
        <v>1</v>
      </c>
      <c r="BF25" s="299">
        <f>WATER!CG26</f>
        <v>0</v>
      </c>
      <c r="BG25" s="299">
        <f>WATER!CL26</f>
        <v>33</v>
      </c>
      <c r="BH25" s="299">
        <f>WATER!CQ26</f>
        <v>10</v>
      </c>
      <c r="BI25" s="299">
        <f>WATER!CV26</f>
        <v>3</v>
      </c>
      <c r="BJ25" s="299">
        <f>WATER!DA26</f>
        <v>6</v>
      </c>
      <c r="BK25" s="299">
        <f>WATER!DF26</f>
        <v>2</v>
      </c>
      <c r="BL25" s="299">
        <f>WATER!DK26</f>
        <v>4</v>
      </c>
      <c r="BM25" s="299">
        <f>WATER!DP26</f>
        <v>19</v>
      </c>
      <c r="BN25" s="299">
        <f>WATER!DU26</f>
        <v>6</v>
      </c>
      <c r="BO25" s="299">
        <f>WATER!DZ26</f>
        <v>8</v>
      </c>
      <c r="BP25" s="141">
        <f>'Room Nights and Food Covers'!B25</f>
        <v>66</v>
      </c>
      <c r="BQ25" s="141">
        <f>'Room Nights and Food Covers'!C25</f>
        <v>408</v>
      </c>
    </row>
    <row r="26" spans="1:76" ht="45" customHeight="1">
      <c r="A26" s="142">
        <f t="shared" si="0"/>
        <v>44948</v>
      </c>
      <c r="B26" s="381"/>
      <c r="C26" s="291">
        <f>SUM('GENSET #1'!C31+'GENSET #2'!C31+'GENSET #3'!C31+'GENSET #4'!C31+'GENSET #5'!C31)</f>
        <v>106097181</v>
      </c>
      <c r="D26" s="296">
        <f t="shared" si="4"/>
        <v>27151</v>
      </c>
      <c r="E26" s="291">
        <f>'Gas-2'!G27</f>
        <v>315</v>
      </c>
      <c r="F26" s="296">
        <f t="shared" si="3"/>
        <v>0</v>
      </c>
      <c r="G26" s="296">
        <f>'GENSET #1'!D31</f>
        <v>7495</v>
      </c>
      <c r="H26" s="296">
        <f>'GENSET #2'!D31</f>
        <v>7392</v>
      </c>
      <c r="I26" s="296">
        <f>'GENSET #3'!D31</f>
        <v>0</v>
      </c>
      <c r="J26" s="296">
        <f>'GENSET #4'!D31</f>
        <v>4807</v>
      </c>
      <c r="K26" s="296">
        <f>'GENSET #5'!D31</f>
        <v>7457</v>
      </c>
      <c r="L26" s="296">
        <f>'FEEDER Consumption '!E26</f>
        <v>4117</v>
      </c>
      <c r="M26" s="296">
        <f>'FEEDER Consumption '!J26</f>
        <v>4627</v>
      </c>
      <c r="N26" s="296">
        <f>'FEEDER Consumption '!O26</f>
        <v>11803</v>
      </c>
      <c r="O26" s="296">
        <f>'FEEDER Consumption '!T26</f>
        <v>2300</v>
      </c>
      <c r="P26" s="296">
        <f>'FEEDER Consumption '!Y26</f>
        <v>2852</v>
      </c>
      <c r="Q26" s="296">
        <f>'FEEDER Consumption '!AD26</f>
        <v>1900</v>
      </c>
      <c r="R26" s="296">
        <f>'FEEDER Consumption '!AJ26</f>
        <v>482</v>
      </c>
      <c r="S26" s="296">
        <f>'FEEDER Consumption '!AO26</f>
        <v>700</v>
      </c>
      <c r="T26" s="296">
        <f>'FEEDER Consumption '!AT26</f>
        <v>1800</v>
      </c>
      <c r="U26" s="296">
        <f>'FEEDER Consumption '!AY26</f>
        <v>434</v>
      </c>
      <c r="V26" s="296">
        <f>'FEEDER Consumption '!BI26</f>
        <v>300</v>
      </c>
      <c r="W26" s="296">
        <f>'FEEDER Consumption '!BI26</f>
        <v>300</v>
      </c>
      <c r="X26" s="296">
        <f>'FEEDER Consumption '!BN26</f>
        <v>600</v>
      </c>
      <c r="Y26" s="296">
        <f>'FEEDER Consumption '!BS26</f>
        <v>120</v>
      </c>
      <c r="Z26" s="296">
        <f>'FEEDER Consumption '!BX26</f>
        <v>350</v>
      </c>
      <c r="AA26" s="296">
        <f>'FEEDER Consumption '!CC26</f>
        <v>1100</v>
      </c>
      <c r="AB26" s="296">
        <f>'FEEDER Consumption '!CH26</f>
        <v>420</v>
      </c>
      <c r="AC26" s="296">
        <f>'FEEDER Consumption '!CM26</f>
        <v>1320</v>
      </c>
      <c r="AD26" s="296">
        <f>'FEEDER Consumption '!CR26</f>
        <v>810</v>
      </c>
      <c r="AE26" s="296">
        <f>'FEEDER Consumption '!DB26</f>
        <v>1200</v>
      </c>
      <c r="AF26" s="296">
        <f>'FEEDER Consumption '!DB26</f>
        <v>1200</v>
      </c>
      <c r="AG26" s="296">
        <f>'FEEDER Consumption '!DG26</f>
        <v>940</v>
      </c>
      <c r="AH26" s="296">
        <f>'FEEDER Consumption '!DL26</f>
        <v>650</v>
      </c>
      <c r="AI26" s="296">
        <f>'FEEDER Consumption '!DQ26</f>
        <v>330</v>
      </c>
      <c r="AJ26" s="296">
        <f>'FEEDER Consumption '!DV26</f>
        <v>130</v>
      </c>
      <c r="AK26" s="296">
        <f>'FEEDER Consumption '!EA26</f>
        <v>1040</v>
      </c>
      <c r="AL26" s="296">
        <f>'FEEDER Consumption '!EF26</f>
        <v>290</v>
      </c>
      <c r="AM26" s="296">
        <f>'FEEDER Consumption '!EK26</f>
        <v>400</v>
      </c>
      <c r="AN26" s="297">
        <f>'FEEDER Consumption '!EP26</f>
        <v>510</v>
      </c>
      <c r="AO26" s="298">
        <f>SUM(WATER!C27,WATER!H27,WATER!M27,WATER!R27)</f>
        <v>914741</v>
      </c>
      <c r="AP26" s="299">
        <f t="shared" si="2"/>
        <v>392</v>
      </c>
      <c r="AQ26" s="299">
        <f>WATER!D27</f>
        <v>185</v>
      </c>
      <c r="AR26" s="299">
        <f>WATER!I27</f>
        <v>0</v>
      </c>
      <c r="AS26" s="299">
        <f>WATER!N27</f>
        <v>180</v>
      </c>
      <c r="AT26" s="299">
        <f>WATER!S27</f>
        <v>27</v>
      </c>
      <c r="AU26" s="299">
        <f>WATER!AD27</f>
        <v>29</v>
      </c>
      <c r="AV26" s="299">
        <f>WATER!AI27</f>
        <v>6</v>
      </c>
      <c r="AW26" s="299">
        <f>WATER!AN27</f>
        <v>8</v>
      </c>
      <c r="AX26" s="299">
        <f>WATER!AS27</f>
        <v>12</v>
      </c>
      <c r="AY26" s="299">
        <f>WATER!AX27</f>
        <v>8</v>
      </c>
      <c r="AZ26" s="299">
        <f>WATER!BC27</f>
        <v>7</v>
      </c>
      <c r="BA26" s="299">
        <f>WATER!BH27</f>
        <v>9</v>
      </c>
      <c r="BB26" s="299">
        <f>WATER!BM27</f>
        <v>8</v>
      </c>
      <c r="BC26" s="299">
        <f>WATER!BR27</f>
        <v>2</v>
      </c>
      <c r="BD26" s="299">
        <f>WATER!BW27</f>
        <v>1</v>
      </c>
      <c r="BE26" s="299">
        <f>WATER!CB27</f>
        <v>2</v>
      </c>
      <c r="BF26" s="299">
        <f>WATER!CG27</f>
        <v>1</v>
      </c>
      <c r="BG26" s="299">
        <f>WATER!CL27</f>
        <v>32</v>
      </c>
      <c r="BH26" s="299">
        <f>WATER!CQ27</f>
        <v>11</v>
      </c>
      <c r="BI26" s="299">
        <f>WATER!CV27</f>
        <v>0</v>
      </c>
      <c r="BJ26" s="299">
        <f>WATER!DA27</f>
        <v>8</v>
      </c>
      <c r="BK26" s="299">
        <f>WATER!DF27</f>
        <v>4</v>
      </c>
      <c r="BL26" s="299">
        <f>WATER!DK27</f>
        <v>4</v>
      </c>
      <c r="BM26" s="299">
        <f>WATER!DP27</f>
        <v>20</v>
      </c>
      <c r="BN26" s="299">
        <f>WATER!DU27</f>
        <v>3</v>
      </c>
      <c r="BO26" s="299">
        <f>WATER!DZ27</f>
        <v>5</v>
      </c>
      <c r="BP26" s="141">
        <f>'Room Nights and Food Covers'!B26</f>
        <v>58.3</v>
      </c>
      <c r="BQ26" s="141">
        <f>'Room Nights and Food Covers'!C26</f>
        <v>421</v>
      </c>
    </row>
    <row r="27" spans="1:76" ht="45" customHeight="1">
      <c r="A27" s="142">
        <f t="shared" si="0"/>
        <v>44949</v>
      </c>
      <c r="B27" s="381"/>
      <c r="C27" s="291">
        <f>SUM('GENSET #1'!C32+'GENSET #2'!C32+'GENSET #3'!C32+'GENSET #4'!C32+'GENSET #5'!C32)</f>
        <v>106124518</v>
      </c>
      <c r="D27" s="296">
        <f t="shared" si="4"/>
        <v>27337</v>
      </c>
      <c r="E27" s="291">
        <f>'Gas-2'!G28</f>
        <v>225</v>
      </c>
      <c r="F27" s="296" t="str">
        <f t="shared" si="3"/>
        <v>0</v>
      </c>
      <c r="G27" s="296">
        <f>'GENSET #1'!D32</f>
        <v>8621</v>
      </c>
      <c r="H27" s="296">
        <f>'GENSET #2'!D32</f>
        <v>5612</v>
      </c>
      <c r="I27" s="296">
        <f>'GENSET #3'!D32</f>
        <v>0</v>
      </c>
      <c r="J27" s="296">
        <f>'GENSET #4'!D32</f>
        <v>4535</v>
      </c>
      <c r="K27" s="296">
        <f>'GENSET #5'!D32</f>
        <v>8569</v>
      </c>
      <c r="L27" s="296">
        <f>'FEEDER Consumption '!E27</f>
        <v>4068</v>
      </c>
      <c r="M27" s="296">
        <f>'FEEDER Consumption '!J27</f>
        <v>4547</v>
      </c>
      <c r="N27" s="296">
        <f>'FEEDER Consumption '!O27</f>
        <v>12162</v>
      </c>
      <c r="O27" s="296">
        <f>'FEEDER Consumption '!T27</f>
        <v>2300</v>
      </c>
      <c r="P27" s="296">
        <f>'FEEDER Consumption '!Y27</f>
        <v>2916</v>
      </c>
      <c r="Q27" s="296">
        <f>'FEEDER Consumption '!AD27</f>
        <v>1900</v>
      </c>
      <c r="R27" s="296">
        <f>'FEEDER Consumption '!AJ27</f>
        <v>439</v>
      </c>
      <c r="S27" s="296">
        <f>'FEEDER Consumption '!AO27</f>
        <v>700</v>
      </c>
      <c r="T27" s="296">
        <f>'FEEDER Consumption '!AT27</f>
        <v>2000</v>
      </c>
      <c r="U27" s="296">
        <f>'FEEDER Consumption '!AY27</f>
        <v>402</v>
      </c>
      <c r="V27" s="296">
        <f>'FEEDER Consumption '!BI27</f>
        <v>300</v>
      </c>
      <c r="W27" s="296">
        <f>'FEEDER Consumption '!BI27</f>
        <v>300</v>
      </c>
      <c r="X27" s="296">
        <f>'FEEDER Consumption '!BN27</f>
        <v>600</v>
      </c>
      <c r="Y27" s="296">
        <f>'FEEDER Consumption '!BS27</f>
        <v>130</v>
      </c>
      <c r="Z27" s="296">
        <f>'FEEDER Consumption '!BX27</f>
        <v>430</v>
      </c>
      <c r="AA27" s="296">
        <f>'FEEDER Consumption '!CC27</f>
        <v>1300</v>
      </c>
      <c r="AB27" s="296">
        <f>'FEEDER Consumption '!CH27</f>
        <v>460</v>
      </c>
      <c r="AC27" s="296">
        <f>'FEEDER Consumption '!CM27</f>
        <v>1020</v>
      </c>
      <c r="AD27" s="296">
        <f>'FEEDER Consumption '!CR27</f>
        <v>800</v>
      </c>
      <c r="AE27" s="296">
        <f>'FEEDER Consumption '!DB27</f>
        <v>800</v>
      </c>
      <c r="AF27" s="296">
        <f>'FEEDER Consumption '!DB27</f>
        <v>800</v>
      </c>
      <c r="AG27" s="296">
        <f>'FEEDER Consumption '!DG27</f>
        <v>880</v>
      </c>
      <c r="AH27" s="296">
        <f>'FEEDER Consumption '!DL27</f>
        <v>520</v>
      </c>
      <c r="AI27" s="296">
        <f>'FEEDER Consumption '!DQ27</f>
        <v>310</v>
      </c>
      <c r="AJ27" s="296">
        <f>'FEEDER Consumption '!DV27</f>
        <v>120</v>
      </c>
      <c r="AK27" s="296">
        <f>'FEEDER Consumption '!EA27</f>
        <v>890</v>
      </c>
      <c r="AL27" s="296">
        <f>'FEEDER Consumption '!EF27</f>
        <v>260</v>
      </c>
      <c r="AM27" s="296">
        <f>'FEEDER Consumption '!EK27</f>
        <v>330</v>
      </c>
      <c r="AN27" s="297">
        <f>'FEEDER Consumption '!EP27</f>
        <v>530</v>
      </c>
      <c r="AO27" s="298">
        <f>SUM(WATER!C28,WATER!H28,WATER!M28,WATER!R28)</f>
        <v>915090</v>
      </c>
      <c r="AP27" s="299">
        <f t="shared" si="2"/>
        <v>349</v>
      </c>
      <c r="AQ27" s="299">
        <f>WATER!D28</f>
        <v>174</v>
      </c>
      <c r="AR27" s="299">
        <f>WATER!I28</f>
        <v>0</v>
      </c>
      <c r="AS27" s="299">
        <f>WATER!N28</f>
        <v>169</v>
      </c>
      <c r="AT27" s="299">
        <f>WATER!S28</f>
        <v>6</v>
      </c>
      <c r="AU27" s="299">
        <f>WATER!AD28</f>
        <v>29</v>
      </c>
      <c r="AV27" s="299">
        <f>WATER!AI28</f>
        <v>6</v>
      </c>
      <c r="AW27" s="299">
        <f>WATER!AN28</f>
        <v>10</v>
      </c>
      <c r="AX27" s="299">
        <f>WATER!AS28</f>
        <v>12</v>
      </c>
      <c r="AY27" s="299">
        <f>WATER!AX28</f>
        <v>8</v>
      </c>
      <c r="AZ27" s="299">
        <f>WATER!BC28</f>
        <v>6</v>
      </c>
      <c r="BA27" s="299">
        <f>WATER!BH28</f>
        <v>10</v>
      </c>
      <c r="BB27" s="299">
        <f>WATER!BM28</f>
        <v>9</v>
      </c>
      <c r="BC27" s="299">
        <f>WATER!BR28</f>
        <v>0</v>
      </c>
      <c r="BD27" s="299">
        <f>WATER!BW28</f>
        <v>1</v>
      </c>
      <c r="BE27" s="299">
        <f>WATER!CB28</f>
        <v>5</v>
      </c>
      <c r="BF27" s="299">
        <f>WATER!CG28</f>
        <v>4</v>
      </c>
      <c r="BG27" s="299">
        <f>WATER!CL28</f>
        <v>32</v>
      </c>
      <c r="BH27" s="299">
        <f>WATER!CQ28</f>
        <v>9</v>
      </c>
      <c r="BI27" s="299">
        <f>WATER!CV28</f>
        <v>1</v>
      </c>
      <c r="BJ27" s="299">
        <f>WATER!DA28</f>
        <v>3</v>
      </c>
      <c r="BK27" s="299">
        <f>WATER!DF28</f>
        <v>4</v>
      </c>
      <c r="BL27" s="299">
        <f>WATER!DK28</f>
        <v>4</v>
      </c>
      <c r="BM27" s="299">
        <f>WATER!DP28</f>
        <v>13</v>
      </c>
      <c r="BN27" s="299">
        <f>WATER!DU28</f>
        <v>3</v>
      </c>
      <c r="BO27" s="299">
        <f>WATER!DZ28</f>
        <v>0</v>
      </c>
      <c r="BP27" s="141">
        <f>'Room Nights and Food Covers'!B27</f>
        <v>48.5</v>
      </c>
      <c r="BQ27" s="141">
        <f>'Room Nights and Food Covers'!C27</f>
        <v>372</v>
      </c>
    </row>
    <row r="28" spans="1:76" ht="45" customHeight="1">
      <c r="A28" s="142">
        <f t="shared" si="0"/>
        <v>44950</v>
      </c>
      <c r="B28" s="381"/>
      <c r="C28" s="291">
        <f>SUM('GENSET #1'!C33+'GENSET #2'!C33+'GENSET #3'!C33+'GENSET #4'!C33+'GENSET #5'!C33)</f>
        <v>106149019</v>
      </c>
      <c r="D28" s="296">
        <f t="shared" si="4"/>
        <v>24501</v>
      </c>
      <c r="E28" s="291">
        <f>'Gas-2'!G29</f>
        <v>315</v>
      </c>
      <c r="F28" s="296">
        <f t="shared" si="3"/>
        <v>90</v>
      </c>
      <c r="G28" s="296">
        <f>'GENSET #1'!D33</f>
        <v>6609</v>
      </c>
      <c r="H28" s="296">
        <f>'GENSET #2'!D33</f>
        <v>9994</v>
      </c>
      <c r="I28" s="296">
        <f>'GENSET #3'!D33</f>
        <v>0</v>
      </c>
      <c r="J28" s="296">
        <f>'GENSET #4'!D33</f>
        <v>3261</v>
      </c>
      <c r="K28" s="296">
        <f>'GENSET #5'!D33</f>
        <v>4637</v>
      </c>
      <c r="L28" s="296">
        <f>'FEEDER Consumption '!E28</f>
        <v>3612</v>
      </c>
      <c r="M28" s="296">
        <f>'FEEDER Consumption '!J28</f>
        <v>3517</v>
      </c>
      <c r="N28" s="296">
        <f>'FEEDER Consumption '!O28</f>
        <v>10742</v>
      </c>
      <c r="O28" s="296">
        <f>'FEEDER Consumption '!T28</f>
        <v>2100</v>
      </c>
      <c r="P28" s="296">
        <f>'FEEDER Consumption '!Y28</f>
        <v>2699</v>
      </c>
      <c r="Q28" s="296">
        <f>'FEEDER Consumption '!AD28</f>
        <v>1600</v>
      </c>
      <c r="R28" s="296">
        <f>'FEEDER Consumption '!AJ28</f>
        <v>904</v>
      </c>
      <c r="S28" s="296">
        <f>'FEEDER Consumption '!AO28</f>
        <v>700</v>
      </c>
      <c r="T28" s="296">
        <f>'FEEDER Consumption '!AT28</f>
        <v>2100</v>
      </c>
      <c r="U28" s="296">
        <f>'FEEDER Consumption '!AY28</f>
        <v>337</v>
      </c>
      <c r="V28" s="296">
        <f>'FEEDER Consumption '!BI28</f>
        <v>300</v>
      </c>
      <c r="W28" s="296">
        <f>'FEEDER Consumption '!BI28</f>
        <v>300</v>
      </c>
      <c r="X28" s="296">
        <f>'FEEDER Consumption '!BN28</f>
        <v>500</v>
      </c>
      <c r="Y28" s="296">
        <f>'FEEDER Consumption '!BS28</f>
        <v>100</v>
      </c>
      <c r="Z28" s="296">
        <f>'FEEDER Consumption '!BX28</f>
        <v>350</v>
      </c>
      <c r="AA28" s="296">
        <f>'FEEDER Consumption '!CC28</f>
        <v>1100</v>
      </c>
      <c r="AB28" s="296">
        <f>'FEEDER Consumption '!CH28</f>
        <v>440</v>
      </c>
      <c r="AC28" s="296">
        <f>'FEEDER Consumption '!CM28</f>
        <v>760</v>
      </c>
      <c r="AD28" s="296">
        <f>'FEEDER Consumption '!CR28</f>
        <v>730</v>
      </c>
      <c r="AE28" s="296">
        <f>'FEEDER Consumption '!DB28</f>
        <v>800</v>
      </c>
      <c r="AF28" s="296">
        <f>'FEEDER Consumption '!DB28</f>
        <v>800</v>
      </c>
      <c r="AG28" s="296">
        <f>'FEEDER Consumption '!DG28</f>
        <v>790</v>
      </c>
      <c r="AH28" s="296">
        <f>'FEEDER Consumption '!DL28</f>
        <v>450</v>
      </c>
      <c r="AI28" s="296">
        <f>'FEEDER Consumption '!DQ28</f>
        <v>320</v>
      </c>
      <c r="AJ28" s="296">
        <f>'FEEDER Consumption '!DV28</f>
        <v>110</v>
      </c>
      <c r="AK28" s="296">
        <f>'FEEDER Consumption '!EA28</f>
        <v>1000</v>
      </c>
      <c r="AL28" s="296">
        <f>'FEEDER Consumption '!EF28</f>
        <v>290</v>
      </c>
      <c r="AM28" s="296">
        <f>'FEEDER Consumption '!EK28</f>
        <v>380</v>
      </c>
      <c r="AN28" s="297">
        <f>'FEEDER Consumption '!EP28</f>
        <v>530</v>
      </c>
      <c r="AO28" s="298">
        <f>SUM(WATER!C29,WATER!H29,WATER!M29,WATER!R29)</f>
        <v>915372</v>
      </c>
      <c r="AP28" s="299">
        <f t="shared" si="2"/>
        <v>282</v>
      </c>
      <c r="AQ28" s="299">
        <f>WATER!D29</f>
        <v>108</v>
      </c>
      <c r="AR28" s="299">
        <f>WATER!I29</f>
        <v>14</v>
      </c>
      <c r="AS28" s="299">
        <f>WATER!N29</f>
        <v>160</v>
      </c>
      <c r="AT28" s="299">
        <f>WATER!S29</f>
        <v>0</v>
      </c>
      <c r="AU28" s="299">
        <f>WATER!AD29</f>
        <v>24</v>
      </c>
      <c r="AV28" s="299">
        <f>WATER!AI29</f>
        <v>5</v>
      </c>
      <c r="AW28" s="299">
        <f>WATER!AN29</f>
        <v>18</v>
      </c>
      <c r="AX28" s="299">
        <f>WATER!AS29</f>
        <v>9</v>
      </c>
      <c r="AY28" s="299">
        <f>WATER!AX29</f>
        <v>7</v>
      </c>
      <c r="AZ28" s="299">
        <f>WATER!BC29</f>
        <v>6</v>
      </c>
      <c r="BA28" s="299">
        <f>WATER!BH29</f>
        <v>8</v>
      </c>
      <c r="BB28" s="299">
        <f>WATER!BM29</f>
        <v>1</v>
      </c>
      <c r="BC28" s="299">
        <f>WATER!BR29</f>
        <v>1</v>
      </c>
      <c r="BD28" s="299">
        <f>WATER!BW29</f>
        <v>0</v>
      </c>
      <c r="BE28" s="299">
        <f>WATER!CB29</f>
        <v>2</v>
      </c>
      <c r="BF28" s="299">
        <f>WATER!CG29</f>
        <v>1</v>
      </c>
      <c r="BG28" s="299">
        <f>WATER!CL29</f>
        <v>29</v>
      </c>
      <c r="BH28" s="299">
        <f>WATER!CQ29</f>
        <v>12</v>
      </c>
      <c r="BI28" s="299">
        <f>WATER!CV29</f>
        <v>1</v>
      </c>
      <c r="BJ28" s="299">
        <f>WATER!DA29</f>
        <v>2</v>
      </c>
      <c r="BK28" s="299">
        <f>WATER!DF29</f>
        <v>3</v>
      </c>
      <c r="BL28" s="299">
        <f>WATER!DK29</f>
        <v>3</v>
      </c>
      <c r="BM28" s="299">
        <f>WATER!DP29</f>
        <v>18</v>
      </c>
      <c r="BN28" s="299">
        <f>WATER!DU29</f>
        <v>1</v>
      </c>
      <c r="BO28" s="299">
        <f>WATER!DZ29</f>
        <v>1</v>
      </c>
      <c r="BP28" s="141">
        <f>'Room Nights and Food Covers'!B28</f>
        <v>45.6</v>
      </c>
      <c r="BQ28" s="141">
        <f>'Room Nights and Food Covers'!C28</f>
        <v>360</v>
      </c>
    </row>
    <row r="29" spans="1:76" ht="45" customHeight="1">
      <c r="A29" s="142">
        <f t="shared" si="0"/>
        <v>44951</v>
      </c>
      <c r="B29" s="381"/>
      <c r="C29" s="291">
        <f>SUM('GENSET #1'!C34+'GENSET #2'!C34+'GENSET #3'!C34+'GENSET #4'!C34+'GENSET #5'!C34)</f>
        <v>106173567</v>
      </c>
      <c r="D29" s="296">
        <f t="shared" si="4"/>
        <v>24548</v>
      </c>
      <c r="E29" s="291">
        <f>'Gas-2'!G30</f>
        <v>315</v>
      </c>
      <c r="F29" s="296">
        <f t="shared" si="3"/>
        <v>0</v>
      </c>
      <c r="G29" s="296">
        <f>'GENSET #1'!D34</f>
        <v>5844</v>
      </c>
      <c r="H29" s="296">
        <f>'GENSET #2'!D34</f>
        <v>9298</v>
      </c>
      <c r="I29" s="296">
        <f>'GENSET #3'!D34</f>
        <v>0</v>
      </c>
      <c r="J29" s="296">
        <f>'GENSET #4'!D34</f>
        <v>2181</v>
      </c>
      <c r="K29" s="296">
        <f>'GENSET #5'!D34</f>
        <v>7225</v>
      </c>
      <c r="L29" s="296">
        <f>'FEEDER Consumption '!E29</f>
        <v>3602</v>
      </c>
      <c r="M29" s="296">
        <f>'FEEDER Consumption '!J29</f>
        <v>3878</v>
      </c>
      <c r="N29" s="296">
        <f>'FEEDER Consumption '!O29</f>
        <v>11004</v>
      </c>
      <c r="O29" s="296">
        <f>'FEEDER Consumption '!T29</f>
        <v>2200</v>
      </c>
      <c r="P29" s="296">
        <f>'FEEDER Consumption '!Y29</f>
        <v>2761</v>
      </c>
      <c r="Q29" s="296">
        <f>'FEEDER Consumption '!AD29</f>
        <v>1600</v>
      </c>
      <c r="R29" s="296">
        <f>'FEEDER Consumption '!AJ29</f>
        <v>23</v>
      </c>
      <c r="S29" s="296">
        <f>'FEEDER Consumption '!AO29</f>
        <v>700</v>
      </c>
      <c r="T29" s="296">
        <f>'FEEDER Consumption '!AT29</f>
        <v>1700</v>
      </c>
      <c r="U29" s="296">
        <f>'FEEDER Consumption '!AY29</f>
        <v>356</v>
      </c>
      <c r="V29" s="296">
        <f>'FEEDER Consumption '!BI29</f>
        <v>300</v>
      </c>
      <c r="W29" s="296">
        <f>'FEEDER Consumption '!BI29</f>
        <v>300</v>
      </c>
      <c r="X29" s="296">
        <f>'FEEDER Consumption '!BN29</f>
        <v>500</v>
      </c>
      <c r="Y29" s="296">
        <f>'FEEDER Consumption '!BS29</f>
        <v>120</v>
      </c>
      <c r="Z29" s="296">
        <f>'FEEDER Consumption '!BX29</f>
        <v>330</v>
      </c>
      <c r="AA29" s="296">
        <f>'FEEDER Consumption '!CC29</f>
        <v>1200</v>
      </c>
      <c r="AB29" s="296">
        <f>'FEEDER Consumption '!CH29</f>
        <v>450</v>
      </c>
      <c r="AC29" s="296">
        <f>'FEEDER Consumption '!CM29</f>
        <v>790</v>
      </c>
      <c r="AD29" s="296">
        <f>'FEEDER Consumption '!CR29</f>
        <v>740</v>
      </c>
      <c r="AE29" s="296">
        <f>'FEEDER Consumption '!DB29</f>
        <v>900</v>
      </c>
      <c r="AF29" s="296">
        <f>'FEEDER Consumption '!DB29</f>
        <v>900</v>
      </c>
      <c r="AG29" s="296">
        <f>'FEEDER Consumption '!DG29</f>
        <v>770</v>
      </c>
      <c r="AH29" s="296">
        <f>'FEEDER Consumption '!DL29</f>
        <v>490</v>
      </c>
      <c r="AI29" s="296">
        <f>'FEEDER Consumption '!DQ29</f>
        <v>310</v>
      </c>
      <c r="AJ29" s="296">
        <f>'FEEDER Consumption '!DV29</f>
        <v>110</v>
      </c>
      <c r="AK29" s="296">
        <f>'FEEDER Consumption '!EA29</f>
        <v>920</v>
      </c>
      <c r="AL29" s="296">
        <f>'FEEDER Consumption '!EF29</f>
        <v>270</v>
      </c>
      <c r="AM29" s="296">
        <f>'FEEDER Consumption '!EK29</f>
        <v>370</v>
      </c>
      <c r="AN29" s="297">
        <f>'FEEDER Consumption '!EP29</f>
        <v>500</v>
      </c>
      <c r="AO29" s="298">
        <f>SUM(WATER!C30,WATER!H30,WATER!M30,WATER!R30)</f>
        <v>915690</v>
      </c>
      <c r="AP29" s="299">
        <f t="shared" si="2"/>
        <v>318</v>
      </c>
      <c r="AQ29" s="299">
        <f>WATER!D30</f>
        <v>158</v>
      </c>
      <c r="AR29" s="299">
        <f>WATER!I30</f>
        <v>0</v>
      </c>
      <c r="AS29" s="299">
        <f>WATER!N30</f>
        <v>127</v>
      </c>
      <c r="AT29" s="299">
        <f>WATER!S30</f>
        <v>33</v>
      </c>
      <c r="AU29" s="299">
        <f>WATER!AD30</f>
        <v>25</v>
      </c>
      <c r="AV29" s="299">
        <f>WATER!AI30</f>
        <v>6</v>
      </c>
      <c r="AW29" s="299">
        <f>WATER!AN30</f>
        <v>0</v>
      </c>
      <c r="AX29" s="299">
        <f>WATER!AS30</f>
        <v>10</v>
      </c>
      <c r="AY29" s="299">
        <f>WATER!AX30</f>
        <v>8</v>
      </c>
      <c r="AZ29" s="299">
        <f>WATER!BC30</f>
        <v>7</v>
      </c>
      <c r="BA29" s="299">
        <f>WATER!BH30</f>
        <v>8</v>
      </c>
      <c r="BB29" s="299">
        <f>WATER!BM30</f>
        <v>9</v>
      </c>
      <c r="BC29" s="299">
        <f>WATER!BR30</f>
        <v>1</v>
      </c>
      <c r="BD29" s="299">
        <f>WATER!BW30</f>
        <v>0</v>
      </c>
      <c r="BE29" s="299">
        <f>WATER!CB30</f>
        <v>3</v>
      </c>
      <c r="BF29" s="299">
        <f>WATER!CG30</f>
        <v>2</v>
      </c>
      <c r="BG29" s="299">
        <f>WATER!CL30</f>
        <v>31</v>
      </c>
      <c r="BH29" s="299">
        <f>WATER!CQ30</f>
        <v>8</v>
      </c>
      <c r="BI29" s="299">
        <f>WATER!CV30</f>
        <v>1</v>
      </c>
      <c r="BJ29" s="299">
        <f>WATER!DA30</f>
        <v>1</v>
      </c>
      <c r="BK29" s="299">
        <f>WATER!DF30</f>
        <v>4</v>
      </c>
      <c r="BL29" s="299">
        <f>WATER!DK30</f>
        <v>5</v>
      </c>
      <c r="BM29" s="299">
        <f>WATER!DP30</f>
        <v>15</v>
      </c>
      <c r="BN29" s="299">
        <f>WATER!DU30</f>
        <v>5</v>
      </c>
      <c r="BO29" s="299">
        <f>WATER!DZ30</f>
        <v>1</v>
      </c>
      <c r="BP29" s="141">
        <f>'Room Nights and Food Covers'!B29</f>
        <v>44.7</v>
      </c>
      <c r="BQ29" s="141">
        <f>'Room Nights and Food Covers'!C29</f>
        <v>352</v>
      </c>
    </row>
    <row r="30" spans="1:76" ht="45" customHeight="1">
      <c r="A30" s="142">
        <f t="shared" si="0"/>
        <v>44952</v>
      </c>
      <c r="B30" s="381"/>
      <c r="C30" s="291">
        <f>SUM('GENSET #1'!C35+'GENSET #2'!C35+'GENSET #3'!C35+'GENSET #4'!C35+'GENSET #5'!C35)</f>
        <v>106197676</v>
      </c>
      <c r="D30" s="296">
        <f t="shared" si="4"/>
        <v>24109</v>
      </c>
      <c r="E30" s="291">
        <f>'Gas-2'!G31</f>
        <v>225</v>
      </c>
      <c r="F30" s="296" t="str">
        <f t="shared" si="3"/>
        <v>0</v>
      </c>
      <c r="G30" s="296">
        <f>'GENSET #1'!D35</f>
        <v>5927</v>
      </c>
      <c r="H30" s="296">
        <f>'GENSET #2'!D35</f>
        <v>8782</v>
      </c>
      <c r="I30" s="296">
        <f>'GENSET #3'!D35</f>
        <v>0</v>
      </c>
      <c r="J30" s="296">
        <f>'GENSET #4'!D35</f>
        <v>2288</v>
      </c>
      <c r="K30" s="296">
        <f>'GENSET #5'!D35</f>
        <v>7112</v>
      </c>
      <c r="L30" s="296">
        <f>'FEEDER Consumption '!E30</f>
        <v>3370</v>
      </c>
      <c r="M30" s="296">
        <f>'FEEDER Consumption '!J30</f>
        <v>3803</v>
      </c>
      <c r="N30" s="296">
        <f>'FEEDER Consumption '!O30</f>
        <v>10644</v>
      </c>
      <c r="O30" s="296">
        <f>'FEEDER Consumption '!T30</f>
        <v>2100</v>
      </c>
      <c r="P30" s="296">
        <f>'FEEDER Consumption '!Y30</f>
        <v>2850</v>
      </c>
      <c r="Q30" s="296">
        <f>'FEEDER Consumption '!AD30</f>
        <v>1600</v>
      </c>
      <c r="R30" s="296">
        <f>'FEEDER Consumption '!AJ30</f>
        <v>502</v>
      </c>
      <c r="S30" s="296">
        <f>'FEEDER Consumption '!AO30</f>
        <v>700</v>
      </c>
      <c r="T30" s="296">
        <f>'FEEDER Consumption '!AT30</f>
        <v>2000</v>
      </c>
      <c r="U30" s="296">
        <f>'FEEDER Consumption '!AY30</f>
        <v>356</v>
      </c>
      <c r="V30" s="296">
        <f>'FEEDER Consumption '!BI30</f>
        <v>200</v>
      </c>
      <c r="W30" s="296">
        <f>'FEEDER Consumption '!BI30</f>
        <v>200</v>
      </c>
      <c r="X30" s="296">
        <f>'FEEDER Consumption '!BN30</f>
        <v>600</v>
      </c>
      <c r="Y30" s="296">
        <f>'FEEDER Consumption '!BS30</f>
        <v>120</v>
      </c>
      <c r="Z30" s="296">
        <f>'FEEDER Consumption '!BX30</f>
        <v>320</v>
      </c>
      <c r="AA30" s="296">
        <f>'FEEDER Consumption '!CC30</f>
        <v>1100</v>
      </c>
      <c r="AB30" s="296">
        <f>'FEEDER Consumption '!CH30</f>
        <v>400</v>
      </c>
      <c r="AC30" s="296">
        <f>'FEEDER Consumption '!CM30</f>
        <v>900</v>
      </c>
      <c r="AD30" s="296">
        <f>'FEEDER Consumption '!CR30</f>
        <v>620</v>
      </c>
      <c r="AE30" s="296">
        <f>'FEEDER Consumption '!DB30</f>
        <v>100</v>
      </c>
      <c r="AF30" s="296">
        <f>'FEEDER Consumption '!DB30</f>
        <v>100</v>
      </c>
      <c r="AG30" s="296">
        <f>'FEEDER Consumption '!DG30</f>
        <v>710</v>
      </c>
      <c r="AH30" s="296">
        <f>'FEEDER Consumption '!DL30</f>
        <v>600</v>
      </c>
      <c r="AI30" s="296">
        <f>'FEEDER Consumption '!DQ30</f>
        <v>330</v>
      </c>
      <c r="AJ30" s="296">
        <f>'FEEDER Consumption '!DV30</f>
        <v>120</v>
      </c>
      <c r="AK30" s="296">
        <f>'FEEDER Consumption '!EA30</f>
        <v>950</v>
      </c>
      <c r="AL30" s="296">
        <f>'FEEDER Consumption '!EF30</f>
        <v>280</v>
      </c>
      <c r="AM30" s="296">
        <f>'FEEDER Consumption '!EK30</f>
        <v>450</v>
      </c>
      <c r="AN30" s="297">
        <f>'FEEDER Consumption '!EP30</f>
        <v>550</v>
      </c>
      <c r="AO30" s="298">
        <f>SUM(WATER!C31,WATER!H31,WATER!M31,WATER!R31)</f>
        <v>915979</v>
      </c>
      <c r="AP30" s="299">
        <f t="shared" si="2"/>
        <v>289</v>
      </c>
      <c r="AQ30" s="299">
        <f>WATER!D31</f>
        <v>118</v>
      </c>
      <c r="AR30" s="299">
        <f>WATER!I31</f>
        <v>12</v>
      </c>
      <c r="AS30" s="299">
        <f>WATER!N31</f>
        <v>159</v>
      </c>
      <c r="AT30" s="299">
        <f>WATER!S31</f>
        <v>0</v>
      </c>
      <c r="AU30" s="299">
        <f>WATER!AD31</f>
        <v>26</v>
      </c>
      <c r="AV30" s="299">
        <f>WATER!AI31</f>
        <v>6</v>
      </c>
      <c r="AW30" s="299">
        <f>WATER!AN31</f>
        <v>8</v>
      </c>
      <c r="AX30" s="299">
        <f>WATER!AS31</f>
        <v>10</v>
      </c>
      <c r="AY30" s="299">
        <f>WATER!AX31</f>
        <v>7</v>
      </c>
      <c r="AZ30" s="299">
        <f>WATER!BC31</f>
        <v>6</v>
      </c>
      <c r="BA30" s="299">
        <f>WATER!BH31</f>
        <v>10</v>
      </c>
      <c r="BB30" s="299">
        <f>WATER!BM31</f>
        <v>17</v>
      </c>
      <c r="BC30" s="299">
        <f>WATER!BR31</f>
        <v>1</v>
      </c>
      <c r="BD30" s="299">
        <f>WATER!BW31</f>
        <v>0</v>
      </c>
      <c r="BE30" s="299">
        <f>WATER!CB31</f>
        <v>6</v>
      </c>
      <c r="BF30" s="299">
        <f>WATER!CG31</f>
        <v>4</v>
      </c>
      <c r="BG30" s="299">
        <f>WATER!CL31</f>
        <v>29</v>
      </c>
      <c r="BH30" s="299">
        <f>WATER!CQ31</f>
        <v>8</v>
      </c>
      <c r="BI30" s="299">
        <f>WATER!CV31</f>
        <v>1</v>
      </c>
      <c r="BJ30" s="299">
        <f>WATER!DA31</f>
        <v>1</v>
      </c>
      <c r="BK30" s="299">
        <f>WATER!DF31</f>
        <v>2</v>
      </c>
      <c r="BL30" s="299">
        <f>WATER!DK31</f>
        <v>3</v>
      </c>
      <c r="BM30" s="299">
        <f>WATER!DP31</f>
        <v>16</v>
      </c>
      <c r="BN30" s="299">
        <f>WATER!DU31</f>
        <v>2</v>
      </c>
      <c r="BO30" s="299">
        <f>WATER!DZ31</f>
        <v>1</v>
      </c>
      <c r="BP30" s="141">
        <f>'Room Nights and Food Covers'!B30</f>
        <v>44.7</v>
      </c>
      <c r="BQ30" s="141">
        <f>'Room Nights and Food Covers'!C30</f>
        <v>359</v>
      </c>
    </row>
    <row r="31" spans="1:76" ht="45" customHeight="1">
      <c r="A31" s="142">
        <f t="shared" si="0"/>
        <v>44953</v>
      </c>
      <c r="B31" s="381"/>
      <c r="C31" s="291">
        <f>SUM('GENSET #1'!C36+'GENSET #2'!C36+'GENSET #3'!C36+'GENSET #4'!C36+'GENSET #5'!C36)</f>
        <v>106223487</v>
      </c>
      <c r="D31" s="296">
        <f t="shared" si="4"/>
        <v>25811</v>
      </c>
      <c r="E31" s="291">
        <f>'Gas-2'!G32</f>
        <v>315</v>
      </c>
      <c r="F31" s="296">
        <f t="shared" si="3"/>
        <v>90</v>
      </c>
      <c r="G31" s="296">
        <f>'GENSET #1'!D36</f>
        <v>7747</v>
      </c>
      <c r="H31" s="296">
        <f>'GENSET #2'!D36</f>
        <v>9188</v>
      </c>
      <c r="I31" s="296">
        <f>'GENSET #3'!D36</f>
        <v>0</v>
      </c>
      <c r="J31" s="296">
        <f>'GENSET #4'!D36</f>
        <v>2895</v>
      </c>
      <c r="K31" s="296">
        <f>'GENSET #5'!D36</f>
        <v>5981</v>
      </c>
      <c r="L31" s="296">
        <f>'FEEDER Consumption '!E31</f>
        <v>3450</v>
      </c>
      <c r="M31" s="296">
        <f>'FEEDER Consumption '!J31</f>
        <v>4562</v>
      </c>
      <c r="N31" s="296">
        <f>'FEEDER Consumption '!O31</f>
        <v>11447</v>
      </c>
      <c r="O31" s="296">
        <f>'FEEDER Consumption '!T31</f>
        <v>2200</v>
      </c>
      <c r="P31" s="296">
        <f>'FEEDER Consumption '!Y31</f>
        <v>2892</v>
      </c>
      <c r="Q31" s="296">
        <f>'FEEDER Consumption '!AD31</f>
        <v>1600</v>
      </c>
      <c r="R31" s="296">
        <f>'FEEDER Consumption '!AJ31</f>
        <v>487</v>
      </c>
      <c r="S31" s="296">
        <f>'FEEDER Consumption '!AO31</f>
        <v>600</v>
      </c>
      <c r="T31" s="296">
        <f>'FEEDER Consumption '!AT31</f>
        <v>1700</v>
      </c>
      <c r="U31" s="296">
        <f>'FEEDER Consumption '!AY31</f>
        <v>431</v>
      </c>
      <c r="V31" s="296">
        <f>'FEEDER Consumption '!BI31</f>
        <v>300</v>
      </c>
      <c r="W31" s="296">
        <f>'FEEDER Consumption '!BI31</f>
        <v>300</v>
      </c>
      <c r="X31" s="296">
        <f>'FEEDER Consumption '!BN31</f>
        <v>500</v>
      </c>
      <c r="Y31" s="296">
        <f>'FEEDER Consumption '!BS31</f>
        <v>130</v>
      </c>
      <c r="Z31" s="296">
        <f>'FEEDER Consumption '!BX31</f>
        <v>330</v>
      </c>
      <c r="AA31" s="296">
        <f>'FEEDER Consumption '!CC31</f>
        <v>1300</v>
      </c>
      <c r="AB31" s="296">
        <f>'FEEDER Consumption '!CH31</f>
        <v>400</v>
      </c>
      <c r="AC31" s="296">
        <f>'FEEDER Consumption '!CM31</f>
        <v>1070</v>
      </c>
      <c r="AD31" s="296">
        <f>'FEEDER Consumption '!CR31</f>
        <v>950</v>
      </c>
      <c r="AE31" s="296">
        <f>'FEEDER Consumption '!DB31</f>
        <v>1100</v>
      </c>
      <c r="AF31" s="296">
        <f>'FEEDER Consumption '!DB31</f>
        <v>1100</v>
      </c>
      <c r="AG31" s="296">
        <f>'FEEDER Consumption '!DG31</f>
        <v>780</v>
      </c>
      <c r="AH31" s="296">
        <f>'FEEDER Consumption '!DL31</f>
        <v>540</v>
      </c>
      <c r="AI31" s="296">
        <f>'FEEDER Consumption '!DQ31</f>
        <v>320</v>
      </c>
      <c r="AJ31" s="296">
        <f>'FEEDER Consumption '!DV31</f>
        <v>110</v>
      </c>
      <c r="AK31" s="296">
        <f>'FEEDER Consumption '!EA31</f>
        <v>870</v>
      </c>
      <c r="AL31" s="296">
        <f>'FEEDER Consumption '!EF31</f>
        <v>260</v>
      </c>
      <c r="AM31" s="296">
        <f>'FEEDER Consumption '!EK31</f>
        <v>340</v>
      </c>
      <c r="AN31" s="297">
        <f>'FEEDER Consumption '!EP31</f>
        <v>500</v>
      </c>
      <c r="AO31" s="298">
        <f>SUM(WATER!C32,WATER!H32,WATER!M32,WATER!R32)</f>
        <v>916294</v>
      </c>
      <c r="AP31" s="299">
        <f t="shared" si="2"/>
        <v>315</v>
      </c>
      <c r="AQ31" s="299">
        <f>WATER!D32</f>
        <v>167</v>
      </c>
      <c r="AR31" s="299">
        <f>WATER!I32</f>
        <v>3</v>
      </c>
      <c r="AS31" s="299">
        <f>WATER!N32</f>
        <v>134</v>
      </c>
      <c r="AT31" s="299">
        <f>WATER!S32</f>
        <v>11</v>
      </c>
      <c r="AU31" s="299">
        <f>WATER!AD32</f>
        <v>21</v>
      </c>
      <c r="AV31" s="299">
        <f>WATER!AI32</f>
        <v>5</v>
      </c>
      <c r="AW31" s="299">
        <f>WATER!AN32</f>
        <v>9</v>
      </c>
      <c r="AX31" s="299">
        <f>WATER!AS32</f>
        <v>10</v>
      </c>
      <c r="AY31" s="299">
        <f>WATER!AX32</f>
        <v>8</v>
      </c>
      <c r="AZ31" s="299">
        <f>WATER!BC32</f>
        <v>6</v>
      </c>
      <c r="BA31" s="299">
        <f>WATER!BH32</f>
        <v>10</v>
      </c>
      <c r="BB31" s="299">
        <f>WATER!BM32</f>
        <v>8</v>
      </c>
      <c r="BC31" s="299">
        <f>WATER!BR32</f>
        <v>1</v>
      </c>
      <c r="BD31" s="299">
        <f>WATER!BW32</f>
        <v>0</v>
      </c>
      <c r="BE31" s="299">
        <f>WATER!CB32</f>
        <v>2</v>
      </c>
      <c r="BF31" s="299">
        <f>WATER!CG32</f>
        <v>1</v>
      </c>
      <c r="BG31" s="299">
        <f>WATER!CL32</f>
        <v>31</v>
      </c>
      <c r="BH31" s="299">
        <f>WATER!CQ32</f>
        <v>10</v>
      </c>
      <c r="BI31" s="299">
        <f>WATER!CV32</f>
        <v>0</v>
      </c>
      <c r="BJ31" s="299">
        <f>WATER!DA32</f>
        <v>1</v>
      </c>
      <c r="BK31" s="299">
        <f>WATER!DF32</f>
        <v>5</v>
      </c>
      <c r="BL31" s="299">
        <f>WATER!DK32</f>
        <v>4</v>
      </c>
      <c r="BM31" s="299">
        <f>WATER!DP32</f>
        <v>17</v>
      </c>
      <c r="BN31" s="299">
        <f>WATER!DU32</f>
        <v>3</v>
      </c>
      <c r="BO31" s="299">
        <f>WATER!DZ32</f>
        <v>2</v>
      </c>
      <c r="BP31" s="141">
        <f>'Room Nights and Food Covers'!B31</f>
        <v>41.7</v>
      </c>
      <c r="BQ31" s="141">
        <f>'Room Nights and Food Covers'!C31</f>
        <v>332</v>
      </c>
    </row>
    <row r="32" spans="1:76" ht="45" customHeight="1">
      <c r="A32" s="142">
        <f t="shared" si="0"/>
        <v>44954</v>
      </c>
      <c r="B32" s="381"/>
      <c r="C32" s="291">
        <f>SUM('GENSET #1'!C37+'GENSET #2'!C37+'GENSET #3'!C37+'GENSET #4'!C37+'GENSET #5'!C37)</f>
        <v>106248241</v>
      </c>
      <c r="D32" s="296">
        <f t="shared" si="4"/>
        <v>24754</v>
      </c>
      <c r="E32" s="291">
        <f>'Gas-2'!G33</f>
        <v>270</v>
      </c>
      <c r="F32" s="296" t="str">
        <f t="shared" si="3"/>
        <v>0</v>
      </c>
      <c r="G32" s="296">
        <f>'GENSET #1'!D37</f>
        <v>7418</v>
      </c>
      <c r="H32" s="296">
        <f>'GENSET #2'!D37</f>
        <v>6722</v>
      </c>
      <c r="I32" s="296">
        <f>'GENSET #3'!D37</f>
        <v>0</v>
      </c>
      <c r="J32" s="296">
        <f>'GENSET #4'!D37</f>
        <v>3236</v>
      </c>
      <c r="K32" s="296">
        <f>'GENSET #5'!D37</f>
        <v>7378</v>
      </c>
      <c r="L32" s="296">
        <f>'FEEDER Consumption '!E32</f>
        <v>3463</v>
      </c>
      <c r="M32" s="296">
        <f>'FEEDER Consumption '!J32</f>
        <v>4371</v>
      </c>
      <c r="N32" s="296">
        <f>'FEEDER Consumption '!O32</f>
        <v>10936</v>
      </c>
      <c r="O32" s="296">
        <f>'FEEDER Consumption '!T32</f>
        <v>2200</v>
      </c>
      <c r="P32" s="296">
        <f>'FEEDER Consumption '!Y32</f>
        <v>3016</v>
      </c>
      <c r="Q32" s="296">
        <f>'FEEDER Consumption '!AD32</f>
        <v>1700</v>
      </c>
      <c r="R32" s="296">
        <f>'FEEDER Consumption '!AJ32</f>
        <v>459</v>
      </c>
      <c r="S32" s="296">
        <f>'FEEDER Consumption '!AO32</f>
        <v>700</v>
      </c>
      <c r="T32" s="296">
        <f>'FEEDER Consumption '!AT32</f>
        <v>1600</v>
      </c>
      <c r="U32" s="296">
        <f>'FEEDER Consumption '!AY32</f>
        <v>392</v>
      </c>
      <c r="V32" s="296">
        <f>'FEEDER Consumption '!BI32</f>
        <v>300</v>
      </c>
      <c r="W32" s="296">
        <f>'FEEDER Consumption '!BI32</f>
        <v>300</v>
      </c>
      <c r="X32" s="296">
        <f>'FEEDER Consumption '!BN32</f>
        <v>600</v>
      </c>
      <c r="Y32" s="296">
        <f>'FEEDER Consumption '!BS32</f>
        <v>120</v>
      </c>
      <c r="Z32" s="296">
        <f>'FEEDER Consumption '!BX32</f>
        <v>310</v>
      </c>
      <c r="AA32" s="296">
        <f>'FEEDER Consumption '!CC32</f>
        <v>1200</v>
      </c>
      <c r="AB32" s="296">
        <f>'FEEDER Consumption '!CH32</f>
        <v>390</v>
      </c>
      <c r="AC32" s="296">
        <f>'FEEDER Consumption '!CM32</f>
        <v>1030</v>
      </c>
      <c r="AD32" s="296">
        <f>'FEEDER Consumption '!CR32</f>
        <v>1060</v>
      </c>
      <c r="AE32" s="296">
        <f>'FEEDER Consumption '!DB32</f>
        <v>1100</v>
      </c>
      <c r="AF32" s="296">
        <f>'FEEDER Consumption '!DB32</f>
        <v>1100</v>
      </c>
      <c r="AG32" s="296">
        <f>'FEEDER Consumption '!DG32</f>
        <v>830</v>
      </c>
      <c r="AH32" s="296">
        <f>'FEEDER Consumption '!DL32</f>
        <v>630</v>
      </c>
      <c r="AI32" s="296">
        <f>'FEEDER Consumption '!DQ32</f>
        <v>310</v>
      </c>
      <c r="AJ32" s="296">
        <f>'FEEDER Consumption '!DV32</f>
        <v>120</v>
      </c>
      <c r="AK32" s="296">
        <f>'FEEDER Consumption '!EA32</f>
        <v>1030</v>
      </c>
      <c r="AL32" s="296">
        <f>'FEEDER Consumption '!EF32</f>
        <v>290</v>
      </c>
      <c r="AM32" s="296">
        <f>'FEEDER Consumption '!EK32</f>
        <v>360</v>
      </c>
      <c r="AN32" s="297">
        <f>'FEEDER Consumption '!EP32</f>
        <v>510</v>
      </c>
      <c r="AO32" s="298">
        <f>SUM(WATER!C33,WATER!H33,WATER!M33,WATER!R33)</f>
        <v>916631</v>
      </c>
      <c r="AP32" s="299">
        <f t="shared" si="2"/>
        <v>337</v>
      </c>
      <c r="AQ32" s="299">
        <f>WATER!D33</f>
        <v>184</v>
      </c>
      <c r="AR32" s="299">
        <f>WATER!I33</f>
        <v>14</v>
      </c>
      <c r="AS32" s="299">
        <f>WATER!N33</f>
        <v>139</v>
      </c>
      <c r="AT32" s="299">
        <f>WATER!S33</f>
        <v>0</v>
      </c>
      <c r="AU32" s="299">
        <f>WATER!AD33</f>
        <v>23</v>
      </c>
      <c r="AV32" s="299">
        <f>WATER!AI33</f>
        <v>6</v>
      </c>
      <c r="AW32" s="299">
        <f>WATER!AN33</f>
        <v>9</v>
      </c>
      <c r="AX32" s="299">
        <f>WATER!AS33</f>
        <v>10</v>
      </c>
      <c r="AY32" s="299">
        <f>WATER!AX33</f>
        <v>7</v>
      </c>
      <c r="AZ32" s="299">
        <f>WATER!BC33</f>
        <v>7</v>
      </c>
      <c r="BA32" s="299">
        <f>WATER!BH33</f>
        <v>0</v>
      </c>
      <c r="BB32" s="299">
        <f>WATER!BM33</f>
        <v>8</v>
      </c>
      <c r="BC32" s="299">
        <f>WATER!BR33</f>
        <v>0</v>
      </c>
      <c r="BD32" s="299">
        <f>WATER!BW33</f>
        <v>0</v>
      </c>
      <c r="BE32" s="299">
        <f>WATER!CB33</f>
        <v>3</v>
      </c>
      <c r="BF32" s="299">
        <f>WATER!CG33</f>
        <v>0</v>
      </c>
      <c r="BG32" s="299">
        <f>WATER!CL33</f>
        <v>31</v>
      </c>
      <c r="BH32" s="299">
        <f>WATER!CQ33</f>
        <v>9</v>
      </c>
      <c r="BI32" s="299">
        <f>WATER!CV33</f>
        <v>1</v>
      </c>
      <c r="BJ32" s="299">
        <f>WATER!DA33</f>
        <v>0</v>
      </c>
      <c r="BK32" s="299">
        <f>WATER!DF33</f>
        <v>8</v>
      </c>
      <c r="BL32" s="299">
        <f>WATER!DK33</f>
        <v>3</v>
      </c>
      <c r="BM32" s="299">
        <f>WATER!DP33</f>
        <v>13</v>
      </c>
      <c r="BN32" s="299">
        <f>WATER!DU33</f>
        <v>5</v>
      </c>
      <c r="BO32" s="299">
        <f>WATER!DZ33</f>
        <v>1</v>
      </c>
      <c r="BP32" s="141">
        <f>'Room Nights and Food Covers'!B32</f>
        <v>44.7</v>
      </c>
      <c r="BQ32" s="141">
        <f>'Room Nights and Food Covers'!C32</f>
        <v>330</v>
      </c>
    </row>
    <row r="33" spans="1:69" ht="36" customHeight="1">
      <c r="A33" s="142">
        <f t="shared" si="0"/>
        <v>44955</v>
      </c>
      <c r="C33" s="291">
        <f>SUM('GENSET #1'!C38+'GENSET #2'!C38+'GENSET #3'!C38+'GENSET #4'!C38+'GENSET #5'!C38)</f>
        <v>106273059</v>
      </c>
      <c r="D33" s="296">
        <f t="shared" si="4"/>
        <v>24818</v>
      </c>
      <c r="E33" s="291">
        <f>'Gas-2'!G34</f>
        <v>315</v>
      </c>
      <c r="F33" s="296">
        <f t="shared" si="3"/>
        <v>45</v>
      </c>
      <c r="G33" s="296">
        <f>'GENSET #1'!D38</f>
        <v>2671</v>
      </c>
      <c r="H33" s="296">
        <f>'GENSET #2'!D38</f>
        <v>13884</v>
      </c>
      <c r="I33" s="296">
        <f>'GENSET #3'!D38</f>
        <v>0</v>
      </c>
      <c r="J33" s="296">
        <f>'GENSET #4'!D38</f>
        <v>2373</v>
      </c>
      <c r="K33" s="296">
        <f>'GENSET #5'!D38</f>
        <v>5890</v>
      </c>
      <c r="L33" s="296">
        <f>'FEEDER Consumption '!E33</f>
        <v>3363</v>
      </c>
      <c r="M33" s="296">
        <f>'FEEDER Consumption '!J33</f>
        <v>3635</v>
      </c>
      <c r="N33" s="296">
        <f>'FEEDER Consumption '!O33</f>
        <v>11537</v>
      </c>
      <c r="O33" s="296">
        <f>'FEEDER Consumption '!T33</f>
        <v>2100</v>
      </c>
      <c r="P33" s="296">
        <f>'FEEDER Consumption '!Y33</f>
        <v>2810</v>
      </c>
      <c r="Q33" s="296">
        <f>'FEEDER Consumption '!AD33</f>
        <v>1500</v>
      </c>
      <c r="R33" s="296">
        <f>'FEEDER Consumption '!AJ33</f>
        <v>514</v>
      </c>
      <c r="S33" s="296">
        <f>'FEEDER Consumption '!AO33</f>
        <v>700</v>
      </c>
      <c r="T33" s="296">
        <f>'FEEDER Consumption '!AT33</f>
        <v>1900</v>
      </c>
      <c r="U33" s="296">
        <f>'FEEDER Consumption '!AY33</f>
        <v>369</v>
      </c>
      <c r="V33" s="296">
        <f>'FEEDER Consumption '!BI33</f>
        <v>300</v>
      </c>
      <c r="W33" s="296">
        <f>'FEEDER Consumption '!BI33</f>
        <v>300</v>
      </c>
      <c r="X33" s="296">
        <f>'FEEDER Consumption '!BN33</f>
        <v>500</v>
      </c>
      <c r="Y33" s="296">
        <f>'FEEDER Consumption '!BS33</f>
        <v>110</v>
      </c>
      <c r="Z33" s="296">
        <f>'FEEDER Consumption '!BX33</f>
        <v>340</v>
      </c>
      <c r="AA33" s="296">
        <f>'FEEDER Consumption '!CC33</f>
        <v>1100</v>
      </c>
      <c r="AB33" s="296">
        <f>'FEEDER Consumption '!CH33</f>
        <v>430</v>
      </c>
      <c r="AC33" s="296">
        <f>'FEEDER Consumption '!CM33</f>
        <v>790</v>
      </c>
      <c r="AD33" s="296">
        <f>'FEEDER Consumption '!CR33</f>
        <v>780</v>
      </c>
      <c r="AE33" s="296">
        <f>'FEEDER Consumption '!DB33</f>
        <v>1000</v>
      </c>
      <c r="AF33" s="296">
        <f>'FEEDER Consumption '!DB33</f>
        <v>1000</v>
      </c>
      <c r="AG33" s="296">
        <f>'FEEDER Consumption '!DG33</f>
        <v>570</v>
      </c>
      <c r="AH33" s="296">
        <f>'FEEDER Consumption '!DL33</f>
        <v>470</v>
      </c>
      <c r="AI33" s="296">
        <f>'FEEDER Consumption '!DQ33</f>
        <v>320</v>
      </c>
      <c r="AJ33" s="296">
        <f>'FEEDER Consumption '!DV33</f>
        <v>110</v>
      </c>
      <c r="AK33" s="296">
        <f>'FEEDER Consumption '!EA33</f>
        <v>910</v>
      </c>
      <c r="AL33" s="296">
        <f>'FEEDER Consumption '!EF33</f>
        <v>250</v>
      </c>
      <c r="AM33" s="296">
        <f>'FEEDER Consumption '!EK33</f>
        <v>400</v>
      </c>
      <c r="AN33" s="297">
        <f>'FEEDER Consumption '!EP33</f>
        <v>520</v>
      </c>
      <c r="AO33" s="298">
        <f>SUM(WATER!C34,WATER!H34,WATER!M34,WATER!R34)</f>
        <v>916932</v>
      </c>
      <c r="AP33" s="299">
        <f t="shared" si="2"/>
        <v>301</v>
      </c>
      <c r="AQ33" s="299">
        <f>WATER!D34</f>
        <v>169</v>
      </c>
      <c r="AR33" s="299">
        <f>WATER!I34</f>
        <v>0</v>
      </c>
      <c r="AS33" s="299">
        <f>WATER!N34</f>
        <v>116</v>
      </c>
      <c r="AT33" s="299">
        <f>WATER!S34</f>
        <v>16</v>
      </c>
      <c r="AU33" s="299">
        <f>WATER!AD34</f>
        <v>28</v>
      </c>
      <c r="AV33" s="299">
        <f>WATER!AI34</f>
        <v>5</v>
      </c>
      <c r="AW33" s="299">
        <f>WATER!AN34</f>
        <v>9</v>
      </c>
      <c r="AX33" s="299">
        <f>WATER!AS34</f>
        <v>10</v>
      </c>
      <c r="AY33" s="299">
        <f>WATER!AX34</f>
        <v>8</v>
      </c>
      <c r="AZ33" s="299">
        <f>WATER!BC34</f>
        <v>5</v>
      </c>
      <c r="BA33" s="299">
        <f>WATER!BH34</f>
        <v>18</v>
      </c>
      <c r="BB33" s="299">
        <f>WATER!BM34</f>
        <v>8</v>
      </c>
      <c r="BC33" s="299">
        <f>WATER!BR34</f>
        <v>1</v>
      </c>
      <c r="BD33" s="299">
        <f>WATER!BW34</f>
        <v>1</v>
      </c>
      <c r="BE33" s="299">
        <f>WATER!CB34</f>
        <v>3</v>
      </c>
      <c r="BF33" s="299">
        <f>WATER!CG34</f>
        <v>2</v>
      </c>
      <c r="BG33" s="299">
        <f>WATER!CL34</f>
        <v>31</v>
      </c>
      <c r="BH33" s="299">
        <f>WATER!CQ34</f>
        <v>9</v>
      </c>
      <c r="BI33" s="299">
        <f>WATER!CV34</f>
        <v>0</v>
      </c>
      <c r="BJ33" s="299">
        <f>WATER!DA34</f>
        <v>2</v>
      </c>
      <c r="BK33" s="299">
        <f>WATER!DF34</f>
        <v>2</v>
      </c>
      <c r="BL33" s="299">
        <f>WATER!DK34</f>
        <v>3</v>
      </c>
      <c r="BM33" s="299">
        <f>WATER!DP34</f>
        <v>15</v>
      </c>
      <c r="BN33" s="299">
        <f>WATER!DU34</f>
        <v>8</v>
      </c>
      <c r="BO33" s="299">
        <f>WATER!DZ34</f>
        <v>1</v>
      </c>
      <c r="BP33" s="141">
        <f>'Room Nights and Food Covers'!B33</f>
        <v>45.6</v>
      </c>
      <c r="BQ33" s="141">
        <f>'Room Nights and Food Covers'!C33</f>
        <v>318</v>
      </c>
    </row>
    <row r="34" spans="1:69" ht="36" customHeight="1">
      <c r="A34" s="142">
        <f t="shared" si="0"/>
        <v>44956</v>
      </c>
      <c r="C34" s="291">
        <f>SUM('GENSET #1'!C39+'GENSET #2'!C39+'GENSET #3'!C39+'GENSET #4'!C39+'GENSET #5'!C39)</f>
        <v>106297098</v>
      </c>
      <c r="D34" s="296">
        <f t="shared" si="4"/>
        <v>24039</v>
      </c>
      <c r="E34" s="291">
        <f>'Gas-2'!G35</f>
        <v>315</v>
      </c>
      <c r="F34" s="296">
        <f t="shared" si="3"/>
        <v>0</v>
      </c>
      <c r="G34" s="296">
        <f>'GENSET #1'!D39</f>
        <v>2228</v>
      </c>
      <c r="H34" s="296">
        <f>'GENSET #2'!D39</f>
        <v>14341</v>
      </c>
      <c r="I34" s="296">
        <f>'GENSET #3'!D39</f>
        <v>0</v>
      </c>
      <c r="J34" s="296">
        <f>'GENSET #4'!D39</f>
        <v>4</v>
      </c>
      <c r="K34" s="296">
        <f>'GENSET #5'!D39</f>
        <v>7466</v>
      </c>
      <c r="L34" s="296">
        <f>'FEEDER Consumption '!E34</f>
        <v>3478</v>
      </c>
      <c r="M34" s="296">
        <f>'FEEDER Consumption '!J34</f>
        <v>3924</v>
      </c>
      <c r="N34" s="296">
        <f>'FEEDER Consumption '!O34</f>
        <v>10776</v>
      </c>
      <c r="O34" s="296">
        <f>'FEEDER Consumption '!T34</f>
        <v>2100</v>
      </c>
      <c r="P34" s="296">
        <f>'FEEDER Consumption '!Y34</f>
        <v>2867</v>
      </c>
      <c r="Q34" s="296">
        <f>'FEEDER Consumption '!AD34</f>
        <v>1600</v>
      </c>
      <c r="R34" s="296">
        <f>'FEEDER Consumption '!AJ34</f>
        <v>510</v>
      </c>
      <c r="S34" s="296">
        <f>'FEEDER Consumption '!AO34</f>
        <v>700</v>
      </c>
      <c r="T34" s="296">
        <f>'FEEDER Consumption '!AT34</f>
        <v>1700</v>
      </c>
      <c r="U34" s="296">
        <f>'FEEDER Consumption '!AY34</f>
        <v>352</v>
      </c>
      <c r="V34" s="296">
        <f>'FEEDER Consumption '!BI34</f>
        <v>200</v>
      </c>
      <c r="W34" s="296">
        <f>'FEEDER Consumption '!BI34</f>
        <v>200</v>
      </c>
      <c r="X34" s="296">
        <f>'FEEDER Consumption '!BN34</f>
        <v>500</v>
      </c>
      <c r="Y34" s="296">
        <f>'FEEDER Consumption '!BS34</f>
        <v>110</v>
      </c>
      <c r="Z34" s="296">
        <f>'FEEDER Consumption '!BX34</f>
        <v>330</v>
      </c>
      <c r="AA34" s="296">
        <f>'FEEDER Consumption '!CC34</f>
        <v>1200</v>
      </c>
      <c r="AB34" s="296">
        <f>'FEEDER Consumption '!CH34</f>
        <v>390</v>
      </c>
      <c r="AC34" s="296">
        <f>'FEEDER Consumption '!CM34</f>
        <v>810</v>
      </c>
      <c r="AD34" s="296">
        <f>'FEEDER Consumption '!CR34</f>
        <v>830</v>
      </c>
      <c r="AE34" s="296">
        <f>'FEEDER Consumption '!DB34</f>
        <v>1000</v>
      </c>
      <c r="AF34" s="296">
        <f>'FEEDER Consumption '!DB34</f>
        <v>1000</v>
      </c>
      <c r="AG34" s="296">
        <f>'FEEDER Consumption '!DG34</f>
        <v>860</v>
      </c>
      <c r="AH34" s="296">
        <f>'FEEDER Consumption '!DL34</f>
        <v>600</v>
      </c>
      <c r="AI34" s="296">
        <f>'FEEDER Consumption '!DQ34</f>
        <v>330</v>
      </c>
      <c r="AJ34" s="296">
        <f>'FEEDER Consumption '!DV34</f>
        <v>130</v>
      </c>
      <c r="AK34" s="296">
        <f>'FEEDER Consumption '!EA34</f>
        <v>1020</v>
      </c>
      <c r="AL34" s="296">
        <f>'FEEDER Consumption '!EF34</f>
        <v>310</v>
      </c>
      <c r="AM34" s="296">
        <f>'FEEDER Consumption '!EK34</f>
        <v>370</v>
      </c>
      <c r="AN34" s="297">
        <f>'FEEDER Consumption '!EP34</f>
        <v>540</v>
      </c>
      <c r="AO34" s="298">
        <f>SUM(WATER!C35,WATER!H35,WATER!M35,WATER!R35)</f>
        <v>917263</v>
      </c>
      <c r="AP34" s="299">
        <f t="shared" si="2"/>
        <v>331</v>
      </c>
      <c r="AQ34" s="299">
        <f>WATER!D35</f>
        <v>173</v>
      </c>
      <c r="AR34" s="299">
        <f>WATER!I35</f>
        <v>20</v>
      </c>
      <c r="AS34" s="299">
        <f>WATER!N35</f>
        <v>138</v>
      </c>
      <c r="AT34" s="299">
        <f>WATER!S35</f>
        <v>0</v>
      </c>
      <c r="AU34" s="299">
        <f>WATER!AD35</f>
        <v>27</v>
      </c>
      <c r="AV34" s="299">
        <f>WATER!AI35</f>
        <v>6</v>
      </c>
      <c r="AW34" s="299">
        <f>WATER!AN35</f>
        <v>9</v>
      </c>
      <c r="AX34" s="299">
        <f>WATER!AS35</f>
        <v>10</v>
      </c>
      <c r="AY34" s="299">
        <f>WATER!AX35</f>
        <v>8</v>
      </c>
      <c r="AZ34" s="299">
        <f>WATER!BC35</f>
        <v>5</v>
      </c>
      <c r="BA34" s="299">
        <f>WATER!BH35</f>
        <v>10</v>
      </c>
      <c r="BB34" s="299">
        <f>WATER!BM35</f>
        <v>8</v>
      </c>
      <c r="BC34" s="299">
        <f>WATER!BR35</f>
        <v>1</v>
      </c>
      <c r="BD34" s="299">
        <f>WATER!BW35</f>
        <v>0</v>
      </c>
      <c r="BE34" s="299">
        <f>WATER!CB35</f>
        <v>3</v>
      </c>
      <c r="BF34" s="299">
        <f>WATER!CG35</f>
        <v>3</v>
      </c>
      <c r="BG34" s="299">
        <f>WATER!CL35</f>
        <v>30</v>
      </c>
      <c r="BH34" s="299">
        <f>WATER!CQ35</f>
        <v>8</v>
      </c>
      <c r="BI34" s="299">
        <f>WATER!CV35</f>
        <v>1</v>
      </c>
      <c r="BJ34" s="299">
        <f>WATER!DA35</f>
        <v>1</v>
      </c>
      <c r="BK34" s="299">
        <f>WATER!DF35</f>
        <v>3</v>
      </c>
      <c r="BL34" s="299">
        <f>WATER!DK35</f>
        <v>1</v>
      </c>
      <c r="BM34" s="299">
        <f>WATER!DP35</f>
        <v>14</v>
      </c>
      <c r="BN34" s="299">
        <f>WATER!DU35</f>
        <v>5</v>
      </c>
      <c r="BO34" s="299">
        <f>WATER!DZ35</f>
        <v>0</v>
      </c>
      <c r="BP34" s="141">
        <f>'Room Nights and Food Covers'!B34</f>
        <v>45.6</v>
      </c>
      <c r="BQ34" s="141">
        <f>'Room Nights and Food Covers'!C34</f>
        <v>302</v>
      </c>
    </row>
    <row r="35" spans="1:69" ht="36" customHeight="1">
      <c r="A35" s="142">
        <f t="shared" si="0"/>
        <v>44957</v>
      </c>
      <c r="C35" s="291">
        <f>SUM('GENSET #1'!C40+'GENSET #2'!C40+'GENSET #3'!C40+'GENSET #4'!C40+'GENSET #5'!C40)</f>
        <v>106322316</v>
      </c>
      <c r="D35" s="296">
        <f t="shared" ref="D35" si="5">IF((C35-C34&lt;0), "0",C35-C34)</f>
        <v>25218</v>
      </c>
      <c r="E35" s="291">
        <f>'Gas-2'!G36</f>
        <v>225</v>
      </c>
      <c r="F35" s="296" t="str">
        <f t="shared" ref="F35" si="6">IF((E35-E34&lt;0), "0",E35-E34)</f>
        <v>0</v>
      </c>
      <c r="G35" s="296">
        <f>'GENSET #1'!D40</f>
        <v>5489</v>
      </c>
      <c r="H35" s="296">
        <f>'GENSET #2'!D40</f>
        <v>9630</v>
      </c>
      <c r="I35" s="296">
        <f>'GENSET #3'!D40</f>
        <v>0</v>
      </c>
      <c r="J35" s="296">
        <f>'GENSET #4'!D40</f>
        <v>3232</v>
      </c>
      <c r="K35" s="296">
        <f>'GENSET #5'!D40</f>
        <v>6867</v>
      </c>
      <c r="L35" s="296">
        <f>'FEEDER Consumption '!E35</f>
        <v>3801</v>
      </c>
      <c r="M35" s="296">
        <f>'FEEDER Consumption '!J35</f>
        <v>4077</v>
      </c>
      <c r="N35" s="296">
        <f>'FEEDER Consumption '!O35</f>
        <v>10874</v>
      </c>
      <c r="O35" s="296">
        <f>'FEEDER Consumption '!T35</f>
        <v>2100</v>
      </c>
      <c r="P35" s="296">
        <f>'FEEDER Consumption '!Y35</f>
        <v>2922</v>
      </c>
      <c r="Q35" s="296">
        <f>'FEEDER Consumption '!AD35</f>
        <v>1700</v>
      </c>
      <c r="R35" s="296">
        <f>'FEEDER Consumption '!AJ35</f>
        <v>512</v>
      </c>
      <c r="S35" s="296">
        <f>'FEEDER Consumption '!AO35</f>
        <v>700</v>
      </c>
      <c r="T35" s="296">
        <f>'FEEDER Consumption '!AT35</f>
        <v>1600</v>
      </c>
      <c r="U35" s="296">
        <f>'FEEDER Consumption '!AY35</f>
        <v>357</v>
      </c>
      <c r="V35" s="296">
        <f>'FEEDER Consumption '!BI35</f>
        <v>300</v>
      </c>
      <c r="W35" s="296">
        <f>'FEEDER Consumption '!BI35</f>
        <v>300</v>
      </c>
      <c r="X35" s="296">
        <f>'FEEDER Consumption '!BN35</f>
        <v>500</v>
      </c>
      <c r="Y35" s="296">
        <f>'FEEDER Consumption '!BS35</f>
        <v>110</v>
      </c>
      <c r="Z35" s="296">
        <f>'FEEDER Consumption '!BX35</f>
        <v>310</v>
      </c>
      <c r="AA35" s="296">
        <f>'FEEDER Consumption '!CC35</f>
        <v>1100</v>
      </c>
      <c r="AB35" s="296">
        <f>'FEEDER Consumption '!CH35</f>
        <v>430</v>
      </c>
      <c r="AC35" s="296">
        <f>'FEEDER Consumption '!CM35</f>
        <v>910</v>
      </c>
      <c r="AD35" s="296">
        <f>'FEEDER Consumption '!CR35</f>
        <v>950</v>
      </c>
      <c r="AE35" s="296">
        <f>'FEEDER Consumption '!DB35</f>
        <v>900</v>
      </c>
      <c r="AF35" s="296">
        <f>'FEEDER Consumption '!DB35</f>
        <v>900</v>
      </c>
      <c r="AG35" s="296">
        <f>'FEEDER Consumption '!DG35</f>
        <v>800</v>
      </c>
      <c r="AH35" s="296">
        <f>'FEEDER Consumption '!DL35</f>
        <v>570</v>
      </c>
      <c r="AI35" s="296">
        <f>'FEEDER Consumption '!DQ35</f>
        <v>340</v>
      </c>
      <c r="AJ35" s="296">
        <f>'FEEDER Consumption '!DV35</f>
        <v>120</v>
      </c>
      <c r="AK35" s="296">
        <f>'FEEDER Consumption '!EA35</f>
        <v>1000</v>
      </c>
      <c r="AL35" s="296">
        <f>'FEEDER Consumption '!EF35</f>
        <v>270</v>
      </c>
      <c r="AM35" s="296">
        <f>'FEEDER Consumption '!EK35</f>
        <v>380</v>
      </c>
      <c r="AN35" s="297">
        <f>'FEEDER Consumption '!EP35</f>
        <v>530</v>
      </c>
      <c r="AO35" s="298">
        <f>SUM(WATER!C36,WATER!H36,WATER!M36,WATER!R36)</f>
        <v>917575</v>
      </c>
      <c r="AP35" s="299">
        <f t="shared" ref="AP35" si="7">IF((AO35-AO34&lt;0), "0",AO35-AO34)</f>
        <v>312</v>
      </c>
      <c r="AQ35" s="299">
        <f>WATER!D36</f>
        <v>173</v>
      </c>
      <c r="AR35" s="299">
        <f>WATER!I36</f>
        <v>0</v>
      </c>
      <c r="AS35" s="299">
        <f>WATER!N36</f>
        <v>139</v>
      </c>
      <c r="AT35" s="299">
        <f>WATER!S36</f>
        <v>0</v>
      </c>
      <c r="AU35" s="299">
        <f>WATER!AD36</f>
        <v>28</v>
      </c>
      <c r="AV35" s="299">
        <f>WATER!AI36</f>
        <v>6</v>
      </c>
      <c r="AW35" s="299">
        <f>WATER!AN36</f>
        <v>10</v>
      </c>
      <c r="AX35" s="299">
        <f>WATER!AS36</f>
        <v>11</v>
      </c>
      <c r="AY35" s="299">
        <f>WATER!AX36</f>
        <v>7</v>
      </c>
      <c r="AZ35" s="299">
        <f>WATER!BC36</f>
        <v>6</v>
      </c>
      <c r="BA35" s="299">
        <f>WATER!BH36</f>
        <v>9</v>
      </c>
      <c r="BB35" s="299">
        <f>WATER!BM36</f>
        <v>7</v>
      </c>
      <c r="BC35" s="299">
        <f>WATER!BR36</f>
        <v>1</v>
      </c>
      <c r="BD35" s="299">
        <f>WATER!BW36</f>
        <v>0</v>
      </c>
      <c r="BE35" s="299">
        <f>WATER!CB36</f>
        <v>4</v>
      </c>
      <c r="BF35" s="299">
        <f>WATER!CG36</f>
        <v>2</v>
      </c>
      <c r="BG35" s="299">
        <f>WATER!CL36</f>
        <v>29</v>
      </c>
      <c r="BH35" s="299">
        <f>WATER!CQ36</f>
        <v>9</v>
      </c>
      <c r="BI35" s="299">
        <f>WATER!CV36</f>
        <v>0</v>
      </c>
      <c r="BJ35" s="299">
        <f>WATER!DA36</f>
        <v>1</v>
      </c>
      <c r="BK35" s="299">
        <f>WATER!DF36</f>
        <v>3</v>
      </c>
      <c r="BL35" s="299">
        <f>WATER!DK36</f>
        <v>2</v>
      </c>
      <c r="BM35" s="299">
        <f>WATER!DP36</f>
        <v>17</v>
      </c>
      <c r="BN35" s="299">
        <f>WATER!DU36</f>
        <v>3</v>
      </c>
      <c r="BO35" s="299">
        <f>WATER!DZ36</f>
        <v>0</v>
      </c>
      <c r="BP35" s="141">
        <f>'Room Nights and Food Covers'!B35</f>
        <v>49.5</v>
      </c>
      <c r="BQ35" s="141">
        <f>'Room Nights and Food Covers'!C35</f>
        <v>317</v>
      </c>
    </row>
    <row r="36" spans="1:69" ht="16.5">
      <c r="C36" s="137"/>
      <c r="D36" s="143"/>
      <c r="E36" s="137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301"/>
      <c r="AO36" s="302"/>
      <c r="AP36" s="143"/>
      <c r="AQ36" s="303"/>
      <c r="AR36" s="303"/>
      <c r="AS36" s="303"/>
      <c r="AT36" s="303"/>
      <c r="AU36" s="303"/>
      <c r="AV36" s="303"/>
      <c r="AW36" s="303"/>
      <c r="AX36" s="303"/>
      <c r="AY36" s="303"/>
      <c r="AZ36" s="303"/>
      <c r="BA36" s="303"/>
      <c r="BB36" s="303"/>
      <c r="BC36" s="303"/>
      <c r="BD36" s="303"/>
      <c r="BE36" s="303"/>
      <c r="BF36" s="303"/>
      <c r="BG36" s="303"/>
      <c r="BH36" s="303"/>
      <c r="BI36" s="303"/>
      <c r="BJ36" s="303"/>
      <c r="BK36" s="303"/>
      <c r="BL36" s="303"/>
      <c r="BM36" s="303"/>
      <c r="BN36" s="303"/>
      <c r="BO36" s="303"/>
      <c r="BP36" s="144"/>
    </row>
  </sheetData>
  <mergeCells count="5">
    <mergeCell ref="AO1:AP1"/>
    <mergeCell ref="AO2:AP2"/>
    <mergeCell ref="B1:B32"/>
    <mergeCell ref="C2:D2"/>
    <mergeCell ref="E2:F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53EE-F963-4168-8FB0-4AE54A0128E2}">
  <sheetPr>
    <tabColor rgb="FFFF0000"/>
    <pageSetUpPr fitToPage="1"/>
  </sheetPr>
  <dimension ref="A1:K41"/>
  <sheetViews>
    <sheetView topLeftCell="A4" zoomScaleNormal="100" workbookViewId="0">
      <selection activeCell="H15" sqref="H15"/>
    </sheetView>
  </sheetViews>
  <sheetFormatPr defaultRowHeight="12.75"/>
  <cols>
    <col min="1" max="1" width="9.5703125" style="128" customWidth="1"/>
    <col min="2" max="3" width="11.85546875" style="109" customWidth="1"/>
    <col min="4" max="4" width="11.42578125" style="109" customWidth="1"/>
    <col min="5" max="5" width="11.85546875" style="269" customWidth="1"/>
    <col min="6" max="6" width="18.5703125" style="269" customWidth="1"/>
    <col min="7" max="7" width="15.5703125" style="109" customWidth="1"/>
    <col min="8" max="8" width="14.5703125" style="282" customWidth="1"/>
    <col min="9" max="9" width="16.140625" style="109" customWidth="1"/>
    <col min="10" max="10" width="16.42578125" style="109" customWidth="1"/>
    <col min="11" max="11" width="17.7109375" style="109" customWidth="1"/>
    <col min="12" max="16384" width="9.140625" style="90"/>
  </cols>
  <sheetData>
    <row r="1" spans="1:11" ht="35.25" customHeight="1">
      <c r="A1" s="385"/>
      <c r="B1" s="385"/>
      <c r="C1" s="385"/>
      <c r="D1" s="385"/>
      <c r="E1" s="385"/>
      <c r="F1" s="385"/>
      <c r="G1" s="385"/>
      <c r="H1" s="385"/>
      <c r="I1" s="385"/>
      <c r="J1" s="385"/>
      <c r="K1" s="385"/>
    </row>
    <row r="2" spans="1:11">
      <c r="A2" s="268"/>
      <c r="H2" s="81"/>
    </row>
    <row r="3" spans="1:11">
      <c r="A3" s="268"/>
      <c r="B3" s="270"/>
      <c r="C3" s="270"/>
      <c r="H3" s="81"/>
    </row>
    <row r="4" spans="1:11" ht="20.25" customHeight="1">
      <c r="A4" s="386" t="s">
        <v>90</v>
      </c>
      <c r="B4" s="386"/>
      <c r="C4" s="386"/>
      <c r="D4" s="386"/>
      <c r="E4" s="386"/>
      <c r="F4" s="386"/>
      <c r="G4" s="386"/>
      <c r="H4" s="386"/>
      <c r="I4" s="386"/>
      <c r="J4" s="386"/>
      <c r="K4" s="386"/>
    </row>
    <row r="5" spans="1:11">
      <c r="A5" s="387">
        <v>44927</v>
      </c>
      <c r="B5" s="388"/>
      <c r="C5" s="388"/>
      <c r="D5" s="388"/>
      <c r="E5" s="388"/>
      <c r="F5" s="388"/>
      <c r="G5" s="388"/>
      <c r="H5" s="388"/>
      <c r="I5" s="388"/>
      <c r="J5" s="388"/>
      <c r="K5" s="388"/>
    </row>
    <row r="6" spans="1:11">
      <c r="G6" s="271"/>
      <c r="H6" s="272"/>
    </row>
    <row r="7" spans="1:11" ht="38.25">
      <c r="A7" s="273" t="s">
        <v>91</v>
      </c>
      <c r="B7" s="274" t="s">
        <v>92</v>
      </c>
      <c r="C7" s="274" t="s">
        <v>93</v>
      </c>
      <c r="D7" s="274" t="s">
        <v>94</v>
      </c>
      <c r="E7" s="275" t="s">
        <v>95</v>
      </c>
      <c r="F7" s="275" t="s">
        <v>96</v>
      </c>
      <c r="G7" s="274" t="s">
        <v>97</v>
      </c>
      <c r="H7" s="78" t="s">
        <v>98</v>
      </c>
      <c r="I7" s="274" t="s">
        <v>99</v>
      </c>
      <c r="J7" s="274" t="s">
        <v>100</v>
      </c>
      <c r="K7" s="274" t="s">
        <v>101</v>
      </c>
    </row>
    <row r="8" spans="1:11" ht="15" customHeight="1">
      <c r="A8" s="106">
        <v>1</v>
      </c>
      <c r="B8" s="276">
        <f>TOTAL!M2</f>
        <v>96</v>
      </c>
      <c r="C8" s="283">
        <f>'Room Nights and Food Covers'!D4</f>
        <v>0</v>
      </c>
      <c r="D8" s="75">
        <f>SUM('GENSET #1:GENSET #5'!D10)</f>
        <v>30154</v>
      </c>
      <c r="E8" s="80">
        <f>'SOLAR METER READING'!D9</f>
        <v>2990</v>
      </c>
      <c r="F8" s="80">
        <f>E8+D8</f>
        <v>33144</v>
      </c>
      <c r="G8" s="75">
        <f>WATER!V6</f>
        <v>391</v>
      </c>
      <c r="H8" s="79">
        <f>'Gas-2'!G6</f>
        <v>405</v>
      </c>
      <c r="I8" s="75">
        <f>'Diesel consumption'!D5</f>
        <v>8380</v>
      </c>
      <c r="J8" s="75">
        <f>'Diesel consumption'!H5</f>
        <v>4200</v>
      </c>
      <c r="K8" s="75">
        <f>'Diesel consumption'!P5</f>
        <v>0</v>
      </c>
    </row>
    <row r="9" spans="1:11" ht="15" customHeight="1">
      <c r="A9" s="106">
        <v>2</v>
      </c>
      <c r="B9" s="276">
        <f>TOTAL!M3</f>
        <v>91</v>
      </c>
      <c r="C9" s="283">
        <f>'Room Nights and Food Covers'!D5</f>
        <v>258</v>
      </c>
      <c r="D9" s="75">
        <f>SUM('GENSET #1:GENSET #5'!D11)</f>
        <v>29357</v>
      </c>
      <c r="E9" s="80">
        <f>'SOLAR METER READING'!D10</f>
        <v>3058</v>
      </c>
      <c r="F9" s="80">
        <f t="shared" ref="F9:F37" si="0">E9+D9</f>
        <v>32415</v>
      </c>
      <c r="G9" s="75">
        <f>WATER!V7</f>
        <v>429</v>
      </c>
      <c r="H9" s="79">
        <f>'Gas-2'!G7</f>
        <v>270</v>
      </c>
      <c r="I9" s="75">
        <f>'Diesel consumption'!D6</f>
        <v>8520</v>
      </c>
      <c r="J9" s="75">
        <f>'Diesel consumption'!H6</f>
        <v>1110</v>
      </c>
      <c r="K9" s="75">
        <f>'Diesel consumption'!P6</f>
        <v>0</v>
      </c>
    </row>
    <row r="10" spans="1:11" ht="15" customHeight="1">
      <c r="A10" s="106">
        <v>3</v>
      </c>
      <c r="B10" s="276">
        <f>TOTAL!M4</f>
        <v>91</v>
      </c>
      <c r="C10" s="283">
        <f>'Room Nights and Food Covers'!D6</f>
        <v>246</v>
      </c>
      <c r="D10" s="75">
        <f>SUM('GENSET #1:GENSET #5'!D12)</f>
        <v>28987</v>
      </c>
      <c r="E10" s="80">
        <f>'SOLAR METER READING'!D11</f>
        <v>2887</v>
      </c>
      <c r="F10" s="80">
        <f t="shared" si="0"/>
        <v>31874</v>
      </c>
      <c r="G10" s="75">
        <f>WATER!V8</f>
        <v>399</v>
      </c>
      <c r="H10" s="79">
        <f>'Gas-2'!G8</f>
        <v>315</v>
      </c>
      <c r="I10" s="75">
        <f>'Diesel consumption'!D7</f>
        <v>8110</v>
      </c>
      <c r="J10" s="75">
        <f>'Diesel consumption'!H7</f>
        <v>2200</v>
      </c>
      <c r="K10" s="75">
        <f>'Diesel consumption'!P7</f>
        <v>0</v>
      </c>
    </row>
    <row r="11" spans="1:11" ht="15" customHeight="1">
      <c r="A11" s="106">
        <v>4</v>
      </c>
      <c r="B11" s="276">
        <f>TOTAL!M5</f>
        <v>83</v>
      </c>
      <c r="C11" s="283">
        <f>'Room Nights and Food Covers'!D7</f>
        <v>253</v>
      </c>
      <c r="D11" s="75">
        <f>SUM('GENSET #1:GENSET #5'!D13)</f>
        <v>28614</v>
      </c>
      <c r="E11" s="80">
        <f>'SOLAR METER READING'!D12</f>
        <v>3027</v>
      </c>
      <c r="F11" s="80">
        <f t="shared" si="0"/>
        <v>31641</v>
      </c>
      <c r="G11" s="75">
        <f>WATER!V9</f>
        <v>465</v>
      </c>
      <c r="H11" s="79">
        <f>'Gas-2'!G9</f>
        <v>270</v>
      </c>
      <c r="I11" s="75">
        <f>'Diesel consumption'!D8</f>
        <v>8050</v>
      </c>
      <c r="J11" s="75">
        <f>'Diesel consumption'!H8</f>
        <v>260</v>
      </c>
      <c r="K11" s="75">
        <f>'Diesel consumption'!P8</f>
        <v>0</v>
      </c>
    </row>
    <row r="12" spans="1:11" ht="15" customHeight="1">
      <c r="A12" s="106">
        <v>5</v>
      </c>
      <c r="B12" s="276">
        <f>TOTAL!M6</f>
        <v>79</v>
      </c>
      <c r="C12" s="283">
        <f>'Room Nights and Food Covers'!D8</f>
        <v>232</v>
      </c>
      <c r="D12" s="75">
        <f>SUM('GENSET #1:GENSET #5'!D14)</f>
        <v>28750</v>
      </c>
      <c r="E12" s="80">
        <f>'SOLAR METER READING'!D13</f>
        <v>2794</v>
      </c>
      <c r="F12" s="80">
        <f t="shared" si="0"/>
        <v>31544</v>
      </c>
      <c r="G12" s="75">
        <f>WATER!V10</f>
        <v>420</v>
      </c>
      <c r="H12" s="79">
        <f>'Gas-2'!G10</f>
        <v>360</v>
      </c>
      <c r="I12" s="75">
        <f>'Diesel consumption'!D9</f>
        <v>8160</v>
      </c>
      <c r="J12" s="75">
        <f>'Diesel consumption'!H9</f>
        <v>3340</v>
      </c>
      <c r="K12" s="75">
        <f>'Diesel consumption'!P9</f>
        <v>0</v>
      </c>
    </row>
    <row r="13" spans="1:11" ht="15" customHeight="1">
      <c r="A13" s="106">
        <v>6</v>
      </c>
      <c r="B13" s="276">
        <f>TOTAL!M7</f>
        <v>69</v>
      </c>
      <c r="C13" s="283">
        <f>'Room Nights and Food Covers'!D9</f>
        <v>219</v>
      </c>
      <c r="D13" s="75">
        <f>SUM('GENSET #1:GENSET #5'!D15)</f>
        <v>28931</v>
      </c>
      <c r="E13" s="80">
        <f>'SOLAR METER READING'!D14</f>
        <v>2867</v>
      </c>
      <c r="F13" s="80">
        <f t="shared" si="0"/>
        <v>31798</v>
      </c>
      <c r="G13" s="75">
        <f>WATER!V11</f>
        <v>375</v>
      </c>
      <c r="H13" s="79">
        <f>'Gas-2'!G11</f>
        <v>315</v>
      </c>
      <c r="I13" s="75">
        <f>'Diesel consumption'!D10</f>
        <v>8160</v>
      </c>
      <c r="J13" s="75">
        <f>'Diesel consumption'!H10</f>
        <v>1750</v>
      </c>
      <c r="K13" s="75">
        <f>'Diesel consumption'!P10</f>
        <v>0</v>
      </c>
    </row>
    <row r="14" spans="1:11" ht="15" customHeight="1">
      <c r="A14" s="106">
        <v>7</v>
      </c>
      <c r="B14" s="276">
        <f>TOTAL!M8</f>
        <v>63</v>
      </c>
      <c r="C14" s="283">
        <f>'Room Nights and Food Covers'!D10</f>
        <v>189</v>
      </c>
      <c r="D14" s="75">
        <f>SUM('GENSET #1:GENSET #5'!D16)</f>
        <v>27893</v>
      </c>
      <c r="E14" s="80">
        <f>'SOLAR METER READING'!D15</f>
        <v>2807</v>
      </c>
      <c r="F14" s="80">
        <f t="shared" si="0"/>
        <v>30700</v>
      </c>
      <c r="G14" s="75">
        <f>WATER!V12</f>
        <v>307</v>
      </c>
      <c r="H14" s="79">
        <f>'Gas-2'!G12</f>
        <v>270</v>
      </c>
      <c r="I14" s="75">
        <f>'Diesel consumption'!D11</f>
        <v>7810</v>
      </c>
      <c r="J14" s="75">
        <f>'Diesel consumption'!H11</f>
        <v>140</v>
      </c>
      <c r="K14" s="75">
        <f>'Diesel consumption'!P11</f>
        <v>0</v>
      </c>
    </row>
    <row r="15" spans="1:11" ht="15" customHeight="1">
      <c r="A15" s="106">
        <v>8</v>
      </c>
      <c r="B15" s="276">
        <f>TOTAL!M9</f>
        <v>45</v>
      </c>
      <c r="C15" s="283">
        <f>'Room Nights and Food Covers'!D11</f>
        <v>174</v>
      </c>
      <c r="D15" s="75">
        <f>SUM('GENSET #1:GENSET #5'!D17)</f>
        <v>26890</v>
      </c>
      <c r="E15" s="80">
        <f>'SOLAR METER READING'!D16</f>
        <v>2972</v>
      </c>
      <c r="F15" s="80">
        <f t="shared" si="0"/>
        <v>29862</v>
      </c>
      <c r="G15" s="75">
        <f>WATER!V13</f>
        <v>304</v>
      </c>
      <c r="H15" s="79">
        <f>'Gas-2'!G13</f>
        <v>315</v>
      </c>
      <c r="I15" s="75">
        <f>'Diesel consumption'!D12</f>
        <v>7650</v>
      </c>
      <c r="J15" s="75">
        <f>'Diesel consumption'!H12</f>
        <v>1660</v>
      </c>
      <c r="K15" s="75">
        <f>'Diesel consumption'!P12</f>
        <v>0</v>
      </c>
    </row>
    <row r="16" spans="1:11" ht="15" customHeight="1">
      <c r="A16" s="106">
        <v>9</v>
      </c>
      <c r="B16" s="276">
        <f>TOTAL!M10</f>
        <v>44</v>
      </c>
      <c r="C16" s="283">
        <f>'Room Nights and Food Covers'!D12</f>
        <v>135</v>
      </c>
      <c r="D16" s="75">
        <f>SUM('GENSET #1:GENSET #5'!D18)</f>
        <v>26500</v>
      </c>
      <c r="E16" s="80">
        <f>'SOLAR METER READING'!D17</f>
        <v>2822</v>
      </c>
      <c r="F16" s="80">
        <f t="shared" si="0"/>
        <v>29322</v>
      </c>
      <c r="G16" s="75">
        <f>WATER!V14</f>
        <v>331</v>
      </c>
      <c r="H16" s="79">
        <f>'Gas-2'!G14</f>
        <v>225</v>
      </c>
      <c r="I16" s="75">
        <f>'Diesel consumption'!D13</f>
        <v>7300</v>
      </c>
      <c r="J16" s="75">
        <f>'Diesel consumption'!H13</f>
        <v>1640</v>
      </c>
      <c r="K16" s="75">
        <f>'Diesel consumption'!P13</f>
        <v>0</v>
      </c>
    </row>
    <row r="17" spans="1:11" ht="15" customHeight="1">
      <c r="A17" s="106">
        <v>10</v>
      </c>
      <c r="B17" s="276">
        <f>TOTAL!M11</f>
        <v>38</v>
      </c>
      <c r="C17" s="283">
        <f>'Room Nights and Food Covers'!D13</f>
        <v>127</v>
      </c>
      <c r="D17" s="75">
        <f>SUM('GENSET #1:GENSET #5'!D19)</f>
        <v>25974</v>
      </c>
      <c r="E17" s="80">
        <f>'SOLAR METER READING'!D18</f>
        <v>2734</v>
      </c>
      <c r="F17" s="80">
        <f t="shared" si="0"/>
        <v>28708</v>
      </c>
      <c r="G17" s="75">
        <f>WATER!V15</f>
        <v>306</v>
      </c>
      <c r="H17" s="79">
        <f>'Gas-2'!G15</f>
        <v>270</v>
      </c>
      <c r="I17" s="75">
        <f>'Diesel consumption'!D14</f>
        <v>7280</v>
      </c>
      <c r="J17" s="75">
        <f>'Diesel consumption'!H14</f>
        <v>1900</v>
      </c>
      <c r="K17" s="75">
        <f>'Diesel consumption'!P14</f>
        <v>0</v>
      </c>
    </row>
    <row r="18" spans="1:11" ht="15" customHeight="1">
      <c r="A18" s="106">
        <v>11</v>
      </c>
      <c r="B18" s="276">
        <f>TOTAL!M12</f>
        <v>42</v>
      </c>
      <c r="C18" s="283">
        <f>'Room Nights and Food Covers'!D14</f>
        <v>105</v>
      </c>
      <c r="D18" s="75">
        <f>SUM('GENSET #1:GENSET #5'!D20)</f>
        <v>24892</v>
      </c>
      <c r="E18" s="80">
        <f>'SOLAR METER READING'!D19</f>
        <v>2817</v>
      </c>
      <c r="F18" s="80">
        <f t="shared" si="0"/>
        <v>27709</v>
      </c>
      <c r="G18" s="75">
        <f>WATER!V16</f>
        <v>338</v>
      </c>
      <c r="H18" s="79">
        <f>'Gas-2'!G16</f>
        <v>270</v>
      </c>
      <c r="I18" s="75">
        <f>'Diesel consumption'!D15</f>
        <v>7340</v>
      </c>
      <c r="J18" s="75">
        <f>'Diesel consumption'!H15</f>
        <v>700</v>
      </c>
      <c r="K18" s="75">
        <f>'Diesel consumption'!P15</f>
        <v>0</v>
      </c>
    </row>
    <row r="19" spans="1:11" ht="15" customHeight="1">
      <c r="A19" s="106">
        <v>12</v>
      </c>
      <c r="B19" s="276">
        <f>TOTAL!M13</f>
        <v>48</v>
      </c>
      <c r="C19" s="283">
        <f>'Room Nights and Food Covers'!D15</f>
        <v>128</v>
      </c>
      <c r="D19" s="75">
        <f>SUM('GENSET #1:GENSET #5'!D21)</f>
        <v>24291</v>
      </c>
      <c r="E19" s="80">
        <f>'SOLAR METER READING'!D20</f>
        <v>2161</v>
      </c>
      <c r="F19" s="80">
        <f t="shared" si="0"/>
        <v>26452</v>
      </c>
      <c r="G19" s="75">
        <f>WATER!V17</f>
        <v>310</v>
      </c>
      <c r="H19" s="79">
        <f>'Gas-2'!G17</f>
        <v>270</v>
      </c>
      <c r="I19" s="75">
        <f>'Diesel consumption'!D16</f>
        <v>6740</v>
      </c>
      <c r="J19" s="75">
        <f>'Diesel consumption'!H16</f>
        <v>1500</v>
      </c>
      <c r="K19" s="75">
        <f>'Diesel consumption'!P16</f>
        <v>0</v>
      </c>
    </row>
    <row r="20" spans="1:11" ht="15" customHeight="1">
      <c r="A20" s="106">
        <v>13</v>
      </c>
      <c r="B20" s="276">
        <f>TOTAL!M14</f>
        <v>52</v>
      </c>
      <c r="C20" s="283">
        <f>'Room Nights and Food Covers'!D16</f>
        <v>141</v>
      </c>
      <c r="D20" s="75">
        <f>SUM('GENSET #1:GENSET #5'!D22)</f>
        <v>23417</v>
      </c>
      <c r="E20" s="80">
        <f>'SOLAR METER READING'!D21</f>
        <v>3075</v>
      </c>
      <c r="F20" s="80">
        <f t="shared" si="0"/>
        <v>26492</v>
      </c>
      <c r="G20" s="75">
        <f>WATER!V18</f>
        <v>340</v>
      </c>
      <c r="H20" s="79">
        <f>'Gas-2'!G18</f>
        <v>270</v>
      </c>
      <c r="I20" s="75">
        <f>'Diesel consumption'!D17</f>
        <v>6580</v>
      </c>
      <c r="J20" s="75">
        <f>'Diesel consumption'!H17</f>
        <v>640</v>
      </c>
      <c r="K20" s="75">
        <f>'Diesel consumption'!P17</f>
        <v>260</v>
      </c>
    </row>
    <row r="21" spans="1:11" ht="15" customHeight="1">
      <c r="A21" s="106">
        <v>14</v>
      </c>
      <c r="B21" s="276">
        <f>TOTAL!M15</f>
        <v>55</v>
      </c>
      <c r="C21" s="283">
        <f>'Room Nights and Food Covers'!D17</f>
        <v>143</v>
      </c>
      <c r="D21" s="75">
        <f>SUM('GENSET #1:GENSET #5'!D23)</f>
        <v>24210</v>
      </c>
      <c r="E21" s="80">
        <f>'SOLAR METER READING'!D22</f>
        <v>2750</v>
      </c>
      <c r="F21" s="80">
        <f t="shared" si="0"/>
        <v>26960</v>
      </c>
      <c r="G21" s="75">
        <f>WATER!V19</f>
        <v>307</v>
      </c>
      <c r="H21" s="79">
        <f>'Gas-2'!G19</f>
        <v>225</v>
      </c>
      <c r="I21" s="75">
        <f>'Diesel consumption'!D18</f>
        <v>6890</v>
      </c>
      <c r="J21" s="75">
        <f>'Diesel consumption'!H18</f>
        <v>2540</v>
      </c>
      <c r="K21" s="75">
        <f>'Diesel consumption'!P18</f>
        <v>1310</v>
      </c>
    </row>
    <row r="22" spans="1:11" ht="15" customHeight="1">
      <c r="A22" s="106">
        <v>15</v>
      </c>
      <c r="B22" s="276">
        <f>TOTAL!M16</f>
        <v>52</v>
      </c>
      <c r="C22" s="283">
        <f>'Room Nights and Food Covers'!D18</f>
        <v>151</v>
      </c>
      <c r="D22" s="75">
        <f>SUM('GENSET #1:GENSET #5'!D24)</f>
        <v>24367</v>
      </c>
      <c r="E22" s="80">
        <f>'SOLAR METER READING'!D23</f>
        <v>2822</v>
      </c>
      <c r="F22" s="80">
        <f t="shared" si="0"/>
        <v>27189</v>
      </c>
      <c r="G22" s="75">
        <f>WATER!V20</f>
        <v>343</v>
      </c>
      <c r="H22" s="79">
        <f>'Gas-2'!G20</f>
        <v>270</v>
      </c>
      <c r="I22" s="75">
        <f>'Diesel consumption'!D19</f>
        <v>7040</v>
      </c>
      <c r="J22" s="75">
        <f>'Diesel consumption'!H19</f>
        <v>140</v>
      </c>
      <c r="K22" s="75">
        <f>'Diesel consumption'!P19</f>
        <v>1190</v>
      </c>
    </row>
    <row r="23" spans="1:11" ht="15" customHeight="1">
      <c r="A23" s="106">
        <v>16</v>
      </c>
      <c r="B23" s="276">
        <f>TOTAL!M17</f>
        <v>43</v>
      </c>
      <c r="C23" s="283">
        <f>'Room Nights and Food Covers'!D19</f>
        <v>139</v>
      </c>
      <c r="D23" s="75">
        <f>SUM('GENSET #1:GENSET #5'!D25)</f>
        <v>25620</v>
      </c>
      <c r="E23" s="80">
        <f>'SOLAR METER READING'!D24</f>
        <v>2895</v>
      </c>
      <c r="F23" s="80">
        <f t="shared" si="0"/>
        <v>28515</v>
      </c>
      <c r="G23" s="75">
        <f>WATER!V21</f>
        <v>383</v>
      </c>
      <c r="H23" s="79">
        <f>'Gas-2'!G21</f>
        <v>270</v>
      </c>
      <c r="I23" s="75">
        <f>'Diesel consumption'!D20</f>
        <v>7040</v>
      </c>
      <c r="J23" s="75">
        <f>'Diesel consumption'!H20</f>
        <v>2500</v>
      </c>
      <c r="K23" s="75">
        <f>'Diesel consumption'!P20</f>
        <v>1810</v>
      </c>
    </row>
    <row r="24" spans="1:11" ht="15" customHeight="1">
      <c r="A24" s="106">
        <v>17</v>
      </c>
      <c r="B24" s="276">
        <f>TOTAL!M18</f>
        <v>74</v>
      </c>
      <c r="C24" s="283">
        <f>'Room Nights and Food Covers'!D20</f>
        <v>117</v>
      </c>
      <c r="D24" s="75">
        <f>SUM('GENSET #1:GENSET #5'!D26)</f>
        <v>26082</v>
      </c>
      <c r="E24" s="80">
        <f>'SOLAR METER READING'!D25</f>
        <v>2775</v>
      </c>
      <c r="F24" s="80">
        <f t="shared" si="0"/>
        <v>28857</v>
      </c>
      <c r="G24" s="75">
        <f>WATER!V22</f>
        <v>391</v>
      </c>
      <c r="H24" s="79">
        <f>'Gas-2'!G22</f>
        <v>270</v>
      </c>
      <c r="I24" s="75">
        <f>'Diesel consumption'!D21</f>
        <v>7280</v>
      </c>
      <c r="J24" s="75">
        <f>'Diesel consumption'!H21</f>
        <v>970</v>
      </c>
      <c r="K24" s="75">
        <f>'Diesel consumption'!P21</f>
        <v>700</v>
      </c>
    </row>
    <row r="25" spans="1:11" ht="15" customHeight="1">
      <c r="A25" s="106">
        <v>18</v>
      </c>
      <c r="B25" s="276">
        <f>TOTAL!M19</f>
        <v>71</v>
      </c>
      <c r="C25" s="283">
        <f>'Room Nights and Food Covers'!D21</f>
        <v>166</v>
      </c>
      <c r="D25" s="75">
        <f>SUM('GENSET #1:GENSET #5'!D27)</f>
        <v>27643</v>
      </c>
      <c r="E25" s="80">
        <f>'SOLAR METER READING'!D26</f>
        <v>2337</v>
      </c>
      <c r="F25" s="80">
        <f t="shared" si="0"/>
        <v>29980</v>
      </c>
      <c r="G25" s="75">
        <f>WATER!V23</f>
        <v>400</v>
      </c>
      <c r="H25" s="79">
        <f>'Gas-2'!G23</f>
        <v>225</v>
      </c>
      <c r="I25" s="75">
        <f>'Diesel consumption'!D22</f>
        <v>7820</v>
      </c>
      <c r="J25" s="75">
        <f>'Diesel consumption'!H22</f>
        <v>2760</v>
      </c>
      <c r="K25" s="75">
        <f>'Diesel consumption'!P22</f>
        <v>440</v>
      </c>
    </row>
    <row r="26" spans="1:11" ht="15" customHeight="1">
      <c r="A26" s="106">
        <v>19</v>
      </c>
      <c r="B26" s="276">
        <f>TOTAL!M20</f>
        <v>80</v>
      </c>
      <c r="C26" s="283">
        <f>'Room Nights and Food Covers'!D22</f>
        <v>155</v>
      </c>
      <c r="D26" s="75">
        <f>SUM('GENSET #1:GENSET #5'!D28)</f>
        <v>28322</v>
      </c>
      <c r="E26" s="80">
        <f>'SOLAR METER READING'!D27</f>
        <v>2820</v>
      </c>
      <c r="F26" s="80">
        <f t="shared" si="0"/>
        <v>31142</v>
      </c>
      <c r="G26" s="75">
        <f>WATER!V24</f>
        <v>377</v>
      </c>
      <c r="H26" s="79">
        <f>'Gas-2'!G24</f>
        <v>315</v>
      </c>
      <c r="I26" s="75">
        <f>'Diesel consumption'!D23</f>
        <v>7930</v>
      </c>
      <c r="J26" s="75">
        <f>'Diesel consumption'!H23</f>
        <v>1500</v>
      </c>
      <c r="K26" s="75">
        <f>'Diesel consumption'!P23</f>
        <v>1030</v>
      </c>
    </row>
    <row r="27" spans="1:11" ht="15" customHeight="1">
      <c r="A27" s="106">
        <v>20</v>
      </c>
      <c r="B27" s="276">
        <f>TOTAL!M21</f>
        <v>58</v>
      </c>
      <c r="C27" s="283">
        <f>'Room Nights and Food Covers'!D23</f>
        <v>181</v>
      </c>
      <c r="D27" s="75">
        <f>SUM('GENSET #1:GENSET #5'!D29)</f>
        <v>26999</v>
      </c>
      <c r="E27" s="80">
        <f>'SOLAR METER READING'!D28</f>
        <v>2983</v>
      </c>
      <c r="F27" s="80">
        <f t="shared" si="0"/>
        <v>29982</v>
      </c>
      <c r="G27" s="75">
        <f>WATER!V25</f>
        <v>380</v>
      </c>
      <c r="H27" s="79">
        <f>'Gas-2'!G25</f>
        <v>225</v>
      </c>
      <c r="I27" s="75">
        <f>'Diesel consumption'!D24</f>
        <v>7670</v>
      </c>
      <c r="J27" s="75">
        <f>'Diesel consumption'!H24</f>
        <v>1170</v>
      </c>
      <c r="K27" s="75">
        <f>'Diesel consumption'!P24</f>
        <v>1550</v>
      </c>
    </row>
    <row r="28" spans="1:11" ht="15" customHeight="1">
      <c r="A28" s="106">
        <v>21</v>
      </c>
      <c r="B28" s="276">
        <f>TOTAL!M22</f>
        <v>68</v>
      </c>
      <c r="C28" s="283">
        <f>'Room Nights and Food Covers'!D24</f>
        <v>144</v>
      </c>
      <c r="D28" s="75">
        <f>SUM('GENSET #1:GENSET #5'!D30)</f>
        <v>24015</v>
      </c>
      <c r="E28" s="80">
        <f>'SOLAR METER READING'!D29</f>
        <v>3131</v>
      </c>
      <c r="F28" s="80">
        <f t="shared" si="0"/>
        <v>27146</v>
      </c>
      <c r="G28" s="75">
        <f>WATER!V26</f>
        <v>399</v>
      </c>
      <c r="H28" s="79">
        <f>'Gas-2'!G26</f>
        <v>315</v>
      </c>
      <c r="I28" s="75">
        <f>'Diesel consumption'!D25</f>
        <v>6730</v>
      </c>
      <c r="J28" s="75">
        <f>'Diesel consumption'!H25</f>
        <v>1610</v>
      </c>
      <c r="K28" s="75">
        <f>'Diesel consumption'!P25</f>
        <v>770</v>
      </c>
    </row>
    <row r="29" spans="1:11" ht="15" customHeight="1">
      <c r="A29" s="106">
        <v>22</v>
      </c>
      <c r="B29" s="276">
        <f>TOTAL!M23</f>
        <v>60</v>
      </c>
      <c r="C29" s="283">
        <f>'Room Nights and Food Covers'!D25</f>
        <v>174</v>
      </c>
      <c r="D29" s="75">
        <f>SUM('GENSET #1:GENSET #5'!D31)</f>
        <v>27151</v>
      </c>
      <c r="E29" s="80">
        <f>'SOLAR METER READING'!D30</f>
        <v>2998</v>
      </c>
      <c r="F29" s="80">
        <f t="shared" si="0"/>
        <v>30149</v>
      </c>
      <c r="G29" s="75">
        <f>WATER!V27</f>
        <v>392</v>
      </c>
      <c r="H29" s="79">
        <f>'Gas-2'!G27</f>
        <v>315</v>
      </c>
      <c r="I29" s="75">
        <f>'Diesel consumption'!D26</f>
        <v>7680</v>
      </c>
      <c r="J29" s="75">
        <f>'Diesel consumption'!H26</f>
        <v>2040</v>
      </c>
      <c r="K29" s="75">
        <f>'Diesel consumption'!P26</f>
        <v>1710</v>
      </c>
    </row>
    <row r="30" spans="1:11" ht="15" customHeight="1">
      <c r="A30" s="106">
        <v>23</v>
      </c>
      <c r="B30" s="276">
        <f>TOTAL!M24</f>
        <v>50</v>
      </c>
      <c r="C30" s="283">
        <f>'Room Nights and Food Covers'!D26</f>
        <v>165</v>
      </c>
      <c r="D30" s="75">
        <f>SUM('GENSET #1:GENSET #5'!D32)</f>
        <v>27337</v>
      </c>
      <c r="E30" s="80">
        <f>'SOLAR METER READING'!D31</f>
        <v>2469</v>
      </c>
      <c r="F30" s="80">
        <f t="shared" si="0"/>
        <v>29806</v>
      </c>
      <c r="G30" s="75">
        <f>WATER!V28</f>
        <v>349</v>
      </c>
      <c r="H30" s="79">
        <f>'Gas-2'!G28</f>
        <v>225</v>
      </c>
      <c r="I30" s="75">
        <f>'Diesel consumption'!D27</f>
        <v>7630</v>
      </c>
      <c r="J30" s="75">
        <f>'Diesel consumption'!H27</f>
        <v>1500</v>
      </c>
      <c r="K30" s="75">
        <f>'Diesel consumption'!P27</f>
        <v>1200</v>
      </c>
    </row>
    <row r="31" spans="1:11" ht="15" customHeight="1">
      <c r="A31" s="106">
        <v>24</v>
      </c>
      <c r="B31" s="276">
        <f>TOTAL!M25</f>
        <v>47</v>
      </c>
      <c r="C31" s="283">
        <f>'Room Nights and Food Covers'!D27</f>
        <v>137</v>
      </c>
      <c r="D31" s="75">
        <f>SUM('GENSET #1:GENSET #5'!D33)</f>
        <v>24501</v>
      </c>
      <c r="E31" s="80">
        <f>'SOLAR METER READING'!D32</f>
        <v>2319</v>
      </c>
      <c r="F31" s="80">
        <f t="shared" si="0"/>
        <v>26820</v>
      </c>
      <c r="G31" s="75">
        <f>WATER!V29</f>
        <v>282</v>
      </c>
      <c r="H31" s="79">
        <f>'Gas-2'!G29</f>
        <v>315</v>
      </c>
      <c r="I31" s="75">
        <f>'Diesel consumption'!D28</f>
        <v>7140</v>
      </c>
      <c r="J31" s="75">
        <f>'Diesel consumption'!H28</f>
        <v>650</v>
      </c>
      <c r="K31" s="75">
        <f>'Diesel consumption'!P28</f>
        <v>1130</v>
      </c>
    </row>
    <row r="32" spans="1:11" ht="15" customHeight="1">
      <c r="A32" s="106">
        <v>25</v>
      </c>
      <c r="B32" s="276">
        <f>TOTAL!M26</f>
        <v>46</v>
      </c>
      <c r="C32" s="283">
        <f>'Room Nights and Food Covers'!D28</f>
        <v>134</v>
      </c>
      <c r="D32" s="75">
        <f>SUM('GENSET #1:GENSET #5'!D34)</f>
        <v>24548</v>
      </c>
      <c r="E32" s="80">
        <f>'SOLAR METER READING'!D33</f>
        <v>2641</v>
      </c>
      <c r="F32" s="80">
        <f t="shared" si="0"/>
        <v>27189</v>
      </c>
      <c r="G32" s="75">
        <f>WATER!V30</f>
        <v>318</v>
      </c>
      <c r="H32" s="79">
        <f>'Gas-2'!G30</f>
        <v>315</v>
      </c>
      <c r="I32" s="75">
        <f>'Diesel consumption'!D29</f>
        <v>7000</v>
      </c>
      <c r="J32" s="75">
        <f>'Diesel consumption'!H29</f>
        <v>0</v>
      </c>
      <c r="K32" s="75">
        <f>'Diesel consumption'!P29</f>
        <v>1310</v>
      </c>
    </row>
    <row r="33" spans="1:11" ht="15" customHeight="1">
      <c r="A33" s="106">
        <v>26</v>
      </c>
      <c r="B33" s="276">
        <f>TOTAL!M27</f>
        <v>46</v>
      </c>
      <c r="C33" s="283">
        <f>'Room Nights and Food Covers'!D29</f>
        <v>137</v>
      </c>
      <c r="D33" s="82">
        <f>SUM('GENSET #1:GENSET #5'!D35)</f>
        <v>24109</v>
      </c>
      <c r="E33" s="80">
        <f>'SOLAR METER READING'!D34</f>
        <v>3077</v>
      </c>
      <c r="F33" s="80">
        <f t="shared" si="0"/>
        <v>27186</v>
      </c>
      <c r="G33" s="75">
        <f>WATER!V31</f>
        <v>289</v>
      </c>
      <c r="H33" s="79">
        <f>'Gas-2'!G31</f>
        <v>225</v>
      </c>
      <c r="I33" s="75">
        <f>'Diesel consumption'!D30</f>
        <v>6720</v>
      </c>
      <c r="J33" s="75">
        <f>'Diesel consumption'!H30</f>
        <v>1650</v>
      </c>
      <c r="K33" s="75">
        <f>'Diesel consumption'!P30</f>
        <v>1230</v>
      </c>
    </row>
    <row r="34" spans="1:11" ht="15" customHeight="1">
      <c r="A34" s="106">
        <v>27</v>
      </c>
      <c r="B34" s="276">
        <f>TOTAL!M28</f>
        <v>46</v>
      </c>
      <c r="C34" s="283">
        <f>'Room Nights and Food Covers'!D30</f>
        <v>135</v>
      </c>
      <c r="D34" s="75">
        <f>SUM('GENSET #1:GENSET #5'!D36)</f>
        <v>25811</v>
      </c>
      <c r="E34" s="80">
        <f>'SOLAR METER READING'!D35</f>
        <v>2685</v>
      </c>
      <c r="F34" s="80">
        <f t="shared" si="0"/>
        <v>28496</v>
      </c>
      <c r="G34" s="75">
        <f>WATER!V32</f>
        <v>315</v>
      </c>
      <c r="H34" s="79">
        <f>'Gas-2'!G32</f>
        <v>315</v>
      </c>
      <c r="I34" s="75">
        <f>'Diesel consumption'!D31</f>
        <v>7330</v>
      </c>
      <c r="J34" s="75">
        <f>'Diesel consumption'!H31</f>
        <v>530</v>
      </c>
      <c r="K34" s="75">
        <f>'Diesel consumption'!P31</f>
        <v>1320</v>
      </c>
    </row>
    <row r="35" spans="1:11" ht="15" customHeight="1">
      <c r="A35" s="106">
        <v>28</v>
      </c>
      <c r="B35" s="276">
        <f>TOTAL!M29</f>
        <v>46</v>
      </c>
      <c r="C35" s="283">
        <f>'Room Nights and Food Covers'!D31</f>
        <v>120</v>
      </c>
      <c r="D35" s="75">
        <f>SUM('GENSET #1:GENSET #5'!D37)</f>
        <v>24754</v>
      </c>
      <c r="E35" s="80">
        <f>'SOLAR METER READING'!D36</f>
        <v>2943</v>
      </c>
      <c r="F35" s="80">
        <f t="shared" si="0"/>
        <v>27697</v>
      </c>
      <c r="G35" s="75">
        <f>WATER!V33</f>
        <v>337</v>
      </c>
      <c r="H35" s="79">
        <f>'Gas-2'!G33</f>
        <v>270</v>
      </c>
      <c r="I35" s="75">
        <f>'Diesel consumption'!D32</f>
        <v>6980</v>
      </c>
      <c r="J35" s="75">
        <f>'Diesel consumption'!H32</f>
        <v>360</v>
      </c>
      <c r="K35" s="75">
        <f>'Diesel consumption'!P32</f>
        <v>870</v>
      </c>
    </row>
    <row r="36" spans="1:11" ht="15" customHeight="1">
      <c r="A36" s="106">
        <v>29</v>
      </c>
      <c r="B36" s="276">
        <f>TOTAL!M30</f>
        <v>47</v>
      </c>
      <c r="C36" s="283">
        <f>'Room Nights and Food Covers'!D32</f>
        <v>119</v>
      </c>
      <c r="D36" s="75">
        <f>SUM('GENSET #1:GENSET #5'!D38)</f>
        <v>24818</v>
      </c>
      <c r="E36" s="80">
        <f>'SOLAR METER READING'!D37</f>
        <v>1717</v>
      </c>
      <c r="F36" s="80">
        <f t="shared" si="0"/>
        <v>26535</v>
      </c>
      <c r="G36" s="75">
        <f>WATER!V34</f>
        <v>301</v>
      </c>
      <c r="H36" s="79">
        <f>'Gas-2'!G34</f>
        <v>315</v>
      </c>
      <c r="I36" s="75">
        <f>'Diesel consumption'!D33</f>
        <v>7030</v>
      </c>
      <c r="J36" s="75">
        <f>'Diesel consumption'!H33</f>
        <v>0</v>
      </c>
      <c r="K36" s="75">
        <f>'Diesel consumption'!P33</f>
        <v>710</v>
      </c>
    </row>
    <row r="37" spans="1:11" ht="15" customHeight="1">
      <c r="A37" s="106">
        <v>30</v>
      </c>
      <c r="B37" s="276">
        <f>TOTAL!M31</f>
        <v>47</v>
      </c>
      <c r="C37" s="283">
        <f>'Room Nights and Food Covers'!D33</f>
        <v>116</v>
      </c>
      <c r="D37" s="75">
        <f>SUM('GENSET #1:GENSET #5'!D39)</f>
        <v>24039</v>
      </c>
      <c r="E37" s="80">
        <f>'SOLAR METER READING'!D38</f>
        <v>2927</v>
      </c>
      <c r="F37" s="80">
        <f t="shared" si="0"/>
        <v>26966</v>
      </c>
      <c r="G37" s="75">
        <f>WATER!V35</f>
        <v>331</v>
      </c>
      <c r="H37" s="79">
        <f>'Gas-2'!G35</f>
        <v>315</v>
      </c>
      <c r="I37" s="75">
        <f>'Diesel consumption'!D34</f>
        <v>6830</v>
      </c>
      <c r="J37" s="75">
        <f>'Diesel consumption'!H34</f>
        <v>1650</v>
      </c>
      <c r="K37" s="75">
        <f>'Diesel consumption'!P34</f>
        <v>1000</v>
      </c>
    </row>
    <row r="38" spans="1:11" ht="15" customHeight="1">
      <c r="A38" s="106">
        <v>31</v>
      </c>
      <c r="B38" s="276">
        <f>TOTAL!M32</f>
        <v>51</v>
      </c>
      <c r="C38" s="283">
        <f>'Room Nights and Food Covers'!D34</f>
        <v>116</v>
      </c>
      <c r="D38" s="75">
        <f>SUM('GENSET #1:GENSET #5'!D40)</f>
        <v>25218</v>
      </c>
      <c r="E38" s="80">
        <f>'SOLAR METER READING'!D39</f>
        <v>2921</v>
      </c>
      <c r="F38" s="80">
        <f t="shared" ref="F38" si="1">E38+D38</f>
        <v>28139</v>
      </c>
      <c r="G38" s="75">
        <f>WATER!V36</f>
        <v>312</v>
      </c>
      <c r="H38" s="79">
        <f>'Gas-2'!G36</f>
        <v>225</v>
      </c>
      <c r="I38" s="75">
        <f>'Diesel consumption'!D35</f>
        <v>7010</v>
      </c>
      <c r="J38" s="75">
        <f>'Diesel consumption'!H35</f>
        <v>1500</v>
      </c>
      <c r="K38" s="75">
        <f>'Diesel consumption'!P35</f>
        <v>930</v>
      </c>
    </row>
    <row r="39" spans="1:11" ht="18.75" customHeight="1" thickBot="1">
      <c r="A39" s="128" t="s">
        <v>102</v>
      </c>
      <c r="B39" s="277"/>
      <c r="C39" s="277"/>
      <c r="D39" s="278">
        <f t="shared" ref="D39:K39" si="2">SUM(D8:D38)</f>
        <v>814194</v>
      </c>
      <c r="E39" s="278">
        <f t="shared" si="2"/>
        <v>86221</v>
      </c>
      <c r="F39" s="278">
        <f t="shared" si="2"/>
        <v>900415</v>
      </c>
      <c r="G39" s="278">
        <f t="shared" si="2"/>
        <v>10921</v>
      </c>
      <c r="H39" s="279">
        <f t="shared" si="2"/>
        <v>8775</v>
      </c>
      <c r="I39" s="278">
        <f t="shared" si="2"/>
        <v>229830</v>
      </c>
      <c r="J39" s="278">
        <f t="shared" si="2"/>
        <v>44110</v>
      </c>
      <c r="K39" s="278">
        <f t="shared" si="2"/>
        <v>20470</v>
      </c>
    </row>
    <row r="40" spans="1:11" ht="13.5" thickTop="1">
      <c r="A40" s="128" t="s">
        <v>103</v>
      </c>
      <c r="D40" s="269">
        <f>D39/A41</f>
        <v>26264.322580645163</v>
      </c>
      <c r="E40" s="269">
        <f>E39/A41</f>
        <v>2781.3225806451615</v>
      </c>
      <c r="F40" s="269">
        <f>F39/A41</f>
        <v>29045.645161290322</v>
      </c>
      <c r="G40" s="269">
        <f>G39/A41</f>
        <v>352.29032258064518</v>
      </c>
      <c r="H40" s="280">
        <f>H39/A41</f>
        <v>283.06451612903226</v>
      </c>
      <c r="I40" s="269">
        <f>I39/A41</f>
        <v>7413.8709677419356</v>
      </c>
      <c r="J40" s="269">
        <f>J39/A41</f>
        <v>1422.9032258064517</v>
      </c>
      <c r="K40" s="269">
        <f>K39/A41</f>
        <v>660.32258064516134</v>
      </c>
    </row>
    <row r="41" spans="1:11">
      <c r="A41" s="281">
        <v>31</v>
      </c>
    </row>
  </sheetData>
  <mergeCells count="3">
    <mergeCell ref="A1:K1"/>
    <mergeCell ref="A4:K4"/>
    <mergeCell ref="A5:K5"/>
  </mergeCells>
  <pageMargins left="0.7" right="0.7" top="0.75" bottom="0.75" header="0.3" footer="0.3"/>
  <pageSetup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24D6-1284-4B5E-A685-801BBDBB4EB6}">
  <sheetPr>
    <tabColor rgb="FFFF0000"/>
  </sheetPr>
  <dimension ref="A1:D36"/>
  <sheetViews>
    <sheetView workbookViewId="0">
      <selection activeCell="D35" sqref="D35"/>
    </sheetView>
  </sheetViews>
  <sheetFormatPr defaultRowHeight="15"/>
  <cols>
    <col min="1" max="1" width="14" style="131" customWidth="1"/>
    <col min="2" max="3" width="13" style="148" customWidth="1"/>
  </cols>
  <sheetData>
    <row r="1" spans="1:4" ht="24" thickBot="1">
      <c r="A1" s="129"/>
      <c r="B1" s="144"/>
      <c r="C1" s="144"/>
    </row>
    <row r="2" spans="1:4" ht="18" thickBot="1">
      <c r="A2" s="285" t="s">
        <v>78</v>
      </c>
      <c r="B2" s="147"/>
      <c r="C2" s="147"/>
    </row>
    <row r="3" spans="1:4" ht="30">
      <c r="A3" s="132" t="s">
        <v>82</v>
      </c>
      <c r="B3" s="147" t="s">
        <v>76</v>
      </c>
      <c r="C3" s="147" t="s">
        <v>77</v>
      </c>
      <c r="D3" s="274" t="s">
        <v>93</v>
      </c>
    </row>
    <row r="4" spans="1:4">
      <c r="A4" s="136">
        <v>45291</v>
      </c>
      <c r="B4" s="141"/>
      <c r="C4" s="141"/>
      <c r="D4" s="324"/>
    </row>
    <row r="5" spans="1:4">
      <c r="A5" s="142">
        <f>A4+1</f>
        <v>45292</v>
      </c>
      <c r="B5" s="144">
        <v>93.2</v>
      </c>
      <c r="C5" s="144">
        <v>692</v>
      </c>
      <c r="D5" s="325">
        <v>258</v>
      </c>
    </row>
    <row r="6" spans="1:4">
      <c r="A6" s="142">
        <f t="shared" ref="A6:A35" si="0">A5+1</f>
        <v>45293</v>
      </c>
      <c r="B6" s="144">
        <v>88.3</v>
      </c>
      <c r="C6" s="144">
        <v>701</v>
      </c>
      <c r="D6" s="325">
        <v>246</v>
      </c>
    </row>
    <row r="7" spans="1:4">
      <c r="A7" s="142">
        <f t="shared" si="0"/>
        <v>45294</v>
      </c>
      <c r="B7" s="144">
        <v>90.3</v>
      </c>
      <c r="C7" s="144">
        <v>740</v>
      </c>
      <c r="D7" s="325">
        <v>253</v>
      </c>
    </row>
    <row r="8" spans="1:4">
      <c r="A8" s="142">
        <f t="shared" si="0"/>
        <v>45295</v>
      </c>
      <c r="B8" s="144">
        <v>81.599999999999994</v>
      </c>
      <c r="C8" s="144">
        <v>647</v>
      </c>
      <c r="D8" s="325">
        <v>232</v>
      </c>
    </row>
    <row r="9" spans="1:4">
      <c r="A9" s="142">
        <f t="shared" si="0"/>
        <v>45296</v>
      </c>
      <c r="B9" s="144">
        <v>77.7</v>
      </c>
      <c r="C9" s="144">
        <v>639</v>
      </c>
      <c r="D9" s="325">
        <v>219</v>
      </c>
    </row>
    <row r="10" spans="1:4">
      <c r="A10" s="142">
        <f t="shared" si="0"/>
        <v>45297</v>
      </c>
      <c r="B10" s="144">
        <v>67</v>
      </c>
      <c r="C10" s="144">
        <v>532</v>
      </c>
      <c r="D10" s="325">
        <v>189</v>
      </c>
    </row>
    <row r="11" spans="1:4">
      <c r="A11" s="142">
        <f t="shared" si="0"/>
        <v>45298</v>
      </c>
      <c r="B11" s="144">
        <v>61.2</v>
      </c>
      <c r="C11" s="144">
        <v>539</v>
      </c>
      <c r="D11" s="325">
        <v>174</v>
      </c>
    </row>
    <row r="12" spans="1:4">
      <c r="A12" s="142">
        <f t="shared" si="0"/>
        <v>45299</v>
      </c>
      <c r="B12" s="144">
        <v>43.7</v>
      </c>
      <c r="C12" s="144">
        <v>334</v>
      </c>
      <c r="D12" s="325">
        <v>135</v>
      </c>
    </row>
    <row r="13" spans="1:4">
      <c r="A13" s="142">
        <f t="shared" si="0"/>
        <v>45300</v>
      </c>
      <c r="B13" s="144">
        <v>42.7</v>
      </c>
      <c r="C13" s="144">
        <v>338</v>
      </c>
      <c r="D13" s="325">
        <v>127</v>
      </c>
    </row>
    <row r="14" spans="1:4">
      <c r="A14" s="142">
        <f t="shared" si="0"/>
        <v>45301</v>
      </c>
      <c r="B14" s="300">
        <v>35</v>
      </c>
      <c r="C14" s="144">
        <v>285</v>
      </c>
      <c r="D14" s="325">
        <v>105</v>
      </c>
    </row>
    <row r="15" spans="1:4">
      <c r="A15" s="142">
        <f t="shared" si="0"/>
        <v>45302</v>
      </c>
      <c r="B15" s="300">
        <v>40.799999999999997</v>
      </c>
      <c r="C15" s="300">
        <v>346</v>
      </c>
      <c r="D15" s="325">
        <v>128</v>
      </c>
    </row>
    <row r="16" spans="1:4">
      <c r="A16" s="142">
        <f t="shared" si="0"/>
        <v>45303</v>
      </c>
      <c r="B16" s="300">
        <v>46.6</v>
      </c>
      <c r="C16" s="300">
        <v>372</v>
      </c>
      <c r="D16" s="325">
        <v>141</v>
      </c>
    </row>
    <row r="17" spans="1:4">
      <c r="A17" s="142">
        <f t="shared" si="0"/>
        <v>45304</v>
      </c>
      <c r="B17" s="300">
        <v>50.5</v>
      </c>
      <c r="C17" s="300">
        <v>381</v>
      </c>
      <c r="D17" s="325">
        <v>143</v>
      </c>
    </row>
    <row r="18" spans="1:4">
      <c r="A18" s="142">
        <f t="shared" si="0"/>
        <v>45305</v>
      </c>
      <c r="B18" s="300">
        <v>54.4</v>
      </c>
      <c r="C18" s="300">
        <v>405</v>
      </c>
      <c r="D18" s="325">
        <v>151</v>
      </c>
    </row>
    <row r="19" spans="1:4">
      <c r="A19" s="142">
        <f t="shared" si="0"/>
        <v>45306</v>
      </c>
      <c r="B19" s="300">
        <v>50.5</v>
      </c>
      <c r="C19" s="300">
        <v>402</v>
      </c>
      <c r="D19" s="325">
        <v>139</v>
      </c>
    </row>
    <row r="20" spans="1:4">
      <c r="A20" s="142">
        <f t="shared" si="0"/>
        <v>45307</v>
      </c>
      <c r="B20" s="300">
        <v>41.7</v>
      </c>
      <c r="C20" s="300">
        <v>302</v>
      </c>
      <c r="D20" s="325">
        <v>117</v>
      </c>
    </row>
    <row r="21" spans="1:4">
      <c r="A21" s="142">
        <f t="shared" si="0"/>
        <v>45308</v>
      </c>
      <c r="B21" s="300">
        <v>71.8</v>
      </c>
      <c r="C21" s="300">
        <v>424</v>
      </c>
      <c r="D21" s="325">
        <v>166</v>
      </c>
    </row>
    <row r="22" spans="1:4">
      <c r="A22" s="142">
        <f t="shared" si="0"/>
        <v>45309</v>
      </c>
      <c r="B22" s="300">
        <v>68.900000000000006</v>
      </c>
      <c r="C22" s="300">
        <v>469</v>
      </c>
      <c r="D22" s="325">
        <v>155</v>
      </c>
    </row>
    <row r="23" spans="1:4">
      <c r="A23" s="142">
        <f t="shared" si="0"/>
        <v>45310</v>
      </c>
      <c r="B23" s="300">
        <v>77.7</v>
      </c>
      <c r="C23" s="300">
        <v>566</v>
      </c>
      <c r="D23" s="325">
        <v>181</v>
      </c>
    </row>
    <row r="24" spans="1:4">
      <c r="A24" s="142">
        <f t="shared" si="0"/>
        <v>45311</v>
      </c>
      <c r="B24" s="300">
        <v>56.3</v>
      </c>
      <c r="C24" s="300">
        <v>348</v>
      </c>
      <c r="D24" s="325">
        <v>144</v>
      </c>
    </row>
    <row r="25" spans="1:4">
      <c r="A25" s="142">
        <f t="shared" si="0"/>
        <v>45312</v>
      </c>
      <c r="B25" s="300">
        <v>66</v>
      </c>
      <c r="C25" s="300">
        <v>408</v>
      </c>
      <c r="D25" s="325">
        <v>174</v>
      </c>
    </row>
    <row r="26" spans="1:4">
      <c r="A26" s="142">
        <f t="shared" si="0"/>
        <v>45313</v>
      </c>
      <c r="B26" s="300">
        <v>58.3</v>
      </c>
      <c r="C26" s="300">
        <v>421</v>
      </c>
      <c r="D26" s="325">
        <v>165</v>
      </c>
    </row>
    <row r="27" spans="1:4">
      <c r="A27" s="142">
        <f t="shared" si="0"/>
        <v>45314</v>
      </c>
      <c r="B27" s="300">
        <v>48.5</v>
      </c>
      <c r="C27" s="300">
        <v>372</v>
      </c>
      <c r="D27" s="325">
        <v>137</v>
      </c>
    </row>
    <row r="28" spans="1:4">
      <c r="A28" s="142">
        <f t="shared" si="0"/>
        <v>45315</v>
      </c>
      <c r="B28" s="300">
        <v>45.6</v>
      </c>
      <c r="C28" s="300">
        <v>360</v>
      </c>
      <c r="D28" s="325">
        <v>134</v>
      </c>
    </row>
    <row r="29" spans="1:4">
      <c r="A29" s="142">
        <f t="shared" si="0"/>
        <v>45316</v>
      </c>
      <c r="B29" s="300">
        <v>44.7</v>
      </c>
      <c r="C29" s="300">
        <v>352</v>
      </c>
      <c r="D29" s="325">
        <v>137</v>
      </c>
    </row>
    <row r="30" spans="1:4">
      <c r="A30" s="142">
        <f t="shared" si="0"/>
        <v>45317</v>
      </c>
      <c r="B30" s="300">
        <v>44.7</v>
      </c>
      <c r="C30" s="300">
        <v>359</v>
      </c>
      <c r="D30" s="325">
        <v>135</v>
      </c>
    </row>
    <row r="31" spans="1:4">
      <c r="A31" s="142">
        <f t="shared" si="0"/>
        <v>45318</v>
      </c>
      <c r="B31" s="300">
        <v>41.7</v>
      </c>
      <c r="C31" s="300">
        <v>332</v>
      </c>
      <c r="D31" s="325">
        <v>120</v>
      </c>
    </row>
    <row r="32" spans="1:4">
      <c r="A32" s="142">
        <f t="shared" si="0"/>
        <v>45319</v>
      </c>
      <c r="B32" s="243">
        <v>44.7</v>
      </c>
      <c r="C32" s="300">
        <v>330</v>
      </c>
      <c r="D32" s="325">
        <v>119</v>
      </c>
    </row>
    <row r="33" spans="1:4">
      <c r="A33" s="142">
        <f t="shared" si="0"/>
        <v>45320</v>
      </c>
      <c r="B33" s="300">
        <v>45.6</v>
      </c>
      <c r="C33" s="300">
        <v>318</v>
      </c>
      <c r="D33" s="325">
        <v>116</v>
      </c>
    </row>
    <row r="34" spans="1:4">
      <c r="A34" s="142">
        <f t="shared" si="0"/>
        <v>45321</v>
      </c>
      <c r="B34" s="300">
        <v>45.6</v>
      </c>
      <c r="C34" s="300">
        <v>302</v>
      </c>
      <c r="D34" s="325">
        <v>116</v>
      </c>
    </row>
    <row r="35" spans="1:4">
      <c r="A35" s="142">
        <f t="shared" si="0"/>
        <v>45322</v>
      </c>
      <c r="B35" s="300">
        <v>49.5</v>
      </c>
      <c r="C35" s="300">
        <v>317</v>
      </c>
      <c r="D35" s="325">
        <v>127</v>
      </c>
    </row>
    <row r="36" spans="1:4">
      <c r="C36" s="148">
        <f>SUM(C5:C35)</f>
        <v>13333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pageSetUpPr fitToPage="1"/>
  </sheetPr>
  <dimension ref="A1:T37"/>
  <sheetViews>
    <sheetView topLeftCell="A24" zoomScale="90" zoomScaleNormal="90" workbookViewId="0">
      <selection activeCell="G37" sqref="G37"/>
    </sheetView>
  </sheetViews>
  <sheetFormatPr defaultColWidth="9.140625" defaultRowHeight="12.75"/>
  <cols>
    <col min="1" max="1" width="7" style="128" customWidth="1"/>
    <col min="2" max="2" width="17.7109375" style="109" customWidth="1"/>
    <col min="3" max="3" width="15.7109375" style="109" customWidth="1"/>
    <col min="4" max="6" width="16.140625" style="109" customWidth="1"/>
    <col min="7" max="7" width="14.5703125" style="109" customWidth="1"/>
    <col min="8" max="8" width="13" style="90" customWidth="1"/>
    <col min="9" max="16384" width="9.140625" style="90"/>
  </cols>
  <sheetData>
    <row r="1" spans="1:20" s="91" customFormat="1">
      <c r="A1" s="387"/>
      <c r="B1" s="387"/>
      <c r="C1" s="113"/>
      <c r="D1" s="113"/>
      <c r="E1" s="113"/>
      <c r="F1" s="113"/>
      <c r="G1" s="113"/>
    </row>
    <row r="2" spans="1:20" ht="24.75" customHeight="1">
      <c r="A2" s="389" t="s">
        <v>104</v>
      </c>
      <c r="B2" s="389"/>
      <c r="C2" s="389"/>
      <c r="D2" s="389"/>
      <c r="E2" s="389"/>
      <c r="F2" s="389"/>
      <c r="G2" s="389"/>
      <c r="H2" s="389"/>
    </row>
    <row r="3" spans="1:20" ht="26.25" customHeight="1">
      <c r="A3" s="114" t="s">
        <v>105</v>
      </c>
      <c r="B3" s="115" cm="1">
        <f t="array" ref="B3:D3">'FEEDER Consumption '!A1:C1</f>
        <v>44928</v>
      </c>
      <c r="C3" s="116">
        <v>0</v>
      </c>
      <c r="D3" s="114">
        <v>0</v>
      </c>
      <c r="E3" s="114"/>
      <c r="F3" s="114"/>
      <c r="G3" s="117"/>
      <c r="H3" s="118"/>
    </row>
    <row r="4" spans="1:20" ht="42" customHeight="1">
      <c r="A4" s="119" t="s">
        <v>91</v>
      </c>
      <c r="B4" s="120" t="s">
        <v>106</v>
      </c>
      <c r="C4" s="120" t="s">
        <v>107</v>
      </c>
      <c r="D4" s="120" t="s">
        <v>108</v>
      </c>
      <c r="E4" s="120" t="s">
        <v>109</v>
      </c>
      <c r="F4" s="120" t="s">
        <v>102</v>
      </c>
      <c r="G4" s="120" t="s">
        <v>110</v>
      </c>
      <c r="H4" s="120" t="s">
        <v>92</v>
      </c>
    </row>
    <row r="5" spans="1:20" ht="24" customHeight="1">
      <c r="A5" s="390"/>
      <c r="B5" s="391"/>
      <c r="C5" s="391"/>
      <c r="D5" s="391"/>
      <c r="E5" s="391"/>
      <c r="F5" s="392"/>
      <c r="G5" s="121"/>
      <c r="H5" s="121"/>
    </row>
    <row r="6" spans="1:20" ht="21.75" customHeight="1">
      <c r="A6" s="122">
        <v>1</v>
      </c>
      <c r="B6" s="104">
        <v>2</v>
      </c>
      <c r="C6" s="104">
        <v>3</v>
      </c>
      <c r="D6" s="104">
        <v>1</v>
      </c>
      <c r="E6" s="76">
        <v>3</v>
      </c>
      <c r="F6" s="123">
        <f>SUM(B6:E6)</f>
        <v>9</v>
      </c>
      <c r="G6" s="124">
        <f>F6*45</f>
        <v>405</v>
      </c>
      <c r="H6" s="125">
        <f>WATER!W6</f>
        <v>5488</v>
      </c>
    </row>
    <row r="7" spans="1:20" ht="21.75" customHeight="1">
      <c r="A7" s="122">
        <v>2</v>
      </c>
      <c r="B7" s="104">
        <v>2</v>
      </c>
      <c r="C7" s="104">
        <v>0</v>
      </c>
      <c r="D7" s="104">
        <v>1</v>
      </c>
      <c r="E7" s="76">
        <v>3</v>
      </c>
      <c r="F7" s="123">
        <f t="shared" ref="F7:F36" si="0">SUM(B7:E7)</f>
        <v>6</v>
      </c>
      <c r="G7" s="124">
        <f t="shared" ref="G7:G36" si="1">F7*45</f>
        <v>270</v>
      </c>
      <c r="H7" s="125">
        <f>WATER!W7</f>
        <v>3869</v>
      </c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</row>
    <row r="8" spans="1:20" ht="21.75" customHeight="1">
      <c r="A8" s="122">
        <v>3</v>
      </c>
      <c r="B8" s="104">
        <v>2</v>
      </c>
      <c r="C8" s="104">
        <v>0</v>
      </c>
      <c r="D8" s="104">
        <v>2</v>
      </c>
      <c r="E8" s="76">
        <v>3</v>
      </c>
      <c r="F8" s="123">
        <f t="shared" si="0"/>
        <v>7</v>
      </c>
      <c r="G8" s="124">
        <f t="shared" si="1"/>
        <v>315</v>
      </c>
      <c r="H8" s="125">
        <f>WATER!W8</f>
        <v>4139</v>
      </c>
    </row>
    <row r="9" spans="1:20" ht="21.75" customHeight="1">
      <c r="A9" s="122">
        <v>4</v>
      </c>
      <c r="B9" s="104">
        <v>2</v>
      </c>
      <c r="C9" s="104">
        <v>0</v>
      </c>
      <c r="D9" s="104">
        <v>1</v>
      </c>
      <c r="E9" s="76">
        <v>3</v>
      </c>
      <c r="F9" s="123">
        <f t="shared" si="0"/>
        <v>6</v>
      </c>
      <c r="G9" s="124">
        <f t="shared" si="1"/>
        <v>270</v>
      </c>
      <c r="H9" s="125">
        <f>WATER!W9</f>
        <v>3888</v>
      </c>
    </row>
    <row r="10" spans="1:20" ht="21.75" customHeight="1">
      <c r="A10" s="122">
        <v>5</v>
      </c>
      <c r="B10" s="104">
        <v>2</v>
      </c>
      <c r="C10" s="104">
        <v>1</v>
      </c>
      <c r="D10" s="104">
        <v>2</v>
      </c>
      <c r="E10" s="76">
        <v>3</v>
      </c>
      <c r="F10" s="123">
        <f t="shared" si="0"/>
        <v>8</v>
      </c>
      <c r="G10" s="124">
        <f t="shared" si="1"/>
        <v>360</v>
      </c>
      <c r="H10" s="125">
        <f>WATER!W10</f>
        <v>4621</v>
      </c>
    </row>
    <row r="11" spans="1:20" ht="21.75" customHeight="1">
      <c r="A11" s="122">
        <v>6</v>
      </c>
      <c r="B11" s="104">
        <v>2</v>
      </c>
      <c r="C11" s="104">
        <v>1</v>
      </c>
      <c r="D11" s="104">
        <v>1</v>
      </c>
      <c r="E11" s="76">
        <v>3</v>
      </c>
      <c r="F11" s="123">
        <f t="shared" si="0"/>
        <v>7</v>
      </c>
      <c r="G11" s="124">
        <f t="shared" si="1"/>
        <v>315</v>
      </c>
      <c r="H11" s="125">
        <f>WATER!W11</f>
        <v>2796</v>
      </c>
    </row>
    <row r="12" spans="1:20" ht="21.75" customHeight="1">
      <c r="A12" s="122">
        <v>7</v>
      </c>
      <c r="B12" s="104">
        <v>2</v>
      </c>
      <c r="C12" s="104">
        <v>0</v>
      </c>
      <c r="D12" s="104">
        <v>1</v>
      </c>
      <c r="E12" s="76">
        <v>3</v>
      </c>
      <c r="F12" s="123">
        <f t="shared" si="0"/>
        <v>6</v>
      </c>
      <c r="G12" s="124">
        <f t="shared" si="1"/>
        <v>270</v>
      </c>
      <c r="H12" s="125">
        <f>WATER!W12</f>
        <v>2573</v>
      </c>
    </row>
    <row r="13" spans="1:20" ht="21.75" customHeight="1">
      <c r="A13" s="122">
        <v>8</v>
      </c>
      <c r="B13" s="104">
        <v>2</v>
      </c>
      <c r="C13" s="104">
        <v>1</v>
      </c>
      <c r="D13" s="104">
        <v>2</v>
      </c>
      <c r="E13" s="76">
        <v>2</v>
      </c>
      <c r="F13" s="123">
        <f t="shared" si="0"/>
        <v>7</v>
      </c>
      <c r="G13" s="124">
        <f t="shared" si="1"/>
        <v>315</v>
      </c>
      <c r="H13" s="125">
        <f>WATER!W13</f>
        <v>3036</v>
      </c>
    </row>
    <row r="14" spans="1:20" ht="21.75" customHeight="1">
      <c r="A14" s="122">
        <v>9</v>
      </c>
      <c r="B14" s="104">
        <v>2</v>
      </c>
      <c r="C14" s="104">
        <v>0</v>
      </c>
      <c r="D14" s="104">
        <v>1</v>
      </c>
      <c r="E14" s="76">
        <v>2</v>
      </c>
      <c r="F14" s="123">
        <f t="shared" si="0"/>
        <v>5</v>
      </c>
      <c r="G14" s="124">
        <f t="shared" si="1"/>
        <v>225</v>
      </c>
      <c r="H14" s="125">
        <f>WATER!W14</f>
        <v>7274</v>
      </c>
    </row>
    <row r="15" spans="1:20" ht="21.75" customHeight="1">
      <c r="A15" s="122">
        <v>10</v>
      </c>
      <c r="B15" s="104">
        <v>2</v>
      </c>
      <c r="C15" s="104">
        <v>1</v>
      </c>
      <c r="D15" s="104">
        <v>1</v>
      </c>
      <c r="E15" s="76">
        <v>2</v>
      </c>
      <c r="F15" s="123">
        <f t="shared" si="0"/>
        <v>6</v>
      </c>
      <c r="G15" s="124">
        <f t="shared" si="1"/>
        <v>270</v>
      </c>
      <c r="H15" s="125">
        <f>WATER!W15</f>
        <v>15</v>
      </c>
    </row>
    <row r="16" spans="1:20" ht="21.75" customHeight="1">
      <c r="A16" s="122">
        <v>11</v>
      </c>
      <c r="B16" s="104">
        <v>2</v>
      </c>
      <c r="C16" s="104">
        <v>0</v>
      </c>
      <c r="D16" s="104">
        <v>2</v>
      </c>
      <c r="E16" s="76">
        <v>2</v>
      </c>
      <c r="F16" s="123">
        <f t="shared" si="0"/>
        <v>6</v>
      </c>
      <c r="G16" s="124">
        <f t="shared" si="1"/>
        <v>270</v>
      </c>
      <c r="H16" s="125">
        <f>WATER!W16</f>
        <v>2625</v>
      </c>
    </row>
    <row r="17" spans="1:8" ht="21.75" customHeight="1">
      <c r="A17" s="122">
        <v>12</v>
      </c>
      <c r="B17" s="104">
        <v>1</v>
      </c>
      <c r="C17" s="104">
        <v>0</v>
      </c>
      <c r="D17" s="104">
        <v>2</v>
      </c>
      <c r="E17" s="76">
        <v>3</v>
      </c>
      <c r="F17" s="123">
        <f t="shared" si="0"/>
        <v>6</v>
      </c>
      <c r="G17" s="124">
        <f t="shared" si="1"/>
        <v>270</v>
      </c>
      <c r="H17" s="125">
        <f>WATER!W17</f>
        <v>3473</v>
      </c>
    </row>
    <row r="18" spans="1:8" ht="21.75" customHeight="1">
      <c r="A18" s="122">
        <v>13</v>
      </c>
      <c r="B18" s="104">
        <v>2</v>
      </c>
      <c r="C18" s="104">
        <v>1</v>
      </c>
      <c r="D18" s="104">
        <v>1</v>
      </c>
      <c r="E18" s="76">
        <v>2</v>
      </c>
      <c r="F18" s="123">
        <f t="shared" si="0"/>
        <v>6</v>
      </c>
      <c r="G18" s="124">
        <f t="shared" si="1"/>
        <v>270</v>
      </c>
      <c r="H18" s="125">
        <f>WATER!W18</f>
        <v>2117</v>
      </c>
    </row>
    <row r="19" spans="1:8" ht="21.75" customHeight="1">
      <c r="A19" s="122">
        <v>14</v>
      </c>
      <c r="B19" s="104">
        <v>2</v>
      </c>
      <c r="C19" s="104">
        <v>0</v>
      </c>
      <c r="D19" s="104">
        <v>1</v>
      </c>
      <c r="E19" s="76">
        <v>2</v>
      </c>
      <c r="F19" s="123">
        <f t="shared" si="0"/>
        <v>5</v>
      </c>
      <c r="G19" s="124">
        <f t="shared" si="1"/>
        <v>225</v>
      </c>
      <c r="H19" s="125">
        <f>WATER!W19</f>
        <v>1904</v>
      </c>
    </row>
    <row r="20" spans="1:8" ht="21.75" customHeight="1">
      <c r="A20" s="122">
        <v>15</v>
      </c>
      <c r="B20" s="104">
        <v>1</v>
      </c>
      <c r="C20" s="104">
        <v>2</v>
      </c>
      <c r="D20" s="104">
        <v>1</v>
      </c>
      <c r="E20" s="76">
        <v>2</v>
      </c>
      <c r="F20" s="123">
        <f t="shared" si="0"/>
        <v>6</v>
      </c>
      <c r="G20" s="124">
        <f t="shared" si="1"/>
        <v>270</v>
      </c>
      <c r="H20" s="125">
        <v>16</v>
      </c>
    </row>
    <row r="21" spans="1:8" ht="21.75" customHeight="1">
      <c r="A21" s="122">
        <v>16</v>
      </c>
      <c r="B21" s="104">
        <v>2</v>
      </c>
      <c r="C21" s="104">
        <v>0</v>
      </c>
      <c r="D21" s="104">
        <v>1</v>
      </c>
      <c r="E21" s="76">
        <v>3</v>
      </c>
      <c r="F21" s="123">
        <f t="shared" si="0"/>
        <v>6</v>
      </c>
      <c r="G21" s="124">
        <f t="shared" si="1"/>
        <v>270</v>
      </c>
      <c r="H21" s="125">
        <f>WATER!W21</f>
        <v>5943</v>
      </c>
    </row>
    <row r="22" spans="1:8" ht="21.75" customHeight="1">
      <c r="A22" s="122">
        <v>17</v>
      </c>
      <c r="B22" s="104">
        <v>2</v>
      </c>
      <c r="C22" s="104">
        <v>1</v>
      </c>
      <c r="D22" s="104">
        <v>1</v>
      </c>
      <c r="E22" s="76">
        <v>2</v>
      </c>
      <c r="F22" s="123">
        <f t="shared" si="0"/>
        <v>6</v>
      </c>
      <c r="G22" s="124">
        <f t="shared" si="1"/>
        <v>270</v>
      </c>
      <c r="H22" s="125">
        <f>WATER!W22</f>
        <v>1053</v>
      </c>
    </row>
    <row r="23" spans="1:8" ht="21.75" customHeight="1">
      <c r="A23" s="122">
        <v>18</v>
      </c>
      <c r="B23" s="104">
        <v>1</v>
      </c>
      <c r="C23" s="104">
        <v>0</v>
      </c>
      <c r="D23" s="104">
        <v>1</v>
      </c>
      <c r="E23" s="76">
        <v>3</v>
      </c>
      <c r="F23" s="123">
        <f t="shared" si="0"/>
        <v>5</v>
      </c>
      <c r="G23" s="124">
        <f t="shared" si="1"/>
        <v>225</v>
      </c>
      <c r="H23" s="125">
        <f>WATER!W23</f>
        <v>0</v>
      </c>
    </row>
    <row r="24" spans="1:8" ht="21.75" customHeight="1">
      <c r="A24" s="122">
        <v>19</v>
      </c>
      <c r="B24" s="104">
        <v>2</v>
      </c>
      <c r="C24" s="104">
        <v>1</v>
      </c>
      <c r="D24" s="104">
        <v>2</v>
      </c>
      <c r="E24" s="76">
        <v>2</v>
      </c>
      <c r="F24" s="123">
        <f t="shared" si="0"/>
        <v>7</v>
      </c>
      <c r="G24" s="124">
        <f t="shared" si="1"/>
        <v>315</v>
      </c>
      <c r="H24" s="125">
        <f>WATER!W24</f>
        <v>0</v>
      </c>
    </row>
    <row r="25" spans="1:8" ht="21.75" customHeight="1">
      <c r="A25" s="122">
        <v>20</v>
      </c>
      <c r="B25" s="104">
        <v>2</v>
      </c>
      <c r="C25" s="104">
        <v>0</v>
      </c>
      <c r="D25" s="104">
        <v>1</v>
      </c>
      <c r="E25" s="76">
        <v>2</v>
      </c>
      <c r="F25" s="123">
        <f t="shared" si="0"/>
        <v>5</v>
      </c>
      <c r="G25" s="124">
        <f t="shared" si="1"/>
        <v>225</v>
      </c>
      <c r="H25" s="125">
        <f>WATER!W25</f>
        <v>0</v>
      </c>
    </row>
    <row r="26" spans="1:8" ht="21.75" customHeight="1">
      <c r="A26" s="122">
        <v>21</v>
      </c>
      <c r="B26" s="104">
        <v>2</v>
      </c>
      <c r="C26" s="104">
        <v>1</v>
      </c>
      <c r="D26" s="104">
        <v>2</v>
      </c>
      <c r="E26" s="76">
        <v>2</v>
      </c>
      <c r="F26" s="123">
        <f t="shared" si="0"/>
        <v>7</v>
      </c>
      <c r="G26" s="124">
        <f t="shared" si="1"/>
        <v>315</v>
      </c>
      <c r="H26" s="125">
        <f>WATER!W26</f>
        <v>0</v>
      </c>
    </row>
    <row r="27" spans="1:8" ht="21.75" customHeight="1">
      <c r="A27" s="122">
        <v>22</v>
      </c>
      <c r="B27" s="104">
        <v>2</v>
      </c>
      <c r="C27" s="104">
        <v>1</v>
      </c>
      <c r="D27" s="104">
        <v>2</v>
      </c>
      <c r="E27" s="76">
        <v>2</v>
      </c>
      <c r="F27" s="123">
        <f t="shared" si="0"/>
        <v>7</v>
      </c>
      <c r="G27" s="124">
        <f t="shared" si="1"/>
        <v>315</v>
      </c>
      <c r="H27" s="125">
        <f>WATER!W27</f>
        <v>0</v>
      </c>
    </row>
    <row r="28" spans="1:8" ht="21.75" customHeight="1">
      <c r="A28" s="122">
        <v>23</v>
      </c>
      <c r="B28" s="104">
        <v>2</v>
      </c>
      <c r="C28" s="104">
        <v>0</v>
      </c>
      <c r="D28" s="104">
        <v>1</v>
      </c>
      <c r="E28" s="76">
        <v>2</v>
      </c>
      <c r="F28" s="123">
        <f t="shared" si="0"/>
        <v>5</v>
      </c>
      <c r="G28" s="124">
        <f t="shared" si="1"/>
        <v>225</v>
      </c>
      <c r="H28" s="125">
        <f>WATER!W28</f>
        <v>0</v>
      </c>
    </row>
    <row r="29" spans="1:8" ht="21.75" customHeight="1">
      <c r="A29" s="122">
        <v>24</v>
      </c>
      <c r="B29" s="104">
        <v>2</v>
      </c>
      <c r="C29" s="104">
        <v>1</v>
      </c>
      <c r="D29" s="104">
        <v>2</v>
      </c>
      <c r="E29" s="76">
        <v>2</v>
      </c>
      <c r="F29" s="123">
        <f t="shared" si="0"/>
        <v>7</v>
      </c>
      <c r="G29" s="124">
        <f t="shared" si="1"/>
        <v>315</v>
      </c>
      <c r="H29" s="125">
        <f>WATER!W29</f>
        <v>0</v>
      </c>
    </row>
    <row r="30" spans="1:8" ht="21.75" customHeight="1">
      <c r="A30" s="122">
        <v>25</v>
      </c>
      <c r="B30" s="104">
        <v>2</v>
      </c>
      <c r="C30" s="104">
        <v>1</v>
      </c>
      <c r="D30" s="104">
        <v>2</v>
      </c>
      <c r="E30" s="76">
        <v>2</v>
      </c>
      <c r="F30" s="123">
        <f t="shared" si="0"/>
        <v>7</v>
      </c>
      <c r="G30" s="124">
        <f t="shared" si="1"/>
        <v>315</v>
      </c>
      <c r="H30" s="125">
        <f>WATER!W30</f>
        <v>0</v>
      </c>
    </row>
    <row r="31" spans="1:8" ht="21.75" customHeight="1">
      <c r="A31" s="122">
        <v>26</v>
      </c>
      <c r="B31" s="104">
        <v>0</v>
      </c>
      <c r="C31" s="104">
        <v>0</v>
      </c>
      <c r="D31" s="104">
        <v>2</v>
      </c>
      <c r="E31" s="76">
        <v>3</v>
      </c>
      <c r="F31" s="123">
        <f t="shared" si="0"/>
        <v>5</v>
      </c>
      <c r="G31" s="124">
        <f t="shared" si="1"/>
        <v>225</v>
      </c>
      <c r="H31" s="125">
        <f>WATER!W31</f>
        <v>0</v>
      </c>
    </row>
    <row r="32" spans="1:8" ht="21.75" customHeight="1">
      <c r="A32" s="122">
        <v>27</v>
      </c>
      <c r="B32" s="104">
        <v>2</v>
      </c>
      <c r="C32" s="104">
        <v>2</v>
      </c>
      <c r="D32" s="104">
        <v>1</v>
      </c>
      <c r="E32" s="76">
        <v>2</v>
      </c>
      <c r="F32" s="123">
        <f t="shared" si="0"/>
        <v>7</v>
      </c>
      <c r="G32" s="124">
        <f t="shared" si="1"/>
        <v>315</v>
      </c>
      <c r="H32" s="125">
        <f>WATER!W32</f>
        <v>0</v>
      </c>
    </row>
    <row r="33" spans="1:8" ht="21.75" customHeight="1">
      <c r="A33" s="122">
        <v>28</v>
      </c>
      <c r="B33" s="104">
        <v>2</v>
      </c>
      <c r="C33" s="104">
        <v>0</v>
      </c>
      <c r="D33" s="104">
        <v>1</v>
      </c>
      <c r="E33" s="76">
        <v>3</v>
      </c>
      <c r="F33" s="123">
        <f t="shared" si="0"/>
        <v>6</v>
      </c>
      <c r="G33" s="124">
        <f t="shared" si="1"/>
        <v>270</v>
      </c>
      <c r="H33" s="125">
        <f>WATER!W33</f>
        <v>0</v>
      </c>
    </row>
    <row r="34" spans="1:8" ht="21.75" customHeight="1">
      <c r="A34" s="122">
        <v>29</v>
      </c>
      <c r="B34" s="104">
        <v>2</v>
      </c>
      <c r="C34" s="104">
        <v>0</v>
      </c>
      <c r="D34" s="104">
        <v>2</v>
      </c>
      <c r="E34" s="76">
        <v>3</v>
      </c>
      <c r="F34" s="123">
        <f t="shared" si="0"/>
        <v>7</v>
      </c>
      <c r="G34" s="124">
        <f t="shared" si="1"/>
        <v>315</v>
      </c>
      <c r="H34" s="125">
        <f>WATER!W34</f>
        <v>0</v>
      </c>
    </row>
    <row r="35" spans="1:8" ht="21.75" customHeight="1">
      <c r="A35" s="122">
        <v>30</v>
      </c>
      <c r="B35" s="104">
        <v>2</v>
      </c>
      <c r="C35" s="104">
        <v>2</v>
      </c>
      <c r="D35" s="104">
        <v>1</v>
      </c>
      <c r="E35" s="76">
        <v>2</v>
      </c>
      <c r="F35" s="123">
        <f t="shared" si="0"/>
        <v>7</v>
      </c>
      <c r="G35" s="124">
        <f>F35*45</f>
        <v>315</v>
      </c>
      <c r="H35" s="125">
        <f>WATER!W35</f>
        <v>0</v>
      </c>
    </row>
    <row r="36" spans="1:8" ht="21.75" customHeight="1">
      <c r="A36" s="122">
        <v>31</v>
      </c>
      <c r="B36" s="104">
        <v>2</v>
      </c>
      <c r="C36" s="104">
        <v>0</v>
      </c>
      <c r="D36" s="104">
        <v>1</v>
      </c>
      <c r="E36" s="76">
        <v>2</v>
      </c>
      <c r="F36" s="123">
        <f t="shared" si="0"/>
        <v>5</v>
      </c>
      <c r="G36" s="124">
        <f t="shared" si="1"/>
        <v>225</v>
      </c>
      <c r="H36" s="125">
        <f>WATER!W36</f>
        <v>0</v>
      </c>
    </row>
    <row r="37" spans="1:8" ht="21" customHeight="1">
      <c r="A37" s="124" t="s">
        <v>102</v>
      </c>
      <c r="B37" s="124"/>
      <c r="C37" s="124"/>
      <c r="D37" s="126"/>
      <c r="E37" s="126"/>
      <c r="F37" s="127">
        <f>SUM(F6:F36)</f>
        <v>195</v>
      </c>
      <c r="G37" s="124">
        <f>SUM(G6:G36)</f>
        <v>8775</v>
      </c>
      <c r="H37" s="125">
        <f>SUM(H6:H36)/30</f>
        <v>1827.6666666666667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J42"/>
  <sheetViews>
    <sheetView topLeftCell="A20" zoomScaleNormal="100" workbookViewId="0">
      <selection activeCell="C40" sqref="C40"/>
    </sheetView>
  </sheetViews>
  <sheetFormatPr defaultRowHeight="12.75"/>
  <cols>
    <col min="1" max="1" width="8.28515625" customWidth="1"/>
    <col min="2" max="3" width="13.5703125" style="7" customWidth="1"/>
    <col min="4" max="4" width="19.7109375" style="7" bestFit="1" customWidth="1"/>
    <col min="5" max="6" width="5.28515625" style="7" customWidth="1"/>
  </cols>
  <sheetData>
    <row r="1" spans="1:6" ht="12.75" customHeight="1">
      <c r="A1" s="395" t="s">
        <v>111</v>
      </c>
      <c r="B1" s="395"/>
      <c r="C1" s="395"/>
      <c r="D1" s="395"/>
    </row>
    <row r="2" spans="1:6" ht="12.75" customHeight="1">
      <c r="A2" s="395"/>
      <c r="B2" s="395"/>
      <c r="C2" s="395"/>
      <c r="D2" s="395"/>
    </row>
    <row r="3" spans="1:6" ht="34.5">
      <c r="A3" s="326"/>
      <c r="B3" s="327"/>
      <c r="C3" s="328" t="s">
        <v>112</v>
      </c>
      <c r="D3" s="329"/>
    </row>
    <row r="4" spans="1:6" ht="34.5">
      <c r="C4" s="8"/>
      <c r="D4" s="8"/>
    </row>
    <row r="5" spans="1:6" ht="14.25" customHeight="1">
      <c r="A5" s="5"/>
      <c r="B5" s="9"/>
      <c r="C5" s="10"/>
      <c r="D5" s="10"/>
    </row>
    <row r="6" spans="1:6" s="1" customFormat="1" ht="34.5">
      <c r="A6" s="56">
        <v>44928</v>
      </c>
      <c r="B6" s="56"/>
      <c r="C6" s="8"/>
      <c r="D6" s="8"/>
      <c r="E6" s="11"/>
      <c r="F6" s="11"/>
    </row>
    <row r="7" spans="1:6" ht="13.5" thickBot="1"/>
    <row r="8" spans="1:6" ht="15.75" customHeight="1" thickBot="1">
      <c r="A8" s="1"/>
      <c r="B8" s="393" t="s">
        <v>17</v>
      </c>
      <c r="C8" s="394"/>
      <c r="D8" s="47"/>
    </row>
    <row r="9" spans="1:6" ht="26.25" customHeight="1" thickBot="1">
      <c r="A9" s="13" t="s">
        <v>91</v>
      </c>
      <c r="B9" s="14" t="s">
        <v>113</v>
      </c>
      <c r="C9" s="15" t="s">
        <v>114</v>
      </c>
      <c r="D9" s="38" t="s">
        <v>115</v>
      </c>
      <c r="E9" s="16"/>
      <c r="F9" s="16"/>
    </row>
    <row r="10" spans="1:6">
      <c r="A10" s="17">
        <v>1</v>
      </c>
      <c r="B10" s="55">
        <v>20559448</v>
      </c>
      <c r="C10" s="55">
        <v>20565756</v>
      </c>
      <c r="D10" s="5">
        <f>MAX(0,C10-B10)</f>
        <v>6308</v>
      </c>
      <c r="E10" s="16"/>
      <c r="F10" s="16"/>
    </row>
    <row r="11" spans="1:6" ht="13.5" customHeight="1">
      <c r="A11" s="17">
        <v>2</v>
      </c>
      <c r="B11" s="18">
        <f>C10</f>
        <v>20565756</v>
      </c>
      <c r="C11" s="55">
        <v>20571552</v>
      </c>
      <c r="D11" s="5">
        <f t="shared" ref="D11:D40" si="0">MAX(0,C11-B11)</f>
        <v>5796</v>
      </c>
      <c r="E11" s="21"/>
      <c r="F11" s="21"/>
    </row>
    <row r="12" spans="1:6" ht="13.5" customHeight="1">
      <c r="A12" s="17">
        <v>3</v>
      </c>
      <c r="B12" s="18">
        <f t="shared" ref="B12:B40" si="1">C11</f>
        <v>20571552</v>
      </c>
      <c r="C12" s="55">
        <v>20578873</v>
      </c>
      <c r="D12" s="5">
        <f t="shared" si="0"/>
        <v>7321</v>
      </c>
      <c r="E12" s="21"/>
      <c r="F12" s="21"/>
    </row>
    <row r="13" spans="1:6" ht="13.5" customHeight="1">
      <c r="A13" s="17">
        <v>4</v>
      </c>
      <c r="B13" s="18">
        <f t="shared" si="1"/>
        <v>20578873</v>
      </c>
      <c r="C13" s="55">
        <v>20583833</v>
      </c>
      <c r="D13" s="5">
        <f t="shared" si="0"/>
        <v>4960</v>
      </c>
      <c r="E13" s="21"/>
      <c r="F13" s="21"/>
    </row>
    <row r="14" spans="1:6" ht="13.5" customHeight="1">
      <c r="A14" s="17">
        <v>5</v>
      </c>
      <c r="B14" s="18">
        <f t="shared" si="1"/>
        <v>20583833</v>
      </c>
      <c r="C14" s="55">
        <v>20589413</v>
      </c>
      <c r="D14" s="5">
        <f t="shared" si="0"/>
        <v>5580</v>
      </c>
      <c r="E14" s="21"/>
      <c r="F14" s="21"/>
    </row>
    <row r="15" spans="1:6" ht="13.5" customHeight="1">
      <c r="A15" s="17">
        <v>6</v>
      </c>
      <c r="B15" s="18">
        <f t="shared" si="1"/>
        <v>20589413</v>
      </c>
      <c r="C15" s="55">
        <v>20596824</v>
      </c>
      <c r="D15" s="5">
        <f t="shared" si="0"/>
        <v>7411</v>
      </c>
      <c r="E15" s="21"/>
      <c r="F15" s="21"/>
    </row>
    <row r="16" spans="1:6" ht="13.5" customHeight="1">
      <c r="A16" s="17">
        <v>7</v>
      </c>
      <c r="B16" s="18">
        <f t="shared" si="1"/>
        <v>20596824</v>
      </c>
      <c r="C16" s="55">
        <v>20603335</v>
      </c>
      <c r="D16" s="5">
        <f t="shared" si="0"/>
        <v>6511</v>
      </c>
      <c r="E16" s="21"/>
      <c r="F16" s="21"/>
    </row>
    <row r="17" spans="1:6" ht="13.5" customHeight="1">
      <c r="A17" s="17">
        <v>8</v>
      </c>
      <c r="B17" s="18">
        <f t="shared" si="1"/>
        <v>20603335</v>
      </c>
      <c r="C17" s="55">
        <v>20610228</v>
      </c>
      <c r="D17" s="5">
        <f t="shared" si="0"/>
        <v>6893</v>
      </c>
      <c r="E17" s="21"/>
      <c r="F17" s="21"/>
    </row>
    <row r="18" spans="1:6" ht="13.5" customHeight="1">
      <c r="A18" s="17">
        <v>9</v>
      </c>
      <c r="B18" s="18">
        <f t="shared" si="1"/>
        <v>20610228</v>
      </c>
      <c r="C18" s="55">
        <v>20610228</v>
      </c>
      <c r="D18" s="5">
        <f t="shared" si="0"/>
        <v>0</v>
      </c>
      <c r="E18" s="21"/>
      <c r="F18" s="21"/>
    </row>
    <row r="19" spans="1:6" ht="13.5" customHeight="1">
      <c r="A19" s="17">
        <v>10</v>
      </c>
      <c r="B19" s="18">
        <f t="shared" si="1"/>
        <v>20610228</v>
      </c>
      <c r="C19" s="55">
        <v>20617915</v>
      </c>
      <c r="D19" s="5">
        <f t="shared" si="0"/>
        <v>7687</v>
      </c>
      <c r="E19" s="21"/>
      <c r="F19" s="21"/>
    </row>
    <row r="20" spans="1:6" ht="13.5" customHeight="1">
      <c r="A20" s="17">
        <v>11</v>
      </c>
      <c r="B20" s="18">
        <f t="shared" si="1"/>
        <v>20617915</v>
      </c>
      <c r="C20" s="55">
        <v>20625179</v>
      </c>
      <c r="D20" s="5">
        <f t="shared" si="0"/>
        <v>7264</v>
      </c>
      <c r="E20" s="21"/>
      <c r="F20" s="21"/>
    </row>
    <row r="21" spans="1:6" ht="13.5" customHeight="1">
      <c r="A21" s="17">
        <v>12</v>
      </c>
      <c r="B21" s="18">
        <f t="shared" si="1"/>
        <v>20625179</v>
      </c>
      <c r="C21" s="55">
        <v>20632219</v>
      </c>
      <c r="D21" s="5">
        <f t="shared" si="0"/>
        <v>7040</v>
      </c>
      <c r="E21" s="21"/>
      <c r="F21" s="21"/>
    </row>
    <row r="22" spans="1:6" ht="13.5" customHeight="1">
      <c r="A22" s="17">
        <v>13</v>
      </c>
      <c r="B22" s="18">
        <f t="shared" si="1"/>
        <v>20632219</v>
      </c>
      <c r="C22" s="55">
        <v>20637221</v>
      </c>
      <c r="D22" s="5">
        <f t="shared" si="0"/>
        <v>5002</v>
      </c>
      <c r="E22" s="21"/>
      <c r="F22" s="21"/>
    </row>
    <row r="23" spans="1:6" ht="13.5" customHeight="1">
      <c r="A23" s="17">
        <v>14</v>
      </c>
      <c r="B23" s="18">
        <f t="shared" si="1"/>
        <v>20637221</v>
      </c>
      <c r="C23" s="55">
        <v>20642698</v>
      </c>
      <c r="D23" s="5">
        <f t="shared" si="0"/>
        <v>5477</v>
      </c>
      <c r="E23" s="21"/>
      <c r="F23" s="21"/>
    </row>
    <row r="24" spans="1:6" ht="13.5" customHeight="1">
      <c r="A24" s="17">
        <v>15</v>
      </c>
      <c r="B24" s="18">
        <f t="shared" si="1"/>
        <v>20642698</v>
      </c>
      <c r="C24" s="55">
        <v>20650341</v>
      </c>
      <c r="D24" s="5">
        <f t="shared" si="0"/>
        <v>7643</v>
      </c>
      <c r="E24" s="21"/>
      <c r="F24" s="21"/>
    </row>
    <row r="25" spans="1:6" ht="13.5" customHeight="1">
      <c r="A25" s="17">
        <v>16</v>
      </c>
      <c r="B25" s="18">
        <f t="shared" si="1"/>
        <v>20650341</v>
      </c>
      <c r="C25" s="55">
        <v>20652805</v>
      </c>
      <c r="D25" s="5">
        <f t="shared" si="0"/>
        <v>2464</v>
      </c>
      <c r="E25" s="21"/>
      <c r="F25" s="21"/>
    </row>
    <row r="26" spans="1:6" ht="13.5" customHeight="1">
      <c r="A26" s="17">
        <v>17</v>
      </c>
      <c r="B26" s="18">
        <f t="shared" si="1"/>
        <v>20652805</v>
      </c>
      <c r="C26" s="55">
        <v>20660395</v>
      </c>
      <c r="D26" s="5">
        <f t="shared" si="0"/>
        <v>7590</v>
      </c>
      <c r="E26" s="21"/>
      <c r="F26" s="21"/>
    </row>
    <row r="27" spans="1:6" ht="13.5" customHeight="1">
      <c r="A27" s="17">
        <v>18</v>
      </c>
      <c r="B27" s="18">
        <f t="shared" si="1"/>
        <v>20660395</v>
      </c>
      <c r="C27" s="55">
        <v>20668411</v>
      </c>
      <c r="D27" s="5">
        <f t="shared" si="0"/>
        <v>8016</v>
      </c>
      <c r="E27" s="21"/>
      <c r="F27" s="21"/>
    </row>
    <row r="28" spans="1:6" ht="13.5" customHeight="1">
      <c r="A28" s="17">
        <v>19</v>
      </c>
      <c r="B28" s="18">
        <f t="shared" si="1"/>
        <v>20668411</v>
      </c>
      <c r="C28" s="55">
        <v>20676636</v>
      </c>
      <c r="D28" s="5">
        <f t="shared" si="0"/>
        <v>8225</v>
      </c>
      <c r="E28" s="21"/>
      <c r="F28" s="21"/>
    </row>
    <row r="29" spans="1:6" ht="13.5" customHeight="1">
      <c r="A29" s="17">
        <v>20</v>
      </c>
      <c r="B29" s="18">
        <f t="shared" si="1"/>
        <v>20676636</v>
      </c>
      <c r="C29" s="55">
        <v>20682122</v>
      </c>
      <c r="D29" s="5">
        <f t="shared" si="0"/>
        <v>5486</v>
      </c>
      <c r="E29" s="21"/>
      <c r="F29" s="21"/>
    </row>
    <row r="30" spans="1:6" ht="13.5" customHeight="1">
      <c r="A30" s="17">
        <v>21</v>
      </c>
      <c r="B30" s="18">
        <f t="shared" si="1"/>
        <v>20682122</v>
      </c>
      <c r="C30" s="55">
        <v>20689867</v>
      </c>
      <c r="D30" s="5">
        <f t="shared" si="0"/>
        <v>7745</v>
      </c>
      <c r="E30" s="21"/>
      <c r="F30" s="21"/>
    </row>
    <row r="31" spans="1:6" ht="13.5" customHeight="1">
      <c r="A31" s="17">
        <v>22</v>
      </c>
      <c r="B31" s="18">
        <f t="shared" si="1"/>
        <v>20689867</v>
      </c>
      <c r="C31" s="55">
        <v>20697362</v>
      </c>
      <c r="D31" s="5">
        <f t="shared" si="0"/>
        <v>7495</v>
      </c>
      <c r="E31" s="21"/>
      <c r="F31" s="21"/>
    </row>
    <row r="32" spans="1:6" ht="13.5" customHeight="1">
      <c r="A32" s="17">
        <v>23</v>
      </c>
      <c r="B32" s="18">
        <f t="shared" si="1"/>
        <v>20697362</v>
      </c>
      <c r="C32" s="55">
        <v>20705983</v>
      </c>
      <c r="D32" s="5">
        <f t="shared" si="0"/>
        <v>8621</v>
      </c>
      <c r="E32" s="22"/>
      <c r="F32" s="21"/>
    </row>
    <row r="33" spans="1:10" ht="13.5" customHeight="1">
      <c r="A33" s="17">
        <v>24</v>
      </c>
      <c r="B33" s="18">
        <f t="shared" si="1"/>
        <v>20705983</v>
      </c>
      <c r="C33" s="55">
        <v>20712592</v>
      </c>
      <c r="D33" s="5">
        <f t="shared" si="0"/>
        <v>6609</v>
      </c>
      <c r="E33" s="22"/>
      <c r="F33" s="21"/>
    </row>
    <row r="34" spans="1:10" ht="13.5" customHeight="1">
      <c r="A34" s="17">
        <v>25</v>
      </c>
      <c r="B34" s="18">
        <f t="shared" si="1"/>
        <v>20712592</v>
      </c>
      <c r="C34" s="68">
        <v>20718436</v>
      </c>
      <c r="D34" s="5">
        <f t="shared" si="0"/>
        <v>5844</v>
      </c>
      <c r="E34" s="22"/>
      <c r="F34" s="21"/>
    </row>
    <row r="35" spans="1:10" s="3" customFormat="1" ht="13.5" customHeight="1">
      <c r="A35" s="17">
        <v>26</v>
      </c>
      <c r="B35" s="18">
        <f>C34</f>
        <v>20718436</v>
      </c>
      <c r="C35" s="55">
        <v>20724363</v>
      </c>
      <c r="D35" s="5">
        <f t="shared" si="0"/>
        <v>5927</v>
      </c>
      <c r="E35" s="22"/>
      <c r="F35" s="21"/>
    </row>
    <row r="36" spans="1:10" ht="13.5" customHeight="1">
      <c r="A36" s="17">
        <v>27</v>
      </c>
      <c r="B36" s="18">
        <f>C35</f>
        <v>20724363</v>
      </c>
      <c r="C36" s="55">
        <v>20732110</v>
      </c>
      <c r="D36" s="5">
        <f t="shared" si="0"/>
        <v>7747</v>
      </c>
      <c r="E36" s="22"/>
      <c r="F36" s="21"/>
    </row>
    <row r="37" spans="1:10" ht="13.5" customHeight="1">
      <c r="A37" s="17">
        <v>28</v>
      </c>
      <c r="B37" s="18">
        <f t="shared" si="1"/>
        <v>20732110</v>
      </c>
      <c r="C37" s="55">
        <v>20739528</v>
      </c>
      <c r="D37" s="5">
        <f t="shared" si="0"/>
        <v>7418</v>
      </c>
      <c r="E37" s="22"/>
      <c r="F37" s="21"/>
    </row>
    <row r="38" spans="1:10" ht="13.5" customHeight="1">
      <c r="A38" s="17">
        <v>29</v>
      </c>
      <c r="B38" s="18">
        <f t="shared" si="1"/>
        <v>20739528</v>
      </c>
      <c r="C38" s="55">
        <v>20742199</v>
      </c>
      <c r="D38" s="5">
        <f t="shared" si="0"/>
        <v>2671</v>
      </c>
      <c r="E38" s="22"/>
      <c r="F38" s="21"/>
    </row>
    <row r="39" spans="1:10" ht="13.5" customHeight="1">
      <c r="A39" s="17">
        <v>30</v>
      </c>
      <c r="B39" s="18">
        <f t="shared" si="1"/>
        <v>20742199</v>
      </c>
      <c r="C39" s="55">
        <v>20744427</v>
      </c>
      <c r="D39" s="5">
        <f t="shared" si="0"/>
        <v>2228</v>
      </c>
      <c r="E39" s="22"/>
      <c r="F39" s="21"/>
      <c r="G39" s="23" t="s">
        <v>116</v>
      </c>
      <c r="H39" s="24"/>
      <c r="I39" s="24"/>
      <c r="J39" s="24"/>
    </row>
    <row r="40" spans="1:10" ht="13.5" customHeight="1">
      <c r="A40" s="17">
        <v>31</v>
      </c>
      <c r="B40" s="18">
        <f t="shared" si="1"/>
        <v>20744427</v>
      </c>
      <c r="C40" s="55">
        <v>20749916</v>
      </c>
      <c r="D40" s="5">
        <f t="shared" si="0"/>
        <v>5489</v>
      </c>
      <c r="E40" s="22"/>
      <c r="F40" s="21"/>
      <c r="G40" s="23"/>
      <c r="H40" s="24"/>
      <c r="I40" s="24"/>
      <c r="J40" s="24"/>
    </row>
    <row r="41" spans="1:10" ht="13.5" thickBot="1">
      <c r="A41" t="s">
        <v>102</v>
      </c>
      <c r="C41" s="264"/>
      <c r="D41" s="265">
        <f>SUM(D10:D40)</f>
        <v>190468</v>
      </c>
      <c r="G41" s="23" t="s">
        <v>117</v>
      </c>
      <c r="H41" s="26"/>
      <c r="I41" s="26"/>
      <c r="J41" s="26"/>
    </row>
    <row r="42" spans="1:10" ht="13.5" thickTop="1"/>
  </sheetData>
  <mergeCells count="2">
    <mergeCell ref="B8:C8"/>
    <mergeCell ref="A1:D2"/>
  </mergeCells>
  <pageMargins left="0.7" right="0.7" top="0.75" bottom="0.75" header="0.3" footer="0.3"/>
  <pageSetup scale="9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G42"/>
  <sheetViews>
    <sheetView topLeftCell="A20" workbookViewId="0">
      <selection activeCell="G42" sqref="G42"/>
    </sheetView>
  </sheetViews>
  <sheetFormatPr defaultRowHeight="12.75"/>
  <cols>
    <col min="1" max="1" width="9.85546875" customWidth="1"/>
    <col min="2" max="3" width="13.5703125" style="7" customWidth="1"/>
    <col min="4" max="4" width="16.140625" style="7" customWidth="1"/>
    <col min="5" max="5" width="5.28515625" style="7" customWidth="1"/>
    <col min="7" max="7" width="13.42578125" customWidth="1"/>
  </cols>
  <sheetData>
    <row r="1" spans="1:7" ht="12.75" customHeight="1">
      <c r="A1" s="395" t="s">
        <v>118</v>
      </c>
      <c r="B1" s="395"/>
      <c r="C1" s="395"/>
      <c r="D1" s="395"/>
    </row>
    <row r="2" spans="1:7" ht="12.75" customHeight="1">
      <c r="A2" s="395"/>
      <c r="B2" s="395"/>
      <c r="C2" s="395"/>
      <c r="D2" s="395"/>
    </row>
    <row r="3" spans="1:7" ht="34.5">
      <c r="A3" s="326"/>
      <c r="B3" s="327"/>
      <c r="C3" s="328" t="s">
        <v>119</v>
      </c>
      <c r="D3" s="329"/>
    </row>
    <row r="4" spans="1:7" ht="34.5">
      <c r="C4" s="8"/>
      <c r="D4" s="8"/>
    </row>
    <row r="5" spans="1:7" ht="14.25" customHeight="1">
      <c r="A5" s="5"/>
      <c r="B5" s="9"/>
      <c r="C5" s="10"/>
      <c r="D5" s="10"/>
    </row>
    <row r="6" spans="1:7" s="1" customFormat="1" ht="34.5">
      <c r="A6" s="56">
        <f>'GENSET #1'!A6</f>
        <v>44928</v>
      </c>
      <c r="B6" s="4"/>
      <c r="C6" s="8"/>
      <c r="D6" s="8"/>
      <c r="E6" s="11"/>
    </row>
    <row r="7" spans="1:7" ht="13.5" thickBot="1"/>
    <row r="8" spans="1:7" ht="15.75" customHeight="1" thickBot="1">
      <c r="A8" s="1"/>
      <c r="B8" s="393" t="s">
        <v>18</v>
      </c>
      <c r="C8" s="396"/>
      <c r="D8" s="12"/>
    </row>
    <row r="9" spans="1:7" ht="38.25">
      <c r="A9" s="27" t="s">
        <v>91</v>
      </c>
      <c r="B9" s="28" t="s">
        <v>113</v>
      </c>
      <c r="C9" s="29" t="s">
        <v>114</v>
      </c>
      <c r="D9" s="38" t="s">
        <v>120</v>
      </c>
      <c r="E9" s="16"/>
      <c r="F9" s="30"/>
      <c r="G9" s="30"/>
    </row>
    <row r="10" spans="1:7">
      <c r="A10" s="31">
        <v>1</v>
      </c>
      <c r="B10" s="55">
        <v>34861588</v>
      </c>
      <c r="C10" s="55">
        <v>34870977</v>
      </c>
      <c r="D10" s="5">
        <f>MAX(0,C10-B10)</f>
        <v>9389</v>
      </c>
      <c r="E10" s="16"/>
      <c r="F10" s="30"/>
      <c r="G10" s="30"/>
    </row>
    <row r="11" spans="1:7" ht="13.5" customHeight="1">
      <c r="A11" s="31">
        <v>2</v>
      </c>
      <c r="B11" s="20">
        <f>C10</f>
        <v>34870977</v>
      </c>
      <c r="C11" s="55">
        <v>34880168</v>
      </c>
      <c r="D11" s="5">
        <f t="shared" ref="D11:D40" si="0">MAX(0,C11-B11)</f>
        <v>9191</v>
      </c>
      <c r="E11" s="21"/>
      <c r="F11" s="32"/>
      <c r="G11" s="33"/>
    </row>
    <row r="12" spans="1:7" ht="13.5" customHeight="1">
      <c r="A12" s="31">
        <v>3</v>
      </c>
      <c r="B12" s="20">
        <f t="shared" ref="B12:B40" si="1">C11</f>
        <v>34880168</v>
      </c>
      <c r="C12" s="55">
        <v>34886981</v>
      </c>
      <c r="D12" s="5">
        <f t="shared" si="0"/>
        <v>6813</v>
      </c>
      <c r="E12" s="21"/>
      <c r="F12" s="32"/>
      <c r="G12" s="33"/>
    </row>
    <row r="13" spans="1:7" ht="13.5" customHeight="1">
      <c r="A13" s="31">
        <v>4</v>
      </c>
      <c r="B13" s="20">
        <f t="shared" si="1"/>
        <v>34886981</v>
      </c>
      <c r="C13" s="55">
        <v>34897446</v>
      </c>
      <c r="D13" s="5">
        <f t="shared" si="0"/>
        <v>10465</v>
      </c>
      <c r="E13" s="21"/>
      <c r="F13" s="33"/>
      <c r="G13" s="33"/>
    </row>
    <row r="14" spans="1:7" ht="13.5" customHeight="1">
      <c r="A14" s="31">
        <v>5</v>
      </c>
      <c r="B14" s="20">
        <f t="shared" si="1"/>
        <v>34897446</v>
      </c>
      <c r="C14" s="55">
        <v>34906846</v>
      </c>
      <c r="D14" s="5">
        <f t="shared" si="0"/>
        <v>9400</v>
      </c>
      <c r="E14" s="21"/>
      <c r="F14" s="33"/>
      <c r="G14" s="33"/>
    </row>
    <row r="15" spans="1:7" ht="13.5" customHeight="1">
      <c r="A15" s="31">
        <v>6</v>
      </c>
      <c r="B15" s="20">
        <f t="shared" si="1"/>
        <v>34906846</v>
      </c>
      <c r="C15" s="55">
        <v>34914382</v>
      </c>
      <c r="D15" s="5">
        <f t="shared" si="0"/>
        <v>7536</v>
      </c>
      <c r="E15" s="21"/>
      <c r="F15" s="33"/>
      <c r="G15" s="33"/>
    </row>
    <row r="16" spans="1:7" ht="13.5" customHeight="1">
      <c r="A16" s="31">
        <v>7</v>
      </c>
      <c r="B16" s="20">
        <f t="shared" si="1"/>
        <v>34914382</v>
      </c>
      <c r="C16" s="55">
        <v>34923243</v>
      </c>
      <c r="D16" s="5">
        <f t="shared" si="0"/>
        <v>8861</v>
      </c>
      <c r="E16" s="21"/>
      <c r="F16" s="33"/>
      <c r="G16" s="33"/>
    </row>
    <row r="17" spans="1:7" ht="13.5" customHeight="1">
      <c r="A17" s="31">
        <v>8</v>
      </c>
      <c r="B17" s="20">
        <f t="shared" si="1"/>
        <v>34923243</v>
      </c>
      <c r="C17" s="55">
        <v>34930820</v>
      </c>
      <c r="D17" s="5">
        <f t="shared" si="0"/>
        <v>7577</v>
      </c>
      <c r="E17" s="21"/>
      <c r="F17" s="33"/>
      <c r="G17" s="33"/>
    </row>
    <row r="18" spans="1:7" ht="13.5" customHeight="1">
      <c r="A18" s="31">
        <v>9</v>
      </c>
      <c r="B18" s="20">
        <f t="shared" si="1"/>
        <v>34930820</v>
      </c>
      <c r="C18" s="55">
        <v>34941017</v>
      </c>
      <c r="D18" s="5">
        <f t="shared" si="0"/>
        <v>10197</v>
      </c>
      <c r="E18" s="21"/>
      <c r="F18" s="33"/>
      <c r="G18" s="33"/>
    </row>
    <row r="19" spans="1:7" ht="13.5" customHeight="1">
      <c r="A19" s="31">
        <v>10</v>
      </c>
      <c r="B19" s="20">
        <f t="shared" si="1"/>
        <v>34941017</v>
      </c>
      <c r="C19" s="55">
        <v>34947758</v>
      </c>
      <c r="D19" s="5">
        <f t="shared" si="0"/>
        <v>6741</v>
      </c>
      <c r="E19" s="21"/>
      <c r="F19" s="33"/>
      <c r="G19" s="33"/>
    </row>
    <row r="20" spans="1:7" ht="13.5" customHeight="1">
      <c r="A20" s="31">
        <v>11</v>
      </c>
      <c r="B20" s="20">
        <f t="shared" si="1"/>
        <v>34947758</v>
      </c>
      <c r="C20" s="55">
        <v>34952551</v>
      </c>
      <c r="D20" s="5">
        <f t="shared" si="0"/>
        <v>4793</v>
      </c>
      <c r="E20" s="21"/>
      <c r="F20" s="33"/>
      <c r="G20" s="33"/>
    </row>
    <row r="21" spans="1:7" ht="13.5" customHeight="1">
      <c r="A21" s="31">
        <v>12</v>
      </c>
      <c r="B21" s="20">
        <f t="shared" si="1"/>
        <v>34952551</v>
      </c>
      <c r="C21" s="55">
        <v>34952551</v>
      </c>
      <c r="D21" s="5">
        <f t="shared" si="0"/>
        <v>0</v>
      </c>
      <c r="E21" s="21"/>
      <c r="F21" s="33"/>
      <c r="G21" s="33"/>
    </row>
    <row r="22" spans="1:7" ht="13.5" customHeight="1">
      <c r="A22" s="31">
        <v>13</v>
      </c>
      <c r="B22" s="20">
        <f t="shared" si="1"/>
        <v>34952551</v>
      </c>
      <c r="C22" s="55">
        <v>34959958</v>
      </c>
      <c r="D22" s="5">
        <f t="shared" si="0"/>
        <v>7407</v>
      </c>
      <c r="E22" s="21"/>
      <c r="F22" s="33"/>
      <c r="G22" s="33"/>
    </row>
    <row r="23" spans="1:7" ht="13.5" customHeight="1">
      <c r="A23" s="31">
        <v>14</v>
      </c>
      <c r="B23" s="20">
        <f t="shared" si="1"/>
        <v>34959958</v>
      </c>
      <c r="C23" s="55">
        <v>34969479</v>
      </c>
      <c r="D23" s="5">
        <f t="shared" si="0"/>
        <v>9521</v>
      </c>
      <c r="E23" s="21"/>
      <c r="F23" s="33"/>
      <c r="G23" s="33"/>
    </row>
    <row r="24" spans="1:7" ht="13.5" customHeight="1">
      <c r="A24" s="31">
        <v>15</v>
      </c>
      <c r="B24" s="20">
        <f t="shared" si="1"/>
        <v>34969479</v>
      </c>
      <c r="C24" s="55">
        <v>34975694</v>
      </c>
      <c r="D24" s="5">
        <f t="shared" si="0"/>
        <v>6215</v>
      </c>
      <c r="E24" s="21"/>
      <c r="F24" s="33"/>
      <c r="G24" s="33"/>
    </row>
    <row r="25" spans="1:7" ht="13.5" customHeight="1">
      <c r="A25" s="31">
        <v>16</v>
      </c>
      <c r="B25" s="20">
        <f t="shared" si="1"/>
        <v>34975694</v>
      </c>
      <c r="C25" s="55">
        <v>34982841</v>
      </c>
      <c r="D25" s="5">
        <f t="shared" si="0"/>
        <v>7147</v>
      </c>
      <c r="E25" s="21"/>
      <c r="F25" s="33"/>
      <c r="G25" s="33"/>
    </row>
    <row r="26" spans="1:7" ht="13.5" customHeight="1">
      <c r="A26" s="31">
        <v>17</v>
      </c>
      <c r="B26" s="20">
        <f t="shared" si="1"/>
        <v>34982841</v>
      </c>
      <c r="C26" s="55">
        <v>34987452</v>
      </c>
      <c r="D26" s="5">
        <f t="shared" si="0"/>
        <v>4611</v>
      </c>
      <c r="E26" s="21"/>
      <c r="F26" s="33"/>
      <c r="G26" s="33"/>
    </row>
    <row r="27" spans="1:7" ht="13.5" customHeight="1">
      <c r="A27" s="31">
        <v>18</v>
      </c>
      <c r="B27" s="20">
        <f t="shared" si="1"/>
        <v>34987452</v>
      </c>
      <c r="C27" s="55">
        <v>34994039</v>
      </c>
      <c r="D27" s="5">
        <f t="shared" si="0"/>
        <v>6587</v>
      </c>
      <c r="E27" s="21"/>
      <c r="F27" s="33"/>
      <c r="G27" s="33"/>
    </row>
    <row r="28" spans="1:7" ht="13.5" customHeight="1">
      <c r="A28" s="31">
        <v>19</v>
      </c>
      <c r="B28" s="20">
        <f t="shared" si="1"/>
        <v>34994039</v>
      </c>
      <c r="C28" s="55">
        <v>35000576</v>
      </c>
      <c r="D28" s="5">
        <f t="shared" si="0"/>
        <v>6537</v>
      </c>
      <c r="E28" s="21"/>
      <c r="F28" s="33"/>
      <c r="G28" s="33"/>
    </row>
    <row r="29" spans="1:7" ht="13.5" customHeight="1">
      <c r="A29" s="31">
        <v>20</v>
      </c>
      <c r="B29" s="20">
        <f t="shared" si="1"/>
        <v>35000576</v>
      </c>
      <c r="C29" s="55">
        <v>35010950</v>
      </c>
      <c r="D29" s="5">
        <f t="shared" si="0"/>
        <v>10374</v>
      </c>
      <c r="E29" s="21"/>
      <c r="F29" s="33"/>
      <c r="G29" s="33"/>
    </row>
    <row r="30" spans="1:7" ht="13.5" customHeight="1">
      <c r="A30" s="31">
        <v>21</v>
      </c>
      <c r="B30" s="20">
        <f t="shared" si="1"/>
        <v>35010950</v>
      </c>
      <c r="C30" s="55">
        <v>35016500</v>
      </c>
      <c r="D30" s="5">
        <f t="shared" si="0"/>
        <v>5550</v>
      </c>
      <c r="E30" s="21"/>
      <c r="F30" s="33"/>
      <c r="G30" s="33"/>
    </row>
    <row r="31" spans="1:7" ht="13.5" customHeight="1">
      <c r="A31" s="31">
        <v>22</v>
      </c>
      <c r="B31" s="20">
        <f t="shared" si="1"/>
        <v>35016500</v>
      </c>
      <c r="C31" s="55">
        <v>35023892</v>
      </c>
      <c r="D31" s="5">
        <f t="shared" si="0"/>
        <v>7392</v>
      </c>
      <c r="E31" s="21"/>
      <c r="F31" s="33"/>
      <c r="G31" s="33"/>
    </row>
    <row r="32" spans="1:7" ht="13.5" customHeight="1">
      <c r="A32" s="31">
        <v>23</v>
      </c>
      <c r="B32" s="20">
        <f t="shared" si="1"/>
        <v>35023892</v>
      </c>
      <c r="C32" s="55">
        <v>35029504</v>
      </c>
      <c r="D32" s="5">
        <f t="shared" si="0"/>
        <v>5612</v>
      </c>
      <c r="E32" s="22"/>
      <c r="F32" s="33"/>
      <c r="G32" s="33"/>
    </row>
    <row r="33" spans="1:7" ht="13.5" customHeight="1">
      <c r="A33" s="31">
        <v>24</v>
      </c>
      <c r="B33" s="20">
        <f t="shared" si="1"/>
        <v>35029504</v>
      </c>
      <c r="C33" s="55">
        <v>35039498</v>
      </c>
      <c r="D33" s="5">
        <f t="shared" si="0"/>
        <v>9994</v>
      </c>
      <c r="E33" s="22"/>
      <c r="F33" s="33"/>
      <c r="G33" s="33"/>
    </row>
    <row r="34" spans="1:7" ht="13.5" customHeight="1">
      <c r="A34" s="31">
        <v>25</v>
      </c>
      <c r="B34" s="20">
        <f t="shared" si="1"/>
        <v>35039498</v>
      </c>
      <c r="C34" s="55">
        <v>35048796</v>
      </c>
      <c r="D34" s="5">
        <f t="shared" si="0"/>
        <v>9298</v>
      </c>
      <c r="E34" s="22"/>
      <c r="F34" s="33"/>
      <c r="G34" s="33"/>
    </row>
    <row r="35" spans="1:7" s="3" customFormat="1" ht="13.5" customHeight="1">
      <c r="A35" s="31">
        <v>26</v>
      </c>
      <c r="B35" s="20">
        <f t="shared" si="1"/>
        <v>35048796</v>
      </c>
      <c r="C35" s="55">
        <v>35057578</v>
      </c>
      <c r="D35" s="5">
        <f t="shared" si="0"/>
        <v>8782</v>
      </c>
      <c r="E35" s="22"/>
      <c r="F35" s="33"/>
      <c r="G35" s="33"/>
    </row>
    <row r="36" spans="1:7" ht="13.5" customHeight="1">
      <c r="A36" s="31">
        <v>27</v>
      </c>
      <c r="B36" s="20">
        <f t="shared" si="1"/>
        <v>35057578</v>
      </c>
      <c r="C36" s="55">
        <v>35066766</v>
      </c>
      <c r="D36" s="5">
        <f t="shared" si="0"/>
        <v>9188</v>
      </c>
      <c r="E36" s="34"/>
      <c r="F36" s="33"/>
      <c r="G36" s="33"/>
    </row>
    <row r="37" spans="1:7" ht="13.5" customHeight="1">
      <c r="A37" s="31">
        <v>28</v>
      </c>
      <c r="B37" s="20">
        <f t="shared" si="1"/>
        <v>35066766</v>
      </c>
      <c r="C37" s="55">
        <v>35073488</v>
      </c>
      <c r="D37" s="5">
        <f t="shared" si="0"/>
        <v>6722</v>
      </c>
      <c r="E37" s="34"/>
      <c r="F37" s="33"/>
      <c r="G37" s="33"/>
    </row>
    <row r="38" spans="1:7" ht="13.5" customHeight="1">
      <c r="A38" s="31">
        <v>29</v>
      </c>
      <c r="B38" s="20">
        <f t="shared" si="1"/>
        <v>35073488</v>
      </c>
      <c r="C38" s="55">
        <v>35087372</v>
      </c>
      <c r="D38" s="5">
        <f t="shared" si="0"/>
        <v>13884</v>
      </c>
      <c r="E38" s="34"/>
      <c r="F38" s="33"/>
      <c r="G38" s="33"/>
    </row>
    <row r="39" spans="1:7" ht="13.5" customHeight="1">
      <c r="A39" s="31">
        <v>30</v>
      </c>
      <c r="B39" s="20">
        <f t="shared" si="1"/>
        <v>35087372</v>
      </c>
      <c r="C39" s="55">
        <v>35101713</v>
      </c>
      <c r="D39" s="5">
        <f t="shared" si="0"/>
        <v>14341</v>
      </c>
      <c r="E39" s="34"/>
      <c r="F39" s="33"/>
      <c r="G39" s="33"/>
    </row>
    <row r="40" spans="1:7" ht="13.5" customHeight="1">
      <c r="A40" s="31">
        <v>31</v>
      </c>
      <c r="B40" s="20">
        <f t="shared" si="1"/>
        <v>35101713</v>
      </c>
      <c r="C40" s="55">
        <v>35111343</v>
      </c>
      <c r="D40" s="5">
        <f t="shared" si="0"/>
        <v>9630</v>
      </c>
      <c r="E40" s="34"/>
      <c r="F40" s="33"/>
      <c r="G40" s="33"/>
    </row>
    <row r="41" spans="1:7" ht="13.5" thickBot="1">
      <c r="A41" t="s">
        <v>102</v>
      </c>
      <c r="B41" s="7" t="e">
        <f>#REF!</f>
        <v>#REF!</v>
      </c>
      <c r="D41" s="266">
        <f>SUM(D10:D40)</f>
        <v>249755</v>
      </c>
      <c r="F41" s="30"/>
      <c r="G41" s="30"/>
    </row>
    <row r="42" spans="1:7" ht="13.5" thickTop="1"/>
  </sheetData>
  <mergeCells count="2">
    <mergeCell ref="B8:C8"/>
    <mergeCell ref="A1:D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H43"/>
  <sheetViews>
    <sheetView workbookViewId="0">
      <selection activeCell="C40" sqref="C40"/>
    </sheetView>
  </sheetViews>
  <sheetFormatPr defaultRowHeight="12.75"/>
  <cols>
    <col min="1" max="1" width="7.7109375" customWidth="1"/>
    <col min="2" max="3" width="13.5703125" style="7" customWidth="1"/>
    <col min="4" max="4" width="16.140625" style="7" customWidth="1"/>
    <col min="5" max="5" width="5.28515625" style="7" customWidth="1"/>
    <col min="6" max="6" width="9.140625" customWidth="1"/>
  </cols>
  <sheetData>
    <row r="1" spans="1:5" ht="20.25" customHeight="1">
      <c r="A1" s="395" t="s">
        <v>121</v>
      </c>
      <c r="B1" s="395"/>
      <c r="C1" s="395"/>
      <c r="D1" s="395"/>
    </row>
    <row r="2" spans="1:5" ht="20.25" customHeight="1">
      <c r="A2" s="395"/>
      <c r="B2" s="395"/>
      <c r="C2" s="395"/>
      <c r="D2" s="395"/>
    </row>
    <row r="3" spans="1:5" ht="34.5">
      <c r="A3" s="326"/>
      <c r="B3" s="327"/>
      <c r="C3" s="328" t="s">
        <v>122</v>
      </c>
      <c r="D3" s="329"/>
    </row>
    <row r="4" spans="1:5" ht="12.75" customHeight="1">
      <c r="C4" s="8"/>
      <c r="D4" s="8"/>
    </row>
    <row r="5" spans="1:5" ht="14.25" customHeight="1">
      <c r="A5" s="5"/>
      <c r="B5" s="9"/>
      <c r="C5" s="10"/>
      <c r="D5" s="10"/>
    </row>
    <row r="6" spans="1:5" ht="12.75" customHeight="1">
      <c r="A6" s="56">
        <f>'GENSET #2'!A6</f>
        <v>44928</v>
      </c>
      <c r="B6" s="35"/>
      <c r="D6" s="8"/>
    </row>
    <row r="7" spans="1:5" ht="12.75" customHeight="1" thickBot="1"/>
    <row r="8" spans="1:5" ht="12.75" customHeight="1" thickBot="1">
      <c r="A8" s="1"/>
      <c r="B8" s="36" t="s">
        <v>19</v>
      </c>
      <c r="C8" s="37"/>
      <c r="D8" s="12"/>
    </row>
    <row r="9" spans="1:5" s="1" customFormat="1" ht="12.75" customHeight="1">
      <c r="A9" s="27" t="s">
        <v>91</v>
      </c>
      <c r="B9" s="14" t="s">
        <v>113</v>
      </c>
      <c r="C9" s="15" t="s">
        <v>114</v>
      </c>
      <c r="D9" s="38" t="s">
        <v>120</v>
      </c>
      <c r="E9" s="11"/>
    </row>
    <row r="10" spans="1:5">
      <c r="A10" s="31">
        <v>1</v>
      </c>
      <c r="B10" s="19">
        <v>15789690</v>
      </c>
      <c r="C10" s="19">
        <v>15795178</v>
      </c>
      <c r="D10" s="25">
        <f>MAX(0,C10-B10)</f>
        <v>5488</v>
      </c>
    </row>
    <row r="11" spans="1:5" ht="15.75" customHeight="1">
      <c r="A11" s="31">
        <v>2</v>
      </c>
      <c r="B11" s="20">
        <f>C10</f>
        <v>15795178</v>
      </c>
      <c r="C11" s="19">
        <v>15799047</v>
      </c>
      <c r="D11" s="25">
        <f t="shared" ref="D11:D40" si="0">MAX(0,C11-B11)</f>
        <v>3869</v>
      </c>
    </row>
    <row r="12" spans="1:5">
      <c r="A12" s="31">
        <v>3</v>
      </c>
      <c r="B12" s="20">
        <f t="shared" ref="B12:B40" si="1">C11</f>
        <v>15799047</v>
      </c>
      <c r="C12" s="19">
        <v>15803186</v>
      </c>
      <c r="D12" s="25">
        <f t="shared" si="0"/>
        <v>4139</v>
      </c>
      <c r="E12" s="39"/>
    </row>
    <row r="13" spans="1:5">
      <c r="A13" s="31">
        <v>4</v>
      </c>
      <c r="B13" s="20">
        <f t="shared" si="1"/>
        <v>15803186</v>
      </c>
      <c r="C13" s="19">
        <v>15807074</v>
      </c>
      <c r="D13" s="25">
        <f t="shared" si="0"/>
        <v>3888</v>
      </c>
      <c r="E13" s="39"/>
    </row>
    <row r="14" spans="1:5" ht="13.5" customHeight="1">
      <c r="A14" s="31">
        <v>5</v>
      </c>
      <c r="B14" s="20">
        <f t="shared" si="1"/>
        <v>15807074</v>
      </c>
      <c r="C14" s="19">
        <v>15811695</v>
      </c>
      <c r="D14" s="25">
        <f t="shared" si="0"/>
        <v>4621</v>
      </c>
      <c r="E14" s="39"/>
    </row>
    <row r="15" spans="1:5" ht="13.5" customHeight="1">
      <c r="A15" s="31">
        <v>6</v>
      </c>
      <c r="B15" s="20">
        <f t="shared" si="1"/>
        <v>15811695</v>
      </c>
      <c r="C15" s="19">
        <v>15814491</v>
      </c>
      <c r="D15" s="25">
        <f t="shared" si="0"/>
        <v>2796</v>
      </c>
      <c r="E15" s="39"/>
    </row>
    <row r="16" spans="1:5" ht="13.5" customHeight="1">
      <c r="A16" s="31">
        <v>7</v>
      </c>
      <c r="B16" s="20">
        <f t="shared" si="1"/>
        <v>15814491</v>
      </c>
      <c r="C16" s="19">
        <v>15817064</v>
      </c>
      <c r="D16" s="25">
        <f t="shared" si="0"/>
        <v>2573</v>
      </c>
      <c r="E16" s="39"/>
    </row>
    <row r="17" spans="1:5" ht="13.5" customHeight="1">
      <c r="A17" s="31">
        <v>8</v>
      </c>
      <c r="B17" s="20">
        <f t="shared" si="1"/>
        <v>15817064</v>
      </c>
      <c r="C17" s="19">
        <v>15820100</v>
      </c>
      <c r="D17" s="25">
        <f t="shared" si="0"/>
        <v>3036</v>
      </c>
      <c r="E17" s="39"/>
    </row>
    <row r="18" spans="1:5" ht="13.5" customHeight="1">
      <c r="A18" s="31">
        <v>9</v>
      </c>
      <c r="B18" s="20">
        <f t="shared" si="1"/>
        <v>15820100</v>
      </c>
      <c r="C18" s="19">
        <v>15827374</v>
      </c>
      <c r="D18" s="25">
        <f t="shared" si="0"/>
        <v>7274</v>
      </c>
      <c r="E18" s="39"/>
    </row>
    <row r="19" spans="1:5" ht="13.5" customHeight="1">
      <c r="A19" s="31">
        <v>10</v>
      </c>
      <c r="B19" s="20">
        <f t="shared" si="1"/>
        <v>15827374</v>
      </c>
      <c r="C19" s="19">
        <v>15827389</v>
      </c>
      <c r="D19" s="25">
        <f t="shared" si="0"/>
        <v>15</v>
      </c>
      <c r="E19" s="39"/>
    </row>
    <row r="20" spans="1:5" ht="13.5" customHeight="1">
      <c r="A20" s="31">
        <v>11</v>
      </c>
      <c r="B20" s="20">
        <f t="shared" si="1"/>
        <v>15827389</v>
      </c>
      <c r="C20" s="19">
        <v>15830014</v>
      </c>
      <c r="D20" s="25">
        <f t="shared" si="0"/>
        <v>2625</v>
      </c>
      <c r="E20" s="39"/>
    </row>
    <row r="21" spans="1:5" ht="13.5" customHeight="1">
      <c r="A21" s="31">
        <v>12</v>
      </c>
      <c r="B21" s="20">
        <f t="shared" si="1"/>
        <v>15830014</v>
      </c>
      <c r="C21" s="19">
        <v>15833487</v>
      </c>
      <c r="D21" s="25">
        <f t="shared" si="0"/>
        <v>3473</v>
      </c>
      <c r="E21" s="39"/>
    </row>
    <row r="22" spans="1:5" ht="13.5" customHeight="1">
      <c r="A22" s="31">
        <v>13</v>
      </c>
      <c r="B22" s="20">
        <f t="shared" si="1"/>
        <v>15833487</v>
      </c>
      <c r="C22" s="19">
        <v>15835604</v>
      </c>
      <c r="D22" s="25">
        <f t="shared" si="0"/>
        <v>2117</v>
      </c>
      <c r="E22" s="39"/>
    </row>
    <row r="23" spans="1:5" ht="13.5" customHeight="1">
      <c r="A23" s="31">
        <v>14</v>
      </c>
      <c r="B23" s="20">
        <f t="shared" si="1"/>
        <v>15835604</v>
      </c>
      <c r="C23" s="19">
        <v>15837508</v>
      </c>
      <c r="D23" s="25">
        <f t="shared" si="0"/>
        <v>1904</v>
      </c>
      <c r="E23" s="39"/>
    </row>
    <row r="24" spans="1:5" ht="13.5" customHeight="1">
      <c r="A24" s="31">
        <v>15</v>
      </c>
      <c r="B24" s="20">
        <f t="shared" si="1"/>
        <v>15837508</v>
      </c>
      <c r="C24" s="19">
        <v>15839798</v>
      </c>
      <c r="D24" s="25">
        <f t="shared" si="0"/>
        <v>2290</v>
      </c>
      <c r="E24" s="39"/>
    </row>
    <row r="25" spans="1:5" ht="13.5" customHeight="1">
      <c r="A25" s="31">
        <v>16</v>
      </c>
      <c r="B25" s="20">
        <f t="shared" si="1"/>
        <v>15839798</v>
      </c>
      <c r="C25" s="19">
        <v>15845741</v>
      </c>
      <c r="D25" s="25">
        <f t="shared" si="0"/>
        <v>5943</v>
      </c>
      <c r="E25" s="39"/>
    </row>
    <row r="26" spans="1:5" ht="13.5" customHeight="1">
      <c r="A26" s="31">
        <v>17</v>
      </c>
      <c r="B26" s="20">
        <f t="shared" si="1"/>
        <v>15845741</v>
      </c>
      <c r="C26" s="19">
        <v>15846794</v>
      </c>
      <c r="D26" s="25">
        <f t="shared" si="0"/>
        <v>1053</v>
      </c>
      <c r="E26" s="39"/>
    </row>
    <row r="27" spans="1:5" ht="13.5" customHeight="1">
      <c r="A27" s="31">
        <v>18</v>
      </c>
      <c r="B27" s="20">
        <f t="shared" si="1"/>
        <v>15846794</v>
      </c>
      <c r="C27" s="19">
        <v>15846794</v>
      </c>
      <c r="D27" s="25">
        <f t="shared" si="0"/>
        <v>0</v>
      </c>
      <c r="E27" s="39"/>
    </row>
    <row r="28" spans="1:5" ht="13.5" customHeight="1">
      <c r="A28" s="31">
        <v>19</v>
      </c>
      <c r="B28" s="20">
        <f t="shared" si="1"/>
        <v>15846794</v>
      </c>
      <c r="C28" s="19">
        <v>15846794</v>
      </c>
      <c r="D28" s="25">
        <f t="shared" si="0"/>
        <v>0</v>
      </c>
      <c r="E28" s="39"/>
    </row>
    <row r="29" spans="1:5" ht="13.5" customHeight="1">
      <c r="A29" s="31">
        <v>20</v>
      </c>
      <c r="B29" s="20">
        <f t="shared" si="1"/>
        <v>15846794</v>
      </c>
      <c r="C29" s="19">
        <v>15846794</v>
      </c>
      <c r="D29" s="25">
        <f t="shared" si="0"/>
        <v>0</v>
      </c>
      <c r="E29" s="39"/>
    </row>
    <row r="30" spans="1:5" ht="13.5" customHeight="1">
      <c r="A30" s="31">
        <v>21</v>
      </c>
      <c r="B30" s="20">
        <f t="shared" si="1"/>
        <v>15846794</v>
      </c>
      <c r="C30" s="19">
        <v>15846794</v>
      </c>
      <c r="D30" s="25">
        <f t="shared" si="0"/>
        <v>0</v>
      </c>
      <c r="E30" s="39"/>
    </row>
    <row r="31" spans="1:5" ht="13.5" customHeight="1">
      <c r="A31" s="31">
        <v>22</v>
      </c>
      <c r="B31" s="20">
        <f t="shared" si="1"/>
        <v>15846794</v>
      </c>
      <c r="C31" s="19">
        <v>15846794</v>
      </c>
      <c r="D31" s="25">
        <f t="shared" si="0"/>
        <v>0</v>
      </c>
      <c r="E31" s="39"/>
    </row>
    <row r="32" spans="1:5" ht="13.5" customHeight="1">
      <c r="A32" s="31">
        <v>23</v>
      </c>
      <c r="B32" s="20">
        <f t="shared" si="1"/>
        <v>15846794</v>
      </c>
      <c r="C32" s="19">
        <v>15846794</v>
      </c>
      <c r="D32" s="25">
        <f t="shared" si="0"/>
        <v>0</v>
      </c>
      <c r="E32" s="39"/>
    </row>
    <row r="33" spans="1:8" ht="13.5" customHeight="1">
      <c r="A33" s="31">
        <v>24</v>
      </c>
      <c r="B33" s="20">
        <f t="shared" si="1"/>
        <v>15846794</v>
      </c>
      <c r="C33" s="19">
        <v>15846794</v>
      </c>
      <c r="D33" s="25">
        <f t="shared" si="0"/>
        <v>0</v>
      </c>
      <c r="E33" s="39"/>
    </row>
    <row r="34" spans="1:8" ht="13.5" customHeight="1">
      <c r="A34" s="31">
        <v>25</v>
      </c>
      <c r="B34" s="20">
        <f t="shared" si="1"/>
        <v>15846794</v>
      </c>
      <c r="C34" s="19">
        <v>15846794</v>
      </c>
      <c r="D34" s="25">
        <f t="shared" si="0"/>
        <v>0</v>
      </c>
      <c r="E34" s="65"/>
      <c r="H34" s="3"/>
    </row>
    <row r="35" spans="1:8" s="3" customFormat="1" ht="13.5" customHeight="1">
      <c r="A35" s="31">
        <v>26</v>
      </c>
      <c r="B35" s="20">
        <f t="shared" si="1"/>
        <v>15846794</v>
      </c>
      <c r="C35" s="19">
        <v>15846794</v>
      </c>
      <c r="D35" s="25">
        <f t="shared" si="0"/>
        <v>0</v>
      </c>
      <c r="E35" s="65"/>
    </row>
    <row r="36" spans="1:8" ht="13.5" customHeight="1">
      <c r="A36" s="31">
        <v>27</v>
      </c>
      <c r="B36" s="20">
        <f t="shared" si="1"/>
        <v>15846794</v>
      </c>
      <c r="C36" s="19">
        <v>15846794</v>
      </c>
      <c r="D36" s="25">
        <f t="shared" si="0"/>
        <v>0</v>
      </c>
      <c r="E36" s="65"/>
    </row>
    <row r="37" spans="1:8" ht="13.5" customHeight="1">
      <c r="A37" s="31">
        <v>28</v>
      </c>
      <c r="B37" s="20">
        <f t="shared" si="1"/>
        <v>15846794</v>
      </c>
      <c r="C37" s="19">
        <v>15846794</v>
      </c>
      <c r="D37" s="25">
        <f t="shared" si="0"/>
        <v>0</v>
      </c>
      <c r="E37" s="65"/>
    </row>
    <row r="38" spans="1:8" ht="13.5" customHeight="1">
      <c r="A38" s="31">
        <v>29</v>
      </c>
      <c r="B38" s="20">
        <f t="shared" si="1"/>
        <v>15846794</v>
      </c>
      <c r="C38" s="19">
        <v>15846794</v>
      </c>
      <c r="D38" s="25">
        <f t="shared" si="0"/>
        <v>0</v>
      </c>
      <c r="E38" s="397"/>
      <c r="F38" s="398"/>
    </row>
    <row r="39" spans="1:8" ht="13.5" customHeight="1">
      <c r="A39" s="31">
        <v>30</v>
      </c>
      <c r="B39" s="20">
        <f t="shared" si="1"/>
        <v>15846794</v>
      </c>
      <c r="C39" s="19">
        <v>15846794</v>
      </c>
      <c r="D39" s="25">
        <f t="shared" si="0"/>
        <v>0</v>
      </c>
      <c r="E39" s="65"/>
    </row>
    <row r="40" spans="1:8" ht="13.5" customHeight="1">
      <c r="A40" s="31">
        <v>31</v>
      </c>
      <c r="B40" s="20">
        <f t="shared" si="1"/>
        <v>15846794</v>
      </c>
      <c r="C40" s="19">
        <v>15846794</v>
      </c>
      <c r="D40" s="25">
        <f t="shared" si="0"/>
        <v>0</v>
      </c>
      <c r="E40" s="65"/>
    </row>
    <row r="41" spans="1:8" ht="13.5" customHeight="1" thickBot="1">
      <c r="A41" t="s">
        <v>102</v>
      </c>
      <c r="B41" s="7" t="e">
        <f>#REF!</f>
        <v>#REF!</v>
      </c>
      <c r="D41" s="266">
        <f>SUM(D10:D40)</f>
        <v>57104</v>
      </c>
      <c r="E41" s="65"/>
    </row>
    <row r="42" spans="1:8" ht="12" customHeight="1" thickTop="1">
      <c r="E42" s="65"/>
    </row>
    <row r="43" spans="1:8" ht="14.25" customHeight="1">
      <c r="E43" s="66"/>
    </row>
  </sheetData>
  <mergeCells count="2">
    <mergeCell ref="E38:F38"/>
    <mergeCell ref="A1:D2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42"/>
  <sheetViews>
    <sheetView topLeftCell="A24" workbookViewId="0">
      <selection activeCell="C40" sqref="C40"/>
    </sheetView>
  </sheetViews>
  <sheetFormatPr defaultRowHeight="12.75"/>
  <cols>
    <col min="1" max="1" width="7.28515625" bestFit="1" customWidth="1"/>
    <col min="2" max="3" width="13.5703125" style="7" customWidth="1"/>
    <col min="4" max="4" width="16.140625" style="7" customWidth="1"/>
    <col min="5" max="5" width="5.28515625" style="7" customWidth="1"/>
  </cols>
  <sheetData>
    <row r="1" spans="1:5" ht="12.75" customHeight="1">
      <c r="A1" s="395" t="s">
        <v>123</v>
      </c>
      <c r="B1" s="395"/>
      <c r="C1" s="395"/>
      <c r="D1" s="395"/>
    </row>
    <row r="2" spans="1:5" ht="12.75" customHeight="1">
      <c r="A2" s="395"/>
      <c r="B2" s="395"/>
      <c r="C2" s="395"/>
      <c r="D2" s="395"/>
    </row>
    <row r="3" spans="1:5" ht="34.5">
      <c r="A3" s="326"/>
      <c r="B3" s="327"/>
      <c r="C3" s="328" t="s">
        <v>124</v>
      </c>
      <c r="D3" s="329"/>
    </row>
    <row r="4" spans="1:5" ht="34.5">
      <c r="C4" s="8"/>
      <c r="D4" s="8"/>
    </row>
    <row r="5" spans="1:5" ht="14.25" customHeight="1">
      <c r="A5" s="5"/>
      <c r="B5" s="9"/>
      <c r="C5" s="10"/>
      <c r="D5" s="10"/>
    </row>
    <row r="6" spans="1:5" s="1" customFormat="1">
      <c r="A6" s="56">
        <f>'GENSET #3'!A6</f>
        <v>44928</v>
      </c>
      <c r="B6" s="4"/>
      <c r="C6" s="11"/>
      <c r="D6" s="11"/>
      <c r="E6" s="11"/>
    </row>
    <row r="7" spans="1:5" ht="13.5" thickBot="1"/>
    <row r="8" spans="1:5" ht="15.75" customHeight="1" thickBot="1">
      <c r="A8" s="1"/>
      <c r="B8" s="393" t="s">
        <v>20</v>
      </c>
      <c r="C8" s="396"/>
      <c r="D8" s="12"/>
    </row>
    <row r="9" spans="1:5" ht="38.25">
      <c r="A9" s="27" t="s">
        <v>91</v>
      </c>
      <c r="B9" s="28" t="s">
        <v>113</v>
      </c>
      <c r="C9" s="29" t="s">
        <v>114</v>
      </c>
      <c r="D9" s="40" t="s">
        <v>120</v>
      </c>
      <c r="E9" s="16"/>
    </row>
    <row r="10" spans="1:5" s="30" customFormat="1">
      <c r="A10" s="31">
        <v>1</v>
      </c>
      <c r="B10" s="267">
        <v>12752636</v>
      </c>
      <c r="C10" s="19">
        <v>12755620</v>
      </c>
      <c r="D10" s="25">
        <f>MAX(0,C10-B10)</f>
        <v>2984</v>
      </c>
      <c r="E10" s="16"/>
    </row>
    <row r="11" spans="1:5" ht="13.5" customHeight="1">
      <c r="A11" s="31">
        <v>2</v>
      </c>
      <c r="B11" s="20">
        <f>C10</f>
        <v>12755620</v>
      </c>
      <c r="C11" s="19">
        <v>12759684</v>
      </c>
      <c r="D11" s="25">
        <f>MAX(0,C11-B11)</f>
        <v>4064</v>
      </c>
      <c r="E11" s="21"/>
    </row>
    <row r="12" spans="1:5" ht="13.5" customHeight="1">
      <c r="A12" s="31">
        <v>3</v>
      </c>
      <c r="B12" s="20">
        <f t="shared" ref="B12:B40" si="0">C11</f>
        <v>12759684</v>
      </c>
      <c r="C12" s="19">
        <v>12763160</v>
      </c>
      <c r="D12" s="25">
        <f t="shared" ref="D12:D40" si="1">MAX(0,C12-B12)</f>
        <v>3476</v>
      </c>
      <c r="E12" s="21"/>
    </row>
    <row r="13" spans="1:5" ht="13.5" customHeight="1">
      <c r="A13" s="31">
        <v>4</v>
      </c>
      <c r="B13" s="20">
        <f t="shared" si="0"/>
        <v>12763160</v>
      </c>
      <c r="C13" s="19">
        <v>12766181</v>
      </c>
      <c r="D13" s="25">
        <f t="shared" si="1"/>
        <v>3021</v>
      </c>
      <c r="E13" s="21"/>
    </row>
    <row r="14" spans="1:5" ht="13.5" customHeight="1">
      <c r="A14" s="31">
        <v>5</v>
      </c>
      <c r="B14" s="20">
        <f t="shared" si="0"/>
        <v>12766181</v>
      </c>
      <c r="C14" s="19">
        <v>12768126</v>
      </c>
      <c r="D14" s="25">
        <f t="shared" si="1"/>
        <v>1945</v>
      </c>
      <c r="E14" s="21"/>
    </row>
    <row r="15" spans="1:5" ht="13.5" customHeight="1">
      <c r="A15" s="31">
        <v>6</v>
      </c>
      <c r="B15" s="20">
        <f t="shared" si="0"/>
        <v>12768126</v>
      </c>
      <c r="C15" s="19">
        <v>12771602</v>
      </c>
      <c r="D15" s="25">
        <f t="shared" si="1"/>
        <v>3476</v>
      </c>
      <c r="E15" s="21"/>
    </row>
    <row r="16" spans="1:5" ht="13.5" customHeight="1">
      <c r="A16" s="31">
        <v>7</v>
      </c>
      <c r="B16" s="20">
        <f t="shared" si="0"/>
        <v>12771602</v>
      </c>
      <c r="C16" s="19">
        <v>12774075</v>
      </c>
      <c r="D16" s="25">
        <f t="shared" si="1"/>
        <v>2473</v>
      </c>
      <c r="E16" s="21"/>
    </row>
    <row r="17" spans="1:5" ht="13.5" customHeight="1">
      <c r="A17" s="31">
        <v>8</v>
      </c>
      <c r="B17" s="20">
        <f t="shared" si="0"/>
        <v>12774075</v>
      </c>
      <c r="C17" s="19">
        <v>12776254</v>
      </c>
      <c r="D17" s="25">
        <f t="shared" si="1"/>
        <v>2179</v>
      </c>
      <c r="E17" s="21"/>
    </row>
    <row r="18" spans="1:5" ht="13.5" customHeight="1">
      <c r="A18" s="31">
        <v>9</v>
      </c>
      <c r="B18" s="20">
        <f t="shared" si="0"/>
        <v>12776254</v>
      </c>
      <c r="C18" s="19">
        <v>12779364</v>
      </c>
      <c r="D18" s="25">
        <f t="shared" si="1"/>
        <v>3110</v>
      </c>
      <c r="E18" s="21"/>
    </row>
    <row r="19" spans="1:5" ht="13.5" customHeight="1">
      <c r="A19" s="31">
        <v>10</v>
      </c>
      <c r="B19" s="20">
        <f t="shared" si="0"/>
        <v>12779364</v>
      </c>
      <c r="C19" s="19">
        <v>12783030</v>
      </c>
      <c r="D19" s="25">
        <f t="shared" si="1"/>
        <v>3666</v>
      </c>
      <c r="E19" s="21"/>
    </row>
    <row r="20" spans="1:5" ht="13.5" customHeight="1">
      <c r="A20" s="31">
        <v>11</v>
      </c>
      <c r="B20" s="20">
        <f t="shared" si="0"/>
        <v>12783030</v>
      </c>
      <c r="C20" s="19">
        <v>12787810</v>
      </c>
      <c r="D20" s="25">
        <f t="shared" si="1"/>
        <v>4780</v>
      </c>
      <c r="E20" s="21"/>
    </row>
    <row r="21" spans="1:5" ht="13.5" customHeight="1">
      <c r="A21" s="31">
        <v>12</v>
      </c>
      <c r="B21" s="20">
        <f t="shared" si="0"/>
        <v>12787810</v>
      </c>
      <c r="C21" s="19">
        <v>12790702</v>
      </c>
      <c r="D21" s="25">
        <f t="shared" si="1"/>
        <v>2892</v>
      </c>
      <c r="E21" s="21"/>
    </row>
    <row r="22" spans="1:5" ht="13.5" customHeight="1">
      <c r="A22" s="31">
        <v>13</v>
      </c>
      <c r="B22" s="20">
        <f t="shared" si="0"/>
        <v>12790702</v>
      </c>
      <c r="C22" s="19">
        <v>12792306</v>
      </c>
      <c r="D22" s="25">
        <f t="shared" si="1"/>
        <v>1604</v>
      </c>
      <c r="E22" s="21"/>
    </row>
    <row r="23" spans="1:5" ht="13.5" customHeight="1">
      <c r="A23" s="31">
        <v>14</v>
      </c>
      <c r="B23" s="20">
        <f t="shared" si="0"/>
        <v>12792306</v>
      </c>
      <c r="C23" s="19">
        <v>12794169</v>
      </c>
      <c r="D23" s="25">
        <f t="shared" si="1"/>
        <v>1863</v>
      </c>
      <c r="E23" s="21"/>
    </row>
    <row r="24" spans="1:5" ht="13.5" customHeight="1">
      <c r="A24" s="31">
        <v>15</v>
      </c>
      <c r="B24" s="20">
        <f t="shared" si="0"/>
        <v>12794169</v>
      </c>
      <c r="C24" s="19">
        <v>12797059</v>
      </c>
      <c r="D24" s="25">
        <f t="shared" si="1"/>
        <v>2890</v>
      </c>
      <c r="E24" s="21"/>
    </row>
    <row r="25" spans="1:5" ht="13.5" customHeight="1">
      <c r="A25" s="31">
        <v>16</v>
      </c>
      <c r="B25" s="20">
        <f t="shared" si="0"/>
        <v>12797059</v>
      </c>
      <c r="C25" s="19">
        <v>12799930</v>
      </c>
      <c r="D25" s="25">
        <f t="shared" si="1"/>
        <v>2871</v>
      </c>
      <c r="E25" s="21"/>
    </row>
    <row r="26" spans="1:5" ht="13.5" customHeight="1">
      <c r="A26" s="31">
        <v>17</v>
      </c>
      <c r="B26" s="20">
        <f t="shared" si="0"/>
        <v>12799930</v>
      </c>
      <c r="C26" s="19">
        <v>12803975</v>
      </c>
      <c r="D26" s="25">
        <f t="shared" si="1"/>
        <v>4045</v>
      </c>
      <c r="E26" s="21"/>
    </row>
    <row r="27" spans="1:5" ht="13.5" customHeight="1">
      <c r="A27" s="31">
        <v>18</v>
      </c>
      <c r="B27" s="20">
        <f t="shared" si="0"/>
        <v>12803975</v>
      </c>
      <c r="C27" s="63">
        <v>12809036</v>
      </c>
      <c r="D27" s="25">
        <f t="shared" si="1"/>
        <v>5061</v>
      </c>
      <c r="E27" s="64"/>
    </row>
    <row r="28" spans="1:5" ht="13.5" customHeight="1">
      <c r="A28" s="31">
        <v>19</v>
      </c>
      <c r="B28" s="20">
        <f t="shared" si="0"/>
        <v>12809036</v>
      </c>
      <c r="C28" s="19">
        <v>12814377</v>
      </c>
      <c r="D28" s="25">
        <f t="shared" si="1"/>
        <v>5341</v>
      </c>
      <c r="E28" s="21"/>
    </row>
    <row r="29" spans="1:5" ht="13.5" customHeight="1">
      <c r="A29" s="31">
        <v>20</v>
      </c>
      <c r="B29" s="20">
        <f t="shared" si="0"/>
        <v>12814377</v>
      </c>
      <c r="C29" s="19">
        <v>12816642</v>
      </c>
      <c r="D29" s="25">
        <f t="shared" si="1"/>
        <v>2265</v>
      </c>
      <c r="E29" s="21"/>
    </row>
    <row r="30" spans="1:5" ht="13.5" customHeight="1">
      <c r="A30" s="31">
        <v>21</v>
      </c>
      <c r="B30" s="20">
        <f t="shared" si="0"/>
        <v>12816642</v>
      </c>
      <c r="C30" s="19">
        <v>12819815</v>
      </c>
      <c r="D30" s="25">
        <f t="shared" si="1"/>
        <v>3173</v>
      </c>
      <c r="E30" s="21"/>
    </row>
    <row r="31" spans="1:5" ht="13.5" customHeight="1">
      <c r="A31" s="31">
        <v>22</v>
      </c>
      <c r="B31" s="20">
        <f t="shared" si="0"/>
        <v>12819815</v>
      </c>
      <c r="C31" s="19">
        <v>12824622</v>
      </c>
      <c r="D31" s="25">
        <f t="shared" si="1"/>
        <v>4807</v>
      </c>
      <c r="E31" s="21"/>
    </row>
    <row r="32" spans="1:5" ht="13.5" customHeight="1">
      <c r="A32" s="31">
        <v>23</v>
      </c>
      <c r="B32" s="20">
        <f t="shared" si="0"/>
        <v>12824622</v>
      </c>
      <c r="C32" s="19">
        <v>12829157</v>
      </c>
      <c r="D32" s="25">
        <f t="shared" si="1"/>
        <v>4535</v>
      </c>
      <c r="E32" s="22"/>
    </row>
    <row r="33" spans="1:5" ht="13.5" customHeight="1">
      <c r="A33" s="31">
        <v>24</v>
      </c>
      <c r="B33" s="20">
        <f t="shared" si="0"/>
        <v>12829157</v>
      </c>
      <c r="C33" s="19">
        <v>12832418</v>
      </c>
      <c r="D33" s="25">
        <f t="shared" si="1"/>
        <v>3261</v>
      </c>
      <c r="E33" s="22"/>
    </row>
    <row r="34" spans="1:5" ht="13.5" customHeight="1">
      <c r="A34" s="31">
        <v>25</v>
      </c>
      <c r="B34" s="20">
        <f t="shared" si="0"/>
        <v>12832418</v>
      </c>
      <c r="C34" s="19">
        <v>12834599</v>
      </c>
      <c r="D34" s="25">
        <f t="shared" si="1"/>
        <v>2181</v>
      </c>
      <c r="E34" s="22"/>
    </row>
    <row r="35" spans="1:5" s="3" customFormat="1" ht="13.5" customHeight="1">
      <c r="A35" s="31">
        <v>26</v>
      </c>
      <c r="B35" s="20">
        <f t="shared" si="0"/>
        <v>12834599</v>
      </c>
      <c r="C35" s="19">
        <v>12836887</v>
      </c>
      <c r="D35" s="25">
        <f t="shared" si="1"/>
        <v>2288</v>
      </c>
      <c r="E35" s="22"/>
    </row>
    <row r="36" spans="1:5" ht="13.5" customHeight="1">
      <c r="A36" s="31">
        <v>27</v>
      </c>
      <c r="B36" s="20">
        <f t="shared" si="0"/>
        <v>12836887</v>
      </c>
      <c r="C36" s="19">
        <v>12839782</v>
      </c>
      <c r="D36" s="25">
        <f t="shared" si="1"/>
        <v>2895</v>
      </c>
      <c r="E36" s="34"/>
    </row>
    <row r="37" spans="1:5" ht="13.5" customHeight="1">
      <c r="A37" s="31">
        <v>28</v>
      </c>
      <c r="B37" s="20">
        <f t="shared" si="0"/>
        <v>12839782</v>
      </c>
      <c r="C37" s="19">
        <v>12843018</v>
      </c>
      <c r="D37" s="25">
        <f t="shared" si="1"/>
        <v>3236</v>
      </c>
      <c r="E37" s="34"/>
    </row>
    <row r="38" spans="1:5" ht="13.5" customHeight="1">
      <c r="A38" s="31">
        <v>29</v>
      </c>
      <c r="B38" s="20">
        <f t="shared" si="0"/>
        <v>12843018</v>
      </c>
      <c r="C38" s="19">
        <v>12845391</v>
      </c>
      <c r="D38" s="25">
        <f t="shared" si="1"/>
        <v>2373</v>
      </c>
      <c r="E38" s="34"/>
    </row>
    <row r="39" spans="1:5" ht="13.5" customHeight="1">
      <c r="A39" s="31">
        <v>30</v>
      </c>
      <c r="B39" s="20">
        <f t="shared" si="0"/>
        <v>12845391</v>
      </c>
      <c r="C39" s="19">
        <v>12845395</v>
      </c>
      <c r="D39" s="25">
        <f t="shared" si="1"/>
        <v>4</v>
      </c>
      <c r="E39" s="34"/>
    </row>
    <row r="40" spans="1:5" ht="13.5" customHeight="1">
      <c r="A40" s="31">
        <v>31</v>
      </c>
      <c r="B40" s="20">
        <f t="shared" si="0"/>
        <v>12845395</v>
      </c>
      <c r="C40" s="267">
        <v>12848627</v>
      </c>
      <c r="D40" s="25">
        <f t="shared" si="1"/>
        <v>3232</v>
      </c>
      <c r="E40" s="34"/>
    </row>
    <row r="41" spans="1:5" ht="13.5" thickBot="1">
      <c r="A41" t="s">
        <v>102</v>
      </c>
      <c r="B41" s="7" t="e">
        <f>#REF!</f>
        <v>#REF!</v>
      </c>
      <c r="D41" s="266">
        <f>SUM(D10:D40)</f>
        <v>95991</v>
      </c>
    </row>
    <row r="42" spans="1:5" ht="13.5" thickTop="1"/>
  </sheetData>
  <mergeCells count="2">
    <mergeCell ref="B8:C8"/>
    <mergeCell ref="A1:D2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J42"/>
  <sheetViews>
    <sheetView topLeftCell="A4" workbookViewId="0">
      <selection activeCell="F44" sqref="F44"/>
    </sheetView>
  </sheetViews>
  <sheetFormatPr defaultRowHeight="12.75"/>
  <cols>
    <col min="1" max="1" width="10.140625" style="41" bestFit="1" customWidth="1"/>
    <col min="2" max="3" width="13.5703125" style="7" customWidth="1"/>
    <col min="4" max="4" width="16.140625" style="7" customWidth="1"/>
    <col min="5" max="5" width="5.28515625" style="7" customWidth="1"/>
  </cols>
  <sheetData>
    <row r="1" spans="1:5" ht="12.75" customHeight="1">
      <c r="A1" s="395" t="s">
        <v>111</v>
      </c>
      <c r="B1" s="395"/>
      <c r="C1" s="395"/>
      <c r="D1" s="395"/>
    </row>
    <row r="2" spans="1:5" ht="12.75" customHeight="1">
      <c r="A2" s="395"/>
      <c r="B2" s="395"/>
      <c r="C2" s="395"/>
      <c r="D2" s="395"/>
    </row>
    <row r="3" spans="1:5" ht="34.5">
      <c r="A3" s="330"/>
      <c r="B3" s="327"/>
      <c r="C3" s="328" t="s">
        <v>125</v>
      </c>
      <c r="D3" s="329"/>
    </row>
    <row r="4" spans="1:5" s="1" customFormat="1">
      <c r="A4" s="56"/>
      <c r="B4" s="4"/>
      <c r="C4" s="11"/>
      <c r="D4" s="11"/>
      <c r="E4" s="11"/>
    </row>
    <row r="5" spans="1:5" s="1" customFormat="1">
      <c r="A5" s="35"/>
      <c r="B5" s="4"/>
      <c r="C5" s="11"/>
      <c r="D5" s="11"/>
      <c r="E5" s="11"/>
    </row>
    <row r="6" spans="1:5">
      <c r="A6" s="56">
        <f>'GENSET #4'!A6</f>
        <v>44928</v>
      </c>
    </row>
    <row r="7" spans="1:5" ht="13.5" thickBot="1">
      <c r="A7" s="35"/>
    </row>
    <row r="8" spans="1:5" ht="15.75" customHeight="1" thickBot="1">
      <c r="A8" s="42"/>
      <c r="B8" s="393" t="s">
        <v>21</v>
      </c>
      <c r="C8" s="396"/>
      <c r="D8" s="12"/>
    </row>
    <row r="9" spans="1:5" ht="38.25">
      <c r="A9" s="43" t="s">
        <v>91</v>
      </c>
      <c r="B9" s="28" t="s">
        <v>113</v>
      </c>
      <c r="C9" s="29" t="s">
        <v>114</v>
      </c>
      <c r="D9" s="40" t="s">
        <v>115</v>
      </c>
      <c r="E9" s="16"/>
    </row>
    <row r="10" spans="1:5">
      <c r="A10" s="44">
        <v>1</v>
      </c>
      <c r="B10" s="19">
        <v>21544760</v>
      </c>
      <c r="C10" s="19">
        <v>21550745</v>
      </c>
      <c r="D10" s="25">
        <f>MAX(0,C10-B10)</f>
        <v>5985</v>
      </c>
      <c r="E10" s="16"/>
    </row>
    <row r="11" spans="1:5" ht="13.5" customHeight="1">
      <c r="A11" s="45">
        <v>2</v>
      </c>
      <c r="B11" s="20">
        <f>C10</f>
        <v>21550745</v>
      </c>
      <c r="C11" s="19">
        <v>21557182</v>
      </c>
      <c r="D11" s="25">
        <f t="shared" ref="D11:D40" si="0">MAX(0,C11-B11)</f>
        <v>6437</v>
      </c>
      <c r="E11" s="21"/>
    </row>
    <row r="12" spans="1:5" ht="13.5" customHeight="1">
      <c r="A12" s="44">
        <v>3</v>
      </c>
      <c r="B12" s="20">
        <f t="shared" ref="B12:B40" si="1">C11</f>
        <v>21557182</v>
      </c>
      <c r="C12" s="19">
        <v>21564420</v>
      </c>
      <c r="D12" s="25">
        <f t="shared" si="0"/>
        <v>7238</v>
      </c>
      <c r="E12" s="21"/>
    </row>
    <row r="13" spans="1:5" ht="13.5" customHeight="1">
      <c r="A13" s="45">
        <v>4</v>
      </c>
      <c r="B13" s="20">
        <f t="shared" si="1"/>
        <v>21564420</v>
      </c>
      <c r="C13" s="19">
        <v>21570700</v>
      </c>
      <c r="D13" s="25">
        <f t="shared" si="0"/>
        <v>6280</v>
      </c>
      <c r="E13" s="21"/>
    </row>
    <row r="14" spans="1:5" ht="13.5" customHeight="1">
      <c r="A14" s="261">
        <v>5</v>
      </c>
      <c r="B14" s="69">
        <f t="shared" si="1"/>
        <v>21570700</v>
      </c>
      <c r="C14" s="63">
        <v>21577904</v>
      </c>
      <c r="D14" s="25">
        <f t="shared" si="0"/>
        <v>7204</v>
      </c>
      <c r="E14" s="64"/>
    </row>
    <row r="15" spans="1:5" ht="13.5" customHeight="1">
      <c r="A15" s="45">
        <v>6</v>
      </c>
      <c r="B15" s="20">
        <f t="shared" si="1"/>
        <v>21577904</v>
      </c>
      <c r="C15" s="19">
        <v>21585616</v>
      </c>
      <c r="D15" s="25">
        <f t="shared" si="0"/>
        <v>7712</v>
      </c>
      <c r="E15" s="21"/>
    </row>
    <row r="16" spans="1:5" ht="13.5" customHeight="1">
      <c r="A16" s="44">
        <v>7</v>
      </c>
      <c r="B16" s="20">
        <f t="shared" si="1"/>
        <v>21585616</v>
      </c>
      <c r="C16" s="19">
        <v>21593091</v>
      </c>
      <c r="D16" s="25">
        <f t="shared" si="0"/>
        <v>7475</v>
      </c>
      <c r="E16" s="21"/>
    </row>
    <row r="17" spans="1:5" ht="13.5" customHeight="1">
      <c r="A17" s="45">
        <v>8</v>
      </c>
      <c r="B17" s="20">
        <f t="shared" si="1"/>
        <v>21593091</v>
      </c>
      <c r="C17" s="19">
        <v>21600296</v>
      </c>
      <c r="D17" s="25">
        <f t="shared" si="0"/>
        <v>7205</v>
      </c>
      <c r="E17" s="21"/>
    </row>
    <row r="18" spans="1:5" ht="13.5" customHeight="1">
      <c r="A18" s="44">
        <v>9</v>
      </c>
      <c r="B18" s="20">
        <f t="shared" si="1"/>
        <v>21600296</v>
      </c>
      <c r="C18" s="19">
        <v>21606215</v>
      </c>
      <c r="D18" s="25">
        <f t="shared" si="0"/>
        <v>5919</v>
      </c>
      <c r="E18" s="21"/>
    </row>
    <row r="19" spans="1:5" ht="13.5" customHeight="1">
      <c r="A19" s="45">
        <v>10</v>
      </c>
      <c r="B19" s="20">
        <f t="shared" si="1"/>
        <v>21606215</v>
      </c>
      <c r="C19" s="19">
        <v>21614080</v>
      </c>
      <c r="D19" s="25">
        <f t="shared" si="0"/>
        <v>7865</v>
      </c>
      <c r="E19" s="21"/>
    </row>
    <row r="20" spans="1:5" ht="13.5" customHeight="1">
      <c r="A20" s="44">
        <v>11</v>
      </c>
      <c r="B20" s="20">
        <f t="shared" si="1"/>
        <v>21614080</v>
      </c>
      <c r="C20" s="19">
        <v>21619510</v>
      </c>
      <c r="D20" s="25">
        <f t="shared" si="0"/>
        <v>5430</v>
      </c>
      <c r="E20" s="21"/>
    </row>
    <row r="21" spans="1:5" ht="13.5" customHeight="1">
      <c r="A21" s="45">
        <v>12</v>
      </c>
      <c r="B21" s="20">
        <f t="shared" si="1"/>
        <v>21619510</v>
      </c>
      <c r="C21" s="19">
        <v>21630396</v>
      </c>
      <c r="D21" s="25">
        <f t="shared" si="0"/>
        <v>10886</v>
      </c>
      <c r="E21" s="21"/>
    </row>
    <row r="22" spans="1:5" ht="13.5" customHeight="1">
      <c r="A22" s="44">
        <v>13</v>
      </c>
      <c r="B22" s="20">
        <f t="shared" si="1"/>
        <v>21630396</v>
      </c>
      <c r="C22" s="19">
        <v>21637683</v>
      </c>
      <c r="D22" s="25">
        <f t="shared" si="0"/>
        <v>7287</v>
      </c>
      <c r="E22" s="21"/>
    </row>
    <row r="23" spans="1:5" ht="13.5" customHeight="1">
      <c r="A23" s="45">
        <v>14</v>
      </c>
      <c r="B23" s="20">
        <f t="shared" si="1"/>
        <v>21637683</v>
      </c>
      <c r="C23" s="19">
        <v>21643128</v>
      </c>
      <c r="D23" s="25">
        <f t="shared" si="0"/>
        <v>5445</v>
      </c>
      <c r="E23" s="21"/>
    </row>
    <row r="24" spans="1:5" ht="13.5" customHeight="1">
      <c r="A24" s="44">
        <v>15</v>
      </c>
      <c r="B24" s="20">
        <f t="shared" si="1"/>
        <v>21643128</v>
      </c>
      <c r="C24" s="19">
        <v>21648457</v>
      </c>
      <c r="D24" s="25">
        <f t="shared" si="0"/>
        <v>5329</v>
      </c>
      <c r="E24" s="21"/>
    </row>
    <row r="25" spans="1:5" ht="13.5" customHeight="1">
      <c r="A25" s="45">
        <v>16</v>
      </c>
      <c r="B25" s="20">
        <f t="shared" si="1"/>
        <v>21648457</v>
      </c>
      <c r="C25" s="19">
        <v>21655652</v>
      </c>
      <c r="D25" s="25">
        <f t="shared" si="0"/>
        <v>7195</v>
      </c>
      <c r="E25" s="21"/>
    </row>
    <row r="26" spans="1:5" ht="13.5" customHeight="1">
      <c r="A26" s="44">
        <v>17</v>
      </c>
      <c r="B26" s="20">
        <f t="shared" si="1"/>
        <v>21655652</v>
      </c>
      <c r="C26" s="19">
        <v>21664435</v>
      </c>
      <c r="D26" s="25">
        <f t="shared" si="0"/>
        <v>8783</v>
      </c>
      <c r="E26" s="21"/>
    </row>
    <row r="27" spans="1:5" ht="13.5" customHeight="1">
      <c r="A27" s="45">
        <v>18</v>
      </c>
      <c r="B27" s="20">
        <f t="shared" si="1"/>
        <v>21664435</v>
      </c>
      <c r="C27" s="19">
        <v>21672414</v>
      </c>
      <c r="D27" s="25">
        <f t="shared" si="0"/>
        <v>7979</v>
      </c>
      <c r="E27" s="21"/>
    </row>
    <row r="28" spans="1:5" ht="13.5" customHeight="1">
      <c r="A28" s="44">
        <v>19</v>
      </c>
      <c r="B28" s="20">
        <f t="shared" si="1"/>
        <v>21672414</v>
      </c>
      <c r="C28" s="19">
        <v>21680633</v>
      </c>
      <c r="D28" s="25">
        <f>MAX(0,C28-B28)</f>
        <v>8219</v>
      </c>
      <c r="E28" s="21"/>
    </row>
    <row r="29" spans="1:5" ht="13.5" customHeight="1">
      <c r="A29" s="45">
        <v>20</v>
      </c>
      <c r="B29" s="20">
        <f t="shared" si="1"/>
        <v>21680633</v>
      </c>
      <c r="C29" s="19">
        <v>21689507</v>
      </c>
      <c r="D29" s="25">
        <f t="shared" si="0"/>
        <v>8874</v>
      </c>
      <c r="E29" s="21"/>
    </row>
    <row r="30" spans="1:5" ht="13.5" customHeight="1">
      <c r="A30" s="44">
        <v>21</v>
      </c>
      <c r="B30" s="20">
        <f t="shared" si="1"/>
        <v>21689507</v>
      </c>
      <c r="C30" s="19">
        <v>21697054</v>
      </c>
      <c r="D30" s="25">
        <f t="shared" si="0"/>
        <v>7547</v>
      </c>
      <c r="E30" s="21"/>
    </row>
    <row r="31" spans="1:5" ht="13.5" customHeight="1">
      <c r="A31" s="45">
        <v>22</v>
      </c>
      <c r="B31" s="20">
        <f t="shared" si="1"/>
        <v>21697054</v>
      </c>
      <c r="C31" s="19">
        <v>21704511</v>
      </c>
      <c r="D31" s="25">
        <f t="shared" si="0"/>
        <v>7457</v>
      </c>
      <c r="E31" s="21"/>
    </row>
    <row r="32" spans="1:5" ht="13.5" customHeight="1">
      <c r="A32" s="44">
        <v>23</v>
      </c>
      <c r="B32" s="20">
        <f t="shared" si="1"/>
        <v>21704511</v>
      </c>
      <c r="C32" s="19">
        <v>21713080</v>
      </c>
      <c r="D32" s="25">
        <f t="shared" si="0"/>
        <v>8569</v>
      </c>
      <c r="E32" s="22"/>
    </row>
    <row r="33" spans="1:10" ht="13.5" customHeight="1">
      <c r="A33" s="254">
        <v>24</v>
      </c>
      <c r="B33" s="255">
        <f t="shared" si="1"/>
        <v>21713080</v>
      </c>
      <c r="C33" s="256">
        <v>21717717</v>
      </c>
      <c r="D33" s="25">
        <f t="shared" si="0"/>
        <v>4637</v>
      </c>
      <c r="E33" s="399"/>
      <c r="F33" s="400"/>
      <c r="G33" s="400"/>
      <c r="H33" s="400"/>
      <c r="I33" s="400"/>
      <c r="J33" s="400"/>
    </row>
    <row r="34" spans="1:10" ht="13.5" customHeight="1">
      <c r="A34" s="44">
        <v>25</v>
      </c>
      <c r="B34" s="255">
        <f>C33</f>
        <v>21717717</v>
      </c>
      <c r="C34" s="19">
        <v>21724942</v>
      </c>
      <c r="D34" s="25">
        <f t="shared" si="0"/>
        <v>7225</v>
      </c>
      <c r="E34" s="22"/>
    </row>
    <row r="35" spans="1:10" s="3" customFormat="1" ht="13.5" customHeight="1">
      <c r="A35" s="151">
        <v>26</v>
      </c>
      <c r="B35" s="255">
        <f>C34</f>
        <v>21724942</v>
      </c>
      <c r="C35" s="19">
        <v>21732054</v>
      </c>
      <c r="D35" s="25">
        <f t="shared" si="0"/>
        <v>7112</v>
      </c>
      <c r="E35" s="22"/>
    </row>
    <row r="36" spans="1:10" ht="13.5" customHeight="1">
      <c r="A36" s="44">
        <v>27</v>
      </c>
      <c r="B36" s="20">
        <f t="shared" si="1"/>
        <v>21732054</v>
      </c>
      <c r="C36" s="19">
        <v>21738035</v>
      </c>
      <c r="D36" s="25">
        <f t="shared" si="0"/>
        <v>5981</v>
      </c>
      <c r="E36" s="34"/>
    </row>
    <row r="37" spans="1:10" ht="13.5" customHeight="1">
      <c r="A37" s="45">
        <v>28</v>
      </c>
      <c r="B37" s="20">
        <f t="shared" si="1"/>
        <v>21738035</v>
      </c>
      <c r="C37" s="19">
        <v>21745413</v>
      </c>
      <c r="D37" s="25">
        <f t="shared" si="0"/>
        <v>7378</v>
      </c>
      <c r="E37" s="34"/>
    </row>
    <row r="38" spans="1:10" ht="13.5" customHeight="1">
      <c r="A38" s="45">
        <v>29</v>
      </c>
      <c r="B38" s="20">
        <f t="shared" si="1"/>
        <v>21745413</v>
      </c>
      <c r="C38" s="19">
        <v>21751303</v>
      </c>
      <c r="D38" s="25">
        <f t="shared" si="0"/>
        <v>5890</v>
      </c>
      <c r="E38" s="34"/>
    </row>
    <row r="39" spans="1:10" ht="13.5" customHeight="1">
      <c r="A39" s="45">
        <v>30</v>
      </c>
      <c r="B39" s="20">
        <f t="shared" si="1"/>
        <v>21751303</v>
      </c>
      <c r="C39" s="19">
        <v>21758769</v>
      </c>
      <c r="D39" s="25">
        <f t="shared" si="0"/>
        <v>7466</v>
      </c>
      <c r="E39" s="34"/>
    </row>
    <row r="40" spans="1:10" ht="13.5" customHeight="1">
      <c r="A40" s="45">
        <v>31</v>
      </c>
      <c r="B40" s="20">
        <f t="shared" si="1"/>
        <v>21758769</v>
      </c>
      <c r="C40" s="19">
        <v>21765636</v>
      </c>
      <c r="D40" s="25">
        <f t="shared" si="0"/>
        <v>6867</v>
      </c>
      <c r="E40" s="34"/>
    </row>
    <row r="41" spans="1:10" ht="13.5" thickBot="1">
      <c r="A41" s="41" t="s">
        <v>102</v>
      </c>
      <c r="D41" s="266">
        <f>SUM(D10:D40)</f>
        <v>220876</v>
      </c>
    </row>
    <row r="42" spans="1:10" ht="13.5" thickTop="1"/>
  </sheetData>
  <mergeCells count="3">
    <mergeCell ref="B8:C8"/>
    <mergeCell ref="E33:J33"/>
    <mergeCell ref="A1:D2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R36"/>
  <sheetViews>
    <sheetView workbookViewId="0">
      <selection activeCell="R37" sqref="R37"/>
    </sheetView>
  </sheetViews>
  <sheetFormatPr defaultRowHeight="12.75"/>
  <cols>
    <col min="1" max="1" width="10.140625" bestFit="1" customWidth="1"/>
    <col min="2" max="2" width="13.85546875" style="74" customWidth="1"/>
    <col min="3" max="3" width="10.7109375" style="74" customWidth="1"/>
    <col min="4" max="4" width="12.42578125" style="74" customWidth="1"/>
    <col min="5" max="5" width="5.85546875" customWidth="1"/>
    <col min="6" max="6" width="12.85546875" customWidth="1"/>
    <col min="7" max="7" width="12.85546875" style="74" customWidth="1"/>
    <col min="8" max="8" width="11.85546875" bestFit="1" customWidth="1"/>
    <col min="10" max="10" width="11.140625" hidden="1" customWidth="1"/>
    <col min="11" max="11" width="0" hidden="1" customWidth="1"/>
    <col min="12" max="13" width="13.28515625" hidden="1" customWidth="1"/>
    <col min="14" max="14" width="11.7109375" customWidth="1"/>
    <col min="15" max="15" width="13.5703125" customWidth="1"/>
    <col min="16" max="16" width="15" customWidth="1"/>
  </cols>
  <sheetData>
    <row r="1" spans="1:16">
      <c r="A1" s="403" t="s">
        <v>126</v>
      </c>
      <c r="B1" s="404"/>
      <c r="C1" s="404"/>
      <c r="D1" s="405"/>
      <c r="E1" s="326"/>
      <c r="F1" s="406" t="s">
        <v>127</v>
      </c>
      <c r="G1" s="406"/>
      <c r="H1" s="406"/>
      <c r="N1" s="407" t="s">
        <v>128</v>
      </c>
      <c r="O1" s="407"/>
      <c r="P1" s="407"/>
    </row>
    <row r="2" spans="1:16">
      <c r="A2" s="331">
        <f>'GENSET #5'!A6</f>
        <v>44928</v>
      </c>
      <c r="B2" s="332"/>
      <c r="C2" s="332"/>
      <c r="D2" s="333"/>
      <c r="E2" s="326"/>
      <c r="F2" s="406"/>
      <c r="G2" s="406"/>
      <c r="H2" s="406"/>
      <c r="N2" s="407"/>
      <c r="O2" s="407"/>
      <c r="P2" s="407"/>
    </row>
    <row r="3" spans="1:16">
      <c r="A3" s="334"/>
      <c r="B3" s="335"/>
      <c r="C3" s="335"/>
      <c r="D3" s="336" t="s">
        <v>129</v>
      </c>
      <c r="E3" s="326"/>
      <c r="F3" s="406" t="s">
        <v>130</v>
      </c>
      <c r="G3" s="406"/>
      <c r="H3" s="406"/>
      <c r="N3" s="407" t="s">
        <v>130</v>
      </c>
      <c r="O3" s="407"/>
      <c r="P3" s="407"/>
    </row>
    <row r="4" spans="1:16" s="7" customFormat="1" ht="34.5" customHeight="1">
      <c r="A4" s="198" t="s">
        <v>82</v>
      </c>
      <c r="B4" s="198" t="s">
        <v>131</v>
      </c>
      <c r="C4" s="198" t="s">
        <v>132</v>
      </c>
      <c r="D4" s="199" t="s">
        <v>133</v>
      </c>
      <c r="E4" s="200"/>
      <c r="F4" s="201" t="s">
        <v>134</v>
      </c>
      <c r="G4" s="201" t="s">
        <v>135</v>
      </c>
      <c r="H4" s="202" t="s">
        <v>136</v>
      </c>
      <c r="J4" s="197" t="s">
        <v>137</v>
      </c>
      <c r="L4" s="401" t="s">
        <v>138</v>
      </c>
      <c r="M4" s="402"/>
      <c r="N4" s="201" t="s">
        <v>134</v>
      </c>
      <c r="O4" s="201" t="s">
        <v>135</v>
      </c>
      <c r="P4" s="202" t="s">
        <v>136</v>
      </c>
    </row>
    <row r="5" spans="1:16">
      <c r="A5" s="73">
        <v>1</v>
      </c>
      <c r="B5" s="46">
        <v>48285860</v>
      </c>
      <c r="C5" s="195">
        <v>48294240</v>
      </c>
      <c r="D5" s="195">
        <f>MAX(0,C5-B5)</f>
        <v>8380</v>
      </c>
      <c r="F5" s="9">
        <v>1407920</v>
      </c>
      <c r="G5" s="9">
        <v>1412120</v>
      </c>
      <c r="H5" s="9">
        <f>MAX(0,G5-F5)</f>
        <v>4200</v>
      </c>
      <c r="J5" s="72">
        <f>D5/200</f>
        <v>41.9</v>
      </c>
      <c r="L5" s="6">
        <f>2.68*D5</f>
        <v>22458.400000000001</v>
      </c>
      <c r="M5" s="6">
        <f>L5/1000</f>
        <v>22.458400000000001</v>
      </c>
      <c r="N5" s="9">
        <v>0</v>
      </c>
      <c r="O5" s="9">
        <v>0</v>
      </c>
      <c r="P5" s="9">
        <f>MAX(0,O5-N5)</f>
        <v>0</v>
      </c>
    </row>
    <row r="6" spans="1:16">
      <c r="A6" s="73">
        <v>2</v>
      </c>
      <c r="B6" s="46">
        <f>C5</f>
        <v>48294240</v>
      </c>
      <c r="C6" s="46">
        <v>48302760</v>
      </c>
      <c r="D6" s="195">
        <f t="shared" ref="D6:D35" si="0">MAX(0,C6-B6)</f>
        <v>8520</v>
      </c>
      <c r="F6" s="9">
        <f>G5</f>
        <v>1412120</v>
      </c>
      <c r="G6" s="9">
        <v>1413230</v>
      </c>
      <c r="H6" s="9">
        <f t="shared" ref="H6:H35" si="1">MAX(0,G6-F6)</f>
        <v>1110</v>
      </c>
      <c r="J6" s="72">
        <f t="shared" ref="J6:J35" si="2">D6/200</f>
        <v>42.6</v>
      </c>
      <c r="L6" s="6">
        <f t="shared" ref="L6:L35" si="3">2.68*D6</f>
        <v>22833.600000000002</v>
      </c>
      <c r="M6" s="6">
        <f t="shared" ref="M6:M36" si="4">L6/1000</f>
        <v>22.833600000000001</v>
      </c>
      <c r="N6" s="9">
        <f>O5</f>
        <v>0</v>
      </c>
      <c r="O6" s="9">
        <v>0</v>
      </c>
      <c r="P6" s="9">
        <f t="shared" ref="P6:P35" si="5">MAX(0,O6-N6)</f>
        <v>0</v>
      </c>
    </row>
    <row r="7" spans="1:16">
      <c r="A7" s="73">
        <v>3</v>
      </c>
      <c r="B7" s="46">
        <f t="shared" ref="B7:B35" si="6">C6</f>
        <v>48302760</v>
      </c>
      <c r="C7" s="46">
        <v>48310870</v>
      </c>
      <c r="D7" s="195">
        <f t="shared" si="0"/>
        <v>8110</v>
      </c>
      <c r="F7" s="9">
        <f t="shared" ref="F7:F34" si="7">G6</f>
        <v>1413230</v>
      </c>
      <c r="G7" s="9">
        <v>1415430</v>
      </c>
      <c r="H7" s="9">
        <f t="shared" si="1"/>
        <v>2200</v>
      </c>
      <c r="J7" s="72">
        <f t="shared" si="2"/>
        <v>40.549999999999997</v>
      </c>
      <c r="L7" s="6">
        <f t="shared" si="3"/>
        <v>21734.800000000003</v>
      </c>
      <c r="M7" s="6">
        <f t="shared" si="4"/>
        <v>21.734800000000003</v>
      </c>
      <c r="N7" s="9">
        <f t="shared" ref="N7:N34" si="8">O6</f>
        <v>0</v>
      </c>
      <c r="O7" s="9">
        <v>0</v>
      </c>
      <c r="P7" s="9">
        <f t="shared" si="5"/>
        <v>0</v>
      </c>
    </row>
    <row r="8" spans="1:16">
      <c r="A8" s="73">
        <v>4</v>
      </c>
      <c r="B8" s="46">
        <f t="shared" si="6"/>
        <v>48310870</v>
      </c>
      <c r="C8" s="46">
        <v>48318920</v>
      </c>
      <c r="D8" s="195">
        <f t="shared" si="0"/>
        <v>8050</v>
      </c>
      <c r="F8" s="9">
        <f t="shared" si="7"/>
        <v>1415430</v>
      </c>
      <c r="G8" s="9">
        <v>1415690</v>
      </c>
      <c r="H8" s="9">
        <f t="shared" si="1"/>
        <v>260</v>
      </c>
      <c r="J8" s="72">
        <f t="shared" si="2"/>
        <v>40.25</v>
      </c>
      <c r="L8" s="6">
        <f t="shared" si="3"/>
        <v>21574</v>
      </c>
      <c r="M8" s="6">
        <f t="shared" si="4"/>
        <v>21.574000000000002</v>
      </c>
      <c r="N8" s="9">
        <f t="shared" si="8"/>
        <v>0</v>
      </c>
      <c r="O8" s="9">
        <v>0</v>
      </c>
      <c r="P8" s="9">
        <f t="shared" si="5"/>
        <v>0</v>
      </c>
    </row>
    <row r="9" spans="1:16">
      <c r="A9" s="73">
        <v>5</v>
      </c>
      <c r="B9" s="46">
        <f t="shared" si="6"/>
        <v>48318920</v>
      </c>
      <c r="C9" s="46">
        <v>48327080</v>
      </c>
      <c r="D9" s="195">
        <f t="shared" si="0"/>
        <v>8160</v>
      </c>
      <c r="F9" s="9">
        <f t="shared" si="7"/>
        <v>1415690</v>
      </c>
      <c r="G9" s="9">
        <v>1419030</v>
      </c>
      <c r="H9" s="9">
        <f t="shared" si="1"/>
        <v>3340</v>
      </c>
      <c r="J9" s="72">
        <f t="shared" si="2"/>
        <v>40.799999999999997</v>
      </c>
      <c r="L9" s="6">
        <f t="shared" si="3"/>
        <v>21868.800000000003</v>
      </c>
      <c r="M9" s="6">
        <f t="shared" si="4"/>
        <v>21.868800000000004</v>
      </c>
      <c r="N9" s="9">
        <f t="shared" si="8"/>
        <v>0</v>
      </c>
      <c r="O9" s="9">
        <v>0</v>
      </c>
      <c r="P9" s="9">
        <f t="shared" si="5"/>
        <v>0</v>
      </c>
    </row>
    <row r="10" spans="1:16">
      <c r="A10" s="73">
        <v>6</v>
      </c>
      <c r="B10" s="46">
        <f t="shared" si="6"/>
        <v>48327080</v>
      </c>
      <c r="C10" s="46">
        <v>48335240</v>
      </c>
      <c r="D10" s="195">
        <f t="shared" si="0"/>
        <v>8160</v>
      </c>
      <c r="F10" s="9">
        <f t="shared" si="7"/>
        <v>1419030</v>
      </c>
      <c r="G10" s="9">
        <v>1420780</v>
      </c>
      <c r="H10" s="9">
        <f t="shared" si="1"/>
        <v>1750</v>
      </c>
      <c r="J10" s="72">
        <f t="shared" si="2"/>
        <v>40.799999999999997</v>
      </c>
      <c r="L10" s="6">
        <f t="shared" si="3"/>
        <v>21868.800000000003</v>
      </c>
      <c r="M10" s="6">
        <f t="shared" si="4"/>
        <v>21.868800000000004</v>
      </c>
      <c r="N10" s="9">
        <f t="shared" si="8"/>
        <v>0</v>
      </c>
      <c r="O10" s="9">
        <v>0</v>
      </c>
      <c r="P10" s="9">
        <f t="shared" si="5"/>
        <v>0</v>
      </c>
    </row>
    <row r="11" spans="1:16">
      <c r="A11" s="73">
        <v>7</v>
      </c>
      <c r="B11" s="46">
        <f t="shared" si="6"/>
        <v>48335240</v>
      </c>
      <c r="C11" s="46">
        <v>48343050</v>
      </c>
      <c r="D11" s="195">
        <f t="shared" si="0"/>
        <v>7810</v>
      </c>
      <c r="F11" s="9">
        <f t="shared" si="7"/>
        <v>1420780</v>
      </c>
      <c r="G11" s="9">
        <v>1420920</v>
      </c>
      <c r="H11" s="9">
        <f t="shared" si="1"/>
        <v>140</v>
      </c>
      <c r="J11" s="72">
        <f t="shared" si="2"/>
        <v>39.049999999999997</v>
      </c>
      <c r="L11" s="6">
        <f t="shared" si="3"/>
        <v>20930.800000000003</v>
      </c>
      <c r="M11" s="6">
        <f t="shared" si="4"/>
        <v>20.930800000000001</v>
      </c>
      <c r="N11" s="9">
        <f t="shared" si="8"/>
        <v>0</v>
      </c>
      <c r="O11" s="9">
        <v>0</v>
      </c>
      <c r="P11" s="9">
        <f t="shared" si="5"/>
        <v>0</v>
      </c>
    </row>
    <row r="12" spans="1:16">
      <c r="A12" s="73">
        <v>8</v>
      </c>
      <c r="B12" s="46">
        <f t="shared" si="6"/>
        <v>48343050</v>
      </c>
      <c r="C12" s="46">
        <v>48350700</v>
      </c>
      <c r="D12" s="195">
        <f t="shared" si="0"/>
        <v>7650</v>
      </c>
      <c r="F12" s="9">
        <f t="shared" si="7"/>
        <v>1420920</v>
      </c>
      <c r="G12" s="9">
        <v>1422580</v>
      </c>
      <c r="H12" s="9">
        <f t="shared" si="1"/>
        <v>1660</v>
      </c>
      <c r="J12" s="72">
        <f t="shared" si="2"/>
        <v>38.25</v>
      </c>
      <c r="L12" s="6">
        <f t="shared" si="3"/>
        <v>20502</v>
      </c>
      <c r="M12" s="6">
        <f t="shared" si="4"/>
        <v>20.501999999999999</v>
      </c>
      <c r="N12" s="9">
        <f t="shared" si="8"/>
        <v>0</v>
      </c>
      <c r="O12" s="9">
        <v>0</v>
      </c>
      <c r="P12" s="9">
        <f t="shared" si="5"/>
        <v>0</v>
      </c>
    </row>
    <row r="13" spans="1:16">
      <c r="A13" s="73">
        <v>9</v>
      </c>
      <c r="B13" s="46">
        <f t="shared" si="6"/>
        <v>48350700</v>
      </c>
      <c r="C13" s="46">
        <v>48358000</v>
      </c>
      <c r="D13" s="195">
        <f t="shared" si="0"/>
        <v>7300</v>
      </c>
      <c r="F13" s="9">
        <f t="shared" si="7"/>
        <v>1422580</v>
      </c>
      <c r="G13" s="9">
        <v>1424220</v>
      </c>
      <c r="H13" s="9">
        <f t="shared" si="1"/>
        <v>1640</v>
      </c>
      <c r="J13" s="72">
        <f t="shared" si="2"/>
        <v>36.5</v>
      </c>
      <c r="L13" s="6">
        <f t="shared" si="3"/>
        <v>19564</v>
      </c>
      <c r="M13" s="6">
        <f t="shared" si="4"/>
        <v>19.564</v>
      </c>
      <c r="N13" s="9">
        <f t="shared" si="8"/>
        <v>0</v>
      </c>
      <c r="O13" s="9">
        <v>0</v>
      </c>
      <c r="P13" s="9">
        <f t="shared" si="5"/>
        <v>0</v>
      </c>
    </row>
    <row r="14" spans="1:16">
      <c r="A14" s="73">
        <v>10</v>
      </c>
      <c r="B14" s="46">
        <f t="shared" si="6"/>
        <v>48358000</v>
      </c>
      <c r="C14" s="46">
        <v>48365280</v>
      </c>
      <c r="D14" s="195">
        <f t="shared" si="0"/>
        <v>7280</v>
      </c>
      <c r="F14" s="9">
        <f t="shared" si="7"/>
        <v>1424220</v>
      </c>
      <c r="G14" s="9">
        <v>1426120</v>
      </c>
      <c r="H14" s="9">
        <f t="shared" si="1"/>
        <v>1900</v>
      </c>
      <c r="J14" s="72">
        <f t="shared" si="2"/>
        <v>36.4</v>
      </c>
      <c r="L14" s="6">
        <f t="shared" si="3"/>
        <v>19510.400000000001</v>
      </c>
      <c r="M14" s="6">
        <f t="shared" si="4"/>
        <v>19.510400000000001</v>
      </c>
      <c r="N14" s="9">
        <f t="shared" si="8"/>
        <v>0</v>
      </c>
      <c r="O14" s="9">
        <v>0</v>
      </c>
      <c r="P14" s="9">
        <f t="shared" si="5"/>
        <v>0</v>
      </c>
    </row>
    <row r="15" spans="1:16">
      <c r="A15" s="73">
        <v>11</v>
      </c>
      <c r="B15" s="46">
        <f t="shared" si="6"/>
        <v>48365280</v>
      </c>
      <c r="C15" s="46">
        <v>48372620</v>
      </c>
      <c r="D15" s="195">
        <f t="shared" si="0"/>
        <v>7340</v>
      </c>
      <c r="F15" s="9">
        <f t="shared" si="7"/>
        <v>1426120</v>
      </c>
      <c r="G15" s="9">
        <v>1426820</v>
      </c>
      <c r="H15" s="9">
        <f t="shared" si="1"/>
        <v>700</v>
      </c>
      <c r="J15" s="72">
        <f t="shared" si="2"/>
        <v>36.700000000000003</v>
      </c>
      <c r="L15" s="6">
        <f t="shared" si="3"/>
        <v>19671.2</v>
      </c>
      <c r="M15" s="6">
        <f t="shared" si="4"/>
        <v>19.671200000000002</v>
      </c>
      <c r="N15" s="9">
        <f t="shared" si="8"/>
        <v>0</v>
      </c>
      <c r="O15" s="9">
        <v>0</v>
      </c>
      <c r="P15" s="9">
        <f t="shared" si="5"/>
        <v>0</v>
      </c>
    </row>
    <row r="16" spans="1:16">
      <c r="A16" s="73">
        <v>12</v>
      </c>
      <c r="B16" s="46">
        <f t="shared" si="6"/>
        <v>48372620</v>
      </c>
      <c r="C16" s="46">
        <v>48379360</v>
      </c>
      <c r="D16" s="195">
        <f t="shared" si="0"/>
        <v>6740</v>
      </c>
      <c r="F16" s="9">
        <f t="shared" si="7"/>
        <v>1426820</v>
      </c>
      <c r="G16" s="9">
        <v>1428320</v>
      </c>
      <c r="H16" s="9">
        <f t="shared" si="1"/>
        <v>1500</v>
      </c>
      <c r="J16" s="72">
        <f t="shared" si="2"/>
        <v>33.700000000000003</v>
      </c>
      <c r="L16" s="6">
        <f t="shared" si="3"/>
        <v>18063.2</v>
      </c>
      <c r="M16" s="6">
        <f t="shared" si="4"/>
        <v>18.063200000000002</v>
      </c>
      <c r="N16" s="9">
        <f t="shared" si="8"/>
        <v>0</v>
      </c>
      <c r="O16" s="9">
        <v>0</v>
      </c>
      <c r="P16" s="9">
        <f t="shared" si="5"/>
        <v>0</v>
      </c>
    </row>
    <row r="17" spans="1:16">
      <c r="A17" s="73">
        <v>13</v>
      </c>
      <c r="B17" s="46">
        <f t="shared" si="6"/>
        <v>48379360</v>
      </c>
      <c r="C17" s="46">
        <v>48385940</v>
      </c>
      <c r="D17" s="195">
        <f t="shared" si="0"/>
        <v>6580</v>
      </c>
      <c r="F17" s="9">
        <f t="shared" si="7"/>
        <v>1428320</v>
      </c>
      <c r="G17" s="9">
        <v>1428960</v>
      </c>
      <c r="H17" s="9">
        <f t="shared" si="1"/>
        <v>640</v>
      </c>
      <c r="J17" s="72">
        <f t="shared" si="2"/>
        <v>32.9</v>
      </c>
      <c r="L17" s="6">
        <f t="shared" si="3"/>
        <v>17634.400000000001</v>
      </c>
      <c r="M17" s="6">
        <f t="shared" si="4"/>
        <v>17.634400000000003</v>
      </c>
      <c r="N17" s="9">
        <f t="shared" si="8"/>
        <v>0</v>
      </c>
      <c r="O17" s="9">
        <v>260</v>
      </c>
      <c r="P17" s="9">
        <f t="shared" si="5"/>
        <v>260</v>
      </c>
    </row>
    <row r="18" spans="1:16">
      <c r="A18" s="73">
        <v>14</v>
      </c>
      <c r="B18" s="46">
        <f t="shared" si="6"/>
        <v>48385940</v>
      </c>
      <c r="C18" s="46">
        <v>48392830</v>
      </c>
      <c r="D18" s="195">
        <f t="shared" si="0"/>
        <v>6890</v>
      </c>
      <c r="F18" s="9">
        <f t="shared" si="7"/>
        <v>1428960</v>
      </c>
      <c r="G18" s="9">
        <v>1431500</v>
      </c>
      <c r="H18" s="9">
        <f t="shared" si="1"/>
        <v>2540</v>
      </c>
      <c r="J18" s="72">
        <f t="shared" si="2"/>
        <v>34.450000000000003</v>
      </c>
      <c r="L18" s="6">
        <f t="shared" si="3"/>
        <v>18465.2</v>
      </c>
      <c r="M18" s="6">
        <f t="shared" si="4"/>
        <v>18.465199999999999</v>
      </c>
      <c r="N18" s="9">
        <f t="shared" si="8"/>
        <v>260</v>
      </c>
      <c r="O18" s="9">
        <v>1570</v>
      </c>
      <c r="P18" s="9">
        <f t="shared" si="5"/>
        <v>1310</v>
      </c>
    </row>
    <row r="19" spans="1:16">
      <c r="A19" s="73">
        <v>15</v>
      </c>
      <c r="B19" s="46">
        <f t="shared" si="6"/>
        <v>48392830</v>
      </c>
      <c r="C19" s="46">
        <v>48399870</v>
      </c>
      <c r="D19" s="195">
        <f t="shared" si="0"/>
        <v>7040</v>
      </c>
      <c r="F19" s="9">
        <f t="shared" si="7"/>
        <v>1431500</v>
      </c>
      <c r="G19" s="9">
        <v>1431640</v>
      </c>
      <c r="H19" s="9">
        <f t="shared" si="1"/>
        <v>140</v>
      </c>
      <c r="J19" s="72">
        <f t="shared" si="2"/>
        <v>35.200000000000003</v>
      </c>
      <c r="L19" s="6">
        <f t="shared" si="3"/>
        <v>18867.2</v>
      </c>
      <c r="M19" s="6">
        <f t="shared" si="4"/>
        <v>18.8672</v>
      </c>
      <c r="N19" s="9">
        <f t="shared" si="8"/>
        <v>1570</v>
      </c>
      <c r="O19" s="9">
        <v>2760</v>
      </c>
      <c r="P19" s="9">
        <f t="shared" si="5"/>
        <v>1190</v>
      </c>
    </row>
    <row r="20" spans="1:16">
      <c r="A20" s="73">
        <v>16</v>
      </c>
      <c r="B20" s="46">
        <f t="shared" si="6"/>
        <v>48399870</v>
      </c>
      <c r="C20" s="46">
        <v>48406910</v>
      </c>
      <c r="D20" s="195">
        <f t="shared" si="0"/>
        <v>7040</v>
      </c>
      <c r="F20" s="9">
        <f t="shared" si="7"/>
        <v>1431640</v>
      </c>
      <c r="G20" s="9">
        <v>1434140</v>
      </c>
      <c r="H20" s="9">
        <f t="shared" si="1"/>
        <v>2500</v>
      </c>
      <c r="J20" s="72">
        <f t="shared" si="2"/>
        <v>35.200000000000003</v>
      </c>
      <c r="L20" s="6">
        <f t="shared" si="3"/>
        <v>18867.2</v>
      </c>
      <c r="M20" s="6">
        <f t="shared" si="4"/>
        <v>18.8672</v>
      </c>
      <c r="N20" s="9">
        <f t="shared" si="8"/>
        <v>2760</v>
      </c>
      <c r="O20" s="9">
        <v>4570</v>
      </c>
      <c r="P20" s="9">
        <f t="shared" si="5"/>
        <v>1810</v>
      </c>
    </row>
    <row r="21" spans="1:16">
      <c r="A21" s="73">
        <v>17</v>
      </c>
      <c r="B21" s="46">
        <f t="shared" si="6"/>
        <v>48406910</v>
      </c>
      <c r="C21" s="46">
        <v>48414190</v>
      </c>
      <c r="D21" s="195">
        <f t="shared" si="0"/>
        <v>7280</v>
      </c>
      <c r="F21" s="9">
        <f t="shared" si="7"/>
        <v>1434140</v>
      </c>
      <c r="G21" s="9">
        <v>1435110</v>
      </c>
      <c r="H21" s="9">
        <f t="shared" si="1"/>
        <v>970</v>
      </c>
      <c r="J21" s="72">
        <f t="shared" si="2"/>
        <v>36.4</v>
      </c>
      <c r="L21" s="6">
        <f t="shared" si="3"/>
        <v>19510.400000000001</v>
      </c>
      <c r="M21" s="6">
        <f t="shared" si="4"/>
        <v>19.510400000000001</v>
      </c>
      <c r="N21" s="9">
        <f t="shared" si="8"/>
        <v>4570</v>
      </c>
      <c r="O21" s="9">
        <v>5270</v>
      </c>
      <c r="P21" s="9">
        <f t="shared" si="5"/>
        <v>700</v>
      </c>
    </row>
    <row r="22" spans="1:16">
      <c r="A22" s="73">
        <v>18</v>
      </c>
      <c r="B22" s="46">
        <f t="shared" si="6"/>
        <v>48414190</v>
      </c>
      <c r="C22" s="46">
        <v>48422010</v>
      </c>
      <c r="D22" s="195">
        <f t="shared" si="0"/>
        <v>7820</v>
      </c>
      <c r="F22" s="9">
        <f t="shared" si="7"/>
        <v>1435110</v>
      </c>
      <c r="G22" s="9">
        <v>1437870</v>
      </c>
      <c r="H22" s="9">
        <f t="shared" si="1"/>
        <v>2760</v>
      </c>
      <c r="J22" s="72">
        <f t="shared" si="2"/>
        <v>39.1</v>
      </c>
      <c r="L22" s="6">
        <f t="shared" si="3"/>
        <v>20957.600000000002</v>
      </c>
      <c r="M22" s="6">
        <f t="shared" si="4"/>
        <v>20.957600000000003</v>
      </c>
      <c r="N22" s="9">
        <f t="shared" si="8"/>
        <v>5270</v>
      </c>
      <c r="O22" s="9">
        <v>5710</v>
      </c>
      <c r="P22" s="9">
        <f t="shared" si="5"/>
        <v>440</v>
      </c>
    </row>
    <row r="23" spans="1:16">
      <c r="A23" s="73">
        <v>19</v>
      </c>
      <c r="B23" s="46">
        <f t="shared" si="6"/>
        <v>48422010</v>
      </c>
      <c r="C23" s="46">
        <v>48429940</v>
      </c>
      <c r="D23" s="195">
        <f t="shared" si="0"/>
        <v>7930</v>
      </c>
      <c r="F23" s="9">
        <f t="shared" si="7"/>
        <v>1437870</v>
      </c>
      <c r="G23" s="9">
        <v>1439370</v>
      </c>
      <c r="H23" s="9">
        <f t="shared" si="1"/>
        <v>1500</v>
      </c>
      <c r="J23" s="72">
        <f t="shared" si="2"/>
        <v>39.65</v>
      </c>
      <c r="L23" s="6">
        <f t="shared" si="3"/>
        <v>21252.400000000001</v>
      </c>
      <c r="M23" s="6">
        <f t="shared" si="4"/>
        <v>21.252400000000002</v>
      </c>
      <c r="N23" s="9">
        <f t="shared" si="8"/>
        <v>5710</v>
      </c>
      <c r="O23" s="9">
        <v>6740</v>
      </c>
      <c r="P23" s="9">
        <f t="shared" si="5"/>
        <v>1030</v>
      </c>
    </row>
    <row r="24" spans="1:16">
      <c r="A24" s="73">
        <v>20</v>
      </c>
      <c r="B24" s="46">
        <f t="shared" si="6"/>
        <v>48429940</v>
      </c>
      <c r="C24" s="46">
        <v>48437610</v>
      </c>
      <c r="D24" s="195">
        <f t="shared" si="0"/>
        <v>7670</v>
      </c>
      <c r="F24" s="9">
        <f t="shared" si="7"/>
        <v>1439370</v>
      </c>
      <c r="G24" s="9">
        <v>1440540</v>
      </c>
      <c r="H24" s="9">
        <f t="shared" si="1"/>
        <v>1170</v>
      </c>
      <c r="J24" s="72">
        <f t="shared" si="2"/>
        <v>38.35</v>
      </c>
      <c r="L24" s="6">
        <f t="shared" si="3"/>
        <v>20555.600000000002</v>
      </c>
      <c r="M24" s="6">
        <f t="shared" si="4"/>
        <v>20.555600000000002</v>
      </c>
      <c r="N24" s="9">
        <f t="shared" si="8"/>
        <v>6740</v>
      </c>
      <c r="O24" s="9">
        <v>8290</v>
      </c>
      <c r="P24" s="9">
        <f t="shared" si="5"/>
        <v>1550</v>
      </c>
    </row>
    <row r="25" spans="1:16">
      <c r="A25" s="73">
        <v>21</v>
      </c>
      <c r="B25" s="46">
        <f t="shared" si="6"/>
        <v>48437610</v>
      </c>
      <c r="C25" s="46">
        <v>48444340</v>
      </c>
      <c r="D25" s="195">
        <f t="shared" si="0"/>
        <v>6730</v>
      </c>
      <c r="F25" s="9">
        <f t="shared" si="7"/>
        <v>1440540</v>
      </c>
      <c r="G25" s="9">
        <v>1442150</v>
      </c>
      <c r="H25" s="9">
        <f t="shared" si="1"/>
        <v>1610</v>
      </c>
      <c r="J25" s="72">
        <f t="shared" si="2"/>
        <v>33.65</v>
      </c>
      <c r="L25" s="6">
        <f t="shared" si="3"/>
        <v>18036.400000000001</v>
      </c>
      <c r="M25" s="6">
        <f t="shared" si="4"/>
        <v>18.0364</v>
      </c>
      <c r="N25" s="9">
        <f t="shared" si="8"/>
        <v>8290</v>
      </c>
      <c r="O25" s="9">
        <v>9060</v>
      </c>
      <c r="P25" s="9">
        <f t="shared" si="5"/>
        <v>770</v>
      </c>
    </row>
    <row r="26" spans="1:16">
      <c r="A26" s="73">
        <v>22</v>
      </c>
      <c r="B26" s="46">
        <f t="shared" si="6"/>
        <v>48444340</v>
      </c>
      <c r="C26" s="46">
        <v>48452020</v>
      </c>
      <c r="D26" s="195">
        <f t="shared" si="0"/>
        <v>7680</v>
      </c>
      <c r="F26" s="9">
        <f t="shared" si="7"/>
        <v>1442150</v>
      </c>
      <c r="G26" s="9">
        <v>1444190</v>
      </c>
      <c r="H26" s="9">
        <f t="shared" si="1"/>
        <v>2040</v>
      </c>
      <c r="J26" s="72">
        <f t="shared" si="2"/>
        <v>38.4</v>
      </c>
      <c r="L26" s="6">
        <f t="shared" si="3"/>
        <v>20582.400000000001</v>
      </c>
      <c r="M26" s="6">
        <f t="shared" si="4"/>
        <v>20.5824</v>
      </c>
      <c r="N26" s="9">
        <f t="shared" si="8"/>
        <v>9060</v>
      </c>
      <c r="O26" s="9">
        <v>10770</v>
      </c>
      <c r="P26" s="9">
        <f t="shared" si="5"/>
        <v>1710</v>
      </c>
    </row>
    <row r="27" spans="1:16">
      <c r="A27" s="73">
        <v>23</v>
      </c>
      <c r="B27" s="46">
        <f t="shared" si="6"/>
        <v>48452020</v>
      </c>
      <c r="C27" s="46">
        <v>48459650</v>
      </c>
      <c r="D27" s="195">
        <f t="shared" si="0"/>
        <v>7630</v>
      </c>
      <c r="F27" s="9">
        <f t="shared" si="7"/>
        <v>1444190</v>
      </c>
      <c r="G27" s="9">
        <v>1445690</v>
      </c>
      <c r="H27" s="9">
        <f t="shared" si="1"/>
        <v>1500</v>
      </c>
      <c r="J27" s="72">
        <f t="shared" si="2"/>
        <v>38.15</v>
      </c>
      <c r="L27" s="6">
        <f t="shared" si="3"/>
        <v>20448.400000000001</v>
      </c>
      <c r="M27" s="6">
        <f t="shared" si="4"/>
        <v>20.448400000000003</v>
      </c>
      <c r="N27" s="9">
        <f t="shared" si="8"/>
        <v>10770</v>
      </c>
      <c r="O27" s="9">
        <v>11970</v>
      </c>
      <c r="P27" s="9">
        <f t="shared" si="5"/>
        <v>1200</v>
      </c>
    </row>
    <row r="28" spans="1:16">
      <c r="A28" s="73">
        <v>24</v>
      </c>
      <c r="B28" s="46">
        <f t="shared" si="6"/>
        <v>48459650</v>
      </c>
      <c r="C28" s="46">
        <v>48466790</v>
      </c>
      <c r="D28" s="195">
        <f t="shared" si="0"/>
        <v>7140</v>
      </c>
      <c r="F28" s="9">
        <f t="shared" si="7"/>
        <v>1445690</v>
      </c>
      <c r="G28" s="9">
        <v>1446340</v>
      </c>
      <c r="H28" s="9">
        <f t="shared" si="1"/>
        <v>650</v>
      </c>
      <c r="J28" s="72">
        <f t="shared" si="2"/>
        <v>35.700000000000003</v>
      </c>
      <c r="L28" s="6">
        <f t="shared" si="3"/>
        <v>19135.2</v>
      </c>
      <c r="M28" s="6">
        <f>L28/1000</f>
        <v>19.135200000000001</v>
      </c>
      <c r="N28" s="9">
        <f t="shared" si="8"/>
        <v>11970</v>
      </c>
      <c r="O28" s="9">
        <v>13100</v>
      </c>
      <c r="P28" s="9">
        <f t="shared" si="5"/>
        <v>1130</v>
      </c>
    </row>
    <row r="29" spans="1:16">
      <c r="A29" s="73">
        <v>25</v>
      </c>
      <c r="B29" s="46">
        <f t="shared" si="6"/>
        <v>48466790</v>
      </c>
      <c r="C29" s="46">
        <v>48473790</v>
      </c>
      <c r="D29" s="195">
        <f t="shared" si="0"/>
        <v>7000</v>
      </c>
      <c r="E29" s="3"/>
      <c r="F29" s="9">
        <f t="shared" si="7"/>
        <v>1446340</v>
      </c>
      <c r="G29" s="9">
        <v>1446340</v>
      </c>
      <c r="H29" s="9">
        <f t="shared" si="1"/>
        <v>0</v>
      </c>
      <c r="J29" s="72">
        <f t="shared" si="2"/>
        <v>35</v>
      </c>
      <c r="L29" s="6">
        <f t="shared" si="3"/>
        <v>18760</v>
      </c>
      <c r="M29" s="6">
        <f t="shared" si="4"/>
        <v>18.760000000000002</v>
      </c>
      <c r="N29" s="9">
        <f t="shared" si="8"/>
        <v>13100</v>
      </c>
      <c r="O29" s="9">
        <v>14410</v>
      </c>
      <c r="P29" s="9">
        <f t="shared" si="5"/>
        <v>1310</v>
      </c>
    </row>
    <row r="30" spans="1:16">
      <c r="A30" s="73">
        <v>26</v>
      </c>
      <c r="B30" s="46">
        <f t="shared" si="6"/>
        <v>48473790</v>
      </c>
      <c r="C30" s="46">
        <v>48480510</v>
      </c>
      <c r="D30" s="195">
        <f t="shared" si="0"/>
        <v>6720</v>
      </c>
      <c r="F30" s="9">
        <f t="shared" si="7"/>
        <v>1446340</v>
      </c>
      <c r="G30" s="9">
        <v>1447990</v>
      </c>
      <c r="H30" s="9">
        <f t="shared" si="1"/>
        <v>1650</v>
      </c>
      <c r="J30" s="72">
        <f t="shared" si="2"/>
        <v>33.6</v>
      </c>
      <c r="L30" s="6">
        <f t="shared" si="3"/>
        <v>18009.600000000002</v>
      </c>
      <c r="M30" s="6">
        <f t="shared" si="4"/>
        <v>18.009600000000002</v>
      </c>
      <c r="N30" s="9">
        <f t="shared" si="8"/>
        <v>14410</v>
      </c>
      <c r="O30" s="9">
        <v>15640</v>
      </c>
      <c r="P30" s="9">
        <f t="shared" si="5"/>
        <v>1230</v>
      </c>
    </row>
    <row r="31" spans="1:16">
      <c r="A31" s="73">
        <v>27</v>
      </c>
      <c r="B31" s="46">
        <f t="shared" si="6"/>
        <v>48480510</v>
      </c>
      <c r="C31" s="46">
        <v>48487840</v>
      </c>
      <c r="D31" s="195">
        <v>7330</v>
      </c>
      <c r="F31" s="9">
        <f t="shared" si="7"/>
        <v>1447990</v>
      </c>
      <c r="G31" s="9">
        <v>1448520</v>
      </c>
      <c r="H31" s="9">
        <f t="shared" si="1"/>
        <v>530</v>
      </c>
      <c r="J31" s="72">
        <f t="shared" si="2"/>
        <v>36.65</v>
      </c>
      <c r="L31" s="6">
        <f t="shared" si="3"/>
        <v>19644.400000000001</v>
      </c>
      <c r="M31" s="6">
        <f t="shared" si="4"/>
        <v>19.644400000000001</v>
      </c>
      <c r="N31" s="9">
        <f t="shared" si="8"/>
        <v>15640</v>
      </c>
      <c r="O31" s="9">
        <v>16960</v>
      </c>
      <c r="P31" s="9">
        <f t="shared" si="5"/>
        <v>1320</v>
      </c>
    </row>
    <row r="32" spans="1:16">
      <c r="A32" s="73">
        <v>28</v>
      </c>
      <c r="B32" s="46">
        <f t="shared" si="6"/>
        <v>48487840</v>
      </c>
      <c r="C32" s="46">
        <v>48494820</v>
      </c>
      <c r="D32" s="195">
        <f t="shared" si="0"/>
        <v>6980</v>
      </c>
      <c r="F32" s="9">
        <f t="shared" si="7"/>
        <v>1448520</v>
      </c>
      <c r="G32" s="9">
        <v>1448880</v>
      </c>
      <c r="H32" s="9">
        <f t="shared" si="1"/>
        <v>360</v>
      </c>
      <c r="J32" s="72">
        <f t="shared" si="2"/>
        <v>34.9</v>
      </c>
      <c r="L32" s="6">
        <f t="shared" si="3"/>
        <v>18706.400000000001</v>
      </c>
      <c r="M32" s="6">
        <f t="shared" si="4"/>
        <v>18.706400000000002</v>
      </c>
      <c r="N32" s="9">
        <f t="shared" si="8"/>
        <v>16960</v>
      </c>
      <c r="O32" s="9">
        <v>17830</v>
      </c>
      <c r="P32" s="9">
        <f t="shared" si="5"/>
        <v>870</v>
      </c>
    </row>
    <row r="33" spans="1:18">
      <c r="A33" s="73">
        <v>29</v>
      </c>
      <c r="B33" s="46">
        <f t="shared" si="6"/>
        <v>48494820</v>
      </c>
      <c r="C33" s="46">
        <v>48501850</v>
      </c>
      <c r="D33" s="195">
        <f t="shared" si="0"/>
        <v>7030</v>
      </c>
      <c r="F33" s="9">
        <f t="shared" si="7"/>
        <v>1448880</v>
      </c>
      <c r="G33" s="9">
        <v>1448880</v>
      </c>
      <c r="H33" s="9">
        <f t="shared" si="1"/>
        <v>0</v>
      </c>
      <c r="J33" s="72">
        <f t="shared" si="2"/>
        <v>35.15</v>
      </c>
      <c r="L33" s="6">
        <f t="shared" si="3"/>
        <v>18840.400000000001</v>
      </c>
      <c r="M33" s="6">
        <f t="shared" si="4"/>
        <v>18.840400000000002</v>
      </c>
      <c r="N33" s="9">
        <f t="shared" si="8"/>
        <v>17830</v>
      </c>
      <c r="O33" s="9">
        <v>18540</v>
      </c>
      <c r="P33" s="9">
        <f t="shared" si="5"/>
        <v>710</v>
      </c>
    </row>
    <row r="34" spans="1:18">
      <c r="A34" s="73">
        <v>30</v>
      </c>
      <c r="B34" s="46">
        <f t="shared" si="6"/>
        <v>48501850</v>
      </c>
      <c r="C34" s="46">
        <v>48508680</v>
      </c>
      <c r="D34" s="195">
        <f t="shared" si="0"/>
        <v>6830</v>
      </c>
      <c r="F34" s="9">
        <f t="shared" si="7"/>
        <v>1448880</v>
      </c>
      <c r="G34" s="9">
        <v>1450530</v>
      </c>
      <c r="H34" s="9">
        <f t="shared" si="1"/>
        <v>1650</v>
      </c>
      <c r="J34" s="72">
        <f t="shared" si="2"/>
        <v>34.15</v>
      </c>
      <c r="L34" s="6">
        <f t="shared" si="3"/>
        <v>18304.400000000001</v>
      </c>
      <c r="M34" s="6">
        <f t="shared" si="4"/>
        <v>18.304400000000001</v>
      </c>
      <c r="N34" s="9">
        <f t="shared" si="8"/>
        <v>18540</v>
      </c>
      <c r="O34" s="9">
        <v>19540</v>
      </c>
      <c r="P34" s="9">
        <f t="shared" si="5"/>
        <v>1000</v>
      </c>
    </row>
    <row r="35" spans="1:18">
      <c r="A35" s="73">
        <v>31</v>
      </c>
      <c r="B35" s="46">
        <f t="shared" si="6"/>
        <v>48508680</v>
      </c>
      <c r="C35" s="46">
        <v>48515690</v>
      </c>
      <c r="D35" s="195">
        <f t="shared" si="0"/>
        <v>7010</v>
      </c>
      <c r="F35" s="9">
        <f>G34</f>
        <v>1450530</v>
      </c>
      <c r="G35" s="9">
        <v>1452030</v>
      </c>
      <c r="H35" s="9">
        <f t="shared" si="1"/>
        <v>1500</v>
      </c>
      <c r="J35" s="72">
        <f t="shared" si="2"/>
        <v>35.049999999999997</v>
      </c>
      <c r="L35" s="6">
        <f t="shared" si="3"/>
        <v>18786.800000000003</v>
      </c>
      <c r="M35" s="6"/>
      <c r="N35" s="9">
        <f>O34</f>
        <v>19540</v>
      </c>
      <c r="O35" s="9">
        <v>20470</v>
      </c>
      <c r="P35" s="9">
        <f t="shared" si="5"/>
        <v>930</v>
      </c>
    </row>
    <row r="36" spans="1:18">
      <c r="D36" s="196">
        <f>SUM(D5:D35)</f>
        <v>229830</v>
      </c>
      <c r="F36" s="70"/>
      <c r="G36" s="208"/>
      <c r="H36" s="9">
        <f>SUM(H5:H35)</f>
        <v>44110</v>
      </c>
      <c r="J36" s="72">
        <f>SUM(J5:J34)</f>
        <v>1114.1000000000004</v>
      </c>
      <c r="L36" s="6">
        <f>2.68*D36</f>
        <v>615944.4</v>
      </c>
      <c r="M36" s="6">
        <f t="shared" si="4"/>
        <v>615.94439999999997</v>
      </c>
      <c r="N36" s="70"/>
      <c r="O36" s="208"/>
      <c r="P36" s="9">
        <f>SUM(P5:P35)</f>
        <v>20470</v>
      </c>
      <c r="R36">
        <f>H36+P36</f>
        <v>64580</v>
      </c>
    </row>
  </sheetData>
  <mergeCells count="6">
    <mergeCell ref="L4:M4"/>
    <mergeCell ref="A1:D1"/>
    <mergeCell ref="F3:H3"/>
    <mergeCell ref="F1:H2"/>
    <mergeCell ref="N1:P2"/>
    <mergeCell ref="N3:P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K41"/>
  <sheetViews>
    <sheetView showWhiteSpace="0" topLeftCell="A17" zoomScaleNormal="100" workbookViewId="0">
      <selection activeCell="C39" sqref="C39"/>
    </sheetView>
  </sheetViews>
  <sheetFormatPr defaultRowHeight="12.75"/>
  <cols>
    <col min="1" max="1" width="5.28515625" style="83" customWidth="1"/>
    <col min="2" max="2" width="12.7109375" customWidth="1"/>
    <col min="3" max="3" width="9.85546875" customWidth="1"/>
    <col min="4" max="4" width="16.140625" style="2" customWidth="1"/>
    <col min="5" max="5" width="16.28515625" style="74" hidden="1" customWidth="1"/>
    <col min="6" max="6" width="13.28515625" hidden="1" customWidth="1"/>
    <col min="7" max="9" width="0" hidden="1" customWidth="1"/>
    <col min="10" max="10" width="12" hidden="1" customWidth="1"/>
    <col min="11" max="13" width="0" hidden="1" customWidth="1"/>
  </cols>
  <sheetData>
    <row r="1" spans="1:11" ht="6.75" customHeight="1">
      <c r="A1" s="410" t="s">
        <v>139</v>
      </c>
      <c r="B1" s="410"/>
      <c r="C1" s="410"/>
      <c r="D1" s="410"/>
    </row>
    <row r="2" spans="1:11" ht="12.75" hidden="1" customHeight="1">
      <c r="A2" s="410"/>
      <c r="B2" s="410"/>
      <c r="C2" s="410"/>
      <c r="D2" s="410"/>
    </row>
    <row r="3" spans="1:11" ht="20.25" customHeight="1">
      <c r="A3" s="410"/>
      <c r="B3" s="410"/>
      <c r="C3" s="410"/>
      <c r="D3" s="410"/>
    </row>
    <row r="4" spans="1:11" ht="3" customHeight="1">
      <c r="B4" s="7"/>
      <c r="C4" s="49"/>
      <c r="D4" s="48"/>
    </row>
    <row r="5" spans="1:11" ht="14.25" customHeight="1">
      <c r="A5" s="4"/>
      <c r="B5" s="56">
        <f>'Diesel consumption'!A2</f>
        <v>44928</v>
      </c>
      <c r="C5" s="49"/>
      <c r="D5" s="48"/>
    </row>
    <row r="6" spans="1:11">
      <c r="B6" s="7"/>
      <c r="C6" s="7"/>
      <c r="D6" s="50"/>
    </row>
    <row r="7" spans="1:11" ht="20.25" customHeight="1">
      <c r="A7" s="204"/>
      <c r="B7" s="408" t="s">
        <v>140</v>
      </c>
      <c r="C7" s="409"/>
      <c r="D7" s="409"/>
      <c r="E7" s="409"/>
      <c r="F7" s="409"/>
    </row>
    <row r="8" spans="1:11" ht="38.25">
      <c r="A8" s="204" t="s">
        <v>91</v>
      </c>
      <c r="B8" s="205" t="s">
        <v>113</v>
      </c>
      <c r="C8" s="206" t="s">
        <v>114</v>
      </c>
      <c r="D8" s="207" t="s">
        <v>120</v>
      </c>
      <c r="E8" s="205" t="s">
        <v>141</v>
      </c>
      <c r="F8" s="205" t="s">
        <v>142</v>
      </c>
    </row>
    <row r="9" spans="1:11">
      <c r="A9" s="203">
        <v>1</v>
      </c>
      <c r="B9" s="20">
        <v>4251588</v>
      </c>
      <c r="C9" s="20">
        <v>4254578</v>
      </c>
      <c r="D9" s="51">
        <f>MAX(0,C9-B9)</f>
        <v>2990</v>
      </c>
      <c r="E9" s="238"/>
      <c r="F9" s="231"/>
    </row>
    <row r="10" spans="1:11">
      <c r="A10" s="53">
        <v>2</v>
      </c>
      <c r="B10" s="20">
        <f>C9</f>
        <v>4254578</v>
      </c>
      <c r="C10" s="20">
        <v>4257636</v>
      </c>
      <c r="D10" s="51">
        <f t="shared" ref="D10:D39" si="0">MAX(0,C10-B10)</f>
        <v>3058</v>
      </c>
      <c r="E10" s="238"/>
      <c r="F10" s="231"/>
    </row>
    <row r="11" spans="1:11">
      <c r="A11" s="83">
        <v>3</v>
      </c>
      <c r="B11" s="20">
        <f t="shared" ref="B11:B39" si="1">C10</f>
        <v>4257636</v>
      </c>
      <c r="C11" s="20">
        <v>4260523</v>
      </c>
      <c r="D11" s="51">
        <f t="shared" si="0"/>
        <v>2887</v>
      </c>
      <c r="E11" s="238"/>
      <c r="F11" s="231"/>
    </row>
    <row r="12" spans="1:11">
      <c r="A12" s="53">
        <v>4</v>
      </c>
      <c r="B12" s="20">
        <f t="shared" si="1"/>
        <v>4260523</v>
      </c>
      <c r="C12" s="20">
        <v>4263550</v>
      </c>
      <c r="D12" s="51">
        <f t="shared" si="0"/>
        <v>3027</v>
      </c>
      <c r="E12" s="238"/>
      <c r="F12" s="231"/>
    </row>
    <row r="13" spans="1:11">
      <c r="A13" s="83">
        <v>5</v>
      </c>
      <c r="B13" s="20">
        <f t="shared" si="1"/>
        <v>4263550</v>
      </c>
      <c r="C13" s="20">
        <v>4266344</v>
      </c>
      <c r="D13" s="51">
        <f t="shared" si="0"/>
        <v>2794</v>
      </c>
      <c r="E13" s="238"/>
      <c r="F13" s="231"/>
      <c r="J13" t="s">
        <v>143</v>
      </c>
      <c r="K13" t="s">
        <v>144</v>
      </c>
    </row>
    <row r="14" spans="1:11">
      <c r="A14" s="53">
        <v>6</v>
      </c>
      <c r="B14" s="20">
        <f t="shared" si="1"/>
        <v>4266344</v>
      </c>
      <c r="C14" s="20">
        <v>4269211</v>
      </c>
      <c r="D14" s="51">
        <f t="shared" si="0"/>
        <v>2867</v>
      </c>
      <c r="E14" s="238"/>
      <c r="F14" s="231"/>
      <c r="J14" s="71" t="s">
        <v>145</v>
      </c>
      <c r="K14" t="s">
        <v>146</v>
      </c>
    </row>
    <row r="15" spans="1:11">
      <c r="A15" s="83">
        <v>7</v>
      </c>
      <c r="B15" s="20">
        <f t="shared" si="1"/>
        <v>4269211</v>
      </c>
      <c r="C15" s="20">
        <v>4272018</v>
      </c>
      <c r="D15" s="51">
        <f t="shared" si="0"/>
        <v>2807</v>
      </c>
      <c r="E15" s="238"/>
      <c r="F15" s="231"/>
    </row>
    <row r="16" spans="1:11">
      <c r="A16" s="53">
        <v>8</v>
      </c>
      <c r="B16" s="20">
        <f t="shared" si="1"/>
        <v>4272018</v>
      </c>
      <c r="C16" s="20">
        <v>4274990</v>
      </c>
      <c r="D16" s="51">
        <f t="shared" si="0"/>
        <v>2972</v>
      </c>
      <c r="E16" s="238"/>
      <c r="F16" s="231"/>
    </row>
    <row r="17" spans="1:10">
      <c r="A17" s="83">
        <v>9</v>
      </c>
      <c r="B17" s="20">
        <f t="shared" si="1"/>
        <v>4274990</v>
      </c>
      <c r="C17" s="20">
        <v>4277812</v>
      </c>
      <c r="D17" s="51">
        <f t="shared" si="0"/>
        <v>2822</v>
      </c>
      <c r="E17" s="54"/>
      <c r="F17" s="231"/>
    </row>
    <row r="18" spans="1:10">
      <c r="A18" s="53">
        <v>10</v>
      </c>
      <c r="B18" s="20">
        <f t="shared" si="1"/>
        <v>4277812</v>
      </c>
      <c r="C18" s="20">
        <v>4280546</v>
      </c>
      <c r="D18" s="51">
        <f t="shared" si="0"/>
        <v>2734</v>
      </c>
      <c r="E18" s="54"/>
      <c r="F18" s="231"/>
    </row>
    <row r="19" spans="1:10">
      <c r="A19" s="83">
        <v>11</v>
      </c>
      <c r="B19" s="20">
        <f t="shared" si="1"/>
        <v>4280546</v>
      </c>
      <c r="C19" s="20">
        <v>4283363</v>
      </c>
      <c r="D19" s="51">
        <f t="shared" si="0"/>
        <v>2817</v>
      </c>
      <c r="E19" s="54"/>
      <c r="F19" s="231"/>
    </row>
    <row r="20" spans="1:10">
      <c r="A20" s="53">
        <v>12</v>
      </c>
      <c r="B20" s="20">
        <f t="shared" si="1"/>
        <v>4283363</v>
      </c>
      <c r="C20" s="20">
        <v>4285524</v>
      </c>
      <c r="D20" s="51">
        <f t="shared" si="0"/>
        <v>2161</v>
      </c>
      <c r="E20" s="54"/>
      <c r="F20" s="231"/>
    </row>
    <row r="21" spans="1:10">
      <c r="A21" s="83">
        <v>13</v>
      </c>
      <c r="B21" s="20">
        <f t="shared" si="1"/>
        <v>4285524</v>
      </c>
      <c r="C21" s="20">
        <v>4288599</v>
      </c>
      <c r="D21" s="51">
        <f t="shared" si="0"/>
        <v>3075</v>
      </c>
      <c r="E21" s="54"/>
      <c r="F21" s="231"/>
    </row>
    <row r="22" spans="1:10">
      <c r="A22" s="53">
        <v>14</v>
      </c>
      <c r="B22" s="20">
        <f t="shared" si="1"/>
        <v>4288599</v>
      </c>
      <c r="C22" s="20">
        <v>4291349</v>
      </c>
      <c r="D22" s="51">
        <f t="shared" si="0"/>
        <v>2750</v>
      </c>
      <c r="E22" s="54"/>
      <c r="F22" s="231"/>
    </row>
    <row r="23" spans="1:10">
      <c r="A23" s="83">
        <v>15</v>
      </c>
      <c r="B23" s="20">
        <f t="shared" si="1"/>
        <v>4291349</v>
      </c>
      <c r="C23" s="20">
        <v>4294171</v>
      </c>
      <c r="D23" s="51">
        <f t="shared" si="0"/>
        <v>2822</v>
      </c>
      <c r="E23" s="54"/>
      <c r="F23" s="231"/>
    </row>
    <row r="24" spans="1:10">
      <c r="A24" s="53">
        <v>16</v>
      </c>
      <c r="B24" s="20">
        <f t="shared" si="1"/>
        <v>4294171</v>
      </c>
      <c r="C24" s="20">
        <v>4297066</v>
      </c>
      <c r="D24" s="51">
        <f t="shared" si="0"/>
        <v>2895</v>
      </c>
      <c r="E24" s="54"/>
      <c r="F24" s="231"/>
    </row>
    <row r="25" spans="1:10">
      <c r="A25" s="83">
        <v>17</v>
      </c>
      <c r="B25" s="20">
        <f t="shared" si="1"/>
        <v>4297066</v>
      </c>
      <c r="C25" s="20">
        <v>4299841</v>
      </c>
      <c r="D25" s="51">
        <f t="shared" si="0"/>
        <v>2775</v>
      </c>
      <c r="E25" s="54"/>
      <c r="F25" s="231"/>
    </row>
    <row r="26" spans="1:10">
      <c r="A26" s="53">
        <v>18</v>
      </c>
      <c r="B26" s="20">
        <f t="shared" si="1"/>
        <v>4299841</v>
      </c>
      <c r="C26" s="20">
        <v>4302178</v>
      </c>
      <c r="D26" s="51">
        <f t="shared" si="0"/>
        <v>2337</v>
      </c>
      <c r="E26" s="54"/>
      <c r="F26" s="231"/>
      <c r="J26" s="3" t="s">
        <v>147</v>
      </c>
    </row>
    <row r="27" spans="1:10">
      <c r="A27" s="83">
        <v>19</v>
      </c>
      <c r="B27" s="20">
        <f t="shared" si="1"/>
        <v>4302178</v>
      </c>
      <c r="C27" s="20">
        <v>4304998</v>
      </c>
      <c r="D27" s="51">
        <f t="shared" si="0"/>
        <v>2820</v>
      </c>
      <c r="E27" s="54"/>
      <c r="F27" s="231"/>
    </row>
    <row r="28" spans="1:10">
      <c r="A28" s="53">
        <v>20</v>
      </c>
      <c r="B28" s="20">
        <f t="shared" si="1"/>
        <v>4304998</v>
      </c>
      <c r="C28" s="20">
        <v>4307981</v>
      </c>
      <c r="D28" s="51">
        <f t="shared" si="0"/>
        <v>2983</v>
      </c>
      <c r="E28" s="54"/>
      <c r="F28" s="231"/>
    </row>
    <row r="29" spans="1:10">
      <c r="A29" s="83">
        <v>21</v>
      </c>
      <c r="B29" s="20">
        <f t="shared" si="1"/>
        <v>4307981</v>
      </c>
      <c r="C29" s="20">
        <v>4311112</v>
      </c>
      <c r="D29" s="51">
        <f t="shared" si="0"/>
        <v>3131</v>
      </c>
      <c r="E29" s="54"/>
      <c r="F29" s="231"/>
    </row>
    <row r="30" spans="1:10">
      <c r="A30" s="53">
        <v>22</v>
      </c>
      <c r="B30" s="20">
        <v>4311112</v>
      </c>
      <c r="C30" s="20">
        <v>4314110</v>
      </c>
      <c r="D30" s="51">
        <f t="shared" si="0"/>
        <v>2998</v>
      </c>
      <c r="E30" s="54"/>
      <c r="F30" s="231"/>
    </row>
    <row r="31" spans="1:10">
      <c r="A31" s="83">
        <v>23</v>
      </c>
      <c r="B31" s="20">
        <f t="shared" si="1"/>
        <v>4314110</v>
      </c>
      <c r="C31" s="20">
        <v>4316579</v>
      </c>
      <c r="D31" s="51">
        <f t="shared" si="0"/>
        <v>2469</v>
      </c>
      <c r="E31" s="54"/>
      <c r="F31" s="231"/>
    </row>
    <row r="32" spans="1:10">
      <c r="A32" s="53">
        <v>24</v>
      </c>
      <c r="B32" s="20">
        <f t="shared" si="1"/>
        <v>4316579</v>
      </c>
      <c r="C32" s="69">
        <v>4318898</v>
      </c>
      <c r="D32" s="51">
        <f t="shared" si="0"/>
        <v>2319</v>
      </c>
      <c r="E32" s="54"/>
      <c r="F32" s="231"/>
    </row>
    <row r="33" spans="1:6">
      <c r="A33" s="83">
        <v>25</v>
      </c>
      <c r="B33" s="20">
        <f t="shared" si="1"/>
        <v>4318898</v>
      </c>
      <c r="C33" s="20">
        <v>4321539</v>
      </c>
      <c r="D33" s="51">
        <f t="shared" si="0"/>
        <v>2641</v>
      </c>
      <c r="E33" s="54"/>
      <c r="F33" s="231"/>
    </row>
    <row r="34" spans="1:6">
      <c r="A34" s="53">
        <v>26</v>
      </c>
      <c r="B34" s="20">
        <f t="shared" si="1"/>
        <v>4321539</v>
      </c>
      <c r="C34" s="20">
        <v>4324616</v>
      </c>
      <c r="D34" s="51">
        <f t="shared" si="0"/>
        <v>3077</v>
      </c>
      <c r="E34" s="54"/>
      <c r="F34" s="231"/>
    </row>
    <row r="35" spans="1:6">
      <c r="A35" s="83">
        <v>27</v>
      </c>
      <c r="B35" s="20">
        <f t="shared" si="1"/>
        <v>4324616</v>
      </c>
      <c r="C35" s="20">
        <v>4327301</v>
      </c>
      <c r="D35" s="51">
        <f t="shared" si="0"/>
        <v>2685</v>
      </c>
      <c r="E35" s="54"/>
      <c r="F35" s="231"/>
    </row>
    <row r="36" spans="1:6">
      <c r="A36" s="53">
        <v>28</v>
      </c>
      <c r="B36" s="20">
        <f t="shared" si="1"/>
        <v>4327301</v>
      </c>
      <c r="C36" s="20">
        <v>4330244</v>
      </c>
      <c r="D36" s="51">
        <f>MAX(0,C36-B36)</f>
        <v>2943</v>
      </c>
      <c r="E36" s="54"/>
      <c r="F36" s="231"/>
    </row>
    <row r="37" spans="1:6">
      <c r="A37" s="53">
        <v>29</v>
      </c>
      <c r="B37" s="20">
        <f t="shared" si="1"/>
        <v>4330244</v>
      </c>
      <c r="C37" s="20">
        <v>4331961</v>
      </c>
      <c r="D37" s="51">
        <f t="shared" si="0"/>
        <v>1717</v>
      </c>
      <c r="E37" s="54"/>
      <c r="F37" s="231"/>
    </row>
    <row r="38" spans="1:6">
      <c r="A38" s="53">
        <v>30</v>
      </c>
      <c r="B38" s="20">
        <f t="shared" si="1"/>
        <v>4331961</v>
      </c>
      <c r="C38" s="20">
        <v>4334888</v>
      </c>
      <c r="D38" s="51">
        <f t="shared" si="0"/>
        <v>2927</v>
      </c>
      <c r="E38" s="54"/>
      <c r="F38" s="231"/>
    </row>
    <row r="39" spans="1:6">
      <c r="A39" s="53">
        <v>31</v>
      </c>
      <c r="B39" s="20">
        <f t="shared" si="1"/>
        <v>4334888</v>
      </c>
      <c r="C39" s="20">
        <v>4337809</v>
      </c>
      <c r="D39" s="51">
        <f t="shared" si="0"/>
        <v>2921</v>
      </c>
      <c r="E39" s="152"/>
      <c r="F39" s="231"/>
    </row>
    <row r="40" spans="1:6" ht="13.5" thickBot="1">
      <c r="A40" s="83" t="s">
        <v>102</v>
      </c>
      <c r="B40" s="7"/>
      <c r="C40" s="7"/>
      <c r="D40" s="52">
        <f>SUM(D9:D39)</f>
        <v>86221</v>
      </c>
    </row>
    <row r="41" spans="1:6" ht="13.5" thickTop="1"/>
  </sheetData>
  <mergeCells count="2">
    <mergeCell ref="B7:F7"/>
    <mergeCell ref="A1:D3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APM37"/>
  <sheetViews>
    <sheetView zoomScale="92" zoomScaleNormal="92" workbookViewId="0">
      <pane xSplit="2" ySplit="4" topLeftCell="CG16" activePane="bottomRight" state="frozen"/>
      <selection pane="bottomRight" activeCell="EO35" sqref="EO35"/>
      <selection pane="bottomLeft" activeCell="A5" sqref="A5"/>
      <selection pane="topRight" activeCell="C1" sqref="C1"/>
    </sheetView>
  </sheetViews>
  <sheetFormatPr defaultColWidth="9.140625" defaultRowHeight="12.75"/>
  <cols>
    <col min="1" max="1" width="5" customWidth="1"/>
    <col min="2" max="2" width="15.140625" hidden="1" customWidth="1"/>
    <col min="3" max="4" width="11.7109375" style="7" customWidth="1"/>
    <col min="5" max="5" width="14.28515625" style="7" customWidth="1"/>
    <col min="6" max="6" width="14.28515625" style="7" hidden="1" customWidth="1"/>
    <col min="7" max="7" width="9.28515625" style="7" hidden="1" customWidth="1"/>
    <col min="8" max="9" width="11.7109375" style="7" customWidth="1"/>
    <col min="10" max="10" width="12.28515625" style="7" bestFit="1" customWidth="1"/>
    <col min="11" max="11" width="12.28515625" style="7" hidden="1" customWidth="1"/>
    <col min="12" max="12" width="8.7109375" style="7" hidden="1" customWidth="1"/>
    <col min="13" max="13" width="11.7109375" style="7" customWidth="1"/>
    <col min="14" max="14" width="11.7109375" customWidth="1"/>
    <col min="15" max="15" width="12.5703125" customWidth="1"/>
    <col min="16" max="16" width="12.28515625" hidden="1" customWidth="1"/>
    <col min="17" max="17" width="7.85546875" hidden="1" customWidth="1"/>
    <col min="18" max="18" width="10.28515625" style="7" bestFit="1" customWidth="1"/>
    <col min="19" max="19" width="11.28515625" customWidth="1"/>
    <col min="20" max="20" width="11.28515625" bestFit="1" customWidth="1"/>
    <col min="21" max="21" width="12.28515625" hidden="1" customWidth="1"/>
    <col min="22" max="22" width="7.85546875" hidden="1" customWidth="1"/>
    <col min="23" max="23" width="10.28515625" style="7" customWidth="1"/>
    <col min="24" max="24" width="11.42578125" customWidth="1"/>
    <col min="25" max="25" width="11.28515625" bestFit="1" customWidth="1"/>
    <col min="26" max="26" width="12.28515625" hidden="1" customWidth="1"/>
    <col min="27" max="27" width="7.85546875" hidden="1" customWidth="1"/>
    <col min="28" max="28" width="10.28515625" style="7" bestFit="1" customWidth="1"/>
    <col min="29" max="29" width="11.140625" bestFit="1" customWidth="1"/>
    <col min="30" max="30" width="11.7109375" bestFit="1" customWidth="1"/>
    <col min="31" max="31" width="11.7109375" hidden="1" customWidth="1"/>
    <col min="32" max="32" width="12.28515625" hidden="1" customWidth="1"/>
    <col min="33" max="33" width="7.85546875" hidden="1" customWidth="1"/>
    <col min="34" max="34" width="9" style="7" customWidth="1"/>
    <col min="35" max="35" width="9" customWidth="1"/>
    <col min="36" max="36" width="10.7109375" bestFit="1" customWidth="1"/>
    <col min="37" max="37" width="12.28515625" hidden="1" customWidth="1"/>
    <col min="38" max="38" width="7.85546875" hidden="1" customWidth="1"/>
    <col min="39" max="39" width="10.140625" style="7" bestFit="1" customWidth="1"/>
    <col min="40" max="40" width="9.7109375" bestFit="1" customWidth="1"/>
    <col min="41" max="41" width="11.85546875" bestFit="1" customWidth="1"/>
    <col min="42" max="42" width="12.28515625" hidden="1" customWidth="1"/>
    <col min="43" max="43" width="7.85546875" hidden="1" customWidth="1"/>
    <col min="44" max="44" width="10.28515625" style="7" customWidth="1"/>
    <col min="45" max="45" width="9" customWidth="1"/>
    <col min="46" max="46" width="11.28515625" bestFit="1" customWidth="1"/>
    <col min="47" max="47" width="12.28515625" hidden="1" customWidth="1"/>
    <col min="48" max="48" width="7.85546875" hidden="1" customWidth="1"/>
    <col min="49" max="49" width="9" style="7" customWidth="1"/>
    <col min="50" max="50" width="9" customWidth="1"/>
    <col min="51" max="51" width="10.28515625" customWidth="1"/>
    <col min="52" max="52" width="12.28515625" hidden="1" customWidth="1"/>
    <col min="53" max="53" width="7.85546875" hidden="1" customWidth="1"/>
    <col min="54" max="54" width="9" style="7" customWidth="1"/>
    <col min="55" max="55" width="9" customWidth="1"/>
    <col min="56" max="56" width="10.7109375" bestFit="1" customWidth="1"/>
    <col min="57" max="57" width="12.28515625" hidden="1" customWidth="1"/>
    <col min="58" max="58" width="7.85546875" hidden="1" customWidth="1"/>
    <col min="59" max="59" width="9.85546875" style="7" bestFit="1" customWidth="1"/>
    <col min="60" max="60" width="9" customWidth="1"/>
    <col min="61" max="61" width="10.7109375" bestFit="1" customWidth="1"/>
    <col min="62" max="62" width="12.28515625" hidden="1" customWidth="1"/>
    <col min="63" max="63" width="7.85546875" hidden="1" customWidth="1"/>
    <col min="64" max="64" width="9" style="7" customWidth="1"/>
    <col min="65" max="65" width="9" customWidth="1"/>
    <col min="66" max="66" width="10.7109375" bestFit="1" customWidth="1"/>
    <col min="67" max="67" width="12.28515625" hidden="1" customWidth="1"/>
    <col min="68" max="68" width="7.85546875" hidden="1" customWidth="1"/>
    <col min="69" max="69" width="9.85546875" style="7" bestFit="1" customWidth="1"/>
    <col min="70" max="70" width="9" customWidth="1"/>
    <col min="71" max="71" width="11.85546875" bestFit="1" customWidth="1"/>
    <col min="72" max="72" width="12.28515625" hidden="1" customWidth="1"/>
    <col min="73" max="73" width="7.85546875" hidden="1" customWidth="1"/>
    <col min="74" max="74" width="9.85546875" style="7" bestFit="1" customWidth="1"/>
    <col min="75" max="75" width="9" customWidth="1"/>
    <col min="76" max="76" width="11.85546875" bestFit="1" customWidth="1"/>
    <col min="77" max="77" width="12.28515625" hidden="1" customWidth="1"/>
    <col min="78" max="78" width="7.85546875" hidden="1" customWidth="1"/>
    <col min="79" max="79" width="15" style="7" customWidth="1"/>
    <col min="80" max="80" width="9" customWidth="1"/>
    <col min="81" max="81" width="18.85546875" customWidth="1"/>
    <col min="82" max="82" width="12.28515625" hidden="1" customWidth="1"/>
    <col min="83" max="83" width="7.85546875" hidden="1" customWidth="1"/>
    <col min="84" max="84" width="9.85546875" style="7" bestFit="1" customWidth="1"/>
    <col min="85" max="85" width="9" customWidth="1"/>
    <col min="86" max="86" width="19.28515625" customWidth="1"/>
    <col min="87" max="87" width="12.28515625" hidden="1" customWidth="1"/>
    <col min="88" max="88" width="7.85546875" hidden="1" customWidth="1"/>
    <col min="89" max="91" width="11.85546875" customWidth="1"/>
    <col min="92" max="92" width="12.28515625" hidden="1" customWidth="1"/>
    <col min="93" max="93" width="7.85546875" hidden="1" customWidth="1"/>
    <col min="96" max="96" width="11.85546875" bestFit="1" customWidth="1"/>
    <col min="97" max="97" width="12.28515625" hidden="1" customWidth="1"/>
    <col min="98" max="98" width="7.85546875" hidden="1" customWidth="1"/>
    <col min="101" max="101" width="10.7109375" bestFit="1" customWidth="1"/>
    <col min="102" max="102" width="12.28515625" hidden="1" customWidth="1"/>
    <col min="103" max="103" width="7.85546875" hidden="1" customWidth="1"/>
    <col min="105" max="105" width="9.42578125" bestFit="1" customWidth="1"/>
    <col min="106" max="106" width="10.7109375" bestFit="1" customWidth="1"/>
    <col min="107" max="107" width="12.28515625" hidden="1" customWidth="1"/>
    <col min="108" max="108" width="7.85546875" hidden="1" customWidth="1"/>
    <col min="111" max="111" width="10.7109375" bestFit="1" customWidth="1"/>
    <col min="112" max="112" width="12.28515625" hidden="1" customWidth="1"/>
    <col min="113" max="113" width="7.85546875" hidden="1" customWidth="1"/>
    <col min="116" max="116" width="12.7109375" bestFit="1" customWidth="1"/>
    <col min="117" max="117" width="12.28515625" hidden="1" customWidth="1"/>
    <col min="118" max="118" width="7.85546875" hidden="1" customWidth="1"/>
    <col min="121" max="121" width="10.7109375" bestFit="1" customWidth="1"/>
    <col min="122" max="122" width="12.28515625" hidden="1" customWidth="1"/>
    <col min="123" max="123" width="7.85546875" hidden="1" customWidth="1"/>
    <col min="126" max="126" width="10.7109375" bestFit="1" customWidth="1"/>
    <col min="127" max="127" width="12.28515625" hidden="1" customWidth="1"/>
    <col min="128" max="128" width="7.85546875" hidden="1" customWidth="1"/>
    <col min="131" max="131" width="10.7109375" bestFit="1" customWidth="1"/>
    <col min="132" max="132" width="12.28515625" hidden="1" customWidth="1"/>
    <col min="133" max="133" width="7.85546875" hidden="1" customWidth="1"/>
    <col min="136" max="136" width="10.7109375" bestFit="1" customWidth="1"/>
    <col min="137" max="137" width="12.28515625" hidden="1" customWidth="1"/>
    <col min="138" max="138" width="7.85546875" hidden="1" customWidth="1"/>
    <col min="141" max="141" width="10.7109375" bestFit="1" customWidth="1"/>
    <col min="142" max="142" width="12.28515625" hidden="1" customWidth="1"/>
    <col min="143" max="143" width="7.85546875" hidden="1" customWidth="1"/>
    <col min="146" max="146" width="10.7109375" bestFit="1" customWidth="1"/>
    <col min="147" max="147" width="12.28515625" hidden="1" customWidth="1"/>
    <col min="148" max="148" width="7.85546875" hidden="1" customWidth="1"/>
    <col min="151" max="151" width="10.7109375" bestFit="1" customWidth="1"/>
    <col min="152" max="152" width="12.28515625" hidden="1" customWidth="1"/>
    <col min="153" max="153" width="7.85546875" hidden="1" customWidth="1"/>
    <col min="154" max="155" width="0" hidden="1" customWidth="1"/>
    <col min="156" max="156" width="10.42578125" hidden="1" customWidth="1"/>
    <col min="157" max="160" width="0" hidden="1" customWidth="1"/>
    <col min="161" max="161" width="10.42578125" hidden="1" customWidth="1"/>
    <col min="162" max="170" width="0" hidden="1" customWidth="1"/>
    <col min="171" max="171" width="10.42578125" hidden="1" customWidth="1"/>
    <col min="172" max="183" width="0" hidden="1" customWidth="1"/>
    <col min="184" max="184" width="2.28515625" style="218" customWidth="1"/>
    <col min="185" max="185" width="11.28515625" style="74" hidden="1" customWidth="1"/>
    <col min="186" max="186" width="0" hidden="1" customWidth="1"/>
    <col min="187" max="187" width="11.28515625" hidden="1" customWidth="1"/>
    <col min="188" max="188" width="0" hidden="1" customWidth="1"/>
    <col min="189" max="189" width="11.28515625" hidden="1" customWidth="1"/>
    <col min="190" max="190" width="0" hidden="1" customWidth="1"/>
    <col min="191" max="191" width="11.28515625" style="74" hidden="1" customWidth="1"/>
    <col min="192" max="192" width="0" hidden="1" customWidth="1"/>
    <col min="193" max="193" width="11.28515625" style="74" hidden="1" customWidth="1"/>
    <col min="194" max="194" width="17.28515625" hidden="1" customWidth="1"/>
    <col min="195" max="195" width="14.28515625" hidden="1" customWidth="1"/>
    <col min="196" max="196" width="11" hidden="1" customWidth="1"/>
    <col min="197" max="197" width="0" hidden="1" customWidth="1"/>
    <col min="198" max="199" width="9.140625" bestFit="1" customWidth="1"/>
  </cols>
  <sheetData>
    <row r="1" spans="1:196" s="1" customFormat="1" ht="23.25" customHeight="1">
      <c r="A1" s="417">
        <f>'SOLAR METER READING'!B5</f>
        <v>44928</v>
      </c>
      <c r="B1" s="417"/>
      <c r="C1" s="417"/>
      <c r="D1" s="339"/>
      <c r="E1" s="339"/>
      <c r="F1" s="339"/>
      <c r="G1" s="339"/>
      <c r="H1" s="339"/>
      <c r="I1" s="339"/>
      <c r="J1" s="11"/>
      <c r="K1" s="11"/>
      <c r="L1" s="11"/>
      <c r="M1" s="11"/>
      <c r="R1" s="11"/>
      <c r="W1" s="11"/>
      <c r="AB1" s="11"/>
      <c r="AH1" s="11"/>
      <c r="AM1" s="11"/>
      <c r="AR1" s="11"/>
      <c r="AW1" s="11"/>
      <c r="BB1" s="11"/>
      <c r="BG1" s="11"/>
      <c r="BL1" s="11"/>
      <c r="BQ1" s="11"/>
      <c r="BV1" s="11"/>
      <c r="CA1" s="11"/>
      <c r="CF1" s="11"/>
      <c r="GB1" s="217"/>
      <c r="GC1" s="428" t="s">
        <v>148</v>
      </c>
      <c r="GD1" s="428"/>
      <c r="GE1" s="428"/>
      <c r="GF1" s="428"/>
      <c r="GG1" s="428"/>
      <c r="GH1" s="428"/>
      <c r="GI1" s="428"/>
      <c r="GJ1" s="428"/>
      <c r="GK1" s="428"/>
      <c r="GL1" s="428"/>
      <c r="GM1" s="428"/>
      <c r="GN1" s="428"/>
    </row>
    <row r="2" spans="1:196" ht="23.25" customHeight="1" thickBot="1">
      <c r="A2" s="337" t="s">
        <v>149</v>
      </c>
      <c r="B2" s="337"/>
      <c r="C2" s="338"/>
      <c r="D2" s="338"/>
      <c r="E2" s="338"/>
      <c r="GC2" s="429"/>
      <c r="GD2" s="429"/>
      <c r="GE2" s="429"/>
      <c r="GF2" s="429"/>
      <c r="GG2" s="429"/>
      <c r="GH2" s="429"/>
      <c r="GI2" s="429"/>
      <c r="GJ2" s="429"/>
      <c r="GK2" s="429"/>
      <c r="GL2" s="429"/>
      <c r="GM2" s="429"/>
      <c r="GN2" s="429"/>
    </row>
    <row r="3" spans="1:196" s="62" customFormat="1" ht="15.75" customHeight="1" thickBot="1">
      <c r="A3" s="212"/>
      <c r="B3" s="212"/>
      <c r="C3" s="418" t="s">
        <v>150</v>
      </c>
      <c r="D3" s="418"/>
      <c r="E3" s="418"/>
      <c r="F3" s="418"/>
      <c r="G3" s="418"/>
      <c r="H3" s="419" t="s">
        <v>23</v>
      </c>
      <c r="I3" s="418"/>
      <c r="J3" s="418"/>
      <c r="K3" s="418"/>
      <c r="L3" s="420"/>
      <c r="M3" s="421" t="s">
        <v>24</v>
      </c>
      <c r="N3" s="421"/>
      <c r="O3" s="421"/>
      <c r="P3" s="421"/>
      <c r="Q3" s="421"/>
      <c r="R3" s="422" t="s">
        <v>25</v>
      </c>
      <c r="S3" s="422"/>
      <c r="T3" s="422"/>
      <c r="U3" s="422"/>
      <c r="V3" s="422"/>
      <c r="W3" s="421" t="s">
        <v>26</v>
      </c>
      <c r="X3" s="421"/>
      <c r="Y3" s="421"/>
      <c r="Z3" s="421"/>
      <c r="AA3" s="421"/>
      <c r="AB3" s="422" t="s">
        <v>27</v>
      </c>
      <c r="AC3" s="422"/>
      <c r="AD3" s="422"/>
      <c r="AE3" s="422"/>
      <c r="AF3" s="422"/>
      <c r="AG3" s="422"/>
      <c r="AH3" s="421" t="s">
        <v>28</v>
      </c>
      <c r="AI3" s="421"/>
      <c r="AJ3" s="421"/>
      <c r="AK3" s="421"/>
      <c r="AL3" s="421"/>
      <c r="AM3" s="422" t="s">
        <v>29</v>
      </c>
      <c r="AN3" s="422"/>
      <c r="AO3" s="422"/>
      <c r="AP3" s="422"/>
      <c r="AQ3" s="422"/>
      <c r="AR3" s="421" t="s">
        <v>30</v>
      </c>
      <c r="AS3" s="421"/>
      <c r="AT3" s="421"/>
      <c r="AU3" s="421"/>
      <c r="AV3" s="421"/>
      <c r="AW3" s="422" t="s">
        <v>31</v>
      </c>
      <c r="AX3" s="422"/>
      <c r="AY3" s="422"/>
      <c r="AZ3" s="422"/>
      <c r="BA3" s="422"/>
      <c r="BB3" s="421" t="s">
        <v>32</v>
      </c>
      <c r="BC3" s="421"/>
      <c r="BD3" s="421"/>
      <c r="BE3" s="421"/>
      <c r="BF3" s="421"/>
      <c r="BG3" s="422" t="s">
        <v>33</v>
      </c>
      <c r="BH3" s="422"/>
      <c r="BI3" s="422"/>
      <c r="BJ3" s="422"/>
      <c r="BK3" s="422"/>
      <c r="BL3" s="421" t="s">
        <v>34</v>
      </c>
      <c r="BM3" s="421"/>
      <c r="BN3" s="421"/>
      <c r="BO3" s="421"/>
      <c r="BP3" s="421"/>
      <c r="BQ3" s="422" t="s">
        <v>35</v>
      </c>
      <c r="BR3" s="422"/>
      <c r="BS3" s="422"/>
      <c r="BT3" s="422"/>
      <c r="BU3" s="422"/>
      <c r="BV3" s="421" t="s">
        <v>36</v>
      </c>
      <c r="BW3" s="421"/>
      <c r="BX3" s="421"/>
      <c r="BY3" s="421"/>
      <c r="BZ3" s="421"/>
      <c r="CA3" s="422" t="s">
        <v>37</v>
      </c>
      <c r="CB3" s="422"/>
      <c r="CC3" s="422"/>
      <c r="CD3" s="422"/>
      <c r="CE3" s="422"/>
      <c r="CF3" s="421" t="s">
        <v>38</v>
      </c>
      <c r="CG3" s="421"/>
      <c r="CH3" s="421"/>
      <c r="CI3" s="421"/>
      <c r="CJ3" s="421"/>
      <c r="CK3" s="411" t="s">
        <v>39</v>
      </c>
      <c r="CL3" s="412"/>
      <c r="CM3" s="412"/>
      <c r="CN3" s="412"/>
      <c r="CO3" s="413"/>
      <c r="CP3" s="414" t="s">
        <v>40</v>
      </c>
      <c r="CQ3" s="415"/>
      <c r="CR3" s="415"/>
      <c r="CS3" s="415"/>
      <c r="CT3" s="416"/>
      <c r="CU3" s="411" t="s">
        <v>41</v>
      </c>
      <c r="CV3" s="412"/>
      <c r="CW3" s="412"/>
      <c r="CX3" s="412"/>
      <c r="CY3" s="413"/>
      <c r="CZ3" s="414" t="s">
        <v>42</v>
      </c>
      <c r="DA3" s="415"/>
      <c r="DB3" s="415"/>
      <c r="DC3" s="415"/>
      <c r="DD3" s="416"/>
      <c r="DE3" s="411" t="s">
        <v>43</v>
      </c>
      <c r="DF3" s="412"/>
      <c r="DG3" s="412"/>
      <c r="DH3" s="412"/>
      <c r="DI3" s="413"/>
      <c r="DJ3" s="414" t="s">
        <v>44</v>
      </c>
      <c r="DK3" s="415"/>
      <c r="DL3" s="415"/>
      <c r="DM3" s="415"/>
      <c r="DN3" s="416"/>
      <c r="DO3" s="411" t="s">
        <v>45</v>
      </c>
      <c r="DP3" s="412"/>
      <c r="DQ3" s="412"/>
      <c r="DR3" s="412"/>
      <c r="DS3" s="413"/>
      <c r="DT3" s="414" t="s">
        <v>46</v>
      </c>
      <c r="DU3" s="415"/>
      <c r="DV3" s="415"/>
      <c r="DW3" s="415"/>
      <c r="DX3" s="416"/>
      <c r="DY3" s="411" t="s">
        <v>47</v>
      </c>
      <c r="DZ3" s="412"/>
      <c r="EA3" s="412"/>
      <c r="EB3" s="412"/>
      <c r="EC3" s="413"/>
      <c r="ED3" s="414" t="s">
        <v>48</v>
      </c>
      <c r="EE3" s="415"/>
      <c r="EF3" s="415"/>
      <c r="EG3" s="415"/>
      <c r="EH3" s="416"/>
      <c r="EI3" s="411" t="s">
        <v>49</v>
      </c>
      <c r="EJ3" s="412"/>
      <c r="EK3" s="412"/>
      <c r="EL3" s="412"/>
      <c r="EM3" s="413"/>
      <c r="EN3" s="414" t="s">
        <v>50</v>
      </c>
      <c r="EO3" s="415"/>
      <c r="EP3" s="415"/>
      <c r="EQ3" s="415"/>
      <c r="ER3" s="416"/>
      <c r="ES3" s="411" t="s">
        <v>151</v>
      </c>
      <c r="ET3" s="412"/>
      <c r="EU3" s="412"/>
      <c r="EV3" s="412"/>
      <c r="EW3" s="413"/>
      <c r="EX3" s="411" t="s">
        <v>152</v>
      </c>
      <c r="EY3" s="412"/>
      <c r="EZ3" s="412"/>
      <c r="FA3" s="412"/>
      <c r="FB3" s="413"/>
      <c r="FC3" s="411" t="s">
        <v>153</v>
      </c>
      <c r="FD3" s="412"/>
      <c r="FE3" s="412"/>
      <c r="FF3" s="412"/>
      <c r="FG3" s="413"/>
      <c r="FH3" s="411" t="s">
        <v>154</v>
      </c>
      <c r="FI3" s="412"/>
      <c r="FJ3" s="412"/>
      <c r="FK3" s="412"/>
      <c r="FL3" s="413"/>
      <c r="FM3" s="411" t="s">
        <v>155</v>
      </c>
      <c r="FN3" s="412"/>
      <c r="FO3" s="412"/>
      <c r="FP3" s="412"/>
      <c r="FQ3" s="413"/>
      <c r="FR3" s="411" t="s">
        <v>156</v>
      </c>
      <c r="FS3" s="412"/>
      <c r="FT3" s="412"/>
      <c r="FU3" s="412"/>
      <c r="FV3" s="413"/>
      <c r="FW3" s="411" t="s">
        <v>157</v>
      </c>
      <c r="FX3" s="412"/>
      <c r="FY3" s="412"/>
      <c r="FZ3" s="412"/>
      <c r="GA3" s="413"/>
      <c r="GB3" s="423"/>
      <c r="GC3" s="424" t="s">
        <v>158</v>
      </c>
      <c r="GD3" s="425"/>
      <c r="GE3" s="424" t="s">
        <v>159</v>
      </c>
      <c r="GF3" s="425"/>
      <c r="GG3" s="424" t="s">
        <v>160</v>
      </c>
      <c r="GH3" s="425"/>
      <c r="GI3" s="430" t="s">
        <v>161</v>
      </c>
      <c r="GJ3" s="431"/>
      <c r="GK3" s="430" t="s">
        <v>162</v>
      </c>
      <c r="GL3" s="431"/>
      <c r="GM3" s="426" t="s">
        <v>163</v>
      </c>
      <c r="GN3" s="427"/>
    </row>
    <row r="4" spans="1:196" s="62" customFormat="1" ht="26.25" customHeight="1" thickBot="1">
      <c r="A4" s="214" t="s">
        <v>91</v>
      </c>
      <c r="B4" s="215" t="s">
        <v>92</v>
      </c>
      <c r="C4" s="209" t="s">
        <v>134</v>
      </c>
      <c r="D4" s="60" t="s">
        <v>135</v>
      </c>
      <c r="E4" s="61" t="s">
        <v>164</v>
      </c>
      <c r="F4" s="61" t="s">
        <v>165</v>
      </c>
      <c r="G4" s="171" t="s">
        <v>166</v>
      </c>
      <c r="H4" s="182" t="s">
        <v>134</v>
      </c>
      <c r="I4" s="60" t="s">
        <v>135</v>
      </c>
      <c r="J4" s="61" t="s">
        <v>164</v>
      </c>
      <c r="K4" s="61" t="s">
        <v>167</v>
      </c>
      <c r="L4" s="183" t="s">
        <v>166</v>
      </c>
      <c r="M4" s="192" t="s">
        <v>134</v>
      </c>
      <c r="N4" s="192" t="s">
        <v>135</v>
      </c>
      <c r="O4" s="193" t="s">
        <v>164</v>
      </c>
      <c r="P4" s="193" t="s">
        <v>168</v>
      </c>
      <c r="Q4" s="193" t="s">
        <v>166</v>
      </c>
      <c r="R4" s="345" t="s">
        <v>134</v>
      </c>
      <c r="S4" s="345" t="s">
        <v>135</v>
      </c>
      <c r="T4" s="346" t="s">
        <v>164</v>
      </c>
      <c r="U4" s="346" t="s">
        <v>167</v>
      </c>
      <c r="V4" s="346" t="s">
        <v>166</v>
      </c>
      <c r="W4" s="192" t="s">
        <v>134</v>
      </c>
      <c r="X4" s="192" t="s">
        <v>135</v>
      </c>
      <c r="Y4" s="193" t="s">
        <v>164</v>
      </c>
      <c r="Z4" s="193" t="s">
        <v>167</v>
      </c>
      <c r="AA4" s="193" t="s">
        <v>166</v>
      </c>
      <c r="AB4" s="345" t="s">
        <v>134</v>
      </c>
      <c r="AC4" s="345" t="s">
        <v>135</v>
      </c>
      <c r="AD4" s="346" t="s">
        <v>164</v>
      </c>
      <c r="AE4" s="355" t="s">
        <v>169</v>
      </c>
      <c r="AF4" s="346" t="s">
        <v>167</v>
      </c>
      <c r="AG4" s="346" t="s">
        <v>166</v>
      </c>
      <c r="AH4" s="192" t="s">
        <v>134</v>
      </c>
      <c r="AI4" s="192" t="s">
        <v>135</v>
      </c>
      <c r="AJ4" s="193" t="s">
        <v>164</v>
      </c>
      <c r="AK4" s="193" t="s">
        <v>167</v>
      </c>
      <c r="AL4" s="193" t="s">
        <v>166</v>
      </c>
      <c r="AM4" s="345" t="s">
        <v>134</v>
      </c>
      <c r="AN4" s="345" t="s">
        <v>135</v>
      </c>
      <c r="AO4" s="346" t="s">
        <v>164</v>
      </c>
      <c r="AP4" s="346" t="s">
        <v>167</v>
      </c>
      <c r="AQ4" s="346" t="s">
        <v>166</v>
      </c>
      <c r="AR4" s="192" t="s">
        <v>134</v>
      </c>
      <c r="AS4" s="192" t="s">
        <v>135</v>
      </c>
      <c r="AT4" s="193" t="s">
        <v>164</v>
      </c>
      <c r="AU4" s="193" t="s">
        <v>167</v>
      </c>
      <c r="AV4" s="193" t="s">
        <v>166</v>
      </c>
      <c r="AW4" s="345" t="s">
        <v>134</v>
      </c>
      <c r="AX4" s="345" t="s">
        <v>135</v>
      </c>
      <c r="AY4" s="346" t="s">
        <v>164</v>
      </c>
      <c r="AZ4" s="346" t="s">
        <v>167</v>
      </c>
      <c r="BA4" s="346" t="s">
        <v>166</v>
      </c>
      <c r="BB4" s="192" t="s">
        <v>134</v>
      </c>
      <c r="BC4" s="192" t="s">
        <v>135</v>
      </c>
      <c r="BD4" s="193" t="s">
        <v>164</v>
      </c>
      <c r="BE4" s="193" t="s">
        <v>167</v>
      </c>
      <c r="BF4" s="193" t="s">
        <v>166</v>
      </c>
      <c r="BG4" s="345" t="s">
        <v>134</v>
      </c>
      <c r="BH4" s="345" t="s">
        <v>135</v>
      </c>
      <c r="BI4" s="346" t="s">
        <v>164</v>
      </c>
      <c r="BJ4" s="346" t="s">
        <v>167</v>
      </c>
      <c r="BK4" s="346" t="s">
        <v>166</v>
      </c>
      <c r="BL4" s="192" t="s">
        <v>134</v>
      </c>
      <c r="BM4" s="192" t="s">
        <v>135</v>
      </c>
      <c r="BN4" s="193" t="s">
        <v>164</v>
      </c>
      <c r="BO4" s="193" t="s">
        <v>167</v>
      </c>
      <c r="BP4" s="193" t="s">
        <v>166</v>
      </c>
      <c r="BQ4" s="345" t="s">
        <v>134</v>
      </c>
      <c r="BR4" s="345" t="s">
        <v>135</v>
      </c>
      <c r="BS4" s="346" t="s">
        <v>164</v>
      </c>
      <c r="BT4" s="346" t="s">
        <v>167</v>
      </c>
      <c r="BU4" s="346" t="s">
        <v>166</v>
      </c>
      <c r="BV4" s="192" t="s">
        <v>134</v>
      </c>
      <c r="BW4" s="192" t="s">
        <v>135</v>
      </c>
      <c r="BX4" s="193" t="s">
        <v>164</v>
      </c>
      <c r="BY4" s="193" t="s">
        <v>167</v>
      </c>
      <c r="BZ4" s="193" t="s">
        <v>166</v>
      </c>
      <c r="CA4" s="345" t="s">
        <v>134</v>
      </c>
      <c r="CB4" s="345" t="s">
        <v>135</v>
      </c>
      <c r="CC4" s="346" t="s">
        <v>164</v>
      </c>
      <c r="CD4" s="346" t="s">
        <v>167</v>
      </c>
      <c r="CE4" s="346" t="s">
        <v>166</v>
      </c>
      <c r="CF4" s="192" t="s">
        <v>134</v>
      </c>
      <c r="CG4" s="192" t="s">
        <v>135</v>
      </c>
      <c r="CH4" s="193" t="s">
        <v>164</v>
      </c>
      <c r="CI4" s="193" t="s">
        <v>167</v>
      </c>
      <c r="CJ4" s="193" t="s">
        <v>166</v>
      </c>
      <c r="CK4" s="67" t="s">
        <v>134</v>
      </c>
      <c r="CL4" s="67" t="s">
        <v>135</v>
      </c>
      <c r="CM4" s="194" t="s">
        <v>170</v>
      </c>
      <c r="CN4" s="194" t="s">
        <v>167</v>
      </c>
      <c r="CO4" s="194" t="s">
        <v>166</v>
      </c>
      <c r="CP4" s="358" t="s">
        <v>134</v>
      </c>
      <c r="CQ4" s="358" t="s">
        <v>135</v>
      </c>
      <c r="CR4" s="359" t="s">
        <v>164</v>
      </c>
      <c r="CS4" s="359" t="s">
        <v>167</v>
      </c>
      <c r="CT4" s="359" t="s">
        <v>166</v>
      </c>
      <c r="CU4" s="67" t="s">
        <v>134</v>
      </c>
      <c r="CV4" s="67" t="s">
        <v>135</v>
      </c>
      <c r="CW4" s="194" t="s">
        <v>164</v>
      </c>
      <c r="CX4" s="194" t="s">
        <v>167</v>
      </c>
      <c r="CY4" s="194" t="s">
        <v>166</v>
      </c>
      <c r="CZ4" s="358" t="s">
        <v>134</v>
      </c>
      <c r="DA4" s="358" t="s">
        <v>135</v>
      </c>
      <c r="DB4" s="359" t="s">
        <v>164</v>
      </c>
      <c r="DC4" s="359" t="s">
        <v>167</v>
      </c>
      <c r="DD4" s="359" t="s">
        <v>166</v>
      </c>
      <c r="DE4" s="67" t="s">
        <v>134</v>
      </c>
      <c r="DF4" s="67" t="s">
        <v>135</v>
      </c>
      <c r="DG4" s="194" t="s">
        <v>164</v>
      </c>
      <c r="DH4" s="194" t="s">
        <v>167</v>
      </c>
      <c r="DI4" s="194" t="s">
        <v>166</v>
      </c>
      <c r="DJ4" s="358" t="s">
        <v>134</v>
      </c>
      <c r="DK4" s="358" t="s">
        <v>135</v>
      </c>
      <c r="DL4" s="359" t="s">
        <v>164</v>
      </c>
      <c r="DM4" s="359" t="s">
        <v>167</v>
      </c>
      <c r="DN4" s="359" t="s">
        <v>166</v>
      </c>
      <c r="DO4" s="67" t="s">
        <v>134</v>
      </c>
      <c r="DP4" s="67" t="s">
        <v>135</v>
      </c>
      <c r="DQ4" s="194" t="s">
        <v>164</v>
      </c>
      <c r="DR4" s="194" t="s">
        <v>167</v>
      </c>
      <c r="DS4" s="194" t="s">
        <v>166</v>
      </c>
      <c r="DT4" s="358" t="s">
        <v>134</v>
      </c>
      <c r="DU4" s="358" t="s">
        <v>135</v>
      </c>
      <c r="DV4" s="359" t="s">
        <v>164</v>
      </c>
      <c r="DW4" s="359" t="s">
        <v>167</v>
      </c>
      <c r="DX4" s="359" t="s">
        <v>166</v>
      </c>
      <c r="DY4" s="67" t="s">
        <v>134</v>
      </c>
      <c r="DZ4" s="67" t="s">
        <v>135</v>
      </c>
      <c r="EA4" s="194" t="s">
        <v>164</v>
      </c>
      <c r="EB4" s="194" t="s">
        <v>167</v>
      </c>
      <c r="EC4" s="194" t="s">
        <v>166</v>
      </c>
      <c r="ED4" s="358" t="s">
        <v>134</v>
      </c>
      <c r="EE4" s="358" t="s">
        <v>135</v>
      </c>
      <c r="EF4" s="359" t="s">
        <v>164</v>
      </c>
      <c r="EG4" s="359" t="s">
        <v>167</v>
      </c>
      <c r="EH4" s="359" t="s">
        <v>166</v>
      </c>
      <c r="EI4" s="67" t="s">
        <v>134</v>
      </c>
      <c r="EJ4" s="67" t="s">
        <v>135</v>
      </c>
      <c r="EK4" s="194" t="s">
        <v>164</v>
      </c>
      <c r="EL4" s="194" t="s">
        <v>167</v>
      </c>
      <c r="EM4" s="194" t="s">
        <v>166</v>
      </c>
      <c r="EN4" s="358" t="s">
        <v>134</v>
      </c>
      <c r="EO4" s="358" t="s">
        <v>135</v>
      </c>
      <c r="EP4" s="359" t="s">
        <v>164</v>
      </c>
      <c r="EQ4" s="359" t="s">
        <v>167</v>
      </c>
      <c r="ER4" s="359" t="s">
        <v>166</v>
      </c>
      <c r="ES4" s="67" t="s">
        <v>134</v>
      </c>
      <c r="ET4" s="67" t="s">
        <v>135</v>
      </c>
      <c r="EU4" s="194" t="s">
        <v>164</v>
      </c>
      <c r="EV4" s="194" t="s">
        <v>167</v>
      </c>
      <c r="EW4" s="194" t="s">
        <v>166</v>
      </c>
      <c r="EX4" s="67" t="s">
        <v>134</v>
      </c>
      <c r="EY4" s="67" t="s">
        <v>135</v>
      </c>
      <c r="EZ4" s="194" t="s">
        <v>164</v>
      </c>
      <c r="FA4" s="194" t="s">
        <v>167</v>
      </c>
      <c r="FB4" s="194" t="s">
        <v>166</v>
      </c>
      <c r="FC4" s="67" t="s">
        <v>134</v>
      </c>
      <c r="FD4" s="67" t="s">
        <v>135</v>
      </c>
      <c r="FE4" s="194" t="s">
        <v>164</v>
      </c>
      <c r="FF4" s="194" t="s">
        <v>167</v>
      </c>
      <c r="FG4" s="194" t="s">
        <v>166</v>
      </c>
      <c r="FH4" s="194"/>
      <c r="FI4" s="194"/>
      <c r="FJ4" s="194"/>
      <c r="FK4" s="194"/>
      <c r="FL4" s="194"/>
      <c r="FM4" s="67" t="s">
        <v>134</v>
      </c>
      <c r="FN4" s="67" t="s">
        <v>135</v>
      </c>
      <c r="FO4" s="194" t="s">
        <v>164</v>
      </c>
      <c r="FP4" s="194" t="s">
        <v>167</v>
      </c>
      <c r="FQ4" s="194" t="s">
        <v>166</v>
      </c>
      <c r="FR4" s="67" t="s">
        <v>134</v>
      </c>
      <c r="FS4" s="67" t="s">
        <v>135</v>
      </c>
      <c r="FT4" s="194" t="s">
        <v>164</v>
      </c>
      <c r="FU4" s="194" t="s">
        <v>167</v>
      </c>
      <c r="FV4" s="194" t="s">
        <v>166</v>
      </c>
      <c r="FW4" s="67" t="s">
        <v>134</v>
      </c>
      <c r="FX4" s="67" t="s">
        <v>135</v>
      </c>
      <c r="FY4" s="194" t="s">
        <v>164</v>
      </c>
      <c r="FZ4" s="194" t="s">
        <v>167</v>
      </c>
      <c r="GA4" s="194" t="s">
        <v>166</v>
      </c>
      <c r="GB4" s="423"/>
      <c r="GC4" s="220" t="s">
        <v>96</v>
      </c>
      <c r="GD4" s="221" t="s">
        <v>103</v>
      </c>
      <c r="GE4" s="220" t="s">
        <v>96</v>
      </c>
      <c r="GF4" s="221" t="s">
        <v>103</v>
      </c>
      <c r="GG4" s="220" t="s">
        <v>96</v>
      </c>
      <c r="GH4" s="221" t="s">
        <v>103</v>
      </c>
      <c r="GI4" s="220" t="s">
        <v>96</v>
      </c>
      <c r="GJ4" s="221" t="s">
        <v>103</v>
      </c>
      <c r="GK4" s="220" t="s">
        <v>96</v>
      </c>
      <c r="GL4" s="221" t="s">
        <v>103</v>
      </c>
      <c r="GM4" s="229" t="s">
        <v>96</v>
      </c>
      <c r="GN4" s="230" t="s">
        <v>103</v>
      </c>
    </row>
    <row r="5" spans="1:196" s="3" customFormat="1">
      <c r="A5" s="213">
        <v>1</v>
      </c>
      <c r="B5" s="216" t="e">
        <f>#REF!</f>
        <v>#REF!</v>
      </c>
      <c r="C5" s="210">
        <v>27414800</v>
      </c>
      <c r="D5" s="167">
        <v>27419216</v>
      </c>
      <c r="E5" s="164">
        <f>MAX(0,D5-C5)</f>
        <v>4416</v>
      </c>
      <c r="F5" s="173"/>
      <c r="G5" s="174"/>
      <c r="H5" s="189">
        <v>25354892</v>
      </c>
      <c r="I5" s="167">
        <v>25359792</v>
      </c>
      <c r="J5" s="163">
        <f>MAX(0,I5-H5)</f>
        <v>4900</v>
      </c>
      <c r="K5" s="184"/>
      <c r="L5" s="185"/>
      <c r="M5" s="172">
        <v>93179744</v>
      </c>
      <c r="N5" s="169">
        <v>93192194</v>
      </c>
      <c r="O5" s="181">
        <f>MAX(0,N5-M5)</f>
        <v>12450</v>
      </c>
      <c r="P5" s="190"/>
      <c r="Q5" s="191"/>
      <c r="R5" s="347">
        <v>3288100</v>
      </c>
      <c r="S5" s="347">
        <v>3290600</v>
      </c>
      <c r="T5" s="348">
        <f>MAX(0,S5-R5)</f>
        <v>2500</v>
      </c>
      <c r="U5" s="349"/>
      <c r="V5" s="350"/>
      <c r="W5" s="169">
        <v>4403325</v>
      </c>
      <c r="X5" s="169">
        <v>4406397</v>
      </c>
      <c r="Y5" s="165">
        <f>MAX(0,X5-W5)</f>
        <v>3072</v>
      </c>
      <c r="Z5" s="177"/>
      <c r="AA5" s="178"/>
      <c r="AB5" s="352">
        <v>2859600</v>
      </c>
      <c r="AC5" s="347">
        <v>2861800</v>
      </c>
      <c r="AD5" s="352">
        <f t="shared" ref="AD5:AD35" si="0">MAX(0,AC5-AB5)</f>
        <v>2200</v>
      </c>
      <c r="AE5" s="356">
        <f>AD5/WATER!V6</f>
        <v>5.6265984654731458</v>
      </c>
      <c r="AF5" s="349"/>
      <c r="AG5" s="350"/>
      <c r="AH5" s="169">
        <v>1133888</v>
      </c>
      <c r="AI5" s="169">
        <v>1134372</v>
      </c>
      <c r="AJ5" s="165">
        <f>MAX(0,AI5-AH5)</f>
        <v>484</v>
      </c>
      <c r="AK5" s="177"/>
      <c r="AL5" s="178"/>
      <c r="AM5" s="347">
        <v>1161300</v>
      </c>
      <c r="AN5" s="347">
        <v>1162000</v>
      </c>
      <c r="AO5" s="352">
        <f>MAX(0,AN5-AM5)</f>
        <v>700</v>
      </c>
      <c r="AP5" s="349"/>
      <c r="AQ5" s="350"/>
      <c r="AR5" s="169">
        <v>2609800</v>
      </c>
      <c r="AS5" s="169">
        <v>2612700</v>
      </c>
      <c r="AT5" s="165">
        <f>AS5-AR5</f>
        <v>2900</v>
      </c>
      <c r="AU5" s="177"/>
      <c r="AV5" s="178"/>
      <c r="AW5" s="347">
        <v>47915</v>
      </c>
      <c r="AX5" s="347">
        <v>48332</v>
      </c>
      <c r="AY5" s="348">
        <f>AX5-AW5</f>
        <v>417</v>
      </c>
      <c r="AZ5" s="349"/>
      <c r="BA5" s="350"/>
      <c r="BB5" s="169">
        <v>1032000</v>
      </c>
      <c r="BC5" s="169">
        <v>1032400</v>
      </c>
      <c r="BD5" s="165">
        <f>BC5-BB5</f>
        <v>400</v>
      </c>
      <c r="BE5" s="177"/>
      <c r="BF5" s="178"/>
      <c r="BG5" s="347">
        <v>1098700</v>
      </c>
      <c r="BH5" s="347">
        <v>1099000</v>
      </c>
      <c r="BI5" s="348">
        <f>BH5-BG5</f>
        <v>300</v>
      </c>
      <c r="BJ5" s="349"/>
      <c r="BK5" s="350"/>
      <c r="BL5" s="169">
        <v>1641100</v>
      </c>
      <c r="BM5" s="169">
        <v>1641600</v>
      </c>
      <c r="BN5" s="165">
        <f>BM5-BL5</f>
        <v>500</v>
      </c>
      <c r="BO5" s="177"/>
      <c r="BP5" s="178"/>
      <c r="BQ5" s="347">
        <v>149660</v>
      </c>
      <c r="BR5" s="347">
        <v>149860</v>
      </c>
      <c r="BS5" s="348">
        <f>BR5-BQ5</f>
        <v>200</v>
      </c>
      <c r="BT5" s="349"/>
      <c r="BU5" s="350"/>
      <c r="BV5" s="169">
        <v>622610</v>
      </c>
      <c r="BW5" s="169">
        <v>622960</v>
      </c>
      <c r="BX5" s="165">
        <f>BW5-BV5</f>
        <v>350</v>
      </c>
      <c r="BY5" s="177"/>
      <c r="BZ5" s="178"/>
      <c r="CA5" s="347">
        <v>1186900</v>
      </c>
      <c r="CB5" s="347">
        <v>1188100</v>
      </c>
      <c r="CC5" s="348">
        <f>CB5-CA5</f>
        <v>1200</v>
      </c>
      <c r="CD5" s="349"/>
      <c r="CE5" s="350"/>
      <c r="CF5" s="169">
        <v>392360</v>
      </c>
      <c r="CG5" s="169">
        <v>392790</v>
      </c>
      <c r="CH5" s="165">
        <f>CG5-CF5</f>
        <v>430</v>
      </c>
      <c r="CI5" s="177"/>
      <c r="CJ5" s="178"/>
      <c r="CK5" s="170">
        <v>902660</v>
      </c>
      <c r="CL5" s="170">
        <v>903760</v>
      </c>
      <c r="CM5" s="165">
        <f>MAX(0,CL5-CK5)</f>
        <v>1100</v>
      </c>
      <c r="CN5" s="177"/>
      <c r="CO5" s="178"/>
      <c r="CP5" s="360">
        <v>749960</v>
      </c>
      <c r="CQ5" s="360">
        <v>751050</v>
      </c>
      <c r="CR5" s="361">
        <f>MAX(0,CQ5-CP5)</f>
        <v>1090</v>
      </c>
      <c r="CS5" s="362"/>
      <c r="CT5" s="363"/>
      <c r="CU5" s="169">
        <v>619200</v>
      </c>
      <c r="CV5" s="169">
        <v>619910</v>
      </c>
      <c r="CW5" s="165">
        <f>MAX(0,CV5-CU5)</f>
        <v>710</v>
      </c>
      <c r="CX5" s="177"/>
      <c r="CY5" s="178"/>
      <c r="CZ5" s="360">
        <v>1036600</v>
      </c>
      <c r="DA5" s="360">
        <v>1037700</v>
      </c>
      <c r="DB5" s="367">
        <f>DA5-CZ5</f>
        <v>1100</v>
      </c>
      <c r="DC5" s="362"/>
      <c r="DD5" s="363"/>
      <c r="DE5" s="169">
        <v>796170</v>
      </c>
      <c r="DF5" s="169">
        <v>797080</v>
      </c>
      <c r="DG5" s="165">
        <f>MAX(0,DF5-DE5)</f>
        <v>910</v>
      </c>
      <c r="DH5" s="177"/>
      <c r="DI5" s="178"/>
      <c r="DJ5" s="360">
        <v>686310</v>
      </c>
      <c r="DK5" s="360">
        <v>687040</v>
      </c>
      <c r="DL5" s="367">
        <f>MAX(0,DK5-DJ5)</f>
        <v>730</v>
      </c>
      <c r="DM5" s="362"/>
      <c r="DN5" s="363"/>
      <c r="DO5" s="169">
        <v>372120</v>
      </c>
      <c r="DP5" s="169">
        <v>372510</v>
      </c>
      <c r="DQ5" s="165">
        <f>MAX(0,DP5-DO5)</f>
        <v>390</v>
      </c>
      <c r="DR5" s="177"/>
      <c r="DS5" s="178"/>
      <c r="DT5" s="360">
        <v>125860</v>
      </c>
      <c r="DU5" s="369">
        <v>126010</v>
      </c>
      <c r="DV5" s="367">
        <f>MAX(0,DU5-DT5)</f>
        <v>150</v>
      </c>
      <c r="DW5" s="362"/>
      <c r="DX5" s="363"/>
      <c r="DY5" s="169">
        <v>807130</v>
      </c>
      <c r="DZ5" s="166">
        <v>808160</v>
      </c>
      <c r="EA5" s="165">
        <f>MAX(0,DZ5-DY5)</f>
        <v>1030</v>
      </c>
      <c r="EB5" s="177"/>
      <c r="EC5" s="178"/>
      <c r="ED5" s="360">
        <v>255720</v>
      </c>
      <c r="EE5" s="369">
        <v>256010</v>
      </c>
      <c r="EF5" s="367">
        <f>MAX(0,EE5-ED5)</f>
        <v>290</v>
      </c>
      <c r="EG5" s="362"/>
      <c r="EH5" s="363"/>
      <c r="EI5" s="169">
        <v>291150</v>
      </c>
      <c r="EJ5" s="166">
        <v>291870</v>
      </c>
      <c r="EK5" s="165">
        <f>MAX(0,EJ5-EI5)</f>
        <v>720</v>
      </c>
      <c r="EL5" s="177"/>
      <c r="EM5" s="178"/>
      <c r="EN5" s="360">
        <v>472930</v>
      </c>
      <c r="EO5" s="369">
        <v>474040</v>
      </c>
      <c r="EP5" s="367">
        <f>MAX(0,EO5-EN5)</f>
        <v>1110</v>
      </c>
      <c r="EQ5" s="362"/>
      <c r="ER5" s="363"/>
      <c r="ES5" s="169">
        <v>69098</v>
      </c>
      <c r="ET5" s="166"/>
      <c r="EU5" s="165">
        <f>MAX(0,ET5-ES5)</f>
        <v>0</v>
      </c>
      <c r="EV5" s="177"/>
      <c r="EW5" s="178"/>
      <c r="EX5" s="169">
        <v>131740</v>
      </c>
      <c r="EY5" s="166"/>
      <c r="EZ5" s="165">
        <f>MAX(0,EY5-EX5)</f>
        <v>0</v>
      </c>
      <c r="FA5" s="177"/>
      <c r="FB5" s="178"/>
      <c r="FC5" s="169">
        <v>74909</v>
      </c>
      <c r="FD5" s="166"/>
      <c r="FE5" s="165">
        <f>MAX(0,FD5-FC5)</f>
        <v>0</v>
      </c>
      <c r="FF5" s="177"/>
      <c r="FG5" s="178"/>
      <c r="FH5" s="240"/>
      <c r="FI5" s="240"/>
      <c r="FJ5" s="240"/>
      <c r="FK5" s="240"/>
      <c r="FL5" s="240"/>
      <c r="FM5" s="169">
        <v>91210</v>
      </c>
      <c r="FN5" s="166"/>
      <c r="FO5" s="165">
        <f>MAX(0,FN5-FM5)</f>
        <v>0</v>
      </c>
      <c r="FP5" s="177"/>
      <c r="FQ5" s="178"/>
      <c r="FR5" s="169">
        <v>0</v>
      </c>
      <c r="FS5" s="166"/>
      <c r="FT5" s="165">
        <f>MAX(0,FS5-FR5)</f>
        <v>0</v>
      </c>
      <c r="FU5" s="177"/>
      <c r="FV5" s="178"/>
      <c r="FW5" s="169">
        <v>0</v>
      </c>
      <c r="FX5" s="166"/>
      <c r="FY5" s="165">
        <f>MAX(0,FX5-FW5)</f>
        <v>0</v>
      </c>
      <c r="FZ5" s="177"/>
      <c r="GA5" s="178"/>
      <c r="GB5" s="219"/>
      <c r="GC5" s="225">
        <f>SUM(E5+J5)</f>
        <v>9316</v>
      </c>
      <c r="GD5" s="222"/>
      <c r="GE5" s="225">
        <f>SUM(T5+Y5+EA5+EF5+EK5+EP5)</f>
        <v>8722</v>
      </c>
      <c r="GF5" s="222"/>
      <c r="GG5" s="225">
        <f>SUM(AO5+AT5)</f>
        <v>3600</v>
      </c>
      <c r="GH5" s="222"/>
      <c r="GI5" s="225">
        <f>SUM(AY5+BD5+BI5)</f>
        <v>1117</v>
      </c>
      <c r="GJ5" s="222"/>
      <c r="GK5" s="225">
        <f>SUM(BN5+BS5+EU5)</f>
        <v>700</v>
      </c>
      <c r="GL5" s="222"/>
      <c r="GM5" s="225">
        <f>SUM(EZ5+FE5)</f>
        <v>0</v>
      </c>
      <c r="GN5" s="222"/>
    </row>
    <row r="6" spans="1:196" s="3" customFormat="1" ht="13.5" customHeight="1">
      <c r="A6" s="213">
        <v>2</v>
      </c>
      <c r="B6" s="216" t="e">
        <f>#REF!</f>
        <v>#REF!</v>
      </c>
      <c r="C6" s="211">
        <f>D5</f>
        <v>27419216</v>
      </c>
      <c r="D6" s="167">
        <v>27423532</v>
      </c>
      <c r="E6" s="168">
        <f>MAX(0,D6-C6)</f>
        <v>4316</v>
      </c>
      <c r="F6" s="175">
        <f>E6-E5</f>
        <v>-100</v>
      </c>
      <c r="G6" s="176" t="e">
        <f>(E6/#REF!)*100</f>
        <v>#REF!</v>
      </c>
      <c r="H6" s="186">
        <f>I5</f>
        <v>25359792</v>
      </c>
      <c r="I6" s="167">
        <v>25364558</v>
      </c>
      <c r="J6" s="167">
        <f>MAX(0,I6-H6)</f>
        <v>4766</v>
      </c>
      <c r="K6" s="187">
        <f>J6-J5</f>
        <v>-134</v>
      </c>
      <c r="L6" s="188" t="e">
        <f>(J6/#REF!)*100</f>
        <v>#REF!</v>
      </c>
      <c r="M6" s="172">
        <f>N5</f>
        <v>93192194</v>
      </c>
      <c r="N6" s="169">
        <v>93204738</v>
      </c>
      <c r="O6" s="170">
        <f>MAX(0,N6-M6)</f>
        <v>12544</v>
      </c>
      <c r="P6" s="179">
        <f>O6-O5</f>
        <v>94</v>
      </c>
      <c r="Q6" s="180" t="e">
        <f>(O6/#REF!)*100</f>
        <v>#REF!</v>
      </c>
      <c r="R6" s="351">
        <f>S5</f>
        <v>3290600</v>
      </c>
      <c r="S6" s="347">
        <v>3293000</v>
      </c>
      <c r="T6" s="352">
        <f>MAX(0,S6-R6)</f>
        <v>2400</v>
      </c>
      <c r="U6" s="353">
        <f>T6-T5</f>
        <v>-100</v>
      </c>
      <c r="V6" s="354" t="e">
        <f>(T6/#REF!)*100</f>
        <v>#REF!</v>
      </c>
      <c r="W6" s="169">
        <f>X5</f>
        <v>4406397</v>
      </c>
      <c r="X6" s="169">
        <v>4409465</v>
      </c>
      <c r="Y6" s="170">
        <f>MAX(0,X6-W6)</f>
        <v>3068</v>
      </c>
      <c r="Z6" s="179">
        <f>Y6-Y5</f>
        <v>-4</v>
      </c>
      <c r="AA6" s="180" t="e">
        <f>(Y6/#REF!)*100</f>
        <v>#REF!</v>
      </c>
      <c r="AB6" s="347">
        <f>AC5</f>
        <v>2861800</v>
      </c>
      <c r="AC6" s="347">
        <v>2864200</v>
      </c>
      <c r="AD6" s="352">
        <f t="shared" si="0"/>
        <v>2400</v>
      </c>
      <c r="AE6" s="357">
        <f>AD6/WATER!V7</f>
        <v>5.5944055944055942</v>
      </c>
      <c r="AF6" s="353">
        <f>AD6-AD5</f>
        <v>200</v>
      </c>
      <c r="AG6" s="354" t="e">
        <f>(AD6/#REF!)*100</f>
        <v>#REF!</v>
      </c>
      <c r="AH6" s="169">
        <f>AI5</f>
        <v>1134372</v>
      </c>
      <c r="AI6" s="169">
        <v>1134837</v>
      </c>
      <c r="AJ6" s="170">
        <f>MAX(0,AI6-AH6)</f>
        <v>465</v>
      </c>
      <c r="AK6" s="179">
        <f>AJ6-AJ5</f>
        <v>-19</v>
      </c>
      <c r="AL6" s="180" t="e">
        <f>(AJ6/#REF!)*100</f>
        <v>#REF!</v>
      </c>
      <c r="AM6" s="347">
        <f>AN5</f>
        <v>1162000</v>
      </c>
      <c r="AN6" s="347">
        <v>1162700</v>
      </c>
      <c r="AO6" s="352">
        <f>MAX(0,AN6-AM6)</f>
        <v>700</v>
      </c>
      <c r="AP6" s="353">
        <f>AO6-AO5</f>
        <v>0</v>
      </c>
      <c r="AQ6" s="354" t="e">
        <f>(AO6/#REF!)*100</f>
        <v>#REF!</v>
      </c>
      <c r="AR6" s="169">
        <f>AS5</f>
        <v>2612700</v>
      </c>
      <c r="AS6" s="169">
        <v>2615500</v>
      </c>
      <c r="AT6" s="170">
        <f>MAX(0,AS6-AR6)</f>
        <v>2800</v>
      </c>
      <c r="AU6" s="179">
        <f>AT6-AT5</f>
        <v>-100</v>
      </c>
      <c r="AV6" s="180" t="e">
        <f>(AT6/#REF!)*100</f>
        <v>#REF!</v>
      </c>
      <c r="AW6" s="347">
        <f>AX5</f>
        <v>48332</v>
      </c>
      <c r="AX6" s="347">
        <v>48770</v>
      </c>
      <c r="AY6" s="352">
        <f>MAX(0,AX6-AW6)</f>
        <v>438</v>
      </c>
      <c r="AZ6" s="353">
        <f>AY6-AY5</f>
        <v>21</v>
      </c>
      <c r="BA6" s="354" t="e">
        <f>(AY6/#REF!)*100</f>
        <v>#REF!</v>
      </c>
      <c r="BB6" s="169">
        <f>BC5</f>
        <v>1032400</v>
      </c>
      <c r="BC6" s="169">
        <v>1032800</v>
      </c>
      <c r="BD6" s="170">
        <f>MAX(0,BC6-BB6)</f>
        <v>400</v>
      </c>
      <c r="BE6" s="179">
        <f>BD6-BD5</f>
        <v>0</v>
      </c>
      <c r="BF6" s="180" t="e">
        <f>(BD6/#REF!)*100</f>
        <v>#REF!</v>
      </c>
      <c r="BG6" s="347">
        <f>BH5</f>
        <v>1099000</v>
      </c>
      <c r="BH6" s="347">
        <v>1099300</v>
      </c>
      <c r="BI6" s="352">
        <f>MAX(0,BH6-BG6)</f>
        <v>300</v>
      </c>
      <c r="BJ6" s="353">
        <f>BI6-BI5</f>
        <v>0</v>
      </c>
      <c r="BK6" s="354" t="e">
        <f>(BI6/#REF!)*100</f>
        <v>#REF!</v>
      </c>
      <c r="BL6" s="169">
        <f>BM5</f>
        <v>1641600</v>
      </c>
      <c r="BM6" s="169">
        <v>1642200</v>
      </c>
      <c r="BN6" s="170">
        <f>MAX(0,BM6-BL6)</f>
        <v>600</v>
      </c>
      <c r="BO6" s="179">
        <f>BN6-BN5</f>
        <v>100</v>
      </c>
      <c r="BP6" s="180" t="e">
        <f>(BN6/#REF!)*100</f>
        <v>#REF!</v>
      </c>
      <c r="BQ6" s="347">
        <f>BR5</f>
        <v>149860</v>
      </c>
      <c r="BR6" s="347">
        <v>149990</v>
      </c>
      <c r="BS6" s="352">
        <f>MAX(0,BR6-BQ6)</f>
        <v>130</v>
      </c>
      <c r="BT6" s="353">
        <f>BS6-BS5</f>
        <v>-70</v>
      </c>
      <c r="BU6" s="354" t="e">
        <f>(BS6/#REF!)*100</f>
        <v>#REF!</v>
      </c>
      <c r="BV6" s="169">
        <f>BW5</f>
        <v>622960</v>
      </c>
      <c r="BW6" s="169">
        <v>623320</v>
      </c>
      <c r="BX6" s="170">
        <f>MAX(0,BW6-BV6)</f>
        <v>360</v>
      </c>
      <c r="BY6" s="179">
        <f>BX6-BX5</f>
        <v>10</v>
      </c>
      <c r="BZ6" s="180" t="e">
        <f>(BX6/#REF!)*100</f>
        <v>#REF!</v>
      </c>
      <c r="CA6" s="347">
        <f>CB5</f>
        <v>1188100</v>
      </c>
      <c r="CB6" s="347">
        <v>1189300</v>
      </c>
      <c r="CC6" s="352">
        <f>MAX(0,CB6-CA6)</f>
        <v>1200</v>
      </c>
      <c r="CD6" s="353">
        <f>CC6-CC5</f>
        <v>0</v>
      </c>
      <c r="CE6" s="354" t="e">
        <f>(CC6/#REF!)*100</f>
        <v>#REF!</v>
      </c>
      <c r="CF6" s="169">
        <f>CG5</f>
        <v>392790</v>
      </c>
      <c r="CG6" s="169">
        <v>393300</v>
      </c>
      <c r="CH6" s="170">
        <f>MAX(0,CG6-CF6)</f>
        <v>510</v>
      </c>
      <c r="CI6" s="179">
        <f>CH6-CH5</f>
        <v>80</v>
      </c>
      <c r="CJ6" s="180" t="e">
        <f>(CH6/#REF!)*100</f>
        <v>#REF!</v>
      </c>
      <c r="CK6" s="170">
        <f>CL5</f>
        <v>903760</v>
      </c>
      <c r="CL6" s="170">
        <v>904940</v>
      </c>
      <c r="CM6" s="170">
        <f>MAX(0,CL6-CK6)</f>
        <v>1180</v>
      </c>
      <c r="CN6" s="179">
        <f>CM6-CM5</f>
        <v>80</v>
      </c>
      <c r="CO6" s="180" t="e">
        <f>(CM6/#REF!)*100</f>
        <v>#REF!</v>
      </c>
      <c r="CP6" s="360">
        <f>CQ5</f>
        <v>751050</v>
      </c>
      <c r="CQ6" s="360">
        <v>752120</v>
      </c>
      <c r="CR6" s="364">
        <f>MAX(0,CQ6-CP6)</f>
        <v>1070</v>
      </c>
      <c r="CS6" s="365">
        <f>CR6-CR5</f>
        <v>-20</v>
      </c>
      <c r="CT6" s="366" t="e">
        <f>(CR6/#REF!)*100</f>
        <v>#REF!</v>
      </c>
      <c r="CU6" s="169">
        <f>CV5</f>
        <v>619910</v>
      </c>
      <c r="CV6" s="169">
        <v>620610</v>
      </c>
      <c r="CW6" s="170">
        <f>MAX(0,CV6-CU6)</f>
        <v>700</v>
      </c>
      <c r="CX6" s="179">
        <f>CW6-CW5</f>
        <v>-10</v>
      </c>
      <c r="CY6" s="180" t="e">
        <f>(CW6/#REF!)*100</f>
        <v>#REF!</v>
      </c>
      <c r="CZ6" s="360">
        <f>DA5</f>
        <v>1037700</v>
      </c>
      <c r="DA6" s="360">
        <v>1038800</v>
      </c>
      <c r="DB6" s="368">
        <f>MAX(0,DA6-CZ6)</f>
        <v>1100</v>
      </c>
      <c r="DC6" s="365">
        <f>DB6-DB5</f>
        <v>0</v>
      </c>
      <c r="DD6" s="366" t="e">
        <f>(DB6/#REF!)*100</f>
        <v>#REF!</v>
      </c>
      <c r="DE6" s="169">
        <f>DF5</f>
        <v>797080</v>
      </c>
      <c r="DF6" s="169">
        <v>797960</v>
      </c>
      <c r="DG6" s="170">
        <f>MAX(0,DF6-DE6)</f>
        <v>880</v>
      </c>
      <c r="DH6" s="179">
        <f>DG6-DG5</f>
        <v>-30</v>
      </c>
      <c r="DI6" s="180" t="e">
        <f>(DG6/#REF!)*100</f>
        <v>#REF!</v>
      </c>
      <c r="DJ6" s="360">
        <f>DK5</f>
        <v>687040</v>
      </c>
      <c r="DK6" s="360">
        <v>687670</v>
      </c>
      <c r="DL6" s="368">
        <f>MAX(0,DK6-DJ6)</f>
        <v>630</v>
      </c>
      <c r="DM6" s="365">
        <f>DL6-DL5</f>
        <v>-100</v>
      </c>
      <c r="DN6" s="366" t="e">
        <f>(DL6/#REF!)*100</f>
        <v>#REF!</v>
      </c>
      <c r="DO6" s="169">
        <f>DP5</f>
        <v>372510</v>
      </c>
      <c r="DP6" s="169">
        <v>372830</v>
      </c>
      <c r="DQ6" s="170">
        <f>MAX(0,DP6-DO6)</f>
        <v>320</v>
      </c>
      <c r="DR6" s="179">
        <f>DQ6-DQ5</f>
        <v>-70</v>
      </c>
      <c r="DS6" s="180" t="e">
        <f>(DQ6/#REF!)*100</f>
        <v>#REF!</v>
      </c>
      <c r="DT6" s="360">
        <f>DU5</f>
        <v>126010</v>
      </c>
      <c r="DU6" s="360">
        <v>126180</v>
      </c>
      <c r="DV6" s="368">
        <f>MAX(0,DU6-DT6)</f>
        <v>170</v>
      </c>
      <c r="DW6" s="365">
        <f>DV6-DV5</f>
        <v>20</v>
      </c>
      <c r="DX6" s="366" t="e">
        <f>(DV6/#REF!)*100</f>
        <v>#REF!</v>
      </c>
      <c r="DY6" s="169">
        <f>DZ5</f>
        <v>808160</v>
      </c>
      <c r="DZ6" s="169">
        <v>809170</v>
      </c>
      <c r="EA6" s="170">
        <f>MAX(0,DZ6-DY6)</f>
        <v>1010</v>
      </c>
      <c r="EB6" s="179">
        <f>EA6-EA5</f>
        <v>-20</v>
      </c>
      <c r="EC6" s="180" t="e">
        <f>(EA6/#REF!)*100</f>
        <v>#REF!</v>
      </c>
      <c r="ED6" s="360">
        <f>EE5</f>
        <v>256010</v>
      </c>
      <c r="EE6" s="360">
        <v>256320</v>
      </c>
      <c r="EF6" s="368">
        <f>MAX(0,EE6-ED6)</f>
        <v>310</v>
      </c>
      <c r="EG6" s="365">
        <f>EF6-EF5</f>
        <v>20</v>
      </c>
      <c r="EH6" s="366" t="e">
        <f>(EF6/#REF!)*100</f>
        <v>#REF!</v>
      </c>
      <c r="EI6" s="169">
        <f>EJ5</f>
        <v>291870</v>
      </c>
      <c r="EJ6" s="169">
        <v>292220</v>
      </c>
      <c r="EK6" s="170">
        <f>MAX(0,EJ6-EI6)</f>
        <v>350</v>
      </c>
      <c r="EL6" s="179">
        <f>EK6-EK5</f>
        <v>-370</v>
      </c>
      <c r="EM6" s="180" t="e">
        <f>(EK6/#REF!)*100</f>
        <v>#REF!</v>
      </c>
      <c r="EN6" s="360">
        <f>EO5</f>
        <v>474040</v>
      </c>
      <c r="EO6" s="360">
        <v>474620</v>
      </c>
      <c r="EP6" s="368">
        <f>MAX(0,EO6-EN6)</f>
        <v>580</v>
      </c>
      <c r="EQ6" s="365">
        <f>EP6-EP5</f>
        <v>-530</v>
      </c>
      <c r="ER6" s="366" t="e">
        <f>(EP6/#REF!)*100</f>
        <v>#REF!</v>
      </c>
      <c r="ES6" s="169">
        <f>ET5</f>
        <v>0</v>
      </c>
      <c r="ET6" s="169"/>
      <c r="EU6" s="170">
        <f>MAX(0,ET6-ES6)</f>
        <v>0</v>
      </c>
      <c r="EV6" s="179">
        <f>EU6-EU5</f>
        <v>0</v>
      </c>
      <c r="EW6" s="180" t="e">
        <f>(EU6/#REF!)*100</f>
        <v>#REF!</v>
      </c>
      <c r="EX6" s="169">
        <f>EY5</f>
        <v>0</v>
      </c>
      <c r="EY6" s="169"/>
      <c r="EZ6" s="170">
        <f>MAX(0,EY6-EX6)</f>
        <v>0</v>
      </c>
      <c r="FA6" s="179">
        <f>EZ6-EZ5</f>
        <v>0</v>
      </c>
      <c r="FB6" s="180" t="e">
        <f>(EZ6/#REF!)*100</f>
        <v>#REF!</v>
      </c>
      <c r="FC6" s="169">
        <f>FD5</f>
        <v>0</v>
      </c>
      <c r="FD6" s="169"/>
      <c r="FE6" s="170">
        <f>MAX(0,FD6-FC6)</f>
        <v>0</v>
      </c>
      <c r="FF6" s="179">
        <f>FE6-FE5</f>
        <v>0</v>
      </c>
      <c r="FG6" s="180" t="e">
        <f>(FE6/#REF!)*100</f>
        <v>#REF!</v>
      </c>
      <c r="FH6" s="241"/>
      <c r="FI6" s="241"/>
      <c r="FJ6" s="241"/>
      <c r="FK6" s="241"/>
      <c r="FL6" s="241"/>
      <c r="FM6" s="169">
        <f>FN5</f>
        <v>0</v>
      </c>
      <c r="FN6" s="169"/>
      <c r="FO6" s="170">
        <f>MAX(0,FN6-FM6)</f>
        <v>0</v>
      </c>
      <c r="FP6" s="179">
        <f>FO6-FO5</f>
        <v>0</v>
      </c>
      <c r="FQ6" s="180" t="e">
        <f>(FO6/#REF!)*100</f>
        <v>#REF!</v>
      </c>
      <c r="FR6" s="169">
        <f>FS5</f>
        <v>0</v>
      </c>
      <c r="FS6" s="169"/>
      <c r="FT6" s="170">
        <f>MAX(0,FS6-FR6)</f>
        <v>0</v>
      </c>
      <c r="FU6" s="179">
        <f>FT6-FT5</f>
        <v>0</v>
      </c>
      <c r="FV6" s="180" t="e">
        <f>(FT6/#REF!)*100</f>
        <v>#REF!</v>
      </c>
      <c r="FW6" s="169">
        <f>FX5</f>
        <v>0</v>
      </c>
      <c r="FX6" s="169"/>
      <c r="FY6" s="170">
        <f>MAX(0,FX6-FW6)</f>
        <v>0</v>
      </c>
      <c r="FZ6" s="179">
        <f>FY6-FY5</f>
        <v>0</v>
      </c>
      <c r="GA6" s="180" t="e">
        <f>(FY6/#REF!)*100</f>
        <v>#REF!</v>
      </c>
      <c r="GB6" s="219"/>
      <c r="GC6" s="225">
        <f t="shared" ref="GC6:GC35" si="1">SUM(E6+J6)</f>
        <v>9082</v>
      </c>
      <c r="GD6" s="222"/>
      <c r="GE6" s="225">
        <f t="shared" ref="GE6:GE35" si="2">SUM(T6+Y6+EA6+EF6+EK6+EP6)</f>
        <v>7718</v>
      </c>
      <c r="GF6" s="222"/>
      <c r="GG6" s="225">
        <f t="shared" ref="GG6:GG35" si="3">SUM(AO6+AT6)</f>
        <v>3500</v>
      </c>
      <c r="GH6" s="222"/>
      <c r="GI6" s="225">
        <f t="shared" ref="GI6:GI35" si="4">SUM(AY6+BD6+BI6)</f>
        <v>1138</v>
      </c>
      <c r="GJ6" s="222"/>
      <c r="GK6" s="225">
        <f t="shared" ref="GK6:GK35" si="5">SUM(BN6+BS6+EU6)</f>
        <v>730</v>
      </c>
      <c r="GL6" s="222"/>
      <c r="GM6" s="225">
        <f t="shared" ref="GM6:GM35" si="6">SUM(EZ6+FE6)</f>
        <v>0</v>
      </c>
      <c r="GN6" s="222"/>
    </row>
    <row r="7" spans="1:196" s="3" customFormat="1" ht="13.5" customHeight="1">
      <c r="A7" s="213">
        <v>3</v>
      </c>
      <c r="B7" s="216" t="e">
        <f>#REF!</f>
        <v>#REF!</v>
      </c>
      <c r="C7" s="211">
        <f t="shared" ref="C7:C35" si="7">D6</f>
        <v>27423532</v>
      </c>
      <c r="D7" s="167">
        <v>27427870</v>
      </c>
      <c r="E7" s="168">
        <f t="shared" ref="E7:E35" si="8">MAX(0,D7-C7)</f>
        <v>4338</v>
      </c>
      <c r="F7" s="175">
        <f t="shared" ref="F7:F34" si="9">E7-E6</f>
        <v>22</v>
      </c>
      <c r="G7" s="176" t="e">
        <f>(E7/#REF!)*100</f>
        <v>#REF!</v>
      </c>
      <c r="H7" s="186">
        <f t="shared" ref="H7:H35" si="10">I6</f>
        <v>25364558</v>
      </c>
      <c r="I7" s="167">
        <v>25369222</v>
      </c>
      <c r="J7" s="167">
        <f t="shared" ref="J7:J35" si="11">MAX(0,I7-H7)</f>
        <v>4664</v>
      </c>
      <c r="K7" s="187">
        <f t="shared" ref="K7:K34" si="12">J7-J6</f>
        <v>-102</v>
      </c>
      <c r="L7" s="188" t="e">
        <f>(J7/#REF!)*100</f>
        <v>#REF!</v>
      </c>
      <c r="M7" s="172">
        <f t="shared" ref="M7:M35" si="13">N6</f>
        <v>93204738</v>
      </c>
      <c r="N7" s="169">
        <v>93217450</v>
      </c>
      <c r="O7" s="170">
        <f t="shared" ref="O7:O35" si="14">MAX(0,N7-M7)</f>
        <v>12712</v>
      </c>
      <c r="P7" s="179">
        <f t="shared" ref="P7:P34" si="15">O7-O6</f>
        <v>168</v>
      </c>
      <c r="Q7" s="180" t="e">
        <f>(O7/#REF!)*100</f>
        <v>#REF!</v>
      </c>
      <c r="R7" s="351">
        <f t="shared" ref="R7:R35" si="16">S6</f>
        <v>3293000</v>
      </c>
      <c r="S7" s="347">
        <v>3295500</v>
      </c>
      <c r="T7" s="352">
        <f t="shared" ref="T7:T35" si="17">MAX(0,S7-R7)</f>
        <v>2500</v>
      </c>
      <c r="U7" s="353">
        <f t="shared" ref="U7:U34" si="18">T7-T6</f>
        <v>100</v>
      </c>
      <c r="V7" s="354" t="e">
        <f>(T7/#REF!)*100</f>
        <v>#REF!</v>
      </c>
      <c r="W7" s="169">
        <f t="shared" ref="W7:W35" si="19">X6</f>
        <v>4409465</v>
      </c>
      <c r="X7" s="169">
        <v>4412499</v>
      </c>
      <c r="Y7" s="170">
        <f t="shared" ref="Y7:Y35" si="20">MAX(0,X7-W7)</f>
        <v>3034</v>
      </c>
      <c r="Z7" s="179">
        <f t="shared" ref="Z7:Z34" si="21">Y7-Y6</f>
        <v>-34</v>
      </c>
      <c r="AA7" s="180" t="e">
        <f>(Y7/#REF!)*100</f>
        <v>#REF!</v>
      </c>
      <c r="AB7" s="347">
        <f t="shared" ref="AB7:AB35" si="22">AC6</f>
        <v>2864200</v>
      </c>
      <c r="AC7" s="347">
        <v>2866600</v>
      </c>
      <c r="AD7" s="352">
        <f t="shared" si="0"/>
        <v>2400</v>
      </c>
      <c r="AE7" s="357">
        <f>AD7/WATER!V8</f>
        <v>6.0150375939849621</v>
      </c>
      <c r="AF7" s="353">
        <f t="shared" ref="AF7:AF34" si="23">AD7-AD6</f>
        <v>0</v>
      </c>
      <c r="AG7" s="354" t="e">
        <f>(AD7/#REF!)*100</f>
        <v>#REF!</v>
      </c>
      <c r="AH7" s="169">
        <f t="shared" ref="AH7:AH35" si="24">AI6</f>
        <v>1134837</v>
      </c>
      <c r="AI7" s="169">
        <v>1135321</v>
      </c>
      <c r="AJ7" s="170">
        <f t="shared" ref="AJ7:AJ35" si="25">MAX(0,AI7-AH7)</f>
        <v>484</v>
      </c>
      <c r="AK7" s="179">
        <f t="shared" ref="AK7:AK34" si="26">AJ7-AJ6</f>
        <v>19</v>
      </c>
      <c r="AL7" s="180" t="e">
        <f>(AJ7/#REF!)*100</f>
        <v>#REF!</v>
      </c>
      <c r="AM7" s="347">
        <f t="shared" ref="AM7:AM35" si="27">AN6</f>
        <v>1162700</v>
      </c>
      <c r="AN7" s="347">
        <v>1163300</v>
      </c>
      <c r="AO7" s="352">
        <f t="shared" ref="AO7:AO35" si="28">MAX(0,AN7-AM7)</f>
        <v>600</v>
      </c>
      <c r="AP7" s="353">
        <f t="shared" ref="AP7:AP34" si="29">AO7-AO6</f>
        <v>-100</v>
      </c>
      <c r="AQ7" s="354" t="e">
        <f>(AO7/#REF!)*100</f>
        <v>#REF!</v>
      </c>
      <c r="AR7" s="169">
        <f t="shared" ref="AR7:AR35" si="30">AS6</f>
        <v>2615500</v>
      </c>
      <c r="AS7" s="169">
        <v>2618100</v>
      </c>
      <c r="AT7" s="170">
        <f t="shared" ref="AT7:AT35" si="31">MAX(0,AS7-AR7)</f>
        <v>2600</v>
      </c>
      <c r="AU7" s="179">
        <f t="shared" ref="AU7:AU34" si="32">AT7-AT6</f>
        <v>-200</v>
      </c>
      <c r="AV7" s="180" t="e">
        <f>(AT7/#REF!)*100</f>
        <v>#REF!</v>
      </c>
      <c r="AW7" s="347">
        <f t="shared" ref="AW7:AW35" si="33">AX6</f>
        <v>48770</v>
      </c>
      <c r="AX7" s="347">
        <v>49235</v>
      </c>
      <c r="AY7" s="352">
        <f t="shared" ref="AY7:AY35" si="34">MAX(0,AX7-AW7)</f>
        <v>465</v>
      </c>
      <c r="AZ7" s="353">
        <f t="shared" ref="AZ7:AZ34" si="35">AY7-AY6</f>
        <v>27</v>
      </c>
      <c r="BA7" s="354" t="e">
        <f>(AY7/#REF!)*100</f>
        <v>#REF!</v>
      </c>
      <c r="BB7" s="169">
        <f t="shared" ref="BB7:BB35" si="36">BC6</f>
        <v>1032800</v>
      </c>
      <c r="BC7" s="169">
        <v>1033200</v>
      </c>
      <c r="BD7" s="170">
        <f t="shared" ref="BD7:BD35" si="37">MAX(0,BC7-BB7)</f>
        <v>400</v>
      </c>
      <c r="BE7" s="179">
        <f t="shared" ref="BE7:BE34" si="38">BD7-BD6</f>
        <v>0</v>
      </c>
      <c r="BF7" s="180" t="e">
        <f>(BD7/#REF!)*100</f>
        <v>#REF!</v>
      </c>
      <c r="BG7" s="347">
        <f t="shared" ref="BG7:BG35" si="39">BH6</f>
        <v>1099300</v>
      </c>
      <c r="BH7" s="347">
        <v>1099600</v>
      </c>
      <c r="BI7" s="352">
        <f t="shared" ref="BI7:BI35" si="40">MAX(0,BH7-BG7)</f>
        <v>300</v>
      </c>
      <c r="BJ7" s="353">
        <f t="shared" ref="BJ7:BJ34" si="41">BI7-BI6</f>
        <v>0</v>
      </c>
      <c r="BK7" s="354" t="e">
        <f>(BI7/#REF!)*100</f>
        <v>#REF!</v>
      </c>
      <c r="BL7" s="169">
        <f t="shared" ref="BL7:BL35" si="42">BM6</f>
        <v>1642200</v>
      </c>
      <c r="BM7" s="169">
        <v>1642800</v>
      </c>
      <c r="BN7" s="170">
        <f t="shared" ref="BN7:BN35" si="43">MAX(0,BM7-BL7)</f>
        <v>600</v>
      </c>
      <c r="BO7" s="179">
        <f t="shared" ref="BO7:BO34" si="44">BN7-BN6</f>
        <v>0</v>
      </c>
      <c r="BP7" s="180" t="e">
        <f>(BN7/#REF!)*100</f>
        <v>#REF!</v>
      </c>
      <c r="BQ7" s="347">
        <f t="shared" ref="BQ7:BQ35" si="45">BR6</f>
        <v>149990</v>
      </c>
      <c r="BR7" s="347">
        <v>150140</v>
      </c>
      <c r="BS7" s="352">
        <f t="shared" ref="BS7:BS35" si="46">MAX(0,BR7-BQ7)</f>
        <v>150</v>
      </c>
      <c r="BT7" s="353">
        <f t="shared" ref="BT7:BT34" si="47">BS7-BS6</f>
        <v>20</v>
      </c>
      <c r="BU7" s="354" t="e">
        <f>(BS7/#REF!)*100</f>
        <v>#REF!</v>
      </c>
      <c r="BV7" s="169">
        <f t="shared" ref="BV7:BV35" si="48">BW6</f>
        <v>623320</v>
      </c>
      <c r="BW7" s="169">
        <v>623750</v>
      </c>
      <c r="BX7" s="170">
        <f t="shared" ref="BX7:BX35" si="49">MAX(0,BW7-BV7)</f>
        <v>430</v>
      </c>
      <c r="BY7" s="179">
        <f t="shared" ref="BY7:BY34" si="50">BX7-BX6</f>
        <v>70</v>
      </c>
      <c r="BZ7" s="180" t="e">
        <f>(BX7/#REF!)*100</f>
        <v>#REF!</v>
      </c>
      <c r="CA7" s="347">
        <f t="shared" ref="CA7:CA35" si="51">CB6</f>
        <v>1189300</v>
      </c>
      <c r="CB7" s="347">
        <v>1190500</v>
      </c>
      <c r="CC7" s="352">
        <f t="shared" ref="CC7:CC35" si="52">MAX(0,CB7-CA7)</f>
        <v>1200</v>
      </c>
      <c r="CD7" s="353">
        <f t="shared" ref="CD7:CD34" si="53">CC7-CC6</f>
        <v>0</v>
      </c>
      <c r="CE7" s="354" t="e">
        <f>(CC7/#REF!)*100</f>
        <v>#REF!</v>
      </c>
      <c r="CF7" s="169">
        <f t="shared" ref="CF7:CF35" si="54">CG6</f>
        <v>393300</v>
      </c>
      <c r="CG7" s="169">
        <v>393810</v>
      </c>
      <c r="CH7" s="170">
        <f t="shared" ref="CH7:CH35" si="55">MAX(0,CG7-CF7)</f>
        <v>510</v>
      </c>
      <c r="CI7" s="179">
        <f t="shared" ref="CI7:CI34" si="56">CH7-CH6</f>
        <v>0</v>
      </c>
      <c r="CJ7" s="180" t="e">
        <f>(CH7/#REF!)*100</f>
        <v>#REF!</v>
      </c>
      <c r="CK7" s="170">
        <f t="shared" ref="CK7:CK35" si="57">CL6</f>
        <v>904940</v>
      </c>
      <c r="CL7" s="170">
        <v>906090</v>
      </c>
      <c r="CM7" s="170">
        <f t="shared" ref="CM7:CM35" si="58">MAX(0,CL7-CK7)</f>
        <v>1150</v>
      </c>
      <c r="CN7" s="179">
        <f t="shared" ref="CN7:CN34" si="59">CM7-CM6</f>
        <v>-30</v>
      </c>
      <c r="CO7" s="180" t="e">
        <f>(CM7/#REF!)*100</f>
        <v>#REF!</v>
      </c>
      <c r="CP7" s="360">
        <f>CQ6</f>
        <v>752120</v>
      </c>
      <c r="CQ7" s="360">
        <v>753080</v>
      </c>
      <c r="CR7" s="364">
        <f>MAX(0,CQ7-CP7)</f>
        <v>960</v>
      </c>
      <c r="CS7" s="365">
        <f t="shared" ref="CS7:CS34" si="60">CR7-CR6</f>
        <v>-110</v>
      </c>
      <c r="CT7" s="366" t="e">
        <f>(CR7/#REF!)*100</f>
        <v>#REF!</v>
      </c>
      <c r="CU7" s="169">
        <f t="shared" ref="CU7:CU35" si="61">CV6</f>
        <v>620610</v>
      </c>
      <c r="CV7" s="169">
        <v>621360</v>
      </c>
      <c r="CW7" s="170">
        <f t="shared" ref="CW7:CW35" si="62">MAX(0,CV7-CU7)</f>
        <v>750</v>
      </c>
      <c r="CX7" s="179">
        <f t="shared" ref="CX7:CX34" si="63">CW7-CW6</f>
        <v>50</v>
      </c>
      <c r="CY7" s="180" t="e">
        <f>(CW7/#REF!)*100</f>
        <v>#REF!</v>
      </c>
      <c r="CZ7" s="360">
        <f t="shared" ref="CZ7:CZ35" si="64">DA6</f>
        <v>1038800</v>
      </c>
      <c r="DA7" s="360">
        <v>1039900</v>
      </c>
      <c r="DB7" s="368">
        <f t="shared" ref="DB7:DB35" si="65">MAX(0,DA7-CZ7)</f>
        <v>1100</v>
      </c>
      <c r="DC7" s="365">
        <f t="shared" ref="DC7:DC34" si="66">DB7-DB6</f>
        <v>0</v>
      </c>
      <c r="DD7" s="366" t="e">
        <f>(DB7/#REF!)*100</f>
        <v>#REF!</v>
      </c>
      <c r="DE7" s="169">
        <f t="shared" ref="DE7:DE35" si="67">DF6</f>
        <v>797960</v>
      </c>
      <c r="DF7" s="169">
        <v>798760</v>
      </c>
      <c r="DG7" s="170">
        <f t="shared" ref="DG7:DG35" si="68">MAX(0,DF7-DE7)</f>
        <v>800</v>
      </c>
      <c r="DH7" s="179">
        <f t="shared" ref="DH7:DH34" si="69">DG7-DG6</f>
        <v>-80</v>
      </c>
      <c r="DI7" s="180" t="e">
        <f>(DG7/#REF!)*100</f>
        <v>#REF!</v>
      </c>
      <c r="DJ7" s="360">
        <f t="shared" ref="DJ7:DJ35" si="70">DK6</f>
        <v>687670</v>
      </c>
      <c r="DK7" s="360">
        <v>688280</v>
      </c>
      <c r="DL7" s="368">
        <f t="shared" ref="DL7:DL35" si="71">MAX(0,DK7-DJ7)</f>
        <v>610</v>
      </c>
      <c r="DM7" s="365">
        <f t="shared" ref="DM7:DM34" si="72">DL7-DL6</f>
        <v>-20</v>
      </c>
      <c r="DN7" s="366" t="e">
        <f>(DL7/#REF!)*100</f>
        <v>#REF!</v>
      </c>
      <c r="DO7" s="169">
        <f t="shared" ref="DO7:DO35" si="73">DP6</f>
        <v>372830</v>
      </c>
      <c r="DP7" s="169">
        <v>373170</v>
      </c>
      <c r="DQ7" s="170">
        <f t="shared" ref="DQ7:DQ35" si="74">MAX(0,DP7-DO7)</f>
        <v>340</v>
      </c>
      <c r="DR7" s="179">
        <f t="shared" ref="DR7:DR34" si="75">DQ7-DQ6</f>
        <v>20</v>
      </c>
      <c r="DS7" s="180" t="e">
        <f>(DQ7/#REF!)*100</f>
        <v>#REF!</v>
      </c>
      <c r="DT7" s="360">
        <f t="shared" ref="DT7:DT35" si="76">DU6</f>
        <v>126180</v>
      </c>
      <c r="DU7" s="360">
        <v>126350</v>
      </c>
      <c r="DV7" s="368">
        <f t="shared" ref="DV7:DV35" si="77">MAX(0,DU7-DT7)</f>
        <v>170</v>
      </c>
      <c r="DW7" s="365">
        <f t="shared" ref="DW7:DW34" si="78">DV7-DV6</f>
        <v>0</v>
      </c>
      <c r="DX7" s="366" t="e">
        <f>(DV7/#REF!)*100</f>
        <v>#REF!</v>
      </c>
      <c r="DY7" s="169">
        <f t="shared" ref="DY7:DY35" si="79">DZ6</f>
        <v>809170</v>
      </c>
      <c r="DZ7" s="169">
        <v>810250</v>
      </c>
      <c r="EA7" s="170">
        <f t="shared" ref="EA7:EA35" si="80">MAX(0,DZ7-DY7)</f>
        <v>1080</v>
      </c>
      <c r="EB7" s="179">
        <f t="shared" ref="EB7:EB34" si="81">EA7-EA6</f>
        <v>70</v>
      </c>
      <c r="EC7" s="180" t="e">
        <f>(EA7/#REF!)*100</f>
        <v>#REF!</v>
      </c>
      <c r="ED7" s="360">
        <f t="shared" ref="ED7:ED35" si="82">EE6</f>
        <v>256320</v>
      </c>
      <c r="EE7" s="360">
        <v>256650</v>
      </c>
      <c r="EF7" s="368">
        <f t="shared" ref="EF7:EF35" si="83">MAX(0,EE7-ED7)</f>
        <v>330</v>
      </c>
      <c r="EG7" s="365">
        <f t="shared" ref="EG7:EG34" si="84">EF7-EF6</f>
        <v>20</v>
      </c>
      <c r="EH7" s="366" t="e">
        <f>(EF7/#REF!)*100</f>
        <v>#REF!</v>
      </c>
      <c r="EI7" s="169">
        <f t="shared" ref="EI7:EI35" si="85">EJ6</f>
        <v>292220</v>
      </c>
      <c r="EJ7" s="169">
        <v>292600</v>
      </c>
      <c r="EK7" s="170">
        <f t="shared" ref="EK7:EK35" si="86">MAX(0,EJ7-EI7)</f>
        <v>380</v>
      </c>
      <c r="EL7" s="179">
        <f t="shared" ref="EL7:EL34" si="87">EK7-EK6</f>
        <v>30</v>
      </c>
      <c r="EM7" s="180" t="e">
        <f>(EK7/#REF!)*100</f>
        <v>#REF!</v>
      </c>
      <c r="EN7" s="360">
        <f t="shared" ref="EN7:EN35" si="88">EO6</f>
        <v>474620</v>
      </c>
      <c r="EO7" s="360">
        <v>475180</v>
      </c>
      <c r="EP7" s="368">
        <f t="shared" ref="EP7:EP35" si="89">MAX(0,EO7-EN7)</f>
        <v>560</v>
      </c>
      <c r="EQ7" s="365">
        <f t="shared" ref="EQ7:EQ34" si="90">EP7-EP6</f>
        <v>-20</v>
      </c>
      <c r="ER7" s="366" t="e">
        <f>(EP7/#REF!)*100</f>
        <v>#REF!</v>
      </c>
      <c r="ES7" s="169">
        <f t="shared" ref="ES7:ES35" si="91">ET6</f>
        <v>0</v>
      </c>
      <c r="ET7" s="169"/>
      <c r="EU7" s="170">
        <f t="shared" ref="EU7:EU35" si="92">MAX(0,ET7-ES7)</f>
        <v>0</v>
      </c>
      <c r="EV7" s="179">
        <f t="shared" ref="EV7:EV34" si="93">EU7-EU6</f>
        <v>0</v>
      </c>
      <c r="EW7" s="180" t="e">
        <f>(EU7/#REF!)*100</f>
        <v>#REF!</v>
      </c>
      <c r="EX7" s="169">
        <f t="shared" ref="EX7:EX35" si="94">EY6</f>
        <v>0</v>
      </c>
      <c r="EY7" s="169"/>
      <c r="EZ7" s="170">
        <f t="shared" ref="EZ7:EZ35" si="95">MAX(0,EY7-EX7)</f>
        <v>0</v>
      </c>
      <c r="FA7" s="179">
        <f t="shared" ref="FA7:FA35" si="96">EZ7-EZ6</f>
        <v>0</v>
      </c>
      <c r="FB7" s="180" t="e">
        <f>(EZ7/#REF!)*100</f>
        <v>#REF!</v>
      </c>
      <c r="FC7" s="169">
        <f t="shared" ref="FC7:FC35" si="97">FD6</f>
        <v>0</v>
      </c>
      <c r="FD7" s="169"/>
      <c r="FE7" s="170">
        <f t="shared" ref="FE7:FE35" si="98">MAX(0,FD7-FC7)</f>
        <v>0</v>
      </c>
      <c r="FF7" s="179">
        <f t="shared" ref="FF7:FF35" si="99">FE7-FE6</f>
        <v>0</v>
      </c>
      <c r="FG7" s="180" t="e">
        <f>(FE7/#REF!)*100</f>
        <v>#REF!</v>
      </c>
      <c r="FH7" s="241"/>
      <c r="FI7" s="241"/>
      <c r="FJ7" s="241"/>
      <c r="FK7" s="241"/>
      <c r="FL7" s="241"/>
      <c r="FM7" s="169">
        <f t="shared" ref="FM7:FM35" si="100">FN6</f>
        <v>0</v>
      </c>
      <c r="FN7" s="169"/>
      <c r="FO7" s="170">
        <f t="shared" ref="FO7:FO35" si="101">MAX(0,FN7-FM7)</f>
        <v>0</v>
      </c>
      <c r="FP7" s="179">
        <f t="shared" ref="FP7:FP35" si="102">FO7-FO6</f>
        <v>0</v>
      </c>
      <c r="FQ7" s="180" t="e">
        <f>(FO7/#REF!)*100</f>
        <v>#REF!</v>
      </c>
      <c r="FR7" s="169">
        <f t="shared" ref="FR7:FR35" si="103">FS6</f>
        <v>0</v>
      </c>
      <c r="FS7" s="169"/>
      <c r="FT7" s="170">
        <f t="shared" ref="FT7:FT35" si="104">MAX(0,FS7-FR7)</f>
        <v>0</v>
      </c>
      <c r="FU7" s="179">
        <f t="shared" ref="FU7:FU35" si="105">FT7-FT6</f>
        <v>0</v>
      </c>
      <c r="FV7" s="180" t="e">
        <f>(FT7/#REF!)*100</f>
        <v>#REF!</v>
      </c>
      <c r="FW7" s="169">
        <f t="shared" ref="FW7:FW35" si="106">FX6</f>
        <v>0</v>
      </c>
      <c r="FX7" s="169"/>
      <c r="FY7" s="170">
        <f t="shared" ref="FY7:FY35" si="107">MAX(0,FX7-FW7)</f>
        <v>0</v>
      </c>
      <c r="FZ7" s="179">
        <f t="shared" ref="FZ7:FZ35" si="108">FY7-FY6</f>
        <v>0</v>
      </c>
      <c r="GA7" s="180" t="e">
        <f>(FY7/#REF!)*100</f>
        <v>#REF!</v>
      </c>
      <c r="GB7" s="219"/>
      <c r="GC7" s="225">
        <f t="shared" si="1"/>
        <v>9002</v>
      </c>
      <c r="GD7" s="222"/>
      <c r="GE7" s="225">
        <f t="shared" si="2"/>
        <v>7884</v>
      </c>
      <c r="GF7" s="222"/>
      <c r="GG7" s="225">
        <f t="shared" si="3"/>
        <v>3200</v>
      </c>
      <c r="GH7" s="222"/>
      <c r="GI7" s="225">
        <f t="shared" si="4"/>
        <v>1165</v>
      </c>
      <c r="GJ7" s="222"/>
      <c r="GK7" s="225">
        <f t="shared" si="5"/>
        <v>750</v>
      </c>
      <c r="GL7" s="222"/>
      <c r="GM7" s="225">
        <f t="shared" si="6"/>
        <v>0</v>
      </c>
      <c r="GN7" s="222"/>
    </row>
    <row r="8" spans="1:196" s="3" customFormat="1" ht="13.5" customHeight="1">
      <c r="A8" s="213">
        <v>4</v>
      </c>
      <c r="B8" s="216" t="e">
        <f>#REF!</f>
        <v>#REF!</v>
      </c>
      <c r="C8" s="211">
        <f t="shared" si="7"/>
        <v>27427870</v>
      </c>
      <c r="D8" s="167">
        <v>27432219</v>
      </c>
      <c r="E8" s="168">
        <f t="shared" si="8"/>
        <v>4349</v>
      </c>
      <c r="F8" s="175">
        <f t="shared" si="9"/>
        <v>11</v>
      </c>
      <c r="G8" s="176" t="e">
        <f>(E8/#REF!)*100</f>
        <v>#REF!</v>
      </c>
      <c r="H8" s="186">
        <f t="shared" si="10"/>
        <v>25369222</v>
      </c>
      <c r="I8" s="167">
        <v>25373883</v>
      </c>
      <c r="J8" s="167">
        <f t="shared" si="11"/>
        <v>4661</v>
      </c>
      <c r="K8" s="187">
        <f t="shared" si="12"/>
        <v>-3</v>
      </c>
      <c r="L8" s="188" t="e">
        <f>(J8/#REF!)*100</f>
        <v>#REF!</v>
      </c>
      <c r="M8" s="172">
        <f t="shared" si="13"/>
        <v>93217450</v>
      </c>
      <c r="N8" s="169">
        <v>93229164</v>
      </c>
      <c r="O8" s="170">
        <f t="shared" si="14"/>
        <v>11714</v>
      </c>
      <c r="P8" s="179">
        <f t="shared" si="15"/>
        <v>-998</v>
      </c>
      <c r="Q8" s="180" t="e">
        <f>(O8/#REF!)*100</f>
        <v>#REF!</v>
      </c>
      <c r="R8" s="351">
        <f>S7</f>
        <v>3295500</v>
      </c>
      <c r="S8" s="347">
        <v>3297800</v>
      </c>
      <c r="T8" s="352">
        <f t="shared" si="17"/>
        <v>2300</v>
      </c>
      <c r="U8" s="353">
        <f t="shared" si="18"/>
        <v>-200</v>
      </c>
      <c r="V8" s="354" t="e">
        <f>(T8/#REF!)*100</f>
        <v>#REF!</v>
      </c>
      <c r="W8" s="169">
        <f t="shared" si="19"/>
        <v>4412499</v>
      </c>
      <c r="X8" s="169">
        <v>4415459</v>
      </c>
      <c r="Y8" s="170">
        <f t="shared" si="20"/>
        <v>2960</v>
      </c>
      <c r="Z8" s="179">
        <f t="shared" si="21"/>
        <v>-74</v>
      </c>
      <c r="AA8" s="180" t="e">
        <f>(Y8/#REF!)*100</f>
        <v>#REF!</v>
      </c>
      <c r="AB8" s="347">
        <f t="shared" si="22"/>
        <v>2866600</v>
      </c>
      <c r="AC8" s="347">
        <v>2868700</v>
      </c>
      <c r="AD8" s="352">
        <f t="shared" si="0"/>
        <v>2100</v>
      </c>
      <c r="AE8" s="357">
        <f>AD8/WATER!V9</f>
        <v>4.5161290322580649</v>
      </c>
      <c r="AF8" s="353">
        <f t="shared" si="23"/>
        <v>-300</v>
      </c>
      <c r="AG8" s="354" t="e">
        <f>(AD8/#REF!)*100</f>
        <v>#REF!</v>
      </c>
      <c r="AH8" s="169">
        <f t="shared" si="24"/>
        <v>1135321</v>
      </c>
      <c r="AI8" s="169">
        <v>1135825</v>
      </c>
      <c r="AJ8" s="170">
        <f t="shared" si="25"/>
        <v>504</v>
      </c>
      <c r="AK8" s="179">
        <f t="shared" si="26"/>
        <v>20</v>
      </c>
      <c r="AL8" s="180" t="e">
        <f>(AJ8/#REF!)*100</f>
        <v>#REF!</v>
      </c>
      <c r="AM8" s="347">
        <f t="shared" si="27"/>
        <v>1163300</v>
      </c>
      <c r="AN8" s="347">
        <v>1164100</v>
      </c>
      <c r="AO8" s="352">
        <f t="shared" si="28"/>
        <v>800</v>
      </c>
      <c r="AP8" s="353">
        <f t="shared" si="29"/>
        <v>200</v>
      </c>
      <c r="AQ8" s="354" t="e">
        <f>(AO8/#REF!)*100</f>
        <v>#REF!</v>
      </c>
      <c r="AR8" s="169">
        <f t="shared" si="30"/>
        <v>2618100</v>
      </c>
      <c r="AS8" s="169">
        <v>2620600</v>
      </c>
      <c r="AT8" s="170">
        <f t="shared" si="31"/>
        <v>2500</v>
      </c>
      <c r="AU8" s="179">
        <f t="shared" si="32"/>
        <v>-100</v>
      </c>
      <c r="AV8" s="180" t="e">
        <f>(AT8/#REF!)*100</f>
        <v>#REF!</v>
      </c>
      <c r="AW8" s="347">
        <f t="shared" si="33"/>
        <v>49235</v>
      </c>
      <c r="AX8" s="347">
        <v>49661</v>
      </c>
      <c r="AY8" s="352">
        <f t="shared" si="34"/>
        <v>426</v>
      </c>
      <c r="AZ8" s="353">
        <f t="shared" si="35"/>
        <v>-39</v>
      </c>
      <c r="BA8" s="354" t="e">
        <f>(AY8/#REF!)*100</f>
        <v>#REF!</v>
      </c>
      <c r="BB8" s="169">
        <f t="shared" si="36"/>
        <v>1033200</v>
      </c>
      <c r="BC8" s="169">
        <v>1033600</v>
      </c>
      <c r="BD8" s="170">
        <f t="shared" si="37"/>
        <v>400</v>
      </c>
      <c r="BE8" s="179">
        <f t="shared" si="38"/>
        <v>0</v>
      </c>
      <c r="BF8" s="180" t="e">
        <f>(BD8/#REF!)*100</f>
        <v>#REF!</v>
      </c>
      <c r="BG8" s="347">
        <f t="shared" si="39"/>
        <v>1099600</v>
      </c>
      <c r="BH8" s="347">
        <v>1099900</v>
      </c>
      <c r="BI8" s="352">
        <f t="shared" si="40"/>
        <v>300</v>
      </c>
      <c r="BJ8" s="353">
        <f t="shared" si="41"/>
        <v>0</v>
      </c>
      <c r="BK8" s="354" t="e">
        <f>(BI8/#REF!)*100</f>
        <v>#REF!</v>
      </c>
      <c r="BL8" s="169">
        <f t="shared" si="42"/>
        <v>1642800</v>
      </c>
      <c r="BM8" s="169">
        <v>1643400</v>
      </c>
      <c r="BN8" s="170">
        <f t="shared" si="43"/>
        <v>600</v>
      </c>
      <c r="BO8" s="179">
        <f t="shared" si="44"/>
        <v>0</v>
      </c>
      <c r="BP8" s="180" t="e">
        <f>(BN8/#REF!)*100</f>
        <v>#REF!</v>
      </c>
      <c r="BQ8" s="347">
        <f t="shared" si="45"/>
        <v>150140</v>
      </c>
      <c r="BR8" s="347">
        <v>150260</v>
      </c>
      <c r="BS8" s="352">
        <f t="shared" si="46"/>
        <v>120</v>
      </c>
      <c r="BT8" s="353">
        <f t="shared" si="47"/>
        <v>-30</v>
      </c>
      <c r="BU8" s="354" t="e">
        <f>(BS8/#REF!)*100</f>
        <v>#REF!</v>
      </c>
      <c r="BV8" s="169">
        <f t="shared" si="48"/>
        <v>623750</v>
      </c>
      <c r="BW8" s="169">
        <v>624140</v>
      </c>
      <c r="BX8" s="170">
        <f t="shared" si="49"/>
        <v>390</v>
      </c>
      <c r="BY8" s="179">
        <f t="shared" si="50"/>
        <v>-40</v>
      </c>
      <c r="BZ8" s="180" t="e">
        <f>(BX8/#REF!)*100</f>
        <v>#REF!</v>
      </c>
      <c r="CA8" s="347">
        <f t="shared" si="51"/>
        <v>1190500</v>
      </c>
      <c r="CB8" s="347">
        <v>1191700</v>
      </c>
      <c r="CC8" s="352">
        <f t="shared" si="52"/>
        <v>1200</v>
      </c>
      <c r="CD8" s="353">
        <f t="shared" si="53"/>
        <v>0</v>
      </c>
      <c r="CE8" s="354" t="e">
        <f>(CC8/#REF!)*100</f>
        <v>#REF!</v>
      </c>
      <c r="CF8" s="169">
        <f t="shared" si="54"/>
        <v>393810</v>
      </c>
      <c r="CG8" s="169">
        <v>394280</v>
      </c>
      <c r="CH8" s="170">
        <f t="shared" si="55"/>
        <v>470</v>
      </c>
      <c r="CI8" s="179">
        <f t="shared" si="56"/>
        <v>-40</v>
      </c>
      <c r="CJ8" s="180" t="e">
        <f>(CH8/#REF!)*100</f>
        <v>#REF!</v>
      </c>
      <c r="CK8" s="170">
        <f t="shared" si="57"/>
        <v>906090</v>
      </c>
      <c r="CL8" s="170">
        <v>907250</v>
      </c>
      <c r="CM8" s="170">
        <f t="shared" si="58"/>
        <v>1160</v>
      </c>
      <c r="CN8" s="179">
        <f t="shared" si="59"/>
        <v>10</v>
      </c>
      <c r="CO8" s="180" t="e">
        <f>(CM8/#REF!)*100</f>
        <v>#REF!</v>
      </c>
      <c r="CP8" s="360">
        <f>CQ7</f>
        <v>753080</v>
      </c>
      <c r="CQ8" s="360">
        <v>754140</v>
      </c>
      <c r="CR8" s="364">
        <f>MAX(0,CQ8-CP8)</f>
        <v>1060</v>
      </c>
      <c r="CS8" s="365">
        <f t="shared" si="60"/>
        <v>100</v>
      </c>
      <c r="CT8" s="366" t="e">
        <f>(CR8/#REF!)*100</f>
        <v>#REF!</v>
      </c>
      <c r="CU8" s="169">
        <f t="shared" si="61"/>
        <v>621360</v>
      </c>
      <c r="CV8" s="169">
        <v>622040</v>
      </c>
      <c r="CW8" s="170">
        <f t="shared" si="62"/>
        <v>680</v>
      </c>
      <c r="CX8" s="179">
        <f t="shared" si="63"/>
        <v>-70</v>
      </c>
      <c r="CY8" s="180" t="e">
        <f>(CW8/#REF!)*100</f>
        <v>#REF!</v>
      </c>
      <c r="CZ8" s="360">
        <f t="shared" si="64"/>
        <v>1039900</v>
      </c>
      <c r="DA8" s="360">
        <v>1040120</v>
      </c>
      <c r="DB8" s="368">
        <f t="shared" si="65"/>
        <v>220</v>
      </c>
      <c r="DC8" s="365">
        <f t="shared" si="66"/>
        <v>-880</v>
      </c>
      <c r="DD8" s="366" t="e">
        <f>(DB8/#REF!)*100</f>
        <v>#REF!</v>
      </c>
      <c r="DE8" s="169">
        <f t="shared" si="67"/>
        <v>798760</v>
      </c>
      <c r="DF8" s="169">
        <v>799480</v>
      </c>
      <c r="DG8" s="170">
        <f t="shared" si="68"/>
        <v>720</v>
      </c>
      <c r="DH8" s="179">
        <f t="shared" si="69"/>
        <v>-80</v>
      </c>
      <c r="DI8" s="180" t="e">
        <f>(DG8/#REF!)*100</f>
        <v>#REF!</v>
      </c>
      <c r="DJ8" s="360">
        <f t="shared" si="70"/>
        <v>688280</v>
      </c>
      <c r="DK8" s="360">
        <v>688890</v>
      </c>
      <c r="DL8" s="368">
        <f t="shared" si="71"/>
        <v>610</v>
      </c>
      <c r="DM8" s="365">
        <f t="shared" si="72"/>
        <v>0</v>
      </c>
      <c r="DN8" s="366" t="e">
        <f>(DL8/#REF!)*100</f>
        <v>#REF!</v>
      </c>
      <c r="DO8" s="169">
        <f t="shared" si="73"/>
        <v>373170</v>
      </c>
      <c r="DP8" s="169">
        <v>373540</v>
      </c>
      <c r="DQ8" s="170">
        <f t="shared" si="74"/>
        <v>370</v>
      </c>
      <c r="DR8" s="179">
        <f t="shared" si="75"/>
        <v>30</v>
      </c>
      <c r="DS8" s="180" t="e">
        <f>(DQ8/#REF!)*100</f>
        <v>#REF!</v>
      </c>
      <c r="DT8" s="360">
        <f t="shared" si="76"/>
        <v>126350</v>
      </c>
      <c r="DU8" s="360">
        <v>126490</v>
      </c>
      <c r="DV8" s="368">
        <f t="shared" si="77"/>
        <v>140</v>
      </c>
      <c r="DW8" s="365">
        <f t="shared" si="78"/>
        <v>-30</v>
      </c>
      <c r="DX8" s="366" t="e">
        <f>(DV8/#REF!)*100</f>
        <v>#REF!</v>
      </c>
      <c r="DY8" s="169">
        <f t="shared" si="79"/>
        <v>810250</v>
      </c>
      <c r="DZ8" s="169">
        <v>811220</v>
      </c>
      <c r="EA8" s="170">
        <f t="shared" si="80"/>
        <v>970</v>
      </c>
      <c r="EB8" s="179">
        <f t="shared" si="81"/>
        <v>-110</v>
      </c>
      <c r="EC8" s="180" t="e">
        <f>(EA8/#REF!)*100</f>
        <v>#REF!</v>
      </c>
      <c r="ED8" s="360">
        <f t="shared" si="82"/>
        <v>256650</v>
      </c>
      <c r="EE8" s="360">
        <v>256940</v>
      </c>
      <c r="EF8" s="368">
        <f t="shared" si="83"/>
        <v>290</v>
      </c>
      <c r="EG8" s="365">
        <f t="shared" si="84"/>
        <v>-40</v>
      </c>
      <c r="EH8" s="366" t="e">
        <f>(EF8/#REF!)*100</f>
        <v>#REF!</v>
      </c>
      <c r="EI8" s="169">
        <f t="shared" si="85"/>
        <v>292600</v>
      </c>
      <c r="EJ8" s="169">
        <v>292950</v>
      </c>
      <c r="EK8" s="170">
        <f t="shared" si="86"/>
        <v>350</v>
      </c>
      <c r="EL8" s="179">
        <f t="shared" si="87"/>
        <v>-30</v>
      </c>
      <c r="EM8" s="180" t="e">
        <f>(EK8/#REF!)*100</f>
        <v>#REF!</v>
      </c>
      <c r="EN8" s="360">
        <f t="shared" si="88"/>
        <v>475180</v>
      </c>
      <c r="EO8" s="360">
        <v>475750</v>
      </c>
      <c r="EP8" s="368">
        <f t="shared" si="89"/>
        <v>570</v>
      </c>
      <c r="EQ8" s="365">
        <f t="shared" si="90"/>
        <v>10</v>
      </c>
      <c r="ER8" s="366" t="e">
        <f>(EP8/#REF!)*100</f>
        <v>#REF!</v>
      </c>
      <c r="ES8" s="169">
        <f t="shared" si="91"/>
        <v>0</v>
      </c>
      <c r="ET8" s="169"/>
      <c r="EU8" s="170">
        <f t="shared" si="92"/>
        <v>0</v>
      </c>
      <c r="EV8" s="179">
        <f t="shared" si="93"/>
        <v>0</v>
      </c>
      <c r="EW8" s="180" t="e">
        <f>(EU8/#REF!)*100</f>
        <v>#REF!</v>
      </c>
      <c r="EX8" s="169">
        <f t="shared" si="94"/>
        <v>0</v>
      </c>
      <c r="EY8" s="169"/>
      <c r="EZ8" s="170">
        <f t="shared" si="95"/>
        <v>0</v>
      </c>
      <c r="FA8" s="179">
        <f t="shared" si="96"/>
        <v>0</v>
      </c>
      <c r="FB8" s="180" t="e">
        <f>(EZ8/#REF!)*100</f>
        <v>#REF!</v>
      </c>
      <c r="FC8" s="169">
        <f t="shared" si="97"/>
        <v>0</v>
      </c>
      <c r="FD8" s="169"/>
      <c r="FE8" s="170">
        <f t="shared" si="98"/>
        <v>0</v>
      </c>
      <c r="FF8" s="179">
        <f t="shared" si="99"/>
        <v>0</v>
      </c>
      <c r="FG8" s="180" t="e">
        <f>(FE8/#REF!)*100</f>
        <v>#REF!</v>
      </c>
      <c r="FH8" s="241"/>
      <c r="FI8" s="241"/>
      <c r="FJ8" s="241"/>
      <c r="FK8" s="241"/>
      <c r="FL8" s="241"/>
      <c r="FM8" s="169">
        <f t="shared" si="100"/>
        <v>0</v>
      </c>
      <c r="FN8" s="169"/>
      <c r="FO8" s="170">
        <f t="shared" si="101"/>
        <v>0</v>
      </c>
      <c r="FP8" s="179">
        <f t="shared" si="102"/>
        <v>0</v>
      </c>
      <c r="FQ8" s="180" t="e">
        <f>(FO8/#REF!)*100</f>
        <v>#REF!</v>
      </c>
      <c r="FR8" s="169">
        <f t="shared" si="103"/>
        <v>0</v>
      </c>
      <c r="FS8" s="169"/>
      <c r="FT8" s="170">
        <f t="shared" si="104"/>
        <v>0</v>
      </c>
      <c r="FU8" s="179">
        <f t="shared" si="105"/>
        <v>0</v>
      </c>
      <c r="FV8" s="180" t="e">
        <f>(FT8/#REF!)*100</f>
        <v>#REF!</v>
      </c>
      <c r="FW8" s="169">
        <f t="shared" si="106"/>
        <v>0</v>
      </c>
      <c r="FX8" s="169"/>
      <c r="FY8" s="170">
        <f t="shared" si="107"/>
        <v>0</v>
      </c>
      <c r="FZ8" s="179">
        <f t="shared" si="108"/>
        <v>0</v>
      </c>
      <c r="GA8" s="180" t="e">
        <f>(FY8/#REF!)*100</f>
        <v>#REF!</v>
      </c>
      <c r="GB8" s="219"/>
      <c r="GC8" s="225">
        <f t="shared" si="1"/>
        <v>9010</v>
      </c>
      <c r="GD8" s="222"/>
      <c r="GE8" s="225">
        <f t="shared" si="2"/>
        <v>7440</v>
      </c>
      <c r="GF8" s="222"/>
      <c r="GG8" s="225">
        <f t="shared" si="3"/>
        <v>3300</v>
      </c>
      <c r="GH8" s="222"/>
      <c r="GI8" s="225">
        <f t="shared" si="4"/>
        <v>1126</v>
      </c>
      <c r="GJ8" s="222"/>
      <c r="GK8" s="225">
        <f t="shared" si="5"/>
        <v>720</v>
      </c>
      <c r="GL8" s="222"/>
      <c r="GM8" s="225">
        <f t="shared" si="6"/>
        <v>0</v>
      </c>
      <c r="GN8" s="222"/>
    </row>
    <row r="9" spans="1:196" s="3" customFormat="1" ht="13.5" customHeight="1">
      <c r="A9" s="213">
        <v>5</v>
      </c>
      <c r="B9" s="216" t="e">
        <f>#REF!</f>
        <v>#REF!</v>
      </c>
      <c r="C9" s="211">
        <f t="shared" si="7"/>
        <v>27432219</v>
      </c>
      <c r="D9" s="167">
        <v>27436357</v>
      </c>
      <c r="E9" s="168">
        <f t="shared" si="8"/>
        <v>4138</v>
      </c>
      <c r="F9" s="175">
        <f t="shared" si="9"/>
        <v>-211</v>
      </c>
      <c r="G9" s="176" t="e">
        <f>(E9/#REF!)*100</f>
        <v>#REF!</v>
      </c>
      <c r="H9" s="186">
        <f t="shared" si="10"/>
        <v>25373883</v>
      </c>
      <c r="I9" s="167">
        <v>25378652</v>
      </c>
      <c r="J9" s="167">
        <f t="shared" si="11"/>
        <v>4769</v>
      </c>
      <c r="K9" s="187">
        <f t="shared" si="12"/>
        <v>108</v>
      </c>
      <c r="L9" s="188" t="e">
        <f>(J9/#REF!)*100</f>
        <v>#REF!</v>
      </c>
      <c r="M9" s="172">
        <f t="shared" si="13"/>
        <v>93229164</v>
      </c>
      <c r="N9" s="169">
        <v>93241486</v>
      </c>
      <c r="O9" s="170">
        <f t="shared" si="14"/>
        <v>12322</v>
      </c>
      <c r="P9" s="179">
        <f t="shared" si="15"/>
        <v>608</v>
      </c>
      <c r="Q9" s="180" t="e">
        <f>(O9/#REF!)*100</f>
        <v>#REF!</v>
      </c>
      <c r="R9" s="351">
        <f t="shared" si="16"/>
        <v>3297800</v>
      </c>
      <c r="S9" s="347">
        <v>3300300</v>
      </c>
      <c r="T9" s="352">
        <f t="shared" si="17"/>
        <v>2500</v>
      </c>
      <c r="U9" s="353">
        <f t="shared" si="18"/>
        <v>200</v>
      </c>
      <c r="V9" s="354" t="e">
        <f>(T9/#REF!)*100</f>
        <v>#REF!</v>
      </c>
      <c r="W9" s="169">
        <f t="shared" si="19"/>
        <v>4415459</v>
      </c>
      <c r="X9" s="169">
        <v>4418536</v>
      </c>
      <c r="Y9" s="170">
        <f t="shared" si="20"/>
        <v>3077</v>
      </c>
      <c r="Z9" s="179">
        <f t="shared" si="21"/>
        <v>117</v>
      </c>
      <c r="AA9" s="180" t="e">
        <f>(Y9/#REF!)*100</f>
        <v>#REF!</v>
      </c>
      <c r="AB9" s="347">
        <f t="shared" si="22"/>
        <v>2868700</v>
      </c>
      <c r="AC9" s="347">
        <v>2870600</v>
      </c>
      <c r="AD9" s="352">
        <f t="shared" si="0"/>
        <v>1900</v>
      </c>
      <c r="AE9" s="357">
        <f>AD9/WATER!V10</f>
        <v>4.5238095238095237</v>
      </c>
      <c r="AF9" s="353">
        <f t="shared" si="23"/>
        <v>-200</v>
      </c>
      <c r="AG9" s="354" t="e">
        <f>(AD9/#REF!)*100</f>
        <v>#REF!</v>
      </c>
      <c r="AH9" s="169">
        <f t="shared" si="24"/>
        <v>1135825</v>
      </c>
      <c r="AI9" s="169">
        <v>1136319</v>
      </c>
      <c r="AJ9" s="170">
        <f t="shared" si="25"/>
        <v>494</v>
      </c>
      <c r="AK9" s="179">
        <f t="shared" si="26"/>
        <v>-10</v>
      </c>
      <c r="AL9" s="180" t="e">
        <f>(AJ9/#REF!)*100</f>
        <v>#REF!</v>
      </c>
      <c r="AM9" s="347">
        <f t="shared" si="27"/>
        <v>1164100</v>
      </c>
      <c r="AN9" s="347">
        <v>1164800</v>
      </c>
      <c r="AO9" s="352">
        <f t="shared" si="28"/>
        <v>700</v>
      </c>
      <c r="AP9" s="353">
        <f t="shared" si="29"/>
        <v>-100</v>
      </c>
      <c r="AQ9" s="354" t="e">
        <f>(AO9/#REF!)*100</f>
        <v>#REF!</v>
      </c>
      <c r="AR9" s="169">
        <f t="shared" si="30"/>
        <v>2620600</v>
      </c>
      <c r="AS9" s="169">
        <v>2623500</v>
      </c>
      <c r="AT9" s="170">
        <f t="shared" si="31"/>
        <v>2900</v>
      </c>
      <c r="AU9" s="179">
        <f t="shared" si="32"/>
        <v>400</v>
      </c>
      <c r="AV9" s="180" t="e">
        <f>(AT9/#REF!)*100</f>
        <v>#REF!</v>
      </c>
      <c r="AW9" s="347">
        <f t="shared" si="33"/>
        <v>49661</v>
      </c>
      <c r="AX9" s="347">
        <v>50099</v>
      </c>
      <c r="AY9" s="352">
        <f t="shared" si="34"/>
        <v>438</v>
      </c>
      <c r="AZ9" s="353">
        <f t="shared" si="35"/>
        <v>12</v>
      </c>
      <c r="BA9" s="354" t="e">
        <f>(AY9/#REF!)*100</f>
        <v>#REF!</v>
      </c>
      <c r="BB9" s="169">
        <f t="shared" si="36"/>
        <v>1033600</v>
      </c>
      <c r="BC9" s="169">
        <v>1034100</v>
      </c>
      <c r="BD9" s="170">
        <f t="shared" si="37"/>
        <v>500</v>
      </c>
      <c r="BE9" s="179">
        <f t="shared" si="38"/>
        <v>100</v>
      </c>
      <c r="BF9" s="180" t="e">
        <f>(BD9/#REF!)*100</f>
        <v>#REF!</v>
      </c>
      <c r="BG9" s="347">
        <f t="shared" si="39"/>
        <v>1099900</v>
      </c>
      <c r="BH9" s="347">
        <v>1100200</v>
      </c>
      <c r="BI9" s="352">
        <f t="shared" si="40"/>
        <v>300</v>
      </c>
      <c r="BJ9" s="353">
        <f t="shared" si="41"/>
        <v>0</v>
      </c>
      <c r="BK9" s="354" t="e">
        <f>(BI9/#REF!)*100</f>
        <v>#REF!</v>
      </c>
      <c r="BL9" s="169">
        <f t="shared" si="42"/>
        <v>1643400</v>
      </c>
      <c r="BM9" s="169">
        <v>1644000</v>
      </c>
      <c r="BN9" s="170">
        <f t="shared" si="43"/>
        <v>600</v>
      </c>
      <c r="BO9" s="179">
        <f t="shared" si="44"/>
        <v>0</v>
      </c>
      <c r="BP9" s="180" t="e">
        <f>(BN9/#REF!)*100</f>
        <v>#REF!</v>
      </c>
      <c r="BQ9" s="347">
        <f t="shared" si="45"/>
        <v>150260</v>
      </c>
      <c r="BR9" s="347">
        <v>150390</v>
      </c>
      <c r="BS9" s="352">
        <f t="shared" si="46"/>
        <v>130</v>
      </c>
      <c r="BT9" s="353">
        <f t="shared" si="47"/>
        <v>10</v>
      </c>
      <c r="BU9" s="354" t="e">
        <f>(BS9/#REF!)*100</f>
        <v>#REF!</v>
      </c>
      <c r="BV9" s="169">
        <f t="shared" si="48"/>
        <v>624140</v>
      </c>
      <c r="BW9" s="169">
        <v>624540</v>
      </c>
      <c r="BX9" s="170">
        <f t="shared" si="49"/>
        <v>400</v>
      </c>
      <c r="BY9" s="179">
        <f t="shared" si="50"/>
        <v>10</v>
      </c>
      <c r="BZ9" s="180" t="e">
        <f>(BX9/#REF!)*100</f>
        <v>#REF!</v>
      </c>
      <c r="CA9" s="347">
        <f t="shared" si="51"/>
        <v>1191700</v>
      </c>
      <c r="CB9" s="347">
        <v>1192900</v>
      </c>
      <c r="CC9" s="352">
        <f t="shared" si="52"/>
        <v>1200</v>
      </c>
      <c r="CD9" s="353">
        <f t="shared" si="53"/>
        <v>0</v>
      </c>
      <c r="CE9" s="354" t="e">
        <f>(CC9/#REF!)*100</f>
        <v>#REF!</v>
      </c>
      <c r="CF9" s="169">
        <f t="shared" si="54"/>
        <v>394280</v>
      </c>
      <c r="CG9" s="169">
        <v>394760</v>
      </c>
      <c r="CH9" s="170">
        <f t="shared" si="55"/>
        <v>480</v>
      </c>
      <c r="CI9" s="179">
        <f t="shared" si="56"/>
        <v>10</v>
      </c>
      <c r="CJ9" s="180" t="e">
        <f>(CH9/#REF!)*100</f>
        <v>#REF!</v>
      </c>
      <c r="CK9" s="170">
        <f t="shared" si="57"/>
        <v>907250</v>
      </c>
      <c r="CL9" s="170">
        <v>908450</v>
      </c>
      <c r="CM9" s="170">
        <f t="shared" si="58"/>
        <v>1200</v>
      </c>
      <c r="CN9" s="179">
        <f t="shared" si="59"/>
        <v>40</v>
      </c>
      <c r="CO9" s="180" t="e">
        <f>(CM9/#REF!)*100</f>
        <v>#REF!</v>
      </c>
      <c r="CP9" s="360">
        <f>CQ8</f>
        <v>754140</v>
      </c>
      <c r="CQ9" s="360">
        <v>755100</v>
      </c>
      <c r="CR9" s="364">
        <f t="shared" ref="CR9:CR35" si="109">MAX(0,CQ9-CP9)</f>
        <v>960</v>
      </c>
      <c r="CS9" s="365">
        <f t="shared" si="60"/>
        <v>-100</v>
      </c>
      <c r="CT9" s="366" t="e">
        <f>(CR9/#REF!)*100</f>
        <v>#REF!</v>
      </c>
      <c r="CU9" s="169">
        <f t="shared" si="61"/>
        <v>622040</v>
      </c>
      <c r="CV9" s="169">
        <v>622880</v>
      </c>
      <c r="CW9" s="170">
        <f t="shared" si="62"/>
        <v>840</v>
      </c>
      <c r="CX9" s="179">
        <f t="shared" si="63"/>
        <v>160</v>
      </c>
      <c r="CY9" s="180" t="e">
        <f>(CW9/#REF!)*100</f>
        <v>#REF!</v>
      </c>
      <c r="CZ9" s="360">
        <f t="shared" si="64"/>
        <v>1040120</v>
      </c>
      <c r="DA9" s="360">
        <v>1042100</v>
      </c>
      <c r="DB9" s="368">
        <f t="shared" si="65"/>
        <v>1980</v>
      </c>
      <c r="DC9" s="365">
        <f t="shared" si="66"/>
        <v>1760</v>
      </c>
      <c r="DD9" s="366" t="e">
        <f>(DB9/#REF!)*100</f>
        <v>#REF!</v>
      </c>
      <c r="DE9" s="169">
        <f t="shared" si="67"/>
        <v>799480</v>
      </c>
      <c r="DF9" s="169">
        <v>800160</v>
      </c>
      <c r="DG9" s="170">
        <f t="shared" si="68"/>
        <v>680</v>
      </c>
      <c r="DH9" s="179">
        <f t="shared" si="69"/>
        <v>-40</v>
      </c>
      <c r="DI9" s="180" t="e">
        <f>(DG9/#REF!)*100</f>
        <v>#REF!</v>
      </c>
      <c r="DJ9" s="360">
        <f t="shared" si="70"/>
        <v>688890</v>
      </c>
      <c r="DK9" s="360">
        <v>689570</v>
      </c>
      <c r="DL9" s="368">
        <f t="shared" si="71"/>
        <v>680</v>
      </c>
      <c r="DM9" s="365">
        <f t="shared" si="72"/>
        <v>70</v>
      </c>
      <c r="DN9" s="366" t="e">
        <f>(DL9/#REF!)*100</f>
        <v>#REF!</v>
      </c>
      <c r="DO9" s="169">
        <f t="shared" si="73"/>
        <v>373540</v>
      </c>
      <c r="DP9" s="169">
        <v>373870</v>
      </c>
      <c r="DQ9" s="170">
        <f t="shared" si="74"/>
        <v>330</v>
      </c>
      <c r="DR9" s="179">
        <f t="shared" si="75"/>
        <v>-40</v>
      </c>
      <c r="DS9" s="180" t="e">
        <f>(DQ9/#REF!)*100</f>
        <v>#REF!</v>
      </c>
      <c r="DT9" s="360">
        <f t="shared" si="76"/>
        <v>126490</v>
      </c>
      <c r="DU9" s="360">
        <v>126640</v>
      </c>
      <c r="DV9" s="368">
        <f t="shared" si="77"/>
        <v>150</v>
      </c>
      <c r="DW9" s="365">
        <f t="shared" si="78"/>
        <v>10</v>
      </c>
      <c r="DX9" s="366" t="e">
        <f>(DV9/#REF!)*100</f>
        <v>#REF!</v>
      </c>
      <c r="DY9" s="169">
        <f t="shared" si="79"/>
        <v>811220</v>
      </c>
      <c r="DZ9" s="169">
        <v>812260</v>
      </c>
      <c r="EA9" s="170">
        <f t="shared" si="80"/>
        <v>1040</v>
      </c>
      <c r="EB9" s="179">
        <f t="shared" si="81"/>
        <v>70</v>
      </c>
      <c r="EC9" s="180" t="e">
        <f>(EA9/#REF!)*100</f>
        <v>#REF!</v>
      </c>
      <c r="ED9" s="360">
        <f t="shared" si="82"/>
        <v>256940</v>
      </c>
      <c r="EE9" s="360">
        <v>257260</v>
      </c>
      <c r="EF9" s="368">
        <f t="shared" si="83"/>
        <v>320</v>
      </c>
      <c r="EG9" s="365">
        <f t="shared" si="84"/>
        <v>30</v>
      </c>
      <c r="EH9" s="366" t="e">
        <f>(EF9/#REF!)*100</f>
        <v>#REF!</v>
      </c>
      <c r="EI9" s="169">
        <f t="shared" si="85"/>
        <v>292950</v>
      </c>
      <c r="EJ9" s="169">
        <v>293320</v>
      </c>
      <c r="EK9" s="170">
        <f t="shared" si="86"/>
        <v>370</v>
      </c>
      <c r="EL9" s="179">
        <f t="shared" si="87"/>
        <v>20</v>
      </c>
      <c r="EM9" s="180" t="e">
        <f>(EK9/#REF!)*100</f>
        <v>#REF!</v>
      </c>
      <c r="EN9" s="360">
        <f t="shared" si="88"/>
        <v>475750</v>
      </c>
      <c r="EO9" s="360">
        <v>476270</v>
      </c>
      <c r="EP9" s="368">
        <f t="shared" si="89"/>
        <v>520</v>
      </c>
      <c r="EQ9" s="365">
        <f t="shared" si="90"/>
        <v>-50</v>
      </c>
      <c r="ER9" s="366" t="e">
        <f>(EP9/#REF!)*100</f>
        <v>#REF!</v>
      </c>
      <c r="ES9" s="169">
        <f t="shared" si="91"/>
        <v>0</v>
      </c>
      <c r="ET9" s="169"/>
      <c r="EU9" s="170">
        <f t="shared" si="92"/>
        <v>0</v>
      </c>
      <c r="EV9" s="179">
        <f t="shared" si="93"/>
        <v>0</v>
      </c>
      <c r="EW9" s="180" t="e">
        <f>(EU9/#REF!)*100</f>
        <v>#REF!</v>
      </c>
      <c r="EX9" s="169">
        <f t="shared" si="94"/>
        <v>0</v>
      </c>
      <c r="EY9" s="169"/>
      <c r="EZ9" s="170">
        <f t="shared" si="95"/>
        <v>0</v>
      </c>
      <c r="FA9" s="179">
        <f t="shared" si="96"/>
        <v>0</v>
      </c>
      <c r="FB9" s="180" t="e">
        <f>(EZ9/#REF!)*100</f>
        <v>#REF!</v>
      </c>
      <c r="FC9" s="169">
        <f t="shared" si="97"/>
        <v>0</v>
      </c>
      <c r="FD9" s="169"/>
      <c r="FE9" s="170">
        <f t="shared" si="98"/>
        <v>0</v>
      </c>
      <c r="FF9" s="179">
        <f t="shared" si="99"/>
        <v>0</v>
      </c>
      <c r="FG9" s="180" t="e">
        <f>(FE9/#REF!)*100</f>
        <v>#REF!</v>
      </c>
      <c r="FH9" s="241"/>
      <c r="FI9" s="241"/>
      <c r="FJ9" s="241"/>
      <c r="FK9" s="241"/>
      <c r="FL9" s="241"/>
      <c r="FM9" s="169">
        <f t="shared" si="100"/>
        <v>0</v>
      </c>
      <c r="FN9" s="169"/>
      <c r="FO9" s="170">
        <f t="shared" si="101"/>
        <v>0</v>
      </c>
      <c r="FP9" s="179">
        <f t="shared" si="102"/>
        <v>0</v>
      </c>
      <c r="FQ9" s="180" t="e">
        <f>(FO9/#REF!)*100</f>
        <v>#REF!</v>
      </c>
      <c r="FR9" s="169">
        <f t="shared" si="103"/>
        <v>0</v>
      </c>
      <c r="FS9" s="169"/>
      <c r="FT9" s="170">
        <f t="shared" si="104"/>
        <v>0</v>
      </c>
      <c r="FU9" s="179">
        <f t="shared" si="105"/>
        <v>0</v>
      </c>
      <c r="FV9" s="180" t="e">
        <f>(FT9/#REF!)*100</f>
        <v>#REF!</v>
      </c>
      <c r="FW9" s="169">
        <f t="shared" si="106"/>
        <v>0</v>
      </c>
      <c r="FX9" s="169"/>
      <c r="FY9" s="170">
        <f t="shared" si="107"/>
        <v>0</v>
      </c>
      <c r="FZ9" s="179">
        <f t="shared" si="108"/>
        <v>0</v>
      </c>
      <c r="GA9" s="180" t="e">
        <f>(FY9/#REF!)*100</f>
        <v>#REF!</v>
      </c>
      <c r="GB9" s="219"/>
      <c r="GC9" s="225">
        <f t="shared" si="1"/>
        <v>8907</v>
      </c>
      <c r="GD9" s="222"/>
      <c r="GE9" s="225">
        <f t="shared" si="2"/>
        <v>7827</v>
      </c>
      <c r="GF9" s="222"/>
      <c r="GG9" s="225">
        <f t="shared" si="3"/>
        <v>3600</v>
      </c>
      <c r="GH9" s="222"/>
      <c r="GI9" s="225">
        <f t="shared" si="4"/>
        <v>1238</v>
      </c>
      <c r="GJ9" s="222"/>
      <c r="GK9" s="225">
        <f t="shared" si="5"/>
        <v>730</v>
      </c>
      <c r="GL9" s="222"/>
      <c r="GM9" s="225">
        <f t="shared" si="6"/>
        <v>0</v>
      </c>
      <c r="GN9" s="222"/>
    </row>
    <row r="10" spans="1:196" s="3" customFormat="1" ht="13.5" customHeight="1">
      <c r="A10" s="213">
        <v>6</v>
      </c>
      <c r="B10" s="216" t="e">
        <f>#REF!</f>
        <v>#REF!</v>
      </c>
      <c r="C10" s="211">
        <f t="shared" si="7"/>
        <v>27436357</v>
      </c>
      <c r="D10" s="167">
        <v>27440780</v>
      </c>
      <c r="E10" s="168">
        <f t="shared" si="8"/>
        <v>4423</v>
      </c>
      <c r="F10" s="175">
        <f t="shared" si="9"/>
        <v>285</v>
      </c>
      <c r="G10" s="176" t="e">
        <f>(E10/#REF!)*100</f>
        <v>#REF!</v>
      </c>
      <c r="H10" s="186">
        <f t="shared" si="10"/>
        <v>25378652</v>
      </c>
      <c r="I10" s="167">
        <v>25383273</v>
      </c>
      <c r="J10" s="167">
        <f t="shared" si="11"/>
        <v>4621</v>
      </c>
      <c r="K10" s="187">
        <f t="shared" si="12"/>
        <v>-148</v>
      </c>
      <c r="L10" s="188" t="e">
        <f>(J10/#REF!)*100</f>
        <v>#REF!</v>
      </c>
      <c r="M10" s="172">
        <f t="shared" si="13"/>
        <v>93241486</v>
      </c>
      <c r="N10" s="169">
        <v>93253874</v>
      </c>
      <c r="O10" s="170">
        <f t="shared" si="14"/>
        <v>12388</v>
      </c>
      <c r="P10" s="179">
        <f t="shared" si="15"/>
        <v>66</v>
      </c>
      <c r="Q10" s="180" t="e">
        <f>(O10/#REF!)*100</f>
        <v>#REF!</v>
      </c>
      <c r="R10" s="351">
        <f t="shared" si="16"/>
        <v>3300300</v>
      </c>
      <c r="S10" s="347">
        <v>3302600</v>
      </c>
      <c r="T10" s="352">
        <f t="shared" si="17"/>
        <v>2300</v>
      </c>
      <c r="U10" s="353">
        <f t="shared" si="18"/>
        <v>-200</v>
      </c>
      <c r="V10" s="354" t="e">
        <f>(T10/#REF!)*100</f>
        <v>#REF!</v>
      </c>
      <c r="W10" s="169">
        <f t="shared" si="19"/>
        <v>4418536</v>
      </c>
      <c r="X10" s="169">
        <v>4421594</v>
      </c>
      <c r="Y10" s="170">
        <f t="shared" si="20"/>
        <v>3058</v>
      </c>
      <c r="Z10" s="179">
        <f t="shared" si="21"/>
        <v>-19</v>
      </c>
      <c r="AA10" s="180" t="e">
        <f>(Y10/#REF!)*100</f>
        <v>#REF!</v>
      </c>
      <c r="AB10" s="347">
        <f t="shared" si="22"/>
        <v>2870600</v>
      </c>
      <c r="AC10" s="347">
        <v>2873000</v>
      </c>
      <c r="AD10" s="352">
        <f t="shared" si="0"/>
        <v>2400</v>
      </c>
      <c r="AE10" s="357">
        <f>AD10/WATER!V11</f>
        <v>6.4</v>
      </c>
      <c r="AF10" s="353">
        <f t="shared" si="23"/>
        <v>500</v>
      </c>
      <c r="AG10" s="354" t="e">
        <f>(AD10/#REF!)*100</f>
        <v>#REF!</v>
      </c>
      <c r="AH10" s="169">
        <f t="shared" si="24"/>
        <v>1136319</v>
      </c>
      <c r="AI10" s="169">
        <v>1136791</v>
      </c>
      <c r="AJ10" s="170">
        <f t="shared" si="25"/>
        <v>472</v>
      </c>
      <c r="AK10" s="179">
        <f t="shared" si="26"/>
        <v>-22</v>
      </c>
      <c r="AL10" s="180" t="e">
        <f>(AJ10/#REF!)*100</f>
        <v>#REF!</v>
      </c>
      <c r="AM10" s="347">
        <f t="shared" si="27"/>
        <v>1164800</v>
      </c>
      <c r="AN10" s="347">
        <v>1165500</v>
      </c>
      <c r="AO10" s="352">
        <f t="shared" si="28"/>
        <v>700</v>
      </c>
      <c r="AP10" s="353">
        <f t="shared" si="29"/>
        <v>0</v>
      </c>
      <c r="AQ10" s="354" t="e">
        <f>(AO10/#REF!)*100</f>
        <v>#REF!</v>
      </c>
      <c r="AR10" s="169">
        <f t="shared" si="30"/>
        <v>2623500</v>
      </c>
      <c r="AS10" s="169">
        <v>2626000</v>
      </c>
      <c r="AT10" s="170">
        <f t="shared" si="31"/>
        <v>2500</v>
      </c>
      <c r="AU10" s="179">
        <f t="shared" si="32"/>
        <v>-400</v>
      </c>
      <c r="AV10" s="180" t="e">
        <f>(AT10/#REF!)*100</f>
        <v>#REF!</v>
      </c>
      <c r="AW10" s="347">
        <f t="shared" si="33"/>
        <v>50099</v>
      </c>
      <c r="AX10" s="347">
        <v>50528</v>
      </c>
      <c r="AY10" s="352">
        <f t="shared" si="34"/>
        <v>429</v>
      </c>
      <c r="AZ10" s="353">
        <f t="shared" si="35"/>
        <v>-9</v>
      </c>
      <c r="BA10" s="354" t="e">
        <f>(AY10/#REF!)*100</f>
        <v>#REF!</v>
      </c>
      <c r="BB10" s="169">
        <f t="shared" si="36"/>
        <v>1034100</v>
      </c>
      <c r="BC10" s="169">
        <v>1034500</v>
      </c>
      <c r="BD10" s="170">
        <f t="shared" si="37"/>
        <v>400</v>
      </c>
      <c r="BE10" s="179">
        <f t="shared" si="38"/>
        <v>-100</v>
      </c>
      <c r="BF10" s="180" t="e">
        <f>(BD10/#REF!)*100</f>
        <v>#REF!</v>
      </c>
      <c r="BG10" s="347">
        <f t="shared" si="39"/>
        <v>1100200</v>
      </c>
      <c r="BH10" s="347">
        <v>1100500</v>
      </c>
      <c r="BI10" s="352">
        <f t="shared" si="40"/>
        <v>300</v>
      </c>
      <c r="BJ10" s="353">
        <f t="shared" si="41"/>
        <v>0</v>
      </c>
      <c r="BK10" s="354" t="e">
        <f>(BI10/#REF!)*100</f>
        <v>#REF!</v>
      </c>
      <c r="BL10" s="169">
        <f t="shared" si="42"/>
        <v>1644000</v>
      </c>
      <c r="BM10" s="169">
        <v>1644500</v>
      </c>
      <c r="BN10" s="170">
        <f t="shared" si="43"/>
        <v>500</v>
      </c>
      <c r="BO10" s="179">
        <f t="shared" si="44"/>
        <v>-100</v>
      </c>
      <c r="BP10" s="180" t="e">
        <f>(BN10/#REF!)*100</f>
        <v>#REF!</v>
      </c>
      <c r="BQ10" s="347">
        <f t="shared" si="45"/>
        <v>150390</v>
      </c>
      <c r="BR10" s="347">
        <v>150500</v>
      </c>
      <c r="BS10" s="352">
        <f t="shared" si="46"/>
        <v>110</v>
      </c>
      <c r="BT10" s="353">
        <f t="shared" si="47"/>
        <v>-20</v>
      </c>
      <c r="BU10" s="354" t="e">
        <f>(BS10/#REF!)*100</f>
        <v>#REF!</v>
      </c>
      <c r="BV10" s="169">
        <f t="shared" si="48"/>
        <v>624540</v>
      </c>
      <c r="BW10" s="169">
        <v>624910</v>
      </c>
      <c r="BX10" s="170">
        <f t="shared" si="49"/>
        <v>370</v>
      </c>
      <c r="BY10" s="179">
        <f t="shared" si="50"/>
        <v>-30</v>
      </c>
      <c r="BZ10" s="180" t="e">
        <f>(BX10/#REF!)*100</f>
        <v>#REF!</v>
      </c>
      <c r="CA10" s="347">
        <f t="shared" si="51"/>
        <v>1192900</v>
      </c>
      <c r="CB10" s="347">
        <v>1194100</v>
      </c>
      <c r="CC10" s="352">
        <f t="shared" si="52"/>
        <v>1200</v>
      </c>
      <c r="CD10" s="353">
        <f t="shared" si="53"/>
        <v>0</v>
      </c>
      <c r="CE10" s="354" t="e">
        <f>(CC10/#REF!)*100</f>
        <v>#REF!</v>
      </c>
      <c r="CF10" s="169">
        <f t="shared" si="54"/>
        <v>394760</v>
      </c>
      <c r="CG10" s="169">
        <v>395270</v>
      </c>
      <c r="CH10" s="170">
        <f t="shared" si="55"/>
        <v>510</v>
      </c>
      <c r="CI10" s="179">
        <f t="shared" si="56"/>
        <v>30</v>
      </c>
      <c r="CJ10" s="180" t="e">
        <f>(CH10/#REF!)*100</f>
        <v>#REF!</v>
      </c>
      <c r="CK10" s="170">
        <f t="shared" si="57"/>
        <v>908450</v>
      </c>
      <c r="CL10" s="170">
        <v>909570</v>
      </c>
      <c r="CM10" s="170">
        <f t="shared" si="58"/>
        <v>1120</v>
      </c>
      <c r="CN10" s="179">
        <f t="shared" si="59"/>
        <v>-80</v>
      </c>
      <c r="CO10" s="180" t="e">
        <f>(CM10/#REF!)*100</f>
        <v>#REF!</v>
      </c>
      <c r="CP10" s="360">
        <f t="shared" ref="CP10:CP35" si="110">CQ9</f>
        <v>755100</v>
      </c>
      <c r="CQ10" s="360">
        <v>756120</v>
      </c>
      <c r="CR10" s="364">
        <f t="shared" si="109"/>
        <v>1020</v>
      </c>
      <c r="CS10" s="365">
        <f t="shared" si="60"/>
        <v>60</v>
      </c>
      <c r="CT10" s="366" t="e">
        <f>(CR10/#REF!)*100</f>
        <v>#REF!</v>
      </c>
      <c r="CU10" s="169">
        <f t="shared" si="61"/>
        <v>622880</v>
      </c>
      <c r="CV10" s="169">
        <v>623670</v>
      </c>
      <c r="CW10" s="170">
        <f t="shared" si="62"/>
        <v>790</v>
      </c>
      <c r="CX10" s="179">
        <f t="shared" si="63"/>
        <v>-50</v>
      </c>
      <c r="CY10" s="180" t="e">
        <f>(CW10/#REF!)*100</f>
        <v>#REF!</v>
      </c>
      <c r="CZ10" s="360">
        <f t="shared" si="64"/>
        <v>1042100</v>
      </c>
      <c r="DA10" s="360">
        <v>1043200</v>
      </c>
      <c r="DB10" s="368">
        <f t="shared" si="65"/>
        <v>1100</v>
      </c>
      <c r="DC10" s="365">
        <f t="shared" si="66"/>
        <v>-880</v>
      </c>
      <c r="DD10" s="366" t="e">
        <f>(DB10/#REF!)*100</f>
        <v>#REF!</v>
      </c>
      <c r="DE10" s="169">
        <f t="shared" si="67"/>
        <v>800160</v>
      </c>
      <c r="DF10" s="169">
        <v>800880</v>
      </c>
      <c r="DG10" s="170">
        <f t="shared" si="68"/>
        <v>720</v>
      </c>
      <c r="DH10" s="179">
        <f t="shared" si="69"/>
        <v>40</v>
      </c>
      <c r="DI10" s="180" t="e">
        <f>(DG10/#REF!)*100</f>
        <v>#REF!</v>
      </c>
      <c r="DJ10" s="360">
        <f t="shared" si="70"/>
        <v>689570</v>
      </c>
      <c r="DK10" s="360">
        <v>690120</v>
      </c>
      <c r="DL10" s="368">
        <f t="shared" si="71"/>
        <v>550</v>
      </c>
      <c r="DM10" s="365">
        <f t="shared" si="72"/>
        <v>-130</v>
      </c>
      <c r="DN10" s="366" t="e">
        <f>(DL10/#REF!)*100</f>
        <v>#REF!</v>
      </c>
      <c r="DO10" s="169">
        <f t="shared" si="73"/>
        <v>373870</v>
      </c>
      <c r="DP10" s="169">
        <v>374220</v>
      </c>
      <c r="DQ10" s="170">
        <f t="shared" si="74"/>
        <v>350</v>
      </c>
      <c r="DR10" s="179">
        <f t="shared" si="75"/>
        <v>20</v>
      </c>
      <c r="DS10" s="180" t="e">
        <f>(DQ10/#REF!)*100</f>
        <v>#REF!</v>
      </c>
      <c r="DT10" s="360">
        <f t="shared" si="76"/>
        <v>126640</v>
      </c>
      <c r="DU10" s="360">
        <v>126800</v>
      </c>
      <c r="DV10" s="368">
        <f t="shared" si="77"/>
        <v>160</v>
      </c>
      <c r="DW10" s="365">
        <f t="shared" si="78"/>
        <v>10</v>
      </c>
      <c r="DX10" s="366" t="e">
        <f>(DV10/#REF!)*100</f>
        <v>#REF!</v>
      </c>
      <c r="DY10" s="169">
        <f t="shared" si="79"/>
        <v>812260</v>
      </c>
      <c r="DZ10" s="169">
        <v>813250</v>
      </c>
      <c r="EA10" s="170">
        <f t="shared" si="80"/>
        <v>990</v>
      </c>
      <c r="EB10" s="179">
        <f t="shared" si="81"/>
        <v>-50</v>
      </c>
      <c r="EC10" s="180" t="e">
        <f>(EA10/#REF!)*100</f>
        <v>#REF!</v>
      </c>
      <c r="ED10" s="360">
        <f t="shared" si="82"/>
        <v>257260</v>
      </c>
      <c r="EE10" s="360">
        <v>257580</v>
      </c>
      <c r="EF10" s="368">
        <f t="shared" si="83"/>
        <v>320</v>
      </c>
      <c r="EG10" s="365">
        <f t="shared" si="84"/>
        <v>0</v>
      </c>
      <c r="EH10" s="366" t="e">
        <f>(EF10/#REF!)*100</f>
        <v>#REF!</v>
      </c>
      <c r="EI10" s="169">
        <f t="shared" si="85"/>
        <v>293320</v>
      </c>
      <c r="EJ10" s="169">
        <v>293690</v>
      </c>
      <c r="EK10" s="170">
        <f t="shared" si="86"/>
        <v>370</v>
      </c>
      <c r="EL10" s="179">
        <f t="shared" si="87"/>
        <v>0</v>
      </c>
      <c r="EM10" s="180" t="e">
        <f>(EK10/#REF!)*100</f>
        <v>#REF!</v>
      </c>
      <c r="EN10" s="360">
        <f t="shared" si="88"/>
        <v>476270</v>
      </c>
      <c r="EO10" s="360">
        <v>476840</v>
      </c>
      <c r="EP10" s="368">
        <f t="shared" si="89"/>
        <v>570</v>
      </c>
      <c r="EQ10" s="365">
        <f t="shared" si="90"/>
        <v>50</v>
      </c>
      <c r="ER10" s="366" t="e">
        <f>(EP10/#REF!)*100</f>
        <v>#REF!</v>
      </c>
      <c r="ES10" s="169">
        <f t="shared" si="91"/>
        <v>0</v>
      </c>
      <c r="ET10" s="169"/>
      <c r="EU10" s="170">
        <f t="shared" si="92"/>
        <v>0</v>
      </c>
      <c r="EV10" s="179">
        <f t="shared" si="93"/>
        <v>0</v>
      </c>
      <c r="EW10" s="180" t="e">
        <f>(EU10/#REF!)*100</f>
        <v>#REF!</v>
      </c>
      <c r="EX10" s="169">
        <f t="shared" si="94"/>
        <v>0</v>
      </c>
      <c r="EY10" s="169"/>
      <c r="EZ10" s="170">
        <f t="shared" si="95"/>
        <v>0</v>
      </c>
      <c r="FA10" s="179">
        <f t="shared" si="96"/>
        <v>0</v>
      </c>
      <c r="FB10" s="180" t="e">
        <f>(EZ10/#REF!)*100</f>
        <v>#REF!</v>
      </c>
      <c r="FC10" s="169">
        <f t="shared" si="97"/>
        <v>0</v>
      </c>
      <c r="FD10" s="169"/>
      <c r="FE10" s="170">
        <f t="shared" si="98"/>
        <v>0</v>
      </c>
      <c r="FF10" s="179">
        <f t="shared" si="99"/>
        <v>0</v>
      </c>
      <c r="FG10" s="180" t="e">
        <f>(FE10/#REF!)*100</f>
        <v>#REF!</v>
      </c>
      <c r="FH10" s="241"/>
      <c r="FI10" s="241"/>
      <c r="FJ10" s="241"/>
      <c r="FK10" s="241"/>
      <c r="FL10" s="241"/>
      <c r="FM10" s="169">
        <f t="shared" si="100"/>
        <v>0</v>
      </c>
      <c r="FN10" s="169"/>
      <c r="FO10" s="170">
        <f t="shared" si="101"/>
        <v>0</v>
      </c>
      <c r="FP10" s="179">
        <f t="shared" si="102"/>
        <v>0</v>
      </c>
      <c r="FQ10" s="180" t="e">
        <f>(FO10/#REF!)*100</f>
        <v>#REF!</v>
      </c>
      <c r="FR10" s="169">
        <f t="shared" si="103"/>
        <v>0</v>
      </c>
      <c r="FS10" s="169"/>
      <c r="FT10" s="170">
        <f t="shared" si="104"/>
        <v>0</v>
      </c>
      <c r="FU10" s="179">
        <f t="shared" si="105"/>
        <v>0</v>
      </c>
      <c r="FV10" s="180" t="e">
        <f>(FT10/#REF!)*100</f>
        <v>#REF!</v>
      </c>
      <c r="FW10" s="169">
        <f t="shared" si="106"/>
        <v>0</v>
      </c>
      <c r="FX10" s="169"/>
      <c r="FY10" s="170">
        <f t="shared" si="107"/>
        <v>0</v>
      </c>
      <c r="FZ10" s="179">
        <f t="shared" si="108"/>
        <v>0</v>
      </c>
      <c r="GA10" s="180" t="e">
        <f>(FY10/#REF!)*100</f>
        <v>#REF!</v>
      </c>
      <c r="GB10" s="219"/>
      <c r="GC10" s="225">
        <f t="shared" si="1"/>
        <v>9044</v>
      </c>
      <c r="GD10" s="222"/>
      <c r="GE10" s="225">
        <f t="shared" si="2"/>
        <v>7608</v>
      </c>
      <c r="GF10" s="222"/>
      <c r="GG10" s="225">
        <f t="shared" si="3"/>
        <v>3200</v>
      </c>
      <c r="GH10" s="222"/>
      <c r="GI10" s="225">
        <f t="shared" si="4"/>
        <v>1129</v>
      </c>
      <c r="GJ10" s="222"/>
      <c r="GK10" s="225">
        <f t="shared" si="5"/>
        <v>610</v>
      </c>
      <c r="GL10" s="222"/>
      <c r="GM10" s="225">
        <f t="shared" si="6"/>
        <v>0</v>
      </c>
      <c r="GN10" s="222"/>
    </row>
    <row r="11" spans="1:196" s="3" customFormat="1" ht="13.5" customHeight="1">
      <c r="A11" s="213">
        <v>7</v>
      </c>
      <c r="B11" s="216" t="e">
        <f>#REF!</f>
        <v>#REF!</v>
      </c>
      <c r="C11" s="211">
        <f t="shared" si="7"/>
        <v>27440780</v>
      </c>
      <c r="D11" s="167">
        <v>27445136</v>
      </c>
      <c r="E11" s="168">
        <f t="shared" si="8"/>
        <v>4356</v>
      </c>
      <c r="F11" s="175">
        <f t="shared" si="9"/>
        <v>-67</v>
      </c>
      <c r="G11" s="176" t="e">
        <f>(E11/#REF!)*100</f>
        <v>#REF!</v>
      </c>
      <c r="H11" s="186">
        <f t="shared" si="10"/>
        <v>25383273</v>
      </c>
      <c r="I11" s="167">
        <v>25387736</v>
      </c>
      <c r="J11" s="167">
        <f t="shared" si="11"/>
        <v>4463</v>
      </c>
      <c r="K11" s="187">
        <f t="shared" si="12"/>
        <v>-158</v>
      </c>
      <c r="L11" s="188" t="e">
        <f>(J11/#REF!)*100</f>
        <v>#REF!</v>
      </c>
      <c r="M11" s="172">
        <f t="shared" si="13"/>
        <v>93253874</v>
      </c>
      <c r="N11" s="169">
        <v>93266210</v>
      </c>
      <c r="O11" s="170">
        <f t="shared" si="14"/>
        <v>12336</v>
      </c>
      <c r="P11" s="179">
        <f t="shared" si="15"/>
        <v>-52</v>
      </c>
      <c r="Q11" s="180" t="e">
        <f>(O11/#REF!)*100</f>
        <v>#REF!</v>
      </c>
      <c r="R11" s="351">
        <f t="shared" si="16"/>
        <v>3302600</v>
      </c>
      <c r="S11" s="347">
        <v>3305000</v>
      </c>
      <c r="T11" s="352">
        <f t="shared" si="17"/>
        <v>2400</v>
      </c>
      <c r="U11" s="353">
        <f t="shared" si="18"/>
        <v>100</v>
      </c>
      <c r="V11" s="354" t="e">
        <f>(T11/#REF!)*100</f>
        <v>#REF!</v>
      </c>
      <c r="W11" s="169">
        <f t="shared" si="19"/>
        <v>4421594</v>
      </c>
      <c r="X11" s="169">
        <v>4424568</v>
      </c>
      <c r="Y11" s="170">
        <f t="shared" si="20"/>
        <v>2974</v>
      </c>
      <c r="Z11" s="179">
        <f t="shared" si="21"/>
        <v>-84</v>
      </c>
      <c r="AA11" s="180" t="e">
        <f>(Y11/#REF!)*100</f>
        <v>#REF!</v>
      </c>
      <c r="AB11" s="347">
        <f t="shared" si="22"/>
        <v>2873000</v>
      </c>
      <c r="AC11" s="347">
        <v>2875100</v>
      </c>
      <c r="AD11" s="352">
        <f t="shared" si="0"/>
        <v>2100</v>
      </c>
      <c r="AE11" s="357">
        <f>AD11/WATER!V12</f>
        <v>6.8403908794788277</v>
      </c>
      <c r="AF11" s="353">
        <f t="shared" si="23"/>
        <v>-300</v>
      </c>
      <c r="AG11" s="354" t="e">
        <f>(AD11/#REF!)*100</f>
        <v>#REF!</v>
      </c>
      <c r="AH11" s="169">
        <f t="shared" si="24"/>
        <v>1136791</v>
      </c>
      <c r="AI11" s="169">
        <v>1137238</v>
      </c>
      <c r="AJ11" s="170">
        <f t="shared" si="25"/>
        <v>447</v>
      </c>
      <c r="AK11" s="179">
        <f t="shared" si="26"/>
        <v>-25</v>
      </c>
      <c r="AL11" s="180" t="e">
        <f>(AJ11/#REF!)*100</f>
        <v>#REF!</v>
      </c>
      <c r="AM11" s="347">
        <f t="shared" si="27"/>
        <v>1165500</v>
      </c>
      <c r="AN11" s="347">
        <v>1166300</v>
      </c>
      <c r="AO11" s="352">
        <f t="shared" si="28"/>
        <v>800</v>
      </c>
      <c r="AP11" s="353">
        <f t="shared" si="29"/>
        <v>100</v>
      </c>
      <c r="AQ11" s="354" t="e">
        <f>(AO11/#REF!)*100</f>
        <v>#REF!</v>
      </c>
      <c r="AR11" s="169">
        <f t="shared" si="30"/>
        <v>2626000</v>
      </c>
      <c r="AS11" s="169">
        <v>2628500</v>
      </c>
      <c r="AT11" s="170">
        <f t="shared" si="31"/>
        <v>2500</v>
      </c>
      <c r="AU11" s="179">
        <f t="shared" si="32"/>
        <v>0</v>
      </c>
      <c r="AV11" s="180" t="e">
        <f>(AT11/#REF!)*100</f>
        <v>#REF!</v>
      </c>
      <c r="AW11" s="347">
        <f t="shared" si="33"/>
        <v>50528</v>
      </c>
      <c r="AX11" s="347">
        <v>50960</v>
      </c>
      <c r="AY11" s="352">
        <f t="shared" si="34"/>
        <v>432</v>
      </c>
      <c r="AZ11" s="353">
        <f t="shared" si="35"/>
        <v>3</v>
      </c>
      <c r="BA11" s="354" t="e">
        <f>(AY11/#REF!)*100</f>
        <v>#REF!</v>
      </c>
      <c r="BB11" s="169">
        <f t="shared" si="36"/>
        <v>1034500</v>
      </c>
      <c r="BC11" s="169">
        <v>1035000</v>
      </c>
      <c r="BD11" s="170">
        <f t="shared" si="37"/>
        <v>500</v>
      </c>
      <c r="BE11" s="179">
        <f t="shared" si="38"/>
        <v>100</v>
      </c>
      <c r="BF11" s="180" t="e">
        <f>(BD11/#REF!)*100</f>
        <v>#REF!</v>
      </c>
      <c r="BG11" s="347">
        <f t="shared" si="39"/>
        <v>1100500</v>
      </c>
      <c r="BH11" s="347">
        <v>1100900</v>
      </c>
      <c r="BI11" s="352">
        <f t="shared" si="40"/>
        <v>400</v>
      </c>
      <c r="BJ11" s="353">
        <f t="shared" si="41"/>
        <v>100</v>
      </c>
      <c r="BK11" s="354" t="e">
        <f>(BI11/#REF!)*100</f>
        <v>#REF!</v>
      </c>
      <c r="BL11" s="169">
        <f t="shared" si="42"/>
        <v>1644500</v>
      </c>
      <c r="BM11" s="169">
        <v>1645100</v>
      </c>
      <c r="BN11" s="170">
        <f t="shared" si="43"/>
        <v>600</v>
      </c>
      <c r="BO11" s="179">
        <f t="shared" si="44"/>
        <v>100</v>
      </c>
      <c r="BP11" s="180" t="e">
        <f>(BN11/#REF!)*100</f>
        <v>#REF!</v>
      </c>
      <c r="BQ11" s="347">
        <f t="shared" si="45"/>
        <v>150500</v>
      </c>
      <c r="BR11" s="347">
        <v>150630</v>
      </c>
      <c r="BS11" s="352">
        <f t="shared" si="46"/>
        <v>130</v>
      </c>
      <c r="BT11" s="353">
        <f t="shared" si="47"/>
        <v>20</v>
      </c>
      <c r="BU11" s="354" t="e">
        <f>(BS11/#REF!)*100</f>
        <v>#REF!</v>
      </c>
      <c r="BV11" s="169">
        <f t="shared" si="48"/>
        <v>624910</v>
      </c>
      <c r="BW11" s="169">
        <v>625310</v>
      </c>
      <c r="BX11" s="170">
        <f t="shared" si="49"/>
        <v>400</v>
      </c>
      <c r="BY11" s="179">
        <f t="shared" si="50"/>
        <v>30</v>
      </c>
      <c r="BZ11" s="180" t="e">
        <f>(BX11/#REF!)*100</f>
        <v>#REF!</v>
      </c>
      <c r="CA11" s="347">
        <f t="shared" si="51"/>
        <v>1194100</v>
      </c>
      <c r="CB11" s="347">
        <v>1195300</v>
      </c>
      <c r="CC11" s="352">
        <f t="shared" si="52"/>
        <v>1200</v>
      </c>
      <c r="CD11" s="353">
        <f t="shared" si="53"/>
        <v>0</v>
      </c>
      <c r="CE11" s="354" t="e">
        <f>(CC11/#REF!)*100</f>
        <v>#REF!</v>
      </c>
      <c r="CF11" s="169">
        <f t="shared" si="54"/>
        <v>395270</v>
      </c>
      <c r="CG11" s="169">
        <v>395740</v>
      </c>
      <c r="CH11" s="170">
        <f t="shared" si="55"/>
        <v>470</v>
      </c>
      <c r="CI11" s="179">
        <f t="shared" si="56"/>
        <v>-40</v>
      </c>
      <c r="CJ11" s="180" t="e">
        <f>(CH11/#REF!)*100</f>
        <v>#REF!</v>
      </c>
      <c r="CK11" s="170">
        <f t="shared" si="57"/>
        <v>909570</v>
      </c>
      <c r="CL11" s="170">
        <v>910830</v>
      </c>
      <c r="CM11" s="170">
        <f t="shared" si="58"/>
        <v>1260</v>
      </c>
      <c r="CN11" s="179">
        <f t="shared" si="59"/>
        <v>140</v>
      </c>
      <c r="CO11" s="180" t="e">
        <f>(CM11/#REF!)*100</f>
        <v>#REF!</v>
      </c>
      <c r="CP11" s="360">
        <f t="shared" si="110"/>
        <v>756120</v>
      </c>
      <c r="CQ11" s="360">
        <v>757150</v>
      </c>
      <c r="CR11" s="364">
        <f t="shared" si="109"/>
        <v>1030</v>
      </c>
      <c r="CS11" s="365">
        <f t="shared" si="60"/>
        <v>10</v>
      </c>
      <c r="CT11" s="366" t="e">
        <f>(CR11/#REF!)*100</f>
        <v>#REF!</v>
      </c>
      <c r="CU11" s="169">
        <f t="shared" si="61"/>
        <v>623670</v>
      </c>
      <c r="CV11" s="169">
        <v>624430</v>
      </c>
      <c r="CW11" s="170">
        <f t="shared" si="62"/>
        <v>760</v>
      </c>
      <c r="CX11" s="179">
        <f t="shared" si="63"/>
        <v>-30</v>
      </c>
      <c r="CY11" s="180" t="e">
        <f>(CW11/#REF!)*100</f>
        <v>#REF!</v>
      </c>
      <c r="CZ11" s="360">
        <f t="shared" si="64"/>
        <v>1043200</v>
      </c>
      <c r="DA11" s="360">
        <v>1044500</v>
      </c>
      <c r="DB11" s="368">
        <f t="shared" si="65"/>
        <v>1300</v>
      </c>
      <c r="DC11" s="365">
        <f t="shared" si="66"/>
        <v>200</v>
      </c>
      <c r="DD11" s="366" t="e">
        <f>(DB11/#REF!)*100</f>
        <v>#REF!</v>
      </c>
      <c r="DE11" s="169">
        <f t="shared" si="67"/>
        <v>800880</v>
      </c>
      <c r="DF11" s="169">
        <v>801600</v>
      </c>
      <c r="DG11" s="170">
        <f t="shared" si="68"/>
        <v>720</v>
      </c>
      <c r="DH11" s="179">
        <f t="shared" si="69"/>
        <v>0</v>
      </c>
      <c r="DI11" s="180" t="e">
        <f>(DG11/#REF!)*100</f>
        <v>#REF!</v>
      </c>
      <c r="DJ11" s="360">
        <f t="shared" si="70"/>
        <v>690120</v>
      </c>
      <c r="DK11" s="360">
        <v>690670</v>
      </c>
      <c r="DL11" s="368">
        <f t="shared" si="71"/>
        <v>550</v>
      </c>
      <c r="DM11" s="365">
        <f t="shared" si="72"/>
        <v>0</v>
      </c>
      <c r="DN11" s="366" t="e">
        <f>(DL11/#REF!)*100</f>
        <v>#REF!</v>
      </c>
      <c r="DO11" s="169">
        <f t="shared" si="73"/>
        <v>374220</v>
      </c>
      <c r="DP11" s="169">
        <v>374570</v>
      </c>
      <c r="DQ11" s="170">
        <f t="shared" si="74"/>
        <v>350</v>
      </c>
      <c r="DR11" s="179">
        <f t="shared" si="75"/>
        <v>0</v>
      </c>
      <c r="DS11" s="180" t="e">
        <f>(DQ11/#REF!)*100</f>
        <v>#REF!</v>
      </c>
      <c r="DT11" s="360">
        <f t="shared" si="76"/>
        <v>126800</v>
      </c>
      <c r="DU11" s="360">
        <v>126940</v>
      </c>
      <c r="DV11" s="368">
        <f t="shared" si="77"/>
        <v>140</v>
      </c>
      <c r="DW11" s="365">
        <f t="shared" si="78"/>
        <v>-20</v>
      </c>
      <c r="DX11" s="366" t="e">
        <f>(DV11/#REF!)*100</f>
        <v>#REF!</v>
      </c>
      <c r="DY11" s="169">
        <f t="shared" si="79"/>
        <v>813250</v>
      </c>
      <c r="DZ11" s="169">
        <v>814320</v>
      </c>
      <c r="EA11" s="170">
        <f t="shared" si="80"/>
        <v>1070</v>
      </c>
      <c r="EB11" s="179">
        <f t="shared" si="81"/>
        <v>80</v>
      </c>
      <c r="EC11" s="180" t="e">
        <f>(EA11/#REF!)*100</f>
        <v>#REF!</v>
      </c>
      <c r="ED11" s="360">
        <f t="shared" si="82"/>
        <v>257580</v>
      </c>
      <c r="EE11" s="360">
        <v>257920</v>
      </c>
      <c r="EF11" s="368">
        <f t="shared" si="83"/>
        <v>340</v>
      </c>
      <c r="EG11" s="365">
        <f t="shared" si="84"/>
        <v>20</v>
      </c>
      <c r="EH11" s="366" t="e">
        <f>(EF11/#REF!)*100</f>
        <v>#REF!</v>
      </c>
      <c r="EI11" s="169">
        <f t="shared" si="85"/>
        <v>293690</v>
      </c>
      <c r="EJ11" s="169">
        <v>294170</v>
      </c>
      <c r="EK11" s="170">
        <f t="shared" si="86"/>
        <v>480</v>
      </c>
      <c r="EL11" s="179">
        <f t="shared" si="87"/>
        <v>110</v>
      </c>
      <c r="EM11" s="180" t="e">
        <f>(EK11/#REF!)*100</f>
        <v>#REF!</v>
      </c>
      <c r="EN11" s="360">
        <f t="shared" si="88"/>
        <v>476840</v>
      </c>
      <c r="EO11" s="360">
        <v>477380</v>
      </c>
      <c r="EP11" s="368">
        <f t="shared" si="89"/>
        <v>540</v>
      </c>
      <c r="EQ11" s="365">
        <f t="shared" si="90"/>
        <v>-30</v>
      </c>
      <c r="ER11" s="366" t="e">
        <f>(EP11/#REF!)*100</f>
        <v>#REF!</v>
      </c>
      <c r="ES11" s="169">
        <f t="shared" si="91"/>
        <v>0</v>
      </c>
      <c r="ET11" s="169"/>
      <c r="EU11" s="170">
        <f t="shared" si="92"/>
        <v>0</v>
      </c>
      <c r="EV11" s="179">
        <f t="shared" si="93"/>
        <v>0</v>
      </c>
      <c r="EW11" s="180" t="e">
        <f>(EU11/#REF!)*100</f>
        <v>#REF!</v>
      </c>
      <c r="EX11" s="169">
        <f t="shared" si="94"/>
        <v>0</v>
      </c>
      <c r="EY11" s="169"/>
      <c r="EZ11" s="170">
        <f t="shared" si="95"/>
        <v>0</v>
      </c>
      <c r="FA11" s="179">
        <f t="shared" si="96"/>
        <v>0</v>
      </c>
      <c r="FB11" s="180" t="e">
        <f>(EZ11/#REF!)*100</f>
        <v>#REF!</v>
      </c>
      <c r="FC11" s="169">
        <f t="shared" si="97"/>
        <v>0</v>
      </c>
      <c r="FD11" s="169"/>
      <c r="FE11" s="170">
        <f t="shared" si="98"/>
        <v>0</v>
      </c>
      <c r="FF11" s="179">
        <f t="shared" si="99"/>
        <v>0</v>
      </c>
      <c r="FG11" s="180" t="e">
        <f>(FE11/#REF!)*100</f>
        <v>#REF!</v>
      </c>
      <c r="FH11" s="241"/>
      <c r="FI11" s="241"/>
      <c r="FJ11" s="241"/>
      <c r="FK11" s="241"/>
      <c r="FL11" s="241"/>
      <c r="FM11" s="169">
        <f t="shared" si="100"/>
        <v>0</v>
      </c>
      <c r="FN11" s="169"/>
      <c r="FO11" s="170">
        <f t="shared" si="101"/>
        <v>0</v>
      </c>
      <c r="FP11" s="179">
        <f t="shared" si="102"/>
        <v>0</v>
      </c>
      <c r="FQ11" s="180" t="e">
        <f>(FO11/#REF!)*100</f>
        <v>#REF!</v>
      </c>
      <c r="FR11" s="169">
        <f t="shared" si="103"/>
        <v>0</v>
      </c>
      <c r="FS11" s="169"/>
      <c r="FT11" s="170">
        <f t="shared" si="104"/>
        <v>0</v>
      </c>
      <c r="FU11" s="179">
        <f t="shared" si="105"/>
        <v>0</v>
      </c>
      <c r="FV11" s="180" t="e">
        <f>(FT11/#REF!)*100</f>
        <v>#REF!</v>
      </c>
      <c r="FW11" s="169">
        <f t="shared" si="106"/>
        <v>0</v>
      </c>
      <c r="FX11" s="169"/>
      <c r="FY11" s="170">
        <f t="shared" si="107"/>
        <v>0</v>
      </c>
      <c r="FZ11" s="179">
        <f t="shared" si="108"/>
        <v>0</v>
      </c>
      <c r="GA11" s="180" t="e">
        <f>(FY11/#REF!)*100</f>
        <v>#REF!</v>
      </c>
      <c r="GB11" s="219"/>
      <c r="GC11" s="225">
        <f t="shared" si="1"/>
        <v>8819</v>
      </c>
      <c r="GD11" s="222"/>
      <c r="GE11" s="225">
        <f t="shared" si="2"/>
        <v>7804</v>
      </c>
      <c r="GF11" s="222"/>
      <c r="GG11" s="225">
        <f t="shared" si="3"/>
        <v>3300</v>
      </c>
      <c r="GH11" s="222"/>
      <c r="GI11" s="225">
        <f t="shared" si="4"/>
        <v>1332</v>
      </c>
      <c r="GJ11" s="222"/>
      <c r="GK11" s="225">
        <f t="shared" si="5"/>
        <v>730</v>
      </c>
      <c r="GL11" s="222"/>
      <c r="GM11" s="225">
        <f t="shared" si="6"/>
        <v>0</v>
      </c>
      <c r="GN11" s="222"/>
    </row>
    <row r="12" spans="1:196" s="3" customFormat="1" ht="13.5" customHeight="1">
      <c r="A12" s="213">
        <v>8</v>
      </c>
      <c r="B12" s="216" t="e">
        <f>#REF!</f>
        <v>#REF!</v>
      </c>
      <c r="C12" s="211">
        <f t="shared" si="7"/>
        <v>27445136</v>
      </c>
      <c r="D12" s="167">
        <v>27449211</v>
      </c>
      <c r="E12" s="168">
        <f t="shared" si="8"/>
        <v>4075</v>
      </c>
      <c r="F12" s="175">
        <f t="shared" si="9"/>
        <v>-281</v>
      </c>
      <c r="G12" s="176" t="e">
        <f>(E12/#REF!)*100</f>
        <v>#REF!</v>
      </c>
      <c r="H12" s="186">
        <f t="shared" si="10"/>
        <v>25387736</v>
      </c>
      <c r="I12" s="167">
        <v>25392230</v>
      </c>
      <c r="J12" s="167">
        <f t="shared" si="11"/>
        <v>4494</v>
      </c>
      <c r="K12" s="187">
        <f t="shared" si="12"/>
        <v>31</v>
      </c>
      <c r="L12" s="188" t="e">
        <f>(J12/#REF!)*100</f>
        <v>#REF!</v>
      </c>
      <c r="M12" s="172">
        <f t="shared" si="13"/>
        <v>93266210</v>
      </c>
      <c r="N12" s="169">
        <v>93277416</v>
      </c>
      <c r="O12" s="170">
        <f t="shared" si="14"/>
        <v>11206</v>
      </c>
      <c r="P12" s="179">
        <f t="shared" si="15"/>
        <v>-1130</v>
      </c>
      <c r="Q12" s="180" t="e">
        <f>(O12/#REF!)*100</f>
        <v>#REF!</v>
      </c>
      <c r="R12" s="351">
        <f t="shared" si="16"/>
        <v>3305000</v>
      </c>
      <c r="S12" s="347">
        <v>3307300</v>
      </c>
      <c r="T12" s="352">
        <f t="shared" si="17"/>
        <v>2300</v>
      </c>
      <c r="U12" s="353">
        <f t="shared" si="18"/>
        <v>-100</v>
      </c>
      <c r="V12" s="354" t="e">
        <f>(T12/#REF!)*100</f>
        <v>#REF!</v>
      </c>
      <c r="W12" s="169">
        <f t="shared" si="19"/>
        <v>4424568</v>
      </c>
      <c r="X12" s="169">
        <v>4427411</v>
      </c>
      <c r="Y12" s="170">
        <f t="shared" si="20"/>
        <v>2843</v>
      </c>
      <c r="Z12" s="179">
        <f t="shared" si="21"/>
        <v>-131</v>
      </c>
      <c r="AA12" s="180" t="e">
        <f>(Y12/#REF!)*100</f>
        <v>#REF!</v>
      </c>
      <c r="AB12" s="347">
        <f t="shared" si="22"/>
        <v>2875100</v>
      </c>
      <c r="AC12" s="347">
        <v>2876700</v>
      </c>
      <c r="AD12" s="352">
        <f t="shared" si="0"/>
        <v>1600</v>
      </c>
      <c r="AE12" s="357">
        <f>AD12/WATER!V13</f>
        <v>5.2631578947368425</v>
      </c>
      <c r="AF12" s="353">
        <f t="shared" si="23"/>
        <v>-500</v>
      </c>
      <c r="AG12" s="354" t="e">
        <f>(AD12/#REF!)*100</f>
        <v>#REF!</v>
      </c>
      <c r="AH12" s="169">
        <f t="shared" si="24"/>
        <v>1137238</v>
      </c>
      <c r="AI12" s="169">
        <v>1137704</v>
      </c>
      <c r="AJ12" s="170">
        <f t="shared" si="25"/>
        <v>466</v>
      </c>
      <c r="AK12" s="179">
        <f t="shared" si="26"/>
        <v>19</v>
      </c>
      <c r="AL12" s="180" t="e">
        <f>(AJ12/#REF!)*100</f>
        <v>#REF!</v>
      </c>
      <c r="AM12" s="347">
        <f t="shared" si="27"/>
        <v>1166300</v>
      </c>
      <c r="AN12" s="347">
        <v>1167000</v>
      </c>
      <c r="AO12" s="352">
        <f t="shared" si="28"/>
        <v>700</v>
      </c>
      <c r="AP12" s="353">
        <f t="shared" si="29"/>
        <v>-100</v>
      </c>
      <c r="AQ12" s="354" t="e">
        <f>(AO12/#REF!)*100</f>
        <v>#REF!</v>
      </c>
      <c r="AR12" s="169">
        <f t="shared" si="30"/>
        <v>2628500</v>
      </c>
      <c r="AS12" s="169">
        <v>2630800</v>
      </c>
      <c r="AT12" s="170">
        <f t="shared" si="31"/>
        <v>2300</v>
      </c>
      <c r="AU12" s="179">
        <f t="shared" si="32"/>
        <v>-200</v>
      </c>
      <c r="AV12" s="180" t="e">
        <f>(AT12/#REF!)*100</f>
        <v>#REF!</v>
      </c>
      <c r="AW12" s="347">
        <f t="shared" si="33"/>
        <v>50960</v>
      </c>
      <c r="AX12" s="347">
        <v>51408</v>
      </c>
      <c r="AY12" s="352">
        <f t="shared" si="34"/>
        <v>448</v>
      </c>
      <c r="AZ12" s="353">
        <f t="shared" si="35"/>
        <v>16</v>
      </c>
      <c r="BA12" s="354" t="e">
        <f>(AY12/#REF!)*100</f>
        <v>#REF!</v>
      </c>
      <c r="BB12" s="169">
        <f t="shared" si="36"/>
        <v>1035000</v>
      </c>
      <c r="BC12" s="169">
        <v>1035400</v>
      </c>
      <c r="BD12" s="170">
        <f t="shared" si="37"/>
        <v>400</v>
      </c>
      <c r="BE12" s="179">
        <f t="shared" si="38"/>
        <v>-100</v>
      </c>
      <c r="BF12" s="180" t="e">
        <f>(BD12/#REF!)*100</f>
        <v>#REF!</v>
      </c>
      <c r="BG12" s="347">
        <f t="shared" si="39"/>
        <v>1100900</v>
      </c>
      <c r="BH12" s="347">
        <v>1101200</v>
      </c>
      <c r="BI12" s="352">
        <f t="shared" si="40"/>
        <v>300</v>
      </c>
      <c r="BJ12" s="353">
        <f t="shared" si="41"/>
        <v>-100</v>
      </c>
      <c r="BK12" s="354" t="e">
        <f>(BI12/#REF!)*100</f>
        <v>#REF!</v>
      </c>
      <c r="BL12" s="169">
        <f t="shared" si="42"/>
        <v>1645100</v>
      </c>
      <c r="BM12" s="169">
        <v>1645700</v>
      </c>
      <c r="BN12" s="170">
        <f t="shared" si="43"/>
        <v>600</v>
      </c>
      <c r="BO12" s="179">
        <f t="shared" si="44"/>
        <v>0</v>
      </c>
      <c r="BP12" s="180" t="e">
        <f>(BN12/#REF!)*100</f>
        <v>#REF!</v>
      </c>
      <c r="BQ12" s="347">
        <f t="shared" si="45"/>
        <v>150630</v>
      </c>
      <c r="BR12" s="347">
        <v>150750</v>
      </c>
      <c r="BS12" s="352">
        <f t="shared" si="46"/>
        <v>120</v>
      </c>
      <c r="BT12" s="353">
        <f t="shared" si="47"/>
        <v>-10</v>
      </c>
      <c r="BU12" s="354" t="e">
        <f>(BS12/#REF!)*100</f>
        <v>#REF!</v>
      </c>
      <c r="BV12" s="169">
        <f t="shared" si="48"/>
        <v>625310</v>
      </c>
      <c r="BW12" s="169">
        <v>625720</v>
      </c>
      <c r="BX12" s="170">
        <f t="shared" si="49"/>
        <v>410</v>
      </c>
      <c r="BY12" s="179">
        <f t="shared" si="50"/>
        <v>10</v>
      </c>
      <c r="BZ12" s="180" t="e">
        <f>(BX12/#REF!)*100</f>
        <v>#REF!</v>
      </c>
      <c r="CA12" s="347">
        <f t="shared" si="51"/>
        <v>1195300</v>
      </c>
      <c r="CB12" s="347">
        <v>1196500</v>
      </c>
      <c r="CC12" s="352">
        <f t="shared" si="52"/>
        <v>1200</v>
      </c>
      <c r="CD12" s="353">
        <f t="shared" si="53"/>
        <v>0</v>
      </c>
      <c r="CE12" s="354" t="e">
        <f>(CC12/#REF!)*100</f>
        <v>#REF!</v>
      </c>
      <c r="CF12" s="169">
        <f t="shared" si="54"/>
        <v>395740</v>
      </c>
      <c r="CG12" s="169">
        <v>396170</v>
      </c>
      <c r="CH12" s="170">
        <f t="shared" si="55"/>
        <v>430</v>
      </c>
      <c r="CI12" s="179">
        <f t="shared" si="56"/>
        <v>-40</v>
      </c>
      <c r="CJ12" s="180" t="e">
        <f>(CH12/#REF!)*100</f>
        <v>#REF!</v>
      </c>
      <c r="CK12" s="170">
        <f t="shared" si="57"/>
        <v>910830</v>
      </c>
      <c r="CL12" s="170">
        <v>911900</v>
      </c>
      <c r="CM12" s="170">
        <f t="shared" si="58"/>
        <v>1070</v>
      </c>
      <c r="CN12" s="179">
        <f t="shared" si="59"/>
        <v>-190</v>
      </c>
      <c r="CO12" s="180" t="e">
        <f>(CM12/#REF!)*100</f>
        <v>#REF!</v>
      </c>
      <c r="CP12" s="360">
        <f t="shared" si="110"/>
        <v>757150</v>
      </c>
      <c r="CQ12" s="360">
        <v>757990</v>
      </c>
      <c r="CR12" s="364">
        <f t="shared" si="109"/>
        <v>840</v>
      </c>
      <c r="CS12" s="365">
        <f t="shared" si="60"/>
        <v>-190</v>
      </c>
      <c r="CT12" s="366" t="e">
        <f>(CR12/#REF!)*100</f>
        <v>#REF!</v>
      </c>
      <c r="CU12" s="169">
        <f t="shared" si="61"/>
        <v>624430</v>
      </c>
      <c r="CV12" s="169">
        <v>625100</v>
      </c>
      <c r="CW12" s="170">
        <f t="shared" si="62"/>
        <v>670</v>
      </c>
      <c r="CX12" s="179">
        <f t="shared" si="63"/>
        <v>-90</v>
      </c>
      <c r="CY12" s="180" t="e">
        <f>(CW12/#REF!)*100</f>
        <v>#REF!</v>
      </c>
      <c r="CZ12" s="360">
        <f t="shared" si="64"/>
        <v>1044500</v>
      </c>
      <c r="DA12" s="360">
        <v>1045300</v>
      </c>
      <c r="DB12" s="368">
        <f t="shared" si="65"/>
        <v>800</v>
      </c>
      <c r="DC12" s="365">
        <f t="shared" si="66"/>
        <v>-500</v>
      </c>
      <c r="DD12" s="366" t="e">
        <f>(DB12/#REF!)*100</f>
        <v>#REF!</v>
      </c>
      <c r="DE12" s="169">
        <f t="shared" si="67"/>
        <v>801600</v>
      </c>
      <c r="DF12" s="169">
        <v>802300</v>
      </c>
      <c r="DG12" s="170">
        <f t="shared" si="68"/>
        <v>700</v>
      </c>
      <c r="DH12" s="179">
        <f t="shared" si="69"/>
        <v>-20</v>
      </c>
      <c r="DI12" s="180" t="e">
        <f>(DG12/#REF!)*100</f>
        <v>#REF!</v>
      </c>
      <c r="DJ12" s="360">
        <f t="shared" si="70"/>
        <v>690670</v>
      </c>
      <c r="DK12" s="360">
        <v>691180</v>
      </c>
      <c r="DL12" s="368">
        <f t="shared" si="71"/>
        <v>510</v>
      </c>
      <c r="DM12" s="365">
        <f t="shared" si="72"/>
        <v>-40</v>
      </c>
      <c r="DN12" s="366" t="e">
        <f>(DL12/#REF!)*100</f>
        <v>#REF!</v>
      </c>
      <c r="DO12" s="169">
        <f t="shared" si="73"/>
        <v>374570</v>
      </c>
      <c r="DP12" s="169">
        <v>374900</v>
      </c>
      <c r="DQ12" s="170">
        <f t="shared" si="74"/>
        <v>330</v>
      </c>
      <c r="DR12" s="179">
        <f t="shared" si="75"/>
        <v>-20</v>
      </c>
      <c r="DS12" s="180" t="e">
        <f>(DQ12/#REF!)*100</f>
        <v>#REF!</v>
      </c>
      <c r="DT12" s="360">
        <f t="shared" si="76"/>
        <v>126940</v>
      </c>
      <c r="DU12" s="360">
        <v>127060</v>
      </c>
      <c r="DV12" s="368">
        <f t="shared" si="77"/>
        <v>120</v>
      </c>
      <c r="DW12" s="365">
        <f t="shared" si="78"/>
        <v>-20</v>
      </c>
      <c r="DX12" s="366" t="e">
        <f>(DV12/#REF!)*100</f>
        <v>#REF!</v>
      </c>
      <c r="DY12" s="169">
        <f t="shared" si="79"/>
        <v>814320</v>
      </c>
      <c r="DZ12" s="169">
        <v>815170</v>
      </c>
      <c r="EA12" s="170">
        <f t="shared" si="80"/>
        <v>850</v>
      </c>
      <c r="EB12" s="179">
        <f t="shared" si="81"/>
        <v>-220</v>
      </c>
      <c r="EC12" s="180" t="e">
        <f>(EA12/#REF!)*100</f>
        <v>#REF!</v>
      </c>
      <c r="ED12" s="360">
        <f t="shared" si="82"/>
        <v>257920</v>
      </c>
      <c r="EE12" s="360">
        <v>258220</v>
      </c>
      <c r="EF12" s="368">
        <f t="shared" si="83"/>
        <v>300</v>
      </c>
      <c r="EG12" s="365">
        <f t="shared" si="84"/>
        <v>-40</v>
      </c>
      <c r="EH12" s="366" t="e">
        <f>(EF12/#REF!)*100</f>
        <v>#REF!</v>
      </c>
      <c r="EI12" s="169">
        <f t="shared" si="85"/>
        <v>294170</v>
      </c>
      <c r="EJ12" s="169">
        <v>294550</v>
      </c>
      <c r="EK12" s="170">
        <f t="shared" si="86"/>
        <v>380</v>
      </c>
      <c r="EL12" s="179">
        <f t="shared" si="87"/>
        <v>-100</v>
      </c>
      <c r="EM12" s="180" t="e">
        <f>(EK12/#REF!)*100</f>
        <v>#REF!</v>
      </c>
      <c r="EN12" s="360">
        <f t="shared" si="88"/>
        <v>477380</v>
      </c>
      <c r="EO12" s="360">
        <v>477890</v>
      </c>
      <c r="EP12" s="368">
        <f t="shared" si="89"/>
        <v>510</v>
      </c>
      <c r="EQ12" s="365">
        <f t="shared" si="90"/>
        <v>-30</v>
      </c>
      <c r="ER12" s="366" t="e">
        <f>(EP12/#REF!)*100</f>
        <v>#REF!</v>
      </c>
      <c r="ES12" s="169">
        <f t="shared" si="91"/>
        <v>0</v>
      </c>
      <c r="ET12" s="169"/>
      <c r="EU12" s="170">
        <f t="shared" si="92"/>
        <v>0</v>
      </c>
      <c r="EV12" s="179">
        <f t="shared" si="93"/>
        <v>0</v>
      </c>
      <c r="EW12" s="180" t="e">
        <f>(EU12/#REF!)*100</f>
        <v>#REF!</v>
      </c>
      <c r="EX12" s="169">
        <f t="shared" si="94"/>
        <v>0</v>
      </c>
      <c r="EY12" s="169"/>
      <c r="EZ12" s="170">
        <f t="shared" si="95"/>
        <v>0</v>
      </c>
      <c r="FA12" s="179">
        <f t="shared" si="96"/>
        <v>0</v>
      </c>
      <c r="FB12" s="180" t="e">
        <f>(EZ12/#REF!)*100</f>
        <v>#REF!</v>
      </c>
      <c r="FC12" s="169">
        <f t="shared" si="97"/>
        <v>0</v>
      </c>
      <c r="FD12" s="169"/>
      <c r="FE12" s="170">
        <f t="shared" si="98"/>
        <v>0</v>
      </c>
      <c r="FF12" s="179">
        <f t="shared" si="99"/>
        <v>0</v>
      </c>
      <c r="FG12" s="180" t="e">
        <f>(FE12/#REF!)*100</f>
        <v>#REF!</v>
      </c>
      <c r="FH12" s="241"/>
      <c r="FI12" s="241"/>
      <c r="FJ12" s="241"/>
      <c r="FK12" s="241"/>
      <c r="FL12" s="241"/>
      <c r="FM12" s="169">
        <f t="shared" si="100"/>
        <v>0</v>
      </c>
      <c r="FN12" s="169"/>
      <c r="FO12" s="170">
        <f t="shared" si="101"/>
        <v>0</v>
      </c>
      <c r="FP12" s="179">
        <f t="shared" si="102"/>
        <v>0</v>
      </c>
      <c r="FQ12" s="180" t="e">
        <f>(FO12/#REF!)*100</f>
        <v>#REF!</v>
      </c>
      <c r="FR12" s="169">
        <f t="shared" si="103"/>
        <v>0</v>
      </c>
      <c r="FS12" s="169"/>
      <c r="FT12" s="170">
        <f t="shared" si="104"/>
        <v>0</v>
      </c>
      <c r="FU12" s="179">
        <f t="shared" si="105"/>
        <v>0</v>
      </c>
      <c r="FV12" s="180" t="e">
        <f>(FT12/#REF!)*100</f>
        <v>#REF!</v>
      </c>
      <c r="FW12" s="169">
        <f t="shared" si="106"/>
        <v>0</v>
      </c>
      <c r="FX12" s="169"/>
      <c r="FY12" s="170">
        <f t="shared" si="107"/>
        <v>0</v>
      </c>
      <c r="FZ12" s="179">
        <f t="shared" si="108"/>
        <v>0</v>
      </c>
      <c r="GA12" s="180" t="e">
        <f>(FY12/#REF!)*100</f>
        <v>#REF!</v>
      </c>
      <c r="GB12" s="219"/>
      <c r="GC12" s="225">
        <f t="shared" si="1"/>
        <v>8569</v>
      </c>
      <c r="GD12" s="222"/>
      <c r="GE12" s="225">
        <f t="shared" si="2"/>
        <v>7183</v>
      </c>
      <c r="GF12" s="222"/>
      <c r="GG12" s="225">
        <f t="shared" si="3"/>
        <v>3000</v>
      </c>
      <c r="GH12" s="222"/>
      <c r="GI12" s="225">
        <f t="shared" si="4"/>
        <v>1148</v>
      </c>
      <c r="GJ12" s="222"/>
      <c r="GK12" s="225">
        <f>SUM(BN12+BS12+EU12)</f>
        <v>720</v>
      </c>
      <c r="GL12" s="222"/>
      <c r="GM12" s="225">
        <f>SUM(EZ12+FE12)</f>
        <v>0</v>
      </c>
      <c r="GN12" s="222"/>
    </row>
    <row r="13" spans="1:196" s="3" customFormat="1" ht="13.5" customHeight="1">
      <c r="A13" s="213">
        <v>9</v>
      </c>
      <c r="B13" s="216" t="e">
        <f>#REF!</f>
        <v>#REF!</v>
      </c>
      <c r="C13" s="211">
        <f t="shared" si="7"/>
        <v>27449211</v>
      </c>
      <c r="D13" s="167">
        <v>27453181</v>
      </c>
      <c r="E13" s="168">
        <f t="shared" si="8"/>
        <v>3970</v>
      </c>
      <c r="F13" s="175">
        <f t="shared" si="9"/>
        <v>-105</v>
      </c>
      <c r="G13" s="176" t="e">
        <f>(E13/#REF!)*100</f>
        <v>#REF!</v>
      </c>
      <c r="H13" s="186">
        <f t="shared" si="10"/>
        <v>25392230</v>
      </c>
      <c r="I13" s="167">
        <v>25396925</v>
      </c>
      <c r="J13" s="167">
        <f t="shared" si="11"/>
        <v>4695</v>
      </c>
      <c r="K13" s="187">
        <f t="shared" si="12"/>
        <v>201</v>
      </c>
      <c r="L13" s="188" t="e">
        <f>(J13/#REF!)*100</f>
        <v>#REF!</v>
      </c>
      <c r="M13" s="172">
        <f t="shared" si="13"/>
        <v>93277416</v>
      </c>
      <c r="N13" s="169">
        <v>93288831</v>
      </c>
      <c r="O13" s="170">
        <f t="shared" si="14"/>
        <v>11415</v>
      </c>
      <c r="P13" s="179">
        <f t="shared" si="15"/>
        <v>209</v>
      </c>
      <c r="Q13" s="180" t="e">
        <f>(O13/#REF!)*100</f>
        <v>#REF!</v>
      </c>
      <c r="R13" s="351">
        <f t="shared" si="16"/>
        <v>3307300</v>
      </c>
      <c r="S13" s="347">
        <v>3309500</v>
      </c>
      <c r="T13" s="352">
        <f t="shared" si="17"/>
        <v>2200</v>
      </c>
      <c r="U13" s="353">
        <f t="shared" si="18"/>
        <v>-100</v>
      </c>
      <c r="V13" s="354" t="e">
        <f>(T13/#REF!)*100</f>
        <v>#REF!</v>
      </c>
      <c r="W13" s="169">
        <f t="shared" si="19"/>
        <v>4427411</v>
      </c>
      <c r="X13" s="169">
        <v>4430377</v>
      </c>
      <c r="Y13" s="170">
        <f t="shared" si="20"/>
        <v>2966</v>
      </c>
      <c r="Z13" s="179">
        <f t="shared" si="21"/>
        <v>123</v>
      </c>
      <c r="AA13" s="180" t="e">
        <f>(Y13/#REF!)*100</f>
        <v>#REF!</v>
      </c>
      <c r="AB13" s="347">
        <f t="shared" si="22"/>
        <v>2876700</v>
      </c>
      <c r="AC13" s="347">
        <v>2878300</v>
      </c>
      <c r="AD13" s="352">
        <f t="shared" si="0"/>
        <v>1600</v>
      </c>
      <c r="AE13" s="357">
        <f>AD13/WATER!V14</f>
        <v>4.833836858006042</v>
      </c>
      <c r="AF13" s="353">
        <f t="shared" si="23"/>
        <v>0</v>
      </c>
      <c r="AG13" s="354" t="e">
        <f>(AD13/#REF!)*100</f>
        <v>#REF!</v>
      </c>
      <c r="AH13" s="169">
        <f t="shared" si="24"/>
        <v>1137704</v>
      </c>
      <c r="AI13" s="169">
        <v>1138179</v>
      </c>
      <c r="AJ13" s="170">
        <f t="shared" si="25"/>
        <v>475</v>
      </c>
      <c r="AK13" s="179">
        <f t="shared" si="26"/>
        <v>9</v>
      </c>
      <c r="AL13" s="180" t="e">
        <f>(AJ13/#REF!)*100</f>
        <v>#REF!</v>
      </c>
      <c r="AM13" s="347">
        <f t="shared" si="27"/>
        <v>1167000</v>
      </c>
      <c r="AN13" s="347">
        <v>1167700</v>
      </c>
      <c r="AO13" s="352">
        <f t="shared" si="28"/>
        <v>700</v>
      </c>
      <c r="AP13" s="353">
        <f t="shared" si="29"/>
        <v>0</v>
      </c>
      <c r="AQ13" s="354" t="e">
        <f>(AO13/#REF!)*100</f>
        <v>#REF!</v>
      </c>
      <c r="AR13" s="169">
        <f t="shared" si="30"/>
        <v>2630800</v>
      </c>
      <c r="AS13" s="169">
        <v>2632700</v>
      </c>
      <c r="AT13" s="170">
        <f t="shared" si="31"/>
        <v>1900</v>
      </c>
      <c r="AU13" s="179">
        <f t="shared" si="32"/>
        <v>-400</v>
      </c>
      <c r="AV13" s="180" t="e">
        <f>(AT13/#REF!)*100</f>
        <v>#REF!</v>
      </c>
      <c r="AW13" s="347">
        <f t="shared" si="33"/>
        <v>51408</v>
      </c>
      <c r="AX13" s="347">
        <v>51880</v>
      </c>
      <c r="AY13" s="352">
        <f t="shared" si="34"/>
        <v>472</v>
      </c>
      <c r="AZ13" s="353">
        <f t="shared" si="35"/>
        <v>24</v>
      </c>
      <c r="BA13" s="354" t="e">
        <f>(AY13/#REF!)*100</f>
        <v>#REF!</v>
      </c>
      <c r="BB13" s="169">
        <f t="shared" si="36"/>
        <v>1035400</v>
      </c>
      <c r="BC13" s="169">
        <v>1035800</v>
      </c>
      <c r="BD13" s="170">
        <f t="shared" si="37"/>
        <v>400</v>
      </c>
      <c r="BE13" s="179">
        <f t="shared" si="38"/>
        <v>0</v>
      </c>
      <c r="BF13" s="180" t="e">
        <f>(BD13/#REF!)*100</f>
        <v>#REF!</v>
      </c>
      <c r="BG13" s="347">
        <f t="shared" si="39"/>
        <v>1101200</v>
      </c>
      <c r="BH13" s="347">
        <v>1101400</v>
      </c>
      <c r="BI13" s="352">
        <f t="shared" si="40"/>
        <v>200</v>
      </c>
      <c r="BJ13" s="353">
        <f t="shared" si="41"/>
        <v>-100</v>
      </c>
      <c r="BK13" s="354" t="e">
        <f>(BI13/#REF!)*100</f>
        <v>#REF!</v>
      </c>
      <c r="BL13" s="169">
        <f t="shared" si="42"/>
        <v>1645700</v>
      </c>
      <c r="BM13" s="169">
        <v>1646300</v>
      </c>
      <c r="BN13" s="170">
        <f t="shared" si="43"/>
        <v>600</v>
      </c>
      <c r="BO13" s="179">
        <f t="shared" si="44"/>
        <v>0</v>
      </c>
      <c r="BP13" s="180" t="e">
        <f>(BN13/#REF!)*100</f>
        <v>#REF!</v>
      </c>
      <c r="BQ13" s="347">
        <f t="shared" si="45"/>
        <v>150750</v>
      </c>
      <c r="BR13" s="347">
        <v>150880</v>
      </c>
      <c r="BS13" s="352">
        <f t="shared" si="46"/>
        <v>130</v>
      </c>
      <c r="BT13" s="353">
        <f t="shared" si="47"/>
        <v>10</v>
      </c>
      <c r="BU13" s="354" t="e">
        <f>(BS13/#REF!)*100</f>
        <v>#REF!</v>
      </c>
      <c r="BV13" s="169">
        <f t="shared" si="48"/>
        <v>625720</v>
      </c>
      <c r="BW13" s="169">
        <v>626150</v>
      </c>
      <c r="BX13" s="170">
        <f t="shared" si="49"/>
        <v>430</v>
      </c>
      <c r="BY13" s="179">
        <f t="shared" si="50"/>
        <v>20</v>
      </c>
      <c r="BZ13" s="180" t="e">
        <f>(BX13/#REF!)*100</f>
        <v>#REF!</v>
      </c>
      <c r="CA13" s="347">
        <f t="shared" si="51"/>
        <v>1196500</v>
      </c>
      <c r="CB13" s="347">
        <v>1197700</v>
      </c>
      <c r="CC13" s="352">
        <f t="shared" si="52"/>
        <v>1200</v>
      </c>
      <c r="CD13" s="353">
        <f t="shared" si="53"/>
        <v>0</v>
      </c>
      <c r="CE13" s="354" t="e">
        <f>(CC13/#REF!)*100</f>
        <v>#REF!</v>
      </c>
      <c r="CF13" s="169">
        <f t="shared" si="54"/>
        <v>396170</v>
      </c>
      <c r="CG13" s="169">
        <v>396610</v>
      </c>
      <c r="CH13" s="170">
        <f t="shared" si="55"/>
        <v>440</v>
      </c>
      <c r="CI13" s="179">
        <f t="shared" si="56"/>
        <v>10</v>
      </c>
      <c r="CJ13" s="180" t="e">
        <f>(CH13/#REF!)*100</f>
        <v>#REF!</v>
      </c>
      <c r="CK13" s="170">
        <f t="shared" si="57"/>
        <v>911900</v>
      </c>
      <c r="CL13" s="170">
        <v>912950</v>
      </c>
      <c r="CM13" s="170">
        <f t="shared" si="58"/>
        <v>1050</v>
      </c>
      <c r="CN13" s="179">
        <f t="shared" si="59"/>
        <v>-20</v>
      </c>
      <c r="CO13" s="180" t="e">
        <f>(CM13/#REF!)*100</f>
        <v>#REF!</v>
      </c>
      <c r="CP13" s="360">
        <f t="shared" si="110"/>
        <v>757990</v>
      </c>
      <c r="CQ13" s="360">
        <v>759030</v>
      </c>
      <c r="CR13" s="364">
        <f t="shared" si="109"/>
        <v>1040</v>
      </c>
      <c r="CS13" s="365">
        <f t="shared" si="60"/>
        <v>200</v>
      </c>
      <c r="CT13" s="366" t="e">
        <f>(CR13/#REF!)*100</f>
        <v>#REF!</v>
      </c>
      <c r="CU13" s="169">
        <f t="shared" si="61"/>
        <v>625100</v>
      </c>
      <c r="CV13" s="169">
        <v>626040</v>
      </c>
      <c r="CW13" s="170">
        <f t="shared" si="62"/>
        <v>940</v>
      </c>
      <c r="CX13" s="179">
        <f t="shared" si="63"/>
        <v>270</v>
      </c>
      <c r="CY13" s="180" t="e">
        <f>(CW13/#REF!)*100</f>
        <v>#REF!</v>
      </c>
      <c r="CZ13" s="360">
        <f t="shared" si="64"/>
        <v>1045300</v>
      </c>
      <c r="DA13" s="360">
        <v>1046500</v>
      </c>
      <c r="DB13" s="368">
        <f t="shared" si="65"/>
        <v>1200</v>
      </c>
      <c r="DC13" s="365">
        <f t="shared" si="66"/>
        <v>400</v>
      </c>
      <c r="DD13" s="366" t="e">
        <f>(DB13/#REF!)*100</f>
        <v>#REF!</v>
      </c>
      <c r="DE13" s="169">
        <f t="shared" si="67"/>
        <v>802300</v>
      </c>
      <c r="DF13" s="169">
        <v>803060</v>
      </c>
      <c r="DG13" s="170">
        <f t="shared" si="68"/>
        <v>760</v>
      </c>
      <c r="DH13" s="179">
        <f t="shared" si="69"/>
        <v>60</v>
      </c>
      <c r="DI13" s="180" t="e">
        <f>(DG13/#REF!)*100</f>
        <v>#REF!</v>
      </c>
      <c r="DJ13" s="360">
        <f t="shared" si="70"/>
        <v>691180</v>
      </c>
      <c r="DK13" s="360">
        <v>691750</v>
      </c>
      <c r="DL13" s="368">
        <f t="shared" si="71"/>
        <v>570</v>
      </c>
      <c r="DM13" s="365">
        <f t="shared" si="72"/>
        <v>60</v>
      </c>
      <c r="DN13" s="366" t="e">
        <f>(DL13/#REF!)*100</f>
        <v>#REF!</v>
      </c>
      <c r="DO13" s="169">
        <f t="shared" si="73"/>
        <v>374900</v>
      </c>
      <c r="DP13" s="169">
        <v>375220</v>
      </c>
      <c r="DQ13" s="170">
        <f t="shared" si="74"/>
        <v>320</v>
      </c>
      <c r="DR13" s="179">
        <f t="shared" si="75"/>
        <v>-10</v>
      </c>
      <c r="DS13" s="180" t="e">
        <f>(DQ13/#REF!)*100</f>
        <v>#REF!</v>
      </c>
      <c r="DT13" s="360">
        <f t="shared" si="76"/>
        <v>127060</v>
      </c>
      <c r="DU13" s="360">
        <v>127160</v>
      </c>
      <c r="DV13" s="368">
        <f t="shared" si="77"/>
        <v>100</v>
      </c>
      <c r="DW13" s="365">
        <f t="shared" si="78"/>
        <v>-20</v>
      </c>
      <c r="DX13" s="366" t="e">
        <f>(DV13/#REF!)*100</f>
        <v>#REF!</v>
      </c>
      <c r="DY13" s="169">
        <f t="shared" si="79"/>
        <v>815170</v>
      </c>
      <c r="DZ13" s="169">
        <v>816090</v>
      </c>
      <c r="EA13" s="170">
        <f t="shared" si="80"/>
        <v>920</v>
      </c>
      <c r="EB13" s="179">
        <f t="shared" si="81"/>
        <v>70</v>
      </c>
      <c r="EC13" s="180" t="e">
        <f>(EA13/#REF!)*100</f>
        <v>#REF!</v>
      </c>
      <c r="ED13" s="360">
        <f t="shared" si="82"/>
        <v>258220</v>
      </c>
      <c r="EE13" s="360">
        <v>258510</v>
      </c>
      <c r="EF13" s="368">
        <f t="shared" si="83"/>
        <v>290</v>
      </c>
      <c r="EG13" s="365">
        <f t="shared" si="84"/>
        <v>-10</v>
      </c>
      <c r="EH13" s="366" t="e">
        <f>(EF13/#REF!)*100</f>
        <v>#REF!</v>
      </c>
      <c r="EI13" s="169">
        <f t="shared" si="85"/>
        <v>294550</v>
      </c>
      <c r="EJ13" s="169">
        <v>294910</v>
      </c>
      <c r="EK13" s="170">
        <f t="shared" si="86"/>
        <v>360</v>
      </c>
      <c r="EL13" s="179">
        <f t="shared" si="87"/>
        <v>-20</v>
      </c>
      <c r="EM13" s="180" t="e">
        <f>(EK13/#REF!)*100</f>
        <v>#REF!</v>
      </c>
      <c r="EN13" s="360">
        <f t="shared" si="88"/>
        <v>477890</v>
      </c>
      <c r="EO13" s="360">
        <v>478450</v>
      </c>
      <c r="EP13" s="368">
        <f t="shared" si="89"/>
        <v>560</v>
      </c>
      <c r="EQ13" s="365">
        <f t="shared" si="90"/>
        <v>50</v>
      </c>
      <c r="ER13" s="366" t="e">
        <f>(EP13/#REF!)*100</f>
        <v>#REF!</v>
      </c>
      <c r="ES13" s="169">
        <f t="shared" si="91"/>
        <v>0</v>
      </c>
      <c r="ET13" s="169"/>
      <c r="EU13" s="170">
        <f t="shared" si="92"/>
        <v>0</v>
      </c>
      <c r="EV13" s="179">
        <f t="shared" si="93"/>
        <v>0</v>
      </c>
      <c r="EW13" s="180" t="e">
        <f>(EU13/#REF!)*100</f>
        <v>#REF!</v>
      </c>
      <c r="EX13" s="169">
        <f t="shared" si="94"/>
        <v>0</v>
      </c>
      <c r="EY13" s="169"/>
      <c r="EZ13" s="170">
        <f t="shared" si="95"/>
        <v>0</v>
      </c>
      <c r="FA13" s="179">
        <f t="shared" si="96"/>
        <v>0</v>
      </c>
      <c r="FB13" s="180" t="e">
        <f>(EZ13/#REF!)*100</f>
        <v>#REF!</v>
      </c>
      <c r="FC13" s="169">
        <f t="shared" si="97"/>
        <v>0</v>
      </c>
      <c r="FD13" s="169"/>
      <c r="FE13" s="170">
        <f t="shared" si="98"/>
        <v>0</v>
      </c>
      <c r="FF13" s="179">
        <f t="shared" si="99"/>
        <v>0</v>
      </c>
      <c r="FG13" s="180" t="e">
        <f>(FE13/#REF!)*100</f>
        <v>#REF!</v>
      </c>
      <c r="FH13" s="241"/>
      <c r="FI13" s="241"/>
      <c r="FJ13" s="241"/>
      <c r="FK13" s="241"/>
      <c r="FL13" s="241"/>
      <c r="FM13" s="169">
        <f t="shared" si="100"/>
        <v>0</v>
      </c>
      <c r="FN13" s="169"/>
      <c r="FO13" s="170">
        <f t="shared" si="101"/>
        <v>0</v>
      </c>
      <c r="FP13" s="179">
        <f t="shared" si="102"/>
        <v>0</v>
      </c>
      <c r="FQ13" s="180" t="e">
        <f>(FO13/#REF!)*100</f>
        <v>#REF!</v>
      </c>
      <c r="FR13" s="169">
        <f t="shared" si="103"/>
        <v>0</v>
      </c>
      <c r="FS13" s="169"/>
      <c r="FT13" s="170">
        <f t="shared" si="104"/>
        <v>0</v>
      </c>
      <c r="FU13" s="179">
        <f t="shared" si="105"/>
        <v>0</v>
      </c>
      <c r="FV13" s="180" t="e">
        <f>(FT13/#REF!)*100</f>
        <v>#REF!</v>
      </c>
      <c r="FW13" s="169">
        <f t="shared" si="106"/>
        <v>0</v>
      </c>
      <c r="FX13" s="169"/>
      <c r="FY13" s="170">
        <f t="shared" si="107"/>
        <v>0</v>
      </c>
      <c r="FZ13" s="179">
        <f t="shared" si="108"/>
        <v>0</v>
      </c>
      <c r="GA13" s="180" t="e">
        <f>(FY13/#REF!)*100</f>
        <v>#REF!</v>
      </c>
      <c r="GB13" s="219"/>
      <c r="GC13" s="225">
        <f t="shared" si="1"/>
        <v>8665</v>
      </c>
      <c r="GD13" s="222"/>
      <c r="GE13" s="225">
        <f t="shared" si="2"/>
        <v>7296</v>
      </c>
      <c r="GF13" s="222"/>
      <c r="GG13" s="225">
        <f t="shared" si="3"/>
        <v>2600</v>
      </c>
      <c r="GH13" s="222"/>
      <c r="GI13" s="225">
        <f t="shared" si="4"/>
        <v>1072</v>
      </c>
      <c r="GJ13" s="222"/>
      <c r="GK13" s="225">
        <f t="shared" si="5"/>
        <v>730</v>
      </c>
      <c r="GL13" s="222"/>
      <c r="GM13" s="225">
        <f t="shared" si="6"/>
        <v>0</v>
      </c>
      <c r="GN13" s="222"/>
    </row>
    <row r="14" spans="1:196" s="3" customFormat="1" ht="13.5" customHeight="1">
      <c r="A14" s="213">
        <v>10</v>
      </c>
      <c r="B14" s="216" t="e">
        <f>#REF!</f>
        <v>#REF!</v>
      </c>
      <c r="C14" s="211">
        <f t="shared" si="7"/>
        <v>27453181</v>
      </c>
      <c r="D14" s="167">
        <v>27457020</v>
      </c>
      <c r="E14" s="168">
        <f t="shared" si="8"/>
        <v>3839</v>
      </c>
      <c r="F14" s="175">
        <f t="shared" si="9"/>
        <v>-131</v>
      </c>
      <c r="G14" s="176" t="e">
        <f>(E14/#REF!)*100</f>
        <v>#REF!</v>
      </c>
      <c r="H14" s="186">
        <f t="shared" si="10"/>
        <v>25396925</v>
      </c>
      <c r="I14" s="167">
        <v>25401063</v>
      </c>
      <c r="J14" s="167">
        <f t="shared" si="11"/>
        <v>4138</v>
      </c>
      <c r="K14" s="187">
        <f t="shared" si="12"/>
        <v>-557</v>
      </c>
      <c r="L14" s="188" t="e">
        <f>(J14/#REF!)*100</f>
        <v>#REF!</v>
      </c>
      <c r="M14" s="172">
        <f t="shared" si="13"/>
        <v>93288831</v>
      </c>
      <c r="N14" s="169">
        <v>93300024</v>
      </c>
      <c r="O14" s="170">
        <f t="shared" si="14"/>
        <v>11193</v>
      </c>
      <c r="P14" s="179">
        <f t="shared" si="15"/>
        <v>-222</v>
      </c>
      <c r="Q14" s="180" t="e">
        <f>(O14/#REF!)*100</f>
        <v>#REF!</v>
      </c>
      <c r="R14" s="351">
        <f t="shared" si="16"/>
        <v>3309500</v>
      </c>
      <c r="S14" s="347">
        <v>3311600</v>
      </c>
      <c r="T14" s="352">
        <f t="shared" si="17"/>
        <v>2100</v>
      </c>
      <c r="U14" s="353">
        <f t="shared" si="18"/>
        <v>-100</v>
      </c>
      <c r="V14" s="354" t="e">
        <f>(T14/#REF!)*100</f>
        <v>#REF!</v>
      </c>
      <c r="W14" s="169">
        <f t="shared" si="19"/>
        <v>4430377</v>
      </c>
      <c r="X14" s="169">
        <v>4433284</v>
      </c>
      <c r="Y14" s="170">
        <f t="shared" si="20"/>
        <v>2907</v>
      </c>
      <c r="Z14" s="179">
        <f t="shared" si="21"/>
        <v>-59</v>
      </c>
      <c r="AA14" s="180" t="e">
        <f>(Y14/#REF!)*100</f>
        <v>#REF!</v>
      </c>
      <c r="AB14" s="347">
        <f t="shared" si="22"/>
        <v>2878300</v>
      </c>
      <c r="AC14" s="347">
        <v>2879900</v>
      </c>
      <c r="AD14" s="352">
        <f t="shared" si="0"/>
        <v>1600</v>
      </c>
      <c r="AE14" s="357">
        <f>AD14/WATER!V15</f>
        <v>5.2287581699346406</v>
      </c>
      <c r="AF14" s="353">
        <f t="shared" si="23"/>
        <v>0</v>
      </c>
      <c r="AG14" s="354" t="e">
        <f>(AD14/#REF!)*100</f>
        <v>#REF!</v>
      </c>
      <c r="AH14" s="169">
        <f t="shared" si="24"/>
        <v>1138179</v>
      </c>
      <c r="AI14" s="169">
        <v>1138645</v>
      </c>
      <c r="AJ14" s="170">
        <f t="shared" si="25"/>
        <v>466</v>
      </c>
      <c r="AK14" s="179">
        <f t="shared" si="26"/>
        <v>-9</v>
      </c>
      <c r="AL14" s="180" t="e">
        <f>(AJ14/#REF!)*100</f>
        <v>#REF!</v>
      </c>
      <c r="AM14" s="347">
        <f t="shared" si="27"/>
        <v>1167700</v>
      </c>
      <c r="AN14" s="347">
        <v>1168500</v>
      </c>
      <c r="AO14" s="352">
        <f t="shared" si="28"/>
        <v>800</v>
      </c>
      <c r="AP14" s="353">
        <f t="shared" si="29"/>
        <v>100</v>
      </c>
      <c r="AQ14" s="354" t="e">
        <f>(AO14/#REF!)*100</f>
        <v>#REF!</v>
      </c>
      <c r="AR14" s="169">
        <f t="shared" si="30"/>
        <v>2632700</v>
      </c>
      <c r="AS14" s="169">
        <v>2634600</v>
      </c>
      <c r="AT14" s="170">
        <f t="shared" si="31"/>
        <v>1900</v>
      </c>
      <c r="AU14" s="179">
        <f t="shared" si="32"/>
        <v>0</v>
      </c>
      <c r="AV14" s="180" t="e">
        <f>(AT14/#REF!)*100</f>
        <v>#REF!</v>
      </c>
      <c r="AW14" s="347">
        <f t="shared" si="33"/>
        <v>51880</v>
      </c>
      <c r="AX14" s="347">
        <v>52310</v>
      </c>
      <c r="AY14" s="352">
        <f t="shared" si="34"/>
        <v>430</v>
      </c>
      <c r="AZ14" s="353">
        <f t="shared" si="35"/>
        <v>-42</v>
      </c>
      <c r="BA14" s="354" t="e">
        <f>(AY14/#REF!)*100</f>
        <v>#REF!</v>
      </c>
      <c r="BB14" s="169">
        <f t="shared" si="36"/>
        <v>1035800</v>
      </c>
      <c r="BC14" s="169">
        <v>1036300</v>
      </c>
      <c r="BD14" s="170">
        <f t="shared" si="37"/>
        <v>500</v>
      </c>
      <c r="BE14" s="179">
        <f t="shared" si="38"/>
        <v>100</v>
      </c>
      <c r="BF14" s="180" t="e">
        <f>(BD14/#REF!)*100</f>
        <v>#REF!</v>
      </c>
      <c r="BG14" s="347">
        <f t="shared" si="39"/>
        <v>1101400</v>
      </c>
      <c r="BH14" s="347">
        <v>1101700</v>
      </c>
      <c r="BI14" s="352">
        <f t="shared" si="40"/>
        <v>300</v>
      </c>
      <c r="BJ14" s="353">
        <f t="shared" si="41"/>
        <v>100</v>
      </c>
      <c r="BK14" s="354" t="e">
        <f>(BI14/#REF!)*100</f>
        <v>#REF!</v>
      </c>
      <c r="BL14" s="169">
        <f t="shared" si="42"/>
        <v>1646300</v>
      </c>
      <c r="BM14" s="169">
        <v>1646800</v>
      </c>
      <c r="BN14" s="170">
        <f t="shared" si="43"/>
        <v>500</v>
      </c>
      <c r="BO14" s="179">
        <f t="shared" si="44"/>
        <v>-100</v>
      </c>
      <c r="BP14" s="180" t="e">
        <f>(BN14/#REF!)*100</f>
        <v>#REF!</v>
      </c>
      <c r="BQ14" s="347">
        <f t="shared" si="45"/>
        <v>150880</v>
      </c>
      <c r="BR14" s="347">
        <v>151010</v>
      </c>
      <c r="BS14" s="352">
        <f t="shared" si="46"/>
        <v>130</v>
      </c>
      <c r="BT14" s="353">
        <f t="shared" si="47"/>
        <v>0</v>
      </c>
      <c r="BU14" s="354" t="e">
        <f>(BS14/#REF!)*100</f>
        <v>#REF!</v>
      </c>
      <c r="BV14" s="169">
        <f t="shared" si="48"/>
        <v>626150</v>
      </c>
      <c r="BW14" s="169">
        <v>626520</v>
      </c>
      <c r="BX14" s="170">
        <f t="shared" si="49"/>
        <v>370</v>
      </c>
      <c r="BY14" s="179">
        <f t="shared" si="50"/>
        <v>-60</v>
      </c>
      <c r="BZ14" s="180" t="e">
        <f>(BX14/#REF!)*100</f>
        <v>#REF!</v>
      </c>
      <c r="CA14" s="347">
        <f t="shared" si="51"/>
        <v>1197700</v>
      </c>
      <c r="CB14" s="347">
        <v>1198900</v>
      </c>
      <c r="CC14" s="352">
        <f t="shared" si="52"/>
        <v>1200</v>
      </c>
      <c r="CD14" s="353">
        <f t="shared" si="53"/>
        <v>0</v>
      </c>
      <c r="CE14" s="354" t="e">
        <f>(CC14/#REF!)*100</f>
        <v>#REF!</v>
      </c>
      <c r="CF14" s="169">
        <f t="shared" si="54"/>
        <v>396610</v>
      </c>
      <c r="CG14" s="169">
        <v>397020</v>
      </c>
      <c r="CH14" s="170">
        <f t="shared" si="55"/>
        <v>410</v>
      </c>
      <c r="CI14" s="179">
        <f t="shared" si="56"/>
        <v>-30</v>
      </c>
      <c r="CJ14" s="180" t="e">
        <f>(CH14/#REF!)*100</f>
        <v>#REF!</v>
      </c>
      <c r="CK14" s="170">
        <f t="shared" si="57"/>
        <v>912950</v>
      </c>
      <c r="CL14" s="170">
        <v>913720</v>
      </c>
      <c r="CM14" s="170">
        <f t="shared" si="58"/>
        <v>770</v>
      </c>
      <c r="CN14" s="179">
        <f>CM14-CM13</f>
        <v>-280</v>
      </c>
      <c r="CO14" s="180" t="e">
        <f>(CM14/#REF!)*100</f>
        <v>#REF!</v>
      </c>
      <c r="CP14" s="360">
        <f t="shared" si="110"/>
        <v>759030</v>
      </c>
      <c r="CQ14" s="360">
        <v>760020</v>
      </c>
      <c r="CR14" s="364">
        <f t="shared" si="109"/>
        <v>990</v>
      </c>
      <c r="CS14" s="365">
        <f t="shared" si="60"/>
        <v>-50</v>
      </c>
      <c r="CT14" s="366" t="e">
        <f>(CR14/#REF!)*100</f>
        <v>#REF!</v>
      </c>
      <c r="CU14" s="169">
        <f t="shared" si="61"/>
        <v>626040</v>
      </c>
      <c r="CV14" s="169">
        <v>626720</v>
      </c>
      <c r="CW14" s="170">
        <f t="shared" si="62"/>
        <v>680</v>
      </c>
      <c r="CX14" s="179">
        <f t="shared" si="63"/>
        <v>-260</v>
      </c>
      <c r="CY14" s="180" t="e">
        <f>(CW14/#REF!)*100</f>
        <v>#REF!</v>
      </c>
      <c r="CZ14" s="360">
        <f t="shared" si="64"/>
        <v>1046500</v>
      </c>
      <c r="DA14" s="360">
        <v>1047500</v>
      </c>
      <c r="DB14" s="368">
        <f t="shared" si="65"/>
        <v>1000</v>
      </c>
      <c r="DC14" s="365">
        <f t="shared" si="66"/>
        <v>-200</v>
      </c>
      <c r="DD14" s="366" t="e">
        <f>(DB14/#REF!)*100</f>
        <v>#REF!</v>
      </c>
      <c r="DE14" s="169">
        <f t="shared" si="67"/>
        <v>803060</v>
      </c>
      <c r="DF14" s="169">
        <v>803850</v>
      </c>
      <c r="DG14" s="170">
        <f t="shared" si="68"/>
        <v>790</v>
      </c>
      <c r="DH14" s="179">
        <f t="shared" si="69"/>
        <v>30</v>
      </c>
      <c r="DI14" s="180" t="e">
        <f>(DG14/#REF!)*100</f>
        <v>#REF!</v>
      </c>
      <c r="DJ14" s="360">
        <f t="shared" si="70"/>
        <v>691750</v>
      </c>
      <c r="DK14" s="360">
        <v>692330</v>
      </c>
      <c r="DL14" s="368">
        <f t="shared" si="71"/>
        <v>580</v>
      </c>
      <c r="DM14" s="365">
        <f t="shared" si="72"/>
        <v>10</v>
      </c>
      <c r="DN14" s="366" t="e">
        <f>(DL14/#REF!)*100</f>
        <v>#REF!</v>
      </c>
      <c r="DO14" s="169">
        <f t="shared" si="73"/>
        <v>375220</v>
      </c>
      <c r="DP14" s="169">
        <v>375540</v>
      </c>
      <c r="DQ14" s="170">
        <f t="shared" si="74"/>
        <v>320</v>
      </c>
      <c r="DR14" s="179">
        <f t="shared" si="75"/>
        <v>0</v>
      </c>
      <c r="DS14" s="180" t="e">
        <f>(DQ14/#REF!)*100</f>
        <v>#REF!</v>
      </c>
      <c r="DT14" s="360">
        <f t="shared" si="76"/>
        <v>127160</v>
      </c>
      <c r="DU14" s="360">
        <v>127300</v>
      </c>
      <c r="DV14" s="368">
        <f t="shared" si="77"/>
        <v>140</v>
      </c>
      <c r="DW14" s="365">
        <f t="shared" si="78"/>
        <v>40</v>
      </c>
      <c r="DX14" s="366" t="e">
        <f>(DV14/#REF!)*100</f>
        <v>#REF!</v>
      </c>
      <c r="DY14" s="169">
        <f t="shared" si="79"/>
        <v>816090</v>
      </c>
      <c r="DZ14" s="169">
        <v>817030</v>
      </c>
      <c r="EA14" s="170">
        <f t="shared" si="80"/>
        <v>940</v>
      </c>
      <c r="EB14" s="179">
        <f t="shared" si="81"/>
        <v>20</v>
      </c>
      <c r="EC14" s="180" t="e">
        <f>(EA14/#REF!)*100</f>
        <v>#REF!</v>
      </c>
      <c r="ED14" s="360">
        <f t="shared" si="82"/>
        <v>258510</v>
      </c>
      <c r="EE14" s="360">
        <v>258810</v>
      </c>
      <c r="EF14" s="368">
        <f t="shared" si="83"/>
        <v>300</v>
      </c>
      <c r="EG14" s="365">
        <f t="shared" si="84"/>
        <v>10</v>
      </c>
      <c r="EH14" s="366" t="e">
        <f>(EF14/#REF!)*100</f>
        <v>#REF!</v>
      </c>
      <c r="EI14" s="169">
        <f t="shared" si="85"/>
        <v>294910</v>
      </c>
      <c r="EJ14" s="169">
        <v>295340</v>
      </c>
      <c r="EK14" s="170">
        <f t="shared" si="86"/>
        <v>430</v>
      </c>
      <c r="EL14" s="179">
        <f t="shared" si="87"/>
        <v>70</v>
      </c>
      <c r="EM14" s="180" t="e">
        <f>(EK14/#REF!)*100</f>
        <v>#REF!</v>
      </c>
      <c r="EN14" s="360">
        <f t="shared" si="88"/>
        <v>478450</v>
      </c>
      <c r="EO14" s="360">
        <v>478970</v>
      </c>
      <c r="EP14" s="368">
        <f t="shared" si="89"/>
        <v>520</v>
      </c>
      <c r="EQ14" s="365">
        <f t="shared" si="90"/>
        <v>-40</v>
      </c>
      <c r="ER14" s="366" t="e">
        <f>(EP14/#REF!)*100</f>
        <v>#REF!</v>
      </c>
      <c r="ES14" s="169">
        <f t="shared" si="91"/>
        <v>0</v>
      </c>
      <c r="ET14" s="169"/>
      <c r="EU14" s="170">
        <f t="shared" si="92"/>
        <v>0</v>
      </c>
      <c r="EV14" s="179">
        <f t="shared" si="93"/>
        <v>0</v>
      </c>
      <c r="EW14" s="180" t="e">
        <f>(EU14/#REF!)*100</f>
        <v>#REF!</v>
      </c>
      <c r="EX14" s="169">
        <f t="shared" si="94"/>
        <v>0</v>
      </c>
      <c r="EY14" s="169"/>
      <c r="EZ14" s="170">
        <f t="shared" si="95"/>
        <v>0</v>
      </c>
      <c r="FA14" s="179">
        <f t="shared" si="96"/>
        <v>0</v>
      </c>
      <c r="FB14" s="180" t="e">
        <f>(EZ14/#REF!)*100</f>
        <v>#REF!</v>
      </c>
      <c r="FC14" s="169">
        <f t="shared" si="97"/>
        <v>0</v>
      </c>
      <c r="FD14" s="169"/>
      <c r="FE14" s="170">
        <f t="shared" si="98"/>
        <v>0</v>
      </c>
      <c r="FF14" s="179">
        <f t="shared" si="99"/>
        <v>0</v>
      </c>
      <c r="FG14" s="180" t="e">
        <f>(FE14/#REF!)*100</f>
        <v>#REF!</v>
      </c>
      <c r="FH14" s="241"/>
      <c r="FI14" s="241"/>
      <c r="FJ14" s="241"/>
      <c r="FK14" s="241"/>
      <c r="FL14" s="241"/>
      <c r="FM14" s="169">
        <f t="shared" si="100"/>
        <v>0</v>
      </c>
      <c r="FN14" s="169"/>
      <c r="FO14" s="170">
        <f t="shared" si="101"/>
        <v>0</v>
      </c>
      <c r="FP14" s="179">
        <f t="shared" si="102"/>
        <v>0</v>
      </c>
      <c r="FQ14" s="180" t="e">
        <f>(FO14/#REF!)*100</f>
        <v>#REF!</v>
      </c>
      <c r="FR14" s="169">
        <f t="shared" si="103"/>
        <v>0</v>
      </c>
      <c r="FS14" s="169"/>
      <c r="FT14" s="170">
        <f t="shared" si="104"/>
        <v>0</v>
      </c>
      <c r="FU14" s="179">
        <f t="shared" si="105"/>
        <v>0</v>
      </c>
      <c r="FV14" s="180" t="e">
        <f>(FT14/#REF!)*100</f>
        <v>#REF!</v>
      </c>
      <c r="FW14" s="169">
        <f t="shared" si="106"/>
        <v>0</v>
      </c>
      <c r="FX14" s="169"/>
      <c r="FY14" s="170">
        <f t="shared" si="107"/>
        <v>0</v>
      </c>
      <c r="FZ14" s="179">
        <f t="shared" si="108"/>
        <v>0</v>
      </c>
      <c r="GA14" s="180" t="e">
        <f>(FY14/#REF!)*100</f>
        <v>#REF!</v>
      </c>
      <c r="GB14" s="219"/>
      <c r="GC14" s="225">
        <f t="shared" si="1"/>
        <v>7977</v>
      </c>
      <c r="GD14" s="222"/>
      <c r="GE14" s="225">
        <f t="shared" si="2"/>
        <v>7197</v>
      </c>
      <c r="GF14" s="222"/>
      <c r="GG14" s="225">
        <f t="shared" si="3"/>
        <v>2700</v>
      </c>
      <c r="GH14" s="222"/>
      <c r="GI14" s="225">
        <f t="shared" si="4"/>
        <v>1230</v>
      </c>
      <c r="GJ14" s="222"/>
      <c r="GK14" s="225">
        <f t="shared" si="5"/>
        <v>630</v>
      </c>
      <c r="GL14" s="222"/>
      <c r="GM14" s="225">
        <f t="shared" si="6"/>
        <v>0</v>
      </c>
      <c r="GN14" s="222"/>
    </row>
    <row r="15" spans="1:196" s="3" customFormat="1" ht="13.5" customHeight="1">
      <c r="A15" s="213">
        <v>11</v>
      </c>
      <c r="B15" s="216" t="e">
        <f>#REF!</f>
        <v>#REF!</v>
      </c>
      <c r="C15" s="211">
        <f t="shared" si="7"/>
        <v>27457020</v>
      </c>
      <c r="D15" s="167">
        <v>27460649</v>
      </c>
      <c r="E15" s="168">
        <f t="shared" si="8"/>
        <v>3629</v>
      </c>
      <c r="F15" s="175">
        <f t="shared" si="9"/>
        <v>-210</v>
      </c>
      <c r="G15" s="176" t="e">
        <f>(E15/#REF!)*100</f>
        <v>#REF!</v>
      </c>
      <c r="H15" s="186">
        <f t="shared" si="10"/>
        <v>25401063</v>
      </c>
      <c r="I15" s="167">
        <v>25404922</v>
      </c>
      <c r="J15" s="167">
        <f t="shared" si="11"/>
        <v>3859</v>
      </c>
      <c r="K15" s="187">
        <f t="shared" si="12"/>
        <v>-279</v>
      </c>
      <c r="L15" s="188" t="e">
        <f>(J15/#REF!)*100</f>
        <v>#REF!</v>
      </c>
      <c r="M15" s="172">
        <f t="shared" si="13"/>
        <v>93300024</v>
      </c>
      <c r="N15" s="169">
        <v>93310956</v>
      </c>
      <c r="O15" s="170">
        <f t="shared" si="14"/>
        <v>10932</v>
      </c>
      <c r="P15" s="179">
        <f t="shared" si="15"/>
        <v>-261</v>
      </c>
      <c r="Q15" s="180" t="e">
        <f>(O15/#REF!)*100</f>
        <v>#REF!</v>
      </c>
      <c r="R15" s="351">
        <f t="shared" si="16"/>
        <v>3311600</v>
      </c>
      <c r="S15" s="347">
        <v>3313800</v>
      </c>
      <c r="T15" s="352">
        <f t="shared" si="17"/>
        <v>2200</v>
      </c>
      <c r="U15" s="353">
        <f t="shared" si="18"/>
        <v>100</v>
      </c>
      <c r="V15" s="354" t="e">
        <f>(T15/#REF!)*100</f>
        <v>#REF!</v>
      </c>
      <c r="W15" s="169">
        <f t="shared" si="19"/>
        <v>4433284</v>
      </c>
      <c r="X15" s="169">
        <v>4436162</v>
      </c>
      <c r="Y15" s="170">
        <f t="shared" si="20"/>
        <v>2878</v>
      </c>
      <c r="Z15" s="179">
        <f t="shared" si="21"/>
        <v>-29</v>
      </c>
      <c r="AA15" s="180" t="e">
        <f>(Y15/#REF!)*100</f>
        <v>#REF!</v>
      </c>
      <c r="AB15" s="347">
        <f t="shared" si="22"/>
        <v>2879900</v>
      </c>
      <c r="AC15" s="347">
        <v>2881400</v>
      </c>
      <c r="AD15" s="352">
        <f t="shared" si="0"/>
        <v>1500</v>
      </c>
      <c r="AE15" s="357">
        <f>AD15/WATER!V16</f>
        <v>4.4378698224852071</v>
      </c>
      <c r="AF15" s="353">
        <f t="shared" si="23"/>
        <v>-100</v>
      </c>
      <c r="AG15" s="354" t="e">
        <f>(AD15/#REF!)*100</f>
        <v>#REF!</v>
      </c>
      <c r="AH15" s="169">
        <f t="shared" si="24"/>
        <v>1138645</v>
      </c>
      <c r="AI15" s="169">
        <v>1139070</v>
      </c>
      <c r="AJ15" s="170">
        <f t="shared" si="25"/>
        <v>425</v>
      </c>
      <c r="AK15" s="179">
        <f t="shared" si="26"/>
        <v>-41</v>
      </c>
      <c r="AL15" s="180" t="e">
        <f>(AJ15/#REF!)*100</f>
        <v>#REF!</v>
      </c>
      <c r="AM15" s="347">
        <f t="shared" si="27"/>
        <v>1168500</v>
      </c>
      <c r="AN15" s="347">
        <v>1169200</v>
      </c>
      <c r="AO15" s="352">
        <f t="shared" si="28"/>
        <v>700</v>
      </c>
      <c r="AP15" s="353">
        <f t="shared" si="29"/>
        <v>-100</v>
      </c>
      <c r="AQ15" s="354" t="e">
        <f>(AO15/#REF!)*100</f>
        <v>#REF!</v>
      </c>
      <c r="AR15" s="169">
        <f t="shared" si="30"/>
        <v>2634600</v>
      </c>
      <c r="AS15" s="169">
        <v>2636600</v>
      </c>
      <c r="AT15" s="170">
        <f t="shared" si="31"/>
        <v>2000</v>
      </c>
      <c r="AU15" s="179">
        <f t="shared" si="32"/>
        <v>100</v>
      </c>
      <c r="AV15" s="180" t="e">
        <f>(AT15/#REF!)*100</f>
        <v>#REF!</v>
      </c>
      <c r="AW15" s="347">
        <f t="shared" si="33"/>
        <v>52310</v>
      </c>
      <c r="AX15" s="347">
        <v>52730</v>
      </c>
      <c r="AY15" s="352">
        <f t="shared" si="34"/>
        <v>420</v>
      </c>
      <c r="AZ15" s="353">
        <f t="shared" si="35"/>
        <v>-10</v>
      </c>
      <c r="BA15" s="354" t="e">
        <f>(AY15/#REF!)*100</f>
        <v>#REF!</v>
      </c>
      <c r="BB15" s="169">
        <f t="shared" si="36"/>
        <v>1036300</v>
      </c>
      <c r="BC15" s="169">
        <v>1036700</v>
      </c>
      <c r="BD15" s="170">
        <f t="shared" si="37"/>
        <v>400</v>
      </c>
      <c r="BE15" s="179">
        <f t="shared" si="38"/>
        <v>-100</v>
      </c>
      <c r="BF15" s="180" t="e">
        <f>(BD15/#REF!)*100</f>
        <v>#REF!</v>
      </c>
      <c r="BG15" s="347">
        <f t="shared" si="39"/>
        <v>1101700</v>
      </c>
      <c r="BH15" s="347">
        <v>1102000</v>
      </c>
      <c r="BI15" s="352">
        <f t="shared" si="40"/>
        <v>300</v>
      </c>
      <c r="BJ15" s="353">
        <f t="shared" si="41"/>
        <v>0</v>
      </c>
      <c r="BK15" s="354" t="e">
        <f>(BI15/#REF!)*100</f>
        <v>#REF!</v>
      </c>
      <c r="BL15" s="169">
        <f t="shared" si="42"/>
        <v>1646800</v>
      </c>
      <c r="BM15" s="169">
        <v>1647400</v>
      </c>
      <c r="BN15" s="170">
        <f t="shared" si="43"/>
        <v>600</v>
      </c>
      <c r="BO15" s="179">
        <f t="shared" si="44"/>
        <v>100</v>
      </c>
      <c r="BP15" s="180" t="e">
        <f>(BN15/#REF!)*100</f>
        <v>#REF!</v>
      </c>
      <c r="BQ15" s="347">
        <f t="shared" si="45"/>
        <v>151010</v>
      </c>
      <c r="BR15" s="347">
        <v>151130</v>
      </c>
      <c r="BS15" s="352">
        <f t="shared" si="46"/>
        <v>120</v>
      </c>
      <c r="BT15" s="353">
        <f t="shared" si="47"/>
        <v>-10</v>
      </c>
      <c r="BU15" s="354" t="e">
        <f>(BS15/#REF!)*100</f>
        <v>#REF!</v>
      </c>
      <c r="BV15" s="169">
        <f t="shared" si="48"/>
        <v>626520</v>
      </c>
      <c r="BW15" s="169">
        <v>626840</v>
      </c>
      <c r="BX15" s="170">
        <f t="shared" si="49"/>
        <v>320</v>
      </c>
      <c r="BY15" s="179">
        <f t="shared" si="50"/>
        <v>-50</v>
      </c>
      <c r="BZ15" s="180" t="e">
        <f>(BX15/#REF!)*100</f>
        <v>#REF!</v>
      </c>
      <c r="CA15" s="347">
        <f t="shared" si="51"/>
        <v>1198900</v>
      </c>
      <c r="CB15" s="347">
        <v>1200000</v>
      </c>
      <c r="CC15" s="352">
        <f t="shared" si="52"/>
        <v>1100</v>
      </c>
      <c r="CD15" s="353">
        <f t="shared" si="53"/>
        <v>-100</v>
      </c>
      <c r="CE15" s="354" t="e">
        <f>(CC15/#REF!)*100</f>
        <v>#REF!</v>
      </c>
      <c r="CF15" s="169">
        <f t="shared" si="54"/>
        <v>397020</v>
      </c>
      <c r="CG15" s="169">
        <v>397450</v>
      </c>
      <c r="CH15" s="170">
        <f t="shared" si="55"/>
        <v>430</v>
      </c>
      <c r="CI15" s="179">
        <f t="shared" si="56"/>
        <v>20</v>
      </c>
      <c r="CJ15" s="180" t="e">
        <f>(CH15/#REF!)*100</f>
        <v>#REF!</v>
      </c>
      <c r="CK15" s="170">
        <f t="shared" si="57"/>
        <v>913720</v>
      </c>
      <c r="CL15" s="170">
        <v>914470</v>
      </c>
      <c r="CM15" s="170">
        <f t="shared" si="58"/>
        <v>750</v>
      </c>
      <c r="CN15" s="179">
        <f>CM15-CM14</f>
        <v>-20</v>
      </c>
      <c r="CO15" s="180" t="e">
        <f>(CM15/#REF!)*100</f>
        <v>#REF!</v>
      </c>
      <c r="CP15" s="360">
        <f t="shared" si="110"/>
        <v>760020</v>
      </c>
      <c r="CQ15" s="360">
        <v>760980</v>
      </c>
      <c r="CR15" s="364">
        <f t="shared" si="109"/>
        <v>960</v>
      </c>
      <c r="CS15" s="365">
        <f t="shared" si="60"/>
        <v>-30</v>
      </c>
      <c r="CT15" s="366" t="e">
        <f>(CR15/#REF!)*100</f>
        <v>#REF!</v>
      </c>
      <c r="CU15" s="169">
        <f t="shared" si="61"/>
        <v>626720</v>
      </c>
      <c r="CV15" s="169">
        <v>627390</v>
      </c>
      <c r="CW15" s="170">
        <f t="shared" si="62"/>
        <v>670</v>
      </c>
      <c r="CX15" s="179">
        <f t="shared" si="63"/>
        <v>-10</v>
      </c>
      <c r="CY15" s="180" t="e">
        <f>(CW15/#REF!)*100</f>
        <v>#REF!</v>
      </c>
      <c r="CZ15" s="360">
        <f t="shared" si="64"/>
        <v>1047500</v>
      </c>
      <c r="DA15" s="360">
        <v>1048300</v>
      </c>
      <c r="DB15" s="368">
        <f t="shared" si="65"/>
        <v>800</v>
      </c>
      <c r="DC15" s="365">
        <f t="shared" si="66"/>
        <v>-200</v>
      </c>
      <c r="DD15" s="366" t="e">
        <f>(DB15/#REF!)*100</f>
        <v>#REF!</v>
      </c>
      <c r="DE15" s="169">
        <f t="shared" si="67"/>
        <v>803850</v>
      </c>
      <c r="DF15" s="169">
        <v>804600</v>
      </c>
      <c r="DG15" s="170">
        <f t="shared" si="68"/>
        <v>750</v>
      </c>
      <c r="DH15" s="179">
        <f t="shared" si="69"/>
        <v>-40</v>
      </c>
      <c r="DI15" s="180" t="e">
        <f>(DG15/#REF!)*100</f>
        <v>#REF!</v>
      </c>
      <c r="DJ15" s="360">
        <f t="shared" si="70"/>
        <v>692330</v>
      </c>
      <c r="DK15" s="360">
        <v>692940</v>
      </c>
      <c r="DL15" s="368">
        <f t="shared" si="71"/>
        <v>610</v>
      </c>
      <c r="DM15" s="365">
        <f t="shared" si="72"/>
        <v>30</v>
      </c>
      <c r="DN15" s="366" t="e">
        <f>(DL15/#REF!)*100</f>
        <v>#REF!</v>
      </c>
      <c r="DO15" s="169">
        <f t="shared" si="73"/>
        <v>375540</v>
      </c>
      <c r="DP15" s="169">
        <v>375830</v>
      </c>
      <c r="DQ15" s="170">
        <f t="shared" si="74"/>
        <v>290</v>
      </c>
      <c r="DR15" s="179">
        <f t="shared" si="75"/>
        <v>-30</v>
      </c>
      <c r="DS15" s="180" t="e">
        <f>(DQ15/#REF!)*100</f>
        <v>#REF!</v>
      </c>
      <c r="DT15" s="360">
        <f t="shared" si="76"/>
        <v>127300</v>
      </c>
      <c r="DU15" s="360">
        <v>127410</v>
      </c>
      <c r="DV15" s="368">
        <f t="shared" si="77"/>
        <v>110</v>
      </c>
      <c r="DW15" s="365">
        <f t="shared" si="78"/>
        <v>-30</v>
      </c>
      <c r="DX15" s="366" t="e">
        <f>(DV15/#REF!)*100</f>
        <v>#REF!</v>
      </c>
      <c r="DY15" s="169">
        <f t="shared" si="79"/>
        <v>817030</v>
      </c>
      <c r="DZ15" s="169">
        <v>817980</v>
      </c>
      <c r="EA15" s="170">
        <f t="shared" si="80"/>
        <v>950</v>
      </c>
      <c r="EB15" s="179">
        <f t="shared" si="81"/>
        <v>10</v>
      </c>
      <c r="EC15" s="180" t="e">
        <f>(EA15/#REF!)*100</f>
        <v>#REF!</v>
      </c>
      <c r="ED15" s="360">
        <f t="shared" si="82"/>
        <v>258810</v>
      </c>
      <c r="EE15" s="360">
        <v>259110</v>
      </c>
      <c r="EF15" s="368">
        <f t="shared" si="83"/>
        <v>300</v>
      </c>
      <c r="EG15" s="365">
        <f t="shared" si="84"/>
        <v>0</v>
      </c>
      <c r="EH15" s="366" t="e">
        <f>(EF15/#REF!)*100</f>
        <v>#REF!</v>
      </c>
      <c r="EI15" s="169">
        <f t="shared" si="85"/>
        <v>295340</v>
      </c>
      <c r="EJ15" s="169">
        <v>295740</v>
      </c>
      <c r="EK15" s="170">
        <f t="shared" si="86"/>
        <v>400</v>
      </c>
      <c r="EL15" s="179">
        <f t="shared" si="87"/>
        <v>-30</v>
      </c>
      <c r="EM15" s="180" t="e">
        <f>(EK15/#REF!)*100</f>
        <v>#REF!</v>
      </c>
      <c r="EN15" s="360">
        <f t="shared" si="88"/>
        <v>478970</v>
      </c>
      <c r="EO15" s="360">
        <v>479500</v>
      </c>
      <c r="EP15" s="368">
        <f t="shared" si="89"/>
        <v>530</v>
      </c>
      <c r="EQ15" s="365">
        <f t="shared" si="90"/>
        <v>10</v>
      </c>
      <c r="ER15" s="366" t="e">
        <f>(EP15/#REF!)*100</f>
        <v>#REF!</v>
      </c>
      <c r="ES15" s="169">
        <f t="shared" si="91"/>
        <v>0</v>
      </c>
      <c r="ET15" s="169"/>
      <c r="EU15" s="170">
        <f t="shared" si="92"/>
        <v>0</v>
      </c>
      <c r="EV15" s="179">
        <f t="shared" si="93"/>
        <v>0</v>
      </c>
      <c r="EW15" s="180" t="e">
        <f>(EU15/#REF!)*100</f>
        <v>#REF!</v>
      </c>
      <c r="EX15" s="169">
        <f t="shared" si="94"/>
        <v>0</v>
      </c>
      <c r="EY15" s="169"/>
      <c r="EZ15" s="170">
        <f t="shared" si="95"/>
        <v>0</v>
      </c>
      <c r="FA15" s="179">
        <f t="shared" si="96"/>
        <v>0</v>
      </c>
      <c r="FB15" s="180" t="e">
        <f>(EZ15/#REF!)*100</f>
        <v>#REF!</v>
      </c>
      <c r="FC15" s="169">
        <f t="shared" si="97"/>
        <v>0</v>
      </c>
      <c r="FD15" s="169"/>
      <c r="FE15" s="170">
        <f t="shared" si="98"/>
        <v>0</v>
      </c>
      <c r="FF15" s="179">
        <f t="shared" si="99"/>
        <v>0</v>
      </c>
      <c r="FG15" s="180" t="e">
        <f>(FE15/#REF!)*100</f>
        <v>#REF!</v>
      </c>
      <c r="FH15" s="241"/>
      <c r="FI15" s="241"/>
      <c r="FJ15" s="241"/>
      <c r="FK15" s="241"/>
      <c r="FL15" s="241"/>
      <c r="FM15" s="169">
        <f t="shared" si="100"/>
        <v>0</v>
      </c>
      <c r="FN15" s="169"/>
      <c r="FO15" s="170">
        <f t="shared" si="101"/>
        <v>0</v>
      </c>
      <c r="FP15" s="179">
        <f t="shared" si="102"/>
        <v>0</v>
      </c>
      <c r="FQ15" s="180" t="e">
        <f>(FO15/#REF!)*100</f>
        <v>#REF!</v>
      </c>
      <c r="FR15" s="169">
        <f t="shared" si="103"/>
        <v>0</v>
      </c>
      <c r="FS15" s="169"/>
      <c r="FT15" s="170">
        <f t="shared" si="104"/>
        <v>0</v>
      </c>
      <c r="FU15" s="179">
        <f t="shared" si="105"/>
        <v>0</v>
      </c>
      <c r="FV15" s="180" t="e">
        <f>(FT15/#REF!)*100</f>
        <v>#REF!</v>
      </c>
      <c r="FW15" s="169">
        <f t="shared" si="106"/>
        <v>0</v>
      </c>
      <c r="FX15" s="169"/>
      <c r="FY15" s="170">
        <f t="shared" si="107"/>
        <v>0</v>
      </c>
      <c r="FZ15" s="179">
        <f t="shared" si="108"/>
        <v>0</v>
      </c>
      <c r="GA15" s="180" t="e">
        <f>(FY15/#REF!)*100</f>
        <v>#REF!</v>
      </c>
      <c r="GB15" s="219"/>
      <c r="GC15" s="225">
        <f t="shared" si="1"/>
        <v>7488</v>
      </c>
      <c r="GD15" s="222"/>
      <c r="GE15" s="225">
        <f t="shared" si="2"/>
        <v>7258</v>
      </c>
      <c r="GF15" s="222"/>
      <c r="GG15" s="225">
        <f t="shared" si="3"/>
        <v>2700</v>
      </c>
      <c r="GH15" s="222"/>
      <c r="GI15" s="225">
        <f t="shared" si="4"/>
        <v>1120</v>
      </c>
      <c r="GJ15" s="222"/>
      <c r="GK15" s="225">
        <f t="shared" si="5"/>
        <v>720</v>
      </c>
      <c r="GL15" s="222"/>
      <c r="GM15" s="225">
        <f t="shared" si="6"/>
        <v>0</v>
      </c>
      <c r="GN15" s="222"/>
    </row>
    <row r="16" spans="1:196" s="3" customFormat="1" ht="13.5" customHeight="1">
      <c r="A16" s="213">
        <v>12</v>
      </c>
      <c r="B16" s="216" t="e">
        <f>#REF!</f>
        <v>#REF!</v>
      </c>
      <c r="C16" s="211">
        <f t="shared" si="7"/>
        <v>27460649</v>
      </c>
      <c r="D16" s="167">
        <v>27464107</v>
      </c>
      <c r="E16" s="168">
        <f t="shared" si="8"/>
        <v>3458</v>
      </c>
      <c r="F16" s="175">
        <f t="shared" si="9"/>
        <v>-171</v>
      </c>
      <c r="G16" s="176" t="e">
        <f>(E16/#REF!)*100</f>
        <v>#REF!</v>
      </c>
      <c r="H16" s="186">
        <f t="shared" si="10"/>
        <v>25404922</v>
      </c>
      <c r="I16" s="167">
        <v>25408491</v>
      </c>
      <c r="J16" s="167">
        <f t="shared" si="11"/>
        <v>3569</v>
      </c>
      <c r="K16" s="187">
        <f t="shared" si="12"/>
        <v>-290</v>
      </c>
      <c r="L16" s="188" t="e">
        <f>(J16/#REF!)*100</f>
        <v>#REF!</v>
      </c>
      <c r="M16" s="172">
        <f t="shared" si="13"/>
        <v>93310956</v>
      </c>
      <c r="N16" s="169">
        <v>93322111</v>
      </c>
      <c r="O16" s="170">
        <f t="shared" si="14"/>
        <v>11155</v>
      </c>
      <c r="P16" s="179">
        <f t="shared" si="15"/>
        <v>223</v>
      </c>
      <c r="Q16" s="180" t="e">
        <f>(O16/#REF!)*100</f>
        <v>#REF!</v>
      </c>
      <c r="R16" s="351">
        <f t="shared" si="16"/>
        <v>3313800</v>
      </c>
      <c r="S16" s="347">
        <v>3315900</v>
      </c>
      <c r="T16" s="352">
        <f t="shared" si="17"/>
        <v>2100</v>
      </c>
      <c r="U16" s="353">
        <f t="shared" si="18"/>
        <v>-100</v>
      </c>
      <c r="V16" s="354" t="e">
        <f>(T16/#REF!)*100</f>
        <v>#REF!</v>
      </c>
      <c r="W16" s="169">
        <f t="shared" si="19"/>
        <v>4436162</v>
      </c>
      <c r="X16" s="169">
        <v>4438982</v>
      </c>
      <c r="Y16" s="170">
        <f t="shared" si="20"/>
        <v>2820</v>
      </c>
      <c r="Z16" s="179">
        <f t="shared" si="21"/>
        <v>-58</v>
      </c>
      <c r="AA16" s="180" t="e">
        <f>(Y16/#REF!)*100</f>
        <v>#REF!</v>
      </c>
      <c r="AB16" s="347">
        <f t="shared" si="22"/>
        <v>2881400</v>
      </c>
      <c r="AC16" s="347">
        <v>2883100</v>
      </c>
      <c r="AD16" s="352">
        <f t="shared" si="0"/>
        <v>1700</v>
      </c>
      <c r="AE16" s="357">
        <f>AD16/WATER!V17</f>
        <v>5.4838709677419351</v>
      </c>
      <c r="AF16" s="353">
        <f t="shared" si="23"/>
        <v>200</v>
      </c>
      <c r="AG16" s="354" t="e">
        <f>(AD16/#REF!)*100</f>
        <v>#REF!</v>
      </c>
      <c r="AH16" s="169">
        <f t="shared" si="24"/>
        <v>1139070</v>
      </c>
      <c r="AI16" s="169">
        <v>1139551</v>
      </c>
      <c r="AJ16" s="170">
        <f t="shared" si="25"/>
        <v>481</v>
      </c>
      <c r="AK16" s="179">
        <f t="shared" si="26"/>
        <v>56</v>
      </c>
      <c r="AL16" s="180" t="e">
        <f>(AJ16/#REF!)*100</f>
        <v>#REF!</v>
      </c>
      <c r="AM16" s="347">
        <f t="shared" si="27"/>
        <v>1169200</v>
      </c>
      <c r="AN16" s="347">
        <v>1169800</v>
      </c>
      <c r="AO16" s="352">
        <f t="shared" si="28"/>
        <v>600</v>
      </c>
      <c r="AP16" s="353">
        <f t="shared" si="29"/>
        <v>-100</v>
      </c>
      <c r="AQ16" s="354" t="e">
        <f>(AO16/#REF!)*100</f>
        <v>#REF!</v>
      </c>
      <c r="AR16" s="169">
        <f t="shared" si="30"/>
        <v>2636600</v>
      </c>
      <c r="AS16" s="169">
        <v>2638500</v>
      </c>
      <c r="AT16" s="170">
        <f t="shared" si="31"/>
        <v>1900</v>
      </c>
      <c r="AU16" s="179">
        <f t="shared" si="32"/>
        <v>-100</v>
      </c>
      <c r="AV16" s="180" t="e">
        <f>(AT16/#REF!)*100</f>
        <v>#REF!</v>
      </c>
      <c r="AW16" s="347">
        <f t="shared" si="33"/>
        <v>52730</v>
      </c>
      <c r="AX16" s="347">
        <v>53088</v>
      </c>
      <c r="AY16" s="352">
        <f t="shared" si="34"/>
        <v>358</v>
      </c>
      <c r="AZ16" s="353">
        <f t="shared" si="35"/>
        <v>-62</v>
      </c>
      <c r="BA16" s="354" t="e">
        <f>(AY16/#REF!)*100</f>
        <v>#REF!</v>
      </c>
      <c r="BB16" s="169">
        <f t="shared" si="36"/>
        <v>1036700</v>
      </c>
      <c r="BC16" s="169">
        <v>1037100</v>
      </c>
      <c r="BD16" s="170">
        <f t="shared" si="37"/>
        <v>400</v>
      </c>
      <c r="BE16" s="179">
        <f t="shared" si="38"/>
        <v>0</v>
      </c>
      <c r="BF16" s="180" t="e">
        <f>(BD16/#REF!)*100</f>
        <v>#REF!</v>
      </c>
      <c r="BG16" s="347">
        <f t="shared" si="39"/>
        <v>1102000</v>
      </c>
      <c r="BH16" s="347">
        <v>1102300</v>
      </c>
      <c r="BI16" s="352">
        <f t="shared" si="40"/>
        <v>300</v>
      </c>
      <c r="BJ16" s="353">
        <f t="shared" si="41"/>
        <v>0</v>
      </c>
      <c r="BK16" s="354" t="e">
        <f>(BI16/#REF!)*100</f>
        <v>#REF!</v>
      </c>
      <c r="BL16" s="169">
        <f t="shared" si="42"/>
        <v>1647400</v>
      </c>
      <c r="BM16" s="169">
        <v>1647900</v>
      </c>
      <c r="BN16" s="170">
        <f t="shared" si="43"/>
        <v>500</v>
      </c>
      <c r="BO16" s="179">
        <f t="shared" si="44"/>
        <v>-100</v>
      </c>
      <c r="BP16" s="180" t="e">
        <f>(BN16/#REF!)*100</f>
        <v>#REF!</v>
      </c>
      <c r="BQ16" s="347">
        <f t="shared" si="45"/>
        <v>151130</v>
      </c>
      <c r="BR16" s="347">
        <v>151230</v>
      </c>
      <c r="BS16" s="352">
        <f t="shared" si="46"/>
        <v>100</v>
      </c>
      <c r="BT16" s="353">
        <f t="shared" si="47"/>
        <v>-20</v>
      </c>
      <c r="BU16" s="354" t="e">
        <f>(BS16/#REF!)*100</f>
        <v>#REF!</v>
      </c>
      <c r="BV16" s="169">
        <f t="shared" si="48"/>
        <v>626840</v>
      </c>
      <c r="BW16" s="169">
        <v>627240</v>
      </c>
      <c r="BX16" s="170">
        <f t="shared" si="49"/>
        <v>400</v>
      </c>
      <c r="BY16" s="179">
        <f t="shared" si="50"/>
        <v>80</v>
      </c>
      <c r="BZ16" s="180" t="e">
        <f>(BX16/#REF!)*100</f>
        <v>#REF!</v>
      </c>
      <c r="CA16" s="347">
        <f t="shared" si="51"/>
        <v>1200000</v>
      </c>
      <c r="CB16" s="347">
        <v>1201200</v>
      </c>
      <c r="CC16" s="352">
        <f t="shared" si="52"/>
        <v>1200</v>
      </c>
      <c r="CD16" s="353">
        <f t="shared" si="53"/>
        <v>100</v>
      </c>
      <c r="CE16" s="354" t="e">
        <f>(CC16/#REF!)*100</f>
        <v>#REF!</v>
      </c>
      <c r="CF16" s="169">
        <f t="shared" si="54"/>
        <v>397450</v>
      </c>
      <c r="CG16" s="169">
        <v>397930</v>
      </c>
      <c r="CH16" s="170">
        <f t="shared" si="55"/>
        <v>480</v>
      </c>
      <c r="CI16" s="179">
        <f t="shared" si="56"/>
        <v>50</v>
      </c>
      <c r="CJ16" s="180" t="e">
        <f>(CH16/#REF!)*100</f>
        <v>#REF!</v>
      </c>
      <c r="CK16" s="170">
        <f t="shared" si="57"/>
        <v>914470</v>
      </c>
      <c r="CL16" s="170">
        <v>915140</v>
      </c>
      <c r="CM16" s="170">
        <f t="shared" si="58"/>
        <v>670</v>
      </c>
      <c r="CN16" s="179">
        <f t="shared" si="59"/>
        <v>-80</v>
      </c>
      <c r="CO16" s="180" t="e">
        <f>(CM16/#REF!)*100</f>
        <v>#REF!</v>
      </c>
      <c r="CP16" s="360">
        <f t="shared" si="110"/>
        <v>760980</v>
      </c>
      <c r="CQ16" s="360">
        <v>761750</v>
      </c>
      <c r="CR16" s="364">
        <f>MAX(0,CQ16-CP16)</f>
        <v>770</v>
      </c>
      <c r="CS16" s="365">
        <f t="shared" si="60"/>
        <v>-190</v>
      </c>
      <c r="CT16" s="366" t="e">
        <f>(CR16/#REF!)*100</f>
        <v>#REF!</v>
      </c>
      <c r="CU16" s="169">
        <f t="shared" si="61"/>
        <v>627390</v>
      </c>
      <c r="CV16" s="169">
        <v>627890</v>
      </c>
      <c r="CW16" s="170">
        <f t="shared" si="62"/>
        <v>500</v>
      </c>
      <c r="CX16" s="179">
        <f t="shared" si="63"/>
        <v>-170</v>
      </c>
      <c r="CY16" s="180" t="e">
        <f>(CW16/#REF!)*100</f>
        <v>#REF!</v>
      </c>
      <c r="CZ16" s="360">
        <f t="shared" si="64"/>
        <v>1048300</v>
      </c>
      <c r="DA16" s="360">
        <v>1049000</v>
      </c>
      <c r="DB16" s="368">
        <f t="shared" si="65"/>
        <v>700</v>
      </c>
      <c r="DC16" s="365">
        <f t="shared" si="66"/>
        <v>-100</v>
      </c>
      <c r="DD16" s="366" t="e">
        <f>(DB16/#REF!)*100</f>
        <v>#REF!</v>
      </c>
      <c r="DE16" s="169">
        <f t="shared" si="67"/>
        <v>804600</v>
      </c>
      <c r="DF16" s="169">
        <v>805210</v>
      </c>
      <c r="DG16" s="170">
        <f t="shared" si="68"/>
        <v>610</v>
      </c>
      <c r="DH16" s="179">
        <f t="shared" si="69"/>
        <v>-140</v>
      </c>
      <c r="DI16" s="180" t="e">
        <f>(DG16/#REF!)*100</f>
        <v>#REF!</v>
      </c>
      <c r="DJ16" s="360">
        <f t="shared" si="70"/>
        <v>692940</v>
      </c>
      <c r="DK16" s="360">
        <v>693460</v>
      </c>
      <c r="DL16" s="368">
        <f t="shared" si="71"/>
        <v>520</v>
      </c>
      <c r="DM16" s="365">
        <f t="shared" si="72"/>
        <v>-90</v>
      </c>
      <c r="DN16" s="366" t="e">
        <f>(DL16/#REF!)*100</f>
        <v>#REF!</v>
      </c>
      <c r="DO16" s="169">
        <f t="shared" si="73"/>
        <v>375830</v>
      </c>
      <c r="DP16" s="169">
        <v>376140</v>
      </c>
      <c r="DQ16" s="170">
        <f t="shared" si="74"/>
        <v>310</v>
      </c>
      <c r="DR16" s="179">
        <f t="shared" si="75"/>
        <v>20</v>
      </c>
      <c r="DS16" s="180" t="e">
        <f>(DQ16/#REF!)*100</f>
        <v>#REF!</v>
      </c>
      <c r="DT16" s="360">
        <f t="shared" si="76"/>
        <v>127410</v>
      </c>
      <c r="DU16" s="360">
        <v>127530</v>
      </c>
      <c r="DV16" s="368">
        <f t="shared" si="77"/>
        <v>120</v>
      </c>
      <c r="DW16" s="365">
        <f t="shared" si="78"/>
        <v>10</v>
      </c>
      <c r="DX16" s="366" t="e">
        <f>(DV16/#REF!)*100</f>
        <v>#REF!</v>
      </c>
      <c r="DY16" s="169">
        <f t="shared" si="79"/>
        <v>817980</v>
      </c>
      <c r="DZ16" s="169">
        <v>818850</v>
      </c>
      <c r="EA16" s="170">
        <f t="shared" si="80"/>
        <v>870</v>
      </c>
      <c r="EB16" s="179">
        <f t="shared" si="81"/>
        <v>-80</v>
      </c>
      <c r="EC16" s="180" t="e">
        <f>(EA16/#REF!)*100</f>
        <v>#REF!</v>
      </c>
      <c r="ED16" s="360">
        <f t="shared" si="82"/>
        <v>259110</v>
      </c>
      <c r="EE16" s="360">
        <v>259370</v>
      </c>
      <c r="EF16" s="368">
        <f t="shared" si="83"/>
        <v>260</v>
      </c>
      <c r="EG16" s="365">
        <f t="shared" si="84"/>
        <v>-40</v>
      </c>
      <c r="EH16" s="366" t="e">
        <f>(EF16/#REF!)*100</f>
        <v>#REF!</v>
      </c>
      <c r="EI16" s="169">
        <f t="shared" si="85"/>
        <v>295740</v>
      </c>
      <c r="EJ16" s="169">
        <v>296070</v>
      </c>
      <c r="EK16" s="170">
        <f t="shared" si="86"/>
        <v>330</v>
      </c>
      <c r="EL16" s="179">
        <f t="shared" si="87"/>
        <v>-70</v>
      </c>
      <c r="EM16" s="180" t="e">
        <f>(EK16/#REF!)*100</f>
        <v>#REF!</v>
      </c>
      <c r="EN16" s="360">
        <f t="shared" si="88"/>
        <v>479500</v>
      </c>
      <c r="EO16" s="360">
        <v>480020</v>
      </c>
      <c r="EP16" s="368">
        <f t="shared" si="89"/>
        <v>520</v>
      </c>
      <c r="EQ16" s="365">
        <f t="shared" si="90"/>
        <v>-10</v>
      </c>
      <c r="ER16" s="366" t="e">
        <f>(EP16/#REF!)*100</f>
        <v>#REF!</v>
      </c>
      <c r="ES16" s="169">
        <f t="shared" si="91"/>
        <v>0</v>
      </c>
      <c r="ET16" s="169"/>
      <c r="EU16" s="170">
        <f t="shared" si="92"/>
        <v>0</v>
      </c>
      <c r="EV16" s="179">
        <f t="shared" si="93"/>
        <v>0</v>
      </c>
      <c r="EW16" s="180" t="e">
        <f>(EU16/#REF!)*100</f>
        <v>#REF!</v>
      </c>
      <c r="EX16" s="169">
        <f t="shared" si="94"/>
        <v>0</v>
      </c>
      <c r="EY16" s="169"/>
      <c r="EZ16" s="170">
        <f t="shared" si="95"/>
        <v>0</v>
      </c>
      <c r="FA16" s="179">
        <f t="shared" si="96"/>
        <v>0</v>
      </c>
      <c r="FB16" s="180" t="e">
        <f>(EZ16/#REF!)*100</f>
        <v>#REF!</v>
      </c>
      <c r="FC16" s="169">
        <f t="shared" si="97"/>
        <v>0</v>
      </c>
      <c r="FD16" s="169"/>
      <c r="FE16" s="170">
        <f t="shared" si="98"/>
        <v>0</v>
      </c>
      <c r="FF16" s="179">
        <f t="shared" si="99"/>
        <v>0</v>
      </c>
      <c r="FG16" s="180" t="e">
        <f>(FE16/#REF!)*100</f>
        <v>#REF!</v>
      </c>
      <c r="FH16" s="241"/>
      <c r="FI16" s="241"/>
      <c r="FJ16" s="241"/>
      <c r="FK16" s="241"/>
      <c r="FL16" s="241"/>
      <c r="FM16" s="169">
        <f t="shared" si="100"/>
        <v>0</v>
      </c>
      <c r="FN16" s="169"/>
      <c r="FO16" s="170">
        <f t="shared" si="101"/>
        <v>0</v>
      </c>
      <c r="FP16" s="179">
        <f t="shared" si="102"/>
        <v>0</v>
      </c>
      <c r="FQ16" s="180" t="e">
        <f>(FO16/#REF!)*100</f>
        <v>#REF!</v>
      </c>
      <c r="FR16" s="169">
        <f t="shared" si="103"/>
        <v>0</v>
      </c>
      <c r="FS16" s="169"/>
      <c r="FT16" s="170">
        <f t="shared" si="104"/>
        <v>0</v>
      </c>
      <c r="FU16" s="179">
        <f t="shared" si="105"/>
        <v>0</v>
      </c>
      <c r="FV16" s="180" t="e">
        <f>(FT16/#REF!)*100</f>
        <v>#REF!</v>
      </c>
      <c r="FW16" s="169">
        <f t="shared" si="106"/>
        <v>0</v>
      </c>
      <c r="FX16" s="169"/>
      <c r="FY16" s="170">
        <f t="shared" si="107"/>
        <v>0</v>
      </c>
      <c r="FZ16" s="179">
        <f t="shared" si="108"/>
        <v>0</v>
      </c>
      <c r="GA16" s="180" t="e">
        <f>(FY16/#REF!)*100</f>
        <v>#REF!</v>
      </c>
      <c r="GB16" s="219"/>
      <c r="GC16" s="225">
        <f t="shared" si="1"/>
        <v>7027</v>
      </c>
      <c r="GD16" s="222"/>
      <c r="GE16" s="225">
        <f t="shared" si="2"/>
        <v>6900</v>
      </c>
      <c r="GF16" s="222"/>
      <c r="GG16" s="225">
        <f t="shared" si="3"/>
        <v>2500</v>
      </c>
      <c r="GH16" s="222"/>
      <c r="GI16" s="225">
        <f t="shared" si="4"/>
        <v>1058</v>
      </c>
      <c r="GJ16" s="222"/>
      <c r="GK16" s="225">
        <f t="shared" si="5"/>
        <v>600</v>
      </c>
      <c r="GL16" s="222"/>
      <c r="GM16" s="225">
        <f t="shared" si="6"/>
        <v>0</v>
      </c>
      <c r="GN16" s="222"/>
    </row>
    <row r="17" spans="1:1105" s="3" customFormat="1" ht="13.5" customHeight="1">
      <c r="A17" s="213">
        <v>13</v>
      </c>
      <c r="B17" s="216" t="e">
        <f>#REF!</f>
        <v>#REF!</v>
      </c>
      <c r="C17" s="211">
        <f t="shared" si="7"/>
        <v>27464107</v>
      </c>
      <c r="D17" s="167">
        <v>27467528</v>
      </c>
      <c r="E17" s="168">
        <f t="shared" si="8"/>
        <v>3421</v>
      </c>
      <c r="F17" s="175">
        <f t="shared" si="9"/>
        <v>-37</v>
      </c>
      <c r="G17" s="176" t="e">
        <f>(E17/#REF!)*100</f>
        <v>#REF!</v>
      </c>
      <c r="H17" s="186">
        <f t="shared" si="10"/>
        <v>25408491</v>
      </c>
      <c r="I17" s="167">
        <v>25411872</v>
      </c>
      <c r="J17" s="167">
        <f t="shared" si="11"/>
        <v>3381</v>
      </c>
      <c r="K17" s="187">
        <f t="shared" si="12"/>
        <v>-188</v>
      </c>
      <c r="L17" s="188" t="e">
        <f>(J17/#REF!)*100</f>
        <v>#REF!</v>
      </c>
      <c r="M17" s="172">
        <f t="shared" si="13"/>
        <v>93322111</v>
      </c>
      <c r="N17" s="169">
        <v>93332234</v>
      </c>
      <c r="O17" s="170">
        <f t="shared" si="14"/>
        <v>10123</v>
      </c>
      <c r="P17" s="179">
        <f t="shared" si="15"/>
        <v>-1032</v>
      </c>
      <c r="Q17" s="180" t="e">
        <f>(O17/#REF!)*100</f>
        <v>#REF!</v>
      </c>
      <c r="R17" s="351">
        <f t="shared" si="16"/>
        <v>3315900</v>
      </c>
      <c r="S17" s="347">
        <v>3317900</v>
      </c>
      <c r="T17" s="352">
        <f t="shared" si="17"/>
        <v>2000</v>
      </c>
      <c r="U17" s="353">
        <f t="shared" si="18"/>
        <v>-100</v>
      </c>
      <c r="V17" s="354" t="e">
        <f>(T17/#REF!)*100</f>
        <v>#REF!</v>
      </c>
      <c r="W17" s="169">
        <f t="shared" si="19"/>
        <v>4438982</v>
      </c>
      <c r="X17" s="169">
        <v>4441719</v>
      </c>
      <c r="Y17" s="170">
        <f t="shared" si="20"/>
        <v>2737</v>
      </c>
      <c r="Z17" s="179">
        <f t="shared" si="21"/>
        <v>-83</v>
      </c>
      <c r="AA17" s="180" t="e">
        <f>(Y17/#REF!)*100</f>
        <v>#REF!</v>
      </c>
      <c r="AB17" s="347">
        <f t="shared" si="22"/>
        <v>2883100</v>
      </c>
      <c r="AC17" s="347">
        <v>2884900</v>
      </c>
      <c r="AD17" s="352">
        <f t="shared" si="0"/>
        <v>1800</v>
      </c>
      <c r="AE17" s="357">
        <f>AD17/WATER!V18</f>
        <v>5.2941176470588234</v>
      </c>
      <c r="AF17" s="353">
        <f t="shared" si="23"/>
        <v>100</v>
      </c>
      <c r="AG17" s="354" t="e">
        <f>(AD17/#REF!)*100</f>
        <v>#REF!</v>
      </c>
      <c r="AH17" s="169">
        <f t="shared" si="24"/>
        <v>1139551</v>
      </c>
      <c r="AI17" s="169">
        <v>1139992</v>
      </c>
      <c r="AJ17" s="170">
        <f t="shared" si="25"/>
        <v>441</v>
      </c>
      <c r="AK17" s="179">
        <f t="shared" si="26"/>
        <v>-40</v>
      </c>
      <c r="AL17" s="180" t="e">
        <f>(AJ17/#REF!)*100</f>
        <v>#REF!</v>
      </c>
      <c r="AM17" s="347">
        <f t="shared" si="27"/>
        <v>1169800</v>
      </c>
      <c r="AN17" s="347">
        <v>1170500</v>
      </c>
      <c r="AO17" s="352">
        <f t="shared" si="28"/>
        <v>700</v>
      </c>
      <c r="AP17" s="353">
        <f t="shared" si="29"/>
        <v>100</v>
      </c>
      <c r="AQ17" s="354" t="e">
        <f>(AO17/#REF!)*100</f>
        <v>#REF!</v>
      </c>
      <c r="AR17" s="169">
        <f t="shared" si="30"/>
        <v>2638500</v>
      </c>
      <c r="AS17" s="169">
        <v>2640300</v>
      </c>
      <c r="AT17" s="170">
        <f t="shared" si="31"/>
        <v>1800</v>
      </c>
      <c r="AU17" s="179">
        <f t="shared" si="32"/>
        <v>-100</v>
      </c>
      <c r="AV17" s="180" t="e">
        <f>(AT17/#REF!)*100</f>
        <v>#REF!</v>
      </c>
      <c r="AW17" s="347">
        <f t="shared" si="33"/>
        <v>53088</v>
      </c>
      <c r="AX17" s="347">
        <v>53434</v>
      </c>
      <c r="AY17" s="352">
        <f t="shared" si="34"/>
        <v>346</v>
      </c>
      <c r="AZ17" s="353">
        <f t="shared" si="35"/>
        <v>-12</v>
      </c>
      <c r="BA17" s="354" t="e">
        <f>(AY17/#REF!)*100</f>
        <v>#REF!</v>
      </c>
      <c r="BB17" s="169">
        <f t="shared" si="36"/>
        <v>1037100</v>
      </c>
      <c r="BC17" s="169">
        <v>1037500</v>
      </c>
      <c r="BD17" s="170">
        <f t="shared" si="37"/>
        <v>400</v>
      </c>
      <c r="BE17" s="179">
        <f t="shared" si="38"/>
        <v>0</v>
      </c>
      <c r="BF17" s="180" t="e">
        <f>(BD17/#REF!)*100</f>
        <v>#REF!</v>
      </c>
      <c r="BG17" s="347">
        <f t="shared" si="39"/>
        <v>1102300</v>
      </c>
      <c r="BH17" s="347">
        <v>1102600</v>
      </c>
      <c r="BI17" s="352">
        <f t="shared" si="40"/>
        <v>300</v>
      </c>
      <c r="BJ17" s="353">
        <f t="shared" si="41"/>
        <v>0</v>
      </c>
      <c r="BK17" s="354" t="e">
        <f>(BI17/#REF!)*100</f>
        <v>#REF!</v>
      </c>
      <c r="BL17" s="169">
        <f t="shared" si="42"/>
        <v>1647900</v>
      </c>
      <c r="BM17" s="169">
        <v>1648400</v>
      </c>
      <c r="BN17" s="170">
        <f t="shared" si="43"/>
        <v>500</v>
      </c>
      <c r="BO17" s="179">
        <f t="shared" si="44"/>
        <v>0</v>
      </c>
      <c r="BP17" s="180" t="e">
        <f>(BN17/#REF!)*100</f>
        <v>#REF!</v>
      </c>
      <c r="BQ17" s="347">
        <f t="shared" si="45"/>
        <v>151230</v>
      </c>
      <c r="BR17" s="347">
        <v>151310</v>
      </c>
      <c r="BS17" s="352">
        <f t="shared" si="46"/>
        <v>80</v>
      </c>
      <c r="BT17" s="353">
        <f t="shared" si="47"/>
        <v>-20</v>
      </c>
      <c r="BU17" s="354" t="e">
        <f>(BS17/#REF!)*100</f>
        <v>#REF!</v>
      </c>
      <c r="BV17" s="169">
        <f t="shared" si="48"/>
        <v>627240</v>
      </c>
      <c r="BW17" s="169">
        <v>627550</v>
      </c>
      <c r="BX17" s="170">
        <f t="shared" si="49"/>
        <v>310</v>
      </c>
      <c r="BY17" s="179">
        <f t="shared" si="50"/>
        <v>-90</v>
      </c>
      <c r="BZ17" s="180" t="e">
        <f>(BX17/#REF!)*100</f>
        <v>#REF!</v>
      </c>
      <c r="CA17" s="347">
        <f t="shared" si="51"/>
        <v>1201200</v>
      </c>
      <c r="CB17" s="347">
        <v>1202300</v>
      </c>
      <c r="CC17" s="352">
        <f t="shared" si="52"/>
        <v>1100</v>
      </c>
      <c r="CD17" s="353">
        <f t="shared" si="53"/>
        <v>-100</v>
      </c>
      <c r="CE17" s="354" t="e">
        <f>(CC17/#REF!)*100</f>
        <v>#REF!</v>
      </c>
      <c r="CF17" s="169">
        <f t="shared" si="54"/>
        <v>397930</v>
      </c>
      <c r="CG17" s="169">
        <v>398350</v>
      </c>
      <c r="CH17" s="170">
        <f t="shared" si="55"/>
        <v>420</v>
      </c>
      <c r="CI17" s="179">
        <f t="shared" si="56"/>
        <v>-60</v>
      </c>
      <c r="CJ17" s="180" t="e">
        <f>(CH17/#REF!)*100</f>
        <v>#REF!</v>
      </c>
      <c r="CK17" s="170">
        <f t="shared" si="57"/>
        <v>915140</v>
      </c>
      <c r="CL17" s="170">
        <v>915840</v>
      </c>
      <c r="CM17" s="170">
        <f t="shared" si="58"/>
        <v>700</v>
      </c>
      <c r="CN17" s="179">
        <f t="shared" si="59"/>
        <v>30</v>
      </c>
      <c r="CO17" s="180" t="e">
        <f>(CM17/#REF!)*100</f>
        <v>#REF!</v>
      </c>
      <c r="CP17" s="360">
        <f t="shared" si="110"/>
        <v>761750</v>
      </c>
      <c r="CQ17" s="360">
        <v>762470</v>
      </c>
      <c r="CR17" s="364">
        <f>MAX(0,CQ17-CP17)</f>
        <v>720</v>
      </c>
      <c r="CS17" s="365">
        <f t="shared" si="60"/>
        <v>-50</v>
      </c>
      <c r="CT17" s="366" t="e">
        <f>(CR17/#REF!)*100</f>
        <v>#REF!</v>
      </c>
      <c r="CU17" s="169">
        <f t="shared" si="61"/>
        <v>627890</v>
      </c>
      <c r="CV17" s="169">
        <v>628320</v>
      </c>
      <c r="CW17" s="170">
        <f t="shared" si="62"/>
        <v>430</v>
      </c>
      <c r="CX17" s="179">
        <f t="shared" si="63"/>
        <v>-70</v>
      </c>
      <c r="CY17" s="180" t="e">
        <f>(CW17/#REF!)*100</f>
        <v>#REF!</v>
      </c>
      <c r="CZ17" s="360">
        <f t="shared" si="64"/>
        <v>1049000</v>
      </c>
      <c r="DA17" s="360">
        <v>1049800</v>
      </c>
      <c r="DB17" s="368">
        <f t="shared" si="65"/>
        <v>800</v>
      </c>
      <c r="DC17" s="365">
        <f t="shared" si="66"/>
        <v>100</v>
      </c>
      <c r="DD17" s="366" t="e">
        <f>(DB17/#REF!)*100</f>
        <v>#REF!</v>
      </c>
      <c r="DE17" s="169">
        <f t="shared" si="67"/>
        <v>805210</v>
      </c>
      <c r="DF17" s="169">
        <v>805840</v>
      </c>
      <c r="DG17" s="170">
        <f t="shared" si="68"/>
        <v>630</v>
      </c>
      <c r="DH17" s="179">
        <f t="shared" si="69"/>
        <v>20</v>
      </c>
      <c r="DI17" s="180" t="e">
        <f>(DG17/#REF!)*100</f>
        <v>#REF!</v>
      </c>
      <c r="DJ17" s="360">
        <f t="shared" si="70"/>
        <v>693460</v>
      </c>
      <c r="DK17" s="360">
        <v>694010</v>
      </c>
      <c r="DL17" s="368">
        <f t="shared" si="71"/>
        <v>550</v>
      </c>
      <c r="DM17" s="365">
        <f t="shared" si="72"/>
        <v>30</v>
      </c>
      <c r="DN17" s="366" t="e">
        <f>(DL17/#REF!)*100</f>
        <v>#REF!</v>
      </c>
      <c r="DO17" s="169">
        <f t="shared" si="73"/>
        <v>376140</v>
      </c>
      <c r="DP17" s="169">
        <v>376480</v>
      </c>
      <c r="DQ17" s="170">
        <f t="shared" si="74"/>
        <v>340</v>
      </c>
      <c r="DR17" s="179">
        <f t="shared" si="75"/>
        <v>30</v>
      </c>
      <c r="DS17" s="180" t="e">
        <f>(DQ17/#REF!)*100</f>
        <v>#REF!</v>
      </c>
      <c r="DT17" s="360">
        <f t="shared" si="76"/>
        <v>127530</v>
      </c>
      <c r="DU17" s="360">
        <v>127650</v>
      </c>
      <c r="DV17" s="368">
        <f t="shared" si="77"/>
        <v>120</v>
      </c>
      <c r="DW17" s="365">
        <f t="shared" si="78"/>
        <v>0</v>
      </c>
      <c r="DX17" s="366" t="e">
        <f>(DV17/#REF!)*100</f>
        <v>#REF!</v>
      </c>
      <c r="DY17" s="169">
        <f t="shared" si="79"/>
        <v>818850</v>
      </c>
      <c r="DZ17" s="169">
        <v>819800</v>
      </c>
      <c r="EA17" s="170">
        <f t="shared" si="80"/>
        <v>950</v>
      </c>
      <c r="EB17" s="179">
        <f t="shared" si="81"/>
        <v>80</v>
      </c>
      <c r="EC17" s="180" t="e">
        <f>(EA17/#REF!)*100</f>
        <v>#REF!</v>
      </c>
      <c r="ED17" s="360">
        <f t="shared" si="82"/>
        <v>259370</v>
      </c>
      <c r="EE17" s="360">
        <v>259660</v>
      </c>
      <c r="EF17" s="368">
        <f t="shared" si="83"/>
        <v>290</v>
      </c>
      <c r="EG17" s="365">
        <f t="shared" si="84"/>
        <v>30</v>
      </c>
      <c r="EH17" s="366" t="e">
        <f>(EF17/#REF!)*100</f>
        <v>#REF!</v>
      </c>
      <c r="EI17" s="169">
        <f t="shared" si="85"/>
        <v>296070</v>
      </c>
      <c r="EJ17" s="169">
        <v>296460</v>
      </c>
      <c r="EK17" s="170">
        <f t="shared" si="86"/>
        <v>390</v>
      </c>
      <c r="EL17" s="179">
        <f t="shared" si="87"/>
        <v>60</v>
      </c>
      <c r="EM17" s="180" t="e">
        <f>(EK17/#REF!)*100</f>
        <v>#REF!</v>
      </c>
      <c r="EN17" s="360">
        <f t="shared" si="88"/>
        <v>480020</v>
      </c>
      <c r="EO17" s="360">
        <v>480520</v>
      </c>
      <c r="EP17" s="368">
        <f t="shared" si="89"/>
        <v>500</v>
      </c>
      <c r="EQ17" s="365">
        <f t="shared" si="90"/>
        <v>-20</v>
      </c>
      <c r="ER17" s="366" t="e">
        <f>(EP17/#REF!)*100</f>
        <v>#REF!</v>
      </c>
      <c r="ES17" s="169">
        <f t="shared" si="91"/>
        <v>0</v>
      </c>
      <c r="ET17" s="169"/>
      <c r="EU17" s="170">
        <f t="shared" si="92"/>
        <v>0</v>
      </c>
      <c r="EV17" s="179">
        <f t="shared" si="93"/>
        <v>0</v>
      </c>
      <c r="EW17" s="180" t="e">
        <f>(EU17/#REF!)*100</f>
        <v>#REF!</v>
      </c>
      <c r="EX17" s="169">
        <f t="shared" si="94"/>
        <v>0</v>
      </c>
      <c r="EY17" s="169"/>
      <c r="EZ17" s="170">
        <f t="shared" si="95"/>
        <v>0</v>
      </c>
      <c r="FA17" s="179">
        <f t="shared" si="96"/>
        <v>0</v>
      </c>
      <c r="FB17" s="180" t="e">
        <f>(EZ17/#REF!)*100</f>
        <v>#REF!</v>
      </c>
      <c r="FC17" s="169">
        <f t="shared" si="97"/>
        <v>0</v>
      </c>
      <c r="FD17" s="169"/>
      <c r="FE17" s="170">
        <f t="shared" si="98"/>
        <v>0</v>
      </c>
      <c r="FF17" s="179">
        <f t="shared" si="99"/>
        <v>0</v>
      </c>
      <c r="FG17" s="180" t="e">
        <f>(FE17/#REF!)*100</f>
        <v>#REF!</v>
      </c>
      <c r="FH17" s="241"/>
      <c r="FI17" s="241"/>
      <c r="FJ17" s="241"/>
      <c r="FK17" s="241"/>
      <c r="FL17" s="241"/>
      <c r="FM17" s="169">
        <f t="shared" si="100"/>
        <v>0</v>
      </c>
      <c r="FN17" s="169"/>
      <c r="FO17" s="170">
        <f t="shared" si="101"/>
        <v>0</v>
      </c>
      <c r="FP17" s="179">
        <f t="shared" si="102"/>
        <v>0</v>
      </c>
      <c r="FQ17" s="180" t="e">
        <f>(FO17/#REF!)*100</f>
        <v>#REF!</v>
      </c>
      <c r="FR17" s="169">
        <f t="shared" si="103"/>
        <v>0</v>
      </c>
      <c r="FS17" s="169"/>
      <c r="FT17" s="170">
        <f t="shared" si="104"/>
        <v>0</v>
      </c>
      <c r="FU17" s="179">
        <f t="shared" si="105"/>
        <v>0</v>
      </c>
      <c r="FV17" s="180" t="e">
        <f>(FT17/#REF!)*100</f>
        <v>#REF!</v>
      </c>
      <c r="FW17" s="169">
        <f t="shared" si="106"/>
        <v>0</v>
      </c>
      <c r="FX17" s="169"/>
      <c r="FY17" s="170">
        <f t="shared" si="107"/>
        <v>0</v>
      </c>
      <c r="FZ17" s="179">
        <f t="shared" si="108"/>
        <v>0</v>
      </c>
      <c r="GA17" s="180" t="e">
        <f>(FY17/#REF!)*100</f>
        <v>#REF!</v>
      </c>
      <c r="GB17" s="219"/>
      <c r="GC17" s="225">
        <f t="shared" si="1"/>
        <v>6802</v>
      </c>
      <c r="GD17" s="222"/>
      <c r="GE17" s="225">
        <f t="shared" si="2"/>
        <v>6867</v>
      </c>
      <c r="GF17" s="222"/>
      <c r="GG17" s="225">
        <f t="shared" si="3"/>
        <v>2500</v>
      </c>
      <c r="GH17" s="222"/>
      <c r="GI17" s="225">
        <f t="shared" si="4"/>
        <v>1046</v>
      </c>
      <c r="GJ17" s="222"/>
      <c r="GK17" s="225">
        <f t="shared" si="5"/>
        <v>580</v>
      </c>
      <c r="GL17" s="222"/>
      <c r="GM17" s="225">
        <f t="shared" si="6"/>
        <v>0</v>
      </c>
      <c r="GN17" s="222"/>
    </row>
    <row r="18" spans="1:1105" s="3" customFormat="1" ht="13.5" customHeight="1">
      <c r="A18" s="213">
        <v>14</v>
      </c>
      <c r="B18" s="216" t="e">
        <f>#REF!</f>
        <v>#REF!</v>
      </c>
      <c r="C18" s="211">
        <f t="shared" si="7"/>
        <v>27467528</v>
      </c>
      <c r="D18" s="167">
        <v>27471229</v>
      </c>
      <c r="E18" s="168">
        <f t="shared" si="8"/>
        <v>3701</v>
      </c>
      <c r="F18" s="175">
        <f t="shared" si="9"/>
        <v>280</v>
      </c>
      <c r="G18" s="176" t="e">
        <f>(E18/#REF!)*100</f>
        <v>#REF!</v>
      </c>
      <c r="H18" s="186">
        <f t="shared" si="10"/>
        <v>25411872</v>
      </c>
      <c r="I18" s="167">
        <v>25415628</v>
      </c>
      <c r="J18" s="167">
        <f t="shared" si="11"/>
        <v>3756</v>
      </c>
      <c r="K18" s="187">
        <f t="shared" si="12"/>
        <v>375</v>
      </c>
      <c r="L18" s="188" t="e">
        <f>(J18/#REF!)*100</f>
        <v>#REF!</v>
      </c>
      <c r="M18" s="172">
        <f t="shared" si="13"/>
        <v>93332234</v>
      </c>
      <c r="N18" s="169">
        <v>93342815</v>
      </c>
      <c r="O18" s="170">
        <f t="shared" si="14"/>
        <v>10581</v>
      </c>
      <c r="P18" s="179">
        <f t="shared" si="15"/>
        <v>458</v>
      </c>
      <c r="Q18" s="180" t="e">
        <f>(O18/#REF!)*100</f>
        <v>#REF!</v>
      </c>
      <c r="R18" s="351">
        <f t="shared" si="16"/>
        <v>3317900</v>
      </c>
      <c r="S18" s="347">
        <v>3320100</v>
      </c>
      <c r="T18" s="352">
        <f t="shared" si="17"/>
        <v>2200</v>
      </c>
      <c r="U18" s="353">
        <f t="shared" si="18"/>
        <v>200</v>
      </c>
      <c r="V18" s="354" t="e">
        <f>(T18/#REF!)*100</f>
        <v>#REF!</v>
      </c>
      <c r="W18" s="169">
        <f t="shared" si="19"/>
        <v>4441719</v>
      </c>
      <c r="X18" s="169">
        <v>4444839</v>
      </c>
      <c r="Y18" s="170">
        <f t="shared" si="20"/>
        <v>3120</v>
      </c>
      <c r="Z18" s="179">
        <f t="shared" si="21"/>
        <v>383</v>
      </c>
      <c r="AA18" s="180" t="e">
        <f>(Y18/#REF!)*100</f>
        <v>#REF!</v>
      </c>
      <c r="AB18" s="347">
        <f t="shared" si="22"/>
        <v>2884900</v>
      </c>
      <c r="AC18" s="347">
        <v>2886600</v>
      </c>
      <c r="AD18" s="352">
        <f t="shared" si="0"/>
        <v>1700</v>
      </c>
      <c r="AE18" s="357">
        <f>AD18/WATER!V19</f>
        <v>5.5374592833876219</v>
      </c>
      <c r="AF18" s="353">
        <f t="shared" si="23"/>
        <v>-100</v>
      </c>
      <c r="AG18" s="354" t="e">
        <f>(AD18/#REF!)*100</f>
        <v>#REF!</v>
      </c>
      <c r="AH18" s="169">
        <f t="shared" si="24"/>
        <v>1139992</v>
      </c>
      <c r="AI18" s="169">
        <v>1140458</v>
      </c>
      <c r="AJ18" s="170">
        <f t="shared" si="25"/>
        <v>466</v>
      </c>
      <c r="AK18" s="179">
        <f t="shared" si="26"/>
        <v>25</v>
      </c>
      <c r="AL18" s="180" t="e">
        <f>(AJ18/#REF!)*100</f>
        <v>#REF!</v>
      </c>
      <c r="AM18" s="347">
        <f t="shared" si="27"/>
        <v>1170500</v>
      </c>
      <c r="AN18" s="347">
        <v>1171200</v>
      </c>
      <c r="AO18" s="352">
        <f t="shared" si="28"/>
        <v>700</v>
      </c>
      <c r="AP18" s="353">
        <f t="shared" si="29"/>
        <v>0</v>
      </c>
      <c r="AQ18" s="354" t="e">
        <f>(AO18/#REF!)*100</f>
        <v>#REF!</v>
      </c>
      <c r="AR18" s="169">
        <f t="shared" si="30"/>
        <v>2640300</v>
      </c>
      <c r="AS18" s="169">
        <v>2642100</v>
      </c>
      <c r="AT18" s="170">
        <f t="shared" si="31"/>
        <v>1800</v>
      </c>
      <c r="AU18" s="179">
        <f t="shared" si="32"/>
        <v>0</v>
      </c>
      <c r="AV18" s="180" t="e">
        <f>(AT18/#REF!)*100</f>
        <v>#REF!</v>
      </c>
      <c r="AW18" s="347">
        <f t="shared" si="33"/>
        <v>53434</v>
      </c>
      <c r="AX18" s="347">
        <v>53773</v>
      </c>
      <c r="AY18" s="352">
        <f t="shared" si="34"/>
        <v>339</v>
      </c>
      <c r="AZ18" s="353">
        <f t="shared" si="35"/>
        <v>-7</v>
      </c>
      <c r="BA18" s="354" t="e">
        <f>(AY18/#REF!)*100</f>
        <v>#REF!</v>
      </c>
      <c r="BB18" s="169">
        <f t="shared" si="36"/>
        <v>1037500</v>
      </c>
      <c r="BC18" s="169">
        <v>1037800</v>
      </c>
      <c r="BD18" s="170">
        <f t="shared" si="37"/>
        <v>300</v>
      </c>
      <c r="BE18" s="179">
        <f t="shared" si="38"/>
        <v>-100</v>
      </c>
      <c r="BF18" s="180" t="e">
        <f>(BD18/#REF!)*100</f>
        <v>#REF!</v>
      </c>
      <c r="BG18" s="347">
        <f t="shared" si="39"/>
        <v>1102600</v>
      </c>
      <c r="BH18" s="347">
        <v>1102800</v>
      </c>
      <c r="BI18" s="352">
        <f t="shared" si="40"/>
        <v>200</v>
      </c>
      <c r="BJ18" s="353">
        <f t="shared" si="41"/>
        <v>-100</v>
      </c>
      <c r="BK18" s="354" t="e">
        <f>(BI18/#REF!)*100</f>
        <v>#REF!</v>
      </c>
      <c r="BL18" s="169">
        <f t="shared" si="42"/>
        <v>1648400</v>
      </c>
      <c r="BM18" s="169">
        <v>1648900</v>
      </c>
      <c r="BN18" s="170">
        <f t="shared" si="43"/>
        <v>500</v>
      </c>
      <c r="BO18" s="179">
        <f t="shared" si="44"/>
        <v>0</v>
      </c>
      <c r="BP18" s="180" t="e">
        <f>(BN18/#REF!)*100</f>
        <v>#REF!</v>
      </c>
      <c r="BQ18" s="347">
        <f t="shared" si="45"/>
        <v>151310</v>
      </c>
      <c r="BR18" s="347">
        <v>151410</v>
      </c>
      <c r="BS18" s="352">
        <f t="shared" si="46"/>
        <v>100</v>
      </c>
      <c r="BT18" s="353">
        <f t="shared" si="47"/>
        <v>20</v>
      </c>
      <c r="BU18" s="354" t="e">
        <f>(BS18/#REF!)*100</f>
        <v>#REF!</v>
      </c>
      <c r="BV18" s="169">
        <f t="shared" si="48"/>
        <v>627550</v>
      </c>
      <c r="BW18" s="169">
        <v>627860</v>
      </c>
      <c r="BX18" s="170">
        <f t="shared" si="49"/>
        <v>310</v>
      </c>
      <c r="BY18" s="179">
        <f t="shared" si="50"/>
        <v>0</v>
      </c>
      <c r="BZ18" s="180" t="e">
        <f>(BX18/#REF!)*100</f>
        <v>#REF!</v>
      </c>
      <c r="CA18" s="347">
        <f t="shared" si="51"/>
        <v>1202300</v>
      </c>
      <c r="CB18" s="347">
        <v>1203500</v>
      </c>
      <c r="CC18" s="352">
        <f t="shared" si="52"/>
        <v>1200</v>
      </c>
      <c r="CD18" s="353">
        <f t="shared" si="53"/>
        <v>100</v>
      </c>
      <c r="CE18" s="354" t="e">
        <f>(CC18/#REF!)*100</f>
        <v>#REF!</v>
      </c>
      <c r="CF18" s="169">
        <f t="shared" si="54"/>
        <v>398350</v>
      </c>
      <c r="CG18" s="169">
        <v>398750</v>
      </c>
      <c r="CH18" s="170">
        <f t="shared" si="55"/>
        <v>400</v>
      </c>
      <c r="CI18" s="179">
        <f t="shared" si="56"/>
        <v>-20</v>
      </c>
      <c r="CJ18" s="180" t="e">
        <f>(CH18/#REF!)*100</f>
        <v>#REF!</v>
      </c>
      <c r="CK18" s="170">
        <f t="shared" si="57"/>
        <v>915840</v>
      </c>
      <c r="CL18" s="170">
        <v>916670</v>
      </c>
      <c r="CM18" s="170">
        <f t="shared" si="58"/>
        <v>830</v>
      </c>
      <c r="CN18" s="179">
        <f t="shared" si="59"/>
        <v>130</v>
      </c>
      <c r="CO18" s="180" t="e">
        <f>(CM18/#REF!)*100</f>
        <v>#REF!</v>
      </c>
      <c r="CP18" s="360">
        <f t="shared" si="110"/>
        <v>762470</v>
      </c>
      <c r="CQ18" s="360">
        <v>763380</v>
      </c>
      <c r="CR18" s="364">
        <f>MAX(0,CQ18-CP18)</f>
        <v>910</v>
      </c>
      <c r="CS18" s="365">
        <f t="shared" si="60"/>
        <v>190</v>
      </c>
      <c r="CT18" s="366" t="e">
        <f>(CR18/#REF!)*100</f>
        <v>#REF!</v>
      </c>
      <c r="CU18" s="169">
        <f t="shared" si="61"/>
        <v>628320</v>
      </c>
      <c r="CV18" s="169">
        <v>628750</v>
      </c>
      <c r="CW18" s="170">
        <f t="shared" si="62"/>
        <v>430</v>
      </c>
      <c r="CX18" s="179">
        <f t="shared" si="63"/>
        <v>0</v>
      </c>
      <c r="CY18" s="180" t="e">
        <f>(CW18/#REF!)*100</f>
        <v>#REF!</v>
      </c>
      <c r="CZ18" s="360">
        <f t="shared" si="64"/>
        <v>1049800</v>
      </c>
      <c r="DA18" s="360">
        <v>1050700</v>
      </c>
      <c r="DB18" s="368">
        <f t="shared" si="65"/>
        <v>900</v>
      </c>
      <c r="DC18" s="365">
        <f t="shared" si="66"/>
        <v>100</v>
      </c>
      <c r="DD18" s="366" t="e">
        <f>(DB18/#REF!)*100</f>
        <v>#REF!</v>
      </c>
      <c r="DE18" s="169">
        <f t="shared" si="67"/>
        <v>805840</v>
      </c>
      <c r="DF18" s="169">
        <v>806500</v>
      </c>
      <c r="DG18" s="170">
        <f t="shared" si="68"/>
        <v>660</v>
      </c>
      <c r="DH18" s="179">
        <f t="shared" si="69"/>
        <v>30</v>
      </c>
      <c r="DI18" s="180" t="e">
        <f>(DG18/#REF!)*100</f>
        <v>#REF!</v>
      </c>
      <c r="DJ18" s="360">
        <f t="shared" si="70"/>
        <v>694010</v>
      </c>
      <c r="DK18" s="360">
        <v>694630</v>
      </c>
      <c r="DL18" s="368">
        <f t="shared" si="71"/>
        <v>620</v>
      </c>
      <c r="DM18" s="365">
        <f t="shared" si="72"/>
        <v>70</v>
      </c>
      <c r="DN18" s="366" t="e">
        <f>(DL18/#REF!)*100</f>
        <v>#REF!</v>
      </c>
      <c r="DO18" s="169">
        <f t="shared" si="73"/>
        <v>376480</v>
      </c>
      <c r="DP18" s="169">
        <v>376800</v>
      </c>
      <c r="DQ18" s="170">
        <f t="shared" si="74"/>
        <v>320</v>
      </c>
      <c r="DR18" s="179">
        <f t="shared" si="75"/>
        <v>-20</v>
      </c>
      <c r="DS18" s="180" t="e">
        <f>(DQ18/#REF!)*100</f>
        <v>#REF!</v>
      </c>
      <c r="DT18" s="360">
        <f t="shared" si="76"/>
        <v>127650</v>
      </c>
      <c r="DU18" s="360">
        <v>127790</v>
      </c>
      <c r="DV18" s="368">
        <f t="shared" si="77"/>
        <v>140</v>
      </c>
      <c r="DW18" s="365">
        <f t="shared" si="78"/>
        <v>20</v>
      </c>
      <c r="DX18" s="366" t="e">
        <f>(DV18/#REF!)*100</f>
        <v>#REF!</v>
      </c>
      <c r="DY18" s="169">
        <f t="shared" si="79"/>
        <v>819800</v>
      </c>
      <c r="DZ18" s="169">
        <v>820820</v>
      </c>
      <c r="EA18" s="170">
        <f t="shared" si="80"/>
        <v>1020</v>
      </c>
      <c r="EB18" s="179">
        <f t="shared" si="81"/>
        <v>70</v>
      </c>
      <c r="EC18" s="180" t="e">
        <f>(EA18/#REF!)*100</f>
        <v>#REF!</v>
      </c>
      <c r="ED18" s="360">
        <f t="shared" si="82"/>
        <v>259660</v>
      </c>
      <c r="EE18" s="360">
        <v>259900</v>
      </c>
      <c r="EF18" s="368">
        <f t="shared" si="83"/>
        <v>240</v>
      </c>
      <c r="EG18" s="365">
        <f t="shared" si="84"/>
        <v>-50</v>
      </c>
      <c r="EH18" s="366" t="e">
        <f>(EF18/#REF!)*100</f>
        <v>#REF!</v>
      </c>
      <c r="EI18" s="169">
        <f t="shared" si="85"/>
        <v>296460</v>
      </c>
      <c r="EJ18" s="169">
        <v>296770</v>
      </c>
      <c r="EK18" s="170">
        <f t="shared" si="86"/>
        <v>310</v>
      </c>
      <c r="EL18" s="179">
        <f t="shared" si="87"/>
        <v>-80</v>
      </c>
      <c r="EM18" s="180" t="e">
        <f>(EK18/#REF!)*100</f>
        <v>#REF!</v>
      </c>
      <c r="EN18" s="360">
        <f t="shared" si="88"/>
        <v>480520</v>
      </c>
      <c r="EO18" s="360">
        <v>481060</v>
      </c>
      <c r="EP18" s="368">
        <f t="shared" si="89"/>
        <v>540</v>
      </c>
      <c r="EQ18" s="365">
        <f t="shared" si="90"/>
        <v>40</v>
      </c>
      <c r="ER18" s="366" t="e">
        <f>(EP18/#REF!)*100</f>
        <v>#REF!</v>
      </c>
      <c r="ES18" s="169">
        <f t="shared" si="91"/>
        <v>0</v>
      </c>
      <c r="ET18" s="169"/>
      <c r="EU18" s="170">
        <f t="shared" si="92"/>
        <v>0</v>
      </c>
      <c r="EV18" s="179">
        <f t="shared" si="93"/>
        <v>0</v>
      </c>
      <c r="EW18" s="180" t="e">
        <f>(EU18/#REF!)*100</f>
        <v>#REF!</v>
      </c>
      <c r="EX18" s="169">
        <f t="shared" si="94"/>
        <v>0</v>
      </c>
      <c r="EY18" s="169"/>
      <c r="EZ18" s="170">
        <f t="shared" si="95"/>
        <v>0</v>
      </c>
      <c r="FA18" s="179">
        <f t="shared" si="96"/>
        <v>0</v>
      </c>
      <c r="FB18" s="180" t="e">
        <f>(EZ18/#REF!)*100</f>
        <v>#REF!</v>
      </c>
      <c r="FC18" s="169">
        <f t="shared" si="97"/>
        <v>0</v>
      </c>
      <c r="FD18" s="169"/>
      <c r="FE18" s="170">
        <f t="shared" si="98"/>
        <v>0</v>
      </c>
      <c r="FF18" s="179">
        <f t="shared" si="99"/>
        <v>0</v>
      </c>
      <c r="FG18" s="180" t="e">
        <f>(FE18/#REF!)*100</f>
        <v>#REF!</v>
      </c>
      <c r="FH18" s="241"/>
      <c r="FI18" s="241"/>
      <c r="FJ18" s="241"/>
      <c r="FK18" s="241"/>
      <c r="FL18" s="241"/>
      <c r="FM18" s="169">
        <f t="shared" si="100"/>
        <v>0</v>
      </c>
      <c r="FN18" s="169"/>
      <c r="FO18" s="170">
        <f t="shared" si="101"/>
        <v>0</v>
      </c>
      <c r="FP18" s="179">
        <f t="shared" si="102"/>
        <v>0</v>
      </c>
      <c r="FQ18" s="180" t="e">
        <f>(FO18/#REF!)*100</f>
        <v>#REF!</v>
      </c>
      <c r="FR18" s="169">
        <f t="shared" si="103"/>
        <v>0</v>
      </c>
      <c r="FS18" s="169"/>
      <c r="FT18" s="170">
        <f t="shared" si="104"/>
        <v>0</v>
      </c>
      <c r="FU18" s="179">
        <f t="shared" si="105"/>
        <v>0</v>
      </c>
      <c r="FV18" s="180" t="e">
        <f>(FT18/#REF!)*100</f>
        <v>#REF!</v>
      </c>
      <c r="FW18" s="169">
        <f t="shared" si="106"/>
        <v>0</v>
      </c>
      <c r="FX18" s="169"/>
      <c r="FY18" s="170">
        <f t="shared" si="107"/>
        <v>0</v>
      </c>
      <c r="FZ18" s="179">
        <f t="shared" si="108"/>
        <v>0</v>
      </c>
      <c r="GA18" s="180" t="e">
        <f>(FY18/#REF!)*100</f>
        <v>#REF!</v>
      </c>
      <c r="GB18" s="219"/>
      <c r="GC18" s="225">
        <f t="shared" si="1"/>
        <v>7457</v>
      </c>
      <c r="GD18" s="222"/>
      <c r="GE18" s="225">
        <f t="shared" si="2"/>
        <v>7430</v>
      </c>
      <c r="GF18" s="222"/>
      <c r="GG18" s="225">
        <f t="shared" si="3"/>
        <v>2500</v>
      </c>
      <c r="GH18" s="222"/>
      <c r="GI18" s="225">
        <f t="shared" si="4"/>
        <v>839</v>
      </c>
      <c r="GJ18" s="222"/>
      <c r="GK18" s="225">
        <f t="shared" si="5"/>
        <v>600</v>
      </c>
      <c r="GL18" s="222"/>
      <c r="GM18" s="225">
        <f t="shared" si="6"/>
        <v>0</v>
      </c>
      <c r="GN18" s="222"/>
    </row>
    <row r="19" spans="1:1105" s="3" customFormat="1" ht="13.5" customHeight="1">
      <c r="A19" s="213">
        <v>15</v>
      </c>
      <c r="B19" s="216" t="e">
        <f>#REF!</f>
        <v>#REF!</v>
      </c>
      <c r="C19" s="211">
        <f t="shared" si="7"/>
        <v>27471229</v>
      </c>
      <c r="D19" s="167">
        <v>27475008</v>
      </c>
      <c r="E19" s="168">
        <f t="shared" si="8"/>
        <v>3779</v>
      </c>
      <c r="F19" s="175">
        <f t="shared" si="9"/>
        <v>78</v>
      </c>
      <c r="G19" s="176" t="e">
        <f>(E19/#REF!)*100</f>
        <v>#REF!</v>
      </c>
      <c r="H19" s="186">
        <f t="shared" si="10"/>
        <v>25415628</v>
      </c>
      <c r="I19" s="167">
        <v>25419485</v>
      </c>
      <c r="J19" s="167">
        <f t="shared" si="11"/>
        <v>3857</v>
      </c>
      <c r="K19" s="187">
        <f t="shared" si="12"/>
        <v>101</v>
      </c>
      <c r="L19" s="188" t="e">
        <f>(J19/#REF!)*100</f>
        <v>#REF!</v>
      </c>
      <c r="M19" s="172">
        <f t="shared" si="13"/>
        <v>93342815</v>
      </c>
      <c r="N19" s="169">
        <v>93353611</v>
      </c>
      <c r="O19" s="170">
        <f t="shared" si="14"/>
        <v>10796</v>
      </c>
      <c r="P19" s="179">
        <f t="shared" si="15"/>
        <v>215</v>
      </c>
      <c r="Q19" s="180" t="e">
        <f>(O19/#REF!)*100</f>
        <v>#REF!</v>
      </c>
      <c r="R19" s="351">
        <f t="shared" si="16"/>
        <v>3320100</v>
      </c>
      <c r="S19" s="347">
        <v>3322200</v>
      </c>
      <c r="T19" s="352">
        <f t="shared" si="17"/>
        <v>2100</v>
      </c>
      <c r="U19" s="353">
        <f t="shared" si="18"/>
        <v>-100</v>
      </c>
      <c r="V19" s="354" t="e">
        <f>(T19/#REF!)*100</f>
        <v>#REF!</v>
      </c>
      <c r="W19" s="169">
        <f t="shared" si="19"/>
        <v>4444839</v>
      </c>
      <c r="X19" s="169">
        <v>4447389</v>
      </c>
      <c r="Y19" s="170">
        <f t="shared" si="20"/>
        <v>2550</v>
      </c>
      <c r="Z19" s="179">
        <f t="shared" si="21"/>
        <v>-570</v>
      </c>
      <c r="AA19" s="180" t="e">
        <f>(Y19/#REF!)*100</f>
        <v>#REF!</v>
      </c>
      <c r="AB19" s="347">
        <f t="shared" si="22"/>
        <v>2886600</v>
      </c>
      <c r="AC19" s="347">
        <v>2888300</v>
      </c>
      <c r="AD19" s="352">
        <f t="shared" si="0"/>
        <v>1700</v>
      </c>
      <c r="AE19" s="357">
        <f>AD19/WATER!V20</f>
        <v>4.9562682215743443</v>
      </c>
      <c r="AF19" s="353">
        <f t="shared" si="23"/>
        <v>0</v>
      </c>
      <c r="AG19" s="354" t="e">
        <f>(AD19/#REF!)*100</f>
        <v>#REF!</v>
      </c>
      <c r="AH19" s="169">
        <f t="shared" si="24"/>
        <v>1140458</v>
      </c>
      <c r="AI19" s="169">
        <v>1140932</v>
      </c>
      <c r="AJ19" s="170">
        <f t="shared" si="25"/>
        <v>474</v>
      </c>
      <c r="AK19" s="179">
        <f t="shared" si="26"/>
        <v>8</v>
      </c>
      <c r="AL19" s="180" t="e">
        <f>(AJ19/#REF!)*100</f>
        <v>#REF!</v>
      </c>
      <c r="AM19" s="347">
        <f t="shared" si="27"/>
        <v>1171200</v>
      </c>
      <c r="AN19" s="347">
        <v>1171900</v>
      </c>
      <c r="AO19" s="352">
        <f t="shared" si="28"/>
        <v>700</v>
      </c>
      <c r="AP19" s="353">
        <f t="shared" si="29"/>
        <v>0</v>
      </c>
      <c r="AQ19" s="354" t="e">
        <f>(AO19/#REF!)*100</f>
        <v>#REF!</v>
      </c>
      <c r="AR19" s="169">
        <f t="shared" si="30"/>
        <v>2642100</v>
      </c>
      <c r="AS19" s="169">
        <v>2643800</v>
      </c>
      <c r="AT19" s="170">
        <f t="shared" si="31"/>
        <v>1700</v>
      </c>
      <c r="AU19" s="179">
        <f t="shared" si="32"/>
        <v>-100</v>
      </c>
      <c r="AV19" s="180" t="e">
        <f>(AT19/#REF!)*100</f>
        <v>#REF!</v>
      </c>
      <c r="AW19" s="347">
        <f t="shared" si="33"/>
        <v>53773</v>
      </c>
      <c r="AX19" s="347">
        <v>54161</v>
      </c>
      <c r="AY19" s="352">
        <f t="shared" si="34"/>
        <v>388</v>
      </c>
      <c r="AZ19" s="353">
        <f t="shared" si="35"/>
        <v>49</v>
      </c>
      <c r="BA19" s="354" t="e">
        <f>(AY19/#REF!)*100</f>
        <v>#REF!</v>
      </c>
      <c r="BB19" s="169">
        <f t="shared" si="36"/>
        <v>1037800</v>
      </c>
      <c r="BC19" s="169">
        <v>1038200</v>
      </c>
      <c r="BD19" s="170">
        <f t="shared" si="37"/>
        <v>400</v>
      </c>
      <c r="BE19" s="179">
        <f t="shared" si="38"/>
        <v>100</v>
      </c>
      <c r="BF19" s="180" t="e">
        <f>(BD19/#REF!)*100</f>
        <v>#REF!</v>
      </c>
      <c r="BG19" s="347">
        <f t="shared" si="39"/>
        <v>1102800</v>
      </c>
      <c r="BH19" s="347">
        <v>1103100</v>
      </c>
      <c r="BI19" s="352">
        <f t="shared" si="40"/>
        <v>300</v>
      </c>
      <c r="BJ19" s="353">
        <f t="shared" si="41"/>
        <v>100</v>
      </c>
      <c r="BK19" s="354" t="e">
        <f>(BI19/#REF!)*100</f>
        <v>#REF!</v>
      </c>
      <c r="BL19" s="169">
        <f t="shared" si="42"/>
        <v>1648900</v>
      </c>
      <c r="BM19" s="169">
        <v>1649500</v>
      </c>
      <c r="BN19" s="170">
        <f t="shared" si="43"/>
        <v>600</v>
      </c>
      <c r="BO19" s="179">
        <f t="shared" si="44"/>
        <v>100</v>
      </c>
      <c r="BP19" s="180" t="e">
        <f>(BN19/#REF!)*100</f>
        <v>#REF!</v>
      </c>
      <c r="BQ19" s="347">
        <f t="shared" si="45"/>
        <v>151410</v>
      </c>
      <c r="BR19" s="347">
        <v>151500</v>
      </c>
      <c r="BS19" s="352">
        <f t="shared" si="46"/>
        <v>90</v>
      </c>
      <c r="BT19" s="353">
        <f t="shared" si="47"/>
        <v>-10</v>
      </c>
      <c r="BU19" s="354" t="e">
        <f>(BS19/#REF!)*100</f>
        <v>#REF!</v>
      </c>
      <c r="BV19" s="169">
        <f t="shared" si="48"/>
        <v>627860</v>
      </c>
      <c r="BW19" s="169">
        <v>628180</v>
      </c>
      <c r="BX19" s="170">
        <f t="shared" si="49"/>
        <v>320</v>
      </c>
      <c r="BY19" s="179">
        <f t="shared" si="50"/>
        <v>10</v>
      </c>
      <c r="BZ19" s="180" t="e">
        <f>(BX19/#REF!)*100</f>
        <v>#REF!</v>
      </c>
      <c r="CA19" s="347">
        <f t="shared" si="51"/>
        <v>1203500</v>
      </c>
      <c r="CB19" s="347">
        <v>1204600</v>
      </c>
      <c r="CC19" s="352">
        <f t="shared" si="52"/>
        <v>1100</v>
      </c>
      <c r="CD19" s="353">
        <f t="shared" si="53"/>
        <v>-100</v>
      </c>
      <c r="CE19" s="354" t="e">
        <f>(CC19/#REF!)*100</f>
        <v>#REF!</v>
      </c>
      <c r="CF19" s="169">
        <f t="shared" si="54"/>
        <v>398750</v>
      </c>
      <c r="CG19" s="169">
        <v>399180</v>
      </c>
      <c r="CH19" s="170">
        <f t="shared" si="55"/>
        <v>430</v>
      </c>
      <c r="CI19" s="179">
        <f t="shared" si="56"/>
        <v>30</v>
      </c>
      <c r="CJ19" s="180" t="e">
        <f>(CH19/#REF!)*100</f>
        <v>#REF!</v>
      </c>
      <c r="CK19" s="170">
        <f t="shared" si="57"/>
        <v>916670</v>
      </c>
      <c r="CL19" s="170">
        <v>917510</v>
      </c>
      <c r="CM19" s="170">
        <f t="shared" si="58"/>
        <v>840</v>
      </c>
      <c r="CN19" s="179">
        <f t="shared" si="59"/>
        <v>10</v>
      </c>
      <c r="CO19" s="180" t="e">
        <f>(CM19/#REF!)*100</f>
        <v>#REF!</v>
      </c>
      <c r="CP19" s="360">
        <f>CQ18</f>
        <v>763380</v>
      </c>
      <c r="CQ19" s="360">
        <v>764180</v>
      </c>
      <c r="CR19" s="364">
        <f>MAX(0,CQ19-CP19)</f>
        <v>800</v>
      </c>
      <c r="CS19" s="365">
        <f t="shared" si="60"/>
        <v>-110</v>
      </c>
      <c r="CT19" s="366" t="e">
        <f>(CR19/#REF!)*100</f>
        <v>#REF!</v>
      </c>
      <c r="CU19" s="169">
        <f t="shared" si="61"/>
        <v>628750</v>
      </c>
      <c r="CV19" s="169">
        <v>629210</v>
      </c>
      <c r="CW19" s="170">
        <f t="shared" si="62"/>
        <v>460</v>
      </c>
      <c r="CX19" s="179">
        <f t="shared" si="63"/>
        <v>30</v>
      </c>
      <c r="CY19" s="180" t="e">
        <f>(CW19/#REF!)*100</f>
        <v>#REF!</v>
      </c>
      <c r="CZ19" s="360">
        <f t="shared" si="64"/>
        <v>1050700</v>
      </c>
      <c r="DA19" s="360">
        <v>1051600</v>
      </c>
      <c r="DB19" s="368">
        <f t="shared" si="65"/>
        <v>900</v>
      </c>
      <c r="DC19" s="365">
        <f t="shared" si="66"/>
        <v>0</v>
      </c>
      <c r="DD19" s="366" t="e">
        <f>(DB19/#REF!)*100</f>
        <v>#REF!</v>
      </c>
      <c r="DE19" s="169">
        <f t="shared" si="67"/>
        <v>806500</v>
      </c>
      <c r="DF19" s="169">
        <v>807230</v>
      </c>
      <c r="DG19" s="170">
        <f t="shared" si="68"/>
        <v>730</v>
      </c>
      <c r="DH19" s="179">
        <f t="shared" si="69"/>
        <v>70</v>
      </c>
      <c r="DI19" s="180" t="e">
        <f>(DG19/#REF!)*100</f>
        <v>#REF!</v>
      </c>
      <c r="DJ19" s="360">
        <f t="shared" si="70"/>
        <v>694630</v>
      </c>
      <c r="DK19" s="360">
        <v>695290</v>
      </c>
      <c r="DL19" s="368">
        <f t="shared" si="71"/>
        <v>660</v>
      </c>
      <c r="DM19" s="365">
        <f t="shared" si="72"/>
        <v>40</v>
      </c>
      <c r="DN19" s="366" t="e">
        <f>(DL19/#REF!)*100</f>
        <v>#REF!</v>
      </c>
      <c r="DO19" s="169">
        <f t="shared" si="73"/>
        <v>376800</v>
      </c>
      <c r="DP19" s="169">
        <v>377110</v>
      </c>
      <c r="DQ19" s="170">
        <f t="shared" si="74"/>
        <v>310</v>
      </c>
      <c r="DR19" s="179">
        <f t="shared" si="75"/>
        <v>-10</v>
      </c>
      <c r="DS19" s="180" t="e">
        <f>(DQ19/#REF!)*100</f>
        <v>#REF!</v>
      </c>
      <c r="DT19" s="360">
        <f t="shared" si="76"/>
        <v>127790</v>
      </c>
      <c r="DU19" s="360">
        <v>127900</v>
      </c>
      <c r="DV19" s="368">
        <f t="shared" si="77"/>
        <v>110</v>
      </c>
      <c r="DW19" s="365">
        <f t="shared" si="78"/>
        <v>-30</v>
      </c>
      <c r="DX19" s="366" t="e">
        <f>(DV19/#REF!)*100</f>
        <v>#REF!</v>
      </c>
      <c r="DY19" s="169">
        <f t="shared" si="79"/>
        <v>820820</v>
      </c>
      <c r="DZ19" s="169">
        <v>821850</v>
      </c>
      <c r="EA19" s="170">
        <f t="shared" si="80"/>
        <v>1030</v>
      </c>
      <c r="EB19" s="179">
        <f t="shared" si="81"/>
        <v>10</v>
      </c>
      <c r="EC19" s="180" t="e">
        <f>(EA19/#REF!)*100</f>
        <v>#REF!</v>
      </c>
      <c r="ED19" s="360">
        <f t="shared" si="82"/>
        <v>259900</v>
      </c>
      <c r="EE19" s="360">
        <v>260190</v>
      </c>
      <c r="EF19" s="368">
        <f t="shared" si="83"/>
        <v>290</v>
      </c>
      <c r="EG19" s="365">
        <f t="shared" si="84"/>
        <v>50</v>
      </c>
      <c r="EH19" s="366" t="e">
        <f>(EF19/#REF!)*100</f>
        <v>#REF!</v>
      </c>
      <c r="EI19" s="169">
        <f t="shared" si="85"/>
        <v>296770</v>
      </c>
      <c r="EJ19" s="169">
        <v>297180</v>
      </c>
      <c r="EK19" s="170">
        <f t="shared" si="86"/>
        <v>410</v>
      </c>
      <c r="EL19" s="179">
        <f t="shared" si="87"/>
        <v>100</v>
      </c>
      <c r="EM19" s="180" t="e">
        <f>(EK19/#REF!)*100</f>
        <v>#REF!</v>
      </c>
      <c r="EN19" s="360">
        <f t="shared" si="88"/>
        <v>481060</v>
      </c>
      <c r="EO19" s="360">
        <v>481580</v>
      </c>
      <c r="EP19" s="368">
        <f t="shared" si="89"/>
        <v>520</v>
      </c>
      <c r="EQ19" s="365">
        <f t="shared" si="90"/>
        <v>-20</v>
      </c>
      <c r="ER19" s="366" t="e">
        <f>(EP19/#REF!)*100</f>
        <v>#REF!</v>
      </c>
      <c r="ES19" s="169">
        <f t="shared" si="91"/>
        <v>0</v>
      </c>
      <c r="ET19" s="169"/>
      <c r="EU19" s="170">
        <f t="shared" si="92"/>
        <v>0</v>
      </c>
      <c r="EV19" s="179">
        <f t="shared" si="93"/>
        <v>0</v>
      </c>
      <c r="EW19" s="180" t="e">
        <f>(EU19/#REF!)*100</f>
        <v>#REF!</v>
      </c>
      <c r="EX19" s="169">
        <f t="shared" si="94"/>
        <v>0</v>
      </c>
      <c r="EY19" s="169"/>
      <c r="EZ19" s="170">
        <f t="shared" si="95"/>
        <v>0</v>
      </c>
      <c r="FA19" s="179">
        <f t="shared" si="96"/>
        <v>0</v>
      </c>
      <c r="FB19" s="180" t="e">
        <f>(EZ19/#REF!)*100</f>
        <v>#REF!</v>
      </c>
      <c r="FC19" s="169">
        <f t="shared" si="97"/>
        <v>0</v>
      </c>
      <c r="FD19" s="169"/>
      <c r="FE19" s="170">
        <f t="shared" si="98"/>
        <v>0</v>
      </c>
      <c r="FF19" s="179">
        <f t="shared" si="99"/>
        <v>0</v>
      </c>
      <c r="FG19" s="180" t="e">
        <f>(FE19/#REF!)*100</f>
        <v>#REF!</v>
      </c>
      <c r="FH19" s="241"/>
      <c r="FI19" s="241"/>
      <c r="FJ19" s="241"/>
      <c r="FK19" s="241"/>
      <c r="FL19" s="241"/>
      <c r="FM19" s="169">
        <f t="shared" si="100"/>
        <v>0</v>
      </c>
      <c r="FN19" s="169"/>
      <c r="FO19" s="170">
        <f t="shared" si="101"/>
        <v>0</v>
      </c>
      <c r="FP19" s="179">
        <f t="shared" si="102"/>
        <v>0</v>
      </c>
      <c r="FQ19" s="180" t="e">
        <f>(FO19/#REF!)*100</f>
        <v>#REF!</v>
      </c>
      <c r="FR19" s="169">
        <f t="shared" si="103"/>
        <v>0</v>
      </c>
      <c r="FS19" s="169"/>
      <c r="FT19" s="170">
        <f t="shared" si="104"/>
        <v>0</v>
      </c>
      <c r="FU19" s="179">
        <f t="shared" si="105"/>
        <v>0</v>
      </c>
      <c r="FV19" s="180" t="e">
        <f>(FT19/#REF!)*100</f>
        <v>#REF!</v>
      </c>
      <c r="FW19" s="169">
        <f t="shared" si="106"/>
        <v>0</v>
      </c>
      <c r="FX19" s="169"/>
      <c r="FY19" s="170">
        <f t="shared" si="107"/>
        <v>0</v>
      </c>
      <c r="FZ19" s="179">
        <f t="shared" si="108"/>
        <v>0</v>
      </c>
      <c r="GA19" s="180" t="e">
        <f>(FY19/#REF!)*100</f>
        <v>#REF!</v>
      </c>
      <c r="GB19" s="219"/>
      <c r="GC19" s="225">
        <f t="shared" si="1"/>
        <v>7636</v>
      </c>
      <c r="GD19" s="222"/>
      <c r="GE19" s="225">
        <f t="shared" si="2"/>
        <v>6900</v>
      </c>
      <c r="GF19" s="222"/>
      <c r="GG19" s="225">
        <f t="shared" si="3"/>
        <v>2400</v>
      </c>
      <c r="GH19" s="222"/>
      <c r="GI19" s="225">
        <f t="shared" si="4"/>
        <v>1088</v>
      </c>
      <c r="GJ19" s="222"/>
      <c r="GK19" s="225">
        <f t="shared" si="5"/>
        <v>690</v>
      </c>
      <c r="GL19" s="222"/>
      <c r="GM19" s="225">
        <f t="shared" si="6"/>
        <v>0</v>
      </c>
      <c r="GN19" s="222"/>
    </row>
    <row r="20" spans="1:1105" s="3" customFormat="1" ht="13.5" customHeight="1">
      <c r="A20" s="213">
        <v>16</v>
      </c>
      <c r="B20" s="216" t="e">
        <f>#REF!</f>
        <v>#REF!</v>
      </c>
      <c r="C20" s="211">
        <f t="shared" si="7"/>
        <v>27475008</v>
      </c>
      <c r="D20" s="167">
        <v>27478852</v>
      </c>
      <c r="E20" s="168">
        <f t="shared" si="8"/>
        <v>3844</v>
      </c>
      <c r="F20" s="175">
        <f t="shared" si="9"/>
        <v>65</v>
      </c>
      <c r="G20" s="176" t="e">
        <f>(E20/#REF!)*100</f>
        <v>#REF!</v>
      </c>
      <c r="H20" s="186">
        <f t="shared" si="10"/>
        <v>25419485</v>
      </c>
      <c r="I20" s="167">
        <v>25423760</v>
      </c>
      <c r="J20" s="167">
        <f t="shared" si="11"/>
        <v>4275</v>
      </c>
      <c r="K20" s="187">
        <f t="shared" si="12"/>
        <v>418</v>
      </c>
      <c r="L20" s="188" t="e">
        <f>(J20/#REF!)*100</f>
        <v>#REF!</v>
      </c>
      <c r="M20" s="172">
        <f t="shared" si="13"/>
        <v>93353611</v>
      </c>
      <c r="N20" s="169">
        <v>93364727</v>
      </c>
      <c r="O20" s="170">
        <f t="shared" si="14"/>
        <v>11116</v>
      </c>
      <c r="P20" s="179">
        <f t="shared" si="15"/>
        <v>320</v>
      </c>
      <c r="Q20" s="180" t="e">
        <f>(O20/#REF!)*100</f>
        <v>#REF!</v>
      </c>
      <c r="R20" s="351">
        <f t="shared" si="16"/>
        <v>3322200</v>
      </c>
      <c r="S20" s="347">
        <v>3324300</v>
      </c>
      <c r="T20" s="352">
        <f t="shared" si="17"/>
        <v>2100</v>
      </c>
      <c r="U20" s="353">
        <f t="shared" si="18"/>
        <v>0</v>
      </c>
      <c r="V20" s="354" t="e">
        <f>(T20/#REF!)*100</f>
        <v>#REF!</v>
      </c>
      <c r="W20" s="169">
        <f t="shared" si="19"/>
        <v>4447389</v>
      </c>
      <c r="X20" s="169">
        <v>4450239</v>
      </c>
      <c r="Y20" s="170">
        <f t="shared" si="20"/>
        <v>2850</v>
      </c>
      <c r="Z20" s="179">
        <f t="shared" si="21"/>
        <v>300</v>
      </c>
      <c r="AA20" s="180" t="e">
        <f>(Y20/#REF!)*100</f>
        <v>#REF!</v>
      </c>
      <c r="AB20" s="347">
        <f t="shared" si="22"/>
        <v>2888300</v>
      </c>
      <c r="AC20" s="347">
        <v>2890100</v>
      </c>
      <c r="AD20" s="352">
        <f t="shared" si="0"/>
        <v>1800</v>
      </c>
      <c r="AE20" s="357">
        <f>AD20/WATER!V21</f>
        <v>4.6997389033942563</v>
      </c>
      <c r="AF20" s="353">
        <f t="shared" si="23"/>
        <v>100</v>
      </c>
      <c r="AG20" s="354" t="e">
        <f>(AD20/#REF!)*100</f>
        <v>#REF!</v>
      </c>
      <c r="AH20" s="169">
        <f t="shared" si="24"/>
        <v>1140932</v>
      </c>
      <c r="AI20" s="169">
        <v>1141388</v>
      </c>
      <c r="AJ20" s="170">
        <f t="shared" si="25"/>
        <v>456</v>
      </c>
      <c r="AK20" s="179">
        <f t="shared" si="26"/>
        <v>-18</v>
      </c>
      <c r="AL20" s="180" t="e">
        <f>(AJ20/#REF!)*100</f>
        <v>#REF!</v>
      </c>
      <c r="AM20" s="347">
        <f t="shared" si="27"/>
        <v>1171900</v>
      </c>
      <c r="AN20" s="347">
        <v>1172500</v>
      </c>
      <c r="AO20" s="352">
        <f t="shared" si="28"/>
        <v>600</v>
      </c>
      <c r="AP20" s="353">
        <f t="shared" si="29"/>
        <v>-100</v>
      </c>
      <c r="AQ20" s="354" t="e">
        <f>(AO20/#REF!)*100</f>
        <v>#REF!</v>
      </c>
      <c r="AR20" s="169">
        <f t="shared" si="30"/>
        <v>2643800</v>
      </c>
      <c r="AS20" s="169">
        <v>2645600</v>
      </c>
      <c r="AT20" s="170">
        <f t="shared" si="31"/>
        <v>1800</v>
      </c>
      <c r="AU20" s="179">
        <f t="shared" si="32"/>
        <v>100</v>
      </c>
      <c r="AV20" s="180" t="e">
        <f>(AT20/#REF!)*100</f>
        <v>#REF!</v>
      </c>
      <c r="AW20" s="347">
        <f t="shared" si="33"/>
        <v>54161</v>
      </c>
      <c r="AX20" s="347">
        <v>54565</v>
      </c>
      <c r="AY20" s="352">
        <f t="shared" si="34"/>
        <v>404</v>
      </c>
      <c r="AZ20" s="353">
        <f t="shared" si="35"/>
        <v>16</v>
      </c>
      <c r="BA20" s="354" t="e">
        <f>(AY20/#REF!)*100</f>
        <v>#REF!</v>
      </c>
      <c r="BB20" s="169">
        <f t="shared" si="36"/>
        <v>1038200</v>
      </c>
      <c r="BC20" s="169">
        <v>1038700</v>
      </c>
      <c r="BD20" s="170">
        <f t="shared" si="37"/>
        <v>500</v>
      </c>
      <c r="BE20" s="179">
        <f t="shared" si="38"/>
        <v>100</v>
      </c>
      <c r="BF20" s="180" t="e">
        <f>(BD20/#REF!)*100</f>
        <v>#REF!</v>
      </c>
      <c r="BG20" s="347">
        <f t="shared" si="39"/>
        <v>1103100</v>
      </c>
      <c r="BH20" s="347">
        <v>1103400</v>
      </c>
      <c r="BI20" s="352">
        <f t="shared" si="40"/>
        <v>300</v>
      </c>
      <c r="BJ20" s="353">
        <f t="shared" si="41"/>
        <v>0</v>
      </c>
      <c r="BK20" s="354" t="e">
        <f>(BI20/#REF!)*100</f>
        <v>#REF!</v>
      </c>
      <c r="BL20" s="169">
        <f t="shared" si="42"/>
        <v>1649500</v>
      </c>
      <c r="BM20" s="169">
        <v>1650000</v>
      </c>
      <c r="BN20" s="170">
        <f t="shared" si="43"/>
        <v>500</v>
      </c>
      <c r="BO20" s="179">
        <f t="shared" si="44"/>
        <v>-100</v>
      </c>
      <c r="BP20" s="180" t="e">
        <f>(BN20/#REF!)*100</f>
        <v>#REF!</v>
      </c>
      <c r="BQ20" s="347">
        <f t="shared" si="45"/>
        <v>151500</v>
      </c>
      <c r="BR20" s="347">
        <v>151610</v>
      </c>
      <c r="BS20" s="352">
        <f t="shared" si="46"/>
        <v>110</v>
      </c>
      <c r="BT20" s="353">
        <f t="shared" si="47"/>
        <v>20</v>
      </c>
      <c r="BU20" s="354" t="e">
        <f>(BS20/#REF!)*100</f>
        <v>#REF!</v>
      </c>
      <c r="BV20" s="169">
        <f t="shared" si="48"/>
        <v>628180</v>
      </c>
      <c r="BW20" s="169">
        <v>628530</v>
      </c>
      <c r="BX20" s="170">
        <f t="shared" si="49"/>
        <v>350</v>
      </c>
      <c r="BY20" s="179">
        <f t="shared" si="50"/>
        <v>30</v>
      </c>
      <c r="BZ20" s="180" t="e">
        <f>(BX20/#REF!)*100</f>
        <v>#REF!</v>
      </c>
      <c r="CA20" s="347">
        <f t="shared" si="51"/>
        <v>1204600</v>
      </c>
      <c r="CB20" s="347">
        <v>1205800</v>
      </c>
      <c r="CC20" s="352">
        <f t="shared" si="52"/>
        <v>1200</v>
      </c>
      <c r="CD20" s="353">
        <f t="shared" si="53"/>
        <v>100</v>
      </c>
      <c r="CE20" s="354" t="e">
        <f>(CC20/#REF!)*100</f>
        <v>#REF!</v>
      </c>
      <c r="CF20" s="169">
        <f t="shared" si="54"/>
        <v>399180</v>
      </c>
      <c r="CG20" s="169">
        <v>399640</v>
      </c>
      <c r="CH20" s="170">
        <f t="shared" si="55"/>
        <v>460</v>
      </c>
      <c r="CI20" s="179">
        <f t="shared" si="56"/>
        <v>30</v>
      </c>
      <c r="CJ20" s="180" t="e">
        <f>(CH20/#REF!)*100</f>
        <v>#REF!</v>
      </c>
      <c r="CK20" s="170">
        <f t="shared" si="57"/>
        <v>917510</v>
      </c>
      <c r="CL20" s="170">
        <v>918430</v>
      </c>
      <c r="CM20" s="170">
        <f t="shared" si="58"/>
        <v>920</v>
      </c>
      <c r="CN20" s="179">
        <f t="shared" si="59"/>
        <v>80</v>
      </c>
      <c r="CO20" s="180" t="e">
        <f>(CM20/#REF!)*100</f>
        <v>#REF!</v>
      </c>
      <c r="CP20" s="360">
        <f>CQ19</f>
        <v>764180</v>
      </c>
      <c r="CQ20" s="360">
        <v>765050</v>
      </c>
      <c r="CR20" s="364">
        <f t="shared" si="109"/>
        <v>870</v>
      </c>
      <c r="CS20" s="365">
        <f t="shared" si="60"/>
        <v>70</v>
      </c>
      <c r="CT20" s="366" t="e">
        <f>(CR20/#REF!)*100</f>
        <v>#REF!</v>
      </c>
      <c r="CU20" s="169">
        <f t="shared" si="61"/>
        <v>629210</v>
      </c>
      <c r="CV20" s="169">
        <v>629780</v>
      </c>
      <c r="CW20" s="170">
        <f t="shared" si="62"/>
        <v>570</v>
      </c>
      <c r="CX20" s="179">
        <f t="shared" si="63"/>
        <v>110</v>
      </c>
      <c r="CY20" s="180" t="e">
        <f>(CW20/#REF!)*100</f>
        <v>#REF!</v>
      </c>
      <c r="CZ20" s="360">
        <f t="shared" si="64"/>
        <v>1051600</v>
      </c>
      <c r="DA20" s="360">
        <v>1052700</v>
      </c>
      <c r="DB20" s="368">
        <f t="shared" si="65"/>
        <v>1100</v>
      </c>
      <c r="DC20" s="365">
        <f t="shared" si="66"/>
        <v>200</v>
      </c>
      <c r="DD20" s="366" t="e">
        <f>(DB20/#REF!)*100</f>
        <v>#REF!</v>
      </c>
      <c r="DE20" s="169">
        <f t="shared" si="67"/>
        <v>807230</v>
      </c>
      <c r="DF20" s="169">
        <v>807960</v>
      </c>
      <c r="DG20" s="170">
        <f t="shared" si="68"/>
        <v>730</v>
      </c>
      <c r="DH20" s="179">
        <f t="shared" si="69"/>
        <v>0</v>
      </c>
      <c r="DI20" s="180" t="e">
        <f>(DG20/#REF!)*100</f>
        <v>#REF!</v>
      </c>
      <c r="DJ20" s="360">
        <f t="shared" si="70"/>
        <v>695290</v>
      </c>
      <c r="DK20" s="360">
        <v>695990</v>
      </c>
      <c r="DL20" s="368">
        <f t="shared" si="71"/>
        <v>700</v>
      </c>
      <c r="DM20" s="365">
        <f t="shared" si="72"/>
        <v>40</v>
      </c>
      <c r="DN20" s="366" t="e">
        <f>(DL20/#REF!)*100</f>
        <v>#REF!</v>
      </c>
      <c r="DO20" s="169">
        <f t="shared" si="73"/>
        <v>377110</v>
      </c>
      <c r="DP20" s="169">
        <v>377430</v>
      </c>
      <c r="DQ20" s="170">
        <f t="shared" si="74"/>
        <v>320</v>
      </c>
      <c r="DR20" s="179">
        <f t="shared" si="75"/>
        <v>10</v>
      </c>
      <c r="DS20" s="180" t="e">
        <f>(DQ20/#REF!)*100</f>
        <v>#REF!</v>
      </c>
      <c r="DT20" s="360">
        <f t="shared" si="76"/>
        <v>127900</v>
      </c>
      <c r="DU20" s="360">
        <v>128040</v>
      </c>
      <c r="DV20" s="368">
        <f t="shared" si="77"/>
        <v>140</v>
      </c>
      <c r="DW20" s="365">
        <f t="shared" si="78"/>
        <v>30</v>
      </c>
      <c r="DX20" s="366" t="e">
        <f>(DV20/#REF!)*100</f>
        <v>#REF!</v>
      </c>
      <c r="DY20" s="169">
        <f t="shared" si="79"/>
        <v>821850</v>
      </c>
      <c r="DZ20" s="169">
        <v>822850</v>
      </c>
      <c r="EA20" s="170">
        <f t="shared" si="80"/>
        <v>1000</v>
      </c>
      <c r="EB20" s="179">
        <f t="shared" si="81"/>
        <v>-30</v>
      </c>
      <c r="EC20" s="180" t="e">
        <f>(EA20/#REF!)*100</f>
        <v>#REF!</v>
      </c>
      <c r="ED20" s="360">
        <f t="shared" si="82"/>
        <v>260190</v>
      </c>
      <c r="EE20" s="360">
        <v>260480</v>
      </c>
      <c r="EF20" s="368">
        <f t="shared" si="83"/>
        <v>290</v>
      </c>
      <c r="EG20" s="365">
        <f t="shared" si="84"/>
        <v>0</v>
      </c>
      <c r="EH20" s="366" t="e">
        <f>(EF20/#REF!)*100</f>
        <v>#REF!</v>
      </c>
      <c r="EI20" s="169">
        <f t="shared" si="85"/>
        <v>297180</v>
      </c>
      <c r="EJ20" s="169">
        <v>297540</v>
      </c>
      <c r="EK20" s="170">
        <f t="shared" si="86"/>
        <v>360</v>
      </c>
      <c r="EL20" s="179">
        <f t="shared" si="87"/>
        <v>-50</v>
      </c>
      <c r="EM20" s="180" t="e">
        <f>(EK20/#REF!)*100</f>
        <v>#REF!</v>
      </c>
      <c r="EN20" s="360">
        <f t="shared" si="88"/>
        <v>481580</v>
      </c>
      <c r="EO20" s="360">
        <v>482110</v>
      </c>
      <c r="EP20" s="368">
        <f t="shared" si="89"/>
        <v>530</v>
      </c>
      <c r="EQ20" s="365">
        <f t="shared" si="90"/>
        <v>10</v>
      </c>
      <c r="ER20" s="366" t="e">
        <f>(EP20/#REF!)*100</f>
        <v>#REF!</v>
      </c>
      <c r="ES20" s="169">
        <f t="shared" si="91"/>
        <v>0</v>
      </c>
      <c r="ET20" s="169"/>
      <c r="EU20" s="170">
        <f t="shared" si="92"/>
        <v>0</v>
      </c>
      <c r="EV20" s="179">
        <f t="shared" si="93"/>
        <v>0</v>
      </c>
      <c r="EW20" s="180" t="e">
        <f>(EU20/#REF!)*100</f>
        <v>#REF!</v>
      </c>
      <c r="EX20" s="169">
        <f t="shared" si="94"/>
        <v>0</v>
      </c>
      <c r="EY20" s="169"/>
      <c r="EZ20" s="170">
        <f t="shared" si="95"/>
        <v>0</v>
      </c>
      <c r="FA20" s="179">
        <f t="shared" si="96"/>
        <v>0</v>
      </c>
      <c r="FB20" s="180" t="e">
        <f>(EZ20/#REF!)*100</f>
        <v>#REF!</v>
      </c>
      <c r="FC20" s="169">
        <f t="shared" si="97"/>
        <v>0</v>
      </c>
      <c r="FD20" s="169"/>
      <c r="FE20" s="170">
        <f t="shared" si="98"/>
        <v>0</v>
      </c>
      <c r="FF20" s="179">
        <f t="shared" si="99"/>
        <v>0</v>
      </c>
      <c r="FG20" s="180" t="e">
        <f>(FE20/#REF!)*100</f>
        <v>#REF!</v>
      </c>
      <c r="FH20" s="241"/>
      <c r="FI20" s="241"/>
      <c r="FJ20" s="241"/>
      <c r="FK20" s="241"/>
      <c r="FL20" s="241"/>
      <c r="FM20" s="169">
        <f t="shared" si="100"/>
        <v>0</v>
      </c>
      <c r="FN20" s="169"/>
      <c r="FO20" s="170">
        <f t="shared" si="101"/>
        <v>0</v>
      </c>
      <c r="FP20" s="179">
        <f t="shared" si="102"/>
        <v>0</v>
      </c>
      <c r="FQ20" s="180" t="e">
        <f>(FO20/#REF!)*100</f>
        <v>#REF!</v>
      </c>
      <c r="FR20" s="169">
        <f t="shared" si="103"/>
        <v>0</v>
      </c>
      <c r="FS20" s="169"/>
      <c r="FT20" s="170">
        <f t="shared" si="104"/>
        <v>0</v>
      </c>
      <c r="FU20" s="179">
        <f t="shared" si="105"/>
        <v>0</v>
      </c>
      <c r="FV20" s="180" t="e">
        <f>(FT20/#REF!)*100</f>
        <v>#REF!</v>
      </c>
      <c r="FW20" s="169">
        <f t="shared" si="106"/>
        <v>0</v>
      </c>
      <c r="FX20" s="169"/>
      <c r="FY20" s="170">
        <f t="shared" si="107"/>
        <v>0</v>
      </c>
      <c r="FZ20" s="179">
        <f t="shared" si="108"/>
        <v>0</v>
      </c>
      <c r="GA20" s="180" t="e">
        <f>(FY20/#REF!)*100</f>
        <v>#REF!</v>
      </c>
      <c r="GB20" s="219"/>
      <c r="GC20" s="225">
        <f t="shared" si="1"/>
        <v>8119</v>
      </c>
      <c r="GD20" s="222"/>
      <c r="GE20" s="225">
        <f t="shared" si="2"/>
        <v>7130</v>
      </c>
      <c r="GF20" s="222"/>
      <c r="GG20" s="225">
        <f t="shared" si="3"/>
        <v>2400</v>
      </c>
      <c r="GH20" s="222"/>
      <c r="GI20" s="225">
        <f t="shared" si="4"/>
        <v>1204</v>
      </c>
      <c r="GJ20" s="222"/>
      <c r="GK20" s="225">
        <f t="shared" si="5"/>
        <v>610</v>
      </c>
      <c r="GL20" s="222"/>
      <c r="GM20" s="225">
        <f t="shared" si="6"/>
        <v>0</v>
      </c>
      <c r="GN20" s="222"/>
    </row>
    <row r="21" spans="1:1105" s="3" customFormat="1" ht="13.5" customHeight="1">
      <c r="A21" s="213">
        <v>17</v>
      </c>
      <c r="B21" s="216" t="e">
        <f>#REF!</f>
        <v>#REF!</v>
      </c>
      <c r="C21" s="211">
        <f t="shared" si="7"/>
        <v>27478852</v>
      </c>
      <c r="D21" s="167">
        <v>27482825</v>
      </c>
      <c r="E21" s="168">
        <f t="shared" si="8"/>
        <v>3973</v>
      </c>
      <c r="F21" s="175">
        <f t="shared" si="9"/>
        <v>129</v>
      </c>
      <c r="G21" s="176" t="e">
        <f>(E21/#REF!)*100</f>
        <v>#REF!</v>
      </c>
      <c r="H21" s="186">
        <f t="shared" si="10"/>
        <v>25423760</v>
      </c>
      <c r="I21" s="167">
        <v>25427825</v>
      </c>
      <c r="J21" s="167">
        <f t="shared" si="11"/>
        <v>4065</v>
      </c>
      <c r="K21" s="187">
        <f t="shared" si="12"/>
        <v>-210</v>
      </c>
      <c r="L21" s="188" t="e">
        <f>(J21/#REF!)*100</f>
        <v>#REF!</v>
      </c>
      <c r="M21" s="172">
        <f t="shared" si="13"/>
        <v>93364727</v>
      </c>
      <c r="N21" s="169">
        <v>93376272</v>
      </c>
      <c r="O21" s="170">
        <f t="shared" si="14"/>
        <v>11545</v>
      </c>
      <c r="P21" s="179">
        <f t="shared" si="15"/>
        <v>429</v>
      </c>
      <c r="Q21" s="180" t="e">
        <f>(O21/#REF!)*100</f>
        <v>#REF!</v>
      </c>
      <c r="R21" s="351">
        <f t="shared" si="16"/>
        <v>3324300</v>
      </c>
      <c r="S21" s="347">
        <v>3326500</v>
      </c>
      <c r="T21" s="352">
        <f t="shared" si="17"/>
        <v>2200</v>
      </c>
      <c r="U21" s="353">
        <f t="shared" si="18"/>
        <v>100</v>
      </c>
      <c r="V21" s="354" t="e">
        <f>(T21/#REF!)*100</f>
        <v>#REF!</v>
      </c>
      <c r="W21" s="169">
        <f t="shared" si="19"/>
        <v>4450239</v>
      </c>
      <c r="X21" s="169">
        <v>4453116</v>
      </c>
      <c r="Y21" s="170">
        <f t="shared" si="20"/>
        <v>2877</v>
      </c>
      <c r="Z21" s="179">
        <f t="shared" si="21"/>
        <v>27</v>
      </c>
      <c r="AA21" s="180" t="e">
        <f>(Y21/#REF!)*100</f>
        <v>#REF!</v>
      </c>
      <c r="AB21" s="347">
        <f t="shared" si="22"/>
        <v>2890100</v>
      </c>
      <c r="AC21" s="347">
        <v>2892000</v>
      </c>
      <c r="AD21" s="352">
        <f t="shared" si="0"/>
        <v>1900</v>
      </c>
      <c r="AE21" s="357">
        <f>AD21/WATER!V22</f>
        <v>4.859335038363171</v>
      </c>
      <c r="AF21" s="353">
        <f t="shared" si="23"/>
        <v>100</v>
      </c>
      <c r="AG21" s="354" t="e">
        <f>(AD21/#REF!)*100</f>
        <v>#REF!</v>
      </c>
      <c r="AH21" s="169">
        <f t="shared" si="24"/>
        <v>1141388</v>
      </c>
      <c r="AI21" s="169">
        <v>1141848</v>
      </c>
      <c r="AJ21" s="170">
        <f t="shared" si="25"/>
        <v>460</v>
      </c>
      <c r="AK21" s="179">
        <f t="shared" si="26"/>
        <v>4</v>
      </c>
      <c r="AL21" s="180" t="e">
        <f>(AJ21/#REF!)*100</f>
        <v>#REF!</v>
      </c>
      <c r="AM21" s="347">
        <f t="shared" si="27"/>
        <v>1172500</v>
      </c>
      <c r="AN21" s="347">
        <v>1173200</v>
      </c>
      <c r="AO21" s="352">
        <f t="shared" si="28"/>
        <v>700</v>
      </c>
      <c r="AP21" s="353">
        <f t="shared" si="29"/>
        <v>100</v>
      </c>
      <c r="AQ21" s="354" t="e">
        <f>(AO21/#REF!)*100</f>
        <v>#REF!</v>
      </c>
      <c r="AR21" s="169">
        <f t="shared" si="30"/>
        <v>2645600</v>
      </c>
      <c r="AS21" s="169">
        <v>2647600</v>
      </c>
      <c r="AT21" s="170">
        <f t="shared" si="31"/>
        <v>2000</v>
      </c>
      <c r="AU21" s="179">
        <f t="shared" si="32"/>
        <v>200</v>
      </c>
      <c r="AV21" s="180" t="e">
        <f>(AT21/#REF!)*100</f>
        <v>#REF!</v>
      </c>
      <c r="AW21" s="347">
        <f t="shared" si="33"/>
        <v>54565</v>
      </c>
      <c r="AX21" s="347">
        <v>55001</v>
      </c>
      <c r="AY21" s="352">
        <f t="shared" si="34"/>
        <v>436</v>
      </c>
      <c r="AZ21" s="353">
        <f t="shared" si="35"/>
        <v>32</v>
      </c>
      <c r="BA21" s="354" t="e">
        <f>(AY21/#REF!)*100</f>
        <v>#REF!</v>
      </c>
      <c r="BB21" s="169">
        <f t="shared" si="36"/>
        <v>1038700</v>
      </c>
      <c r="BC21" s="169">
        <v>1039100</v>
      </c>
      <c r="BD21" s="170">
        <f t="shared" si="37"/>
        <v>400</v>
      </c>
      <c r="BE21" s="179">
        <f t="shared" si="38"/>
        <v>-100</v>
      </c>
      <c r="BF21" s="180" t="e">
        <f>(BD21/#REF!)*100</f>
        <v>#REF!</v>
      </c>
      <c r="BG21" s="347">
        <f t="shared" si="39"/>
        <v>1103400</v>
      </c>
      <c r="BH21" s="347">
        <v>1103700</v>
      </c>
      <c r="BI21" s="352">
        <f t="shared" si="40"/>
        <v>300</v>
      </c>
      <c r="BJ21" s="353">
        <f t="shared" si="41"/>
        <v>0</v>
      </c>
      <c r="BK21" s="354" t="e">
        <f>(BI21/#REF!)*100</f>
        <v>#REF!</v>
      </c>
      <c r="BL21" s="169">
        <f t="shared" si="42"/>
        <v>1650000</v>
      </c>
      <c r="BM21" s="169">
        <v>1650600</v>
      </c>
      <c r="BN21" s="170">
        <f t="shared" si="43"/>
        <v>600</v>
      </c>
      <c r="BO21" s="179">
        <f t="shared" si="44"/>
        <v>100</v>
      </c>
      <c r="BP21" s="180" t="e">
        <f>(BN21/#REF!)*100</f>
        <v>#REF!</v>
      </c>
      <c r="BQ21" s="347">
        <f t="shared" si="45"/>
        <v>151610</v>
      </c>
      <c r="BR21" s="347">
        <v>151710</v>
      </c>
      <c r="BS21" s="352">
        <f t="shared" si="46"/>
        <v>100</v>
      </c>
      <c r="BT21" s="353">
        <f t="shared" si="47"/>
        <v>-10</v>
      </c>
      <c r="BU21" s="354" t="e">
        <f>(BS21/#REF!)*100</f>
        <v>#REF!</v>
      </c>
      <c r="BV21" s="169">
        <f t="shared" si="48"/>
        <v>628530</v>
      </c>
      <c r="BW21" s="169">
        <v>628880</v>
      </c>
      <c r="BX21" s="170">
        <f t="shared" si="49"/>
        <v>350</v>
      </c>
      <c r="BY21" s="179">
        <f t="shared" si="50"/>
        <v>0</v>
      </c>
      <c r="BZ21" s="180" t="e">
        <f>(BX21/#REF!)*100</f>
        <v>#REF!</v>
      </c>
      <c r="CA21" s="347">
        <f t="shared" si="51"/>
        <v>1205800</v>
      </c>
      <c r="CB21" s="347">
        <v>1207000</v>
      </c>
      <c r="CC21" s="352">
        <f t="shared" si="52"/>
        <v>1200</v>
      </c>
      <c r="CD21" s="353">
        <f t="shared" si="53"/>
        <v>0</v>
      </c>
      <c r="CE21" s="354" t="e">
        <f>(CC21/#REF!)*100</f>
        <v>#REF!</v>
      </c>
      <c r="CF21" s="169">
        <f t="shared" si="54"/>
        <v>399640</v>
      </c>
      <c r="CG21" s="169">
        <v>400110</v>
      </c>
      <c r="CH21" s="170">
        <f t="shared" si="55"/>
        <v>470</v>
      </c>
      <c r="CI21" s="179">
        <f t="shared" si="56"/>
        <v>10</v>
      </c>
      <c r="CJ21" s="180" t="e">
        <f>(CH21/#REF!)*100</f>
        <v>#REF!</v>
      </c>
      <c r="CK21" s="170">
        <f t="shared" si="57"/>
        <v>918430</v>
      </c>
      <c r="CL21" s="170">
        <v>919410</v>
      </c>
      <c r="CM21" s="170">
        <f t="shared" si="58"/>
        <v>980</v>
      </c>
      <c r="CN21" s="179">
        <f t="shared" si="59"/>
        <v>60</v>
      </c>
      <c r="CO21" s="180" t="e">
        <f>(CM21/#REF!)*100</f>
        <v>#REF!</v>
      </c>
      <c r="CP21" s="360">
        <f t="shared" si="110"/>
        <v>765050</v>
      </c>
      <c r="CQ21" s="360">
        <v>765900</v>
      </c>
      <c r="CR21" s="364">
        <f t="shared" si="109"/>
        <v>850</v>
      </c>
      <c r="CS21" s="365">
        <f t="shared" si="60"/>
        <v>-20</v>
      </c>
      <c r="CT21" s="366" t="e">
        <f>(CR21/#REF!)*100</f>
        <v>#REF!</v>
      </c>
      <c r="CU21" s="169">
        <f t="shared" si="61"/>
        <v>629780</v>
      </c>
      <c r="CV21" s="169">
        <v>630410</v>
      </c>
      <c r="CW21" s="170">
        <f t="shared" si="62"/>
        <v>630</v>
      </c>
      <c r="CX21" s="179">
        <f t="shared" si="63"/>
        <v>60</v>
      </c>
      <c r="CY21" s="180" t="e">
        <f>(CW21/#REF!)*100</f>
        <v>#REF!</v>
      </c>
      <c r="CZ21" s="360">
        <f t="shared" si="64"/>
        <v>1052700</v>
      </c>
      <c r="DA21" s="360">
        <v>1053800</v>
      </c>
      <c r="DB21" s="368">
        <f t="shared" si="65"/>
        <v>1100</v>
      </c>
      <c r="DC21" s="365">
        <f t="shared" si="66"/>
        <v>0</v>
      </c>
      <c r="DD21" s="366" t="e">
        <f>(DB21/#REF!)*100</f>
        <v>#REF!</v>
      </c>
      <c r="DE21" s="169">
        <f t="shared" si="67"/>
        <v>807960</v>
      </c>
      <c r="DF21" s="169">
        <v>808760</v>
      </c>
      <c r="DG21" s="170">
        <f t="shared" si="68"/>
        <v>800</v>
      </c>
      <c r="DH21" s="179">
        <f t="shared" si="69"/>
        <v>70</v>
      </c>
      <c r="DI21" s="180" t="e">
        <f>(DG21/#REF!)*100</f>
        <v>#REF!</v>
      </c>
      <c r="DJ21" s="360">
        <f t="shared" si="70"/>
        <v>695990</v>
      </c>
      <c r="DK21" s="360">
        <v>696540</v>
      </c>
      <c r="DL21" s="368">
        <f t="shared" si="71"/>
        <v>550</v>
      </c>
      <c r="DM21" s="365">
        <f t="shared" si="72"/>
        <v>-150</v>
      </c>
      <c r="DN21" s="366" t="e">
        <f>(DL21/#REF!)*100</f>
        <v>#REF!</v>
      </c>
      <c r="DO21" s="169">
        <f t="shared" si="73"/>
        <v>377430</v>
      </c>
      <c r="DP21" s="169">
        <v>377770</v>
      </c>
      <c r="DQ21" s="170">
        <f t="shared" si="74"/>
        <v>340</v>
      </c>
      <c r="DR21" s="179">
        <f t="shared" si="75"/>
        <v>20</v>
      </c>
      <c r="DS21" s="180" t="e">
        <f>(DQ21/#REF!)*100</f>
        <v>#REF!</v>
      </c>
      <c r="DT21" s="360">
        <f t="shared" si="76"/>
        <v>128040</v>
      </c>
      <c r="DU21" s="360">
        <v>128180</v>
      </c>
      <c r="DV21" s="368">
        <f t="shared" si="77"/>
        <v>140</v>
      </c>
      <c r="DW21" s="365">
        <f t="shared" si="78"/>
        <v>0</v>
      </c>
      <c r="DX21" s="366" t="e">
        <f>(DV21/#REF!)*100</f>
        <v>#REF!</v>
      </c>
      <c r="DY21" s="169">
        <f t="shared" si="79"/>
        <v>822850</v>
      </c>
      <c r="DZ21" s="169">
        <v>823960</v>
      </c>
      <c r="EA21" s="170">
        <f t="shared" si="80"/>
        <v>1110</v>
      </c>
      <c r="EB21" s="179">
        <f t="shared" si="81"/>
        <v>110</v>
      </c>
      <c r="EC21" s="180" t="e">
        <f>(EA21/#REF!)*100</f>
        <v>#REF!</v>
      </c>
      <c r="ED21" s="360">
        <f t="shared" si="82"/>
        <v>260480</v>
      </c>
      <c r="EE21" s="360">
        <v>260770</v>
      </c>
      <c r="EF21" s="368">
        <f t="shared" si="83"/>
        <v>290</v>
      </c>
      <c r="EG21" s="365">
        <f t="shared" si="84"/>
        <v>0</v>
      </c>
      <c r="EH21" s="366" t="e">
        <f>(EF21/#REF!)*100</f>
        <v>#REF!</v>
      </c>
      <c r="EI21" s="169">
        <f t="shared" si="85"/>
        <v>297540</v>
      </c>
      <c r="EJ21" s="169">
        <v>297920</v>
      </c>
      <c r="EK21" s="170">
        <f t="shared" si="86"/>
        <v>380</v>
      </c>
      <c r="EL21" s="179">
        <f t="shared" si="87"/>
        <v>20</v>
      </c>
      <c r="EM21" s="180" t="e">
        <f>(EK21/#REF!)*100</f>
        <v>#REF!</v>
      </c>
      <c r="EN21" s="360">
        <f t="shared" si="88"/>
        <v>482110</v>
      </c>
      <c r="EO21" s="360">
        <v>482650</v>
      </c>
      <c r="EP21" s="368">
        <f t="shared" si="89"/>
        <v>540</v>
      </c>
      <c r="EQ21" s="365">
        <f t="shared" si="90"/>
        <v>10</v>
      </c>
      <c r="ER21" s="366" t="e">
        <f>(EP21/#REF!)*100</f>
        <v>#REF!</v>
      </c>
      <c r="ES21" s="169">
        <f t="shared" si="91"/>
        <v>0</v>
      </c>
      <c r="ET21" s="169"/>
      <c r="EU21" s="170">
        <f t="shared" si="92"/>
        <v>0</v>
      </c>
      <c r="EV21" s="179">
        <f t="shared" si="93"/>
        <v>0</v>
      </c>
      <c r="EW21" s="180" t="e">
        <f>(EU21/#REF!)*100</f>
        <v>#REF!</v>
      </c>
      <c r="EX21" s="169">
        <f t="shared" si="94"/>
        <v>0</v>
      </c>
      <c r="EY21" s="169"/>
      <c r="EZ21" s="170">
        <f t="shared" si="95"/>
        <v>0</v>
      </c>
      <c r="FA21" s="179">
        <f t="shared" si="96"/>
        <v>0</v>
      </c>
      <c r="FB21" s="180" t="e">
        <f>(EZ21/#REF!)*100</f>
        <v>#REF!</v>
      </c>
      <c r="FC21" s="169">
        <f t="shared" si="97"/>
        <v>0</v>
      </c>
      <c r="FD21" s="169"/>
      <c r="FE21" s="170">
        <f t="shared" si="98"/>
        <v>0</v>
      </c>
      <c r="FF21" s="179">
        <f t="shared" si="99"/>
        <v>0</v>
      </c>
      <c r="FG21" s="180" t="e">
        <f>(FE21/#REF!)*100</f>
        <v>#REF!</v>
      </c>
      <c r="FH21" s="241"/>
      <c r="FI21" s="241"/>
      <c r="FJ21" s="241"/>
      <c r="FK21" s="241"/>
      <c r="FL21" s="241"/>
      <c r="FM21" s="169">
        <f t="shared" si="100"/>
        <v>0</v>
      </c>
      <c r="FN21" s="169"/>
      <c r="FO21" s="170">
        <f t="shared" si="101"/>
        <v>0</v>
      </c>
      <c r="FP21" s="179">
        <f t="shared" si="102"/>
        <v>0</v>
      </c>
      <c r="FQ21" s="180" t="e">
        <f>(FO21/#REF!)*100</f>
        <v>#REF!</v>
      </c>
      <c r="FR21" s="169">
        <f t="shared" si="103"/>
        <v>0</v>
      </c>
      <c r="FS21" s="169"/>
      <c r="FT21" s="170">
        <f t="shared" si="104"/>
        <v>0</v>
      </c>
      <c r="FU21" s="179">
        <f t="shared" si="105"/>
        <v>0</v>
      </c>
      <c r="FV21" s="180" t="e">
        <f>(FT21/#REF!)*100</f>
        <v>#REF!</v>
      </c>
      <c r="FW21" s="169">
        <f t="shared" si="106"/>
        <v>0</v>
      </c>
      <c r="FX21" s="169"/>
      <c r="FY21" s="170">
        <f t="shared" si="107"/>
        <v>0</v>
      </c>
      <c r="FZ21" s="179">
        <f t="shared" si="108"/>
        <v>0</v>
      </c>
      <c r="GA21" s="180" t="e">
        <f>(FY21/#REF!)*100</f>
        <v>#REF!</v>
      </c>
      <c r="GB21" s="219"/>
      <c r="GC21" s="225">
        <f t="shared" si="1"/>
        <v>8038</v>
      </c>
      <c r="GD21" s="222"/>
      <c r="GE21" s="225">
        <f t="shared" si="2"/>
        <v>7397</v>
      </c>
      <c r="GF21" s="222"/>
      <c r="GG21" s="225">
        <f t="shared" si="3"/>
        <v>2700</v>
      </c>
      <c r="GH21" s="222"/>
      <c r="GI21" s="225">
        <f t="shared" si="4"/>
        <v>1136</v>
      </c>
      <c r="GJ21" s="222"/>
      <c r="GK21" s="225">
        <f t="shared" si="5"/>
        <v>700</v>
      </c>
      <c r="GL21" s="222"/>
      <c r="GM21" s="225">
        <f t="shared" si="6"/>
        <v>0</v>
      </c>
      <c r="GN21" s="222"/>
    </row>
    <row r="22" spans="1:1105" s="3" customFormat="1" ht="13.5" customHeight="1">
      <c r="A22" s="213">
        <v>18</v>
      </c>
      <c r="B22" s="216" t="e">
        <f>#REF!</f>
        <v>#REF!</v>
      </c>
      <c r="C22" s="211">
        <f t="shared" si="7"/>
        <v>27482825</v>
      </c>
      <c r="D22" s="167">
        <v>27486946</v>
      </c>
      <c r="E22" s="168">
        <f t="shared" si="8"/>
        <v>4121</v>
      </c>
      <c r="F22" s="175">
        <f t="shared" si="9"/>
        <v>148</v>
      </c>
      <c r="G22" s="176" t="e">
        <f>(E22/#REF!)*100</f>
        <v>#REF!</v>
      </c>
      <c r="H22" s="186">
        <f t="shared" si="10"/>
        <v>25427825</v>
      </c>
      <c r="I22" s="167">
        <v>25432458</v>
      </c>
      <c r="J22" s="167">
        <f t="shared" si="11"/>
        <v>4633</v>
      </c>
      <c r="K22" s="187">
        <f t="shared" si="12"/>
        <v>568</v>
      </c>
      <c r="L22" s="188" t="e">
        <f>(J22/#REF!)*100</f>
        <v>#REF!</v>
      </c>
      <c r="M22" s="172">
        <f t="shared" si="13"/>
        <v>93376272</v>
      </c>
      <c r="N22" s="169">
        <v>93388588</v>
      </c>
      <c r="O22" s="170">
        <f t="shared" si="14"/>
        <v>12316</v>
      </c>
      <c r="P22" s="179">
        <f t="shared" si="15"/>
        <v>771</v>
      </c>
      <c r="Q22" s="180" t="e">
        <f>(O22/#REF!)*100</f>
        <v>#REF!</v>
      </c>
      <c r="R22" s="351">
        <f t="shared" si="16"/>
        <v>3326500</v>
      </c>
      <c r="S22" s="347">
        <v>3328800</v>
      </c>
      <c r="T22" s="352">
        <f t="shared" si="17"/>
        <v>2300</v>
      </c>
      <c r="U22" s="353">
        <f t="shared" si="18"/>
        <v>100</v>
      </c>
      <c r="V22" s="354" t="e">
        <f>(T22/#REF!)*100</f>
        <v>#REF!</v>
      </c>
      <c r="W22" s="169">
        <f t="shared" si="19"/>
        <v>4453116</v>
      </c>
      <c r="X22" s="169">
        <v>4456008</v>
      </c>
      <c r="Y22" s="170">
        <f t="shared" si="20"/>
        <v>2892</v>
      </c>
      <c r="Z22" s="179">
        <f t="shared" si="21"/>
        <v>15</v>
      </c>
      <c r="AA22" s="180" t="e">
        <f>(Y22/#REF!)*100</f>
        <v>#REF!</v>
      </c>
      <c r="AB22" s="347">
        <f t="shared" si="22"/>
        <v>2892000</v>
      </c>
      <c r="AC22" s="347">
        <v>2894000</v>
      </c>
      <c r="AD22" s="352">
        <f t="shared" si="0"/>
        <v>2000</v>
      </c>
      <c r="AE22" s="357">
        <f>AD22/WATER!V23</f>
        <v>5</v>
      </c>
      <c r="AF22" s="353">
        <f t="shared" si="23"/>
        <v>100</v>
      </c>
      <c r="AG22" s="354" t="e">
        <f>(AD22/#REF!)*100</f>
        <v>#REF!</v>
      </c>
      <c r="AH22" s="169">
        <f t="shared" si="24"/>
        <v>1141848</v>
      </c>
      <c r="AI22" s="169">
        <v>1142311</v>
      </c>
      <c r="AJ22" s="170">
        <f t="shared" si="25"/>
        <v>463</v>
      </c>
      <c r="AK22" s="179">
        <f t="shared" si="26"/>
        <v>3</v>
      </c>
      <c r="AL22" s="180" t="e">
        <f>(AJ22/#REF!)*100</f>
        <v>#REF!</v>
      </c>
      <c r="AM22" s="347">
        <f t="shared" si="27"/>
        <v>1173200</v>
      </c>
      <c r="AN22" s="347">
        <v>1173900</v>
      </c>
      <c r="AO22" s="352">
        <f t="shared" si="28"/>
        <v>700</v>
      </c>
      <c r="AP22" s="353">
        <f t="shared" si="29"/>
        <v>0</v>
      </c>
      <c r="AQ22" s="354" t="e">
        <f>(AO22/#REF!)*100</f>
        <v>#REF!</v>
      </c>
      <c r="AR22" s="169">
        <f t="shared" si="30"/>
        <v>2647600</v>
      </c>
      <c r="AS22" s="169">
        <v>2649400</v>
      </c>
      <c r="AT22" s="170">
        <f t="shared" si="31"/>
        <v>1800</v>
      </c>
      <c r="AU22" s="179">
        <f t="shared" si="32"/>
        <v>-200</v>
      </c>
      <c r="AV22" s="180" t="e">
        <f>(AT22/#REF!)*100</f>
        <v>#REF!</v>
      </c>
      <c r="AW22" s="347">
        <f t="shared" si="33"/>
        <v>55001</v>
      </c>
      <c r="AX22" s="347">
        <v>55447</v>
      </c>
      <c r="AY22" s="352">
        <f t="shared" si="34"/>
        <v>446</v>
      </c>
      <c r="AZ22" s="353">
        <f t="shared" si="35"/>
        <v>10</v>
      </c>
      <c r="BA22" s="354" t="e">
        <f>(AY22/#REF!)*100</f>
        <v>#REF!</v>
      </c>
      <c r="BB22" s="169">
        <f t="shared" si="36"/>
        <v>1039100</v>
      </c>
      <c r="BC22" s="169">
        <v>1039500</v>
      </c>
      <c r="BD22" s="170">
        <f t="shared" si="37"/>
        <v>400</v>
      </c>
      <c r="BE22" s="179">
        <f t="shared" si="38"/>
        <v>0</v>
      </c>
      <c r="BF22" s="180" t="e">
        <f>(BD22/#REF!)*100</f>
        <v>#REF!</v>
      </c>
      <c r="BG22" s="347">
        <f t="shared" si="39"/>
        <v>1103700</v>
      </c>
      <c r="BH22" s="347">
        <v>1104000</v>
      </c>
      <c r="BI22" s="352">
        <f t="shared" si="40"/>
        <v>300</v>
      </c>
      <c r="BJ22" s="353">
        <f t="shared" si="41"/>
        <v>0</v>
      </c>
      <c r="BK22" s="354" t="e">
        <f>(BI22/#REF!)*100</f>
        <v>#REF!</v>
      </c>
      <c r="BL22" s="169">
        <f t="shared" si="42"/>
        <v>1650600</v>
      </c>
      <c r="BM22" s="169">
        <v>1651200</v>
      </c>
      <c r="BN22" s="170">
        <f t="shared" si="43"/>
        <v>600</v>
      </c>
      <c r="BO22" s="179">
        <f t="shared" si="44"/>
        <v>0</v>
      </c>
      <c r="BP22" s="180" t="e">
        <f>(BN22/#REF!)*100</f>
        <v>#REF!</v>
      </c>
      <c r="BQ22" s="347">
        <f t="shared" si="45"/>
        <v>151710</v>
      </c>
      <c r="BR22" s="347">
        <v>151820</v>
      </c>
      <c r="BS22" s="352">
        <f t="shared" si="46"/>
        <v>110</v>
      </c>
      <c r="BT22" s="353">
        <f t="shared" si="47"/>
        <v>10</v>
      </c>
      <c r="BU22" s="354" t="e">
        <f>(BS22/#REF!)*100</f>
        <v>#REF!</v>
      </c>
      <c r="BV22" s="169">
        <f t="shared" si="48"/>
        <v>628880</v>
      </c>
      <c r="BW22" s="169">
        <v>629230</v>
      </c>
      <c r="BX22" s="170">
        <f t="shared" si="49"/>
        <v>350</v>
      </c>
      <c r="BY22" s="179">
        <f t="shared" si="50"/>
        <v>0</v>
      </c>
      <c r="BZ22" s="180" t="e">
        <f>(BX22/#REF!)*100</f>
        <v>#REF!</v>
      </c>
      <c r="CA22" s="347">
        <f t="shared" si="51"/>
        <v>1207000</v>
      </c>
      <c r="CB22" s="347">
        <v>1208200</v>
      </c>
      <c r="CC22" s="352">
        <f t="shared" si="52"/>
        <v>1200</v>
      </c>
      <c r="CD22" s="353">
        <f t="shared" si="53"/>
        <v>0</v>
      </c>
      <c r="CE22" s="354" t="e">
        <f>(CC22/#REF!)*100</f>
        <v>#REF!</v>
      </c>
      <c r="CF22" s="169">
        <f t="shared" si="54"/>
        <v>400110</v>
      </c>
      <c r="CG22" s="169">
        <v>400530</v>
      </c>
      <c r="CH22" s="170">
        <f t="shared" si="55"/>
        <v>420</v>
      </c>
      <c r="CI22" s="179">
        <f t="shared" si="56"/>
        <v>-50</v>
      </c>
      <c r="CJ22" s="180" t="e">
        <f>(CH22/#REF!)*100</f>
        <v>#REF!</v>
      </c>
      <c r="CK22" s="170">
        <f t="shared" si="57"/>
        <v>919410</v>
      </c>
      <c r="CL22" s="170">
        <v>920430</v>
      </c>
      <c r="CM22" s="170">
        <f t="shared" si="58"/>
        <v>1020</v>
      </c>
      <c r="CN22" s="179">
        <f t="shared" si="59"/>
        <v>40</v>
      </c>
      <c r="CO22" s="180" t="e">
        <f>(CM22/#REF!)*100</f>
        <v>#REF!</v>
      </c>
      <c r="CP22" s="360">
        <f t="shared" si="110"/>
        <v>765900</v>
      </c>
      <c r="CQ22" s="360">
        <v>766050</v>
      </c>
      <c r="CR22" s="364">
        <f t="shared" si="109"/>
        <v>150</v>
      </c>
      <c r="CS22" s="365">
        <f t="shared" si="60"/>
        <v>-700</v>
      </c>
      <c r="CT22" s="366" t="e">
        <f>(CR22/#REF!)*100</f>
        <v>#REF!</v>
      </c>
      <c r="CU22" s="169">
        <f t="shared" si="61"/>
        <v>630410</v>
      </c>
      <c r="CV22" s="169">
        <v>631240</v>
      </c>
      <c r="CW22" s="170">
        <f t="shared" si="62"/>
        <v>830</v>
      </c>
      <c r="CX22" s="179">
        <f t="shared" si="63"/>
        <v>200</v>
      </c>
      <c r="CY22" s="180" t="e">
        <f>(CW22/#REF!)*100</f>
        <v>#REF!</v>
      </c>
      <c r="CZ22" s="360">
        <f t="shared" si="64"/>
        <v>1053800</v>
      </c>
      <c r="DA22" s="360">
        <v>1054900</v>
      </c>
      <c r="DB22" s="368">
        <f t="shared" si="65"/>
        <v>1100</v>
      </c>
      <c r="DC22" s="365">
        <f t="shared" si="66"/>
        <v>0</v>
      </c>
      <c r="DD22" s="366" t="e">
        <f>(DB22/#REF!)*100</f>
        <v>#REF!</v>
      </c>
      <c r="DE22" s="169">
        <f t="shared" si="67"/>
        <v>808760</v>
      </c>
      <c r="DF22" s="169">
        <v>809450</v>
      </c>
      <c r="DG22" s="170">
        <f t="shared" si="68"/>
        <v>690</v>
      </c>
      <c r="DH22" s="179">
        <f t="shared" si="69"/>
        <v>-110</v>
      </c>
      <c r="DI22" s="180" t="e">
        <f>(DG22/#REF!)*100</f>
        <v>#REF!</v>
      </c>
      <c r="DJ22" s="360">
        <f t="shared" si="70"/>
        <v>696540</v>
      </c>
      <c r="DK22" s="360">
        <v>697010</v>
      </c>
      <c r="DL22" s="368">
        <f t="shared" si="71"/>
        <v>470</v>
      </c>
      <c r="DM22" s="365">
        <f t="shared" si="72"/>
        <v>-80</v>
      </c>
      <c r="DN22" s="366" t="e">
        <f>(DL22/#REF!)*100</f>
        <v>#REF!</v>
      </c>
      <c r="DO22" s="169">
        <f t="shared" si="73"/>
        <v>377770</v>
      </c>
      <c r="DP22" s="169">
        <v>377910</v>
      </c>
      <c r="DQ22" s="170">
        <f t="shared" si="74"/>
        <v>140</v>
      </c>
      <c r="DR22" s="179">
        <f t="shared" si="75"/>
        <v>-200</v>
      </c>
      <c r="DS22" s="180" t="e">
        <f>(DQ22/#REF!)*100</f>
        <v>#REF!</v>
      </c>
      <c r="DT22" s="360">
        <f t="shared" si="76"/>
        <v>128180</v>
      </c>
      <c r="DU22" s="360">
        <v>128320</v>
      </c>
      <c r="DV22" s="368">
        <f t="shared" si="77"/>
        <v>140</v>
      </c>
      <c r="DW22" s="365">
        <f t="shared" si="78"/>
        <v>0</v>
      </c>
      <c r="DX22" s="366" t="e">
        <f>(DV22/#REF!)*100</f>
        <v>#REF!</v>
      </c>
      <c r="DY22" s="169">
        <f t="shared" si="79"/>
        <v>823960</v>
      </c>
      <c r="DZ22" s="169">
        <v>824780</v>
      </c>
      <c r="EA22" s="170">
        <f t="shared" si="80"/>
        <v>820</v>
      </c>
      <c r="EB22" s="179">
        <f t="shared" si="81"/>
        <v>-290</v>
      </c>
      <c r="EC22" s="180" t="e">
        <f>(EA22/#REF!)*100</f>
        <v>#REF!</v>
      </c>
      <c r="ED22" s="360">
        <f t="shared" si="82"/>
        <v>260770</v>
      </c>
      <c r="EE22" s="360">
        <v>260980</v>
      </c>
      <c r="EF22" s="368">
        <f t="shared" si="83"/>
        <v>210</v>
      </c>
      <c r="EG22" s="365">
        <f t="shared" si="84"/>
        <v>-80</v>
      </c>
      <c r="EH22" s="366" t="e">
        <f>(EF22/#REF!)*100</f>
        <v>#REF!</v>
      </c>
      <c r="EI22" s="169">
        <f t="shared" si="85"/>
        <v>297920</v>
      </c>
      <c r="EJ22" s="169">
        <v>298210</v>
      </c>
      <c r="EK22" s="170">
        <f t="shared" si="86"/>
        <v>290</v>
      </c>
      <c r="EL22" s="179">
        <f t="shared" si="87"/>
        <v>-90</v>
      </c>
      <c r="EM22" s="180" t="e">
        <f>(EK22/#REF!)*100</f>
        <v>#REF!</v>
      </c>
      <c r="EN22" s="360">
        <f t="shared" si="88"/>
        <v>482650</v>
      </c>
      <c r="EO22" s="360">
        <v>483100</v>
      </c>
      <c r="EP22" s="368">
        <f t="shared" si="89"/>
        <v>450</v>
      </c>
      <c r="EQ22" s="365">
        <f t="shared" si="90"/>
        <v>-90</v>
      </c>
      <c r="ER22" s="366" t="e">
        <f>(EP22/#REF!)*100</f>
        <v>#REF!</v>
      </c>
      <c r="ES22" s="169">
        <f t="shared" si="91"/>
        <v>0</v>
      </c>
      <c r="ET22" s="169"/>
      <c r="EU22" s="170">
        <f t="shared" si="92"/>
        <v>0</v>
      </c>
      <c r="EV22" s="179">
        <f t="shared" si="93"/>
        <v>0</v>
      </c>
      <c r="EW22" s="180" t="e">
        <f>(EU22/#REF!)*100</f>
        <v>#REF!</v>
      </c>
      <c r="EX22" s="169">
        <f t="shared" si="94"/>
        <v>0</v>
      </c>
      <c r="EY22" s="169"/>
      <c r="EZ22" s="170">
        <f t="shared" si="95"/>
        <v>0</v>
      </c>
      <c r="FA22" s="179">
        <f t="shared" si="96"/>
        <v>0</v>
      </c>
      <c r="FB22" s="180" t="e">
        <f>(EZ22/#REF!)*100</f>
        <v>#REF!</v>
      </c>
      <c r="FC22" s="169">
        <f t="shared" si="97"/>
        <v>0</v>
      </c>
      <c r="FD22" s="169"/>
      <c r="FE22" s="170">
        <f t="shared" si="98"/>
        <v>0</v>
      </c>
      <c r="FF22" s="179">
        <f t="shared" si="99"/>
        <v>0</v>
      </c>
      <c r="FG22" s="180" t="e">
        <f>(FE22/#REF!)*100</f>
        <v>#REF!</v>
      </c>
      <c r="FH22" s="241"/>
      <c r="FI22" s="241"/>
      <c r="FJ22" s="241"/>
      <c r="FK22" s="241"/>
      <c r="FL22" s="241"/>
      <c r="FM22" s="169">
        <f t="shared" si="100"/>
        <v>0</v>
      </c>
      <c r="FN22" s="169"/>
      <c r="FO22" s="170">
        <f t="shared" si="101"/>
        <v>0</v>
      </c>
      <c r="FP22" s="179">
        <f t="shared" si="102"/>
        <v>0</v>
      </c>
      <c r="FQ22" s="180" t="e">
        <f>(FO22/#REF!)*100</f>
        <v>#REF!</v>
      </c>
      <c r="FR22" s="169">
        <f t="shared" si="103"/>
        <v>0</v>
      </c>
      <c r="FS22" s="169"/>
      <c r="FT22" s="170">
        <f t="shared" si="104"/>
        <v>0</v>
      </c>
      <c r="FU22" s="179">
        <f t="shared" si="105"/>
        <v>0</v>
      </c>
      <c r="FV22" s="180" t="e">
        <f>(FT22/#REF!)*100</f>
        <v>#REF!</v>
      </c>
      <c r="FW22" s="169">
        <f t="shared" si="106"/>
        <v>0</v>
      </c>
      <c r="FX22" s="169"/>
      <c r="FY22" s="170">
        <f t="shared" si="107"/>
        <v>0</v>
      </c>
      <c r="FZ22" s="179">
        <f t="shared" si="108"/>
        <v>0</v>
      </c>
      <c r="GA22" s="180" t="e">
        <f>(FY22/#REF!)*100</f>
        <v>#REF!</v>
      </c>
      <c r="GB22" s="219"/>
      <c r="GC22" s="225">
        <f t="shared" si="1"/>
        <v>8754</v>
      </c>
      <c r="GD22" s="222"/>
      <c r="GE22" s="225">
        <f t="shared" si="2"/>
        <v>6962</v>
      </c>
      <c r="GF22" s="222"/>
      <c r="GG22" s="225">
        <f t="shared" si="3"/>
        <v>2500</v>
      </c>
      <c r="GH22" s="222"/>
      <c r="GI22" s="225">
        <f t="shared" si="4"/>
        <v>1146</v>
      </c>
      <c r="GJ22" s="222"/>
      <c r="GK22" s="225">
        <f t="shared" si="5"/>
        <v>710</v>
      </c>
      <c r="GL22" s="222"/>
      <c r="GM22" s="225">
        <f t="shared" si="6"/>
        <v>0</v>
      </c>
      <c r="GN22" s="222"/>
    </row>
    <row r="23" spans="1:1105" s="3" customFormat="1" ht="13.5" customHeight="1">
      <c r="A23" s="213">
        <v>19</v>
      </c>
      <c r="B23" s="216" t="e">
        <f>#REF!</f>
        <v>#REF!</v>
      </c>
      <c r="C23" s="211">
        <f t="shared" si="7"/>
        <v>27486946</v>
      </c>
      <c r="D23" s="167">
        <v>27491306</v>
      </c>
      <c r="E23" s="168">
        <f t="shared" si="8"/>
        <v>4360</v>
      </c>
      <c r="F23" s="175">
        <f t="shared" si="9"/>
        <v>239</v>
      </c>
      <c r="G23" s="176" t="e">
        <f>(E23/#REF!)*100</f>
        <v>#REF!</v>
      </c>
      <c r="H23" s="186">
        <f t="shared" si="10"/>
        <v>25432458</v>
      </c>
      <c r="I23" s="167">
        <v>25437595</v>
      </c>
      <c r="J23" s="167">
        <f t="shared" si="11"/>
        <v>5137</v>
      </c>
      <c r="K23" s="187">
        <f t="shared" si="12"/>
        <v>504</v>
      </c>
      <c r="L23" s="188" t="e">
        <f>(J23/#REF!)*100</f>
        <v>#REF!</v>
      </c>
      <c r="M23" s="172">
        <f t="shared" si="13"/>
        <v>93388588</v>
      </c>
      <c r="N23" s="169">
        <v>93400559</v>
      </c>
      <c r="O23" s="170">
        <f t="shared" si="14"/>
        <v>11971</v>
      </c>
      <c r="P23" s="179">
        <f t="shared" si="15"/>
        <v>-345</v>
      </c>
      <c r="Q23" s="180" t="e">
        <f>(O23/#REF!)*100</f>
        <v>#REF!</v>
      </c>
      <c r="R23" s="351">
        <f t="shared" si="16"/>
        <v>3328800</v>
      </c>
      <c r="S23" s="347">
        <v>3331100</v>
      </c>
      <c r="T23" s="352">
        <f t="shared" si="17"/>
        <v>2300</v>
      </c>
      <c r="U23" s="353">
        <f t="shared" si="18"/>
        <v>0</v>
      </c>
      <c r="V23" s="354" t="e">
        <f>(T23/#REF!)*100</f>
        <v>#REF!</v>
      </c>
      <c r="W23" s="169">
        <f t="shared" si="19"/>
        <v>4456008</v>
      </c>
      <c r="X23" s="169">
        <v>4458923</v>
      </c>
      <c r="Y23" s="170">
        <f t="shared" si="20"/>
        <v>2915</v>
      </c>
      <c r="Z23" s="179">
        <f t="shared" si="21"/>
        <v>23</v>
      </c>
      <c r="AA23" s="180" t="e">
        <f>(Y23/#REF!)*100</f>
        <v>#REF!</v>
      </c>
      <c r="AB23" s="347">
        <f t="shared" si="22"/>
        <v>2894000</v>
      </c>
      <c r="AC23" s="347">
        <v>2895800</v>
      </c>
      <c r="AD23" s="352">
        <f t="shared" si="0"/>
        <v>1800</v>
      </c>
      <c r="AE23" s="357">
        <f>AD23/WATER!V24</f>
        <v>4.7745358090185679</v>
      </c>
      <c r="AF23" s="353">
        <f t="shared" si="23"/>
        <v>-200</v>
      </c>
      <c r="AG23" s="354" t="e">
        <f>(AD23/#REF!)*100</f>
        <v>#REF!</v>
      </c>
      <c r="AH23" s="169">
        <f t="shared" si="24"/>
        <v>1142311</v>
      </c>
      <c r="AI23" s="169">
        <v>1142782</v>
      </c>
      <c r="AJ23" s="170">
        <f t="shared" si="25"/>
        <v>471</v>
      </c>
      <c r="AK23" s="179">
        <f t="shared" si="26"/>
        <v>8</v>
      </c>
      <c r="AL23" s="180" t="e">
        <f>(AJ23/#REF!)*100</f>
        <v>#REF!</v>
      </c>
      <c r="AM23" s="347">
        <f t="shared" si="27"/>
        <v>1173900</v>
      </c>
      <c r="AN23" s="347">
        <v>1174600</v>
      </c>
      <c r="AO23" s="352">
        <f t="shared" si="28"/>
        <v>700</v>
      </c>
      <c r="AP23" s="353">
        <f t="shared" si="29"/>
        <v>0</v>
      </c>
      <c r="AQ23" s="354" t="e">
        <f>(AO23/#REF!)*100</f>
        <v>#REF!</v>
      </c>
      <c r="AR23" s="169">
        <f t="shared" si="30"/>
        <v>2649400</v>
      </c>
      <c r="AS23" s="169">
        <v>2651400</v>
      </c>
      <c r="AT23" s="170">
        <f t="shared" si="31"/>
        <v>2000</v>
      </c>
      <c r="AU23" s="179">
        <f t="shared" si="32"/>
        <v>200</v>
      </c>
      <c r="AV23" s="180" t="e">
        <f>(AT23/#REF!)*100</f>
        <v>#REF!</v>
      </c>
      <c r="AW23" s="347">
        <f t="shared" si="33"/>
        <v>55447</v>
      </c>
      <c r="AX23" s="347">
        <v>55927</v>
      </c>
      <c r="AY23" s="352">
        <f t="shared" si="34"/>
        <v>480</v>
      </c>
      <c r="AZ23" s="353">
        <f t="shared" si="35"/>
        <v>34</v>
      </c>
      <c r="BA23" s="354" t="e">
        <f>(AY23/#REF!)*100</f>
        <v>#REF!</v>
      </c>
      <c r="BB23" s="169">
        <f t="shared" si="36"/>
        <v>1039500</v>
      </c>
      <c r="BC23" s="169">
        <v>1040000</v>
      </c>
      <c r="BD23" s="170">
        <f t="shared" si="37"/>
        <v>500</v>
      </c>
      <c r="BE23" s="179">
        <f t="shared" si="38"/>
        <v>100</v>
      </c>
      <c r="BF23" s="180" t="e">
        <f>(BD23/#REF!)*100</f>
        <v>#REF!</v>
      </c>
      <c r="BG23" s="347">
        <f t="shared" si="39"/>
        <v>1104000</v>
      </c>
      <c r="BH23" s="347">
        <v>1104300</v>
      </c>
      <c r="BI23" s="352">
        <f t="shared" si="40"/>
        <v>300</v>
      </c>
      <c r="BJ23" s="353">
        <f t="shared" si="41"/>
        <v>0</v>
      </c>
      <c r="BK23" s="354" t="e">
        <f>(BI23/#REF!)*100</f>
        <v>#REF!</v>
      </c>
      <c r="BL23" s="169">
        <f t="shared" si="42"/>
        <v>1651200</v>
      </c>
      <c r="BM23" s="169">
        <v>1651800</v>
      </c>
      <c r="BN23" s="170">
        <f t="shared" si="43"/>
        <v>600</v>
      </c>
      <c r="BO23" s="179">
        <f t="shared" si="44"/>
        <v>0</v>
      </c>
      <c r="BP23" s="180" t="e">
        <f>(BN23/#REF!)*100</f>
        <v>#REF!</v>
      </c>
      <c r="BQ23" s="347">
        <f t="shared" si="45"/>
        <v>151820</v>
      </c>
      <c r="BR23" s="347">
        <v>151950</v>
      </c>
      <c r="BS23" s="352">
        <f t="shared" si="46"/>
        <v>130</v>
      </c>
      <c r="BT23" s="353">
        <f t="shared" si="47"/>
        <v>20</v>
      </c>
      <c r="BU23" s="354" t="e">
        <f>(BS23/#REF!)*100</f>
        <v>#REF!</v>
      </c>
      <c r="BV23" s="169">
        <f t="shared" si="48"/>
        <v>629230</v>
      </c>
      <c r="BW23" s="169">
        <v>629610</v>
      </c>
      <c r="BX23" s="170">
        <f t="shared" si="49"/>
        <v>380</v>
      </c>
      <c r="BY23" s="179">
        <f t="shared" si="50"/>
        <v>30</v>
      </c>
      <c r="BZ23" s="180" t="e">
        <f>(BX23/#REF!)*100</f>
        <v>#REF!</v>
      </c>
      <c r="CA23" s="347">
        <f t="shared" si="51"/>
        <v>1208200</v>
      </c>
      <c r="CB23" s="347">
        <v>1209400</v>
      </c>
      <c r="CC23" s="352">
        <f t="shared" si="52"/>
        <v>1200</v>
      </c>
      <c r="CD23" s="353">
        <f t="shared" si="53"/>
        <v>0</v>
      </c>
      <c r="CE23" s="354" t="e">
        <f>(CC23/#REF!)*100</f>
        <v>#REF!</v>
      </c>
      <c r="CF23" s="169">
        <f t="shared" si="54"/>
        <v>400530</v>
      </c>
      <c r="CG23" s="169">
        <v>400950</v>
      </c>
      <c r="CH23" s="170">
        <f t="shared" si="55"/>
        <v>420</v>
      </c>
      <c r="CI23" s="179">
        <f t="shared" si="56"/>
        <v>0</v>
      </c>
      <c r="CJ23" s="180" t="e">
        <f>(CH23/#REF!)*100</f>
        <v>#REF!</v>
      </c>
      <c r="CK23" s="170">
        <f t="shared" si="57"/>
        <v>920430</v>
      </c>
      <c r="CL23" s="170">
        <v>921670</v>
      </c>
      <c r="CM23" s="170">
        <f t="shared" si="58"/>
        <v>1240</v>
      </c>
      <c r="CN23" s="179">
        <f t="shared" si="59"/>
        <v>220</v>
      </c>
      <c r="CO23" s="180" t="e">
        <f>(CM23/#REF!)*100</f>
        <v>#REF!</v>
      </c>
      <c r="CP23" s="360">
        <f t="shared" si="110"/>
        <v>766050</v>
      </c>
      <c r="CQ23" s="360">
        <v>767910</v>
      </c>
      <c r="CR23" s="364">
        <f t="shared" si="109"/>
        <v>1860</v>
      </c>
      <c r="CS23" s="365">
        <f t="shared" si="60"/>
        <v>1710</v>
      </c>
      <c r="CT23" s="366" t="e">
        <f>(CR23/#REF!)*100</f>
        <v>#REF!</v>
      </c>
      <c r="CU23" s="169">
        <f t="shared" si="61"/>
        <v>631240</v>
      </c>
      <c r="CV23" s="169">
        <v>631860</v>
      </c>
      <c r="CW23" s="170">
        <f t="shared" si="62"/>
        <v>620</v>
      </c>
      <c r="CX23" s="179">
        <f t="shared" si="63"/>
        <v>-210</v>
      </c>
      <c r="CY23" s="180" t="e">
        <f>(CW23/#REF!)*100</f>
        <v>#REF!</v>
      </c>
      <c r="CZ23" s="360">
        <f t="shared" si="64"/>
        <v>1054900</v>
      </c>
      <c r="DA23" s="360">
        <v>1056300</v>
      </c>
      <c r="DB23" s="368">
        <f t="shared" si="65"/>
        <v>1400</v>
      </c>
      <c r="DC23" s="365">
        <f t="shared" si="66"/>
        <v>300</v>
      </c>
      <c r="DD23" s="366" t="e">
        <f>(DB23/#REF!)*100</f>
        <v>#REF!</v>
      </c>
      <c r="DE23" s="169">
        <f t="shared" si="67"/>
        <v>809450</v>
      </c>
      <c r="DF23" s="169">
        <v>810410</v>
      </c>
      <c r="DG23" s="170">
        <f t="shared" si="68"/>
        <v>960</v>
      </c>
      <c r="DH23" s="179">
        <f t="shared" si="69"/>
        <v>270</v>
      </c>
      <c r="DI23" s="180" t="e">
        <f>(DG23/#REF!)*100</f>
        <v>#REF!</v>
      </c>
      <c r="DJ23" s="360">
        <f t="shared" si="70"/>
        <v>697010</v>
      </c>
      <c r="DK23" s="360">
        <v>697680</v>
      </c>
      <c r="DL23" s="368">
        <f t="shared" si="71"/>
        <v>670</v>
      </c>
      <c r="DM23" s="365">
        <f t="shared" si="72"/>
        <v>200</v>
      </c>
      <c r="DN23" s="366" t="e">
        <f>(DL23/#REF!)*100</f>
        <v>#REF!</v>
      </c>
      <c r="DO23" s="169">
        <f t="shared" si="73"/>
        <v>377910</v>
      </c>
      <c r="DP23" s="169">
        <v>378430</v>
      </c>
      <c r="DQ23" s="170">
        <f t="shared" si="74"/>
        <v>520</v>
      </c>
      <c r="DR23" s="179">
        <f t="shared" si="75"/>
        <v>380</v>
      </c>
      <c r="DS23" s="180" t="e">
        <f>(DQ23/#REF!)*100</f>
        <v>#REF!</v>
      </c>
      <c r="DT23" s="360">
        <f t="shared" si="76"/>
        <v>128320</v>
      </c>
      <c r="DU23" s="360">
        <v>128530</v>
      </c>
      <c r="DV23" s="368">
        <f t="shared" si="77"/>
        <v>210</v>
      </c>
      <c r="DW23" s="365">
        <f t="shared" si="78"/>
        <v>70</v>
      </c>
      <c r="DX23" s="366" t="e">
        <f>(DV23/#REF!)*100</f>
        <v>#REF!</v>
      </c>
      <c r="DY23" s="169">
        <f t="shared" si="79"/>
        <v>824780</v>
      </c>
      <c r="DZ23" s="169">
        <v>825950</v>
      </c>
      <c r="EA23" s="170">
        <f t="shared" si="80"/>
        <v>1170</v>
      </c>
      <c r="EB23" s="179">
        <f t="shared" si="81"/>
        <v>350</v>
      </c>
      <c r="EC23" s="180" t="e">
        <f>(EA23/#REF!)*100</f>
        <v>#REF!</v>
      </c>
      <c r="ED23" s="360">
        <f t="shared" si="82"/>
        <v>260980</v>
      </c>
      <c r="EE23" s="360">
        <v>261300</v>
      </c>
      <c r="EF23" s="368">
        <f t="shared" si="83"/>
        <v>320</v>
      </c>
      <c r="EG23" s="365">
        <f t="shared" si="84"/>
        <v>110</v>
      </c>
      <c r="EH23" s="366" t="e">
        <f>(EF23/#REF!)*100</f>
        <v>#REF!</v>
      </c>
      <c r="EI23" s="169">
        <f t="shared" si="85"/>
        <v>298210</v>
      </c>
      <c r="EJ23" s="169">
        <v>298800</v>
      </c>
      <c r="EK23" s="170">
        <f t="shared" si="86"/>
        <v>590</v>
      </c>
      <c r="EL23" s="179">
        <f t="shared" si="87"/>
        <v>300</v>
      </c>
      <c r="EM23" s="180" t="e">
        <f>(EK23/#REF!)*100</f>
        <v>#REF!</v>
      </c>
      <c r="EN23" s="360">
        <f t="shared" si="88"/>
        <v>483100</v>
      </c>
      <c r="EO23" s="360">
        <v>483670</v>
      </c>
      <c r="EP23" s="368">
        <f t="shared" si="89"/>
        <v>570</v>
      </c>
      <c r="EQ23" s="365">
        <f t="shared" si="90"/>
        <v>120</v>
      </c>
      <c r="ER23" s="366" t="e">
        <f>(EP23/#REF!)*100</f>
        <v>#REF!</v>
      </c>
      <c r="ES23" s="169">
        <f t="shared" si="91"/>
        <v>0</v>
      </c>
      <c r="ET23" s="169"/>
      <c r="EU23" s="170">
        <f t="shared" si="92"/>
        <v>0</v>
      </c>
      <c r="EV23" s="179">
        <f t="shared" si="93"/>
        <v>0</v>
      </c>
      <c r="EW23" s="180" t="e">
        <f>(EU23/#REF!)*100</f>
        <v>#REF!</v>
      </c>
      <c r="EX23" s="169">
        <f t="shared" si="94"/>
        <v>0</v>
      </c>
      <c r="EY23" s="169"/>
      <c r="EZ23" s="170">
        <f t="shared" si="95"/>
        <v>0</v>
      </c>
      <c r="FA23" s="179">
        <f t="shared" si="96"/>
        <v>0</v>
      </c>
      <c r="FB23" s="180" t="e">
        <f>(EZ23/#REF!)*100</f>
        <v>#REF!</v>
      </c>
      <c r="FC23" s="169">
        <f t="shared" si="97"/>
        <v>0</v>
      </c>
      <c r="FD23" s="169"/>
      <c r="FE23" s="170">
        <f t="shared" si="98"/>
        <v>0</v>
      </c>
      <c r="FF23" s="179">
        <f t="shared" si="99"/>
        <v>0</v>
      </c>
      <c r="FG23" s="180" t="e">
        <f>(FE23/#REF!)*100</f>
        <v>#REF!</v>
      </c>
      <c r="FH23" s="241"/>
      <c r="FI23" s="241"/>
      <c r="FJ23" s="241"/>
      <c r="FK23" s="241"/>
      <c r="FL23" s="241"/>
      <c r="FM23" s="169">
        <f t="shared" si="100"/>
        <v>0</v>
      </c>
      <c r="FN23" s="169"/>
      <c r="FO23" s="170">
        <f t="shared" si="101"/>
        <v>0</v>
      </c>
      <c r="FP23" s="179">
        <f t="shared" si="102"/>
        <v>0</v>
      </c>
      <c r="FQ23" s="180" t="e">
        <f>(FO23/#REF!)*100</f>
        <v>#REF!</v>
      </c>
      <c r="FR23" s="169">
        <f t="shared" si="103"/>
        <v>0</v>
      </c>
      <c r="FS23" s="169"/>
      <c r="FT23" s="170">
        <f t="shared" si="104"/>
        <v>0</v>
      </c>
      <c r="FU23" s="179">
        <f t="shared" si="105"/>
        <v>0</v>
      </c>
      <c r="FV23" s="180" t="e">
        <f>(FT23/#REF!)*100</f>
        <v>#REF!</v>
      </c>
      <c r="FW23" s="169">
        <f t="shared" si="106"/>
        <v>0</v>
      </c>
      <c r="FX23" s="169"/>
      <c r="FY23" s="170">
        <f t="shared" si="107"/>
        <v>0</v>
      </c>
      <c r="FZ23" s="179">
        <f t="shared" si="108"/>
        <v>0</v>
      </c>
      <c r="GA23" s="180" t="e">
        <f>(FY23/#REF!)*100</f>
        <v>#REF!</v>
      </c>
      <c r="GB23" s="219"/>
      <c r="GC23" s="225">
        <f t="shared" si="1"/>
        <v>9497</v>
      </c>
      <c r="GD23" s="222"/>
      <c r="GE23" s="225">
        <f t="shared" si="2"/>
        <v>7865</v>
      </c>
      <c r="GF23" s="222"/>
      <c r="GG23" s="225">
        <f t="shared" si="3"/>
        <v>2700</v>
      </c>
      <c r="GH23" s="222"/>
      <c r="GI23" s="225">
        <f t="shared" si="4"/>
        <v>1280</v>
      </c>
      <c r="GJ23" s="222"/>
      <c r="GK23" s="225">
        <f t="shared" si="5"/>
        <v>730</v>
      </c>
      <c r="GL23" s="222"/>
      <c r="GM23" s="225">
        <f t="shared" si="6"/>
        <v>0</v>
      </c>
      <c r="GN23" s="222"/>
    </row>
    <row r="24" spans="1:1105" s="3" customFormat="1" ht="13.5" customHeight="1">
      <c r="A24" s="213">
        <v>20</v>
      </c>
      <c r="B24" s="216" t="e">
        <f>#REF!</f>
        <v>#REF!</v>
      </c>
      <c r="C24" s="211">
        <f t="shared" si="7"/>
        <v>27491306</v>
      </c>
      <c r="D24" s="167">
        <v>27495291</v>
      </c>
      <c r="E24" s="168">
        <f t="shared" si="8"/>
        <v>3985</v>
      </c>
      <c r="F24" s="175">
        <f t="shared" si="9"/>
        <v>-375</v>
      </c>
      <c r="G24" s="176" t="e">
        <f>(E24/#REF!)*100</f>
        <v>#REF!</v>
      </c>
      <c r="H24" s="186">
        <f t="shared" si="10"/>
        <v>25437595</v>
      </c>
      <c r="I24" s="167">
        <v>25442104</v>
      </c>
      <c r="J24" s="167">
        <f t="shared" si="11"/>
        <v>4509</v>
      </c>
      <c r="K24" s="187">
        <f t="shared" si="12"/>
        <v>-628</v>
      </c>
      <c r="L24" s="188" t="e">
        <f>(J24/#REF!)*100</f>
        <v>#REF!</v>
      </c>
      <c r="M24" s="172">
        <f t="shared" si="13"/>
        <v>93400559</v>
      </c>
      <c r="N24" s="169">
        <v>93412464</v>
      </c>
      <c r="O24" s="170">
        <f t="shared" si="14"/>
        <v>11905</v>
      </c>
      <c r="P24" s="179">
        <f t="shared" si="15"/>
        <v>-66</v>
      </c>
      <c r="Q24" s="180" t="e">
        <f>(O24/#REF!)*100</f>
        <v>#REF!</v>
      </c>
      <c r="R24" s="351">
        <f t="shared" si="16"/>
        <v>3331100</v>
      </c>
      <c r="S24" s="347">
        <v>3333400</v>
      </c>
      <c r="T24" s="352">
        <f t="shared" si="17"/>
        <v>2300</v>
      </c>
      <c r="U24" s="353">
        <f t="shared" si="18"/>
        <v>0</v>
      </c>
      <c r="V24" s="354" t="e">
        <f>(T24/#REF!)*100</f>
        <v>#REF!</v>
      </c>
      <c r="W24" s="169">
        <f t="shared" si="19"/>
        <v>4458923</v>
      </c>
      <c r="X24" s="169">
        <v>4461811</v>
      </c>
      <c r="Y24" s="170">
        <f t="shared" si="20"/>
        <v>2888</v>
      </c>
      <c r="Z24" s="179">
        <f t="shared" si="21"/>
        <v>-27</v>
      </c>
      <c r="AA24" s="180" t="e">
        <f>(Y24/#REF!)*100</f>
        <v>#REF!</v>
      </c>
      <c r="AB24" s="347">
        <f t="shared" si="22"/>
        <v>2895800</v>
      </c>
      <c r="AC24" s="347">
        <v>2897800</v>
      </c>
      <c r="AD24" s="352">
        <f t="shared" si="0"/>
        <v>2000</v>
      </c>
      <c r="AE24" s="357">
        <f>AD24/WATER!V25</f>
        <v>5.2631578947368425</v>
      </c>
      <c r="AF24" s="353">
        <f t="shared" si="23"/>
        <v>200</v>
      </c>
      <c r="AG24" s="354" t="e">
        <f>(AD24/#REF!)*100</f>
        <v>#REF!</v>
      </c>
      <c r="AH24" s="169">
        <f t="shared" si="24"/>
        <v>1142782</v>
      </c>
      <c r="AI24" s="169">
        <v>1143242</v>
      </c>
      <c r="AJ24" s="170">
        <f t="shared" si="25"/>
        <v>460</v>
      </c>
      <c r="AK24" s="179">
        <f t="shared" si="26"/>
        <v>-11</v>
      </c>
      <c r="AL24" s="180" t="e">
        <f>(AJ24/#REF!)*100</f>
        <v>#REF!</v>
      </c>
      <c r="AM24" s="347">
        <f t="shared" si="27"/>
        <v>1174600</v>
      </c>
      <c r="AN24" s="347">
        <v>1175300</v>
      </c>
      <c r="AO24" s="352">
        <f t="shared" si="28"/>
        <v>700</v>
      </c>
      <c r="AP24" s="353">
        <f t="shared" si="29"/>
        <v>0</v>
      </c>
      <c r="AQ24" s="354" t="e">
        <f>(AO24/#REF!)*100</f>
        <v>#REF!</v>
      </c>
      <c r="AR24" s="169">
        <f t="shared" si="30"/>
        <v>2651400</v>
      </c>
      <c r="AS24" s="169">
        <v>2653400</v>
      </c>
      <c r="AT24" s="170">
        <f t="shared" si="31"/>
        <v>2000</v>
      </c>
      <c r="AU24" s="179">
        <f t="shared" si="32"/>
        <v>0</v>
      </c>
      <c r="AV24" s="180" t="e">
        <f>(AT24/#REF!)*100</f>
        <v>#REF!</v>
      </c>
      <c r="AW24" s="347">
        <f t="shared" si="33"/>
        <v>55927</v>
      </c>
      <c r="AX24" s="347">
        <v>56369</v>
      </c>
      <c r="AY24" s="352">
        <f t="shared" si="34"/>
        <v>442</v>
      </c>
      <c r="AZ24" s="353">
        <f t="shared" si="35"/>
        <v>-38</v>
      </c>
      <c r="BA24" s="354" t="e">
        <f>(AY24/#REF!)*100</f>
        <v>#REF!</v>
      </c>
      <c r="BB24" s="169">
        <f t="shared" si="36"/>
        <v>1040000</v>
      </c>
      <c r="BC24" s="169">
        <v>1040400</v>
      </c>
      <c r="BD24" s="170">
        <f t="shared" si="37"/>
        <v>400</v>
      </c>
      <c r="BE24" s="179">
        <f t="shared" si="38"/>
        <v>-100</v>
      </c>
      <c r="BF24" s="180" t="e">
        <f>(BD24/#REF!)*100</f>
        <v>#REF!</v>
      </c>
      <c r="BG24" s="347">
        <f t="shared" si="39"/>
        <v>1104300</v>
      </c>
      <c r="BH24" s="347">
        <v>1104600</v>
      </c>
      <c r="BI24" s="352">
        <f t="shared" si="40"/>
        <v>300</v>
      </c>
      <c r="BJ24" s="353">
        <f t="shared" si="41"/>
        <v>0</v>
      </c>
      <c r="BK24" s="354" t="e">
        <f>(BI24/#REF!)*100</f>
        <v>#REF!</v>
      </c>
      <c r="BL24" s="169">
        <f t="shared" si="42"/>
        <v>1651800</v>
      </c>
      <c r="BM24" s="169">
        <v>1652400</v>
      </c>
      <c r="BN24" s="170">
        <f t="shared" si="43"/>
        <v>600</v>
      </c>
      <c r="BO24" s="179">
        <f t="shared" si="44"/>
        <v>0</v>
      </c>
      <c r="BP24" s="180" t="e">
        <f>(BN24/#REF!)*100</f>
        <v>#REF!</v>
      </c>
      <c r="BQ24" s="347">
        <f t="shared" si="45"/>
        <v>151950</v>
      </c>
      <c r="BR24" s="347">
        <v>152080</v>
      </c>
      <c r="BS24" s="352">
        <f t="shared" si="46"/>
        <v>130</v>
      </c>
      <c r="BT24" s="353">
        <f t="shared" si="47"/>
        <v>0</v>
      </c>
      <c r="BU24" s="354" t="e">
        <f>(BS24/#REF!)*100</f>
        <v>#REF!</v>
      </c>
      <c r="BV24" s="169">
        <f t="shared" si="48"/>
        <v>629610</v>
      </c>
      <c r="BW24" s="169">
        <v>629950</v>
      </c>
      <c r="BX24" s="170">
        <f t="shared" si="49"/>
        <v>340</v>
      </c>
      <c r="BY24" s="179">
        <f t="shared" si="50"/>
        <v>-40</v>
      </c>
      <c r="BZ24" s="180" t="e">
        <f>(BX24/#REF!)*100</f>
        <v>#REF!</v>
      </c>
      <c r="CA24" s="347">
        <f t="shared" si="51"/>
        <v>1209400</v>
      </c>
      <c r="CB24" s="347">
        <v>1210600</v>
      </c>
      <c r="CC24" s="352">
        <f t="shared" si="52"/>
        <v>1200</v>
      </c>
      <c r="CD24" s="353">
        <f t="shared" si="53"/>
        <v>0</v>
      </c>
      <c r="CE24" s="354" t="e">
        <f>(CC24/#REF!)*100</f>
        <v>#REF!</v>
      </c>
      <c r="CF24" s="169">
        <f t="shared" si="54"/>
        <v>400950</v>
      </c>
      <c r="CG24" s="169">
        <v>401450</v>
      </c>
      <c r="CH24" s="170">
        <f t="shared" si="55"/>
        <v>500</v>
      </c>
      <c r="CI24" s="179">
        <f t="shared" si="56"/>
        <v>80</v>
      </c>
      <c r="CJ24" s="180" t="e">
        <f>(CH24/#REF!)*100</f>
        <v>#REF!</v>
      </c>
      <c r="CK24" s="170">
        <f t="shared" si="57"/>
        <v>921670</v>
      </c>
      <c r="CL24" s="170">
        <v>922750</v>
      </c>
      <c r="CM24" s="170">
        <f t="shared" si="58"/>
        <v>1080</v>
      </c>
      <c r="CN24" s="179">
        <f t="shared" si="59"/>
        <v>-160</v>
      </c>
      <c r="CO24" s="180" t="e">
        <f>(CM24/#REF!)*100</f>
        <v>#REF!</v>
      </c>
      <c r="CP24" s="360">
        <f t="shared" si="110"/>
        <v>767910</v>
      </c>
      <c r="CQ24" s="360">
        <v>768740</v>
      </c>
      <c r="CR24" s="364">
        <f t="shared" si="109"/>
        <v>830</v>
      </c>
      <c r="CS24" s="365">
        <f t="shared" si="60"/>
        <v>-1030</v>
      </c>
      <c r="CT24" s="366" t="e">
        <f>(CR24/#REF!)*100</f>
        <v>#REF!</v>
      </c>
      <c r="CU24" s="169">
        <f t="shared" si="61"/>
        <v>631860</v>
      </c>
      <c r="CV24" s="169">
        <v>632480</v>
      </c>
      <c r="CW24" s="170">
        <f t="shared" si="62"/>
        <v>620</v>
      </c>
      <c r="CX24" s="179">
        <f t="shared" si="63"/>
        <v>0</v>
      </c>
      <c r="CY24" s="180" t="e">
        <f>(CW24/#REF!)*100</f>
        <v>#REF!</v>
      </c>
      <c r="CZ24" s="360">
        <f t="shared" si="64"/>
        <v>1056300</v>
      </c>
      <c r="DA24" s="360">
        <v>1057400</v>
      </c>
      <c r="DB24" s="368">
        <f t="shared" si="65"/>
        <v>1100</v>
      </c>
      <c r="DC24" s="365">
        <f t="shared" si="66"/>
        <v>-300</v>
      </c>
      <c r="DD24" s="366" t="e">
        <f>(DB24/#REF!)*100</f>
        <v>#REF!</v>
      </c>
      <c r="DE24" s="169">
        <f t="shared" si="67"/>
        <v>810410</v>
      </c>
      <c r="DF24" s="169">
        <v>811270</v>
      </c>
      <c r="DG24" s="170">
        <f t="shared" si="68"/>
        <v>860</v>
      </c>
      <c r="DH24" s="179">
        <f t="shared" si="69"/>
        <v>-100</v>
      </c>
      <c r="DI24" s="180" t="e">
        <f>(DG24/#REF!)*100</f>
        <v>#REF!</v>
      </c>
      <c r="DJ24" s="360">
        <f t="shared" si="70"/>
        <v>697680</v>
      </c>
      <c r="DK24" s="360">
        <v>698320</v>
      </c>
      <c r="DL24" s="368">
        <f t="shared" si="71"/>
        <v>640</v>
      </c>
      <c r="DM24" s="365">
        <f t="shared" si="72"/>
        <v>-30</v>
      </c>
      <c r="DN24" s="366" t="e">
        <f>(DL24/#REF!)*100</f>
        <v>#REF!</v>
      </c>
      <c r="DO24" s="169">
        <f t="shared" si="73"/>
        <v>378430</v>
      </c>
      <c r="DP24" s="169">
        <v>378750</v>
      </c>
      <c r="DQ24" s="170">
        <f t="shared" si="74"/>
        <v>320</v>
      </c>
      <c r="DR24" s="179">
        <f t="shared" si="75"/>
        <v>-200</v>
      </c>
      <c r="DS24" s="180" t="e">
        <f>(DQ24/#REF!)*100</f>
        <v>#REF!</v>
      </c>
      <c r="DT24" s="360">
        <f t="shared" si="76"/>
        <v>128530</v>
      </c>
      <c r="DU24" s="360">
        <v>128670</v>
      </c>
      <c r="DV24" s="368">
        <f t="shared" si="77"/>
        <v>140</v>
      </c>
      <c r="DW24" s="365">
        <f t="shared" si="78"/>
        <v>-70</v>
      </c>
      <c r="DX24" s="366" t="e">
        <f>(DV24/#REF!)*100</f>
        <v>#REF!</v>
      </c>
      <c r="DY24" s="169">
        <f t="shared" si="79"/>
        <v>825950</v>
      </c>
      <c r="DZ24" s="169">
        <v>826950</v>
      </c>
      <c r="EA24" s="170">
        <f t="shared" si="80"/>
        <v>1000</v>
      </c>
      <c r="EB24" s="179">
        <f t="shared" si="81"/>
        <v>-170</v>
      </c>
      <c r="EC24" s="180" t="e">
        <f>(EA24/#REF!)*100</f>
        <v>#REF!</v>
      </c>
      <c r="ED24" s="360">
        <f t="shared" si="82"/>
        <v>261300</v>
      </c>
      <c r="EE24" s="360">
        <v>261590</v>
      </c>
      <c r="EF24" s="368">
        <f t="shared" si="83"/>
        <v>290</v>
      </c>
      <c r="EG24" s="365">
        <f t="shared" si="84"/>
        <v>-30</v>
      </c>
      <c r="EH24" s="366" t="e">
        <f>(EF24/#REF!)*100</f>
        <v>#REF!</v>
      </c>
      <c r="EI24" s="169">
        <f t="shared" si="85"/>
        <v>298800</v>
      </c>
      <c r="EJ24" s="169">
        <v>299310</v>
      </c>
      <c r="EK24" s="170">
        <f t="shared" si="86"/>
        <v>510</v>
      </c>
      <c r="EL24" s="179">
        <f t="shared" si="87"/>
        <v>-80</v>
      </c>
      <c r="EM24" s="180" t="e">
        <f>(EK24/#REF!)*100</f>
        <v>#REF!</v>
      </c>
      <c r="EN24" s="360">
        <f t="shared" si="88"/>
        <v>483670</v>
      </c>
      <c r="EO24" s="360">
        <v>484210</v>
      </c>
      <c r="EP24" s="368">
        <f t="shared" si="89"/>
        <v>540</v>
      </c>
      <c r="EQ24" s="365">
        <f t="shared" si="90"/>
        <v>-30</v>
      </c>
      <c r="ER24" s="366" t="e">
        <f>(EP24/#REF!)*100</f>
        <v>#REF!</v>
      </c>
      <c r="ES24" s="169">
        <f t="shared" si="91"/>
        <v>0</v>
      </c>
      <c r="ET24" s="169"/>
      <c r="EU24" s="170">
        <f t="shared" si="92"/>
        <v>0</v>
      </c>
      <c r="EV24" s="179">
        <f t="shared" si="93"/>
        <v>0</v>
      </c>
      <c r="EW24" s="180" t="e">
        <f>(EU24/#REF!)*100</f>
        <v>#REF!</v>
      </c>
      <c r="EX24" s="169">
        <f t="shared" si="94"/>
        <v>0</v>
      </c>
      <c r="EY24" s="169"/>
      <c r="EZ24" s="170">
        <f t="shared" si="95"/>
        <v>0</v>
      </c>
      <c r="FA24" s="179">
        <f t="shared" si="96"/>
        <v>0</v>
      </c>
      <c r="FB24" s="180" t="e">
        <f>(EZ24/#REF!)*100</f>
        <v>#REF!</v>
      </c>
      <c r="FC24" s="169">
        <f t="shared" si="97"/>
        <v>0</v>
      </c>
      <c r="FD24" s="169"/>
      <c r="FE24" s="170">
        <f t="shared" si="98"/>
        <v>0</v>
      </c>
      <c r="FF24" s="179">
        <f t="shared" si="99"/>
        <v>0</v>
      </c>
      <c r="FG24" s="180" t="e">
        <f>(FE24/#REF!)*100</f>
        <v>#REF!</v>
      </c>
      <c r="FH24" s="241"/>
      <c r="FI24" s="241"/>
      <c r="FJ24" s="241"/>
      <c r="FK24" s="241"/>
      <c r="FL24" s="241"/>
      <c r="FM24" s="169">
        <f t="shared" si="100"/>
        <v>0</v>
      </c>
      <c r="FN24" s="169"/>
      <c r="FO24" s="170">
        <f t="shared" si="101"/>
        <v>0</v>
      </c>
      <c r="FP24" s="179">
        <f t="shared" si="102"/>
        <v>0</v>
      </c>
      <c r="FQ24" s="180" t="e">
        <f>(FO24/#REF!)*100</f>
        <v>#REF!</v>
      </c>
      <c r="FR24" s="169">
        <f t="shared" si="103"/>
        <v>0</v>
      </c>
      <c r="FS24" s="169"/>
      <c r="FT24" s="170">
        <f t="shared" si="104"/>
        <v>0</v>
      </c>
      <c r="FU24" s="179">
        <f t="shared" si="105"/>
        <v>0</v>
      </c>
      <c r="FV24" s="180" t="e">
        <f>(FT24/#REF!)*100</f>
        <v>#REF!</v>
      </c>
      <c r="FW24" s="169">
        <f t="shared" si="106"/>
        <v>0</v>
      </c>
      <c r="FX24" s="169"/>
      <c r="FY24" s="170">
        <f t="shared" si="107"/>
        <v>0</v>
      </c>
      <c r="FZ24" s="179">
        <f t="shared" si="108"/>
        <v>0</v>
      </c>
      <c r="GA24" s="180" t="e">
        <f>(FY24/#REF!)*100</f>
        <v>#REF!</v>
      </c>
      <c r="GB24" s="219"/>
      <c r="GC24" s="225">
        <f>SUM(E24+J24)</f>
        <v>8494</v>
      </c>
      <c r="GD24" s="222"/>
      <c r="GE24" s="225">
        <f t="shared" si="2"/>
        <v>7528</v>
      </c>
      <c r="GF24" s="222"/>
      <c r="GG24" s="225">
        <f t="shared" si="3"/>
        <v>2700</v>
      </c>
      <c r="GH24" s="222"/>
      <c r="GI24" s="225">
        <f t="shared" si="4"/>
        <v>1142</v>
      </c>
      <c r="GJ24" s="222"/>
      <c r="GK24" s="225">
        <f t="shared" si="5"/>
        <v>730</v>
      </c>
      <c r="GL24" s="222"/>
      <c r="GM24" s="225">
        <f t="shared" si="6"/>
        <v>0</v>
      </c>
      <c r="GN24" s="222"/>
    </row>
    <row r="25" spans="1:1105" s="3" customFormat="1" ht="13.5" customHeight="1">
      <c r="A25" s="213">
        <v>21</v>
      </c>
      <c r="B25" s="216" t="e">
        <f>#REF!</f>
        <v>#REF!</v>
      </c>
      <c r="C25" s="211">
        <f t="shared" si="7"/>
        <v>27495291</v>
      </c>
      <c r="D25" s="167">
        <v>27498923</v>
      </c>
      <c r="E25" s="168">
        <f t="shared" si="8"/>
        <v>3632</v>
      </c>
      <c r="F25" s="175">
        <f t="shared" si="9"/>
        <v>-353</v>
      </c>
      <c r="G25" s="176" t="e">
        <f>(E25/#REF!)*100</f>
        <v>#REF!</v>
      </c>
      <c r="H25" s="186">
        <f t="shared" si="10"/>
        <v>25442104</v>
      </c>
      <c r="I25" s="167">
        <v>25445812</v>
      </c>
      <c r="J25" s="167">
        <f t="shared" si="11"/>
        <v>3708</v>
      </c>
      <c r="K25" s="187">
        <f t="shared" si="12"/>
        <v>-801</v>
      </c>
      <c r="L25" s="188" t="e">
        <f>(J25/#REF!)*100</f>
        <v>#REF!</v>
      </c>
      <c r="M25" s="172">
        <f t="shared" si="13"/>
        <v>93412464</v>
      </c>
      <c r="N25" s="169">
        <v>93422841</v>
      </c>
      <c r="O25" s="170">
        <f t="shared" si="14"/>
        <v>10377</v>
      </c>
      <c r="P25" s="179">
        <f t="shared" si="15"/>
        <v>-1528</v>
      </c>
      <c r="Q25" s="180" t="e">
        <f>(O25/#REF!)*100</f>
        <v>#REF!</v>
      </c>
      <c r="R25" s="351">
        <f t="shared" si="16"/>
        <v>3333400</v>
      </c>
      <c r="S25" s="347">
        <v>3335500</v>
      </c>
      <c r="T25" s="352">
        <f t="shared" si="17"/>
        <v>2100</v>
      </c>
      <c r="U25" s="353">
        <f t="shared" si="18"/>
        <v>-200</v>
      </c>
      <c r="V25" s="354" t="e">
        <f>(T25/#REF!)*100</f>
        <v>#REF!</v>
      </c>
      <c r="W25" s="169">
        <f t="shared" si="19"/>
        <v>4461811</v>
      </c>
      <c r="X25" s="169">
        <v>4464436</v>
      </c>
      <c r="Y25" s="170">
        <f t="shared" si="20"/>
        <v>2625</v>
      </c>
      <c r="Z25" s="179">
        <f t="shared" si="21"/>
        <v>-263</v>
      </c>
      <c r="AA25" s="180" t="e">
        <f>(Y25/#REF!)*100</f>
        <v>#REF!</v>
      </c>
      <c r="AB25" s="347">
        <f t="shared" si="22"/>
        <v>2897800</v>
      </c>
      <c r="AC25" s="347">
        <v>2899600</v>
      </c>
      <c r="AD25" s="352">
        <f t="shared" si="0"/>
        <v>1800</v>
      </c>
      <c r="AE25" s="357">
        <f>AD25/WATER!V26</f>
        <v>4.511278195488722</v>
      </c>
      <c r="AF25" s="353">
        <f t="shared" si="23"/>
        <v>-200</v>
      </c>
      <c r="AG25" s="354" t="e">
        <f>(AD25/#REF!)*100</f>
        <v>#REF!</v>
      </c>
      <c r="AH25" s="169">
        <f t="shared" si="24"/>
        <v>1143242</v>
      </c>
      <c r="AI25" s="169">
        <v>1143683</v>
      </c>
      <c r="AJ25" s="170">
        <f t="shared" si="25"/>
        <v>441</v>
      </c>
      <c r="AK25" s="179">
        <f t="shared" si="26"/>
        <v>-19</v>
      </c>
      <c r="AL25" s="180" t="e">
        <f>(AJ25/#REF!)*100</f>
        <v>#REF!</v>
      </c>
      <c r="AM25" s="347">
        <f t="shared" si="27"/>
        <v>1175300</v>
      </c>
      <c r="AN25" s="347">
        <v>1176000</v>
      </c>
      <c r="AO25" s="352">
        <f t="shared" si="28"/>
        <v>700</v>
      </c>
      <c r="AP25" s="353">
        <f t="shared" si="29"/>
        <v>0</v>
      </c>
      <c r="AQ25" s="354" t="e">
        <f>(AO25/#REF!)*100</f>
        <v>#REF!</v>
      </c>
      <c r="AR25" s="169">
        <f t="shared" si="30"/>
        <v>2653400</v>
      </c>
      <c r="AS25" s="169">
        <v>2655100</v>
      </c>
      <c r="AT25" s="170">
        <f t="shared" si="31"/>
        <v>1700</v>
      </c>
      <c r="AU25" s="179">
        <f t="shared" si="32"/>
        <v>-300</v>
      </c>
      <c r="AV25" s="180" t="e">
        <f>(AT25/#REF!)*100</f>
        <v>#REF!</v>
      </c>
      <c r="AW25" s="347">
        <f t="shared" si="33"/>
        <v>56369</v>
      </c>
      <c r="AX25" s="347">
        <v>56722</v>
      </c>
      <c r="AY25" s="352">
        <f t="shared" si="34"/>
        <v>353</v>
      </c>
      <c r="AZ25" s="353">
        <f t="shared" si="35"/>
        <v>-89</v>
      </c>
      <c r="BA25" s="354" t="e">
        <f>(AY25/#REF!)*100</f>
        <v>#REF!</v>
      </c>
      <c r="BB25" s="169">
        <f t="shared" si="36"/>
        <v>1040400</v>
      </c>
      <c r="BC25" s="169">
        <v>1040700</v>
      </c>
      <c r="BD25" s="170">
        <f t="shared" si="37"/>
        <v>300</v>
      </c>
      <c r="BE25" s="179">
        <f t="shared" si="38"/>
        <v>-100</v>
      </c>
      <c r="BF25" s="180" t="e">
        <f>(BD25/#REF!)*100</f>
        <v>#REF!</v>
      </c>
      <c r="BG25" s="347">
        <f t="shared" si="39"/>
        <v>1104600</v>
      </c>
      <c r="BH25" s="347">
        <v>1104900</v>
      </c>
      <c r="BI25" s="352">
        <f t="shared" si="40"/>
        <v>300</v>
      </c>
      <c r="BJ25" s="353">
        <f t="shared" si="41"/>
        <v>0</v>
      </c>
      <c r="BK25" s="354" t="e">
        <f>(BI25/#REF!)*100</f>
        <v>#REF!</v>
      </c>
      <c r="BL25" s="169">
        <f t="shared" si="42"/>
        <v>1652400</v>
      </c>
      <c r="BM25" s="169">
        <v>1652900</v>
      </c>
      <c r="BN25" s="170">
        <f t="shared" si="43"/>
        <v>500</v>
      </c>
      <c r="BO25" s="179">
        <f t="shared" si="44"/>
        <v>-100</v>
      </c>
      <c r="BP25" s="180" t="e">
        <f>(BN25/#REF!)*100</f>
        <v>#REF!</v>
      </c>
      <c r="BQ25" s="347">
        <f t="shared" si="45"/>
        <v>152080</v>
      </c>
      <c r="BR25" s="347">
        <v>152190</v>
      </c>
      <c r="BS25" s="352">
        <f t="shared" si="46"/>
        <v>110</v>
      </c>
      <c r="BT25" s="353">
        <f t="shared" si="47"/>
        <v>-20</v>
      </c>
      <c r="BU25" s="354" t="e">
        <f>(BS25/#REF!)*100</f>
        <v>#REF!</v>
      </c>
      <c r="BV25" s="169">
        <f t="shared" si="48"/>
        <v>629950</v>
      </c>
      <c r="BW25" s="169">
        <v>630240</v>
      </c>
      <c r="BX25" s="170">
        <f t="shared" si="49"/>
        <v>290</v>
      </c>
      <c r="BY25" s="179">
        <f t="shared" si="50"/>
        <v>-50</v>
      </c>
      <c r="BZ25" s="180" t="e">
        <f>(BX25/#REF!)*100</f>
        <v>#REF!</v>
      </c>
      <c r="CA25" s="347">
        <f t="shared" si="51"/>
        <v>1210600</v>
      </c>
      <c r="CB25" s="347">
        <v>1211800</v>
      </c>
      <c r="CC25" s="352">
        <f t="shared" si="52"/>
        <v>1200</v>
      </c>
      <c r="CD25" s="353">
        <f t="shared" si="53"/>
        <v>0</v>
      </c>
      <c r="CE25" s="354" t="e">
        <f>(CC25/#REF!)*100</f>
        <v>#REF!</v>
      </c>
      <c r="CF25" s="169">
        <f t="shared" si="54"/>
        <v>401450</v>
      </c>
      <c r="CG25" s="169">
        <v>401880</v>
      </c>
      <c r="CH25" s="170">
        <f t="shared" si="55"/>
        <v>430</v>
      </c>
      <c r="CI25" s="179">
        <f t="shared" si="56"/>
        <v>-70</v>
      </c>
      <c r="CJ25" s="180" t="e">
        <f>(CH25/#REF!)*100</f>
        <v>#REF!</v>
      </c>
      <c r="CK25" s="170">
        <f t="shared" si="57"/>
        <v>922750</v>
      </c>
      <c r="CL25" s="170">
        <v>923630</v>
      </c>
      <c r="CM25" s="170">
        <f t="shared" si="58"/>
        <v>880</v>
      </c>
      <c r="CN25" s="179">
        <f t="shared" si="59"/>
        <v>-200</v>
      </c>
      <c r="CO25" s="180" t="e">
        <f>(CM25/#REF!)*100</f>
        <v>#REF!</v>
      </c>
      <c r="CP25" s="360">
        <f t="shared" si="110"/>
        <v>768740</v>
      </c>
      <c r="CQ25" s="360">
        <v>769330</v>
      </c>
      <c r="CR25" s="364">
        <f t="shared" si="109"/>
        <v>590</v>
      </c>
      <c r="CS25" s="365">
        <f t="shared" si="60"/>
        <v>-240</v>
      </c>
      <c r="CT25" s="366" t="e">
        <f>(CR25/#REF!)*100</f>
        <v>#REF!</v>
      </c>
      <c r="CU25" s="169">
        <f t="shared" si="61"/>
        <v>632480</v>
      </c>
      <c r="CV25" s="169">
        <v>633030</v>
      </c>
      <c r="CW25" s="170">
        <f t="shared" si="62"/>
        <v>550</v>
      </c>
      <c r="CX25" s="179">
        <f t="shared" si="63"/>
        <v>-70</v>
      </c>
      <c r="CY25" s="180" t="e">
        <f>(CW25/#REF!)*100</f>
        <v>#REF!</v>
      </c>
      <c r="CZ25" s="360">
        <f t="shared" si="64"/>
        <v>1057400</v>
      </c>
      <c r="DA25" s="360">
        <v>1058400</v>
      </c>
      <c r="DB25" s="368">
        <f t="shared" si="65"/>
        <v>1000</v>
      </c>
      <c r="DC25" s="365">
        <f t="shared" si="66"/>
        <v>-100</v>
      </c>
      <c r="DD25" s="366" t="e">
        <f>(DB25/#REF!)*100</f>
        <v>#REF!</v>
      </c>
      <c r="DE25" s="169">
        <f t="shared" si="67"/>
        <v>811270</v>
      </c>
      <c r="DF25" s="169">
        <v>812130</v>
      </c>
      <c r="DG25" s="170">
        <f t="shared" si="68"/>
        <v>860</v>
      </c>
      <c r="DH25" s="179">
        <f t="shared" si="69"/>
        <v>0</v>
      </c>
      <c r="DI25" s="180" t="e">
        <f>(DG25/#REF!)*100</f>
        <v>#REF!</v>
      </c>
      <c r="DJ25" s="360">
        <f t="shared" si="70"/>
        <v>698320</v>
      </c>
      <c r="DK25" s="360">
        <v>698910</v>
      </c>
      <c r="DL25" s="368">
        <f t="shared" si="71"/>
        <v>590</v>
      </c>
      <c r="DM25" s="365">
        <f t="shared" si="72"/>
        <v>-50</v>
      </c>
      <c r="DN25" s="366" t="e">
        <f>(DL25/#REF!)*100</f>
        <v>#REF!</v>
      </c>
      <c r="DO25" s="169">
        <f t="shared" si="73"/>
        <v>378750</v>
      </c>
      <c r="DP25" s="169">
        <v>379070</v>
      </c>
      <c r="DQ25" s="170">
        <f t="shared" si="74"/>
        <v>320</v>
      </c>
      <c r="DR25" s="179">
        <f t="shared" si="75"/>
        <v>0</v>
      </c>
      <c r="DS25" s="180" t="e">
        <f>(DQ25/#REF!)*100</f>
        <v>#REF!</v>
      </c>
      <c r="DT25" s="360">
        <f t="shared" si="76"/>
        <v>128670</v>
      </c>
      <c r="DU25" s="360">
        <v>128800</v>
      </c>
      <c r="DV25" s="368">
        <f t="shared" si="77"/>
        <v>130</v>
      </c>
      <c r="DW25" s="365">
        <f t="shared" si="78"/>
        <v>-10</v>
      </c>
      <c r="DX25" s="366" t="e">
        <f>(DV25/#REF!)*100</f>
        <v>#REF!</v>
      </c>
      <c r="DY25" s="169">
        <f t="shared" si="79"/>
        <v>826950</v>
      </c>
      <c r="DZ25" s="169">
        <v>827980</v>
      </c>
      <c r="EA25" s="170">
        <f t="shared" si="80"/>
        <v>1030</v>
      </c>
      <c r="EB25" s="179">
        <f t="shared" si="81"/>
        <v>30</v>
      </c>
      <c r="EC25" s="180" t="e">
        <f>(EA25/#REF!)*100</f>
        <v>#REF!</v>
      </c>
      <c r="ED25" s="360">
        <f t="shared" si="82"/>
        <v>261590</v>
      </c>
      <c r="EE25" s="360">
        <v>261870</v>
      </c>
      <c r="EF25" s="368">
        <f t="shared" si="83"/>
        <v>280</v>
      </c>
      <c r="EG25" s="365">
        <f t="shared" si="84"/>
        <v>-10</v>
      </c>
      <c r="EH25" s="366" t="e">
        <f>(EF25/#REF!)*100</f>
        <v>#REF!</v>
      </c>
      <c r="EI25" s="169">
        <f t="shared" si="85"/>
        <v>299310</v>
      </c>
      <c r="EJ25" s="169">
        <v>299680</v>
      </c>
      <c r="EK25" s="170">
        <f t="shared" si="86"/>
        <v>370</v>
      </c>
      <c r="EL25" s="179">
        <f t="shared" si="87"/>
        <v>-140</v>
      </c>
      <c r="EM25" s="180" t="e">
        <f>(EK25/#REF!)*100</f>
        <v>#REF!</v>
      </c>
      <c r="EN25" s="360">
        <f t="shared" si="88"/>
        <v>484210</v>
      </c>
      <c r="EO25" s="360">
        <v>484730</v>
      </c>
      <c r="EP25" s="368">
        <f t="shared" si="89"/>
        <v>520</v>
      </c>
      <c r="EQ25" s="365">
        <f t="shared" si="90"/>
        <v>-20</v>
      </c>
      <c r="ER25" s="366" t="e">
        <f>(EP25/#REF!)*100</f>
        <v>#REF!</v>
      </c>
      <c r="ES25" s="169">
        <f t="shared" si="91"/>
        <v>0</v>
      </c>
      <c r="ET25" s="169"/>
      <c r="EU25" s="170">
        <f t="shared" si="92"/>
        <v>0</v>
      </c>
      <c r="EV25" s="179">
        <f t="shared" si="93"/>
        <v>0</v>
      </c>
      <c r="EW25" s="180" t="e">
        <f>(EU25/#REF!)*100</f>
        <v>#REF!</v>
      </c>
      <c r="EX25" s="169">
        <f t="shared" si="94"/>
        <v>0</v>
      </c>
      <c r="EY25" s="169"/>
      <c r="EZ25" s="170">
        <f t="shared" si="95"/>
        <v>0</v>
      </c>
      <c r="FA25" s="179">
        <f t="shared" si="96"/>
        <v>0</v>
      </c>
      <c r="FB25" s="180" t="e">
        <f>(EZ25/#REF!)*100</f>
        <v>#REF!</v>
      </c>
      <c r="FC25" s="169">
        <f t="shared" si="97"/>
        <v>0</v>
      </c>
      <c r="FD25" s="169"/>
      <c r="FE25" s="170">
        <f t="shared" si="98"/>
        <v>0</v>
      </c>
      <c r="FF25" s="179">
        <f t="shared" si="99"/>
        <v>0</v>
      </c>
      <c r="FG25" s="180" t="e">
        <f>(FE25/#REF!)*100</f>
        <v>#REF!</v>
      </c>
      <c r="FH25" s="241"/>
      <c r="FI25" s="241"/>
      <c r="FJ25" s="241"/>
      <c r="FK25" s="241"/>
      <c r="FL25" s="241"/>
      <c r="FM25" s="169">
        <f t="shared" si="100"/>
        <v>0</v>
      </c>
      <c r="FN25" s="169"/>
      <c r="FO25" s="170">
        <f t="shared" si="101"/>
        <v>0</v>
      </c>
      <c r="FP25" s="179">
        <f t="shared" si="102"/>
        <v>0</v>
      </c>
      <c r="FQ25" s="180" t="e">
        <f>(FO25/#REF!)*100</f>
        <v>#REF!</v>
      </c>
      <c r="FR25" s="169">
        <f t="shared" si="103"/>
        <v>0</v>
      </c>
      <c r="FS25" s="169"/>
      <c r="FT25" s="170">
        <f t="shared" si="104"/>
        <v>0</v>
      </c>
      <c r="FU25" s="179">
        <f t="shared" si="105"/>
        <v>0</v>
      </c>
      <c r="FV25" s="180" t="e">
        <f>(FT25/#REF!)*100</f>
        <v>#REF!</v>
      </c>
      <c r="FW25" s="169">
        <f t="shared" si="106"/>
        <v>0</v>
      </c>
      <c r="FX25" s="169"/>
      <c r="FY25" s="170">
        <f t="shared" si="107"/>
        <v>0</v>
      </c>
      <c r="FZ25" s="179">
        <f t="shared" si="108"/>
        <v>0</v>
      </c>
      <c r="GA25" s="180" t="e">
        <f>(FY25/#REF!)*100</f>
        <v>#REF!</v>
      </c>
      <c r="GB25" s="219"/>
      <c r="GC25" s="225">
        <f t="shared" si="1"/>
        <v>7340</v>
      </c>
      <c r="GD25" s="222"/>
      <c r="GE25" s="225">
        <f t="shared" si="2"/>
        <v>6925</v>
      </c>
      <c r="GF25" s="222"/>
      <c r="GG25" s="225">
        <f t="shared" si="3"/>
        <v>2400</v>
      </c>
      <c r="GH25" s="222"/>
      <c r="GI25" s="225">
        <f t="shared" si="4"/>
        <v>953</v>
      </c>
      <c r="GJ25" s="222"/>
      <c r="GK25" s="225">
        <f t="shared" si="5"/>
        <v>610</v>
      </c>
      <c r="GL25" s="222"/>
      <c r="GM25" s="225">
        <f t="shared" si="6"/>
        <v>0</v>
      </c>
      <c r="GN25" s="222"/>
    </row>
    <row r="26" spans="1:1105" s="3" customFormat="1" ht="13.5" customHeight="1">
      <c r="A26" s="213">
        <v>22</v>
      </c>
      <c r="B26" s="216" t="e">
        <f>#REF!</f>
        <v>#REF!</v>
      </c>
      <c r="C26" s="211">
        <f t="shared" si="7"/>
        <v>27498923</v>
      </c>
      <c r="D26" s="167">
        <v>27503040</v>
      </c>
      <c r="E26" s="168">
        <f t="shared" si="8"/>
        <v>4117</v>
      </c>
      <c r="F26" s="175">
        <f t="shared" si="9"/>
        <v>485</v>
      </c>
      <c r="G26" s="176" t="e">
        <f>(E26/#REF!)*100</f>
        <v>#REF!</v>
      </c>
      <c r="H26" s="186">
        <v>25445812</v>
      </c>
      <c r="I26" s="167">
        <v>25450439</v>
      </c>
      <c r="J26" s="167">
        <f t="shared" si="11"/>
        <v>4627</v>
      </c>
      <c r="K26" s="187">
        <f t="shared" si="12"/>
        <v>919</v>
      </c>
      <c r="L26" s="188" t="e">
        <f>(J26/#REF!)*100</f>
        <v>#REF!</v>
      </c>
      <c r="M26" s="172">
        <f t="shared" si="13"/>
        <v>93422841</v>
      </c>
      <c r="N26" s="169">
        <v>93434644</v>
      </c>
      <c r="O26" s="170">
        <f t="shared" si="14"/>
        <v>11803</v>
      </c>
      <c r="P26" s="179">
        <f t="shared" si="15"/>
        <v>1426</v>
      </c>
      <c r="Q26" s="180" t="e">
        <f>(O26/#REF!)*100</f>
        <v>#REF!</v>
      </c>
      <c r="R26" s="351">
        <f t="shared" si="16"/>
        <v>3335500</v>
      </c>
      <c r="S26" s="347">
        <v>3337800</v>
      </c>
      <c r="T26" s="352">
        <f t="shared" si="17"/>
        <v>2300</v>
      </c>
      <c r="U26" s="353">
        <f t="shared" si="18"/>
        <v>200</v>
      </c>
      <c r="V26" s="354" t="e">
        <f>(T26/#REF!)*100</f>
        <v>#REF!</v>
      </c>
      <c r="W26" s="169">
        <f t="shared" si="19"/>
        <v>4464436</v>
      </c>
      <c r="X26" s="169">
        <v>4467288</v>
      </c>
      <c r="Y26" s="170">
        <f t="shared" si="20"/>
        <v>2852</v>
      </c>
      <c r="Z26" s="179">
        <f t="shared" si="21"/>
        <v>227</v>
      </c>
      <c r="AA26" s="180" t="e">
        <f>(Y26/#REF!)*100</f>
        <v>#REF!</v>
      </c>
      <c r="AB26" s="347">
        <f t="shared" si="22"/>
        <v>2899600</v>
      </c>
      <c r="AC26" s="347">
        <v>2901500</v>
      </c>
      <c r="AD26" s="352">
        <f t="shared" si="0"/>
        <v>1900</v>
      </c>
      <c r="AE26" s="357">
        <f>AD26/WATER!V27</f>
        <v>4.8469387755102042</v>
      </c>
      <c r="AF26" s="353">
        <f t="shared" si="23"/>
        <v>100</v>
      </c>
      <c r="AG26" s="354" t="e">
        <f>(AD26/#REF!)*100</f>
        <v>#REF!</v>
      </c>
      <c r="AH26" s="169">
        <f t="shared" si="24"/>
        <v>1143683</v>
      </c>
      <c r="AI26" s="169">
        <v>1144165</v>
      </c>
      <c r="AJ26" s="170">
        <f t="shared" si="25"/>
        <v>482</v>
      </c>
      <c r="AK26" s="179">
        <f t="shared" si="26"/>
        <v>41</v>
      </c>
      <c r="AL26" s="180" t="e">
        <f>(AJ26/#REF!)*100</f>
        <v>#REF!</v>
      </c>
      <c r="AM26" s="347">
        <f t="shared" si="27"/>
        <v>1176000</v>
      </c>
      <c r="AN26" s="347">
        <v>1176700</v>
      </c>
      <c r="AO26" s="352">
        <f t="shared" si="28"/>
        <v>700</v>
      </c>
      <c r="AP26" s="353">
        <f t="shared" si="29"/>
        <v>0</v>
      </c>
      <c r="AQ26" s="354" t="e">
        <f>(AO26/#REF!)*100</f>
        <v>#REF!</v>
      </c>
      <c r="AR26" s="169">
        <f t="shared" si="30"/>
        <v>2655100</v>
      </c>
      <c r="AS26" s="169">
        <v>2656900</v>
      </c>
      <c r="AT26" s="170">
        <f t="shared" si="31"/>
        <v>1800</v>
      </c>
      <c r="AU26" s="179">
        <f t="shared" si="32"/>
        <v>100</v>
      </c>
      <c r="AV26" s="180" t="e">
        <f>(AT26/#REF!)*100</f>
        <v>#REF!</v>
      </c>
      <c r="AW26" s="347">
        <f t="shared" si="33"/>
        <v>56722</v>
      </c>
      <c r="AX26" s="347">
        <v>57156</v>
      </c>
      <c r="AY26" s="352">
        <f t="shared" si="34"/>
        <v>434</v>
      </c>
      <c r="AZ26" s="353">
        <f t="shared" si="35"/>
        <v>81</v>
      </c>
      <c r="BA26" s="354" t="e">
        <f>(AY26/#REF!)*100</f>
        <v>#REF!</v>
      </c>
      <c r="BB26" s="169">
        <f t="shared" si="36"/>
        <v>1040700</v>
      </c>
      <c r="BC26" s="169">
        <v>1041100</v>
      </c>
      <c r="BD26" s="170">
        <f t="shared" si="37"/>
        <v>400</v>
      </c>
      <c r="BE26" s="179">
        <f t="shared" si="38"/>
        <v>100</v>
      </c>
      <c r="BF26" s="180" t="e">
        <f>(BD26/#REF!)*100</f>
        <v>#REF!</v>
      </c>
      <c r="BG26" s="347">
        <f t="shared" si="39"/>
        <v>1104900</v>
      </c>
      <c r="BH26" s="347">
        <v>1105200</v>
      </c>
      <c r="BI26" s="352">
        <f t="shared" si="40"/>
        <v>300</v>
      </c>
      <c r="BJ26" s="353">
        <f t="shared" si="41"/>
        <v>0</v>
      </c>
      <c r="BK26" s="354" t="e">
        <f>(BI26/#REF!)*100</f>
        <v>#REF!</v>
      </c>
      <c r="BL26" s="169">
        <f t="shared" si="42"/>
        <v>1652900</v>
      </c>
      <c r="BM26" s="169">
        <v>1653500</v>
      </c>
      <c r="BN26" s="170">
        <f t="shared" si="43"/>
        <v>600</v>
      </c>
      <c r="BO26" s="179">
        <f t="shared" si="44"/>
        <v>100</v>
      </c>
      <c r="BP26" s="180" t="e">
        <f>(BN26/#REF!)*100</f>
        <v>#REF!</v>
      </c>
      <c r="BQ26" s="347">
        <f t="shared" si="45"/>
        <v>152190</v>
      </c>
      <c r="BR26" s="347">
        <v>152310</v>
      </c>
      <c r="BS26" s="352">
        <f t="shared" si="46"/>
        <v>120</v>
      </c>
      <c r="BT26" s="353">
        <f t="shared" si="47"/>
        <v>10</v>
      </c>
      <c r="BU26" s="354" t="e">
        <f>(BS26/#REF!)*100</f>
        <v>#REF!</v>
      </c>
      <c r="BV26" s="169">
        <f t="shared" si="48"/>
        <v>630240</v>
      </c>
      <c r="BW26" s="169">
        <v>630590</v>
      </c>
      <c r="BX26" s="170">
        <f t="shared" si="49"/>
        <v>350</v>
      </c>
      <c r="BY26" s="179">
        <f t="shared" si="50"/>
        <v>60</v>
      </c>
      <c r="BZ26" s="180" t="e">
        <f>(BX26/#REF!)*100</f>
        <v>#REF!</v>
      </c>
      <c r="CA26" s="347">
        <f t="shared" si="51"/>
        <v>1211800</v>
      </c>
      <c r="CB26" s="347">
        <v>1212900</v>
      </c>
      <c r="CC26" s="352">
        <f t="shared" si="52"/>
        <v>1100</v>
      </c>
      <c r="CD26" s="353">
        <f t="shared" si="53"/>
        <v>-100</v>
      </c>
      <c r="CE26" s="354" t="e">
        <f>(CC26/#REF!)*100</f>
        <v>#REF!</v>
      </c>
      <c r="CF26" s="169">
        <f t="shared" si="54"/>
        <v>401880</v>
      </c>
      <c r="CG26" s="169">
        <v>402300</v>
      </c>
      <c r="CH26" s="170">
        <f t="shared" si="55"/>
        <v>420</v>
      </c>
      <c r="CI26" s="179">
        <f t="shared" si="56"/>
        <v>-10</v>
      </c>
      <c r="CJ26" s="180" t="e">
        <f>(CH26/#REF!)*100</f>
        <v>#REF!</v>
      </c>
      <c r="CK26" s="170">
        <f t="shared" si="57"/>
        <v>923630</v>
      </c>
      <c r="CL26" s="170">
        <v>924950</v>
      </c>
      <c r="CM26" s="170">
        <f t="shared" si="58"/>
        <v>1320</v>
      </c>
      <c r="CN26" s="179">
        <f t="shared" si="59"/>
        <v>440</v>
      </c>
      <c r="CO26" s="180" t="e">
        <f>(CM26/#REF!)*100</f>
        <v>#REF!</v>
      </c>
      <c r="CP26" s="360">
        <f t="shared" si="110"/>
        <v>769330</v>
      </c>
      <c r="CQ26" s="360">
        <v>770140</v>
      </c>
      <c r="CR26" s="364">
        <f t="shared" si="109"/>
        <v>810</v>
      </c>
      <c r="CS26" s="365">
        <f t="shared" si="60"/>
        <v>220</v>
      </c>
      <c r="CT26" s="366" t="e">
        <f>(CR26/#REF!)*100</f>
        <v>#REF!</v>
      </c>
      <c r="CU26" s="169">
        <f t="shared" si="61"/>
        <v>633030</v>
      </c>
      <c r="CV26" s="169">
        <v>633740</v>
      </c>
      <c r="CW26" s="170">
        <f t="shared" si="62"/>
        <v>710</v>
      </c>
      <c r="CX26" s="179">
        <f t="shared" si="63"/>
        <v>160</v>
      </c>
      <c r="CY26" s="180" t="e">
        <f>(CW26/#REF!)*100</f>
        <v>#REF!</v>
      </c>
      <c r="CZ26" s="360">
        <f t="shared" si="64"/>
        <v>1058400</v>
      </c>
      <c r="DA26" s="360">
        <v>1059600</v>
      </c>
      <c r="DB26" s="368">
        <f t="shared" si="65"/>
        <v>1200</v>
      </c>
      <c r="DC26" s="365">
        <f t="shared" si="66"/>
        <v>200</v>
      </c>
      <c r="DD26" s="366" t="e">
        <f>(DB26/#REF!)*100</f>
        <v>#REF!</v>
      </c>
      <c r="DE26" s="169">
        <f t="shared" si="67"/>
        <v>812130</v>
      </c>
      <c r="DF26" s="169">
        <v>813070</v>
      </c>
      <c r="DG26" s="170">
        <f t="shared" si="68"/>
        <v>940</v>
      </c>
      <c r="DH26" s="179">
        <f t="shared" si="69"/>
        <v>80</v>
      </c>
      <c r="DI26" s="180" t="e">
        <f>(DG26/#REF!)*100</f>
        <v>#REF!</v>
      </c>
      <c r="DJ26" s="360">
        <f t="shared" si="70"/>
        <v>698910</v>
      </c>
      <c r="DK26" s="360">
        <v>699560</v>
      </c>
      <c r="DL26" s="368">
        <f t="shared" si="71"/>
        <v>650</v>
      </c>
      <c r="DM26" s="365">
        <f t="shared" si="72"/>
        <v>60</v>
      </c>
      <c r="DN26" s="366" t="e">
        <f>(DL26/#REF!)*100</f>
        <v>#REF!</v>
      </c>
      <c r="DO26" s="169">
        <f t="shared" si="73"/>
        <v>379070</v>
      </c>
      <c r="DP26" s="169">
        <v>379400</v>
      </c>
      <c r="DQ26" s="170">
        <f t="shared" si="74"/>
        <v>330</v>
      </c>
      <c r="DR26" s="179">
        <f t="shared" si="75"/>
        <v>10</v>
      </c>
      <c r="DS26" s="180" t="e">
        <f>(DQ26/#REF!)*100</f>
        <v>#REF!</v>
      </c>
      <c r="DT26" s="360">
        <v>128800</v>
      </c>
      <c r="DU26" s="360">
        <v>128930</v>
      </c>
      <c r="DV26" s="368">
        <f t="shared" si="77"/>
        <v>130</v>
      </c>
      <c r="DW26" s="365">
        <f t="shared" si="78"/>
        <v>0</v>
      </c>
      <c r="DX26" s="366" t="e">
        <f>(DV26/#REF!)*100</f>
        <v>#REF!</v>
      </c>
      <c r="DY26" s="169">
        <f t="shared" si="79"/>
        <v>827980</v>
      </c>
      <c r="DZ26" s="169">
        <v>829020</v>
      </c>
      <c r="EA26" s="170">
        <f t="shared" si="80"/>
        <v>1040</v>
      </c>
      <c r="EB26" s="179">
        <f t="shared" si="81"/>
        <v>10</v>
      </c>
      <c r="EC26" s="180" t="e">
        <f>(EA26/#REF!)*100</f>
        <v>#REF!</v>
      </c>
      <c r="ED26" s="360">
        <f t="shared" si="82"/>
        <v>261870</v>
      </c>
      <c r="EE26" s="360">
        <v>262160</v>
      </c>
      <c r="EF26" s="368">
        <f t="shared" si="83"/>
        <v>290</v>
      </c>
      <c r="EG26" s="365">
        <v>0</v>
      </c>
      <c r="EH26" s="366" t="e">
        <f>(EF26/#REF!)*100</f>
        <v>#REF!</v>
      </c>
      <c r="EI26" s="169">
        <f t="shared" si="85"/>
        <v>299680</v>
      </c>
      <c r="EJ26" s="169">
        <v>300080</v>
      </c>
      <c r="EK26" s="170">
        <f t="shared" si="86"/>
        <v>400</v>
      </c>
      <c r="EL26" s="179">
        <f t="shared" si="87"/>
        <v>30</v>
      </c>
      <c r="EM26" s="180" t="e">
        <f>(EK26/#REF!)*100</f>
        <v>#REF!</v>
      </c>
      <c r="EN26" s="360">
        <f t="shared" si="88"/>
        <v>484730</v>
      </c>
      <c r="EO26" s="360">
        <v>485240</v>
      </c>
      <c r="EP26" s="368">
        <f t="shared" si="89"/>
        <v>510</v>
      </c>
      <c r="EQ26" s="365">
        <f t="shared" si="90"/>
        <v>-10</v>
      </c>
      <c r="ER26" s="366" t="e">
        <f>(EP26/#REF!)*100</f>
        <v>#REF!</v>
      </c>
      <c r="ES26" s="169">
        <f t="shared" si="91"/>
        <v>0</v>
      </c>
      <c r="ET26" s="169"/>
      <c r="EU26" s="170">
        <f t="shared" si="92"/>
        <v>0</v>
      </c>
      <c r="EV26" s="179">
        <f t="shared" si="93"/>
        <v>0</v>
      </c>
      <c r="EW26" s="180" t="e">
        <f>(EU26/#REF!)*100</f>
        <v>#REF!</v>
      </c>
      <c r="EX26" s="169">
        <f t="shared" si="94"/>
        <v>0</v>
      </c>
      <c r="EY26" s="169"/>
      <c r="EZ26" s="170">
        <f t="shared" si="95"/>
        <v>0</v>
      </c>
      <c r="FA26" s="179">
        <f t="shared" si="96"/>
        <v>0</v>
      </c>
      <c r="FB26" s="180" t="e">
        <f>(EZ26/#REF!)*100</f>
        <v>#REF!</v>
      </c>
      <c r="FC26" s="169">
        <f t="shared" si="97"/>
        <v>0</v>
      </c>
      <c r="FD26" s="169"/>
      <c r="FE26" s="170">
        <f t="shared" si="98"/>
        <v>0</v>
      </c>
      <c r="FF26" s="179">
        <f t="shared" si="99"/>
        <v>0</v>
      </c>
      <c r="FG26" s="180" t="e">
        <f>(FE26/#REF!)*100</f>
        <v>#REF!</v>
      </c>
      <c r="FH26" s="241"/>
      <c r="FI26" s="241"/>
      <c r="FJ26" s="241"/>
      <c r="FK26" s="241"/>
      <c r="FL26" s="241"/>
      <c r="FM26" s="169">
        <f t="shared" si="100"/>
        <v>0</v>
      </c>
      <c r="FN26" s="169"/>
      <c r="FO26" s="170">
        <f t="shared" si="101"/>
        <v>0</v>
      </c>
      <c r="FP26" s="179">
        <f t="shared" si="102"/>
        <v>0</v>
      </c>
      <c r="FQ26" s="180" t="e">
        <f>(FO26/#REF!)*100</f>
        <v>#REF!</v>
      </c>
      <c r="FR26" s="169">
        <f t="shared" si="103"/>
        <v>0</v>
      </c>
      <c r="FS26" s="169"/>
      <c r="FT26" s="170">
        <f t="shared" si="104"/>
        <v>0</v>
      </c>
      <c r="FU26" s="179">
        <f t="shared" si="105"/>
        <v>0</v>
      </c>
      <c r="FV26" s="180" t="e">
        <f>(FT26/#REF!)*100</f>
        <v>#REF!</v>
      </c>
      <c r="FW26" s="169">
        <f t="shared" si="106"/>
        <v>0</v>
      </c>
      <c r="FX26" s="169"/>
      <c r="FY26" s="170">
        <f t="shared" si="107"/>
        <v>0</v>
      </c>
      <c r="FZ26" s="179">
        <f t="shared" si="108"/>
        <v>0</v>
      </c>
      <c r="GA26" s="180" t="e">
        <f>(FY26/#REF!)*100</f>
        <v>#REF!</v>
      </c>
      <c r="GB26" s="219"/>
      <c r="GC26" s="225">
        <f t="shared" si="1"/>
        <v>8744</v>
      </c>
      <c r="GD26" s="222"/>
      <c r="GE26" s="225">
        <f t="shared" si="2"/>
        <v>7392</v>
      </c>
      <c r="GF26" s="222"/>
      <c r="GG26" s="225">
        <f t="shared" si="3"/>
        <v>2500</v>
      </c>
      <c r="GH26" s="222"/>
      <c r="GI26" s="225">
        <f t="shared" si="4"/>
        <v>1134</v>
      </c>
      <c r="GJ26" s="222"/>
      <c r="GK26" s="225">
        <f t="shared" si="5"/>
        <v>720</v>
      </c>
      <c r="GL26" s="222"/>
      <c r="GM26" s="225">
        <f t="shared" si="6"/>
        <v>0</v>
      </c>
      <c r="GN26" s="222"/>
    </row>
    <row r="27" spans="1:1105" s="3" customFormat="1" ht="13.5" customHeight="1">
      <c r="A27" s="213">
        <v>23</v>
      </c>
      <c r="B27" s="216" t="e">
        <f>#REF!</f>
        <v>#REF!</v>
      </c>
      <c r="C27" s="211">
        <f t="shared" si="7"/>
        <v>27503040</v>
      </c>
      <c r="D27" s="167">
        <v>27507108</v>
      </c>
      <c r="E27" s="168">
        <f t="shared" si="8"/>
        <v>4068</v>
      </c>
      <c r="F27" s="175">
        <f t="shared" si="9"/>
        <v>-49</v>
      </c>
      <c r="G27" s="176" t="e">
        <f>(E27/#REF!)*100</f>
        <v>#REF!</v>
      </c>
      <c r="H27" s="186">
        <f t="shared" si="10"/>
        <v>25450439</v>
      </c>
      <c r="I27" s="167">
        <v>25454986</v>
      </c>
      <c r="J27" s="167">
        <f t="shared" si="11"/>
        <v>4547</v>
      </c>
      <c r="K27" s="187">
        <f t="shared" si="12"/>
        <v>-80</v>
      </c>
      <c r="L27" s="188" t="e">
        <f>(J27/#REF!)*100</f>
        <v>#REF!</v>
      </c>
      <c r="M27" s="172">
        <f t="shared" si="13"/>
        <v>93434644</v>
      </c>
      <c r="N27" s="169">
        <v>93446806</v>
      </c>
      <c r="O27" s="170">
        <f t="shared" si="14"/>
        <v>12162</v>
      </c>
      <c r="P27" s="179">
        <f t="shared" si="15"/>
        <v>359</v>
      </c>
      <c r="Q27" s="180" t="e">
        <f>(O27/#REF!)*100</f>
        <v>#REF!</v>
      </c>
      <c r="R27" s="351">
        <f t="shared" si="16"/>
        <v>3337800</v>
      </c>
      <c r="S27" s="347">
        <v>3340100</v>
      </c>
      <c r="T27" s="352">
        <f t="shared" si="17"/>
        <v>2300</v>
      </c>
      <c r="U27" s="353">
        <f t="shared" si="18"/>
        <v>0</v>
      </c>
      <c r="V27" s="354" t="e">
        <f>(T27/#REF!)*100</f>
        <v>#REF!</v>
      </c>
      <c r="W27" s="169">
        <f t="shared" si="19"/>
        <v>4467288</v>
      </c>
      <c r="X27" s="169">
        <v>4470204</v>
      </c>
      <c r="Y27" s="170">
        <f t="shared" si="20"/>
        <v>2916</v>
      </c>
      <c r="Z27" s="179">
        <f t="shared" si="21"/>
        <v>64</v>
      </c>
      <c r="AA27" s="180" t="e">
        <f>(Y27/#REF!)*100</f>
        <v>#REF!</v>
      </c>
      <c r="AB27" s="347">
        <f t="shared" si="22"/>
        <v>2901500</v>
      </c>
      <c r="AC27" s="347">
        <v>2903400</v>
      </c>
      <c r="AD27" s="352">
        <f t="shared" si="0"/>
        <v>1900</v>
      </c>
      <c r="AE27" s="357">
        <f>AD27/WATER!V28</f>
        <v>5.4441260744985671</v>
      </c>
      <c r="AF27" s="353">
        <f t="shared" si="23"/>
        <v>0</v>
      </c>
      <c r="AG27" s="354" t="e">
        <f>(AD27/#REF!)*100</f>
        <v>#REF!</v>
      </c>
      <c r="AH27" s="169">
        <f t="shared" si="24"/>
        <v>1144165</v>
      </c>
      <c r="AI27" s="169">
        <v>1144604</v>
      </c>
      <c r="AJ27" s="170">
        <f t="shared" si="25"/>
        <v>439</v>
      </c>
      <c r="AK27" s="179">
        <f t="shared" si="26"/>
        <v>-43</v>
      </c>
      <c r="AL27" s="180" t="e">
        <f>(AJ27/#REF!)*100</f>
        <v>#REF!</v>
      </c>
      <c r="AM27" s="347">
        <f t="shared" si="27"/>
        <v>1176700</v>
      </c>
      <c r="AN27" s="347">
        <v>1177400</v>
      </c>
      <c r="AO27" s="352">
        <f t="shared" si="28"/>
        <v>700</v>
      </c>
      <c r="AP27" s="353">
        <f t="shared" si="29"/>
        <v>0</v>
      </c>
      <c r="AQ27" s="354" t="e">
        <f>(AO27/#REF!)*100</f>
        <v>#REF!</v>
      </c>
      <c r="AR27" s="169">
        <f t="shared" si="30"/>
        <v>2656900</v>
      </c>
      <c r="AS27" s="169">
        <v>2658900</v>
      </c>
      <c r="AT27" s="170">
        <f t="shared" si="31"/>
        <v>2000</v>
      </c>
      <c r="AU27" s="179">
        <f t="shared" si="32"/>
        <v>200</v>
      </c>
      <c r="AV27" s="180" t="e">
        <f>(AT27/#REF!)*100</f>
        <v>#REF!</v>
      </c>
      <c r="AW27" s="347">
        <f t="shared" si="33"/>
        <v>57156</v>
      </c>
      <c r="AX27" s="347">
        <v>57558</v>
      </c>
      <c r="AY27" s="352">
        <f t="shared" si="34"/>
        <v>402</v>
      </c>
      <c r="AZ27" s="353">
        <f t="shared" si="35"/>
        <v>-32</v>
      </c>
      <c r="BA27" s="354" t="e">
        <f>(AY27/#REF!)*100</f>
        <v>#REF!</v>
      </c>
      <c r="BB27" s="169">
        <f t="shared" si="36"/>
        <v>1041100</v>
      </c>
      <c r="BC27" s="169">
        <v>1041600</v>
      </c>
      <c r="BD27" s="170">
        <f t="shared" si="37"/>
        <v>500</v>
      </c>
      <c r="BE27" s="179">
        <f t="shared" si="38"/>
        <v>100</v>
      </c>
      <c r="BF27" s="180" t="e">
        <f>(BD27/#REF!)*100</f>
        <v>#REF!</v>
      </c>
      <c r="BG27" s="347">
        <f t="shared" si="39"/>
        <v>1105200</v>
      </c>
      <c r="BH27" s="347">
        <v>1105500</v>
      </c>
      <c r="BI27" s="352">
        <f t="shared" si="40"/>
        <v>300</v>
      </c>
      <c r="BJ27" s="353">
        <f t="shared" si="41"/>
        <v>0</v>
      </c>
      <c r="BK27" s="354" t="e">
        <f>(BI27/#REF!)*100</f>
        <v>#REF!</v>
      </c>
      <c r="BL27" s="169">
        <f t="shared" si="42"/>
        <v>1653500</v>
      </c>
      <c r="BM27" s="169">
        <v>1654100</v>
      </c>
      <c r="BN27" s="170">
        <f t="shared" si="43"/>
        <v>600</v>
      </c>
      <c r="BO27" s="179">
        <f t="shared" si="44"/>
        <v>0</v>
      </c>
      <c r="BP27" s="180" t="e">
        <f>(BN27/#REF!)*100</f>
        <v>#REF!</v>
      </c>
      <c r="BQ27" s="347">
        <f t="shared" si="45"/>
        <v>152310</v>
      </c>
      <c r="BR27" s="347">
        <v>152440</v>
      </c>
      <c r="BS27" s="352">
        <f t="shared" si="46"/>
        <v>130</v>
      </c>
      <c r="BT27" s="353">
        <f t="shared" si="47"/>
        <v>10</v>
      </c>
      <c r="BU27" s="354" t="e">
        <f>(BS27/#REF!)*100</f>
        <v>#REF!</v>
      </c>
      <c r="BV27" s="169">
        <f t="shared" si="48"/>
        <v>630590</v>
      </c>
      <c r="BW27" s="169">
        <v>631020</v>
      </c>
      <c r="BX27" s="170">
        <f t="shared" si="49"/>
        <v>430</v>
      </c>
      <c r="BY27" s="179">
        <f t="shared" si="50"/>
        <v>80</v>
      </c>
      <c r="BZ27" s="180" t="e">
        <f>(BX27/#REF!)*100</f>
        <v>#REF!</v>
      </c>
      <c r="CA27" s="347">
        <f t="shared" si="51"/>
        <v>1212900</v>
      </c>
      <c r="CB27" s="347">
        <v>1214200</v>
      </c>
      <c r="CC27" s="352">
        <f t="shared" si="52"/>
        <v>1300</v>
      </c>
      <c r="CD27" s="353">
        <f t="shared" si="53"/>
        <v>200</v>
      </c>
      <c r="CE27" s="354" t="e">
        <f>(CC27/#REF!)*100</f>
        <v>#REF!</v>
      </c>
      <c r="CF27" s="169">
        <f t="shared" si="54"/>
        <v>402300</v>
      </c>
      <c r="CG27" s="169">
        <v>402760</v>
      </c>
      <c r="CH27" s="170">
        <f t="shared" si="55"/>
        <v>460</v>
      </c>
      <c r="CI27" s="179">
        <f t="shared" si="56"/>
        <v>40</v>
      </c>
      <c r="CJ27" s="180" t="e">
        <f>(CH27/#REF!)*100</f>
        <v>#REF!</v>
      </c>
      <c r="CK27" s="170">
        <f t="shared" si="57"/>
        <v>924950</v>
      </c>
      <c r="CL27" s="170">
        <v>925970</v>
      </c>
      <c r="CM27" s="170">
        <f t="shared" si="58"/>
        <v>1020</v>
      </c>
      <c r="CN27" s="179">
        <f t="shared" si="59"/>
        <v>-300</v>
      </c>
      <c r="CO27" s="180" t="e">
        <f>(CM27/#REF!)*100</f>
        <v>#REF!</v>
      </c>
      <c r="CP27" s="360">
        <f t="shared" si="110"/>
        <v>770140</v>
      </c>
      <c r="CQ27" s="360">
        <v>770940</v>
      </c>
      <c r="CR27" s="364">
        <f t="shared" si="109"/>
        <v>800</v>
      </c>
      <c r="CS27" s="365">
        <f t="shared" si="60"/>
        <v>-10</v>
      </c>
      <c r="CT27" s="366" t="e">
        <f>(CR27/#REF!)*100</f>
        <v>#REF!</v>
      </c>
      <c r="CU27" s="169">
        <f t="shared" si="61"/>
        <v>633740</v>
      </c>
      <c r="CV27" s="169">
        <v>634500</v>
      </c>
      <c r="CW27" s="170">
        <f t="shared" si="62"/>
        <v>760</v>
      </c>
      <c r="CX27" s="179">
        <f t="shared" si="63"/>
        <v>50</v>
      </c>
      <c r="CY27" s="180" t="e">
        <f>(CW27/#REF!)*100</f>
        <v>#REF!</v>
      </c>
      <c r="CZ27" s="360">
        <f t="shared" si="64"/>
        <v>1059600</v>
      </c>
      <c r="DA27" s="360">
        <v>1060400</v>
      </c>
      <c r="DB27" s="368">
        <f t="shared" si="65"/>
        <v>800</v>
      </c>
      <c r="DC27" s="365">
        <f t="shared" si="66"/>
        <v>-400</v>
      </c>
      <c r="DD27" s="366" t="e">
        <f>(DB27/#REF!)*100</f>
        <v>#REF!</v>
      </c>
      <c r="DE27" s="169">
        <f t="shared" si="67"/>
        <v>813070</v>
      </c>
      <c r="DF27" s="169">
        <v>813950</v>
      </c>
      <c r="DG27" s="170">
        <f t="shared" si="68"/>
        <v>880</v>
      </c>
      <c r="DH27" s="179">
        <f t="shared" si="69"/>
        <v>-60</v>
      </c>
      <c r="DI27" s="180" t="e">
        <f>(DG27/#REF!)*100</f>
        <v>#REF!</v>
      </c>
      <c r="DJ27" s="360">
        <f t="shared" si="70"/>
        <v>699560</v>
      </c>
      <c r="DK27" s="360">
        <v>700080</v>
      </c>
      <c r="DL27" s="368">
        <f t="shared" si="71"/>
        <v>520</v>
      </c>
      <c r="DM27" s="365">
        <f t="shared" si="72"/>
        <v>-130</v>
      </c>
      <c r="DN27" s="366" t="e">
        <f>(DL27/#REF!)*100</f>
        <v>#REF!</v>
      </c>
      <c r="DO27" s="169">
        <f t="shared" si="73"/>
        <v>379400</v>
      </c>
      <c r="DP27" s="169">
        <v>379710</v>
      </c>
      <c r="DQ27" s="170">
        <f t="shared" si="74"/>
        <v>310</v>
      </c>
      <c r="DR27" s="179">
        <f t="shared" si="75"/>
        <v>-20</v>
      </c>
      <c r="DS27" s="180" t="e">
        <f>(DQ27/#REF!)*100</f>
        <v>#REF!</v>
      </c>
      <c r="DT27" s="360">
        <f t="shared" si="76"/>
        <v>128930</v>
      </c>
      <c r="DU27" s="360">
        <v>129050</v>
      </c>
      <c r="DV27" s="368">
        <f t="shared" si="77"/>
        <v>120</v>
      </c>
      <c r="DW27" s="365">
        <f t="shared" si="78"/>
        <v>-10</v>
      </c>
      <c r="DX27" s="366" t="e">
        <f>(DV27/#REF!)*100</f>
        <v>#REF!</v>
      </c>
      <c r="DY27" s="169">
        <f t="shared" si="79"/>
        <v>829020</v>
      </c>
      <c r="DZ27" s="169">
        <v>829910</v>
      </c>
      <c r="EA27" s="170">
        <f t="shared" si="80"/>
        <v>890</v>
      </c>
      <c r="EB27" s="179">
        <f t="shared" si="81"/>
        <v>-150</v>
      </c>
      <c r="EC27" s="180" t="e">
        <f>(EA27/#REF!)*100</f>
        <v>#REF!</v>
      </c>
      <c r="ED27" s="360">
        <f t="shared" si="82"/>
        <v>262160</v>
      </c>
      <c r="EE27" s="360">
        <v>262420</v>
      </c>
      <c r="EF27" s="368">
        <f t="shared" si="83"/>
        <v>260</v>
      </c>
      <c r="EG27" s="365">
        <f t="shared" si="84"/>
        <v>-30</v>
      </c>
      <c r="EH27" s="366" t="e">
        <f>(EF27/#REF!)*100</f>
        <v>#REF!</v>
      </c>
      <c r="EI27" s="169">
        <f t="shared" si="85"/>
        <v>300080</v>
      </c>
      <c r="EJ27" s="169">
        <v>300410</v>
      </c>
      <c r="EK27" s="170">
        <f t="shared" si="86"/>
        <v>330</v>
      </c>
      <c r="EL27" s="179">
        <f t="shared" si="87"/>
        <v>-70</v>
      </c>
      <c r="EM27" s="180" t="e">
        <f>(EK27/#REF!)*100</f>
        <v>#REF!</v>
      </c>
      <c r="EN27" s="360">
        <f t="shared" si="88"/>
        <v>485240</v>
      </c>
      <c r="EO27" s="360">
        <v>485770</v>
      </c>
      <c r="EP27" s="368">
        <f t="shared" si="89"/>
        <v>530</v>
      </c>
      <c r="EQ27" s="365">
        <f t="shared" si="90"/>
        <v>20</v>
      </c>
      <c r="ER27" s="366" t="e">
        <f>(EP27/#REF!)*100</f>
        <v>#REF!</v>
      </c>
      <c r="ES27" s="169">
        <f t="shared" si="91"/>
        <v>0</v>
      </c>
      <c r="ET27" s="169"/>
      <c r="EU27" s="170">
        <f t="shared" si="92"/>
        <v>0</v>
      </c>
      <c r="EV27" s="179">
        <f t="shared" si="93"/>
        <v>0</v>
      </c>
      <c r="EW27" s="180" t="e">
        <f>(EU27/#REF!)*100</f>
        <v>#REF!</v>
      </c>
      <c r="EX27" s="169">
        <f t="shared" si="94"/>
        <v>0</v>
      </c>
      <c r="EY27" s="169"/>
      <c r="EZ27" s="170">
        <f t="shared" si="95"/>
        <v>0</v>
      </c>
      <c r="FA27" s="179">
        <f t="shared" si="96"/>
        <v>0</v>
      </c>
      <c r="FB27" s="180" t="e">
        <f>(EZ27/#REF!)*100</f>
        <v>#REF!</v>
      </c>
      <c r="FC27" s="169">
        <f>FD26</f>
        <v>0</v>
      </c>
      <c r="FD27" s="169"/>
      <c r="FE27" s="170">
        <f t="shared" si="98"/>
        <v>0</v>
      </c>
      <c r="FF27" s="179">
        <f t="shared" si="99"/>
        <v>0</v>
      </c>
      <c r="FG27" s="180" t="e">
        <f>(FE27/#REF!)*100</f>
        <v>#REF!</v>
      </c>
      <c r="FH27" s="241"/>
      <c r="FI27" s="241"/>
      <c r="FJ27" s="241"/>
      <c r="FK27" s="241"/>
      <c r="FL27" s="241"/>
      <c r="FM27" s="169">
        <f t="shared" si="100"/>
        <v>0</v>
      </c>
      <c r="FN27" s="169"/>
      <c r="FO27" s="170">
        <f t="shared" si="101"/>
        <v>0</v>
      </c>
      <c r="FP27" s="179">
        <f t="shared" si="102"/>
        <v>0</v>
      </c>
      <c r="FQ27" s="180" t="e">
        <f>(FO27/#REF!)*100</f>
        <v>#REF!</v>
      </c>
      <c r="FR27" s="169">
        <f t="shared" si="103"/>
        <v>0</v>
      </c>
      <c r="FS27" s="169"/>
      <c r="FT27" s="170">
        <f t="shared" si="104"/>
        <v>0</v>
      </c>
      <c r="FU27" s="179">
        <f t="shared" si="105"/>
        <v>0</v>
      </c>
      <c r="FV27" s="180" t="e">
        <f>(FT27/#REF!)*100</f>
        <v>#REF!</v>
      </c>
      <c r="FW27" s="169">
        <f t="shared" si="106"/>
        <v>0</v>
      </c>
      <c r="FX27" s="169"/>
      <c r="FY27" s="170">
        <f t="shared" si="107"/>
        <v>0</v>
      </c>
      <c r="FZ27" s="179">
        <f t="shared" si="108"/>
        <v>0</v>
      </c>
      <c r="GA27" s="180" t="e">
        <f>(FY27/#REF!)*100</f>
        <v>#REF!</v>
      </c>
      <c r="GB27" s="219"/>
      <c r="GC27" s="225">
        <f t="shared" si="1"/>
        <v>8615</v>
      </c>
      <c r="GD27" s="222"/>
      <c r="GE27" s="225">
        <f t="shared" si="2"/>
        <v>7226</v>
      </c>
      <c r="GF27" s="222"/>
      <c r="GG27" s="225">
        <f t="shared" si="3"/>
        <v>2700</v>
      </c>
      <c r="GH27" s="222"/>
      <c r="GI27" s="225">
        <f t="shared" si="4"/>
        <v>1202</v>
      </c>
      <c r="GJ27" s="222"/>
      <c r="GK27" s="225">
        <f t="shared" si="5"/>
        <v>730</v>
      </c>
      <c r="GL27" s="222"/>
      <c r="GM27" s="225">
        <f t="shared" si="6"/>
        <v>0</v>
      </c>
      <c r="GN27" s="222"/>
    </row>
    <row r="28" spans="1:1105" s="57" customFormat="1" ht="13.5" customHeight="1">
      <c r="A28" s="213">
        <v>24</v>
      </c>
      <c r="B28" s="216" t="e">
        <f>#REF!</f>
        <v>#REF!</v>
      </c>
      <c r="C28" s="211">
        <f t="shared" si="7"/>
        <v>27507108</v>
      </c>
      <c r="D28" s="167">
        <v>27510720</v>
      </c>
      <c r="E28" s="168">
        <f t="shared" si="8"/>
        <v>3612</v>
      </c>
      <c r="F28" s="175">
        <f t="shared" si="9"/>
        <v>-456</v>
      </c>
      <c r="G28" s="176" t="e">
        <f>(E28/#REF!)*100</f>
        <v>#REF!</v>
      </c>
      <c r="H28" s="186">
        <f t="shared" si="10"/>
        <v>25454986</v>
      </c>
      <c r="I28" s="167">
        <v>25458503</v>
      </c>
      <c r="J28" s="167">
        <f t="shared" si="11"/>
        <v>3517</v>
      </c>
      <c r="K28" s="187">
        <f t="shared" si="12"/>
        <v>-1030</v>
      </c>
      <c r="L28" s="188" t="e">
        <f>(J28/#REF!)*100</f>
        <v>#REF!</v>
      </c>
      <c r="M28" s="172">
        <f t="shared" si="13"/>
        <v>93446806</v>
      </c>
      <c r="N28" s="169">
        <v>93457548</v>
      </c>
      <c r="O28" s="170">
        <f t="shared" si="14"/>
        <v>10742</v>
      </c>
      <c r="P28" s="179">
        <f t="shared" si="15"/>
        <v>-1420</v>
      </c>
      <c r="Q28" s="180" t="e">
        <f>(O28/#REF!)*100</f>
        <v>#REF!</v>
      </c>
      <c r="R28" s="351">
        <f t="shared" si="16"/>
        <v>3340100</v>
      </c>
      <c r="S28" s="347">
        <v>3342200</v>
      </c>
      <c r="T28" s="352">
        <f t="shared" si="17"/>
        <v>2100</v>
      </c>
      <c r="U28" s="353">
        <f t="shared" si="18"/>
        <v>-200</v>
      </c>
      <c r="V28" s="354" t="e">
        <f>(T28/#REF!)*100</f>
        <v>#REF!</v>
      </c>
      <c r="W28" s="169">
        <f t="shared" si="19"/>
        <v>4470204</v>
      </c>
      <c r="X28" s="169">
        <v>4472903</v>
      </c>
      <c r="Y28" s="170">
        <f t="shared" si="20"/>
        <v>2699</v>
      </c>
      <c r="Z28" s="179">
        <f t="shared" si="21"/>
        <v>-217</v>
      </c>
      <c r="AA28" s="180" t="e">
        <f>(Y28/#REF!)*100</f>
        <v>#REF!</v>
      </c>
      <c r="AB28" s="347">
        <f t="shared" si="22"/>
        <v>2903400</v>
      </c>
      <c r="AC28" s="347">
        <v>2905000</v>
      </c>
      <c r="AD28" s="352">
        <f t="shared" si="0"/>
        <v>1600</v>
      </c>
      <c r="AE28" s="357">
        <f>AD28/WATER!V29</f>
        <v>5.6737588652482271</v>
      </c>
      <c r="AF28" s="353">
        <f t="shared" si="23"/>
        <v>-300</v>
      </c>
      <c r="AG28" s="354" t="e">
        <f>(AD28/#REF!)*100</f>
        <v>#REF!</v>
      </c>
      <c r="AH28" s="169">
        <f t="shared" si="24"/>
        <v>1144604</v>
      </c>
      <c r="AI28" s="169">
        <v>1145508</v>
      </c>
      <c r="AJ28" s="170">
        <f t="shared" si="25"/>
        <v>904</v>
      </c>
      <c r="AK28" s="179">
        <f t="shared" si="26"/>
        <v>465</v>
      </c>
      <c r="AL28" s="180" t="e">
        <f>(AJ28/#REF!)*100</f>
        <v>#REF!</v>
      </c>
      <c r="AM28" s="347">
        <f t="shared" si="27"/>
        <v>1177400</v>
      </c>
      <c r="AN28" s="347">
        <v>1178100</v>
      </c>
      <c r="AO28" s="352">
        <f t="shared" si="28"/>
        <v>700</v>
      </c>
      <c r="AP28" s="353">
        <f t="shared" si="29"/>
        <v>0</v>
      </c>
      <c r="AQ28" s="354" t="e">
        <f>(AO28/#REF!)*100</f>
        <v>#REF!</v>
      </c>
      <c r="AR28" s="169">
        <f t="shared" si="30"/>
        <v>2658900</v>
      </c>
      <c r="AS28" s="169">
        <v>2661000</v>
      </c>
      <c r="AT28" s="170">
        <f t="shared" si="31"/>
        <v>2100</v>
      </c>
      <c r="AU28" s="179">
        <f t="shared" si="32"/>
        <v>100</v>
      </c>
      <c r="AV28" s="180" t="e">
        <f>(AT28/#REF!)*100</f>
        <v>#REF!</v>
      </c>
      <c r="AW28" s="347">
        <f t="shared" si="33"/>
        <v>57558</v>
      </c>
      <c r="AX28" s="347">
        <v>57895</v>
      </c>
      <c r="AY28" s="352">
        <f t="shared" si="34"/>
        <v>337</v>
      </c>
      <c r="AZ28" s="353">
        <f t="shared" si="35"/>
        <v>-65</v>
      </c>
      <c r="BA28" s="354" t="e">
        <f>(AY28/#REF!)*100</f>
        <v>#REF!</v>
      </c>
      <c r="BB28" s="169">
        <f t="shared" si="36"/>
        <v>1041600</v>
      </c>
      <c r="BC28" s="169">
        <v>1042000</v>
      </c>
      <c r="BD28" s="170">
        <f t="shared" si="37"/>
        <v>400</v>
      </c>
      <c r="BE28" s="179">
        <f t="shared" si="38"/>
        <v>-100</v>
      </c>
      <c r="BF28" s="180" t="e">
        <f>(BD28/#REF!)*100</f>
        <v>#REF!</v>
      </c>
      <c r="BG28" s="347">
        <f t="shared" si="39"/>
        <v>1105500</v>
      </c>
      <c r="BH28" s="347">
        <v>1105800</v>
      </c>
      <c r="BI28" s="352">
        <f t="shared" si="40"/>
        <v>300</v>
      </c>
      <c r="BJ28" s="353">
        <f t="shared" si="41"/>
        <v>0</v>
      </c>
      <c r="BK28" s="354" t="e">
        <f>(BI28/#REF!)*100</f>
        <v>#REF!</v>
      </c>
      <c r="BL28" s="169">
        <f t="shared" si="42"/>
        <v>1654100</v>
      </c>
      <c r="BM28" s="169">
        <v>1654600</v>
      </c>
      <c r="BN28" s="170">
        <f t="shared" si="43"/>
        <v>500</v>
      </c>
      <c r="BO28" s="179">
        <f t="shared" si="44"/>
        <v>-100</v>
      </c>
      <c r="BP28" s="180" t="e">
        <f>(BN28/#REF!)*100</f>
        <v>#REF!</v>
      </c>
      <c r="BQ28" s="347">
        <f t="shared" si="45"/>
        <v>152440</v>
      </c>
      <c r="BR28" s="347">
        <v>152540</v>
      </c>
      <c r="BS28" s="352">
        <f t="shared" si="46"/>
        <v>100</v>
      </c>
      <c r="BT28" s="353">
        <f t="shared" si="47"/>
        <v>-30</v>
      </c>
      <c r="BU28" s="354" t="e">
        <f>(BS28/#REF!)*100</f>
        <v>#REF!</v>
      </c>
      <c r="BV28" s="169">
        <f t="shared" si="48"/>
        <v>631020</v>
      </c>
      <c r="BW28" s="169">
        <v>631370</v>
      </c>
      <c r="BX28" s="170">
        <f t="shared" si="49"/>
        <v>350</v>
      </c>
      <c r="BY28" s="179">
        <f t="shared" si="50"/>
        <v>-80</v>
      </c>
      <c r="BZ28" s="180" t="e">
        <f>(BX28/#REF!)*100</f>
        <v>#REF!</v>
      </c>
      <c r="CA28" s="347">
        <f t="shared" si="51"/>
        <v>1214200</v>
      </c>
      <c r="CB28" s="347">
        <v>1215300</v>
      </c>
      <c r="CC28" s="352">
        <f t="shared" si="52"/>
        <v>1100</v>
      </c>
      <c r="CD28" s="353">
        <f t="shared" si="53"/>
        <v>-200</v>
      </c>
      <c r="CE28" s="354" t="e">
        <f>(CC28/#REF!)*100</f>
        <v>#REF!</v>
      </c>
      <c r="CF28" s="169">
        <f t="shared" si="54"/>
        <v>402760</v>
      </c>
      <c r="CG28" s="169">
        <v>403200</v>
      </c>
      <c r="CH28" s="170">
        <f t="shared" si="55"/>
        <v>440</v>
      </c>
      <c r="CI28" s="179">
        <f t="shared" si="56"/>
        <v>-20</v>
      </c>
      <c r="CJ28" s="180" t="e">
        <f>(CH28/#REF!)*100</f>
        <v>#REF!</v>
      </c>
      <c r="CK28" s="170">
        <f t="shared" si="57"/>
        <v>925970</v>
      </c>
      <c r="CL28" s="170">
        <v>926730</v>
      </c>
      <c r="CM28" s="170">
        <f t="shared" si="58"/>
        <v>760</v>
      </c>
      <c r="CN28" s="179">
        <f t="shared" si="59"/>
        <v>-260</v>
      </c>
      <c r="CO28" s="180" t="e">
        <f>(CM28/#REF!)*100</f>
        <v>#REF!</v>
      </c>
      <c r="CP28" s="360">
        <f t="shared" si="110"/>
        <v>770940</v>
      </c>
      <c r="CQ28" s="360">
        <v>771670</v>
      </c>
      <c r="CR28" s="364">
        <f t="shared" si="109"/>
        <v>730</v>
      </c>
      <c r="CS28" s="365">
        <f t="shared" si="60"/>
        <v>-70</v>
      </c>
      <c r="CT28" s="366" t="e">
        <f>(CR28/#REF!)*100</f>
        <v>#REF!</v>
      </c>
      <c r="CU28" s="169">
        <f t="shared" si="61"/>
        <v>634500</v>
      </c>
      <c r="CV28" s="169">
        <v>635110</v>
      </c>
      <c r="CW28" s="170">
        <f t="shared" si="62"/>
        <v>610</v>
      </c>
      <c r="CX28" s="179">
        <f t="shared" si="63"/>
        <v>-150</v>
      </c>
      <c r="CY28" s="180" t="e">
        <f>(CW28/#REF!)*100</f>
        <v>#REF!</v>
      </c>
      <c r="CZ28" s="360">
        <f t="shared" si="64"/>
        <v>1060400</v>
      </c>
      <c r="DA28" s="360">
        <v>1061200</v>
      </c>
      <c r="DB28" s="368">
        <f t="shared" si="65"/>
        <v>800</v>
      </c>
      <c r="DC28" s="365">
        <f t="shared" si="66"/>
        <v>0</v>
      </c>
      <c r="DD28" s="366" t="e">
        <f>(DB28/#REF!)*100</f>
        <v>#REF!</v>
      </c>
      <c r="DE28" s="169">
        <f t="shared" si="67"/>
        <v>813950</v>
      </c>
      <c r="DF28" s="169">
        <v>814740</v>
      </c>
      <c r="DG28" s="170">
        <f t="shared" si="68"/>
        <v>790</v>
      </c>
      <c r="DH28" s="179">
        <f t="shared" si="69"/>
        <v>-90</v>
      </c>
      <c r="DI28" s="180" t="e">
        <f>(DG28/#REF!)*100</f>
        <v>#REF!</v>
      </c>
      <c r="DJ28" s="360">
        <f t="shared" si="70"/>
        <v>700080</v>
      </c>
      <c r="DK28" s="360">
        <v>700530</v>
      </c>
      <c r="DL28" s="368">
        <f t="shared" si="71"/>
        <v>450</v>
      </c>
      <c r="DM28" s="365">
        <f t="shared" si="72"/>
        <v>-70</v>
      </c>
      <c r="DN28" s="366" t="e">
        <f>(DL28/#REF!)*100</f>
        <v>#REF!</v>
      </c>
      <c r="DO28" s="169">
        <f t="shared" si="73"/>
        <v>379710</v>
      </c>
      <c r="DP28" s="169">
        <v>380030</v>
      </c>
      <c r="DQ28" s="170">
        <f t="shared" si="74"/>
        <v>320</v>
      </c>
      <c r="DR28" s="179">
        <f t="shared" si="75"/>
        <v>10</v>
      </c>
      <c r="DS28" s="180" t="e">
        <f>(DQ28/#REF!)*100</f>
        <v>#REF!</v>
      </c>
      <c r="DT28" s="360">
        <f t="shared" si="76"/>
        <v>129050</v>
      </c>
      <c r="DU28" s="360">
        <v>129160</v>
      </c>
      <c r="DV28" s="368">
        <f t="shared" si="77"/>
        <v>110</v>
      </c>
      <c r="DW28" s="365">
        <f t="shared" si="78"/>
        <v>-10</v>
      </c>
      <c r="DX28" s="366" t="e">
        <f>(DV28/#REF!)*100</f>
        <v>#REF!</v>
      </c>
      <c r="DY28" s="169">
        <f t="shared" si="79"/>
        <v>829910</v>
      </c>
      <c r="DZ28" s="169">
        <v>830910</v>
      </c>
      <c r="EA28" s="170">
        <f t="shared" si="80"/>
        <v>1000</v>
      </c>
      <c r="EB28" s="179">
        <f t="shared" si="81"/>
        <v>110</v>
      </c>
      <c r="EC28" s="180" t="e">
        <f>(EA28/#REF!)*100</f>
        <v>#REF!</v>
      </c>
      <c r="ED28" s="360">
        <f t="shared" si="82"/>
        <v>262420</v>
      </c>
      <c r="EE28" s="360">
        <v>262710</v>
      </c>
      <c r="EF28" s="368">
        <f t="shared" si="83"/>
        <v>290</v>
      </c>
      <c r="EG28" s="365">
        <f t="shared" si="84"/>
        <v>30</v>
      </c>
      <c r="EH28" s="366" t="e">
        <f>(EF28/#REF!)*100</f>
        <v>#REF!</v>
      </c>
      <c r="EI28" s="169">
        <f t="shared" si="85"/>
        <v>300410</v>
      </c>
      <c r="EJ28" s="169">
        <v>300790</v>
      </c>
      <c r="EK28" s="170">
        <f t="shared" si="86"/>
        <v>380</v>
      </c>
      <c r="EL28" s="179">
        <f t="shared" si="87"/>
        <v>50</v>
      </c>
      <c r="EM28" s="180" t="e">
        <f>(EK28/#REF!)*100</f>
        <v>#REF!</v>
      </c>
      <c r="EN28" s="360">
        <f t="shared" si="88"/>
        <v>485770</v>
      </c>
      <c r="EO28" s="360">
        <v>486300</v>
      </c>
      <c r="EP28" s="368">
        <f t="shared" si="89"/>
        <v>530</v>
      </c>
      <c r="EQ28" s="365">
        <f t="shared" si="90"/>
        <v>0</v>
      </c>
      <c r="ER28" s="366" t="e">
        <f>(EP28/#REF!)*100</f>
        <v>#REF!</v>
      </c>
      <c r="ES28" s="169">
        <f t="shared" si="91"/>
        <v>0</v>
      </c>
      <c r="ET28" s="169"/>
      <c r="EU28" s="170">
        <f t="shared" si="92"/>
        <v>0</v>
      </c>
      <c r="EV28" s="179">
        <f t="shared" si="93"/>
        <v>0</v>
      </c>
      <c r="EW28" s="180" t="e">
        <f>(EU28/#REF!)*100</f>
        <v>#REF!</v>
      </c>
      <c r="EX28" s="169">
        <f t="shared" si="94"/>
        <v>0</v>
      </c>
      <c r="EY28" s="169"/>
      <c r="EZ28" s="170">
        <f t="shared" si="95"/>
        <v>0</v>
      </c>
      <c r="FA28" s="179">
        <f t="shared" si="96"/>
        <v>0</v>
      </c>
      <c r="FB28" s="180" t="e">
        <f>(EZ28/#REF!)*100</f>
        <v>#REF!</v>
      </c>
      <c r="FC28" s="169">
        <f t="shared" si="97"/>
        <v>0</v>
      </c>
      <c r="FD28" s="169"/>
      <c r="FE28" s="170">
        <f t="shared" si="98"/>
        <v>0</v>
      </c>
      <c r="FF28" s="179">
        <f t="shared" si="99"/>
        <v>0</v>
      </c>
      <c r="FG28" s="180" t="e">
        <f>(FE28/#REF!)*100</f>
        <v>#REF!</v>
      </c>
      <c r="FH28" s="241"/>
      <c r="FI28" s="241"/>
      <c r="FJ28" s="241"/>
      <c r="FK28" s="241"/>
      <c r="FL28" s="241"/>
      <c r="FM28" s="169">
        <f t="shared" si="100"/>
        <v>0</v>
      </c>
      <c r="FN28" s="169"/>
      <c r="FO28" s="170">
        <f t="shared" si="101"/>
        <v>0</v>
      </c>
      <c r="FP28" s="179">
        <f t="shared" si="102"/>
        <v>0</v>
      </c>
      <c r="FQ28" s="180" t="e">
        <f>(FO28/#REF!)*100</f>
        <v>#REF!</v>
      </c>
      <c r="FR28" s="169">
        <f t="shared" si="103"/>
        <v>0</v>
      </c>
      <c r="FS28" s="169"/>
      <c r="FT28" s="170">
        <f t="shared" si="104"/>
        <v>0</v>
      </c>
      <c r="FU28" s="179">
        <f t="shared" si="105"/>
        <v>0</v>
      </c>
      <c r="FV28" s="180" t="e">
        <f>(FT28/#REF!)*100</f>
        <v>#REF!</v>
      </c>
      <c r="FW28" s="169">
        <f t="shared" si="106"/>
        <v>0</v>
      </c>
      <c r="FX28" s="169"/>
      <c r="FY28" s="170">
        <f t="shared" si="107"/>
        <v>0</v>
      </c>
      <c r="FZ28" s="179">
        <f t="shared" si="108"/>
        <v>0</v>
      </c>
      <c r="GA28" s="180" t="e">
        <f>(FY28/#REF!)*100</f>
        <v>#REF!</v>
      </c>
      <c r="GB28" s="219"/>
      <c r="GC28" s="225">
        <f t="shared" si="1"/>
        <v>7129</v>
      </c>
      <c r="GD28" s="223"/>
      <c r="GE28" s="225">
        <f t="shared" si="2"/>
        <v>6999</v>
      </c>
      <c r="GF28" s="223"/>
      <c r="GG28" s="225">
        <f t="shared" si="3"/>
        <v>2800</v>
      </c>
      <c r="GH28" s="223"/>
      <c r="GI28" s="225">
        <f t="shared" si="4"/>
        <v>1037</v>
      </c>
      <c r="GJ28" s="223"/>
      <c r="GK28" s="225">
        <f t="shared" si="5"/>
        <v>600</v>
      </c>
      <c r="GL28" s="223"/>
      <c r="GM28" s="225">
        <f t="shared" si="6"/>
        <v>0</v>
      </c>
      <c r="GN28" s="223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</row>
    <row r="29" spans="1:1105" s="3" customFormat="1" ht="13.5" customHeight="1">
      <c r="A29" s="213">
        <v>25</v>
      </c>
      <c r="B29" s="216" t="e">
        <f>#REF!</f>
        <v>#REF!</v>
      </c>
      <c r="C29" s="211">
        <f t="shared" si="7"/>
        <v>27510720</v>
      </c>
      <c r="D29" s="167">
        <v>27514322</v>
      </c>
      <c r="E29" s="168">
        <f t="shared" si="8"/>
        <v>3602</v>
      </c>
      <c r="F29" s="175">
        <f t="shared" si="9"/>
        <v>-10</v>
      </c>
      <c r="G29" s="176" t="e">
        <f>(E29/#REF!)*100</f>
        <v>#REF!</v>
      </c>
      <c r="H29" s="186">
        <f t="shared" si="10"/>
        <v>25458503</v>
      </c>
      <c r="I29" s="167">
        <v>25462381</v>
      </c>
      <c r="J29" s="167">
        <f t="shared" si="11"/>
        <v>3878</v>
      </c>
      <c r="K29" s="187">
        <f t="shared" si="12"/>
        <v>361</v>
      </c>
      <c r="L29" s="188" t="e">
        <f>(J29/#REF!)*100</f>
        <v>#REF!</v>
      </c>
      <c r="M29" s="172">
        <f t="shared" si="13"/>
        <v>93457548</v>
      </c>
      <c r="N29" s="169">
        <v>93468552</v>
      </c>
      <c r="O29" s="170">
        <f t="shared" si="14"/>
        <v>11004</v>
      </c>
      <c r="P29" s="179">
        <f t="shared" si="15"/>
        <v>262</v>
      </c>
      <c r="Q29" s="180" t="e">
        <f>(O29/#REF!)*100</f>
        <v>#REF!</v>
      </c>
      <c r="R29" s="351">
        <f t="shared" si="16"/>
        <v>3342200</v>
      </c>
      <c r="S29" s="347">
        <v>3344400</v>
      </c>
      <c r="T29" s="352">
        <f t="shared" si="17"/>
        <v>2200</v>
      </c>
      <c r="U29" s="353">
        <f t="shared" si="18"/>
        <v>100</v>
      </c>
      <c r="V29" s="354" t="e">
        <f>(T29/#REF!)*100</f>
        <v>#REF!</v>
      </c>
      <c r="W29" s="169">
        <f t="shared" si="19"/>
        <v>4472903</v>
      </c>
      <c r="X29" s="169">
        <v>4475664</v>
      </c>
      <c r="Y29" s="170">
        <f t="shared" si="20"/>
        <v>2761</v>
      </c>
      <c r="Z29" s="179">
        <f t="shared" si="21"/>
        <v>62</v>
      </c>
      <c r="AA29" s="180" t="e">
        <f>(Y29/#REF!)*100</f>
        <v>#REF!</v>
      </c>
      <c r="AB29" s="347">
        <f t="shared" si="22"/>
        <v>2905000</v>
      </c>
      <c r="AC29" s="347">
        <v>2906600</v>
      </c>
      <c r="AD29" s="352">
        <f t="shared" si="0"/>
        <v>1600</v>
      </c>
      <c r="AE29" s="357">
        <f>AD29/WATER!V30</f>
        <v>5.0314465408805029</v>
      </c>
      <c r="AF29" s="353">
        <f t="shared" si="23"/>
        <v>0</v>
      </c>
      <c r="AG29" s="354" t="e">
        <f>(AD29/#REF!)*100</f>
        <v>#REF!</v>
      </c>
      <c r="AH29" s="169">
        <f t="shared" si="24"/>
        <v>1145508</v>
      </c>
      <c r="AI29" s="169">
        <v>1145531</v>
      </c>
      <c r="AJ29" s="170">
        <f t="shared" si="25"/>
        <v>23</v>
      </c>
      <c r="AK29" s="179">
        <f t="shared" si="26"/>
        <v>-881</v>
      </c>
      <c r="AL29" s="180" t="e">
        <f>(AJ29/#REF!)*100</f>
        <v>#REF!</v>
      </c>
      <c r="AM29" s="347">
        <f t="shared" si="27"/>
        <v>1178100</v>
      </c>
      <c r="AN29" s="347">
        <v>1178800</v>
      </c>
      <c r="AO29" s="352">
        <f t="shared" si="28"/>
        <v>700</v>
      </c>
      <c r="AP29" s="353">
        <f t="shared" si="29"/>
        <v>0</v>
      </c>
      <c r="AQ29" s="354" t="e">
        <f>(AO29/#REF!)*100</f>
        <v>#REF!</v>
      </c>
      <c r="AR29" s="169">
        <f t="shared" si="30"/>
        <v>2661000</v>
      </c>
      <c r="AS29" s="169">
        <v>2662700</v>
      </c>
      <c r="AT29" s="170">
        <f t="shared" si="31"/>
        <v>1700</v>
      </c>
      <c r="AU29" s="179">
        <f t="shared" si="32"/>
        <v>-400</v>
      </c>
      <c r="AV29" s="180" t="e">
        <f>(AT29/#REF!)*100</f>
        <v>#REF!</v>
      </c>
      <c r="AW29" s="347">
        <f t="shared" si="33"/>
        <v>57895</v>
      </c>
      <c r="AX29" s="347">
        <v>58251</v>
      </c>
      <c r="AY29" s="352">
        <f t="shared" si="34"/>
        <v>356</v>
      </c>
      <c r="AZ29" s="353">
        <f t="shared" si="35"/>
        <v>19</v>
      </c>
      <c r="BA29" s="354" t="e">
        <f>(AY29/#REF!)*100</f>
        <v>#REF!</v>
      </c>
      <c r="BB29" s="169">
        <f t="shared" si="36"/>
        <v>1042000</v>
      </c>
      <c r="BC29" s="169">
        <v>1042400</v>
      </c>
      <c r="BD29" s="170">
        <f t="shared" si="37"/>
        <v>400</v>
      </c>
      <c r="BE29" s="179">
        <f t="shared" si="38"/>
        <v>0</v>
      </c>
      <c r="BF29" s="180" t="e">
        <f>(BD29/#REF!)*100</f>
        <v>#REF!</v>
      </c>
      <c r="BG29" s="347">
        <f t="shared" si="39"/>
        <v>1105800</v>
      </c>
      <c r="BH29" s="347">
        <v>1106100</v>
      </c>
      <c r="BI29" s="352">
        <f t="shared" si="40"/>
        <v>300</v>
      </c>
      <c r="BJ29" s="353">
        <f t="shared" si="41"/>
        <v>0</v>
      </c>
      <c r="BK29" s="354" t="e">
        <f>(BI29/#REF!)*100</f>
        <v>#REF!</v>
      </c>
      <c r="BL29" s="169">
        <f t="shared" si="42"/>
        <v>1654600</v>
      </c>
      <c r="BM29" s="169">
        <v>1655100</v>
      </c>
      <c r="BN29" s="170">
        <f t="shared" si="43"/>
        <v>500</v>
      </c>
      <c r="BO29" s="179">
        <f t="shared" si="44"/>
        <v>0</v>
      </c>
      <c r="BP29" s="180" t="e">
        <f>(BN29/#REF!)*100</f>
        <v>#REF!</v>
      </c>
      <c r="BQ29" s="347">
        <f t="shared" si="45"/>
        <v>152540</v>
      </c>
      <c r="BR29" s="347">
        <v>152660</v>
      </c>
      <c r="BS29" s="352">
        <f t="shared" si="46"/>
        <v>120</v>
      </c>
      <c r="BT29" s="353">
        <f t="shared" si="47"/>
        <v>20</v>
      </c>
      <c r="BU29" s="354" t="e">
        <f>(BS29/#REF!)*100</f>
        <v>#REF!</v>
      </c>
      <c r="BV29" s="169">
        <f t="shared" si="48"/>
        <v>631370</v>
      </c>
      <c r="BW29" s="169">
        <v>631700</v>
      </c>
      <c r="BX29" s="170">
        <f t="shared" si="49"/>
        <v>330</v>
      </c>
      <c r="BY29" s="179">
        <f t="shared" si="50"/>
        <v>-20</v>
      </c>
      <c r="BZ29" s="180" t="e">
        <f>(BX29/#REF!)*100</f>
        <v>#REF!</v>
      </c>
      <c r="CA29" s="347">
        <f t="shared" si="51"/>
        <v>1215300</v>
      </c>
      <c r="CB29" s="347">
        <v>1216500</v>
      </c>
      <c r="CC29" s="352">
        <f t="shared" si="52"/>
        <v>1200</v>
      </c>
      <c r="CD29" s="353">
        <f t="shared" si="53"/>
        <v>100</v>
      </c>
      <c r="CE29" s="354" t="e">
        <f>(CC29/#REF!)*100</f>
        <v>#REF!</v>
      </c>
      <c r="CF29" s="169">
        <f t="shared" si="54"/>
        <v>403200</v>
      </c>
      <c r="CG29" s="169">
        <v>403650</v>
      </c>
      <c r="CH29" s="170">
        <f t="shared" si="55"/>
        <v>450</v>
      </c>
      <c r="CI29" s="179">
        <f t="shared" si="56"/>
        <v>10</v>
      </c>
      <c r="CJ29" s="180" t="e">
        <f>(CH29/#REF!)*100</f>
        <v>#REF!</v>
      </c>
      <c r="CK29" s="170">
        <f t="shared" si="57"/>
        <v>926730</v>
      </c>
      <c r="CL29" s="170">
        <v>927520</v>
      </c>
      <c r="CM29" s="170">
        <f t="shared" si="58"/>
        <v>790</v>
      </c>
      <c r="CN29" s="179">
        <f t="shared" si="59"/>
        <v>30</v>
      </c>
      <c r="CO29" s="180" t="e">
        <f>(CM29/#REF!)*100</f>
        <v>#REF!</v>
      </c>
      <c r="CP29" s="360">
        <f t="shared" si="110"/>
        <v>771670</v>
      </c>
      <c r="CQ29" s="360">
        <v>772410</v>
      </c>
      <c r="CR29" s="364">
        <f t="shared" si="109"/>
        <v>740</v>
      </c>
      <c r="CS29" s="365">
        <f t="shared" si="60"/>
        <v>10</v>
      </c>
      <c r="CT29" s="366" t="e">
        <f>(CR29/#REF!)*100</f>
        <v>#REF!</v>
      </c>
      <c r="CU29" s="169">
        <f t="shared" si="61"/>
        <v>635110</v>
      </c>
      <c r="CV29" s="169">
        <v>635780</v>
      </c>
      <c r="CW29" s="170">
        <f t="shared" si="62"/>
        <v>670</v>
      </c>
      <c r="CX29" s="179">
        <f t="shared" si="63"/>
        <v>60</v>
      </c>
      <c r="CY29" s="180" t="e">
        <f>(CW29/#REF!)*100</f>
        <v>#REF!</v>
      </c>
      <c r="CZ29" s="360">
        <f t="shared" si="64"/>
        <v>1061200</v>
      </c>
      <c r="DA29" s="360">
        <v>1062100</v>
      </c>
      <c r="DB29" s="368">
        <f t="shared" si="65"/>
        <v>900</v>
      </c>
      <c r="DC29" s="365">
        <f t="shared" si="66"/>
        <v>100</v>
      </c>
      <c r="DD29" s="366" t="e">
        <f>(DB29/#REF!)*100</f>
        <v>#REF!</v>
      </c>
      <c r="DE29" s="169">
        <f t="shared" si="67"/>
        <v>814740</v>
      </c>
      <c r="DF29" s="169">
        <v>815510</v>
      </c>
      <c r="DG29" s="170">
        <f t="shared" si="68"/>
        <v>770</v>
      </c>
      <c r="DH29" s="179">
        <f t="shared" si="69"/>
        <v>-20</v>
      </c>
      <c r="DI29" s="180" t="e">
        <f>(DG29/#REF!)*100</f>
        <v>#REF!</v>
      </c>
      <c r="DJ29" s="360">
        <f t="shared" si="70"/>
        <v>700530</v>
      </c>
      <c r="DK29" s="360">
        <v>701020</v>
      </c>
      <c r="DL29" s="368">
        <f t="shared" si="71"/>
        <v>490</v>
      </c>
      <c r="DM29" s="365">
        <f t="shared" si="72"/>
        <v>40</v>
      </c>
      <c r="DN29" s="366" t="e">
        <f>(DL29/#REF!)*100</f>
        <v>#REF!</v>
      </c>
      <c r="DO29" s="169">
        <f t="shared" si="73"/>
        <v>380030</v>
      </c>
      <c r="DP29" s="169">
        <v>380340</v>
      </c>
      <c r="DQ29" s="170">
        <f t="shared" si="74"/>
        <v>310</v>
      </c>
      <c r="DR29" s="179">
        <f t="shared" si="75"/>
        <v>-10</v>
      </c>
      <c r="DS29" s="180" t="e">
        <f>(DQ29/#REF!)*100</f>
        <v>#REF!</v>
      </c>
      <c r="DT29" s="360">
        <f t="shared" si="76"/>
        <v>129160</v>
      </c>
      <c r="DU29" s="360">
        <v>129270</v>
      </c>
      <c r="DV29" s="368">
        <f t="shared" si="77"/>
        <v>110</v>
      </c>
      <c r="DW29" s="365">
        <f t="shared" si="78"/>
        <v>0</v>
      </c>
      <c r="DX29" s="366" t="e">
        <f>(DV29/#REF!)*100</f>
        <v>#REF!</v>
      </c>
      <c r="DY29" s="169">
        <f t="shared" si="79"/>
        <v>830910</v>
      </c>
      <c r="DZ29" s="169">
        <v>831830</v>
      </c>
      <c r="EA29" s="170">
        <f t="shared" si="80"/>
        <v>920</v>
      </c>
      <c r="EB29" s="179">
        <f t="shared" si="81"/>
        <v>-80</v>
      </c>
      <c r="EC29" s="180" t="e">
        <f>(EA29/#REF!)*100</f>
        <v>#REF!</v>
      </c>
      <c r="ED29" s="360">
        <f t="shared" si="82"/>
        <v>262710</v>
      </c>
      <c r="EE29" s="360">
        <v>262980</v>
      </c>
      <c r="EF29" s="368">
        <f t="shared" si="83"/>
        <v>270</v>
      </c>
      <c r="EG29" s="365">
        <f t="shared" si="84"/>
        <v>-20</v>
      </c>
      <c r="EH29" s="366" t="e">
        <f>(EF29/#REF!)*100</f>
        <v>#REF!</v>
      </c>
      <c r="EI29" s="169">
        <f t="shared" si="85"/>
        <v>300790</v>
      </c>
      <c r="EJ29" s="169">
        <v>301160</v>
      </c>
      <c r="EK29" s="170">
        <f t="shared" si="86"/>
        <v>370</v>
      </c>
      <c r="EL29" s="179">
        <f t="shared" si="87"/>
        <v>-10</v>
      </c>
      <c r="EM29" s="180" t="e">
        <f>(EK29/#REF!)*100</f>
        <v>#REF!</v>
      </c>
      <c r="EN29" s="360">
        <f t="shared" si="88"/>
        <v>486300</v>
      </c>
      <c r="EO29" s="360">
        <v>486800</v>
      </c>
      <c r="EP29" s="368">
        <f t="shared" si="89"/>
        <v>500</v>
      </c>
      <c r="EQ29" s="365">
        <f t="shared" si="90"/>
        <v>-30</v>
      </c>
      <c r="ER29" s="366" t="e">
        <f>(EP29/#REF!)*100</f>
        <v>#REF!</v>
      </c>
      <c r="ES29" s="169">
        <f t="shared" si="91"/>
        <v>0</v>
      </c>
      <c r="ET29" s="169"/>
      <c r="EU29" s="170">
        <f t="shared" si="92"/>
        <v>0</v>
      </c>
      <c r="EV29" s="179">
        <f t="shared" si="93"/>
        <v>0</v>
      </c>
      <c r="EW29" s="180" t="e">
        <f>(EU29/#REF!)*100</f>
        <v>#REF!</v>
      </c>
      <c r="EX29" s="169">
        <f t="shared" si="94"/>
        <v>0</v>
      </c>
      <c r="EY29" s="169"/>
      <c r="EZ29" s="170">
        <f t="shared" si="95"/>
        <v>0</v>
      </c>
      <c r="FA29" s="179">
        <f t="shared" si="96"/>
        <v>0</v>
      </c>
      <c r="FB29" s="180" t="e">
        <f>(EZ29/#REF!)*100</f>
        <v>#REF!</v>
      </c>
      <c r="FC29" s="169">
        <f t="shared" si="97"/>
        <v>0</v>
      </c>
      <c r="FD29" s="169"/>
      <c r="FE29" s="170">
        <f t="shared" si="98"/>
        <v>0</v>
      </c>
      <c r="FF29" s="179">
        <f t="shared" si="99"/>
        <v>0</v>
      </c>
      <c r="FG29" s="180" t="e">
        <f>(FE29/#REF!)*100</f>
        <v>#REF!</v>
      </c>
      <c r="FH29" s="241"/>
      <c r="FI29" s="241"/>
      <c r="FJ29" s="241"/>
      <c r="FK29" s="241"/>
      <c r="FL29" s="241"/>
      <c r="FM29" s="169">
        <f t="shared" si="100"/>
        <v>0</v>
      </c>
      <c r="FN29" s="169"/>
      <c r="FO29" s="170">
        <f t="shared" si="101"/>
        <v>0</v>
      </c>
      <c r="FP29" s="179">
        <f t="shared" si="102"/>
        <v>0</v>
      </c>
      <c r="FQ29" s="180" t="e">
        <f>(FO29/#REF!)*100</f>
        <v>#REF!</v>
      </c>
      <c r="FR29" s="169">
        <f t="shared" si="103"/>
        <v>0</v>
      </c>
      <c r="FS29" s="169"/>
      <c r="FT29" s="170">
        <f t="shared" si="104"/>
        <v>0</v>
      </c>
      <c r="FU29" s="179">
        <f t="shared" si="105"/>
        <v>0</v>
      </c>
      <c r="FV29" s="180" t="e">
        <f>(FT29/#REF!)*100</f>
        <v>#REF!</v>
      </c>
      <c r="FW29" s="169">
        <f t="shared" si="106"/>
        <v>0</v>
      </c>
      <c r="FX29" s="169"/>
      <c r="FY29" s="170">
        <f t="shared" si="107"/>
        <v>0</v>
      </c>
      <c r="FZ29" s="179">
        <f t="shared" si="108"/>
        <v>0</v>
      </c>
      <c r="GA29" s="180" t="e">
        <f>(FY29/#REF!)*100</f>
        <v>#REF!</v>
      </c>
      <c r="GB29" s="219"/>
      <c r="GC29" s="225">
        <f t="shared" si="1"/>
        <v>7480</v>
      </c>
      <c r="GD29" s="222"/>
      <c r="GE29" s="225">
        <f t="shared" si="2"/>
        <v>7021</v>
      </c>
      <c r="GF29" s="222"/>
      <c r="GG29" s="225">
        <f t="shared" si="3"/>
        <v>2400</v>
      </c>
      <c r="GH29" s="222"/>
      <c r="GI29" s="225">
        <f t="shared" si="4"/>
        <v>1056</v>
      </c>
      <c r="GJ29" s="222"/>
      <c r="GK29" s="225">
        <f t="shared" si="5"/>
        <v>620</v>
      </c>
      <c r="GL29" s="222"/>
      <c r="GM29" s="225">
        <f t="shared" si="6"/>
        <v>0</v>
      </c>
      <c r="GN29" s="222"/>
    </row>
    <row r="30" spans="1:1105" s="3" customFormat="1" ht="13.5" customHeight="1">
      <c r="A30" s="213">
        <v>26</v>
      </c>
      <c r="B30" s="216" t="e">
        <f>#REF!</f>
        <v>#REF!</v>
      </c>
      <c r="C30" s="211">
        <f t="shared" si="7"/>
        <v>27514322</v>
      </c>
      <c r="D30" s="167">
        <v>27517692</v>
      </c>
      <c r="E30" s="168">
        <f t="shared" si="8"/>
        <v>3370</v>
      </c>
      <c r="F30" s="175">
        <f t="shared" si="9"/>
        <v>-232</v>
      </c>
      <c r="G30" s="176" t="e">
        <f>(E30/#REF!)*100</f>
        <v>#REF!</v>
      </c>
      <c r="H30" s="186">
        <f t="shared" si="10"/>
        <v>25462381</v>
      </c>
      <c r="I30" s="167">
        <v>25466184</v>
      </c>
      <c r="J30" s="167">
        <f t="shared" si="11"/>
        <v>3803</v>
      </c>
      <c r="K30" s="187">
        <f t="shared" si="12"/>
        <v>-75</v>
      </c>
      <c r="L30" s="188" t="e">
        <f>(J30/#REF!)*100</f>
        <v>#REF!</v>
      </c>
      <c r="M30" s="172">
        <f t="shared" si="13"/>
        <v>93468552</v>
      </c>
      <c r="N30" s="169">
        <v>93479196</v>
      </c>
      <c r="O30" s="170">
        <f t="shared" si="14"/>
        <v>10644</v>
      </c>
      <c r="P30" s="179">
        <f t="shared" si="15"/>
        <v>-360</v>
      </c>
      <c r="Q30" s="180" t="e">
        <f>(O30/#REF!)*100</f>
        <v>#REF!</v>
      </c>
      <c r="R30" s="351">
        <f t="shared" si="16"/>
        <v>3344400</v>
      </c>
      <c r="S30" s="347">
        <v>3346500</v>
      </c>
      <c r="T30" s="352">
        <f t="shared" si="17"/>
        <v>2100</v>
      </c>
      <c r="U30" s="353">
        <f t="shared" si="18"/>
        <v>-100</v>
      </c>
      <c r="V30" s="354" t="e">
        <f>(T30/#REF!)*100</f>
        <v>#REF!</v>
      </c>
      <c r="W30" s="169">
        <f t="shared" si="19"/>
        <v>4475664</v>
      </c>
      <c r="X30" s="169">
        <v>4478514</v>
      </c>
      <c r="Y30" s="170">
        <f t="shared" si="20"/>
        <v>2850</v>
      </c>
      <c r="Z30" s="179">
        <f t="shared" si="21"/>
        <v>89</v>
      </c>
      <c r="AA30" s="180" t="e">
        <f>(Y30/#REF!)*100</f>
        <v>#REF!</v>
      </c>
      <c r="AB30" s="347">
        <f t="shared" si="22"/>
        <v>2906600</v>
      </c>
      <c r="AC30" s="347">
        <v>2908200</v>
      </c>
      <c r="AD30" s="352">
        <f t="shared" si="0"/>
        <v>1600</v>
      </c>
      <c r="AE30" s="357">
        <f>AD30/WATER!V31</f>
        <v>5.5363321799307954</v>
      </c>
      <c r="AF30" s="353">
        <f t="shared" si="23"/>
        <v>0</v>
      </c>
      <c r="AG30" s="354" t="e">
        <f>(AD30/#REF!)*100</f>
        <v>#REF!</v>
      </c>
      <c r="AH30" s="169">
        <f t="shared" si="24"/>
        <v>1145531</v>
      </c>
      <c r="AI30" s="169">
        <v>1146033</v>
      </c>
      <c r="AJ30" s="170">
        <f t="shared" si="25"/>
        <v>502</v>
      </c>
      <c r="AK30" s="179">
        <f t="shared" si="26"/>
        <v>479</v>
      </c>
      <c r="AL30" s="180" t="e">
        <f>(AJ30/#REF!)*100</f>
        <v>#REF!</v>
      </c>
      <c r="AM30" s="347">
        <f t="shared" si="27"/>
        <v>1178800</v>
      </c>
      <c r="AN30" s="347">
        <v>1179500</v>
      </c>
      <c r="AO30" s="352">
        <f t="shared" si="28"/>
        <v>700</v>
      </c>
      <c r="AP30" s="353">
        <f t="shared" si="29"/>
        <v>0</v>
      </c>
      <c r="AQ30" s="354" t="e">
        <f>(AO30/#REF!)*100</f>
        <v>#REF!</v>
      </c>
      <c r="AR30" s="169">
        <f t="shared" si="30"/>
        <v>2662700</v>
      </c>
      <c r="AS30" s="169">
        <v>2664700</v>
      </c>
      <c r="AT30" s="170">
        <f t="shared" si="31"/>
        <v>2000</v>
      </c>
      <c r="AU30" s="179">
        <f t="shared" si="32"/>
        <v>300</v>
      </c>
      <c r="AV30" s="180" t="e">
        <f>(AT30/#REF!)*100</f>
        <v>#REF!</v>
      </c>
      <c r="AW30" s="347">
        <f t="shared" si="33"/>
        <v>58251</v>
      </c>
      <c r="AX30" s="347">
        <v>58607</v>
      </c>
      <c r="AY30" s="352">
        <f t="shared" si="34"/>
        <v>356</v>
      </c>
      <c r="AZ30" s="353">
        <f t="shared" si="35"/>
        <v>0</v>
      </c>
      <c r="BA30" s="354" t="e">
        <f>(AY30/#REF!)*100</f>
        <v>#REF!</v>
      </c>
      <c r="BB30" s="169">
        <f t="shared" si="36"/>
        <v>1042400</v>
      </c>
      <c r="BC30" s="169">
        <v>1042700</v>
      </c>
      <c r="BD30" s="170">
        <f t="shared" si="37"/>
        <v>300</v>
      </c>
      <c r="BE30" s="179">
        <f t="shared" si="38"/>
        <v>-100</v>
      </c>
      <c r="BF30" s="180" t="e">
        <f>(BD30/#REF!)*100</f>
        <v>#REF!</v>
      </c>
      <c r="BG30" s="347">
        <f t="shared" si="39"/>
        <v>1106100</v>
      </c>
      <c r="BH30" s="347">
        <v>1106300</v>
      </c>
      <c r="BI30" s="352">
        <f t="shared" si="40"/>
        <v>200</v>
      </c>
      <c r="BJ30" s="353">
        <f t="shared" si="41"/>
        <v>-100</v>
      </c>
      <c r="BK30" s="354" t="e">
        <f>(BI30/#REF!)*100</f>
        <v>#REF!</v>
      </c>
      <c r="BL30" s="169">
        <f t="shared" si="42"/>
        <v>1655100</v>
      </c>
      <c r="BM30" s="169">
        <v>1655700</v>
      </c>
      <c r="BN30" s="170">
        <f t="shared" si="43"/>
        <v>600</v>
      </c>
      <c r="BO30" s="179">
        <f t="shared" si="44"/>
        <v>100</v>
      </c>
      <c r="BP30" s="180" t="e">
        <f>(BN30/#REF!)*100</f>
        <v>#REF!</v>
      </c>
      <c r="BQ30" s="347">
        <f t="shared" si="45"/>
        <v>152660</v>
      </c>
      <c r="BR30" s="347">
        <v>152780</v>
      </c>
      <c r="BS30" s="352">
        <f t="shared" si="46"/>
        <v>120</v>
      </c>
      <c r="BT30" s="353">
        <f t="shared" si="47"/>
        <v>0</v>
      </c>
      <c r="BU30" s="354" t="e">
        <f>(BS30/#REF!)*100</f>
        <v>#REF!</v>
      </c>
      <c r="BV30" s="169">
        <f t="shared" si="48"/>
        <v>631700</v>
      </c>
      <c r="BW30" s="169">
        <v>632020</v>
      </c>
      <c r="BX30" s="170">
        <f t="shared" si="49"/>
        <v>320</v>
      </c>
      <c r="BY30" s="179">
        <f t="shared" si="50"/>
        <v>-10</v>
      </c>
      <c r="BZ30" s="180" t="e">
        <f>(BX30/#REF!)*100</f>
        <v>#REF!</v>
      </c>
      <c r="CA30" s="347">
        <f t="shared" si="51"/>
        <v>1216500</v>
      </c>
      <c r="CB30" s="347">
        <v>1217600</v>
      </c>
      <c r="CC30" s="352">
        <f t="shared" si="52"/>
        <v>1100</v>
      </c>
      <c r="CD30" s="353">
        <f t="shared" si="53"/>
        <v>-100</v>
      </c>
      <c r="CE30" s="354" t="e">
        <f>(CC30/#REF!)*100</f>
        <v>#REF!</v>
      </c>
      <c r="CF30" s="169">
        <f t="shared" si="54"/>
        <v>403650</v>
      </c>
      <c r="CG30" s="169">
        <v>404050</v>
      </c>
      <c r="CH30" s="170">
        <f t="shared" si="55"/>
        <v>400</v>
      </c>
      <c r="CI30" s="179">
        <f t="shared" si="56"/>
        <v>-50</v>
      </c>
      <c r="CJ30" s="180" t="e">
        <f>(CH30/#REF!)*100</f>
        <v>#REF!</v>
      </c>
      <c r="CK30" s="170">
        <f t="shared" si="57"/>
        <v>927520</v>
      </c>
      <c r="CL30" s="170">
        <v>928420</v>
      </c>
      <c r="CM30" s="170">
        <f t="shared" si="58"/>
        <v>900</v>
      </c>
      <c r="CN30" s="179">
        <f t="shared" si="59"/>
        <v>110</v>
      </c>
      <c r="CO30" s="180" t="e">
        <f>(CM30/#REF!)*100</f>
        <v>#REF!</v>
      </c>
      <c r="CP30" s="360">
        <f t="shared" si="110"/>
        <v>772410</v>
      </c>
      <c r="CQ30" s="360">
        <v>773030</v>
      </c>
      <c r="CR30" s="364">
        <f t="shared" si="109"/>
        <v>620</v>
      </c>
      <c r="CS30" s="365">
        <f t="shared" si="60"/>
        <v>-120</v>
      </c>
      <c r="CT30" s="366" t="e">
        <f>(CR30/#REF!)*100</f>
        <v>#REF!</v>
      </c>
      <c r="CU30" s="169">
        <f t="shared" si="61"/>
        <v>635780</v>
      </c>
      <c r="CV30" s="169">
        <v>636400</v>
      </c>
      <c r="CW30" s="170">
        <f t="shared" si="62"/>
        <v>620</v>
      </c>
      <c r="CX30" s="179">
        <f t="shared" si="63"/>
        <v>-50</v>
      </c>
      <c r="CY30" s="180" t="e">
        <f>(CW30/#REF!)*100</f>
        <v>#REF!</v>
      </c>
      <c r="CZ30" s="360">
        <f t="shared" si="64"/>
        <v>1062100</v>
      </c>
      <c r="DA30" s="360">
        <v>1063100</v>
      </c>
      <c r="DB30" s="368">
        <v>100</v>
      </c>
      <c r="DC30" s="365">
        <f t="shared" si="66"/>
        <v>-800</v>
      </c>
      <c r="DD30" s="366" t="e">
        <f>(DB30/#REF!)*100</f>
        <v>#REF!</v>
      </c>
      <c r="DE30" s="169">
        <f t="shared" si="67"/>
        <v>815510</v>
      </c>
      <c r="DF30" s="169">
        <v>816220</v>
      </c>
      <c r="DG30" s="170">
        <f t="shared" si="68"/>
        <v>710</v>
      </c>
      <c r="DH30" s="179">
        <f t="shared" si="69"/>
        <v>-60</v>
      </c>
      <c r="DI30" s="180" t="e">
        <f>(DG30/#REF!)*100</f>
        <v>#REF!</v>
      </c>
      <c r="DJ30" s="360">
        <f t="shared" si="70"/>
        <v>701020</v>
      </c>
      <c r="DK30" s="360">
        <v>701620</v>
      </c>
      <c r="DL30" s="368">
        <f t="shared" si="71"/>
        <v>600</v>
      </c>
      <c r="DM30" s="365">
        <f t="shared" si="72"/>
        <v>110</v>
      </c>
      <c r="DN30" s="366" t="e">
        <f>(DL30/#REF!)*100</f>
        <v>#REF!</v>
      </c>
      <c r="DO30" s="169">
        <f t="shared" si="73"/>
        <v>380340</v>
      </c>
      <c r="DP30" s="169">
        <v>380670</v>
      </c>
      <c r="DQ30" s="170">
        <f t="shared" si="74"/>
        <v>330</v>
      </c>
      <c r="DR30" s="179">
        <f t="shared" si="75"/>
        <v>20</v>
      </c>
      <c r="DS30" s="180" t="e">
        <f>(DQ30/#REF!)*100</f>
        <v>#REF!</v>
      </c>
      <c r="DT30" s="360">
        <f t="shared" si="76"/>
        <v>129270</v>
      </c>
      <c r="DU30" s="360">
        <v>129390</v>
      </c>
      <c r="DV30" s="368">
        <f t="shared" si="77"/>
        <v>120</v>
      </c>
      <c r="DW30" s="365">
        <f t="shared" si="78"/>
        <v>10</v>
      </c>
      <c r="DX30" s="366" t="e">
        <f>(DV30/#REF!)*100</f>
        <v>#REF!</v>
      </c>
      <c r="DY30" s="169">
        <f t="shared" si="79"/>
        <v>831830</v>
      </c>
      <c r="DZ30" s="169">
        <v>832780</v>
      </c>
      <c r="EA30" s="170">
        <f t="shared" si="80"/>
        <v>950</v>
      </c>
      <c r="EB30" s="179">
        <f t="shared" si="81"/>
        <v>30</v>
      </c>
      <c r="EC30" s="180" t="e">
        <f>(EA30/#REF!)*100</f>
        <v>#REF!</v>
      </c>
      <c r="ED30" s="360">
        <f t="shared" si="82"/>
        <v>262980</v>
      </c>
      <c r="EE30" s="360">
        <v>263260</v>
      </c>
      <c r="EF30" s="368">
        <f t="shared" si="83"/>
        <v>280</v>
      </c>
      <c r="EG30" s="365">
        <f t="shared" si="84"/>
        <v>10</v>
      </c>
      <c r="EH30" s="366" t="e">
        <f>(EF30/#REF!)*100</f>
        <v>#REF!</v>
      </c>
      <c r="EI30" s="169">
        <f t="shared" si="85"/>
        <v>301160</v>
      </c>
      <c r="EJ30" s="169">
        <v>301610</v>
      </c>
      <c r="EK30" s="170">
        <f t="shared" si="86"/>
        <v>450</v>
      </c>
      <c r="EL30" s="179">
        <f t="shared" si="87"/>
        <v>80</v>
      </c>
      <c r="EM30" s="180" t="e">
        <f>(EK30/#REF!)*100</f>
        <v>#REF!</v>
      </c>
      <c r="EN30" s="360">
        <f t="shared" si="88"/>
        <v>486800</v>
      </c>
      <c r="EO30" s="360">
        <v>487350</v>
      </c>
      <c r="EP30" s="368">
        <f t="shared" si="89"/>
        <v>550</v>
      </c>
      <c r="EQ30" s="365">
        <f t="shared" si="90"/>
        <v>50</v>
      </c>
      <c r="ER30" s="366" t="e">
        <f>(EP30/#REF!)*100</f>
        <v>#REF!</v>
      </c>
      <c r="ES30" s="169">
        <f t="shared" si="91"/>
        <v>0</v>
      </c>
      <c r="ET30" s="169"/>
      <c r="EU30" s="170">
        <f t="shared" si="92"/>
        <v>0</v>
      </c>
      <c r="EV30" s="179">
        <f t="shared" si="93"/>
        <v>0</v>
      </c>
      <c r="EW30" s="180" t="e">
        <f>(EU30/#REF!)*100</f>
        <v>#REF!</v>
      </c>
      <c r="EX30" s="169">
        <f t="shared" si="94"/>
        <v>0</v>
      </c>
      <c r="EY30" s="169"/>
      <c r="EZ30" s="170">
        <f t="shared" si="95"/>
        <v>0</v>
      </c>
      <c r="FA30" s="179">
        <f t="shared" si="96"/>
        <v>0</v>
      </c>
      <c r="FB30" s="180" t="e">
        <f>(EZ30/#REF!)*100</f>
        <v>#REF!</v>
      </c>
      <c r="FC30" s="169">
        <f t="shared" si="97"/>
        <v>0</v>
      </c>
      <c r="FD30" s="169"/>
      <c r="FE30" s="170">
        <f t="shared" si="98"/>
        <v>0</v>
      </c>
      <c r="FF30" s="179">
        <f t="shared" si="99"/>
        <v>0</v>
      </c>
      <c r="FG30" s="180" t="e">
        <f>(FE30/#REF!)*100</f>
        <v>#REF!</v>
      </c>
      <c r="FH30" s="241"/>
      <c r="FI30" s="241"/>
      <c r="FJ30" s="241"/>
      <c r="FK30" s="241"/>
      <c r="FL30" s="241"/>
      <c r="FM30" s="169">
        <f t="shared" si="100"/>
        <v>0</v>
      </c>
      <c r="FN30" s="169"/>
      <c r="FO30" s="170">
        <f t="shared" si="101"/>
        <v>0</v>
      </c>
      <c r="FP30" s="179">
        <f t="shared" si="102"/>
        <v>0</v>
      </c>
      <c r="FQ30" s="180" t="e">
        <f>(FO30/#REF!)*100</f>
        <v>#REF!</v>
      </c>
      <c r="FR30" s="169">
        <f t="shared" si="103"/>
        <v>0</v>
      </c>
      <c r="FS30" s="169"/>
      <c r="FT30" s="170">
        <f t="shared" si="104"/>
        <v>0</v>
      </c>
      <c r="FU30" s="179">
        <f t="shared" si="105"/>
        <v>0</v>
      </c>
      <c r="FV30" s="180" t="e">
        <f>(FT30/#REF!)*100</f>
        <v>#REF!</v>
      </c>
      <c r="FW30" s="169">
        <f t="shared" si="106"/>
        <v>0</v>
      </c>
      <c r="FX30" s="169"/>
      <c r="FY30" s="170">
        <f t="shared" si="107"/>
        <v>0</v>
      </c>
      <c r="FZ30" s="179">
        <f t="shared" si="108"/>
        <v>0</v>
      </c>
      <c r="GA30" s="180" t="e">
        <f>(FY30/#REF!)*100</f>
        <v>#REF!</v>
      </c>
      <c r="GB30" s="219"/>
      <c r="GC30" s="225">
        <f t="shared" si="1"/>
        <v>7173</v>
      </c>
      <c r="GD30" s="222"/>
      <c r="GE30" s="225">
        <f t="shared" si="2"/>
        <v>7180</v>
      </c>
      <c r="GF30" s="222"/>
      <c r="GG30" s="225">
        <f t="shared" si="3"/>
        <v>2700</v>
      </c>
      <c r="GH30" s="222"/>
      <c r="GI30" s="225">
        <f t="shared" si="4"/>
        <v>856</v>
      </c>
      <c r="GJ30" s="222"/>
      <c r="GK30" s="225">
        <f t="shared" si="5"/>
        <v>720</v>
      </c>
      <c r="GL30" s="222"/>
      <c r="GM30" s="225">
        <f t="shared" si="6"/>
        <v>0</v>
      </c>
      <c r="GN30" s="222"/>
    </row>
    <row r="31" spans="1:1105" s="3" customFormat="1" ht="13.5" customHeight="1">
      <c r="A31" s="213">
        <v>27</v>
      </c>
      <c r="B31" s="216" t="e">
        <f>#REF!</f>
        <v>#REF!</v>
      </c>
      <c r="C31" s="211">
        <f t="shared" si="7"/>
        <v>27517692</v>
      </c>
      <c r="D31" s="167">
        <v>27521142</v>
      </c>
      <c r="E31" s="168">
        <f t="shared" si="8"/>
        <v>3450</v>
      </c>
      <c r="F31" s="175">
        <f t="shared" si="9"/>
        <v>80</v>
      </c>
      <c r="G31" s="176" t="e">
        <f>(E31/#REF!)*100</f>
        <v>#REF!</v>
      </c>
      <c r="H31" s="186">
        <f t="shared" si="10"/>
        <v>25466184</v>
      </c>
      <c r="I31" s="167">
        <v>25470746</v>
      </c>
      <c r="J31" s="167">
        <f t="shared" si="11"/>
        <v>4562</v>
      </c>
      <c r="K31" s="187">
        <f t="shared" si="12"/>
        <v>759</v>
      </c>
      <c r="L31" s="188" t="e">
        <f>(J31/#REF!)*100</f>
        <v>#REF!</v>
      </c>
      <c r="M31" s="172">
        <f t="shared" si="13"/>
        <v>93479196</v>
      </c>
      <c r="N31" s="169">
        <v>93490643</v>
      </c>
      <c r="O31" s="170">
        <f t="shared" si="14"/>
        <v>11447</v>
      </c>
      <c r="P31" s="179">
        <f t="shared" si="15"/>
        <v>803</v>
      </c>
      <c r="Q31" s="180" t="e">
        <f>(O31/#REF!)*100</f>
        <v>#REF!</v>
      </c>
      <c r="R31" s="351">
        <f t="shared" si="16"/>
        <v>3346500</v>
      </c>
      <c r="S31" s="347">
        <v>3348700</v>
      </c>
      <c r="T31" s="352">
        <f t="shared" si="17"/>
        <v>2200</v>
      </c>
      <c r="U31" s="353">
        <f t="shared" si="18"/>
        <v>100</v>
      </c>
      <c r="V31" s="354" t="e">
        <f>(T31/#REF!)*100</f>
        <v>#REF!</v>
      </c>
      <c r="W31" s="169">
        <f t="shared" si="19"/>
        <v>4478514</v>
      </c>
      <c r="X31" s="169">
        <v>4481406</v>
      </c>
      <c r="Y31" s="170">
        <f t="shared" si="20"/>
        <v>2892</v>
      </c>
      <c r="Z31" s="179">
        <f t="shared" si="21"/>
        <v>42</v>
      </c>
      <c r="AA31" s="180" t="e">
        <f>(Y31/#REF!)*100</f>
        <v>#REF!</v>
      </c>
      <c r="AB31" s="347">
        <f t="shared" si="22"/>
        <v>2908200</v>
      </c>
      <c r="AC31" s="347">
        <v>2909800</v>
      </c>
      <c r="AD31" s="352">
        <f t="shared" si="0"/>
        <v>1600</v>
      </c>
      <c r="AE31" s="357">
        <f>AD31/WATER!V32</f>
        <v>5.0793650793650791</v>
      </c>
      <c r="AF31" s="353">
        <f t="shared" si="23"/>
        <v>0</v>
      </c>
      <c r="AG31" s="354" t="e">
        <f>(AD31/#REF!)*100</f>
        <v>#REF!</v>
      </c>
      <c r="AH31" s="169">
        <f t="shared" si="24"/>
        <v>1146033</v>
      </c>
      <c r="AI31" s="169">
        <v>1146520</v>
      </c>
      <c r="AJ31" s="170">
        <f t="shared" si="25"/>
        <v>487</v>
      </c>
      <c r="AK31" s="179">
        <f t="shared" si="26"/>
        <v>-15</v>
      </c>
      <c r="AL31" s="180" t="e">
        <f>(AJ31/#REF!)*100</f>
        <v>#REF!</v>
      </c>
      <c r="AM31" s="347">
        <f t="shared" si="27"/>
        <v>1179500</v>
      </c>
      <c r="AN31" s="347">
        <v>1180100</v>
      </c>
      <c r="AO31" s="352">
        <f t="shared" si="28"/>
        <v>600</v>
      </c>
      <c r="AP31" s="353">
        <f t="shared" si="29"/>
        <v>-100</v>
      </c>
      <c r="AQ31" s="354" t="e">
        <f>(AO31/#REF!)*100</f>
        <v>#REF!</v>
      </c>
      <c r="AR31" s="169">
        <f t="shared" si="30"/>
        <v>2664700</v>
      </c>
      <c r="AS31" s="169">
        <v>2666400</v>
      </c>
      <c r="AT31" s="170">
        <f t="shared" si="31"/>
        <v>1700</v>
      </c>
      <c r="AU31" s="179">
        <f t="shared" si="32"/>
        <v>-300</v>
      </c>
      <c r="AV31" s="180" t="e">
        <f>(AT31/#REF!)*100</f>
        <v>#REF!</v>
      </c>
      <c r="AW31" s="347">
        <f t="shared" si="33"/>
        <v>58607</v>
      </c>
      <c r="AX31" s="347">
        <v>59038</v>
      </c>
      <c r="AY31" s="352">
        <f t="shared" si="34"/>
        <v>431</v>
      </c>
      <c r="AZ31" s="353">
        <f t="shared" si="35"/>
        <v>75</v>
      </c>
      <c r="BA31" s="354" t="e">
        <f>(AY31/#REF!)*100</f>
        <v>#REF!</v>
      </c>
      <c r="BB31" s="169">
        <f t="shared" si="36"/>
        <v>1042700</v>
      </c>
      <c r="BC31" s="169">
        <v>1043200</v>
      </c>
      <c r="BD31" s="170">
        <f t="shared" si="37"/>
        <v>500</v>
      </c>
      <c r="BE31" s="179">
        <f t="shared" si="38"/>
        <v>200</v>
      </c>
      <c r="BF31" s="180" t="e">
        <f>(BD31/#REF!)*100</f>
        <v>#REF!</v>
      </c>
      <c r="BG31" s="347">
        <f t="shared" si="39"/>
        <v>1106300</v>
      </c>
      <c r="BH31" s="347">
        <v>1106600</v>
      </c>
      <c r="BI31" s="352">
        <f t="shared" si="40"/>
        <v>300</v>
      </c>
      <c r="BJ31" s="353">
        <f t="shared" si="41"/>
        <v>100</v>
      </c>
      <c r="BK31" s="354" t="e">
        <f>(BI31/#REF!)*100</f>
        <v>#REF!</v>
      </c>
      <c r="BL31" s="169">
        <f t="shared" si="42"/>
        <v>1655700</v>
      </c>
      <c r="BM31" s="169">
        <v>1656200</v>
      </c>
      <c r="BN31" s="170">
        <f t="shared" si="43"/>
        <v>500</v>
      </c>
      <c r="BO31" s="179">
        <f t="shared" si="44"/>
        <v>-100</v>
      </c>
      <c r="BP31" s="180" t="e">
        <f>(BN31/#REF!)*100</f>
        <v>#REF!</v>
      </c>
      <c r="BQ31" s="347">
        <f t="shared" si="45"/>
        <v>152780</v>
      </c>
      <c r="BR31" s="347">
        <v>152910</v>
      </c>
      <c r="BS31" s="352">
        <f t="shared" si="46"/>
        <v>130</v>
      </c>
      <c r="BT31" s="353">
        <f t="shared" si="47"/>
        <v>10</v>
      </c>
      <c r="BU31" s="354" t="e">
        <f>(BS31/#REF!)*100</f>
        <v>#REF!</v>
      </c>
      <c r="BV31" s="169">
        <f t="shared" si="48"/>
        <v>632020</v>
      </c>
      <c r="BW31" s="169">
        <v>632350</v>
      </c>
      <c r="BX31" s="170">
        <f t="shared" si="49"/>
        <v>330</v>
      </c>
      <c r="BY31" s="179">
        <f t="shared" si="50"/>
        <v>10</v>
      </c>
      <c r="BZ31" s="180" t="e">
        <f>(BX31/#REF!)*100</f>
        <v>#REF!</v>
      </c>
      <c r="CA31" s="347">
        <f t="shared" si="51"/>
        <v>1217600</v>
      </c>
      <c r="CB31" s="347">
        <v>1218900</v>
      </c>
      <c r="CC31" s="352">
        <f t="shared" si="52"/>
        <v>1300</v>
      </c>
      <c r="CD31" s="353">
        <f t="shared" si="53"/>
        <v>200</v>
      </c>
      <c r="CE31" s="354" t="e">
        <f>(CC31/#REF!)*100</f>
        <v>#REF!</v>
      </c>
      <c r="CF31" s="169">
        <f t="shared" si="54"/>
        <v>404050</v>
      </c>
      <c r="CG31" s="169">
        <v>404450</v>
      </c>
      <c r="CH31" s="170">
        <f t="shared" si="55"/>
        <v>400</v>
      </c>
      <c r="CI31" s="179">
        <f t="shared" si="56"/>
        <v>0</v>
      </c>
      <c r="CJ31" s="180" t="e">
        <f>(CH31/#REF!)*100</f>
        <v>#REF!</v>
      </c>
      <c r="CK31" s="170">
        <f t="shared" si="57"/>
        <v>928420</v>
      </c>
      <c r="CL31" s="170">
        <v>929490</v>
      </c>
      <c r="CM31" s="170">
        <f t="shared" si="58"/>
        <v>1070</v>
      </c>
      <c r="CN31" s="179">
        <f t="shared" si="59"/>
        <v>170</v>
      </c>
      <c r="CO31" s="180" t="e">
        <f>(CM31/#REF!)*100</f>
        <v>#REF!</v>
      </c>
      <c r="CP31" s="360">
        <f t="shared" si="110"/>
        <v>773030</v>
      </c>
      <c r="CQ31" s="360">
        <v>773980</v>
      </c>
      <c r="CR31" s="364">
        <f t="shared" si="109"/>
        <v>950</v>
      </c>
      <c r="CS31" s="365">
        <f t="shared" si="60"/>
        <v>330</v>
      </c>
      <c r="CT31" s="366" t="e">
        <f>(CR31/#REF!)*100</f>
        <v>#REF!</v>
      </c>
      <c r="CU31" s="169">
        <f t="shared" si="61"/>
        <v>636400</v>
      </c>
      <c r="CV31" s="169">
        <v>637100</v>
      </c>
      <c r="CW31" s="170">
        <f t="shared" si="62"/>
        <v>700</v>
      </c>
      <c r="CX31" s="179">
        <f t="shared" si="63"/>
        <v>80</v>
      </c>
      <c r="CY31" s="180" t="e">
        <f>(CW31/#REF!)*100</f>
        <v>#REF!</v>
      </c>
      <c r="CZ31" s="360">
        <f t="shared" si="64"/>
        <v>1063100</v>
      </c>
      <c r="DA31" s="360">
        <v>1064200</v>
      </c>
      <c r="DB31" s="368">
        <f t="shared" si="65"/>
        <v>1100</v>
      </c>
      <c r="DC31" s="365">
        <f t="shared" si="66"/>
        <v>1000</v>
      </c>
      <c r="DD31" s="366" t="e">
        <f>(DB31/#REF!)*100</f>
        <v>#REF!</v>
      </c>
      <c r="DE31" s="169">
        <f t="shared" si="67"/>
        <v>816220</v>
      </c>
      <c r="DF31" s="169">
        <v>817000</v>
      </c>
      <c r="DG31" s="170">
        <f t="shared" si="68"/>
        <v>780</v>
      </c>
      <c r="DH31" s="179">
        <f t="shared" si="69"/>
        <v>70</v>
      </c>
      <c r="DI31" s="180" t="e">
        <f>(DG31/#REF!)*100</f>
        <v>#REF!</v>
      </c>
      <c r="DJ31" s="360">
        <f t="shared" si="70"/>
        <v>701620</v>
      </c>
      <c r="DK31" s="360">
        <v>702160</v>
      </c>
      <c r="DL31" s="368">
        <f t="shared" si="71"/>
        <v>540</v>
      </c>
      <c r="DM31" s="365">
        <f t="shared" si="72"/>
        <v>-60</v>
      </c>
      <c r="DN31" s="366" t="e">
        <f>(DL31/#REF!)*100</f>
        <v>#REF!</v>
      </c>
      <c r="DO31" s="169">
        <f t="shared" si="73"/>
        <v>380670</v>
      </c>
      <c r="DP31" s="169">
        <v>380990</v>
      </c>
      <c r="DQ31" s="170">
        <f t="shared" si="74"/>
        <v>320</v>
      </c>
      <c r="DR31" s="179">
        <f t="shared" si="75"/>
        <v>-10</v>
      </c>
      <c r="DS31" s="180" t="e">
        <f>(DQ31/#REF!)*100</f>
        <v>#REF!</v>
      </c>
      <c r="DT31" s="360">
        <f t="shared" si="76"/>
        <v>129390</v>
      </c>
      <c r="DU31" s="360">
        <v>129500</v>
      </c>
      <c r="DV31" s="368">
        <f t="shared" si="77"/>
        <v>110</v>
      </c>
      <c r="DW31" s="365">
        <f t="shared" si="78"/>
        <v>-10</v>
      </c>
      <c r="DX31" s="366" t="e">
        <f>(DV31/#REF!)*100</f>
        <v>#REF!</v>
      </c>
      <c r="DY31" s="169">
        <f t="shared" si="79"/>
        <v>832780</v>
      </c>
      <c r="DZ31" s="169">
        <v>833650</v>
      </c>
      <c r="EA31" s="170">
        <f t="shared" si="80"/>
        <v>870</v>
      </c>
      <c r="EB31" s="179">
        <f t="shared" si="81"/>
        <v>-80</v>
      </c>
      <c r="EC31" s="180" t="e">
        <f>(EA31/#REF!)*100</f>
        <v>#REF!</v>
      </c>
      <c r="ED31" s="360">
        <f t="shared" si="82"/>
        <v>263260</v>
      </c>
      <c r="EE31" s="360">
        <v>263520</v>
      </c>
      <c r="EF31" s="368">
        <f t="shared" si="83"/>
        <v>260</v>
      </c>
      <c r="EG31" s="365">
        <f t="shared" si="84"/>
        <v>-20</v>
      </c>
      <c r="EH31" s="366" t="e">
        <f>(EF31/#REF!)*100</f>
        <v>#REF!</v>
      </c>
      <c r="EI31" s="169">
        <f t="shared" si="85"/>
        <v>301610</v>
      </c>
      <c r="EJ31" s="169">
        <v>301950</v>
      </c>
      <c r="EK31" s="170">
        <f t="shared" si="86"/>
        <v>340</v>
      </c>
      <c r="EL31" s="179">
        <f t="shared" si="87"/>
        <v>-110</v>
      </c>
      <c r="EM31" s="180" t="e">
        <f>(EK31/#REF!)*100</f>
        <v>#REF!</v>
      </c>
      <c r="EN31" s="360">
        <f t="shared" si="88"/>
        <v>487350</v>
      </c>
      <c r="EO31" s="360">
        <v>487850</v>
      </c>
      <c r="EP31" s="368">
        <f t="shared" si="89"/>
        <v>500</v>
      </c>
      <c r="EQ31" s="365">
        <f t="shared" si="90"/>
        <v>-50</v>
      </c>
      <c r="ER31" s="366" t="e">
        <f>(EP31/#REF!)*100</f>
        <v>#REF!</v>
      </c>
      <c r="ES31" s="169">
        <f t="shared" si="91"/>
        <v>0</v>
      </c>
      <c r="ET31" s="169"/>
      <c r="EU31" s="170">
        <f t="shared" si="92"/>
        <v>0</v>
      </c>
      <c r="EV31" s="179">
        <f t="shared" si="93"/>
        <v>0</v>
      </c>
      <c r="EW31" s="180" t="e">
        <f>(EU31/#REF!)*100</f>
        <v>#REF!</v>
      </c>
      <c r="EX31" s="169">
        <f t="shared" si="94"/>
        <v>0</v>
      </c>
      <c r="EY31" s="169"/>
      <c r="EZ31" s="170">
        <f t="shared" si="95"/>
        <v>0</v>
      </c>
      <c r="FA31" s="179">
        <f t="shared" si="96"/>
        <v>0</v>
      </c>
      <c r="FB31" s="180" t="e">
        <f>(EZ31/#REF!)*100</f>
        <v>#REF!</v>
      </c>
      <c r="FC31" s="169">
        <f t="shared" si="97"/>
        <v>0</v>
      </c>
      <c r="FD31" s="169"/>
      <c r="FE31" s="170">
        <f t="shared" si="98"/>
        <v>0</v>
      </c>
      <c r="FF31" s="179">
        <f t="shared" si="99"/>
        <v>0</v>
      </c>
      <c r="FG31" s="180" t="e">
        <f>(FE31/#REF!)*100</f>
        <v>#REF!</v>
      </c>
      <c r="FH31" s="241"/>
      <c r="FI31" s="241"/>
      <c r="FJ31" s="241"/>
      <c r="FK31" s="241"/>
      <c r="FL31" s="241"/>
      <c r="FM31" s="169">
        <f t="shared" si="100"/>
        <v>0</v>
      </c>
      <c r="FN31" s="169"/>
      <c r="FO31" s="170">
        <f t="shared" si="101"/>
        <v>0</v>
      </c>
      <c r="FP31" s="179">
        <f t="shared" si="102"/>
        <v>0</v>
      </c>
      <c r="FQ31" s="180" t="e">
        <f>(FO31/#REF!)*100</f>
        <v>#REF!</v>
      </c>
      <c r="FR31" s="169">
        <f t="shared" si="103"/>
        <v>0</v>
      </c>
      <c r="FS31" s="169"/>
      <c r="FT31" s="170">
        <f t="shared" si="104"/>
        <v>0</v>
      </c>
      <c r="FU31" s="179">
        <f t="shared" si="105"/>
        <v>0</v>
      </c>
      <c r="FV31" s="180" t="e">
        <f>(FT31/#REF!)*100</f>
        <v>#REF!</v>
      </c>
      <c r="FW31" s="169">
        <f t="shared" si="106"/>
        <v>0</v>
      </c>
      <c r="FX31" s="169"/>
      <c r="FY31" s="170">
        <f t="shared" si="107"/>
        <v>0</v>
      </c>
      <c r="FZ31" s="179">
        <f t="shared" si="108"/>
        <v>0</v>
      </c>
      <c r="GA31" s="180" t="e">
        <f>(FY31/#REF!)*100</f>
        <v>#REF!</v>
      </c>
      <c r="GB31" s="219"/>
      <c r="GC31" s="225">
        <f t="shared" si="1"/>
        <v>8012</v>
      </c>
      <c r="GD31" s="222"/>
      <c r="GE31" s="225">
        <f t="shared" si="2"/>
        <v>7062</v>
      </c>
      <c r="GF31" s="222"/>
      <c r="GG31" s="225">
        <f t="shared" si="3"/>
        <v>2300</v>
      </c>
      <c r="GH31" s="222"/>
      <c r="GI31" s="225">
        <f t="shared" si="4"/>
        <v>1231</v>
      </c>
      <c r="GJ31" s="222"/>
      <c r="GK31" s="225">
        <f t="shared" si="5"/>
        <v>630</v>
      </c>
      <c r="GL31" s="222"/>
      <c r="GM31" s="225">
        <f t="shared" si="6"/>
        <v>0</v>
      </c>
      <c r="GN31" s="222"/>
    </row>
    <row r="32" spans="1:1105" s="3" customFormat="1" ht="13.5" customHeight="1">
      <c r="A32" s="213">
        <v>28</v>
      </c>
      <c r="B32" s="216" t="e">
        <f>#REF!</f>
        <v>#REF!</v>
      </c>
      <c r="C32" s="211">
        <f t="shared" si="7"/>
        <v>27521142</v>
      </c>
      <c r="D32" s="167">
        <v>27524605</v>
      </c>
      <c r="E32" s="168">
        <f t="shared" si="8"/>
        <v>3463</v>
      </c>
      <c r="F32" s="175">
        <f t="shared" si="9"/>
        <v>13</v>
      </c>
      <c r="G32" s="176" t="e">
        <f>(E32/#REF!)*100</f>
        <v>#REF!</v>
      </c>
      <c r="H32" s="186">
        <f t="shared" si="10"/>
        <v>25470746</v>
      </c>
      <c r="I32" s="167">
        <v>25475117</v>
      </c>
      <c r="J32" s="167">
        <f t="shared" si="11"/>
        <v>4371</v>
      </c>
      <c r="K32" s="187">
        <f t="shared" si="12"/>
        <v>-191</v>
      </c>
      <c r="L32" s="188" t="e">
        <f>(J32/#REF!)*100</f>
        <v>#REF!</v>
      </c>
      <c r="M32" s="172">
        <f t="shared" si="13"/>
        <v>93490643</v>
      </c>
      <c r="N32" s="169">
        <v>93501579</v>
      </c>
      <c r="O32" s="170">
        <f t="shared" si="14"/>
        <v>10936</v>
      </c>
      <c r="P32" s="179">
        <f t="shared" si="15"/>
        <v>-511</v>
      </c>
      <c r="Q32" s="180" t="e">
        <f>(O32/#REF!)*100</f>
        <v>#REF!</v>
      </c>
      <c r="R32" s="351">
        <f t="shared" si="16"/>
        <v>3348700</v>
      </c>
      <c r="S32" s="347">
        <v>3350900</v>
      </c>
      <c r="T32" s="352">
        <f t="shared" si="17"/>
        <v>2200</v>
      </c>
      <c r="U32" s="353">
        <f t="shared" si="18"/>
        <v>0</v>
      </c>
      <c r="V32" s="354" t="e">
        <f>(T32/#REF!)*100</f>
        <v>#REF!</v>
      </c>
      <c r="W32" s="169">
        <f t="shared" si="19"/>
        <v>4481406</v>
      </c>
      <c r="X32" s="169">
        <v>4484422</v>
      </c>
      <c r="Y32" s="170">
        <f t="shared" si="20"/>
        <v>3016</v>
      </c>
      <c r="Z32" s="179">
        <f t="shared" si="21"/>
        <v>124</v>
      </c>
      <c r="AA32" s="180" t="e">
        <f>(Y32/#REF!)*100</f>
        <v>#REF!</v>
      </c>
      <c r="AB32" s="347">
        <f t="shared" si="22"/>
        <v>2909800</v>
      </c>
      <c r="AC32" s="347">
        <v>2911500</v>
      </c>
      <c r="AD32" s="352">
        <f t="shared" si="0"/>
        <v>1700</v>
      </c>
      <c r="AE32" s="357">
        <f>AD32/WATER!V33</f>
        <v>5.0445103857566762</v>
      </c>
      <c r="AF32" s="353">
        <f t="shared" si="23"/>
        <v>100</v>
      </c>
      <c r="AG32" s="354" t="e">
        <f>(AD32/#REF!)*100</f>
        <v>#REF!</v>
      </c>
      <c r="AH32" s="169">
        <f t="shared" si="24"/>
        <v>1146520</v>
      </c>
      <c r="AI32" s="169">
        <v>1146979</v>
      </c>
      <c r="AJ32" s="170">
        <f t="shared" si="25"/>
        <v>459</v>
      </c>
      <c r="AK32" s="179">
        <f t="shared" si="26"/>
        <v>-28</v>
      </c>
      <c r="AL32" s="180" t="e">
        <f>(AJ32/#REF!)*100</f>
        <v>#REF!</v>
      </c>
      <c r="AM32" s="347">
        <f t="shared" si="27"/>
        <v>1180100</v>
      </c>
      <c r="AN32" s="347">
        <v>1180800</v>
      </c>
      <c r="AO32" s="352">
        <f t="shared" si="28"/>
        <v>700</v>
      </c>
      <c r="AP32" s="353">
        <f t="shared" si="29"/>
        <v>100</v>
      </c>
      <c r="AQ32" s="354" t="e">
        <f>(AO32/#REF!)*100</f>
        <v>#REF!</v>
      </c>
      <c r="AR32" s="169">
        <f t="shared" si="30"/>
        <v>2666400</v>
      </c>
      <c r="AS32" s="169">
        <v>2668000</v>
      </c>
      <c r="AT32" s="170">
        <f t="shared" si="31"/>
        <v>1600</v>
      </c>
      <c r="AU32" s="179">
        <f t="shared" si="32"/>
        <v>-100</v>
      </c>
      <c r="AV32" s="180" t="e">
        <f>(AT32/#REF!)*100</f>
        <v>#REF!</v>
      </c>
      <c r="AW32" s="347">
        <f t="shared" si="33"/>
        <v>59038</v>
      </c>
      <c r="AX32" s="347">
        <v>59430</v>
      </c>
      <c r="AY32" s="352">
        <f t="shared" si="34"/>
        <v>392</v>
      </c>
      <c r="AZ32" s="353">
        <f t="shared" si="35"/>
        <v>-39</v>
      </c>
      <c r="BA32" s="354" t="e">
        <f>(AY32/#REF!)*100</f>
        <v>#REF!</v>
      </c>
      <c r="BB32" s="169">
        <f t="shared" si="36"/>
        <v>1043200</v>
      </c>
      <c r="BC32" s="169">
        <v>1043500</v>
      </c>
      <c r="BD32" s="170">
        <f t="shared" si="37"/>
        <v>300</v>
      </c>
      <c r="BE32" s="179">
        <f t="shared" si="38"/>
        <v>-200</v>
      </c>
      <c r="BF32" s="180" t="e">
        <f>(BD32/#REF!)*100</f>
        <v>#REF!</v>
      </c>
      <c r="BG32" s="347">
        <f t="shared" si="39"/>
        <v>1106600</v>
      </c>
      <c r="BH32" s="347">
        <v>1106900</v>
      </c>
      <c r="BI32" s="352">
        <f t="shared" si="40"/>
        <v>300</v>
      </c>
      <c r="BJ32" s="353">
        <f t="shared" si="41"/>
        <v>0</v>
      </c>
      <c r="BK32" s="354" t="e">
        <f>(BI32/#REF!)*100</f>
        <v>#REF!</v>
      </c>
      <c r="BL32" s="169">
        <f t="shared" si="42"/>
        <v>1656200</v>
      </c>
      <c r="BM32" s="169">
        <v>1656800</v>
      </c>
      <c r="BN32" s="170">
        <f t="shared" si="43"/>
        <v>600</v>
      </c>
      <c r="BO32" s="179">
        <f t="shared" si="44"/>
        <v>100</v>
      </c>
      <c r="BP32" s="180" t="e">
        <f>(BN32/#REF!)*100</f>
        <v>#REF!</v>
      </c>
      <c r="BQ32" s="347">
        <f t="shared" si="45"/>
        <v>152910</v>
      </c>
      <c r="BR32" s="347">
        <v>153030</v>
      </c>
      <c r="BS32" s="352">
        <f t="shared" si="46"/>
        <v>120</v>
      </c>
      <c r="BT32" s="353">
        <f t="shared" si="47"/>
        <v>-10</v>
      </c>
      <c r="BU32" s="354" t="e">
        <f>(BS32/#REF!)*100</f>
        <v>#REF!</v>
      </c>
      <c r="BV32" s="169">
        <f t="shared" si="48"/>
        <v>632350</v>
      </c>
      <c r="BW32" s="169">
        <v>632660</v>
      </c>
      <c r="BX32" s="170">
        <f t="shared" si="49"/>
        <v>310</v>
      </c>
      <c r="BY32" s="179">
        <f t="shared" si="50"/>
        <v>-20</v>
      </c>
      <c r="BZ32" s="180" t="e">
        <f>(BX32/#REF!)*100</f>
        <v>#REF!</v>
      </c>
      <c r="CA32" s="347">
        <f t="shared" si="51"/>
        <v>1218900</v>
      </c>
      <c r="CB32" s="347">
        <v>1220100</v>
      </c>
      <c r="CC32" s="352">
        <f t="shared" si="52"/>
        <v>1200</v>
      </c>
      <c r="CD32" s="353">
        <f t="shared" si="53"/>
        <v>-100</v>
      </c>
      <c r="CE32" s="354" t="e">
        <f>(CC32/#REF!)*100</f>
        <v>#REF!</v>
      </c>
      <c r="CF32" s="169">
        <f t="shared" si="54"/>
        <v>404450</v>
      </c>
      <c r="CG32" s="169">
        <v>404840</v>
      </c>
      <c r="CH32" s="170">
        <f t="shared" si="55"/>
        <v>390</v>
      </c>
      <c r="CI32" s="179">
        <f t="shared" si="56"/>
        <v>-10</v>
      </c>
      <c r="CJ32" s="180" t="e">
        <f>(CH32/#REF!)*100</f>
        <v>#REF!</v>
      </c>
      <c r="CK32" s="170">
        <f t="shared" si="57"/>
        <v>929490</v>
      </c>
      <c r="CL32" s="170">
        <v>930520</v>
      </c>
      <c r="CM32" s="170">
        <f t="shared" si="58"/>
        <v>1030</v>
      </c>
      <c r="CN32" s="179">
        <f t="shared" si="59"/>
        <v>-40</v>
      </c>
      <c r="CO32" s="180" t="e">
        <f>(CM32/#REF!)*100</f>
        <v>#REF!</v>
      </c>
      <c r="CP32" s="360">
        <f t="shared" si="110"/>
        <v>773980</v>
      </c>
      <c r="CQ32" s="360">
        <v>775040</v>
      </c>
      <c r="CR32" s="364">
        <f t="shared" si="109"/>
        <v>1060</v>
      </c>
      <c r="CS32" s="365">
        <f t="shared" si="60"/>
        <v>110</v>
      </c>
      <c r="CT32" s="366" t="e">
        <f>(CR32/#REF!)*100</f>
        <v>#REF!</v>
      </c>
      <c r="CU32" s="169">
        <f t="shared" si="61"/>
        <v>637100</v>
      </c>
      <c r="CV32" s="169">
        <v>637750</v>
      </c>
      <c r="CW32" s="170">
        <f t="shared" si="62"/>
        <v>650</v>
      </c>
      <c r="CX32" s="179">
        <f t="shared" si="63"/>
        <v>-50</v>
      </c>
      <c r="CY32" s="180" t="e">
        <f>(CW32/#REF!)*100</f>
        <v>#REF!</v>
      </c>
      <c r="CZ32" s="360">
        <f t="shared" si="64"/>
        <v>1064200</v>
      </c>
      <c r="DA32" s="360">
        <v>1065300</v>
      </c>
      <c r="DB32" s="368">
        <f t="shared" si="65"/>
        <v>1100</v>
      </c>
      <c r="DC32" s="365">
        <f t="shared" si="66"/>
        <v>0</v>
      </c>
      <c r="DD32" s="366" t="e">
        <f>(DB32/#REF!)*100</f>
        <v>#REF!</v>
      </c>
      <c r="DE32" s="169">
        <f t="shared" si="67"/>
        <v>817000</v>
      </c>
      <c r="DF32" s="169">
        <v>817830</v>
      </c>
      <c r="DG32" s="170">
        <f t="shared" si="68"/>
        <v>830</v>
      </c>
      <c r="DH32" s="179">
        <f t="shared" si="69"/>
        <v>50</v>
      </c>
      <c r="DI32" s="180" t="e">
        <f>(DG32/#REF!)*100</f>
        <v>#REF!</v>
      </c>
      <c r="DJ32" s="360">
        <f t="shared" si="70"/>
        <v>702160</v>
      </c>
      <c r="DK32" s="360">
        <v>702790</v>
      </c>
      <c r="DL32" s="368">
        <f t="shared" si="71"/>
        <v>630</v>
      </c>
      <c r="DM32" s="365">
        <f t="shared" si="72"/>
        <v>90</v>
      </c>
      <c r="DN32" s="366" t="e">
        <f>(DL32/#REF!)*100</f>
        <v>#REF!</v>
      </c>
      <c r="DO32" s="169">
        <f t="shared" si="73"/>
        <v>380990</v>
      </c>
      <c r="DP32" s="169">
        <v>381300</v>
      </c>
      <c r="DQ32" s="170">
        <f t="shared" si="74"/>
        <v>310</v>
      </c>
      <c r="DR32" s="179">
        <f t="shared" si="75"/>
        <v>-10</v>
      </c>
      <c r="DS32" s="180" t="e">
        <f>(DQ32/#REF!)*100</f>
        <v>#REF!</v>
      </c>
      <c r="DT32" s="360">
        <f t="shared" si="76"/>
        <v>129500</v>
      </c>
      <c r="DU32" s="360">
        <v>129620</v>
      </c>
      <c r="DV32" s="368">
        <f t="shared" si="77"/>
        <v>120</v>
      </c>
      <c r="DW32" s="365">
        <f t="shared" si="78"/>
        <v>10</v>
      </c>
      <c r="DX32" s="366" t="e">
        <f>(DV32/#REF!)*100</f>
        <v>#REF!</v>
      </c>
      <c r="DY32" s="169">
        <f t="shared" si="79"/>
        <v>833650</v>
      </c>
      <c r="DZ32" s="169">
        <v>834680</v>
      </c>
      <c r="EA32" s="170">
        <f t="shared" si="80"/>
        <v>1030</v>
      </c>
      <c r="EB32" s="179">
        <f t="shared" si="81"/>
        <v>160</v>
      </c>
      <c r="EC32" s="180" t="e">
        <f>(EA32/#REF!)*100</f>
        <v>#REF!</v>
      </c>
      <c r="ED32" s="360">
        <f t="shared" si="82"/>
        <v>263520</v>
      </c>
      <c r="EE32" s="360">
        <v>263810</v>
      </c>
      <c r="EF32" s="368">
        <f t="shared" si="83"/>
        <v>290</v>
      </c>
      <c r="EG32" s="365">
        <f t="shared" si="84"/>
        <v>30</v>
      </c>
      <c r="EH32" s="366" t="e">
        <f>(EF32/#REF!)*100</f>
        <v>#REF!</v>
      </c>
      <c r="EI32" s="169">
        <f t="shared" si="85"/>
        <v>301950</v>
      </c>
      <c r="EJ32" s="169">
        <v>302310</v>
      </c>
      <c r="EK32" s="170">
        <f t="shared" si="86"/>
        <v>360</v>
      </c>
      <c r="EL32" s="179">
        <f t="shared" si="87"/>
        <v>20</v>
      </c>
      <c r="EM32" s="180" t="e">
        <f>(EK32/#REF!)*100</f>
        <v>#REF!</v>
      </c>
      <c r="EN32" s="360">
        <f t="shared" si="88"/>
        <v>487850</v>
      </c>
      <c r="EO32" s="360">
        <v>488360</v>
      </c>
      <c r="EP32" s="368">
        <f t="shared" si="89"/>
        <v>510</v>
      </c>
      <c r="EQ32" s="365">
        <f t="shared" si="90"/>
        <v>10</v>
      </c>
      <c r="ER32" s="366" t="e">
        <f>(EP32/#REF!)*100</f>
        <v>#REF!</v>
      </c>
      <c r="ES32" s="169">
        <f t="shared" si="91"/>
        <v>0</v>
      </c>
      <c r="ET32" s="169"/>
      <c r="EU32" s="170">
        <f t="shared" si="92"/>
        <v>0</v>
      </c>
      <c r="EV32" s="179">
        <f t="shared" si="93"/>
        <v>0</v>
      </c>
      <c r="EW32" s="180" t="e">
        <f>(EU32/#REF!)*100</f>
        <v>#REF!</v>
      </c>
      <c r="EX32" s="169">
        <f t="shared" si="94"/>
        <v>0</v>
      </c>
      <c r="EY32" s="169"/>
      <c r="EZ32" s="170">
        <f t="shared" si="95"/>
        <v>0</v>
      </c>
      <c r="FA32" s="179">
        <f t="shared" si="96"/>
        <v>0</v>
      </c>
      <c r="FB32" s="180" t="e">
        <f>(EZ32/#REF!)*100</f>
        <v>#REF!</v>
      </c>
      <c r="FC32" s="169">
        <f t="shared" si="97"/>
        <v>0</v>
      </c>
      <c r="FD32" s="169"/>
      <c r="FE32" s="170">
        <f t="shared" si="98"/>
        <v>0</v>
      </c>
      <c r="FF32" s="179">
        <f t="shared" si="99"/>
        <v>0</v>
      </c>
      <c r="FG32" s="180" t="e">
        <f>(FE32/#REF!)*100</f>
        <v>#REF!</v>
      </c>
      <c r="FH32" s="241"/>
      <c r="FI32" s="241"/>
      <c r="FJ32" s="241"/>
      <c r="FK32" s="241"/>
      <c r="FL32" s="241"/>
      <c r="FM32" s="169">
        <f t="shared" si="100"/>
        <v>0</v>
      </c>
      <c r="FN32" s="169"/>
      <c r="FO32" s="170">
        <f t="shared" si="101"/>
        <v>0</v>
      </c>
      <c r="FP32" s="179">
        <f t="shared" si="102"/>
        <v>0</v>
      </c>
      <c r="FQ32" s="180" t="e">
        <f>(FO32/#REF!)*100</f>
        <v>#REF!</v>
      </c>
      <c r="FR32" s="169">
        <f t="shared" si="103"/>
        <v>0</v>
      </c>
      <c r="FS32" s="169"/>
      <c r="FT32" s="170">
        <f t="shared" si="104"/>
        <v>0</v>
      </c>
      <c r="FU32" s="179">
        <f t="shared" si="105"/>
        <v>0</v>
      </c>
      <c r="FV32" s="180" t="e">
        <f>(FT32/#REF!)*100</f>
        <v>#REF!</v>
      </c>
      <c r="FW32" s="169">
        <f t="shared" si="106"/>
        <v>0</v>
      </c>
      <c r="FX32" s="169"/>
      <c r="FY32" s="170">
        <f t="shared" si="107"/>
        <v>0</v>
      </c>
      <c r="FZ32" s="179">
        <f t="shared" si="108"/>
        <v>0</v>
      </c>
      <c r="GA32" s="180" t="e">
        <f>(FY32/#REF!)*100</f>
        <v>#REF!</v>
      </c>
      <c r="GB32" s="219"/>
      <c r="GC32" s="225">
        <f t="shared" si="1"/>
        <v>7834</v>
      </c>
      <c r="GD32" s="222"/>
      <c r="GE32" s="225">
        <f t="shared" si="2"/>
        <v>7406</v>
      </c>
      <c r="GF32" s="222"/>
      <c r="GG32" s="225">
        <f t="shared" si="3"/>
        <v>2300</v>
      </c>
      <c r="GH32" s="222"/>
      <c r="GI32" s="225">
        <f t="shared" si="4"/>
        <v>992</v>
      </c>
      <c r="GJ32" s="222"/>
      <c r="GK32" s="225">
        <f t="shared" si="5"/>
        <v>720</v>
      </c>
      <c r="GL32" s="222"/>
      <c r="GM32" s="225">
        <f t="shared" si="6"/>
        <v>0</v>
      </c>
      <c r="GN32" s="222"/>
    </row>
    <row r="33" spans="1:196" s="3" customFormat="1" ht="13.5" customHeight="1">
      <c r="A33" s="213">
        <v>29</v>
      </c>
      <c r="B33" s="216" t="e">
        <f>#REF!</f>
        <v>#REF!</v>
      </c>
      <c r="C33" s="211">
        <f t="shared" si="7"/>
        <v>27524605</v>
      </c>
      <c r="D33" s="167">
        <v>27527968</v>
      </c>
      <c r="E33" s="168">
        <f t="shared" si="8"/>
        <v>3363</v>
      </c>
      <c r="F33" s="175">
        <f t="shared" si="9"/>
        <v>-100</v>
      </c>
      <c r="G33" s="176" t="e">
        <f>(E33/#REF!)*100</f>
        <v>#REF!</v>
      </c>
      <c r="H33" s="186">
        <f t="shared" si="10"/>
        <v>25475117</v>
      </c>
      <c r="I33" s="167">
        <v>25478752</v>
      </c>
      <c r="J33" s="167">
        <f t="shared" si="11"/>
        <v>3635</v>
      </c>
      <c r="K33" s="187">
        <f t="shared" si="12"/>
        <v>-736</v>
      </c>
      <c r="L33" s="188" t="e">
        <f>(J33/#REF!)*100</f>
        <v>#REF!</v>
      </c>
      <c r="M33" s="172">
        <f t="shared" si="13"/>
        <v>93501579</v>
      </c>
      <c r="N33" s="169">
        <v>93513116</v>
      </c>
      <c r="O33" s="170">
        <f t="shared" si="14"/>
        <v>11537</v>
      </c>
      <c r="P33" s="179">
        <f t="shared" si="15"/>
        <v>601</v>
      </c>
      <c r="Q33" s="180" t="e">
        <f>(O33/#REF!)*100</f>
        <v>#REF!</v>
      </c>
      <c r="R33" s="351">
        <f t="shared" si="16"/>
        <v>3350900</v>
      </c>
      <c r="S33" s="347">
        <v>3353000</v>
      </c>
      <c r="T33" s="352">
        <f t="shared" si="17"/>
        <v>2100</v>
      </c>
      <c r="U33" s="353">
        <f t="shared" si="18"/>
        <v>-100</v>
      </c>
      <c r="V33" s="354" t="e">
        <f>(T33/#REF!)*100</f>
        <v>#REF!</v>
      </c>
      <c r="W33" s="169">
        <f t="shared" si="19"/>
        <v>4484422</v>
      </c>
      <c r="X33" s="169">
        <v>4487232</v>
      </c>
      <c r="Y33" s="170">
        <f t="shared" si="20"/>
        <v>2810</v>
      </c>
      <c r="Z33" s="179">
        <f t="shared" si="21"/>
        <v>-206</v>
      </c>
      <c r="AA33" s="180" t="e">
        <f>(Y33/#REF!)*100</f>
        <v>#REF!</v>
      </c>
      <c r="AB33" s="347">
        <f t="shared" si="22"/>
        <v>2911500</v>
      </c>
      <c r="AC33" s="352">
        <v>2913000</v>
      </c>
      <c r="AD33" s="352">
        <f t="shared" si="0"/>
        <v>1500</v>
      </c>
      <c r="AE33" s="357">
        <f>AD33/WATER!V34</f>
        <v>4.9833887043189371</v>
      </c>
      <c r="AF33" s="353">
        <f t="shared" si="23"/>
        <v>-200</v>
      </c>
      <c r="AG33" s="354" t="e">
        <f>(AD33/#REF!)*100</f>
        <v>#REF!</v>
      </c>
      <c r="AH33" s="169">
        <f t="shared" si="24"/>
        <v>1146979</v>
      </c>
      <c r="AI33" s="169">
        <v>1147493</v>
      </c>
      <c r="AJ33" s="170">
        <f t="shared" si="25"/>
        <v>514</v>
      </c>
      <c r="AK33" s="179">
        <f t="shared" si="26"/>
        <v>55</v>
      </c>
      <c r="AL33" s="180" t="e">
        <f>(AJ33/#REF!)*100</f>
        <v>#REF!</v>
      </c>
      <c r="AM33" s="347">
        <f t="shared" si="27"/>
        <v>1180800</v>
      </c>
      <c r="AN33" s="347">
        <v>1181500</v>
      </c>
      <c r="AO33" s="352">
        <f t="shared" si="28"/>
        <v>700</v>
      </c>
      <c r="AP33" s="353">
        <f t="shared" si="29"/>
        <v>0</v>
      </c>
      <c r="AQ33" s="354" t="e">
        <f>(AO33/#REF!)*100</f>
        <v>#REF!</v>
      </c>
      <c r="AR33" s="169">
        <f t="shared" si="30"/>
        <v>2668000</v>
      </c>
      <c r="AS33" s="169">
        <v>2669900</v>
      </c>
      <c r="AT33" s="170">
        <f t="shared" si="31"/>
        <v>1900</v>
      </c>
      <c r="AU33" s="179">
        <f t="shared" si="32"/>
        <v>300</v>
      </c>
      <c r="AV33" s="180" t="e">
        <f>(AT33/#REF!)*100</f>
        <v>#REF!</v>
      </c>
      <c r="AW33" s="347">
        <f t="shared" si="33"/>
        <v>59430</v>
      </c>
      <c r="AX33" s="347">
        <v>59799</v>
      </c>
      <c r="AY33" s="352">
        <f t="shared" si="34"/>
        <v>369</v>
      </c>
      <c r="AZ33" s="353">
        <f t="shared" si="35"/>
        <v>-23</v>
      </c>
      <c r="BA33" s="354" t="e">
        <f>(AY33/#REF!)*100</f>
        <v>#REF!</v>
      </c>
      <c r="BB33" s="169">
        <f t="shared" si="36"/>
        <v>1043500</v>
      </c>
      <c r="BC33" s="169">
        <v>1044000</v>
      </c>
      <c r="BD33" s="170">
        <f t="shared" si="37"/>
        <v>500</v>
      </c>
      <c r="BE33" s="179">
        <f t="shared" si="38"/>
        <v>200</v>
      </c>
      <c r="BF33" s="180" t="e">
        <f>(BD33/#REF!)*100</f>
        <v>#REF!</v>
      </c>
      <c r="BG33" s="347">
        <f t="shared" si="39"/>
        <v>1106900</v>
      </c>
      <c r="BH33" s="347">
        <v>1107200</v>
      </c>
      <c r="BI33" s="352">
        <f t="shared" si="40"/>
        <v>300</v>
      </c>
      <c r="BJ33" s="353">
        <f t="shared" si="41"/>
        <v>0</v>
      </c>
      <c r="BK33" s="354" t="e">
        <f>(BI33/#REF!)*100</f>
        <v>#REF!</v>
      </c>
      <c r="BL33" s="169">
        <f t="shared" si="42"/>
        <v>1656800</v>
      </c>
      <c r="BM33" s="169">
        <v>1657300</v>
      </c>
      <c r="BN33" s="170">
        <f t="shared" si="43"/>
        <v>500</v>
      </c>
      <c r="BO33" s="179">
        <f t="shared" si="44"/>
        <v>-100</v>
      </c>
      <c r="BP33" s="180" t="e">
        <f>(BN33/#REF!)*100</f>
        <v>#REF!</v>
      </c>
      <c r="BQ33" s="347">
        <f t="shared" si="45"/>
        <v>153030</v>
      </c>
      <c r="BR33" s="347">
        <v>153140</v>
      </c>
      <c r="BS33" s="352">
        <f t="shared" si="46"/>
        <v>110</v>
      </c>
      <c r="BT33" s="353">
        <f t="shared" si="47"/>
        <v>-10</v>
      </c>
      <c r="BU33" s="354" t="e">
        <f>(BS33/#REF!)*100</f>
        <v>#REF!</v>
      </c>
      <c r="BV33" s="169">
        <f t="shared" si="48"/>
        <v>632660</v>
      </c>
      <c r="BW33" s="169">
        <v>633000</v>
      </c>
      <c r="BX33" s="170">
        <f t="shared" si="49"/>
        <v>340</v>
      </c>
      <c r="BY33" s="179">
        <f t="shared" si="50"/>
        <v>30</v>
      </c>
      <c r="BZ33" s="180" t="e">
        <f>(BX33/#REF!)*100</f>
        <v>#REF!</v>
      </c>
      <c r="CA33" s="347">
        <f t="shared" si="51"/>
        <v>1220100</v>
      </c>
      <c r="CB33" s="347">
        <v>1221200</v>
      </c>
      <c r="CC33" s="352">
        <f t="shared" si="52"/>
        <v>1100</v>
      </c>
      <c r="CD33" s="353">
        <f t="shared" si="53"/>
        <v>-100</v>
      </c>
      <c r="CE33" s="354" t="e">
        <f>(CC33/#REF!)*100</f>
        <v>#REF!</v>
      </c>
      <c r="CF33" s="169">
        <f t="shared" si="54"/>
        <v>404840</v>
      </c>
      <c r="CG33" s="169">
        <v>405270</v>
      </c>
      <c r="CH33" s="170">
        <f t="shared" si="55"/>
        <v>430</v>
      </c>
      <c r="CI33" s="179">
        <f t="shared" si="56"/>
        <v>40</v>
      </c>
      <c r="CJ33" s="180" t="e">
        <f>(CH33/#REF!)*100</f>
        <v>#REF!</v>
      </c>
      <c r="CK33" s="170">
        <f t="shared" si="57"/>
        <v>930520</v>
      </c>
      <c r="CL33" s="170">
        <v>931310</v>
      </c>
      <c r="CM33" s="170">
        <f t="shared" si="58"/>
        <v>790</v>
      </c>
      <c r="CN33" s="179">
        <f t="shared" si="59"/>
        <v>-240</v>
      </c>
      <c r="CO33" s="180" t="e">
        <f>(CM33/#REF!)*100</f>
        <v>#REF!</v>
      </c>
      <c r="CP33" s="360">
        <f t="shared" si="110"/>
        <v>775040</v>
      </c>
      <c r="CQ33" s="360">
        <v>775820</v>
      </c>
      <c r="CR33" s="364">
        <f t="shared" si="109"/>
        <v>780</v>
      </c>
      <c r="CS33" s="365">
        <f t="shared" si="60"/>
        <v>-280</v>
      </c>
      <c r="CT33" s="366" t="e">
        <f>(CR33/#REF!)*100</f>
        <v>#REF!</v>
      </c>
      <c r="CU33" s="169">
        <f t="shared" si="61"/>
        <v>637750</v>
      </c>
      <c r="CV33" s="169">
        <v>638200</v>
      </c>
      <c r="CW33" s="170">
        <f t="shared" si="62"/>
        <v>450</v>
      </c>
      <c r="CX33" s="179">
        <f t="shared" si="63"/>
        <v>-200</v>
      </c>
      <c r="CY33" s="180" t="e">
        <f>(CW33/#REF!)*100</f>
        <v>#REF!</v>
      </c>
      <c r="CZ33" s="360">
        <f t="shared" si="64"/>
        <v>1065300</v>
      </c>
      <c r="DA33" s="360">
        <v>1066300</v>
      </c>
      <c r="DB33" s="368">
        <f t="shared" si="65"/>
        <v>1000</v>
      </c>
      <c r="DC33" s="365">
        <f t="shared" si="66"/>
        <v>-100</v>
      </c>
      <c r="DD33" s="366" t="e">
        <f>(DB33/#REF!)*100</f>
        <v>#REF!</v>
      </c>
      <c r="DE33" s="169">
        <f t="shared" si="67"/>
        <v>817830</v>
      </c>
      <c r="DF33" s="169">
        <v>818400</v>
      </c>
      <c r="DG33" s="170">
        <f t="shared" si="68"/>
        <v>570</v>
      </c>
      <c r="DH33" s="179">
        <f t="shared" si="69"/>
        <v>-260</v>
      </c>
      <c r="DI33" s="180" t="e">
        <f>(DG33/#REF!)*100</f>
        <v>#REF!</v>
      </c>
      <c r="DJ33" s="360">
        <f t="shared" si="70"/>
        <v>702790</v>
      </c>
      <c r="DK33" s="360">
        <v>703260</v>
      </c>
      <c r="DL33" s="368">
        <f t="shared" si="71"/>
        <v>470</v>
      </c>
      <c r="DM33" s="365">
        <f t="shared" si="72"/>
        <v>-160</v>
      </c>
      <c r="DN33" s="366" t="e">
        <f>(DL33/#REF!)*100</f>
        <v>#REF!</v>
      </c>
      <c r="DO33" s="169">
        <f t="shared" si="73"/>
        <v>381300</v>
      </c>
      <c r="DP33" s="169">
        <v>381620</v>
      </c>
      <c r="DQ33" s="170">
        <f t="shared" si="74"/>
        <v>320</v>
      </c>
      <c r="DR33" s="179">
        <f t="shared" si="75"/>
        <v>10</v>
      </c>
      <c r="DS33" s="180" t="e">
        <f>(DQ33/#REF!)*100</f>
        <v>#REF!</v>
      </c>
      <c r="DT33" s="360">
        <f t="shared" si="76"/>
        <v>129620</v>
      </c>
      <c r="DU33" s="360">
        <v>129730</v>
      </c>
      <c r="DV33" s="368">
        <f t="shared" si="77"/>
        <v>110</v>
      </c>
      <c r="DW33" s="365">
        <f t="shared" si="78"/>
        <v>-10</v>
      </c>
      <c r="DX33" s="366" t="e">
        <f>(DV33/#REF!)*100</f>
        <v>#REF!</v>
      </c>
      <c r="DY33" s="169">
        <f t="shared" si="79"/>
        <v>834680</v>
      </c>
      <c r="DZ33" s="169">
        <v>835590</v>
      </c>
      <c r="EA33" s="170">
        <f t="shared" si="80"/>
        <v>910</v>
      </c>
      <c r="EB33" s="179">
        <f t="shared" si="81"/>
        <v>-120</v>
      </c>
      <c r="EC33" s="180" t="e">
        <f>(EA33/#REF!)*100</f>
        <v>#REF!</v>
      </c>
      <c r="ED33" s="360">
        <f t="shared" si="82"/>
        <v>263810</v>
      </c>
      <c r="EE33" s="360">
        <v>264060</v>
      </c>
      <c r="EF33" s="368">
        <f t="shared" si="83"/>
        <v>250</v>
      </c>
      <c r="EG33" s="365">
        <f t="shared" si="84"/>
        <v>-40</v>
      </c>
      <c r="EH33" s="366" t="e">
        <f>(EF33/#REF!)*100</f>
        <v>#REF!</v>
      </c>
      <c r="EI33" s="169">
        <f t="shared" si="85"/>
        <v>302310</v>
      </c>
      <c r="EJ33" s="169">
        <v>302710</v>
      </c>
      <c r="EK33" s="170">
        <f t="shared" si="86"/>
        <v>400</v>
      </c>
      <c r="EL33" s="179">
        <f t="shared" si="87"/>
        <v>40</v>
      </c>
      <c r="EM33" s="180" t="e">
        <f>(EK33/#REF!)*100</f>
        <v>#REF!</v>
      </c>
      <c r="EN33" s="360">
        <f t="shared" si="88"/>
        <v>488360</v>
      </c>
      <c r="EO33" s="360">
        <v>488880</v>
      </c>
      <c r="EP33" s="368">
        <f t="shared" si="89"/>
        <v>520</v>
      </c>
      <c r="EQ33" s="365">
        <f t="shared" si="90"/>
        <v>10</v>
      </c>
      <c r="ER33" s="366" t="e">
        <f>(EP33/#REF!)*100</f>
        <v>#REF!</v>
      </c>
      <c r="ES33" s="169">
        <f t="shared" si="91"/>
        <v>0</v>
      </c>
      <c r="ET33" s="169"/>
      <c r="EU33" s="170">
        <f t="shared" si="92"/>
        <v>0</v>
      </c>
      <c r="EV33" s="179">
        <f t="shared" si="93"/>
        <v>0</v>
      </c>
      <c r="EW33" s="180" t="e">
        <f>(EU33/#REF!)*100</f>
        <v>#REF!</v>
      </c>
      <c r="EX33" s="169">
        <f t="shared" si="94"/>
        <v>0</v>
      </c>
      <c r="EY33" s="169"/>
      <c r="EZ33" s="170">
        <f t="shared" si="95"/>
        <v>0</v>
      </c>
      <c r="FA33" s="179">
        <f t="shared" si="96"/>
        <v>0</v>
      </c>
      <c r="FB33" s="180" t="e">
        <f>(EZ33/#REF!)*100</f>
        <v>#REF!</v>
      </c>
      <c r="FC33" s="169">
        <f t="shared" si="97"/>
        <v>0</v>
      </c>
      <c r="FD33" s="169"/>
      <c r="FE33" s="170">
        <f t="shared" si="98"/>
        <v>0</v>
      </c>
      <c r="FF33" s="179">
        <f t="shared" si="99"/>
        <v>0</v>
      </c>
      <c r="FG33" s="180" t="e">
        <f>(FE33/#REF!)*100</f>
        <v>#REF!</v>
      </c>
      <c r="FH33" s="241"/>
      <c r="FI33" s="241"/>
      <c r="FJ33" s="241"/>
      <c r="FK33" s="241"/>
      <c r="FL33" s="241"/>
      <c r="FM33" s="169">
        <f t="shared" si="100"/>
        <v>0</v>
      </c>
      <c r="FN33" s="169"/>
      <c r="FO33" s="170">
        <f t="shared" si="101"/>
        <v>0</v>
      </c>
      <c r="FP33" s="179">
        <f t="shared" si="102"/>
        <v>0</v>
      </c>
      <c r="FQ33" s="180" t="e">
        <f>(FO33/#REF!)*100</f>
        <v>#REF!</v>
      </c>
      <c r="FR33" s="169">
        <f t="shared" si="103"/>
        <v>0</v>
      </c>
      <c r="FS33" s="169"/>
      <c r="FT33" s="170">
        <f t="shared" si="104"/>
        <v>0</v>
      </c>
      <c r="FU33" s="179">
        <f t="shared" si="105"/>
        <v>0</v>
      </c>
      <c r="FV33" s="180" t="e">
        <f>(FT33/#REF!)*100</f>
        <v>#REF!</v>
      </c>
      <c r="FW33" s="169">
        <f t="shared" si="106"/>
        <v>0</v>
      </c>
      <c r="FX33" s="169"/>
      <c r="FY33" s="170">
        <f t="shared" si="107"/>
        <v>0</v>
      </c>
      <c r="FZ33" s="179">
        <f t="shared" si="108"/>
        <v>0</v>
      </c>
      <c r="GA33" s="180" t="e">
        <f>(FY33/#REF!)*100</f>
        <v>#REF!</v>
      </c>
      <c r="GB33" s="219"/>
      <c r="GC33" s="225">
        <f t="shared" si="1"/>
        <v>6998</v>
      </c>
      <c r="GD33" s="222"/>
      <c r="GE33" s="225">
        <f t="shared" si="2"/>
        <v>6990</v>
      </c>
      <c r="GF33" s="222"/>
      <c r="GG33" s="225">
        <f t="shared" si="3"/>
        <v>2600</v>
      </c>
      <c r="GH33" s="222"/>
      <c r="GI33" s="225">
        <f t="shared" si="4"/>
        <v>1169</v>
      </c>
      <c r="GJ33" s="222"/>
      <c r="GK33" s="225">
        <f t="shared" si="5"/>
        <v>610</v>
      </c>
      <c r="GL33" s="222"/>
      <c r="GM33" s="225">
        <f t="shared" si="6"/>
        <v>0</v>
      </c>
      <c r="GN33" s="222"/>
    </row>
    <row r="34" spans="1:196" s="3" customFormat="1" ht="13.5" customHeight="1">
      <c r="A34" s="213">
        <v>30</v>
      </c>
      <c r="B34" s="216" t="e">
        <f>#REF!</f>
        <v>#REF!</v>
      </c>
      <c r="C34" s="211">
        <f t="shared" si="7"/>
        <v>27527968</v>
      </c>
      <c r="D34" s="167">
        <v>27531446</v>
      </c>
      <c r="E34" s="168">
        <f t="shared" si="8"/>
        <v>3478</v>
      </c>
      <c r="F34" s="175">
        <f t="shared" si="9"/>
        <v>115</v>
      </c>
      <c r="G34" s="176" t="e">
        <f>(E34/#REF!)*100</f>
        <v>#REF!</v>
      </c>
      <c r="H34" s="186">
        <f t="shared" si="10"/>
        <v>25478752</v>
      </c>
      <c r="I34" s="189">
        <v>25482676</v>
      </c>
      <c r="J34" s="167">
        <f t="shared" si="11"/>
        <v>3924</v>
      </c>
      <c r="K34" s="187">
        <f t="shared" si="12"/>
        <v>289</v>
      </c>
      <c r="L34" s="188" t="e">
        <f>(J34/#REF!)*100</f>
        <v>#REF!</v>
      </c>
      <c r="M34" s="172">
        <f t="shared" si="13"/>
        <v>93513116</v>
      </c>
      <c r="N34" s="169">
        <v>93523892</v>
      </c>
      <c r="O34" s="170">
        <f t="shared" si="14"/>
        <v>10776</v>
      </c>
      <c r="P34" s="179">
        <f t="shared" si="15"/>
        <v>-761</v>
      </c>
      <c r="Q34" s="180" t="e">
        <f>(O34/#REF!)*100</f>
        <v>#REF!</v>
      </c>
      <c r="R34" s="351">
        <f t="shared" si="16"/>
        <v>3353000</v>
      </c>
      <c r="S34" s="347">
        <v>3355100</v>
      </c>
      <c r="T34" s="352">
        <f t="shared" si="17"/>
        <v>2100</v>
      </c>
      <c r="U34" s="353">
        <f t="shared" si="18"/>
        <v>0</v>
      </c>
      <c r="V34" s="354" t="e">
        <f>(T34/#REF!)*100</f>
        <v>#REF!</v>
      </c>
      <c r="W34" s="169">
        <f t="shared" si="19"/>
        <v>4487232</v>
      </c>
      <c r="X34" s="169">
        <v>4490099</v>
      </c>
      <c r="Y34" s="170">
        <f t="shared" si="20"/>
        <v>2867</v>
      </c>
      <c r="Z34" s="179">
        <f t="shared" si="21"/>
        <v>57</v>
      </c>
      <c r="AA34" s="180" t="e">
        <f>(Y34/#REF!)*100</f>
        <v>#REF!</v>
      </c>
      <c r="AB34" s="347">
        <f t="shared" si="22"/>
        <v>2913000</v>
      </c>
      <c r="AC34" s="352">
        <v>2914600</v>
      </c>
      <c r="AD34" s="352">
        <f t="shared" si="0"/>
        <v>1600</v>
      </c>
      <c r="AE34" s="357">
        <f>AD34/WATER!V35</f>
        <v>4.833836858006042</v>
      </c>
      <c r="AF34" s="353">
        <f t="shared" si="23"/>
        <v>100</v>
      </c>
      <c r="AG34" s="354" t="e">
        <f>(AD34/#REF!)*100</f>
        <v>#REF!</v>
      </c>
      <c r="AH34" s="169">
        <f t="shared" si="24"/>
        <v>1147493</v>
      </c>
      <c r="AI34" s="169">
        <v>1148003</v>
      </c>
      <c r="AJ34" s="170">
        <f t="shared" si="25"/>
        <v>510</v>
      </c>
      <c r="AK34" s="179">
        <f t="shared" si="26"/>
        <v>-4</v>
      </c>
      <c r="AL34" s="180" t="e">
        <f>(AJ34/#REF!)*100</f>
        <v>#REF!</v>
      </c>
      <c r="AM34" s="347">
        <f t="shared" si="27"/>
        <v>1181500</v>
      </c>
      <c r="AN34" s="347">
        <v>1182200</v>
      </c>
      <c r="AO34" s="352">
        <f t="shared" si="28"/>
        <v>700</v>
      </c>
      <c r="AP34" s="353">
        <f t="shared" si="29"/>
        <v>0</v>
      </c>
      <c r="AQ34" s="354" t="e">
        <f>(AO34/#REF!)*100</f>
        <v>#REF!</v>
      </c>
      <c r="AR34" s="169">
        <f t="shared" si="30"/>
        <v>2669900</v>
      </c>
      <c r="AS34" s="169">
        <v>2671600</v>
      </c>
      <c r="AT34" s="170">
        <f t="shared" si="31"/>
        <v>1700</v>
      </c>
      <c r="AU34" s="179">
        <f t="shared" si="32"/>
        <v>-200</v>
      </c>
      <c r="AV34" s="180" t="e">
        <f>(AT34/#REF!)*100</f>
        <v>#REF!</v>
      </c>
      <c r="AW34" s="347">
        <f t="shared" si="33"/>
        <v>59799</v>
      </c>
      <c r="AX34" s="347">
        <v>60151</v>
      </c>
      <c r="AY34" s="352">
        <f t="shared" si="34"/>
        <v>352</v>
      </c>
      <c r="AZ34" s="353">
        <f t="shared" si="35"/>
        <v>-17</v>
      </c>
      <c r="BA34" s="354" t="e">
        <f>(AY34/#REF!)*100</f>
        <v>#REF!</v>
      </c>
      <c r="BB34" s="169">
        <f t="shared" si="36"/>
        <v>1044000</v>
      </c>
      <c r="BC34" s="169">
        <v>1044300</v>
      </c>
      <c r="BD34" s="170">
        <f t="shared" si="37"/>
        <v>300</v>
      </c>
      <c r="BE34" s="179">
        <f t="shared" si="38"/>
        <v>-200</v>
      </c>
      <c r="BF34" s="180" t="e">
        <f>(BD34/#REF!)*100</f>
        <v>#REF!</v>
      </c>
      <c r="BG34" s="347">
        <f t="shared" si="39"/>
        <v>1107200</v>
      </c>
      <c r="BH34" s="347">
        <v>1107400</v>
      </c>
      <c r="BI34" s="352">
        <f t="shared" si="40"/>
        <v>200</v>
      </c>
      <c r="BJ34" s="353">
        <f t="shared" si="41"/>
        <v>-100</v>
      </c>
      <c r="BK34" s="354" t="e">
        <f>(BI34/#REF!)*100</f>
        <v>#REF!</v>
      </c>
      <c r="BL34" s="169">
        <f t="shared" si="42"/>
        <v>1657300</v>
      </c>
      <c r="BM34" s="169">
        <v>1657800</v>
      </c>
      <c r="BN34" s="170">
        <f t="shared" si="43"/>
        <v>500</v>
      </c>
      <c r="BO34" s="179">
        <f t="shared" si="44"/>
        <v>0</v>
      </c>
      <c r="BP34" s="180" t="e">
        <f>(BN34/#REF!)*100</f>
        <v>#REF!</v>
      </c>
      <c r="BQ34" s="347">
        <f t="shared" si="45"/>
        <v>153140</v>
      </c>
      <c r="BR34" s="347">
        <v>153250</v>
      </c>
      <c r="BS34" s="352">
        <f t="shared" si="46"/>
        <v>110</v>
      </c>
      <c r="BT34" s="353">
        <f t="shared" si="47"/>
        <v>0</v>
      </c>
      <c r="BU34" s="354" t="e">
        <f>(BS34/#REF!)*100</f>
        <v>#REF!</v>
      </c>
      <c r="BV34" s="169">
        <f t="shared" si="48"/>
        <v>633000</v>
      </c>
      <c r="BW34" s="169">
        <v>633330</v>
      </c>
      <c r="BX34" s="170">
        <f t="shared" si="49"/>
        <v>330</v>
      </c>
      <c r="BY34" s="179">
        <f t="shared" si="50"/>
        <v>-10</v>
      </c>
      <c r="BZ34" s="180" t="e">
        <f>(BX34/#REF!)*100</f>
        <v>#REF!</v>
      </c>
      <c r="CA34" s="347">
        <f t="shared" si="51"/>
        <v>1221200</v>
      </c>
      <c r="CB34" s="347">
        <v>1222400</v>
      </c>
      <c r="CC34" s="352">
        <f t="shared" si="52"/>
        <v>1200</v>
      </c>
      <c r="CD34" s="353">
        <f t="shared" si="53"/>
        <v>100</v>
      </c>
      <c r="CE34" s="354" t="e">
        <f>(CC34/#REF!)*100</f>
        <v>#REF!</v>
      </c>
      <c r="CF34" s="169">
        <f t="shared" si="54"/>
        <v>405270</v>
      </c>
      <c r="CG34" s="169">
        <v>405660</v>
      </c>
      <c r="CH34" s="170">
        <f t="shared" si="55"/>
        <v>390</v>
      </c>
      <c r="CI34" s="179">
        <f t="shared" si="56"/>
        <v>-40</v>
      </c>
      <c r="CJ34" s="180" t="e">
        <f>(CH34/#REF!)*100</f>
        <v>#REF!</v>
      </c>
      <c r="CK34" s="170">
        <f t="shared" si="57"/>
        <v>931310</v>
      </c>
      <c r="CL34" s="170">
        <v>932120</v>
      </c>
      <c r="CM34" s="170">
        <f t="shared" si="58"/>
        <v>810</v>
      </c>
      <c r="CN34" s="179">
        <f t="shared" si="59"/>
        <v>20</v>
      </c>
      <c r="CO34" s="180" t="e">
        <f>(CM34/#REF!)*100</f>
        <v>#REF!</v>
      </c>
      <c r="CP34" s="360">
        <f t="shared" si="110"/>
        <v>775820</v>
      </c>
      <c r="CQ34" s="360">
        <v>776650</v>
      </c>
      <c r="CR34" s="364">
        <f t="shared" si="109"/>
        <v>830</v>
      </c>
      <c r="CS34" s="365">
        <f t="shared" si="60"/>
        <v>50</v>
      </c>
      <c r="CT34" s="366" t="e">
        <f>(CR34/#REF!)*100</f>
        <v>#REF!</v>
      </c>
      <c r="CU34" s="169">
        <f t="shared" si="61"/>
        <v>638200</v>
      </c>
      <c r="CV34" s="169">
        <v>638700</v>
      </c>
      <c r="CW34" s="170">
        <f t="shared" si="62"/>
        <v>500</v>
      </c>
      <c r="CX34" s="179">
        <f t="shared" si="63"/>
        <v>50</v>
      </c>
      <c r="CY34" s="180" t="e">
        <f>(CW34/#REF!)*100</f>
        <v>#REF!</v>
      </c>
      <c r="CZ34" s="360">
        <f t="shared" si="64"/>
        <v>1066300</v>
      </c>
      <c r="DA34" s="360">
        <v>1067300</v>
      </c>
      <c r="DB34" s="368">
        <f t="shared" si="65"/>
        <v>1000</v>
      </c>
      <c r="DC34" s="365">
        <f t="shared" si="66"/>
        <v>0</v>
      </c>
      <c r="DD34" s="366" t="e">
        <f>(DB34/#REF!)*100</f>
        <v>#REF!</v>
      </c>
      <c r="DE34" s="169">
        <f t="shared" si="67"/>
        <v>818400</v>
      </c>
      <c r="DF34" s="169">
        <v>819260</v>
      </c>
      <c r="DG34" s="170">
        <f t="shared" si="68"/>
        <v>860</v>
      </c>
      <c r="DH34" s="179">
        <f t="shared" si="69"/>
        <v>290</v>
      </c>
      <c r="DI34" s="180" t="e">
        <f>(DG34/#REF!)*100</f>
        <v>#REF!</v>
      </c>
      <c r="DJ34" s="360">
        <f t="shared" si="70"/>
        <v>703260</v>
      </c>
      <c r="DK34" s="360">
        <v>703860</v>
      </c>
      <c r="DL34" s="368">
        <f t="shared" si="71"/>
        <v>600</v>
      </c>
      <c r="DM34" s="365">
        <f t="shared" si="72"/>
        <v>130</v>
      </c>
      <c r="DN34" s="366" t="e">
        <f>(DL34/#REF!)*100</f>
        <v>#REF!</v>
      </c>
      <c r="DO34" s="169">
        <f t="shared" si="73"/>
        <v>381620</v>
      </c>
      <c r="DP34" s="169">
        <v>381950</v>
      </c>
      <c r="DQ34" s="170">
        <f t="shared" si="74"/>
        <v>330</v>
      </c>
      <c r="DR34" s="179">
        <f t="shared" si="75"/>
        <v>10</v>
      </c>
      <c r="DS34" s="180" t="e">
        <f>(DQ34/#REF!)*100</f>
        <v>#REF!</v>
      </c>
      <c r="DT34" s="360">
        <f t="shared" si="76"/>
        <v>129730</v>
      </c>
      <c r="DU34" s="360">
        <v>129860</v>
      </c>
      <c r="DV34" s="368">
        <f t="shared" si="77"/>
        <v>130</v>
      </c>
      <c r="DW34" s="365">
        <f t="shared" si="78"/>
        <v>20</v>
      </c>
      <c r="DX34" s="366" t="e">
        <f>(DV34/#REF!)*100</f>
        <v>#REF!</v>
      </c>
      <c r="DY34" s="169">
        <f t="shared" si="79"/>
        <v>835590</v>
      </c>
      <c r="DZ34" s="169">
        <v>836610</v>
      </c>
      <c r="EA34" s="170">
        <f t="shared" si="80"/>
        <v>1020</v>
      </c>
      <c r="EB34" s="179">
        <f t="shared" si="81"/>
        <v>110</v>
      </c>
      <c r="EC34" s="180" t="e">
        <f>(EA34/#REF!)*100</f>
        <v>#REF!</v>
      </c>
      <c r="ED34" s="360">
        <f t="shared" si="82"/>
        <v>264060</v>
      </c>
      <c r="EE34" s="360">
        <v>264370</v>
      </c>
      <c r="EF34" s="368">
        <f t="shared" si="83"/>
        <v>310</v>
      </c>
      <c r="EG34" s="365">
        <f t="shared" si="84"/>
        <v>60</v>
      </c>
      <c r="EH34" s="366" t="e">
        <f>(EF34/#REF!)*100</f>
        <v>#REF!</v>
      </c>
      <c r="EI34" s="169">
        <f t="shared" si="85"/>
        <v>302710</v>
      </c>
      <c r="EJ34" s="169">
        <v>303080</v>
      </c>
      <c r="EK34" s="170">
        <f t="shared" si="86"/>
        <v>370</v>
      </c>
      <c r="EL34" s="179">
        <f t="shared" si="87"/>
        <v>-30</v>
      </c>
      <c r="EM34" s="180" t="e">
        <f>(EK34/#REF!)*100</f>
        <v>#REF!</v>
      </c>
      <c r="EN34" s="360">
        <f t="shared" si="88"/>
        <v>488880</v>
      </c>
      <c r="EO34" s="360">
        <v>489420</v>
      </c>
      <c r="EP34" s="368">
        <f t="shared" si="89"/>
        <v>540</v>
      </c>
      <c r="EQ34" s="365">
        <f t="shared" si="90"/>
        <v>20</v>
      </c>
      <c r="ER34" s="366" t="e">
        <f>(EP34/#REF!)*100</f>
        <v>#REF!</v>
      </c>
      <c r="ES34" s="169">
        <f t="shared" si="91"/>
        <v>0</v>
      </c>
      <c r="ET34" s="169"/>
      <c r="EU34" s="170">
        <f t="shared" si="92"/>
        <v>0</v>
      </c>
      <c r="EV34" s="179">
        <f t="shared" si="93"/>
        <v>0</v>
      </c>
      <c r="EW34" s="180" t="e">
        <f>(EU34/#REF!)*100</f>
        <v>#REF!</v>
      </c>
      <c r="EX34" s="169">
        <f t="shared" si="94"/>
        <v>0</v>
      </c>
      <c r="EY34" s="169"/>
      <c r="EZ34" s="170">
        <f t="shared" si="95"/>
        <v>0</v>
      </c>
      <c r="FA34" s="179">
        <f t="shared" si="96"/>
        <v>0</v>
      </c>
      <c r="FB34" s="180" t="e">
        <f>(EZ34/#REF!)*100</f>
        <v>#REF!</v>
      </c>
      <c r="FC34" s="169">
        <f t="shared" si="97"/>
        <v>0</v>
      </c>
      <c r="FD34" s="169"/>
      <c r="FE34" s="170">
        <f t="shared" si="98"/>
        <v>0</v>
      </c>
      <c r="FF34" s="179">
        <f t="shared" si="99"/>
        <v>0</v>
      </c>
      <c r="FG34" s="180" t="e">
        <f>(FE34/#REF!)*100</f>
        <v>#REF!</v>
      </c>
      <c r="FH34" s="241"/>
      <c r="FI34" s="241"/>
      <c r="FJ34" s="241"/>
      <c r="FK34" s="241"/>
      <c r="FL34" s="241"/>
      <c r="FM34" s="169">
        <f t="shared" si="100"/>
        <v>0</v>
      </c>
      <c r="FN34" s="169"/>
      <c r="FO34" s="170">
        <f t="shared" si="101"/>
        <v>0</v>
      </c>
      <c r="FP34" s="179">
        <f t="shared" si="102"/>
        <v>0</v>
      </c>
      <c r="FQ34" s="180" t="e">
        <f>(FO34/#REF!)*100</f>
        <v>#REF!</v>
      </c>
      <c r="FR34" s="169">
        <f t="shared" si="103"/>
        <v>0</v>
      </c>
      <c r="FS34" s="169"/>
      <c r="FT34" s="170">
        <f t="shared" si="104"/>
        <v>0</v>
      </c>
      <c r="FU34" s="179">
        <f t="shared" si="105"/>
        <v>0</v>
      </c>
      <c r="FV34" s="180" t="e">
        <f>(FT34/#REF!)*100</f>
        <v>#REF!</v>
      </c>
      <c r="FW34" s="169">
        <f t="shared" si="106"/>
        <v>0</v>
      </c>
      <c r="FX34" s="169"/>
      <c r="FY34" s="170">
        <f t="shared" si="107"/>
        <v>0</v>
      </c>
      <c r="FZ34" s="179">
        <f t="shared" si="108"/>
        <v>0</v>
      </c>
      <c r="GA34" s="180" t="e">
        <f>(FY34/#REF!)*100</f>
        <v>#REF!</v>
      </c>
      <c r="GB34" s="219"/>
      <c r="GC34" s="225">
        <f t="shared" si="1"/>
        <v>7402</v>
      </c>
      <c r="GD34" s="222"/>
      <c r="GE34" s="225">
        <f t="shared" si="2"/>
        <v>7207</v>
      </c>
      <c r="GF34" s="222"/>
      <c r="GG34" s="225">
        <f t="shared" si="3"/>
        <v>2400</v>
      </c>
      <c r="GH34" s="222"/>
      <c r="GI34" s="225">
        <f t="shared" si="4"/>
        <v>852</v>
      </c>
      <c r="GJ34" s="222"/>
      <c r="GK34" s="225">
        <f t="shared" si="5"/>
        <v>610</v>
      </c>
      <c r="GL34" s="222"/>
      <c r="GM34" s="225">
        <f t="shared" si="6"/>
        <v>0</v>
      </c>
      <c r="GN34" s="222"/>
    </row>
    <row r="35" spans="1:196" s="3" customFormat="1" ht="13.5" customHeight="1" thickBot="1">
      <c r="A35" s="213">
        <v>31</v>
      </c>
      <c r="B35" s="216" t="e">
        <f>#REF!</f>
        <v>#REF!</v>
      </c>
      <c r="C35" s="211">
        <f t="shared" si="7"/>
        <v>27531446</v>
      </c>
      <c r="D35" s="167">
        <v>27535247</v>
      </c>
      <c r="E35" s="168">
        <f t="shared" si="8"/>
        <v>3801</v>
      </c>
      <c r="F35" s="175">
        <f>E35-E34</f>
        <v>323</v>
      </c>
      <c r="G35" s="176" t="e">
        <f>(E35/#REF!)*100</f>
        <v>#REF!</v>
      </c>
      <c r="H35" s="186">
        <f t="shared" si="10"/>
        <v>25482676</v>
      </c>
      <c r="I35" s="189">
        <v>25486753</v>
      </c>
      <c r="J35" s="167">
        <f t="shared" si="11"/>
        <v>4077</v>
      </c>
      <c r="K35" s="187">
        <f>J35-J34</f>
        <v>153</v>
      </c>
      <c r="L35" s="188" t="e">
        <f>(J35/#REF!)*100</f>
        <v>#REF!</v>
      </c>
      <c r="M35" s="340">
        <f t="shared" si="13"/>
        <v>93523892</v>
      </c>
      <c r="N35" s="341">
        <v>93534766</v>
      </c>
      <c r="O35" s="342">
        <f t="shared" si="14"/>
        <v>10874</v>
      </c>
      <c r="P35" s="343">
        <f>O35-O34</f>
        <v>98</v>
      </c>
      <c r="Q35" s="344" t="e">
        <f>(O35/#REF!)*100</f>
        <v>#REF!</v>
      </c>
      <c r="R35" s="351">
        <f t="shared" si="16"/>
        <v>3355100</v>
      </c>
      <c r="S35" s="347">
        <v>3357200</v>
      </c>
      <c r="T35" s="352">
        <f t="shared" si="17"/>
        <v>2100</v>
      </c>
      <c r="U35" s="353">
        <f>T35-T34</f>
        <v>0</v>
      </c>
      <c r="V35" s="354" t="e">
        <f>(T35/#REF!)*100</f>
        <v>#REF!</v>
      </c>
      <c r="W35" s="169">
        <f t="shared" si="19"/>
        <v>4490099</v>
      </c>
      <c r="X35" s="169">
        <v>4493021</v>
      </c>
      <c r="Y35" s="170">
        <f t="shared" si="20"/>
        <v>2922</v>
      </c>
      <c r="Z35" s="179">
        <f>Y35-Y34</f>
        <v>55</v>
      </c>
      <c r="AA35" s="180" t="e">
        <f>(Y35/#REF!)*100</f>
        <v>#REF!</v>
      </c>
      <c r="AB35" s="347">
        <f t="shared" si="22"/>
        <v>2914600</v>
      </c>
      <c r="AC35" s="352">
        <v>2916300</v>
      </c>
      <c r="AD35" s="352">
        <f t="shared" si="0"/>
        <v>1700</v>
      </c>
      <c r="AE35" s="357">
        <f>AD35/WATER!V36</f>
        <v>5.4487179487179489</v>
      </c>
      <c r="AF35" s="353">
        <f>AD35-AD34</f>
        <v>100</v>
      </c>
      <c r="AG35" s="354" t="e">
        <f>(AD35/#REF!)*100</f>
        <v>#REF!</v>
      </c>
      <c r="AH35" s="169">
        <f t="shared" si="24"/>
        <v>1148003</v>
      </c>
      <c r="AI35" s="169">
        <v>1148515</v>
      </c>
      <c r="AJ35" s="170">
        <f t="shared" si="25"/>
        <v>512</v>
      </c>
      <c r="AK35" s="179">
        <f>AJ35-AJ34</f>
        <v>2</v>
      </c>
      <c r="AL35" s="180" t="e">
        <f>(AJ35/#REF!)*100</f>
        <v>#REF!</v>
      </c>
      <c r="AM35" s="347">
        <f t="shared" si="27"/>
        <v>1182200</v>
      </c>
      <c r="AN35" s="347">
        <v>1182900</v>
      </c>
      <c r="AO35" s="352">
        <f t="shared" si="28"/>
        <v>700</v>
      </c>
      <c r="AP35" s="353">
        <f>AO35-AO34</f>
        <v>0</v>
      </c>
      <c r="AQ35" s="354" t="e">
        <f>(AO35/#REF!)*100</f>
        <v>#REF!</v>
      </c>
      <c r="AR35" s="169">
        <f t="shared" si="30"/>
        <v>2671600</v>
      </c>
      <c r="AS35" s="169">
        <v>2673200</v>
      </c>
      <c r="AT35" s="170">
        <f t="shared" si="31"/>
        <v>1600</v>
      </c>
      <c r="AU35" s="179">
        <f>AT35-AT34</f>
        <v>-100</v>
      </c>
      <c r="AV35" s="180" t="e">
        <f>(AT35/#REF!)*100</f>
        <v>#REF!</v>
      </c>
      <c r="AW35" s="347">
        <f t="shared" si="33"/>
        <v>60151</v>
      </c>
      <c r="AX35" s="347">
        <v>60508</v>
      </c>
      <c r="AY35" s="352">
        <f t="shared" si="34"/>
        <v>357</v>
      </c>
      <c r="AZ35" s="353">
        <f>AY35-AY34</f>
        <v>5</v>
      </c>
      <c r="BA35" s="354" t="e">
        <f>(AY35/#REF!)*100</f>
        <v>#REF!</v>
      </c>
      <c r="BB35" s="169">
        <f t="shared" si="36"/>
        <v>1044300</v>
      </c>
      <c r="BC35" s="169">
        <v>1044700</v>
      </c>
      <c r="BD35" s="170">
        <f t="shared" si="37"/>
        <v>400</v>
      </c>
      <c r="BE35" s="179">
        <f>BD35-BD34</f>
        <v>100</v>
      </c>
      <c r="BF35" s="180" t="e">
        <f>(BD35/#REF!)*100</f>
        <v>#REF!</v>
      </c>
      <c r="BG35" s="347">
        <f t="shared" si="39"/>
        <v>1107400</v>
      </c>
      <c r="BH35" s="347">
        <v>1107700</v>
      </c>
      <c r="BI35" s="352">
        <f t="shared" si="40"/>
        <v>300</v>
      </c>
      <c r="BJ35" s="353">
        <f>BI35-BI34</f>
        <v>100</v>
      </c>
      <c r="BK35" s="354" t="e">
        <f>(BI35/#REF!)*100</f>
        <v>#REF!</v>
      </c>
      <c r="BL35" s="169">
        <f t="shared" si="42"/>
        <v>1657800</v>
      </c>
      <c r="BM35" s="169">
        <v>1658300</v>
      </c>
      <c r="BN35" s="170">
        <f t="shared" si="43"/>
        <v>500</v>
      </c>
      <c r="BO35" s="179">
        <f>BN35-BN34</f>
        <v>0</v>
      </c>
      <c r="BP35" s="180" t="e">
        <f>(BN35/#REF!)*100</f>
        <v>#REF!</v>
      </c>
      <c r="BQ35" s="347">
        <f t="shared" si="45"/>
        <v>153250</v>
      </c>
      <c r="BR35" s="347">
        <v>153360</v>
      </c>
      <c r="BS35" s="352">
        <f t="shared" si="46"/>
        <v>110</v>
      </c>
      <c r="BT35" s="353">
        <f>BS35-BS34</f>
        <v>0</v>
      </c>
      <c r="BU35" s="354" t="e">
        <f>(BS35/#REF!)*100</f>
        <v>#REF!</v>
      </c>
      <c r="BV35" s="169">
        <f t="shared" si="48"/>
        <v>633330</v>
      </c>
      <c r="BW35" s="169">
        <v>633640</v>
      </c>
      <c r="BX35" s="170">
        <f t="shared" si="49"/>
        <v>310</v>
      </c>
      <c r="BY35" s="179">
        <f>BX35-BX34</f>
        <v>-20</v>
      </c>
      <c r="BZ35" s="180" t="e">
        <f>(BX35/#REF!)*100</f>
        <v>#REF!</v>
      </c>
      <c r="CA35" s="347">
        <f t="shared" si="51"/>
        <v>1222400</v>
      </c>
      <c r="CB35" s="347">
        <v>1223500</v>
      </c>
      <c r="CC35" s="352">
        <f t="shared" si="52"/>
        <v>1100</v>
      </c>
      <c r="CD35" s="353">
        <f>CC35-CC34</f>
        <v>-100</v>
      </c>
      <c r="CE35" s="354" t="e">
        <f>(CC35/#REF!)*100</f>
        <v>#REF!</v>
      </c>
      <c r="CF35" s="169">
        <f t="shared" si="54"/>
        <v>405660</v>
      </c>
      <c r="CG35" s="169">
        <v>406090</v>
      </c>
      <c r="CH35" s="170">
        <f t="shared" si="55"/>
        <v>430</v>
      </c>
      <c r="CI35" s="179">
        <f>CH35-CH34</f>
        <v>40</v>
      </c>
      <c r="CJ35" s="180" t="e">
        <f>(CH35/#REF!)*100</f>
        <v>#REF!</v>
      </c>
      <c r="CK35" s="170">
        <f t="shared" si="57"/>
        <v>932120</v>
      </c>
      <c r="CL35" s="170">
        <v>933030</v>
      </c>
      <c r="CM35" s="170">
        <f t="shared" si="58"/>
        <v>910</v>
      </c>
      <c r="CN35" s="179">
        <f>CM35-CM34</f>
        <v>100</v>
      </c>
      <c r="CO35" s="180" t="e">
        <f>(CM35/#REF!)*100</f>
        <v>#REF!</v>
      </c>
      <c r="CP35" s="360">
        <f t="shared" si="110"/>
        <v>776650</v>
      </c>
      <c r="CQ35" s="360">
        <v>777600</v>
      </c>
      <c r="CR35" s="364">
        <f t="shared" si="109"/>
        <v>950</v>
      </c>
      <c r="CS35" s="365">
        <f>CR35-CR34</f>
        <v>120</v>
      </c>
      <c r="CT35" s="366" t="e">
        <f>(CR35/#REF!)*100</f>
        <v>#REF!</v>
      </c>
      <c r="CU35" s="169">
        <f t="shared" si="61"/>
        <v>638700</v>
      </c>
      <c r="CV35" s="169">
        <v>639240</v>
      </c>
      <c r="CW35" s="170">
        <f t="shared" si="62"/>
        <v>540</v>
      </c>
      <c r="CX35" s="179">
        <f>CW35-CW34</f>
        <v>40</v>
      </c>
      <c r="CY35" s="180" t="e">
        <f>(CW35/#REF!)*100</f>
        <v>#REF!</v>
      </c>
      <c r="CZ35" s="360">
        <f t="shared" si="64"/>
        <v>1067300</v>
      </c>
      <c r="DA35" s="360">
        <v>1068200</v>
      </c>
      <c r="DB35" s="368">
        <f t="shared" si="65"/>
        <v>900</v>
      </c>
      <c r="DC35" s="365">
        <f>DB35-DB34</f>
        <v>-100</v>
      </c>
      <c r="DD35" s="366" t="e">
        <f>(DB35/#REF!)*100</f>
        <v>#REF!</v>
      </c>
      <c r="DE35" s="169">
        <f t="shared" si="67"/>
        <v>819260</v>
      </c>
      <c r="DF35" s="169">
        <v>820060</v>
      </c>
      <c r="DG35" s="170">
        <f t="shared" si="68"/>
        <v>800</v>
      </c>
      <c r="DH35" s="179">
        <f>DG35-DG34</f>
        <v>-60</v>
      </c>
      <c r="DI35" s="180" t="e">
        <f>(DG35/#REF!)*100</f>
        <v>#REF!</v>
      </c>
      <c r="DJ35" s="360">
        <f t="shared" si="70"/>
        <v>703860</v>
      </c>
      <c r="DK35" s="360">
        <v>704430</v>
      </c>
      <c r="DL35" s="368">
        <f t="shared" si="71"/>
        <v>570</v>
      </c>
      <c r="DM35" s="365">
        <f>DL35-DL34</f>
        <v>-30</v>
      </c>
      <c r="DN35" s="366" t="e">
        <f>(DL35/#REF!)*100</f>
        <v>#REF!</v>
      </c>
      <c r="DO35" s="169">
        <f t="shared" si="73"/>
        <v>381950</v>
      </c>
      <c r="DP35" s="169">
        <v>382290</v>
      </c>
      <c r="DQ35" s="170">
        <f t="shared" si="74"/>
        <v>340</v>
      </c>
      <c r="DR35" s="179">
        <f>DQ35-DQ34</f>
        <v>10</v>
      </c>
      <c r="DS35" s="180" t="e">
        <f>(DQ35/#REF!)*100</f>
        <v>#REF!</v>
      </c>
      <c r="DT35" s="360">
        <f t="shared" si="76"/>
        <v>129860</v>
      </c>
      <c r="DU35" s="360">
        <v>129980</v>
      </c>
      <c r="DV35" s="368">
        <f t="shared" si="77"/>
        <v>120</v>
      </c>
      <c r="DW35" s="365">
        <f>DV35-DV34</f>
        <v>-10</v>
      </c>
      <c r="DX35" s="366" t="e">
        <f>(DV35/#REF!)*100</f>
        <v>#REF!</v>
      </c>
      <c r="DY35" s="169">
        <f t="shared" si="79"/>
        <v>836610</v>
      </c>
      <c r="DZ35" s="169">
        <v>837610</v>
      </c>
      <c r="EA35" s="170">
        <f t="shared" si="80"/>
        <v>1000</v>
      </c>
      <c r="EB35" s="179">
        <f>EA35-EA34</f>
        <v>-20</v>
      </c>
      <c r="EC35" s="180" t="e">
        <f>(EA35/#REF!)*100</f>
        <v>#REF!</v>
      </c>
      <c r="ED35" s="360">
        <f t="shared" si="82"/>
        <v>264370</v>
      </c>
      <c r="EE35" s="360">
        <v>264640</v>
      </c>
      <c r="EF35" s="368">
        <f t="shared" si="83"/>
        <v>270</v>
      </c>
      <c r="EG35" s="365">
        <f>EF35-EF34</f>
        <v>-40</v>
      </c>
      <c r="EH35" s="366" t="e">
        <f>(EF35/#REF!)*100</f>
        <v>#REF!</v>
      </c>
      <c r="EI35" s="169">
        <f t="shared" si="85"/>
        <v>303080</v>
      </c>
      <c r="EJ35" s="169">
        <v>303460</v>
      </c>
      <c r="EK35" s="170">
        <f t="shared" si="86"/>
        <v>380</v>
      </c>
      <c r="EL35" s="179">
        <f>EK35-EK34</f>
        <v>10</v>
      </c>
      <c r="EM35" s="180" t="e">
        <f>(EK35/#REF!)*100</f>
        <v>#REF!</v>
      </c>
      <c r="EN35" s="360">
        <f t="shared" si="88"/>
        <v>489420</v>
      </c>
      <c r="EO35" s="360">
        <v>489950</v>
      </c>
      <c r="EP35" s="368">
        <f t="shared" si="89"/>
        <v>530</v>
      </c>
      <c r="EQ35" s="365">
        <f>EP35-EP34</f>
        <v>-10</v>
      </c>
      <c r="ER35" s="366" t="e">
        <f>(EP35/#REF!)*100</f>
        <v>#REF!</v>
      </c>
      <c r="ES35" s="169">
        <f t="shared" si="91"/>
        <v>0</v>
      </c>
      <c r="ET35" s="169"/>
      <c r="EU35" s="170">
        <f t="shared" si="92"/>
        <v>0</v>
      </c>
      <c r="EV35" s="179">
        <f>EU35-EU34</f>
        <v>0</v>
      </c>
      <c r="EW35" s="180" t="e">
        <f>(EU35/#REF!)*100</f>
        <v>#REF!</v>
      </c>
      <c r="EX35" s="169">
        <f t="shared" si="94"/>
        <v>0</v>
      </c>
      <c r="EY35" s="169"/>
      <c r="EZ35" s="170">
        <f t="shared" si="95"/>
        <v>0</v>
      </c>
      <c r="FA35" s="179">
        <f t="shared" si="96"/>
        <v>0</v>
      </c>
      <c r="FB35" s="180" t="e">
        <f>(EZ35/#REF!)*100</f>
        <v>#REF!</v>
      </c>
      <c r="FC35" s="169">
        <f t="shared" si="97"/>
        <v>0</v>
      </c>
      <c r="FD35" s="169"/>
      <c r="FE35" s="170">
        <f t="shared" si="98"/>
        <v>0</v>
      </c>
      <c r="FF35" s="179">
        <f t="shared" si="99"/>
        <v>0</v>
      </c>
      <c r="FG35" s="180" t="e">
        <f>(FE35/#REF!)*100</f>
        <v>#REF!</v>
      </c>
      <c r="FH35" s="241"/>
      <c r="FI35" s="241"/>
      <c r="FJ35" s="241"/>
      <c r="FK35" s="241"/>
      <c r="FL35" s="241"/>
      <c r="FM35" s="169">
        <f t="shared" si="100"/>
        <v>0</v>
      </c>
      <c r="FN35" s="169"/>
      <c r="FO35" s="170">
        <f t="shared" si="101"/>
        <v>0</v>
      </c>
      <c r="FP35" s="179">
        <f t="shared" si="102"/>
        <v>0</v>
      </c>
      <c r="FQ35" s="180" t="e">
        <f>(FO35/#REF!)*100</f>
        <v>#REF!</v>
      </c>
      <c r="FR35" s="169">
        <f t="shared" si="103"/>
        <v>0</v>
      </c>
      <c r="FS35" s="169"/>
      <c r="FT35" s="170">
        <f t="shared" si="104"/>
        <v>0</v>
      </c>
      <c r="FU35" s="179">
        <f t="shared" si="105"/>
        <v>0</v>
      </c>
      <c r="FV35" s="180" t="e">
        <f>(FT35/#REF!)*100</f>
        <v>#REF!</v>
      </c>
      <c r="FW35" s="169">
        <f t="shared" si="106"/>
        <v>0</v>
      </c>
      <c r="FX35" s="169"/>
      <c r="FY35" s="170">
        <f t="shared" si="107"/>
        <v>0</v>
      </c>
      <c r="FZ35" s="179">
        <f t="shared" si="108"/>
        <v>0</v>
      </c>
      <c r="GA35" s="180" t="e">
        <f>(FY35/#REF!)*100</f>
        <v>#REF!</v>
      </c>
      <c r="GB35" s="219"/>
      <c r="GC35" s="225">
        <f t="shared" si="1"/>
        <v>7878</v>
      </c>
      <c r="GD35" s="224"/>
      <c r="GE35" s="225">
        <f t="shared" si="2"/>
        <v>7202</v>
      </c>
      <c r="GF35" s="224"/>
      <c r="GG35" s="225">
        <f t="shared" si="3"/>
        <v>2300</v>
      </c>
      <c r="GH35" s="224"/>
      <c r="GI35" s="225">
        <f t="shared" si="4"/>
        <v>1057</v>
      </c>
      <c r="GJ35" s="224"/>
      <c r="GK35" s="225">
        <f t="shared" si="5"/>
        <v>610</v>
      </c>
      <c r="GL35" s="224"/>
      <c r="GM35" s="225">
        <f t="shared" si="6"/>
        <v>0</v>
      </c>
      <c r="GN35" s="224"/>
    </row>
    <row r="36" spans="1:196" s="3" customFormat="1" ht="13.5" thickBot="1">
      <c r="A36" s="3" t="s">
        <v>102</v>
      </c>
      <c r="C36" s="58"/>
      <c r="D36" s="58"/>
      <c r="E36" s="227">
        <f>SUM(E5:E35)</f>
        <v>120447</v>
      </c>
      <c r="F36" s="59"/>
      <c r="G36" s="59"/>
      <c r="H36" s="59"/>
      <c r="I36" s="59"/>
      <c r="J36" s="59">
        <f>SUM(J5:J35)</f>
        <v>131861</v>
      </c>
      <c r="K36" s="59"/>
      <c r="L36" s="59"/>
      <c r="M36" s="59"/>
      <c r="N36" s="59"/>
      <c r="O36" s="59">
        <f>SUM(O5:O35)</f>
        <v>355022</v>
      </c>
      <c r="P36" s="59"/>
      <c r="Q36" s="59"/>
      <c r="R36" s="59"/>
      <c r="S36" s="59"/>
      <c r="T36" s="59">
        <f>SUM(T5:T35)</f>
        <v>69100</v>
      </c>
      <c r="U36" s="59"/>
      <c r="V36" s="59"/>
      <c r="W36" s="59"/>
      <c r="X36" s="59"/>
      <c r="Y36" s="59">
        <f>SUM(Y5:Y35)</f>
        <v>89696</v>
      </c>
      <c r="Z36" s="59"/>
      <c r="AA36" s="59"/>
      <c r="AB36" s="59"/>
      <c r="AC36" s="59"/>
      <c r="AD36" s="59">
        <f>SUM(AD5:AD35)</f>
        <v>56700</v>
      </c>
      <c r="AE36" s="59"/>
      <c r="AF36" s="59"/>
      <c r="AG36" s="59"/>
      <c r="AH36" s="59"/>
      <c r="AI36" s="59"/>
      <c r="AJ36" s="59">
        <f>SUM(AJ5:AJ35)</f>
        <v>14627</v>
      </c>
      <c r="AK36" s="59"/>
      <c r="AL36" s="59"/>
      <c r="AM36" s="59"/>
      <c r="AN36" s="59"/>
      <c r="AO36" s="59">
        <f>SUM(AO5:AO35)</f>
        <v>21600</v>
      </c>
      <c r="AP36" s="59"/>
      <c r="AQ36" s="59"/>
      <c r="AR36" s="59"/>
      <c r="AS36" s="59"/>
      <c r="AT36" s="59">
        <f>SUM(AT5:AT35)</f>
        <v>63400</v>
      </c>
      <c r="AU36" s="59"/>
      <c r="AV36" s="59"/>
      <c r="AW36" s="59"/>
      <c r="AX36" s="59"/>
      <c r="AY36" s="59">
        <f>SUM(AY5:AY35)</f>
        <v>12593</v>
      </c>
      <c r="AZ36" s="59"/>
      <c r="BA36" s="59"/>
      <c r="BB36" s="59"/>
      <c r="BC36" s="59"/>
      <c r="BD36" s="59">
        <f>SUM(BD5:BD35)</f>
        <v>12700</v>
      </c>
      <c r="BE36" s="59"/>
      <c r="BF36" s="59"/>
      <c r="BG36" s="59"/>
      <c r="BH36" s="59"/>
      <c r="BI36" s="59">
        <f>SUM(BI5:BI35)</f>
        <v>9000</v>
      </c>
      <c r="BJ36" s="59"/>
      <c r="BK36" s="59"/>
      <c r="BL36" s="59"/>
      <c r="BM36" s="59"/>
      <c r="BN36" s="59">
        <f>SUM(BN5:BN35)</f>
        <v>17200</v>
      </c>
      <c r="BO36" s="59"/>
      <c r="BP36" s="59"/>
      <c r="BQ36" s="59"/>
      <c r="BR36" s="59"/>
      <c r="BS36" s="59">
        <f>SUM(BS5:BS35)</f>
        <v>3700</v>
      </c>
      <c r="BT36" s="59"/>
      <c r="BU36" s="59"/>
      <c r="BV36" s="59"/>
      <c r="BW36" s="59"/>
      <c r="BX36" s="59">
        <f>SUM(BX5:BX35)</f>
        <v>11030</v>
      </c>
      <c r="BY36" s="59"/>
      <c r="BZ36" s="59"/>
      <c r="CA36" s="59"/>
      <c r="CB36" s="59"/>
      <c r="CC36" s="59">
        <f>SUM(CC5:CC35)</f>
        <v>36600</v>
      </c>
      <c r="CD36" s="59"/>
      <c r="CE36" s="59"/>
      <c r="CF36" s="59"/>
      <c r="CG36" s="59"/>
      <c r="CH36" s="59">
        <f>SUM(CH5:CH35)</f>
        <v>13730</v>
      </c>
      <c r="CI36" s="59"/>
      <c r="CJ36" s="59"/>
      <c r="CK36" s="59"/>
      <c r="CL36" s="59"/>
      <c r="CM36" s="59">
        <f>SUM(CM5:CM35)</f>
        <v>30370</v>
      </c>
      <c r="CN36" s="59"/>
      <c r="CO36" s="59"/>
      <c r="CP36" s="59"/>
      <c r="CQ36" s="59"/>
      <c r="CR36" s="84">
        <f>SUM(CR5:CR35)</f>
        <v>27640</v>
      </c>
      <c r="CS36" s="59"/>
      <c r="CT36" s="59"/>
      <c r="CU36" s="59"/>
      <c r="CV36" s="59"/>
      <c r="CW36" s="84">
        <f>SUM(CW5:CW35)</f>
        <v>20040</v>
      </c>
      <c r="CX36" s="59"/>
      <c r="CY36" s="59"/>
      <c r="CZ36" s="59"/>
      <c r="DA36" s="59"/>
      <c r="DB36" s="228">
        <f>SUM(DB5:DB35)</f>
        <v>30700</v>
      </c>
      <c r="DC36" s="59"/>
      <c r="DD36" s="59"/>
      <c r="DE36" s="59"/>
      <c r="DF36" s="59"/>
      <c r="DG36" s="228">
        <f>SUM(DG5:DG35)</f>
        <v>23890</v>
      </c>
      <c r="DH36" s="59"/>
      <c r="DI36" s="59"/>
      <c r="DJ36" s="59"/>
      <c r="DK36" s="59"/>
      <c r="DL36" s="228">
        <f>SUM(DL5:DL35)</f>
        <v>18120</v>
      </c>
      <c r="DM36" s="59"/>
      <c r="DN36" s="59"/>
      <c r="DO36" s="59"/>
      <c r="DP36" s="59"/>
      <c r="DQ36" s="228">
        <f>SUM(DQ5:DQ35)</f>
        <v>10170</v>
      </c>
      <c r="DR36" s="59"/>
      <c r="DS36" s="59"/>
      <c r="DT36" s="59"/>
      <c r="DU36" s="59"/>
      <c r="DV36" s="228">
        <f>SUM(DV5:DV35)</f>
        <v>4120</v>
      </c>
      <c r="DW36" s="59"/>
      <c r="DX36" s="59"/>
      <c r="DY36" s="59"/>
      <c r="DZ36" s="59"/>
      <c r="EA36" s="228">
        <f>SUM(EA5:EA35)</f>
        <v>30480</v>
      </c>
      <c r="EB36" s="59"/>
      <c r="EC36" s="59"/>
      <c r="ED36" s="59"/>
      <c r="EE36" s="59"/>
      <c r="EF36" s="228">
        <f>SUM(EF5:EF35)</f>
        <v>8920</v>
      </c>
      <c r="EG36" s="59"/>
      <c r="EH36" s="59"/>
      <c r="EI36" s="59"/>
      <c r="EJ36" s="59"/>
      <c r="EK36" s="228">
        <f>SUM(EK5:EK35)</f>
        <v>12310</v>
      </c>
      <c r="EL36" s="59"/>
      <c r="EM36" s="59"/>
      <c r="EN36" s="59"/>
      <c r="EO36" s="59"/>
      <c r="EP36" s="228">
        <f>SUM(EP5:EP35)</f>
        <v>17020</v>
      </c>
      <c r="EQ36" s="59"/>
      <c r="ER36" s="59"/>
      <c r="ES36" s="59"/>
      <c r="ET36" s="59"/>
      <c r="EU36" s="228">
        <f>SUM(EU5:EU34)</f>
        <v>0</v>
      </c>
      <c r="EV36" s="59"/>
      <c r="EW36" s="59"/>
      <c r="EX36" s="59"/>
      <c r="EY36" s="59"/>
      <c r="EZ36" s="228">
        <f>SUM(EZ5:EZ35)</f>
        <v>0</v>
      </c>
      <c r="FA36" s="59"/>
      <c r="FB36" s="59"/>
      <c r="FC36" s="59"/>
      <c r="FD36" s="59"/>
      <c r="FE36" s="228">
        <f>SUM(FE5:FE35)</f>
        <v>0</v>
      </c>
      <c r="FF36" s="59"/>
      <c r="FG36" s="59"/>
      <c r="FH36" s="59"/>
      <c r="FI36" s="59"/>
      <c r="FJ36" s="59"/>
      <c r="FK36" s="59"/>
      <c r="FL36" s="59"/>
      <c r="FM36" s="59"/>
      <c r="FN36" s="59"/>
      <c r="FO36" s="228">
        <f>SUM(FO5:FO34)</f>
        <v>0</v>
      </c>
      <c r="FP36" s="59"/>
      <c r="FQ36" s="59"/>
      <c r="FR36" s="242"/>
      <c r="FS36" s="242"/>
      <c r="FT36" s="242"/>
      <c r="FU36" s="242"/>
      <c r="FV36" s="242"/>
      <c r="FW36" s="242"/>
      <c r="FX36" s="242"/>
      <c r="FY36" s="242"/>
      <c r="FZ36" s="242"/>
      <c r="GA36" s="242"/>
      <c r="GB36" s="219"/>
      <c r="GC36" s="226"/>
      <c r="GI36" s="226"/>
      <c r="GK36" s="226"/>
    </row>
    <row r="37" spans="1:196" ht="13.5" thickTop="1"/>
  </sheetData>
  <mergeCells count="45">
    <mergeCell ref="GM3:GN3"/>
    <mergeCell ref="GC1:GN2"/>
    <mergeCell ref="GI3:GJ3"/>
    <mergeCell ref="GK3:GL3"/>
    <mergeCell ref="GG3:GH3"/>
    <mergeCell ref="GE3:GF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DE3:DI3"/>
    <mergeCell ref="A1:C1"/>
    <mergeCell ref="C3:G3"/>
    <mergeCell ref="H3:L3"/>
    <mergeCell ref="M3:Q3"/>
    <mergeCell ref="CF3:CJ3"/>
    <mergeCell ref="W3:AA3"/>
    <mergeCell ref="AB3:AG3"/>
    <mergeCell ref="AH3:AL3"/>
    <mergeCell ref="AM3:AQ3"/>
    <mergeCell ref="CA3:CE3"/>
    <mergeCell ref="R3:V3"/>
    <mergeCell ref="DJ3:DN3"/>
    <mergeCell ref="DO3:DS3"/>
    <mergeCell ref="DT3:DX3"/>
    <mergeCell ref="CK3:CO3"/>
    <mergeCell ref="CP3:CT3"/>
    <mergeCell ref="CU3:CY3"/>
    <mergeCell ref="CZ3:DD3"/>
    <mergeCell ref="FR3:FV3"/>
    <mergeCell ref="FW3:GA3"/>
    <mergeCell ref="FM3:FQ3"/>
    <mergeCell ref="FH3:FL3"/>
    <mergeCell ref="DY3:EC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44"/>
  <sheetViews>
    <sheetView zoomScale="90" zoomScaleNormal="90" workbookViewId="0">
      <pane xSplit="1" ySplit="5" topLeftCell="S28" activePane="bottomRight" state="frozen"/>
      <selection pane="bottomRight" activeCell="AH36" sqref="AH36"/>
      <selection pane="bottomLeft" activeCell="A6" sqref="A6"/>
      <selection pane="topRight" activeCell="B1" sqref="B1"/>
    </sheetView>
  </sheetViews>
  <sheetFormatPr defaultColWidth="9.140625" defaultRowHeight="12.75"/>
  <cols>
    <col min="1" max="1" width="4.7109375" style="109" customWidth="1"/>
    <col min="2" max="2" width="13.5703125" style="109" customWidth="1"/>
    <col min="3" max="3" width="11.42578125" style="109" customWidth="1"/>
    <col min="4" max="4" width="10.5703125" style="109" customWidth="1"/>
    <col min="5" max="5" width="2" style="112" customWidth="1"/>
    <col min="6" max="6" width="5.140625" style="109" hidden="1" customWidth="1"/>
    <col min="7" max="7" width="13.5703125" style="109" customWidth="1"/>
    <col min="8" max="8" width="10" style="109" customWidth="1"/>
    <col min="9" max="9" width="14" style="109" customWidth="1"/>
    <col min="10" max="10" width="2.85546875" style="112" customWidth="1"/>
    <col min="11" max="11" width="5.42578125" style="109" hidden="1" customWidth="1"/>
    <col min="12" max="13" width="13.5703125" style="109" customWidth="1"/>
    <col min="14" max="14" width="12.140625" style="109" customWidth="1"/>
    <col min="15" max="15" width="2.85546875" style="112" customWidth="1"/>
    <col min="16" max="16" width="5.85546875" style="109" hidden="1" customWidth="1"/>
    <col min="17" max="17" width="13.5703125" style="109" customWidth="1"/>
    <col min="18" max="18" width="10.7109375" style="109" customWidth="1"/>
    <col min="19" max="19" width="11.140625" style="109" customWidth="1"/>
    <col min="20" max="20" width="2.42578125" style="112" customWidth="1"/>
    <col min="21" max="21" width="6.42578125" style="90" customWidth="1"/>
    <col min="22" max="22" width="10.85546875" style="376" customWidth="1"/>
    <col min="23" max="23" width="13" style="90" hidden="1" customWidth="1"/>
    <col min="24" max="24" width="8" style="128" hidden="1" customWidth="1"/>
    <col min="25" max="25" width="11.85546875" style="128" hidden="1" customWidth="1"/>
    <col min="26" max="26" width="1.42578125" style="250" customWidth="1"/>
    <col min="27" max="27" width="7.7109375" style="90" customWidth="1"/>
    <col min="28" max="28" width="11.140625" style="128" customWidth="1"/>
    <col min="29" max="29" width="9.140625" style="128"/>
    <col min="30" max="30" width="8.28515625" style="128" customWidth="1"/>
    <col min="31" max="31" width="10.140625" style="128" hidden="1" customWidth="1"/>
    <col min="32" max="32" width="7.42578125" style="128" hidden="1" customWidth="1"/>
    <col min="33" max="33" width="17.85546875" style="128" customWidth="1"/>
    <col min="34" max="35" width="9.140625" style="128"/>
    <col min="36" max="36" width="10.140625" style="128" hidden="1" customWidth="1"/>
    <col min="37" max="37" width="7.42578125" style="128" hidden="1" customWidth="1"/>
    <col min="38" max="38" width="17.28515625" style="128" customWidth="1"/>
    <col min="39" max="39" width="12.5703125" style="128" customWidth="1"/>
    <col min="40" max="40" width="9.140625" style="128"/>
    <col min="41" max="41" width="10.140625" style="128" hidden="1" customWidth="1"/>
    <col min="42" max="42" width="7.42578125" style="128" hidden="1" customWidth="1"/>
    <col min="43" max="44" width="9.140625" style="128"/>
    <col min="45" max="45" width="9.28515625" style="128" customWidth="1"/>
    <col min="46" max="46" width="10.140625" style="128" hidden="1" customWidth="1"/>
    <col min="47" max="47" width="7.42578125" style="128" hidden="1" customWidth="1"/>
    <col min="48" max="49" width="9.140625" style="128"/>
    <col min="50" max="50" width="7.85546875" style="128" customWidth="1"/>
    <col min="51" max="51" width="10.140625" style="128" hidden="1" customWidth="1"/>
    <col min="52" max="52" width="0.140625" style="128" customWidth="1"/>
    <col min="53" max="54" width="9.140625" style="128"/>
    <col min="55" max="55" width="11.140625" style="128" customWidth="1"/>
    <col min="56" max="56" width="10.140625" style="128" hidden="1" customWidth="1"/>
    <col min="57" max="57" width="1.5703125" style="128" hidden="1" customWidth="1"/>
    <col min="58" max="60" width="9.140625" style="128"/>
    <col min="61" max="61" width="10.140625" style="128" hidden="1" customWidth="1"/>
    <col min="62" max="62" width="7.42578125" style="128" hidden="1" customWidth="1"/>
    <col min="63" max="63" width="16.42578125" style="128" customWidth="1"/>
    <col min="64" max="64" width="13.140625" style="128" customWidth="1"/>
    <col min="65" max="65" width="9.140625" style="128"/>
    <col min="66" max="66" width="10.140625" style="128" hidden="1" customWidth="1"/>
    <col min="67" max="67" width="7.42578125" style="128" hidden="1" customWidth="1"/>
    <col min="68" max="68" width="15.85546875" style="128" customWidth="1"/>
    <col min="69" max="70" width="9.140625" style="128"/>
    <col min="71" max="71" width="10.140625" style="128" hidden="1" customWidth="1"/>
    <col min="72" max="72" width="7.42578125" style="128" hidden="1" customWidth="1"/>
    <col min="73" max="73" width="18.85546875" style="128" customWidth="1"/>
    <col min="74" max="75" width="9.140625" style="128"/>
    <col min="76" max="76" width="10.140625" style="128" hidden="1" customWidth="1"/>
    <col min="77" max="77" width="7.42578125" style="128" hidden="1" customWidth="1"/>
    <col min="78" max="78" width="12.28515625" style="128" customWidth="1"/>
    <col min="79" max="79" width="9.140625" style="128"/>
    <col min="80" max="80" width="11" style="128" customWidth="1"/>
    <col min="81" max="81" width="10.140625" style="128" hidden="1" customWidth="1"/>
    <col min="82" max="82" width="7.42578125" style="128" hidden="1" customWidth="1"/>
    <col min="83" max="83" width="14.42578125" style="128" customWidth="1"/>
    <col min="84" max="84" width="12.140625" style="128" customWidth="1"/>
    <col min="85" max="85" width="9.140625" style="128"/>
    <col min="86" max="86" width="10.140625" style="128" hidden="1" customWidth="1"/>
    <col min="87" max="87" width="7.42578125" style="128" hidden="1" customWidth="1"/>
    <col min="88" max="88" width="17.5703125" style="128" customWidth="1"/>
    <col min="89" max="89" width="13" style="128" customWidth="1"/>
    <col min="90" max="90" width="9.140625" style="128"/>
    <col min="91" max="91" width="10.140625" style="128" hidden="1" customWidth="1"/>
    <col min="92" max="92" width="7.42578125" style="128" hidden="1" customWidth="1"/>
    <col min="93" max="93" width="12.5703125" style="128" customWidth="1"/>
    <col min="94" max="94" width="12.140625" style="128" customWidth="1"/>
    <col min="95" max="95" width="9.140625" style="128"/>
    <col min="96" max="96" width="10.140625" style="128" hidden="1" customWidth="1"/>
    <col min="97" max="97" width="7.42578125" style="128" hidden="1" customWidth="1"/>
    <col min="98" max="98" width="13.28515625" style="128" customWidth="1"/>
    <col min="99" max="100" width="9.140625" style="128"/>
    <col min="101" max="101" width="10.140625" style="128" hidden="1" customWidth="1"/>
    <col min="102" max="102" width="7.42578125" style="128" hidden="1" customWidth="1"/>
    <col min="103" max="103" width="16.7109375" style="128" customWidth="1"/>
    <col min="104" max="105" width="9.140625" style="128"/>
    <col min="106" max="106" width="10.140625" style="128" hidden="1" customWidth="1"/>
    <col min="107" max="107" width="7.42578125" style="128" hidden="1" customWidth="1"/>
    <col min="108" max="108" width="16.28515625" style="128" customWidth="1"/>
    <col min="109" max="110" width="9.140625" style="128"/>
    <col min="111" max="111" width="10.140625" style="128" hidden="1" customWidth="1"/>
    <col min="112" max="112" width="7.42578125" style="128" hidden="1" customWidth="1"/>
    <col min="113" max="113" width="18.7109375" style="128" customWidth="1"/>
    <col min="114" max="115" width="9.140625" style="128"/>
    <col min="116" max="116" width="10.140625" style="128" hidden="1" customWidth="1"/>
    <col min="117" max="117" width="7.42578125" style="128" hidden="1" customWidth="1"/>
    <col min="118" max="118" width="11.140625" style="128" customWidth="1"/>
    <col min="119" max="119" width="10.5703125" style="128" customWidth="1"/>
    <col min="120" max="120" width="16.7109375" style="128" customWidth="1"/>
    <col min="121" max="121" width="10.140625" style="128" hidden="1" customWidth="1"/>
    <col min="122" max="122" width="7.42578125" style="128" hidden="1" customWidth="1"/>
    <col min="123" max="123" width="14.28515625" style="128" customWidth="1"/>
    <col min="124" max="125" width="9.140625" style="128"/>
    <col min="126" max="126" width="10.140625" style="128" hidden="1" customWidth="1"/>
    <col min="127" max="127" width="7.42578125" style="128" hidden="1" customWidth="1"/>
    <col min="128" max="128" width="17.140625" style="128" customWidth="1"/>
    <col min="129" max="129" width="11.7109375" style="128" customWidth="1"/>
    <col min="130" max="130" width="9.140625" style="90"/>
    <col min="131" max="131" width="10.140625" style="128" hidden="1" customWidth="1"/>
    <col min="132" max="132" width="7.42578125" style="128" hidden="1" customWidth="1"/>
    <col min="133" max="181" width="0" style="90" hidden="1" customWidth="1"/>
    <col min="182" max="16384" width="9.140625" style="90"/>
  </cols>
  <sheetData>
    <row r="1" spans="1:174" ht="12.75" customHeight="1">
      <c r="A1" s="443" t="s">
        <v>171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443"/>
      <c r="P1" s="443"/>
      <c r="Q1" s="443"/>
      <c r="R1" s="443"/>
      <c r="S1" s="443"/>
      <c r="T1" s="443"/>
      <c r="U1" s="443"/>
      <c r="V1" s="443"/>
      <c r="W1" s="443"/>
      <c r="X1" s="443"/>
      <c r="Y1" s="245"/>
      <c r="AA1" s="438" t="s">
        <v>172</v>
      </c>
      <c r="AB1" s="438"/>
      <c r="AC1" s="438"/>
      <c r="AD1" s="438"/>
      <c r="AE1" s="438"/>
      <c r="AF1" s="438"/>
      <c r="AG1" s="438"/>
      <c r="AH1" s="438"/>
      <c r="AI1" s="438"/>
      <c r="AJ1" s="438"/>
      <c r="AK1" s="438"/>
      <c r="AL1" s="438"/>
      <c r="AM1" s="438"/>
      <c r="AN1" s="438"/>
      <c r="AO1" s="438"/>
      <c r="AP1" s="438"/>
      <c r="AQ1" s="438"/>
      <c r="AR1" s="438"/>
      <c r="AS1" s="438"/>
      <c r="AT1" s="438"/>
      <c r="AU1" s="438"/>
      <c r="AV1" s="438"/>
      <c r="AW1" s="438"/>
      <c r="AX1" s="438"/>
      <c r="AY1" s="438"/>
      <c r="AZ1" s="438"/>
      <c r="BA1" s="438"/>
      <c r="BB1" s="438"/>
      <c r="BC1" s="438"/>
      <c r="BD1" s="438"/>
      <c r="BE1" s="438"/>
      <c r="BF1" s="438"/>
      <c r="BG1" s="438"/>
      <c r="BH1" s="438"/>
      <c r="BI1" s="438"/>
      <c r="BJ1" s="438"/>
      <c r="BK1" s="438"/>
      <c r="BL1" s="438"/>
      <c r="BM1" s="438"/>
      <c r="BN1" s="438"/>
      <c r="BO1" s="438"/>
      <c r="BP1" s="438"/>
      <c r="BQ1" s="438"/>
      <c r="BR1" s="438"/>
      <c r="BS1" s="438"/>
      <c r="BT1" s="438"/>
      <c r="BU1" s="438"/>
      <c r="BV1" s="438"/>
      <c r="BW1" s="438"/>
      <c r="BX1" s="438"/>
      <c r="BY1" s="438"/>
      <c r="BZ1" s="438"/>
      <c r="CA1" s="438"/>
      <c r="CB1" s="438"/>
      <c r="CC1" s="438"/>
      <c r="CD1" s="438"/>
      <c r="CE1" s="438"/>
      <c r="CF1" s="438"/>
      <c r="CG1" s="438"/>
      <c r="CH1" s="438"/>
      <c r="CI1" s="438"/>
      <c r="CJ1" s="438"/>
      <c r="CK1" s="438"/>
      <c r="CL1" s="438"/>
      <c r="CM1" s="438"/>
      <c r="CN1" s="438"/>
      <c r="CO1" s="438"/>
      <c r="CP1" s="438"/>
      <c r="CQ1" s="438"/>
      <c r="CR1" s="438"/>
      <c r="CS1" s="438"/>
      <c r="CT1" s="438"/>
      <c r="CU1" s="438"/>
      <c r="CV1" s="438"/>
      <c r="CW1" s="438"/>
      <c r="CX1" s="438"/>
      <c r="CY1" s="438"/>
      <c r="CZ1" s="438"/>
      <c r="DA1" s="438"/>
      <c r="DB1" s="438"/>
      <c r="DC1" s="438"/>
      <c r="DD1" s="438"/>
      <c r="DE1" s="438"/>
      <c r="DF1" s="438"/>
      <c r="DG1" s="438"/>
      <c r="DH1" s="438"/>
      <c r="DI1" s="438"/>
      <c r="DJ1" s="438"/>
      <c r="DK1" s="438"/>
      <c r="DL1" s="438"/>
      <c r="DM1" s="438"/>
      <c r="DN1" s="438"/>
      <c r="DO1" s="438"/>
      <c r="DP1" s="438"/>
      <c r="DQ1" s="438"/>
      <c r="DR1" s="438"/>
      <c r="DS1" s="438"/>
      <c r="DT1" s="438"/>
      <c r="DU1" s="438"/>
      <c r="DV1" s="438"/>
      <c r="DW1" s="438"/>
      <c r="DX1" s="438"/>
      <c r="DY1" s="438"/>
      <c r="DZ1" s="438"/>
      <c r="EA1" s="438"/>
      <c r="EB1" s="438"/>
      <c r="EC1" s="438"/>
      <c r="ED1" s="438"/>
      <c r="EE1" s="438"/>
      <c r="EF1" s="438"/>
      <c r="EG1" s="438"/>
      <c r="EH1" s="438"/>
      <c r="EI1" s="438"/>
      <c r="EJ1" s="438"/>
      <c r="EK1" s="438"/>
      <c r="EL1" s="438"/>
      <c r="EM1" s="438"/>
      <c r="EN1" s="438"/>
      <c r="EO1" s="438"/>
      <c r="EP1" s="438"/>
      <c r="EQ1" s="438"/>
      <c r="ER1" s="438"/>
      <c r="ES1" s="438"/>
      <c r="ET1" s="438"/>
      <c r="EU1" s="438"/>
      <c r="EV1" s="438"/>
      <c r="EW1" s="438"/>
      <c r="EX1" s="438"/>
      <c r="EY1" s="438"/>
      <c r="EZ1" s="438"/>
      <c r="FA1" s="438"/>
      <c r="FB1" s="438"/>
      <c r="FC1" s="438"/>
      <c r="FD1" s="438"/>
      <c r="FE1" s="438"/>
      <c r="FF1" s="438"/>
      <c r="FG1" s="438"/>
      <c r="FH1" s="438"/>
      <c r="FI1" s="438"/>
      <c r="FJ1" s="438"/>
      <c r="FK1" s="438"/>
      <c r="FL1" s="438"/>
      <c r="FM1" s="257"/>
      <c r="FN1" s="257"/>
      <c r="FO1" s="257"/>
      <c r="FP1" s="257"/>
      <c r="FQ1" s="257"/>
      <c r="FR1" s="257"/>
    </row>
    <row r="2" spans="1:174" s="91" customFormat="1" ht="24" customHeight="1">
      <c r="A2" s="443"/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443"/>
      <c r="X2" s="443"/>
      <c r="Y2" s="245"/>
      <c r="Z2" s="251"/>
      <c r="AA2" s="438"/>
      <c r="AB2" s="438"/>
      <c r="AC2" s="438"/>
      <c r="AD2" s="438"/>
      <c r="AE2" s="438"/>
      <c r="AF2" s="438"/>
      <c r="AG2" s="438"/>
      <c r="AH2" s="438"/>
      <c r="AI2" s="438"/>
      <c r="AJ2" s="438"/>
      <c r="AK2" s="438"/>
      <c r="AL2" s="438"/>
      <c r="AM2" s="438"/>
      <c r="AN2" s="438"/>
      <c r="AO2" s="438"/>
      <c r="AP2" s="438"/>
      <c r="AQ2" s="438"/>
      <c r="AR2" s="438"/>
      <c r="AS2" s="438"/>
      <c r="AT2" s="438"/>
      <c r="AU2" s="438"/>
      <c r="AV2" s="438"/>
      <c r="AW2" s="438"/>
      <c r="AX2" s="438"/>
      <c r="AY2" s="438"/>
      <c r="AZ2" s="438"/>
      <c r="BA2" s="438"/>
      <c r="BB2" s="438"/>
      <c r="BC2" s="438"/>
      <c r="BD2" s="438"/>
      <c r="BE2" s="438"/>
      <c r="BF2" s="438"/>
      <c r="BG2" s="438"/>
      <c r="BH2" s="438"/>
      <c r="BI2" s="438"/>
      <c r="BJ2" s="438"/>
      <c r="BK2" s="438"/>
      <c r="BL2" s="438"/>
      <c r="BM2" s="438"/>
      <c r="BN2" s="438"/>
      <c r="BO2" s="438"/>
      <c r="BP2" s="438"/>
      <c r="BQ2" s="438"/>
      <c r="BR2" s="438"/>
      <c r="BS2" s="438"/>
      <c r="BT2" s="438"/>
      <c r="BU2" s="438"/>
      <c r="BV2" s="438"/>
      <c r="BW2" s="438"/>
      <c r="BX2" s="438"/>
      <c r="BY2" s="438"/>
      <c r="BZ2" s="438"/>
      <c r="CA2" s="438"/>
      <c r="CB2" s="438"/>
      <c r="CC2" s="438"/>
      <c r="CD2" s="438"/>
      <c r="CE2" s="438"/>
      <c r="CF2" s="438"/>
      <c r="CG2" s="438"/>
      <c r="CH2" s="438"/>
      <c r="CI2" s="438"/>
      <c r="CJ2" s="438"/>
      <c r="CK2" s="438"/>
      <c r="CL2" s="438"/>
      <c r="CM2" s="438"/>
      <c r="CN2" s="438"/>
      <c r="CO2" s="438"/>
      <c r="CP2" s="438"/>
      <c r="CQ2" s="438"/>
      <c r="CR2" s="438"/>
      <c r="CS2" s="438"/>
      <c r="CT2" s="438"/>
      <c r="CU2" s="438"/>
      <c r="CV2" s="438"/>
      <c r="CW2" s="438"/>
      <c r="CX2" s="438"/>
      <c r="CY2" s="438"/>
      <c r="CZ2" s="438"/>
      <c r="DA2" s="438"/>
      <c r="DB2" s="438"/>
      <c r="DC2" s="438"/>
      <c r="DD2" s="438"/>
      <c r="DE2" s="438"/>
      <c r="DF2" s="438"/>
      <c r="DG2" s="438"/>
      <c r="DH2" s="438"/>
      <c r="DI2" s="438"/>
      <c r="DJ2" s="438"/>
      <c r="DK2" s="438"/>
      <c r="DL2" s="438"/>
      <c r="DM2" s="438"/>
      <c r="DN2" s="438"/>
      <c r="DO2" s="438"/>
      <c r="DP2" s="438"/>
      <c r="DQ2" s="438"/>
      <c r="DR2" s="438"/>
      <c r="DS2" s="438"/>
      <c r="DT2" s="438"/>
      <c r="DU2" s="438"/>
      <c r="DV2" s="438"/>
      <c r="DW2" s="438"/>
      <c r="DX2" s="438"/>
      <c r="DY2" s="438"/>
      <c r="DZ2" s="438"/>
      <c r="EA2" s="438"/>
      <c r="EB2" s="438"/>
      <c r="EC2" s="438"/>
      <c r="ED2" s="438"/>
      <c r="EE2" s="438"/>
      <c r="EF2" s="438"/>
      <c r="EG2" s="438"/>
      <c r="EH2" s="438"/>
      <c r="EI2" s="438"/>
      <c r="EJ2" s="438"/>
      <c r="EK2" s="438"/>
      <c r="EL2" s="438"/>
      <c r="EM2" s="438"/>
      <c r="EN2" s="438"/>
      <c r="EO2" s="438"/>
      <c r="EP2" s="438"/>
      <c r="EQ2" s="438"/>
      <c r="ER2" s="438"/>
      <c r="ES2" s="438"/>
      <c r="ET2" s="438"/>
      <c r="EU2" s="438"/>
      <c r="EV2" s="438"/>
      <c r="EW2" s="438"/>
      <c r="EX2" s="438"/>
      <c r="EY2" s="438"/>
      <c r="EZ2" s="438"/>
      <c r="FA2" s="438"/>
      <c r="FB2" s="438"/>
      <c r="FC2" s="438"/>
      <c r="FD2" s="438"/>
      <c r="FE2" s="438"/>
      <c r="FF2" s="438"/>
      <c r="FG2" s="438"/>
      <c r="FH2" s="438"/>
      <c r="FI2" s="438"/>
      <c r="FJ2" s="438"/>
      <c r="FK2" s="438"/>
      <c r="FL2" s="438"/>
      <c r="FM2" s="257"/>
      <c r="FN2" s="257"/>
      <c r="FO2" s="257"/>
      <c r="FP2" s="257"/>
      <c r="FQ2" s="257"/>
      <c r="FR2" s="257"/>
    </row>
    <row r="3" spans="1:174" s="109" customFormat="1" ht="24.75" customHeight="1" thickBot="1">
      <c r="A3" s="444" t="s">
        <v>2</v>
      </c>
      <c r="B3" s="444"/>
      <c r="C3" s="160" cm="1">
        <f t="array" ref="C3:E3">'FEEDER Consumption '!A1:C1</f>
        <v>44928</v>
      </c>
      <c r="D3" s="92">
        <v>0</v>
      </c>
      <c r="E3" s="92">
        <v>0</v>
      </c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370"/>
      <c r="W3" s="92"/>
      <c r="X3" s="92"/>
      <c r="Y3" s="246"/>
      <c r="Z3" s="252"/>
      <c r="AA3" s="439"/>
      <c r="AB3" s="439"/>
      <c r="AC3" s="439"/>
      <c r="AD3" s="439"/>
      <c r="AE3" s="439"/>
      <c r="AF3" s="439"/>
      <c r="AG3" s="439"/>
      <c r="AH3" s="439"/>
      <c r="AI3" s="439"/>
      <c r="AJ3" s="439"/>
      <c r="AK3" s="439"/>
      <c r="AL3" s="439"/>
      <c r="AM3" s="439"/>
      <c r="AN3" s="439"/>
      <c r="AO3" s="439"/>
      <c r="AP3" s="439"/>
      <c r="AQ3" s="439"/>
      <c r="AR3" s="439"/>
      <c r="AS3" s="439"/>
      <c r="AT3" s="439"/>
      <c r="AU3" s="439"/>
      <c r="AV3" s="439"/>
      <c r="AW3" s="439"/>
      <c r="AX3" s="439"/>
      <c r="AY3" s="439"/>
      <c r="AZ3" s="439"/>
      <c r="BA3" s="439"/>
      <c r="BB3" s="439"/>
      <c r="BC3" s="439"/>
      <c r="BD3" s="439"/>
      <c r="BE3" s="439"/>
      <c r="BF3" s="439"/>
      <c r="BG3" s="439"/>
      <c r="BH3" s="439"/>
      <c r="BI3" s="439"/>
      <c r="BJ3" s="439"/>
      <c r="BK3" s="439"/>
      <c r="BL3" s="439"/>
      <c r="BM3" s="439"/>
      <c r="BN3" s="439"/>
      <c r="BO3" s="439"/>
      <c r="BP3" s="439"/>
      <c r="BQ3" s="439"/>
      <c r="BR3" s="439"/>
      <c r="BS3" s="439"/>
      <c r="BT3" s="439"/>
      <c r="BU3" s="439"/>
      <c r="BV3" s="439"/>
      <c r="BW3" s="439"/>
      <c r="BX3" s="439"/>
      <c r="BY3" s="439"/>
      <c r="BZ3" s="439"/>
      <c r="CA3" s="439"/>
      <c r="CB3" s="439"/>
      <c r="CC3" s="439"/>
      <c r="CD3" s="439"/>
      <c r="CE3" s="439"/>
      <c r="CF3" s="439"/>
      <c r="CG3" s="439"/>
      <c r="CH3" s="439"/>
      <c r="CI3" s="439"/>
      <c r="CJ3" s="439"/>
      <c r="CK3" s="439"/>
      <c r="CL3" s="439"/>
      <c r="CM3" s="439"/>
      <c r="CN3" s="439"/>
      <c r="CO3" s="439"/>
      <c r="CP3" s="439"/>
      <c r="CQ3" s="439"/>
      <c r="CR3" s="439"/>
      <c r="CS3" s="439"/>
      <c r="CT3" s="439"/>
      <c r="CU3" s="439"/>
      <c r="CV3" s="439"/>
      <c r="CW3" s="439"/>
      <c r="CX3" s="439"/>
      <c r="CY3" s="439"/>
      <c r="CZ3" s="439"/>
      <c r="DA3" s="439"/>
      <c r="DB3" s="439"/>
      <c r="DC3" s="439"/>
      <c r="DD3" s="439"/>
      <c r="DE3" s="439"/>
      <c r="DF3" s="439"/>
      <c r="DG3" s="439"/>
      <c r="DH3" s="439"/>
      <c r="DI3" s="439"/>
      <c r="DJ3" s="439"/>
      <c r="DK3" s="439"/>
      <c r="DL3" s="439"/>
      <c r="DM3" s="439"/>
      <c r="DN3" s="439"/>
      <c r="DO3" s="439"/>
      <c r="DP3" s="439"/>
      <c r="DQ3" s="439"/>
      <c r="DR3" s="439"/>
      <c r="DS3" s="439"/>
      <c r="DT3" s="439"/>
      <c r="DU3" s="439"/>
      <c r="DV3" s="439"/>
      <c r="DW3" s="439"/>
      <c r="DX3" s="439"/>
      <c r="DY3" s="439"/>
      <c r="DZ3" s="439"/>
      <c r="EA3" s="439"/>
      <c r="EB3" s="439"/>
      <c r="EC3" s="439"/>
      <c r="ED3" s="439"/>
      <c r="EE3" s="439"/>
      <c r="EF3" s="439"/>
      <c r="EG3" s="439"/>
      <c r="EH3" s="439"/>
      <c r="EI3" s="439"/>
      <c r="EJ3" s="439"/>
      <c r="EK3" s="439"/>
      <c r="EL3" s="439"/>
      <c r="EM3" s="439"/>
      <c r="EN3" s="439"/>
      <c r="EO3" s="439"/>
      <c r="EP3" s="439"/>
      <c r="EQ3" s="439"/>
      <c r="ER3" s="439"/>
      <c r="ES3" s="439"/>
      <c r="ET3" s="439"/>
      <c r="EU3" s="439"/>
      <c r="EV3" s="439"/>
      <c r="EW3" s="439"/>
      <c r="EX3" s="439"/>
      <c r="EY3" s="439"/>
      <c r="EZ3" s="439"/>
      <c r="FA3" s="439"/>
      <c r="FB3" s="439"/>
      <c r="FC3" s="439"/>
      <c r="FD3" s="439"/>
      <c r="FE3" s="439"/>
      <c r="FF3" s="439"/>
      <c r="FG3" s="439"/>
      <c r="FH3" s="439"/>
      <c r="FI3" s="439"/>
      <c r="FJ3" s="439"/>
      <c r="FK3" s="439"/>
      <c r="FL3" s="439"/>
      <c r="FM3" s="257"/>
      <c r="FN3" s="257"/>
      <c r="FO3" s="257"/>
      <c r="FP3" s="257"/>
      <c r="FQ3" s="257"/>
      <c r="FR3" s="257"/>
    </row>
    <row r="4" spans="1:174" ht="15" customHeight="1">
      <c r="A4" s="445" t="s">
        <v>51</v>
      </c>
      <c r="B4" s="446"/>
      <c r="C4" s="446"/>
      <c r="D4" s="447"/>
      <c r="E4" s="93"/>
      <c r="F4" s="445" t="s">
        <v>52</v>
      </c>
      <c r="G4" s="446"/>
      <c r="H4" s="446"/>
      <c r="I4" s="447"/>
      <c r="J4" s="93"/>
      <c r="K4" s="445" t="s">
        <v>53</v>
      </c>
      <c r="L4" s="446"/>
      <c r="M4" s="446"/>
      <c r="N4" s="447"/>
      <c r="O4" s="93"/>
      <c r="P4" s="445" t="s">
        <v>54</v>
      </c>
      <c r="Q4" s="446"/>
      <c r="R4" s="446"/>
      <c r="S4" s="447"/>
      <c r="T4" s="93"/>
      <c r="U4" s="448" t="s">
        <v>173</v>
      </c>
      <c r="V4" s="449"/>
      <c r="W4" s="449"/>
      <c r="X4" s="450"/>
      <c r="Y4" s="247"/>
      <c r="AA4" s="440" t="s">
        <v>174</v>
      </c>
      <c r="AB4" s="441"/>
      <c r="AC4" s="441"/>
      <c r="AD4" s="441"/>
      <c r="AE4" s="441"/>
      <c r="AF4" s="442"/>
      <c r="AG4" s="440" t="s">
        <v>175</v>
      </c>
      <c r="AH4" s="441"/>
      <c r="AI4" s="441"/>
      <c r="AJ4" s="441"/>
      <c r="AK4" s="441"/>
      <c r="AL4" s="440" t="s">
        <v>176</v>
      </c>
      <c r="AM4" s="441"/>
      <c r="AN4" s="441"/>
      <c r="AO4" s="441"/>
      <c r="AP4" s="441"/>
      <c r="AQ4" s="440" t="s">
        <v>177</v>
      </c>
      <c r="AR4" s="441"/>
      <c r="AS4" s="441"/>
      <c r="AT4" s="441"/>
      <c r="AU4" s="441"/>
      <c r="AV4" s="440" t="s">
        <v>178</v>
      </c>
      <c r="AW4" s="441"/>
      <c r="AX4" s="441"/>
      <c r="AY4" s="441"/>
      <c r="AZ4" s="441"/>
      <c r="BA4" s="440" t="s">
        <v>179</v>
      </c>
      <c r="BB4" s="441"/>
      <c r="BC4" s="441"/>
      <c r="BD4" s="441"/>
      <c r="BE4" s="441"/>
      <c r="BF4" s="440" t="s">
        <v>180</v>
      </c>
      <c r="BG4" s="441"/>
      <c r="BH4" s="441"/>
      <c r="BI4" s="441"/>
      <c r="BJ4" s="441"/>
      <c r="BK4" s="440" t="s">
        <v>181</v>
      </c>
      <c r="BL4" s="441"/>
      <c r="BM4" s="441"/>
      <c r="BN4" s="441"/>
      <c r="BO4" s="441"/>
      <c r="BP4" s="440" t="s">
        <v>182</v>
      </c>
      <c r="BQ4" s="441"/>
      <c r="BR4" s="441"/>
      <c r="BS4" s="441"/>
      <c r="BT4" s="441"/>
      <c r="BU4" s="440" t="s">
        <v>183</v>
      </c>
      <c r="BV4" s="441"/>
      <c r="BW4" s="441"/>
      <c r="BX4" s="441"/>
      <c r="BY4" s="441"/>
      <c r="BZ4" s="440" t="s">
        <v>184</v>
      </c>
      <c r="CA4" s="441"/>
      <c r="CB4" s="441"/>
      <c r="CC4" s="441"/>
      <c r="CD4" s="442"/>
      <c r="CE4" s="440" t="s">
        <v>185</v>
      </c>
      <c r="CF4" s="441"/>
      <c r="CG4" s="441"/>
      <c r="CH4" s="441"/>
      <c r="CI4" s="442"/>
      <c r="CJ4" s="440" t="s">
        <v>186</v>
      </c>
      <c r="CK4" s="441"/>
      <c r="CL4" s="441"/>
      <c r="CM4" s="441"/>
      <c r="CN4" s="442"/>
      <c r="CO4" s="440" t="s">
        <v>187</v>
      </c>
      <c r="CP4" s="441"/>
      <c r="CQ4" s="441"/>
      <c r="CR4" s="441"/>
      <c r="CS4" s="442"/>
      <c r="CT4" s="440" t="s">
        <v>188</v>
      </c>
      <c r="CU4" s="441"/>
      <c r="CV4" s="441"/>
      <c r="CW4" s="441"/>
      <c r="CX4" s="442"/>
      <c r="CY4" s="440" t="s">
        <v>189</v>
      </c>
      <c r="CZ4" s="441"/>
      <c r="DA4" s="441"/>
      <c r="DB4" s="441"/>
      <c r="DC4" s="442"/>
      <c r="DD4" s="440" t="s">
        <v>190</v>
      </c>
      <c r="DE4" s="441"/>
      <c r="DF4" s="441"/>
      <c r="DG4" s="441"/>
      <c r="DH4" s="442"/>
      <c r="DI4" s="440" t="s">
        <v>191</v>
      </c>
      <c r="DJ4" s="441"/>
      <c r="DK4" s="441"/>
      <c r="DL4" s="441"/>
      <c r="DM4" s="442"/>
      <c r="DN4" s="440" t="s">
        <v>192</v>
      </c>
      <c r="DO4" s="441"/>
      <c r="DP4" s="441"/>
      <c r="DQ4" s="441"/>
      <c r="DR4" s="442"/>
      <c r="DS4" s="440" t="s">
        <v>193</v>
      </c>
      <c r="DT4" s="441"/>
      <c r="DU4" s="441"/>
      <c r="DV4" s="441"/>
      <c r="DW4" s="442"/>
      <c r="DX4" s="440" t="s">
        <v>194</v>
      </c>
      <c r="DY4" s="441"/>
      <c r="DZ4" s="441"/>
      <c r="EA4" s="441"/>
      <c r="EB4" s="442"/>
      <c r="EC4" s="440" t="s">
        <v>195</v>
      </c>
      <c r="ED4" s="441"/>
      <c r="EE4" s="442"/>
      <c r="EF4" s="440" t="s">
        <v>196</v>
      </c>
      <c r="EG4" s="441"/>
      <c r="EH4" s="442"/>
      <c r="EI4" s="440" t="s">
        <v>197</v>
      </c>
      <c r="EJ4" s="441"/>
      <c r="EK4" s="442"/>
      <c r="EL4" s="440" t="s">
        <v>198</v>
      </c>
      <c r="EM4" s="441"/>
      <c r="EN4" s="442"/>
      <c r="EO4" s="440" t="s">
        <v>199</v>
      </c>
      <c r="EP4" s="441"/>
      <c r="EQ4" s="442"/>
      <c r="ER4" s="435" t="s">
        <v>200</v>
      </c>
      <c r="ES4" s="436"/>
      <c r="ET4" s="437"/>
      <c r="EU4" s="435" t="s">
        <v>201</v>
      </c>
      <c r="EV4" s="436"/>
      <c r="EW4" s="437"/>
      <c r="EX4" s="435" t="s">
        <v>202</v>
      </c>
      <c r="EY4" s="436"/>
      <c r="EZ4" s="437"/>
      <c r="FA4" s="432" t="s">
        <v>203</v>
      </c>
      <c r="FB4" s="433"/>
      <c r="FC4" s="434"/>
      <c r="FD4" s="432" t="s">
        <v>204</v>
      </c>
      <c r="FE4" s="433"/>
      <c r="FF4" s="434"/>
      <c r="FG4" s="432" t="s">
        <v>205</v>
      </c>
      <c r="FH4" s="433"/>
      <c r="FI4" s="434"/>
      <c r="FJ4" s="432" t="s">
        <v>206</v>
      </c>
      <c r="FK4" s="433"/>
      <c r="FL4" s="434"/>
      <c r="FM4" s="432" t="s">
        <v>207</v>
      </c>
      <c r="FN4" s="433"/>
      <c r="FO4" s="434"/>
      <c r="FP4" s="432" t="s">
        <v>70</v>
      </c>
      <c r="FQ4" s="433"/>
      <c r="FR4" s="434"/>
    </row>
    <row r="5" spans="1:174" ht="36" customHeight="1">
      <c r="A5" s="94" t="s">
        <v>91</v>
      </c>
      <c r="B5" s="94" t="s">
        <v>113</v>
      </c>
      <c r="C5" s="94" t="s">
        <v>114</v>
      </c>
      <c r="D5" s="95" t="s">
        <v>208</v>
      </c>
      <c r="E5" s="95"/>
      <c r="F5" s="94" t="s">
        <v>91</v>
      </c>
      <c r="G5" s="94" t="s">
        <v>113</v>
      </c>
      <c r="H5" s="94" t="s">
        <v>114</v>
      </c>
      <c r="I5" s="95" t="s">
        <v>208</v>
      </c>
      <c r="J5" s="95"/>
      <c r="K5" s="94" t="s">
        <v>91</v>
      </c>
      <c r="L5" s="94" t="s">
        <v>113</v>
      </c>
      <c r="M5" s="94" t="s">
        <v>114</v>
      </c>
      <c r="N5" s="95" t="s">
        <v>208</v>
      </c>
      <c r="O5" s="95"/>
      <c r="P5" s="94" t="s">
        <v>91</v>
      </c>
      <c r="Q5" s="94" t="s">
        <v>113</v>
      </c>
      <c r="R5" s="94" t="s">
        <v>114</v>
      </c>
      <c r="S5" s="95" t="s">
        <v>208</v>
      </c>
      <c r="T5" s="95"/>
      <c r="U5" s="96" t="s">
        <v>1</v>
      </c>
      <c r="V5" s="371" t="s">
        <v>209</v>
      </c>
      <c r="W5" s="97" t="s">
        <v>210</v>
      </c>
      <c r="X5" s="244" t="s">
        <v>211</v>
      </c>
      <c r="Y5" s="248" t="s">
        <v>212</v>
      </c>
      <c r="AA5" s="154" t="s">
        <v>91</v>
      </c>
      <c r="AB5" s="153" t="s">
        <v>134</v>
      </c>
      <c r="AC5" s="153" t="s">
        <v>135</v>
      </c>
      <c r="AD5" s="153" t="s">
        <v>213</v>
      </c>
      <c r="AE5" s="236" t="s">
        <v>214</v>
      </c>
      <c r="AF5" s="232" t="s">
        <v>166</v>
      </c>
      <c r="AG5" s="154" t="s">
        <v>134</v>
      </c>
      <c r="AH5" s="153" t="s">
        <v>135</v>
      </c>
      <c r="AI5" s="236" t="s">
        <v>213</v>
      </c>
      <c r="AJ5" s="236" t="s">
        <v>214</v>
      </c>
      <c r="AK5" s="236" t="s">
        <v>166</v>
      </c>
      <c r="AL5" s="154" t="s">
        <v>134</v>
      </c>
      <c r="AM5" s="153" t="s">
        <v>135</v>
      </c>
      <c r="AN5" s="236" t="s">
        <v>213</v>
      </c>
      <c r="AO5" s="236" t="s">
        <v>214</v>
      </c>
      <c r="AP5" s="236" t="s">
        <v>166</v>
      </c>
      <c r="AQ5" s="154" t="s">
        <v>134</v>
      </c>
      <c r="AR5" s="153" t="s">
        <v>135</v>
      </c>
      <c r="AS5" s="236" t="s">
        <v>213</v>
      </c>
      <c r="AT5" s="236" t="s">
        <v>214</v>
      </c>
      <c r="AU5" s="236" t="s">
        <v>166</v>
      </c>
      <c r="AV5" s="154" t="s">
        <v>134</v>
      </c>
      <c r="AW5" s="153" t="s">
        <v>135</v>
      </c>
      <c r="AX5" s="236" t="s">
        <v>213</v>
      </c>
      <c r="AY5" s="236" t="s">
        <v>214</v>
      </c>
      <c r="AZ5" s="236" t="s">
        <v>166</v>
      </c>
      <c r="BA5" s="154" t="s">
        <v>134</v>
      </c>
      <c r="BB5" s="153" t="s">
        <v>135</v>
      </c>
      <c r="BC5" s="236" t="s">
        <v>213</v>
      </c>
      <c r="BD5" s="236" t="s">
        <v>214</v>
      </c>
      <c r="BE5" s="236" t="s">
        <v>166</v>
      </c>
      <c r="BF5" s="154" t="s">
        <v>134</v>
      </c>
      <c r="BG5" s="153" t="s">
        <v>135</v>
      </c>
      <c r="BH5" s="236" t="s">
        <v>213</v>
      </c>
      <c r="BI5" s="236" t="s">
        <v>214</v>
      </c>
      <c r="BJ5" s="236" t="s">
        <v>166</v>
      </c>
      <c r="BK5" s="154" t="s">
        <v>134</v>
      </c>
      <c r="BL5" s="153" t="s">
        <v>135</v>
      </c>
      <c r="BM5" s="236" t="s">
        <v>213</v>
      </c>
      <c r="BN5" s="236" t="s">
        <v>214</v>
      </c>
      <c r="BO5" s="236" t="s">
        <v>166</v>
      </c>
      <c r="BP5" s="154" t="s">
        <v>134</v>
      </c>
      <c r="BQ5" s="153" t="s">
        <v>135</v>
      </c>
      <c r="BR5" s="236" t="s">
        <v>213</v>
      </c>
      <c r="BS5" s="236" t="s">
        <v>214</v>
      </c>
      <c r="BT5" s="236" t="s">
        <v>166</v>
      </c>
      <c r="BU5" s="154" t="s">
        <v>134</v>
      </c>
      <c r="BV5" s="153" t="s">
        <v>135</v>
      </c>
      <c r="BW5" s="236" t="s">
        <v>213</v>
      </c>
      <c r="BX5" s="236" t="s">
        <v>214</v>
      </c>
      <c r="BY5" s="236" t="s">
        <v>166</v>
      </c>
      <c r="BZ5" s="154" t="s">
        <v>134</v>
      </c>
      <c r="CA5" s="153" t="s">
        <v>135</v>
      </c>
      <c r="CB5" s="236" t="s">
        <v>215</v>
      </c>
      <c r="CC5" s="236" t="s">
        <v>214</v>
      </c>
      <c r="CD5" s="155" t="s">
        <v>166</v>
      </c>
      <c r="CE5" s="154" t="s">
        <v>134</v>
      </c>
      <c r="CF5" s="153" t="s">
        <v>135</v>
      </c>
      <c r="CG5" s="236" t="s">
        <v>213</v>
      </c>
      <c r="CH5" s="236" t="s">
        <v>214</v>
      </c>
      <c r="CI5" s="155" t="s">
        <v>166</v>
      </c>
      <c r="CJ5" s="154" t="s">
        <v>134</v>
      </c>
      <c r="CK5" s="153" t="s">
        <v>135</v>
      </c>
      <c r="CL5" s="236" t="s">
        <v>213</v>
      </c>
      <c r="CM5" s="236" t="s">
        <v>214</v>
      </c>
      <c r="CN5" s="155" t="s">
        <v>166</v>
      </c>
      <c r="CO5" s="154" t="s">
        <v>134</v>
      </c>
      <c r="CP5" s="153" t="s">
        <v>135</v>
      </c>
      <c r="CQ5" s="236" t="s">
        <v>213</v>
      </c>
      <c r="CR5" s="236" t="s">
        <v>214</v>
      </c>
      <c r="CS5" s="155" t="s">
        <v>166</v>
      </c>
      <c r="CT5" s="154" t="s">
        <v>134</v>
      </c>
      <c r="CU5" s="153" t="s">
        <v>135</v>
      </c>
      <c r="CV5" s="236" t="s">
        <v>215</v>
      </c>
      <c r="CW5" s="236" t="s">
        <v>214</v>
      </c>
      <c r="CX5" s="155" t="s">
        <v>166</v>
      </c>
      <c r="CY5" s="154" t="s">
        <v>134</v>
      </c>
      <c r="CZ5" s="153" t="s">
        <v>135</v>
      </c>
      <c r="DA5" s="236" t="s">
        <v>213</v>
      </c>
      <c r="DB5" s="236" t="s">
        <v>214</v>
      </c>
      <c r="DC5" s="155" t="s">
        <v>166</v>
      </c>
      <c r="DD5" s="154" t="s">
        <v>134</v>
      </c>
      <c r="DE5" s="153" t="s">
        <v>135</v>
      </c>
      <c r="DF5" s="236" t="s">
        <v>215</v>
      </c>
      <c r="DG5" s="236" t="s">
        <v>214</v>
      </c>
      <c r="DH5" s="155" t="s">
        <v>166</v>
      </c>
      <c r="DI5" s="154" t="s">
        <v>134</v>
      </c>
      <c r="DJ5" s="153" t="s">
        <v>135</v>
      </c>
      <c r="DK5" s="236" t="s">
        <v>213</v>
      </c>
      <c r="DL5" s="236" t="s">
        <v>214</v>
      </c>
      <c r="DM5" s="155" t="s">
        <v>166</v>
      </c>
      <c r="DN5" s="154" t="s">
        <v>134</v>
      </c>
      <c r="DO5" s="153" t="s">
        <v>135</v>
      </c>
      <c r="DP5" s="236" t="s">
        <v>213</v>
      </c>
      <c r="DQ5" s="236" t="s">
        <v>214</v>
      </c>
      <c r="DR5" s="155" t="s">
        <v>166</v>
      </c>
      <c r="DS5" s="154" t="s">
        <v>134</v>
      </c>
      <c r="DT5" s="153" t="s">
        <v>135</v>
      </c>
      <c r="DU5" s="236" t="s">
        <v>215</v>
      </c>
      <c r="DV5" s="236" t="s">
        <v>214</v>
      </c>
      <c r="DW5" s="155" t="s">
        <v>166</v>
      </c>
      <c r="DX5" s="154" t="s">
        <v>134</v>
      </c>
      <c r="DY5" s="153" t="s">
        <v>135</v>
      </c>
      <c r="DZ5" s="236" t="s">
        <v>213</v>
      </c>
      <c r="EA5" s="236" t="s">
        <v>214</v>
      </c>
      <c r="EB5" s="155" t="s">
        <v>166</v>
      </c>
      <c r="EC5" s="154" t="s">
        <v>134</v>
      </c>
      <c r="ED5" s="153" t="s">
        <v>135</v>
      </c>
      <c r="EE5" s="155" t="s">
        <v>213</v>
      </c>
      <c r="EF5" s="154" t="s">
        <v>134</v>
      </c>
      <c r="EG5" s="153" t="s">
        <v>135</v>
      </c>
      <c r="EH5" s="155" t="s">
        <v>213</v>
      </c>
      <c r="EI5" s="154" t="s">
        <v>134</v>
      </c>
      <c r="EJ5" s="153" t="s">
        <v>135</v>
      </c>
      <c r="EK5" s="155" t="s">
        <v>213</v>
      </c>
      <c r="EL5" s="154" t="s">
        <v>134</v>
      </c>
      <c r="EM5" s="153" t="s">
        <v>135</v>
      </c>
      <c r="EN5" s="155" t="s">
        <v>213</v>
      </c>
      <c r="EO5" s="239" t="s">
        <v>134</v>
      </c>
      <c r="EP5" s="236" t="s">
        <v>135</v>
      </c>
      <c r="EQ5" s="155" t="s">
        <v>213</v>
      </c>
      <c r="ER5" s="258" t="s">
        <v>134</v>
      </c>
      <c r="ES5" s="259" t="s">
        <v>135</v>
      </c>
      <c r="ET5" s="260" t="s">
        <v>213</v>
      </c>
      <c r="EU5" s="258" t="s">
        <v>134</v>
      </c>
      <c r="EV5" s="259" t="s">
        <v>135</v>
      </c>
      <c r="EW5" s="260" t="s">
        <v>213</v>
      </c>
      <c r="EX5" s="258" t="s">
        <v>134</v>
      </c>
      <c r="EY5" s="259" t="s">
        <v>135</v>
      </c>
      <c r="EZ5" s="260" t="s">
        <v>213</v>
      </c>
      <c r="FA5" s="258" t="s">
        <v>134</v>
      </c>
      <c r="FB5" s="259" t="s">
        <v>135</v>
      </c>
      <c r="FC5" s="260" t="s">
        <v>213</v>
      </c>
      <c r="FD5" s="258" t="s">
        <v>134</v>
      </c>
      <c r="FE5" s="259" t="s">
        <v>135</v>
      </c>
      <c r="FF5" s="260" t="s">
        <v>213</v>
      </c>
      <c r="FG5" s="258" t="s">
        <v>134</v>
      </c>
      <c r="FH5" s="259" t="s">
        <v>135</v>
      </c>
      <c r="FI5" s="260" t="s">
        <v>213</v>
      </c>
      <c r="FJ5" s="258" t="s">
        <v>134</v>
      </c>
      <c r="FK5" s="259" t="s">
        <v>135</v>
      </c>
      <c r="FL5" s="260" t="s">
        <v>213</v>
      </c>
      <c r="FM5" s="258" t="s">
        <v>134</v>
      </c>
      <c r="FN5" s="259" t="s">
        <v>135</v>
      </c>
      <c r="FO5" s="260" t="s">
        <v>213</v>
      </c>
      <c r="FP5" s="258" t="s">
        <v>134</v>
      </c>
      <c r="FQ5" s="259" t="s">
        <v>135</v>
      </c>
      <c r="FR5" s="260" t="s">
        <v>213</v>
      </c>
    </row>
    <row r="6" spans="1:174" ht="15" customHeight="1">
      <c r="A6" s="104">
        <v>1</v>
      </c>
      <c r="B6" s="98">
        <v>13606</v>
      </c>
      <c r="C6" s="98">
        <v>13849</v>
      </c>
      <c r="D6" s="99">
        <f>MAX(0,C6-B6)</f>
        <v>243</v>
      </c>
      <c r="E6" s="149"/>
      <c r="F6" s="104">
        <v>1</v>
      </c>
      <c r="G6" s="105">
        <v>42157</v>
      </c>
      <c r="H6" s="98">
        <v>42230</v>
      </c>
      <c r="I6" s="99">
        <f>MAX(0,H6-G6)</f>
        <v>73</v>
      </c>
      <c r="J6" s="149"/>
      <c r="K6" s="104">
        <v>1</v>
      </c>
      <c r="L6" s="105">
        <v>848888</v>
      </c>
      <c r="M6" s="105">
        <v>848888</v>
      </c>
      <c r="N6" s="99">
        <f>MAX(0,M6-L6)</f>
        <v>0</v>
      </c>
      <c r="O6" s="101"/>
      <c r="P6" s="104">
        <v>1</v>
      </c>
      <c r="Q6" s="105">
        <v>249499</v>
      </c>
      <c r="R6" s="98">
        <v>249574</v>
      </c>
      <c r="S6" s="99">
        <f>MAX(0,R6-Q6)</f>
        <v>75</v>
      </c>
      <c r="T6" s="100"/>
      <c r="U6" s="102">
        <v>1</v>
      </c>
      <c r="V6" s="372">
        <f>SUM(S6+N6+I6+D6)</f>
        <v>391</v>
      </c>
      <c r="W6" s="103">
        <f>'Maldives at LG Daily'!I5</f>
        <v>5488</v>
      </c>
      <c r="X6" s="99">
        <v>81</v>
      </c>
      <c r="Y6" s="249">
        <f>V6/X6</f>
        <v>4.8271604938271606</v>
      </c>
      <c r="AA6" s="158">
        <v>1</v>
      </c>
      <c r="AB6" s="106">
        <v>48573</v>
      </c>
      <c r="AC6" s="106">
        <v>48611</v>
      </c>
      <c r="AD6" s="106">
        <f>MAX(0,AC6-AB6)</f>
        <v>38</v>
      </c>
      <c r="AE6" s="106"/>
      <c r="AF6" s="233"/>
      <c r="AG6" s="158">
        <v>10899</v>
      </c>
      <c r="AH6" s="106">
        <v>10906</v>
      </c>
      <c r="AI6" s="106">
        <f>MAX(0,AH6-AG6)</f>
        <v>7</v>
      </c>
      <c r="AJ6" s="106"/>
      <c r="AK6" s="106"/>
      <c r="AL6" s="158">
        <v>10379</v>
      </c>
      <c r="AM6" s="106">
        <v>10384</v>
      </c>
      <c r="AN6" s="106">
        <f>MAX(0,AM6-AL6)</f>
        <v>5</v>
      </c>
      <c r="AO6" s="106"/>
      <c r="AP6" s="106"/>
      <c r="AQ6" s="158">
        <v>19932</v>
      </c>
      <c r="AR6" s="106">
        <v>19943</v>
      </c>
      <c r="AS6" s="106">
        <f>MAX(0,AR6-AQ6)</f>
        <v>11</v>
      </c>
      <c r="AT6" s="106"/>
      <c r="AU6" s="106"/>
      <c r="AV6" s="158">
        <v>35968</v>
      </c>
      <c r="AW6" s="106">
        <v>35977</v>
      </c>
      <c r="AX6" s="106">
        <f>MAX(0,AW6-AV6)</f>
        <v>9</v>
      </c>
      <c r="AY6" s="106"/>
      <c r="AZ6" s="106"/>
      <c r="BA6" s="158">
        <v>9630</v>
      </c>
      <c r="BB6" s="106">
        <v>9636</v>
      </c>
      <c r="BC6" s="106">
        <f>MAX(0,BB6-BA6)</f>
        <v>6</v>
      </c>
      <c r="BD6" s="106"/>
      <c r="BE6" s="106"/>
      <c r="BF6" s="158">
        <v>26468</v>
      </c>
      <c r="BG6" s="106">
        <v>26476</v>
      </c>
      <c r="BH6" s="106">
        <f>MAX(0,BG6-BF6)</f>
        <v>8</v>
      </c>
      <c r="BI6" s="106"/>
      <c r="BJ6" s="106"/>
      <c r="BK6" s="161">
        <v>10492</v>
      </c>
      <c r="BL6" s="106">
        <v>10500</v>
      </c>
      <c r="BM6" s="106">
        <f>MAX(0,BL6-BK6)</f>
        <v>8</v>
      </c>
      <c r="BN6" s="106"/>
      <c r="BO6" s="106"/>
      <c r="BP6" s="158">
        <v>4262</v>
      </c>
      <c r="BQ6" s="106">
        <v>4266</v>
      </c>
      <c r="BR6" s="253">
        <f>MAX(0,BQ6-BP6)</f>
        <v>4</v>
      </c>
      <c r="BS6" s="106"/>
      <c r="BT6" s="106"/>
      <c r="BU6" s="158">
        <v>1881</v>
      </c>
      <c r="BV6" s="106">
        <v>1881</v>
      </c>
      <c r="BW6" s="106">
        <f>MAX(0,BV6-BU6)</f>
        <v>0</v>
      </c>
      <c r="BX6" s="106"/>
      <c r="BY6" s="106"/>
      <c r="BZ6" s="162">
        <v>29372</v>
      </c>
      <c r="CA6" s="106">
        <v>29375</v>
      </c>
      <c r="CB6" s="253">
        <f>MAX(0,CA6-BZ6)</f>
        <v>3</v>
      </c>
      <c r="CC6" s="106"/>
      <c r="CD6" s="156"/>
      <c r="CE6" s="161">
        <v>3600</v>
      </c>
      <c r="CF6" s="106">
        <v>3602</v>
      </c>
      <c r="CG6" s="106">
        <f>MAX(0,CF6-CE6)</f>
        <v>2</v>
      </c>
      <c r="CH6" s="106"/>
      <c r="CI6" s="156"/>
      <c r="CJ6" s="161">
        <v>86713</v>
      </c>
      <c r="CK6" s="106">
        <v>86746</v>
      </c>
      <c r="CL6" s="106">
        <f>MAX(0,CK6-CJ6)</f>
        <v>33</v>
      </c>
      <c r="CM6" s="106"/>
      <c r="CN6" s="156"/>
      <c r="CO6" s="161">
        <v>26569</v>
      </c>
      <c r="CP6" s="106">
        <v>26576</v>
      </c>
      <c r="CQ6" s="106">
        <f>MAX(0,CP6-CO6)</f>
        <v>7</v>
      </c>
      <c r="CR6" s="106"/>
      <c r="CS6" s="156"/>
      <c r="CT6" s="161">
        <v>12869</v>
      </c>
      <c r="CU6" s="106">
        <v>12870</v>
      </c>
      <c r="CV6" s="106">
        <f>MAX(0,CU6-CT6)</f>
        <v>1</v>
      </c>
      <c r="CW6" s="106"/>
      <c r="CX6" s="156"/>
      <c r="CY6" s="161">
        <v>19881</v>
      </c>
      <c r="CZ6" s="106">
        <v>19888</v>
      </c>
      <c r="DA6" s="106">
        <f>MAX(0,CZ6-CY6)</f>
        <v>7</v>
      </c>
      <c r="DB6" s="106"/>
      <c r="DC6" s="156"/>
      <c r="DD6" s="161">
        <v>21164</v>
      </c>
      <c r="DE6" s="106">
        <v>21167</v>
      </c>
      <c r="DF6" s="106">
        <f>MAX(0,DE6-DD6)</f>
        <v>3</v>
      </c>
      <c r="DG6" s="106"/>
      <c r="DH6" s="156"/>
      <c r="DI6" s="161">
        <v>10138</v>
      </c>
      <c r="DJ6" s="106">
        <v>10140</v>
      </c>
      <c r="DK6" s="106">
        <f>MAX(0,DJ6-DI6)</f>
        <v>2</v>
      </c>
      <c r="DL6" s="106"/>
      <c r="DM6" s="156"/>
      <c r="DN6" s="161">
        <v>27200</v>
      </c>
      <c r="DO6" s="106">
        <v>27219</v>
      </c>
      <c r="DP6" s="106">
        <f>MAX(0,DO6-DN6)</f>
        <v>19</v>
      </c>
      <c r="DQ6" s="106"/>
      <c r="DR6" s="156"/>
      <c r="DS6" s="161">
        <v>2884</v>
      </c>
      <c r="DT6" s="106">
        <v>2884</v>
      </c>
      <c r="DU6" s="106">
        <f>MAX(0,DT6-DS6)</f>
        <v>0</v>
      </c>
      <c r="DV6" s="106"/>
      <c r="DW6" s="156"/>
      <c r="DX6" s="161">
        <v>198</v>
      </c>
      <c r="DY6" s="106">
        <v>199</v>
      </c>
      <c r="DZ6" s="106">
        <f>MAX(0,DY6-DX6)</f>
        <v>1</v>
      </c>
      <c r="EA6" s="106"/>
      <c r="EB6" s="156"/>
      <c r="EC6" s="161">
        <v>4550</v>
      </c>
      <c r="ED6" s="106"/>
      <c r="EE6" s="156">
        <f>ED6-EC6</f>
        <v>-4550</v>
      </c>
      <c r="EF6" s="161">
        <v>2479</v>
      </c>
      <c r="EG6" s="106"/>
      <c r="EH6" s="156">
        <f>EG6-EF6</f>
        <v>-2479</v>
      </c>
      <c r="EI6" s="161">
        <v>2008</v>
      </c>
      <c r="EJ6" s="106"/>
      <c r="EK6" s="156">
        <f>EJ6-EI6</f>
        <v>-2008</v>
      </c>
      <c r="EL6" s="161">
        <v>1556</v>
      </c>
      <c r="EM6" s="106"/>
      <c r="EN6" s="156">
        <f>EM6-EL6</f>
        <v>-1556</v>
      </c>
      <c r="EO6" s="106">
        <v>840</v>
      </c>
      <c r="EP6" s="106"/>
      <c r="EQ6" s="156">
        <f>EP6-EO6</f>
        <v>-840</v>
      </c>
      <c r="ER6" s="162"/>
      <c r="ES6" s="106"/>
      <c r="ET6" s="156">
        <f>ES6-ER6</f>
        <v>0</v>
      </c>
      <c r="EU6" s="162"/>
      <c r="EV6" s="106"/>
      <c r="EW6" s="156">
        <f>EV6-EU6</f>
        <v>0</v>
      </c>
      <c r="EX6" s="162"/>
      <c r="EY6" s="106"/>
      <c r="EZ6" s="156">
        <f>EY6-EX6</f>
        <v>0</v>
      </c>
      <c r="FA6" s="162"/>
      <c r="FB6" s="106"/>
      <c r="FC6" s="156">
        <f>FB6-FA6</f>
        <v>0</v>
      </c>
      <c r="FD6" s="162"/>
      <c r="FE6" s="106"/>
      <c r="FF6" s="156">
        <f>FE6-FD6</f>
        <v>0</v>
      </c>
      <c r="FG6" s="162"/>
      <c r="FH6" s="106"/>
      <c r="FI6" s="156">
        <f>FH6-FG6</f>
        <v>0</v>
      </c>
      <c r="FJ6" s="162"/>
      <c r="FK6" s="106"/>
      <c r="FL6" s="156">
        <f>FK6-FJ6</f>
        <v>0</v>
      </c>
      <c r="FM6" s="162"/>
      <c r="FN6" s="106"/>
      <c r="FO6" s="156">
        <f>FN6-FM6</f>
        <v>0</v>
      </c>
      <c r="FP6" s="162"/>
      <c r="FQ6" s="106"/>
      <c r="FR6" s="156">
        <f>FQ6-FP6</f>
        <v>0</v>
      </c>
    </row>
    <row r="7" spans="1:174" ht="15" customHeight="1">
      <c r="A7" s="104">
        <v>2</v>
      </c>
      <c r="B7" s="104">
        <f>C6</f>
        <v>13849</v>
      </c>
      <c r="C7" s="98">
        <v>14065</v>
      </c>
      <c r="D7" s="99">
        <f t="shared" ref="D7:D36" si="0">MAX(0,C7-B7)</f>
        <v>216</v>
      </c>
      <c r="E7" s="149"/>
      <c r="F7" s="104">
        <v>2</v>
      </c>
      <c r="G7" s="104">
        <f>H6</f>
        <v>42230</v>
      </c>
      <c r="H7" s="98">
        <v>42321</v>
      </c>
      <c r="I7" s="99">
        <f t="shared" ref="I7:I36" si="1">MAX(0,H7-G7)</f>
        <v>91</v>
      </c>
      <c r="J7" s="149"/>
      <c r="K7" s="104">
        <v>2</v>
      </c>
      <c r="L7" s="104">
        <f>M6</f>
        <v>848888</v>
      </c>
      <c r="M7" s="105">
        <v>848888</v>
      </c>
      <c r="N7" s="99">
        <f t="shared" ref="N7:N36" si="2">MAX(0,M7-L7)</f>
        <v>0</v>
      </c>
      <c r="O7" s="101"/>
      <c r="P7" s="104">
        <v>2</v>
      </c>
      <c r="Q7" s="104">
        <f>R6</f>
        <v>249574</v>
      </c>
      <c r="R7" s="105">
        <v>249696</v>
      </c>
      <c r="S7" s="99">
        <f t="shared" ref="S7:S36" si="3">MAX(0,R7-Q7)</f>
        <v>122</v>
      </c>
      <c r="T7" s="100"/>
      <c r="U7" s="104">
        <v>2</v>
      </c>
      <c r="V7" s="373">
        <f t="shared" ref="V7:V36" si="4">SUM(S7+N7+I7+D7)</f>
        <v>429</v>
      </c>
      <c r="W7" s="103">
        <f>'Maldives at LG Daily'!I6</f>
        <v>3869</v>
      </c>
      <c r="X7" s="106">
        <v>93</v>
      </c>
      <c r="Y7" s="249">
        <f t="shared" ref="Y7:Y36" si="5">V7/X7</f>
        <v>4.612903225806452</v>
      </c>
      <c r="AA7" s="158">
        <v>2</v>
      </c>
      <c r="AB7" s="106">
        <f>AC6</f>
        <v>48611</v>
      </c>
      <c r="AC7" s="106">
        <v>48645</v>
      </c>
      <c r="AD7" s="106">
        <f t="shared" ref="AD7:AD35" si="6">MAX(0,AC7-AB7)</f>
        <v>34</v>
      </c>
      <c r="AE7" s="106">
        <f>AD7-AD6</f>
        <v>-4</v>
      </c>
      <c r="AF7" s="234"/>
      <c r="AG7" s="158">
        <f>AH6</f>
        <v>10906</v>
      </c>
      <c r="AH7" s="106">
        <v>10912</v>
      </c>
      <c r="AI7" s="106">
        <f>MAX(0,AH7-AG7)</f>
        <v>6</v>
      </c>
      <c r="AJ7" s="106">
        <f>AI7-AI6</f>
        <v>-1</v>
      </c>
      <c r="AK7" s="106"/>
      <c r="AL7" s="158">
        <f>AM6</f>
        <v>10384</v>
      </c>
      <c r="AM7" s="106">
        <v>10394</v>
      </c>
      <c r="AN7" s="106">
        <f t="shared" ref="AN7:AN36" si="7">MAX(0,AM7-AL7)</f>
        <v>10</v>
      </c>
      <c r="AO7" s="106">
        <f>AN7-AN6</f>
        <v>5</v>
      </c>
      <c r="AP7" s="106"/>
      <c r="AQ7" s="158">
        <f>AR6</f>
        <v>19943</v>
      </c>
      <c r="AR7" s="106">
        <v>19955</v>
      </c>
      <c r="AS7" s="106">
        <f t="shared" ref="AS7:AS36" si="8">MAX(0,AR7-AQ7)</f>
        <v>12</v>
      </c>
      <c r="AT7" s="106">
        <f>AS7-AS6</f>
        <v>1</v>
      </c>
      <c r="AU7" s="106"/>
      <c r="AV7" s="158">
        <f>AW6</f>
        <v>35977</v>
      </c>
      <c r="AW7" s="106">
        <v>35986</v>
      </c>
      <c r="AX7" s="106">
        <f t="shared" ref="AX7:AX36" si="9">MAX(0,AW7-AV7)</f>
        <v>9</v>
      </c>
      <c r="AY7" s="106">
        <f>AX7-AX6</f>
        <v>0</v>
      </c>
      <c r="AZ7" s="106"/>
      <c r="BA7" s="158">
        <f>BB6</f>
        <v>9636</v>
      </c>
      <c r="BB7" s="106">
        <v>9643</v>
      </c>
      <c r="BC7" s="106">
        <f t="shared" ref="BC7:BC36" si="10">MAX(0,BB7-BA7)</f>
        <v>7</v>
      </c>
      <c r="BD7" s="106">
        <f>BC7-BC6</f>
        <v>1</v>
      </c>
      <c r="BE7" s="106"/>
      <c r="BF7" s="158">
        <f>BG6</f>
        <v>26476</v>
      </c>
      <c r="BG7" s="106">
        <v>26485</v>
      </c>
      <c r="BH7" s="106">
        <f t="shared" ref="BH7:BH36" si="11">MAX(0,BG7-BF7)</f>
        <v>9</v>
      </c>
      <c r="BI7" s="106">
        <f>BH7-BH6</f>
        <v>1</v>
      </c>
      <c r="BJ7" s="106"/>
      <c r="BK7" s="158">
        <f>BL6</f>
        <v>10500</v>
      </c>
      <c r="BL7" s="106">
        <v>10510</v>
      </c>
      <c r="BM7" s="106">
        <f t="shared" ref="BM7:BM36" si="12">MAX(0,BL7-BK7)</f>
        <v>10</v>
      </c>
      <c r="BN7" s="106">
        <f>BM7-BM6</f>
        <v>2</v>
      </c>
      <c r="BO7" s="106"/>
      <c r="BP7" s="158">
        <f>BQ6</f>
        <v>4266</v>
      </c>
      <c r="BQ7" s="106">
        <v>4268</v>
      </c>
      <c r="BR7" s="253">
        <f t="shared" ref="BR7:BR36" si="13">MAX(0,BQ7-BP7)</f>
        <v>2</v>
      </c>
      <c r="BS7" s="106">
        <f>BR7-BR6</f>
        <v>-2</v>
      </c>
      <c r="BT7" s="106"/>
      <c r="BU7" s="158">
        <f>BV6</f>
        <v>1881</v>
      </c>
      <c r="BV7" s="106">
        <v>1881</v>
      </c>
      <c r="BW7" s="106">
        <f t="shared" ref="BW7:BW36" si="14">MAX(0,BV7-BU7)</f>
        <v>0</v>
      </c>
      <c r="BX7" s="106">
        <f>BW7-BW6</f>
        <v>0</v>
      </c>
      <c r="BY7" s="106"/>
      <c r="BZ7" s="162">
        <f>CA6</f>
        <v>29375</v>
      </c>
      <c r="CA7" s="106">
        <v>29378</v>
      </c>
      <c r="CB7" s="253">
        <f t="shared" ref="CB7:CB36" si="15">MAX(0,CA7-BZ7)</f>
        <v>3</v>
      </c>
      <c r="CC7" s="106">
        <f>CB7-CB6</f>
        <v>0</v>
      </c>
      <c r="CD7" s="156"/>
      <c r="CE7" s="162">
        <f>CF6</f>
        <v>3602</v>
      </c>
      <c r="CF7" s="106">
        <v>3606</v>
      </c>
      <c r="CG7" s="106">
        <f t="shared" ref="CG7:CG36" si="16">MAX(0,CF7-CE7)</f>
        <v>4</v>
      </c>
      <c r="CH7" s="106">
        <f>CG7-CG6</f>
        <v>2</v>
      </c>
      <c r="CI7" s="156"/>
      <c r="CJ7" s="162">
        <f>CK6</f>
        <v>86746</v>
      </c>
      <c r="CK7" s="106">
        <v>86782</v>
      </c>
      <c r="CL7" s="106">
        <f t="shared" ref="CL7:CL36" si="17">MAX(0,CK7-CJ7)</f>
        <v>36</v>
      </c>
      <c r="CM7" s="106">
        <f>CL7-CL6</f>
        <v>3</v>
      </c>
      <c r="CN7" s="156"/>
      <c r="CO7" s="162">
        <f>CP6</f>
        <v>26576</v>
      </c>
      <c r="CP7" s="106">
        <v>26590</v>
      </c>
      <c r="CQ7" s="106">
        <f t="shared" ref="CQ7:CQ36" si="18">MAX(0,CP7-CO7)</f>
        <v>14</v>
      </c>
      <c r="CR7" s="106">
        <f>CQ7-CQ6</f>
        <v>7</v>
      </c>
      <c r="CS7" s="156"/>
      <c r="CT7" s="162">
        <f>CU6</f>
        <v>12870</v>
      </c>
      <c r="CU7" s="106">
        <v>12872</v>
      </c>
      <c r="CV7" s="106">
        <f t="shared" ref="CV7:CV36" si="19">MAX(0,CU7-CT7)</f>
        <v>2</v>
      </c>
      <c r="CW7" s="106">
        <f>CV7-CV6</f>
        <v>1</v>
      </c>
      <c r="CX7" s="156"/>
      <c r="CY7" s="162">
        <f>CZ6</f>
        <v>19888</v>
      </c>
      <c r="CZ7" s="106">
        <v>19892</v>
      </c>
      <c r="DA7" s="106">
        <f t="shared" ref="DA7:DA36" si="20">MAX(0,CZ7-CY7)</f>
        <v>4</v>
      </c>
      <c r="DB7" s="106">
        <f>DA7-DA6</f>
        <v>-3</v>
      </c>
      <c r="DC7" s="156"/>
      <c r="DD7" s="162">
        <f>DE6</f>
        <v>21167</v>
      </c>
      <c r="DE7" s="106">
        <v>21171</v>
      </c>
      <c r="DF7" s="106">
        <f t="shared" ref="DF7:DF36" si="21">MAX(0,DE7-DD7)</f>
        <v>4</v>
      </c>
      <c r="DG7" s="106">
        <f>DF7-DF6</f>
        <v>1</v>
      </c>
      <c r="DH7" s="156"/>
      <c r="DI7" s="162">
        <f>DJ6</f>
        <v>10140</v>
      </c>
      <c r="DJ7" s="106">
        <v>10146</v>
      </c>
      <c r="DK7" s="106">
        <f t="shared" ref="DK7:DK36" si="22">MAX(0,DJ7-DI7)</f>
        <v>6</v>
      </c>
      <c r="DL7" s="106">
        <f>DK7-DK6</f>
        <v>4</v>
      </c>
      <c r="DM7" s="156"/>
      <c r="DN7" s="162">
        <f>DO6</f>
        <v>27219</v>
      </c>
      <c r="DO7" s="106">
        <v>27240</v>
      </c>
      <c r="DP7" s="106">
        <f t="shared" ref="DP7:DP36" si="23">MAX(0,DO7-DN7)</f>
        <v>21</v>
      </c>
      <c r="DQ7" s="106">
        <f>DP7-DP6</f>
        <v>2</v>
      </c>
      <c r="DR7" s="156"/>
      <c r="DS7" s="162">
        <f>DT6</f>
        <v>2884</v>
      </c>
      <c r="DT7" s="106">
        <v>2891</v>
      </c>
      <c r="DU7" s="106">
        <f t="shared" ref="DU7:DU36" si="24">MAX(0,DT7-DS7)</f>
        <v>7</v>
      </c>
      <c r="DV7" s="106">
        <f>DU7-DU6</f>
        <v>7</v>
      </c>
      <c r="DW7" s="156"/>
      <c r="DX7" s="162">
        <f>DY6</f>
        <v>199</v>
      </c>
      <c r="DY7" s="106">
        <v>202</v>
      </c>
      <c r="DZ7" s="106">
        <f t="shared" ref="DZ7:DZ36" si="25">MAX(0,DY7-DX7)</f>
        <v>3</v>
      </c>
      <c r="EA7" s="106">
        <f>DZ7-DZ6</f>
        <v>2</v>
      </c>
      <c r="EB7" s="156"/>
      <c r="EC7" s="162">
        <f>ED6</f>
        <v>0</v>
      </c>
      <c r="ED7" s="106"/>
      <c r="EE7" s="156">
        <f t="shared" ref="EE7:EE36" si="26">ED7-EC7</f>
        <v>0</v>
      </c>
      <c r="EF7" s="162">
        <f>EG6</f>
        <v>0</v>
      </c>
      <c r="EG7" s="106"/>
      <c r="EH7" s="156">
        <f t="shared" ref="EH7:EH36" si="27">EG7-EF7</f>
        <v>0</v>
      </c>
      <c r="EI7" s="162">
        <f>EJ6</f>
        <v>0</v>
      </c>
      <c r="EJ7" s="106"/>
      <c r="EK7" s="156">
        <f t="shared" ref="EK7:EK36" si="28">EJ7-EI7</f>
        <v>0</v>
      </c>
      <c r="EL7" s="162">
        <f>EM6</f>
        <v>0</v>
      </c>
      <c r="EM7" s="106"/>
      <c r="EN7" s="156">
        <f t="shared" ref="EN7:EN36" si="29">EM7-EL7</f>
        <v>0</v>
      </c>
      <c r="EO7" s="162">
        <f>EP6</f>
        <v>0</v>
      </c>
      <c r="EP7" s="106"/>
      <c r="EQ7" s="156">
        <f t="shared" ref="EQ7:EQ36" si="30">EP7-EO7</f>
        <v>0</v>
      </c>
      <c r="ER7" s="162">
        <v>578</v>
      </c>
      <c r="ES7" s="106"/>
      <c r="ET7" s="156">
        <f t="shared" ref="ET7:ET36" si="31">ES7-ER7</f>
        <v>-578</v>
      </c>
      <c r="EU7" s="162">
        <f>EV6</f>
        <v>0</v>
      </c>
      <c r="EV7" s="106">
        <v>840</v>
      </c>
      <c r="EW7" s="156">
        <v>0</v>
      </c>
      <c r="EX7" s="162">
        <v>1230</v>
      </c>
      <c r="EY7" s="106">
        <v>0</v>
      </c>
      <c r="EZ7" s="156">
        <f t="shared" ref="EZ7:EZ36" si="32">EY7-EX7</f>
        <v>-1230</v>
      </c>
      <c r="FA7" s="162">
        <f>FB6</f>
        <v>0</v>
      </c>
      <c r="FB7" s="106">
        <v>0</v>
      </c>
      <c r="FC7" s="156">
        <f t="shared" ref="FC7:FC36" si="33">FB7-FA7</f>
        <v>0</v>
      </c>
      <c r="FD7" s="162">
        <v>71</v>
      </c>
      <c r="FE7" s="106">
        <v>0</v>
      </c>
      <c r="FF7" s="156">
        <f t="shared" ref="FF7:FF36" si="34">FE7-FD7</f>
        <v>-71</v>
      </c>
      <c r="FG7" s="162">
        <v>123</v>
      </c>
      <c r="FH7" s="106">
        <v>0</v>
      </c>
      <c r="FI7" s="156">
        <f t="shared" ref="FI7:FI36" si="35">FH7-FG7</f>
        <v>-123</v>
      </c>
      <c r="FJ7" s="162">
        <v>23</v>
      </c>
      <c r="FK7" s="106">
        <v>0</v>
      </c>
      <c r="FL7" s="156">
        <f t="shared" ref="FL7:FL36" si="36">FK7-FJ7</f>
        <v>-23</v>
      </c>
      <c r="FM7" s="162">
        <v>10</v>
      </c>
      <c r="FN7" s="106">
        <v>0</v>
      </c>
      <c r="FO7" s="156">
        <f t="shared" ref="FO7:FO36" si="37">FN7-FM7</f>
        <v>-10</v>
      </c>
      <c r="FP7" s="162">
        <v>23</v>
      </c>
      <c r="FQ7" s="106">
        <v>0</v>
      </c>
      <c r="FR7" s="156">
        <f t="shared" ref="FR7:FR36" si="38">FQ7-FP7</f>
        <v>-23</v>
      </c>
    </row>
    <row r="8" spans="1:174" ht="15" customHeight="1">
      <c r="A8" s="104">
        <v>3</v>
      </c>
      <c r="B8" s="104">
        <f t="shared" ref="B8:B36" si="39">C7</f>
        <v>14065</v>
      </c>
      <c r="C8" s="98">
        <v>14260</v>
      </c>
      <c r="D8" s="99">
        <f>MAX(0,C8-B8)</f>
        <v>195</v>
      </c>
      <c r="E8" s="149"/>
      <c r="F8" s="104">
        <v>3</v>
      </c>
      <c r="G8" s="104">
        <f t="shared" ref="G8:G36" si="40">H7</f>
        <v>42321</v>
      </c>
      <c r="H8" s="98">
        <v>42406</v>
      </c>
      <c r="I8" s="99">
        <f t="shared" si="1"/>
        <v>85</v>
      </c>
      <c r="J8" s="149"/>
      <c r="K8" s="104">
        <v>3</v>
      </c>
      <c r="L8" s="104">
        <f t="shared" ref="L8:L36" si="41">M7</f>
        <v>848888</v>
      </c>
      <c r="M8" s="105">
        <v>848888</v>
      </c>
      <c r="N8" s="99">
        <f t="shared" si="2"/>
        <v>0</v>
      </c>
      <c r="O8" s="101"/>
      <c r="P8" s="104">
        <v>3</v>
      </c>
      <c r="Q8" s="104">
        <f t="shared" ref="Q8:Q36" si="42">R7</f>
        <v>249696</v>
      </c>
      <c r="R8" s="105">
        <v>249815</v>
      </c>
      <c r="S8" s="99">
        <f t="shared" si="3"/>
        <v>119</v>
      </c>
      <c r="T8" s="100"/>
      <c r="U8" s="102">
        <v>3</v>
      </c>
      <c r="V8" s="373">
        <f t="shared" si="4"/>
        <v>399</v>
      </c>
      <c r="W8" s="103">
        <f>'Maldives at LG Daily'!I7</f>
        <v>4139</v>
      </c>
      <c r="X8" s="106">
        <v>94</v>
      </c>
      <c r="Y8" s="249">
        <f t="shared" si="5"/>
        <v>4.2446808510638299</v>
      </c>
      <c r="AA8" s="158">
        <v>3</v>
      </c>
      <c r="AB8" s="106">
        <f t="shared" ref="AB8:AB36" si="43">AC7</f>
        <v>48645</v>
      </c>
      <c r="AC8" s="106">
        <v>48681</v>
      </c>
      <c r="AD8" s="106">
        <f t="shared" si="6"/>
        <v>36</v>
      </c>
      <c r="AE8" s="106">
        <f>AD8-AD7</f>
        <v>2</v>
      </c>
      <c r="AF8" s="234"/>
      <c r="AG8" s="158">
        <f t="shared" ref="AG8:AG36" si="44">AH7</f>
        <v>10912</v>
      </c>
      <c r="AH8" s="106">
        <v>10920</v>
      </c>
      <c r="AI8" s="106">
        <f t="shared" ref="AI8:AI36" si="45">MAX(0,AH8-AG8)</f>
        <v>8</v>
      </c>
      <c r="AJ8" s="106">
        <f>AI8-AI7</f>
        <v>2</v>
      </c>
      <c r="AK8" s="106"/>
      <c r="AL8" s="158">
        <f t="shared" ref="AL8:AL36" si="46">AM7</f>
        <v>10394</v>
      </c>
      <c r="AM8" s="106">
        <v>10403</v>
      </c>
      <c r="AN8" s="106">
        <f t="shared" si="7"/>
        <v>9</v>
      </c>
      <c r="AO8" s="106">
        <f t="shared" ref="AO8:AO36" si="47">AN8-AN7</f>
        <v>-1</v>
      </c>
      <c r="AP8" s="106"/>
      <c r="AQ8" s="158">
        <f t="shared" ref="AQ8:AQ36" si="48">AR7</f>
        <v>19955</v>
      </c>
      <c r="AR8" s="106">
        <v>19967</v>
      </c>
      <c r="AS8" s="106">
        <f t="shared" si="8"/>
        <v>12</v>
      </c>
      <c r="AT8" s="106">
        <f t="shared" ref="AT8:AT36" si="49">AS8-AS7</f>
        <v>0</v>
      </c>
      <c r="AU8" s="106"/>
      <c r="AV8" s="158">
        <f t="shared" ref="AV8:AV36" si="50">AW7</f>
        <v>35986</v>
      </c>
      <c r="AW8" s="106">
        <v>35996</v>
      </c>
      <c r="AX8" s="106">
        <f t="shared" si="9"/>
        <v>10</v>
      </c>
      <c r="AY8" s="106">
        <f t="shared" ref="AY8:AY36" si="51">AX8-AX7</f>
        <v>1</v>
      </c>
      <c r="AZ8" s="106"/>
      <c r="BA8" s="158">
        <f t="shared" ref="BA8:BA36" si="52">BB7</f>
        <v>9643</v>
      </c>
      <c r="BB8" s="106">
        <v>9649</v>
      </c>
      <c r="BC8" s="106">
        <f t="shared" si="10"/>
        <v>6</v>
      </c>
      <c r="BD8" s="106">
        <f t="shared" ref="BD8:BD36" si="53">BC8-BC7</f>
        <v>-1</v>
      </c>
      <c r="BE8" s="106"/>
      <c r="BF8" s="158">
        <f t="shared" ref="BF8:BF36" si="54">BG7</f>
        <v>26485</v>
      </c>
      <c r="BG8" s="106">
        <v>26493</v>
      </c>
      <c r="BH8" s="106">
        <f t="shared" si="11"/>
        <v>8</v>
      </c>
      <c r="BI8" s="106">
        <f t="shared" ref="BI8:BI36" si="55">BH8-BH7</f>
        <v>-1</v>
      </c>
      <c r="BJ8" s="106"/>
      <c r="BK8" s="158">
        <f t="shared" ref="BK8:BK36" si="56">BL7</f>
        <v>10510</v>
      </c>
      <c r="BL8" s="106">
        <v>10519</v>
      </c>
      <c r="BM8" s="106">
        <f t="shared" si="12"/>
        <v>9</v>
      </c>
      <c r="BN8" s="106">
        <f t="shared" ref="BN8:BN36" si="57">BM8-BM7</f>
        <v>-1</v>
      </c>
      <c r="BO8" s="106"/>
      <c r="BP8" s="158">
        <f t="shared" ref="BP8:BP36" si="58">BQ7</f>
        <v>4268</v>
      </c>
      <c r="BQ8" s="106">
        <v>4270</v>
      </c>
      <c r="BR8" s="253">
        <f t="shared" si="13"/>
        <v>2</v>
      </c>
      <c r="BS8" s="106">
        <f t="shared" ref="BS8:BS36" si="59">BR8-BR7</f>
        <v>0</v>
      </c>
      <c r="BT8" s="106"/>
      <c r="BU8" s="158">
        <f t="shared" ref="BU8:BU36" si="60">BV7</f>
        <v>1881</v>
      </c>
      <c r="BV8" s="106">
        <v>1881</v>
      </c>
      <c r="BW8" s="106">
        <f t="shared" si="14"/>
        <v>0</v>
      </c>
      <c r="BX8" s="106">
        <f t="shared" ref="BX8:BX36" si="61">BW8-BW7</f>
        <v>0</v>
      </c>
      <c r="BY8" s="106"/>
      <c r="BZ8" s="162">
        <f t="shared" ref="BZ8:BZ36" si="62">CA7</f>
        <v>29378</v>
      </c>
      <c r="CA8" s="106">
        <v>29382</v>
      </c>
      <c r="CB8" s="253">
        <f t="shared" si="15"/>
        <v>4</v>
      </c>
      <c r="CC8" s="106">
        <f t="shared" ref="CC8:CC36" si="63">CB8-CB7</f>
        <v>1</v>
      </c>
      <c r="CD8" s="156"/>
      <c r="CE8" s="162">
        <f t="shared" ref="CE8:CE36" si="64">CF7</f>
        <v>3606</v>
      </c>
      <c r="CF8" s="106">
        <v>3606</v>
      </c>
      <c r="CG8" s="106">
        <f t="shared" si="16"/>
        <v>0</v>
      </c>
      <c r="CH8" s="106">
        <f t="shared" ref="CH8:CH36" si="65">CG8-CG7</f>
        <v>-4</v>
      </c>
      <c r="CI8" s="156"/>
      <c r="CJ8" s="162">
        <f t="shared" ref="CJ8:CJ36" si="66">CK7</f>
        <v>86782</v>
      </c>
      <c r="CK8" s="106">
        <v>86815</v>
      </c>
      <c r="CL8" s="106">
        <f t="shared" si="17"/>
        <v>33</v>
      </c>
      <c r="CM8" s="106">
        <f t="shared" ref="CM8:CM36" si="67">CL8-CL7</f>
        <v>-3</v>
      </c>
      <c r="CN8" s="156"/>
      <c r="CO8" s="162">
        <f t="shared" ref="CO8:CO36" si="68">CP7</f>
        <v>26590</v>
      </c>
      <c r="CP8" s="106">
        <v>26599</v>
      </c>
      <c r="CQ8" s="106">
        <f t="shared" si="18"/>
        <v>9</v>
      </c>
      <c r="CR8" s="106">
        <f t="shared" ref="CR8:CR36" si="69">CQ8-CQ7</f>
        <v>-5</v>
      </c>
      <c r="CS8" s="156"/>
      <c r="CT8" s="162">
        <f t="shared" ref="CT8:CT36" si="70">CU7</f>
        <v>12872</v>
      </c>
      <c r="CU8" s="106">
        <v>12873</v>
      </c>
      <c r="CV8" s="106">
        <f t="shared" si="19"/>
        <v>1</v>
      </c>
      <c r="CW8" s="106">
        <f t="shared" ref="CW8:CW36" si="71">CV8-CV7</f>
        <v>-1</v>
      </c>
      <c r="CX8" s="156"/>
      <c r="CY8" s="162">
        <f t="shared" ref="CY8:CY36" si="72">CZ7</f>
        <v>19892</v>
      </c>
      <c r="CZ8" s="106">
        <v>19899</v>
      </c>
      <c r="DA8" s="106">
        <f t="shared" si="20"/>
        <v>7</v>
      </c>
      <c r="DB8" s="106">
        <f t="shared" ref="DB8:DB36" si="73">DA8-DA7</f>
        <v>3</v>
      </c>
      <c r="DC8" s="156"/>
      <c r="DD8" s="162">
        <f t="shared" ref="DD8:DD36" si="74">DE7</f>
        <v>21171</v>
      </c>
      <c r="DE8" s="106">
        <v>21174</v>
      </c>
      <c r="DF8" s="106">
        <f t="shared" si="21"/>
        <v>3</v>
      </c>
      <c r="DG8" s="106">
        <f t="shared" ref="DG8:DG36" si="75">DF8-DF7</f>
        <v>-1</v>
      </c>
      <c r="DH8" s="156"/>
      <c r="DI8" s="162">
        <f t="shared" ref="DI8:DI36" si="76">DJ7</f>
        <v>10146</v>
      </c>
      <c r="DJ8" s="106">
        <v>10151</v>
      </c>
      <c r="DK8" s="106">
        <f t="shared" si="22"/>
        <v>5</v>
      </c>
      <c r="DL8" s="106">
        <f t="shared" ref="DL8:DL36" si="77">DK8-DK7</f>
        <v>-1</v>
      </c>
      <c r="DM8" s="156"/>
      <c r="DN8" s="162">
        <f t="shared" ref="DN8:DN36" si="78">DO7</f>
        <v>27240</v>
      </c>
      <c r="DO8" s="106">
        <v>27261</v>
      </c>
      <c r="DP8" s="106">
        <f t="shared" si="23"/>
        <v>21</v>
      </c>
      <c r="DQ8" s="106">
        <f t="shared" ref="DQ8:DQ36" si="79">DP8-DP7</f>
        <v>0</v>
      </c>
      <c r="DR8" s="156"/>
      <c r="DS8" s="162">
        <f t="shared" ref="DS8:DS36" si="80">DT7</f>
        <v>2891</v>
      </c>
      <c r="DT8" s="106">
        <v>2896</v>
      </c>
      <c r="DU8" s="106">
        <f t="shared" si="24"/>
        <v>5</v>
      </c>
      <c r="DV8" s="106">
        <f t="shared" ref="DV8:DV36" si="81">DU8-DU7</f>
        <v>-2</v>
      </c>
      <c r="DW8" s="156"/>
      <c r="DX8" s="162">
        <f t="shared" ref="DX8:DX36" si="82">DY7</f>
        <v>202</v>
      </c>
      <c r="DY8" s="106">
        <v>206</v>
      </c>
      <c r="DZ8" s="106">
        <f t="shared" si="25"/>
        <v>4</v>
      </c>
      <c r="EA8" s="106">
        <f t="shared" ref="EA8:EA36" si="83">DZ8-DZ7</f>
        <v>1</v>
      </c>
      <c r="EB8" s="156"/>
      <c r="EC8" s="162">
        <f t="shared" ref="EC8:EC18" si="84">ED7</f>
        <v>0</v>
      </c>
      <c r="ED8" s="106"/>
      <c r="EE8" s="156">
        <f t="shared" si="26"/>
        <v>0</v>
      </c>
      <c r="EF8" s="162">
        <f t="shared" ref="EF8:EF14" si="85">EG7</f>
        <v>0</v>
      </c>
      <c r="EG8" s="106"/>
      <c r="EH8" s="156">
        <f t="shared" si="27"/>
        <v>0</v>
      </c>
      <c r="EI8" s="162">
        <f t="shared" ref="EI8:EI14" si="86">EJ7</f>
        <v>0</v>
      </c>
      <c r="EJ8" s="106"/>
      <c r="EK8" s="156">
        <f t="shared" si="28"/>
        <v>0</v>
      </c>
      <c r="EL8" s="162">
        <f t="shared" ref="EL8:EL16" si="87">EM7</f>
        <v>0</v>
      </c>
      <c r="EM8" s="106"/>
      <c r="EN8" s="156">
        <f t="shared" si="29"/>
        <v>0</v>
      </c>
      <c r="EO8" s="162">
        <f t="shared" ref="EO8:EO36" si="88">EP7</f>
        <v>0</v>
      </c>
      <c r="EP8" s="106"/>
      <c r="EQ8" s="156">
        <f t="shared" si="30"/>
        <v>0</v>
      </c>
      <c r="ER8" s="162">
        <f t="shared" ref="ER8:ER36" si="89">ES7</f>
        <v>0</v>
      </c>
      <c r="ES8" s="106"/>
      <c r="ET8" s="156">
        <f t="shared" si="31"/>
        <v>0</v>
      </c>
      <c r="EU8" s="162">
        <f t="shared" ref="EU8:EU36" si="90">EV7</f>
        <v>840</v>
      </c>
      <c r="EV8" s="106"/>
      <c r="EW8" s="156">
        <f t="shared" ref="EW8:EW36" si="91">EV8-EU8</f>
        <v>-840</v>
      </c>
      <c r="EX8" s="162">
        <f t="shared" ref="EX8:EX36" si="92">EY7</f>
        <v>0</v>
      </c>
      <c r="EY8" s="106"/>
      <c r="EZ8" s="156">
        <f t="shared" si="32"/>
        <v>0</v>
      </c>
      <c r="FA8" s="162">
        <f t="shared" ref="FA8:FA36" si="93">FB7</f>
        <v>0</v>
      </c>
      <c r="FB8" s="106"/>
      <c r="FC8" s="156">
        <f t="shared" si="33"/>
        <v>0</v>
      </c>
      <c r="FD8" s="162">
        <f t="shared" ref="FD8:FD36" si="94">FE7</f>
        <v>0</v>
      </c>
      <c r="FE8" s="106"/>
      <c r="FF8" s="156">
        <f t="shared" si="34"/>
        <v>0</v>
      </c>
      <c r="FG8" s="162">
        <f t="shared" ref="FG8:FG36" si="95">FH7</f>
        <v>0</v>
      </c>
      <c r="FH8" s="106"/>
      <c r="FI8" s="156">
        <f t="shared" si="35"/>
        <v>0</v>
      </c>
      <c r="FJ8" s="162">
        <f t="shared" ref="FJ8:FJ36" si="96">FK7</f>
        <v>0</v>
      </c>
      <c r="FK8" s="106"/>
      <c r="FL8" s="156">
        <f t="shared" si="36"/>
        <v>0</v>
      </c>
      <c r="FM8" s="162">
        <f t="shared" ref="FM8:FM36" si="97">FN7</f>
        <v>0</v>
      </c>
      <c r="FN8" s="106"/>
      <c r="FO8" s="156">
        <f t="shared" si="37"/>
        <v>0</v>
      </c>
      <c r="FP8" s="162">
        <f t="shared" ref="FP8:FP36" si="98">FQ7</f>
        <v>0</v>
      </c>
      <c r="FQ8" s="106"/>
      <c r="FR8" s="156">
        <f t="shared" si="38"/>
        <v>0</v>
      </c>
    </row>
    <row r="9" spans="1:174" ht="15" customHeight="1">
      <c r="A9" s="104">
        <v>4</v>
      </c>
      <c r="B9" s="104">
        <f t="shared" si="39"/>
        <v>14260</v>
      </c>
      <c r="C9" s="98">
        <v>14447</v>
      </c>
      <c r="D9" s="99">
        <f t="shared" si="0"/>
        <v>187</v>
      </c>
      <c r="E9" s="149"/>
      <c r="F9" s="104">
        <v>4</v>
      </c>
      <c r="G9" s="104">
        <f t="shared" si="40"/>
        <v>42406</v>
      </c>
      <c r="H9" s="98">
        <v>42421</v>
      </c>
      <c r="I9" s="99">
        <f t="shared" si="1"/>
        <v>15</v>
      </c>
      <c r="J9" s="149"/>
      <c r="K9" s="104">
        <v>4</v>
      </c>
      <c r="L9" s="104">
        <f t="shared" si="41"/>
        <v>848888</v>
      </c>
      <c r="M9" s="105">
        <v>849067</v>
      </c>
      <c r="N9" s="99">
        <f t="shared" si="2"/>
        <v>179</v>
      </c>
      <c r="O9" s="101"/>
      <c r="P9" s="104">
        <v>4</v>
      </c>
      <c r="Q9" s="104">
        <f t="shared" si="42"/>
        <v>249815</v>
      </c>
      <c r="R9" s="105">
        <v>249899</v>
      </c>
      <c r="S9" s="99">
        <f t="shared" si="3"/>
        <v>84</v>
      </c>
      <c r="T9" s="100"/>
      <c r="U9" s="102">
        <v>4</v>
      </c>
      <c r="V9" s="373">
        <f>SUM(S9+N9+I9+D9)</f>
        <v>465</v>
      </c>
      <c r="W9" s="103">
        <f>'Maldives at LG Daily'!I8</f>
        <v>3888</v>
      </c>
      <c r="X9" s="106">
        <v>98</v>
      </c>
      <c r="Y9" s="249">
        <f t="shared" si="5"/>
        <v>4.7448979591836737</v>
      </c>
      <c r="AA9" s="158">
        <v>4</v>
      </c>
      <c r="AB9" s="106">
        <f t="shared" si="43"/>
        <v>48681</v>
      </c>
      <c r="AC9" s="106">
        <v>48713</v>
      </c>
      <c r="AD9" s="106">
        <f t="shared" si="6"/>
        <v>32</v>
      </c>
      <c r="AE9" s="106">
        <f t="shared" ref="AE9:AE36" si="99">AD9-AD8</f>
        <v>-4</v>
      </c>
      <c r="AF9" s="234"/>
      <c r="AG9" s="158">
        <f t="shared" si="44"/>
        <v>10920</v>
      </c>
      <c r="AH9" s="106">
        <v>10926</v>
      </c>
      <c r="AI9" s="106">
        <f t="shared" si="45"/>
        <v>6</v>
      </c>
      <c r="AJ9" s="106">
        <f t="shared" ref="AJ9:AJ36" si="100">AI9-AI8</f>
        <v>-2</v>
      </c>
      <c r="AK9" s="106"/>
      <c r="AL9" s="158">
        <f t="shared" si="46"/>
        <v>10403</v>
      </c>
      <c r="AM9" s="106">
        <v>10413</v>
      </c>
      <c r="AN9" s="106">
        <f t="shared" si="7"/>
        <v>10</v>
      </c>
      <c r="AO9" s="106">
        <f t="shared" si="47"/>
        <v>1</v>
      </c>
      <c r="AP9" s="106"/>
      <c r="AQ9" s="158">
        <f t="shared" si="48"/>
        <v>19967</v>
      </c>
      <c r="AR9" s="106">
        <v>19980</v>
      </c>
      <c r="AS9" s="106">
        <f t="shared" si="8"/>
        <v>13</v>
      </c>
      <c r="AT9" s="106">
        <f t="shared" si="49"/>
        <v>1</v>
      </c>
      <c r="AU9" s="106"/>
      <c r="AV9" s="158">
        <f t="shared" si="50"/>
        <v>35996</v>
      </c>
      <c r="AW9" s="106">
        <v>36006</v>
      </c>
      <c r="AX9" s="106">
        <f t="shared" si="9"/>
        <v>10</v>
      </c>
      <c r="AY9" s="106">
        <f t="shared" si="51"/>
        <v>0</v>
      </c>
      <c r="AZ9" s="106"/>
      <c r="BA9" s="158">
        <f t="shared" si="52"/>
        <v>9649</v>
      </c>
      <c r="BB9" s="106">
        <v>9657</v>
      </c>
      <c r="BC9" s="106">
        <f t="shared" si="10"/>
        <v>8</v>
      </c>
      <c r="BD9" s="106">
        <f t="shared" si="53"/>
        <v>2</v>
      </c>
      <c r="BE9" s="106"/>
      <c r="BF9" s="158">
        <f t="shared" si="54"/>
        <v>26493</v>
      </c>
      <c r="BG9" s="106">
        <v>26501</v>
      </c>
      <c r="BH9" s="106">
        <f t="shared" si="11"/>
        <v>8</v>
      </c>
      <c r="BI9" s="106">
        <f t="shared" si="55"/>
        <v>0</v>
      </c>
      <c r="BJ9" s="106"/>
      <c r="BK9" s="158">
        <f t="shared" si="56"/>
        <v>10519</v>
      </c>
      <c r="BL9" s="106">
        <v>10528</v>
      </c>
      <c r="BM9" s="106">
        <f t="shared" si="12"/>
        <v>9</v>
      </c>
      <c r="BN9" s="106">
        <f t="shared" si="57"/>
        <v>0</v>
      </c>
      <c r="BO9" s="106"/>
      <c r="BP9" s="158">
        <f t="shared" si="58"/>
        <v>4270</v>
      </c>
      <c r="BQ9" s="106">
        <v>4272</v>
      </c>
      <c r="BR9" s="253">
        <f t="shared" si="13"/>
        <v>2</v>
      </c>
      <c r="BS9" s="106">
        <f t="shared" si="59"/>
        <v>0</v>
      </c>
      <c r="BT9" s="106"/>
      <c r="BU9" s="158">
        <f t="shared" si="60"/>
        <v>1881</v>
      </c>
      <c r="BV9" s="106">
        <v>1881</v>
      </c>
      <c r="BW9" s="106">
        <f t="shared" si="14"/>
        <v>0</v>
      </c>
      <c r="BX9" s="106">
        <f t="shared" si="61"/>
        <v>0</v>
      </c>
      <c r="BY9" s="106"/>
      <c r="BZ9" s="162">
        <f t="shared" si="62"/>
        <v>29382</v>
      </c>
      <c r="CA9" s="106">
        <v>29385</v>
      </c>
      <c r="CB9" s="253">
        <f t="shared" si="15"/>
        <v>3</v>
      </c>
      <c r="CC9" s="106">
        <f t="shared" si="63"/>
        <v>-1</v>
      </c>
      <c r="CD9" s="156"/>
      <c r="CE9" s="162">
        <f t="shared" si="64"/>
        <v>3606</v>
      </c>
      <c r="CF9" s="106">
        <v>3608</v>
      </c>
      <c r="CG9" s="106">
        <f t="shared" si="16"/>
        <v>2</v>
      </c>
      <c r="CH9" s="106">
        <f t="shared" si="65"/>
        <v>2</v>
      </c>
      <c r="CI9" s="156"/>
      <c r="CJ9" s="162">
        <f t="shared" si="66"/>
        <v>86815</v>
      </c>
      <c r="CK9" s="106">
        <v>86848</v>
      </c>
      <c r="CL9" s="106">
        <f t="shared" si="17"/>
        <v>33</v>
      </c>
      <c r="CM9" s="106">
        <f t="shared" si="67"/>
        <v>0</v>
      </c>
      <c r="CN9" s="156"/>
      <c r="CO9" s="162">
        <f t="shared" si="68"/>
        <v>26599</v>
      </c>
      <c r="CP9" s="106">
        <v>26612</v>
      </c>
      <c r="CQ9" s="106">
        <f t="shared" si="18"/>
        <v>13</v>
      </c>
      <c r="CR9" s="106">
        <f t="shared" si="69"/>
        <v>4</v>
      </c>
      <c r="CS9" s="156"/>
      <c r="CT9" s="162">
        <f t="shared" si="70"/>
        <v>12873</v>
      </c>
      <c r="CU9" s="106">
        <v>12874</v>
      </c>
      <c r="CV9" s="106">
        <f t="shared" si="19"/>
        <v>1</v>
      </c>
      <c r="CW9" s="106">
        <f t="shared" si="71"/>
        <v>0</v>
      </c>
      <c r="CX9" s="156"/>
      <c r="CY9" s="162">
        <f t="shared" si="72"/>
        <v>19899</v>
      </c>
      <c r="CZ9" s="106">
        <v>19915</v>
      </c>
      <c r="DA9" s="106">
        <f t="shared" si="20"/>
        <v>16</v>
      </c>
      <c r="DB9" s="106">
        <f t="shared" si="73"/>
        <v>9</v>
      </c>
      <c r="DC9" s="156"/>
      <c r="DD9" s="162">
        <f t="shared" si="74"/>
        <v>21174</v>
      </c>
      <c r="DE9" s="106">
        <v>21180</v>
      </c>
      <c r="DF9" s="106">
        <f t="shared" si="21"/>
        <v>6</v>
      </c>
      <c r="DG9" s="106">
        <f t="shared" si="75"/>
        <v>3</v>
      </c>
      <c r="DH9" s="156"/>
      <c r="DI9" s="162">
        <f t="shared" si="76"/>
        <v>10151</v>
      </c>
      <c r="DJ9" s="106">
        <v>10154</v>
      </c>
      <c r="DK9" s="106">
        <f t="shared" si="22"/>
        <v>3</v>
      </c>
      <c r="DL9" s="106">
        <f t="shared" si="77"/>
        <v>-2</v>
      </c>
      <c r="DM9" s="156"/>
      <c r="DN9" s="162">
        <f t="shared" si="78"/>
        <v>27261</v>
      </c>
      <c r="DO9" s="106">
        <v>27281</v>
      </c>
      <c r="DP9" s="106">
        <f t="shared" si="23"/>
        <v>20</v>
      </c>
      <c r="DQ9" s="106">
        <f t="shared" si="79"/>
        <v>-1</v>
      </c>
      <c r="DR9" s="156"/>
      <c r="DS9" s="162">
        <f t="shared" si="80"/>
        <v>2896</v>
      </c>
      <c r="DT9" s="106">
        <v>2898</v>
      </c>
      <c r="DU9" s="106">
        <f t="shared" si="24"/>
        <v>2</v>
      </c>
      <c r="DV9" s="106">
        <f t="shared" si="81"/>
        <v>-3</v>
      </c>
      <c r="DW9" s="156"/>
      <c r="DX9" s="162">
        <f t="shared" si="82"/>
        <v>206</v>
      </c>
      <c r="DY9" s="106">
        <v>208</v>
      </c>
      <c r="DZ9" s="106">
        <f t="shared" si="25"/>
        <v>2</v>
      </c>
      <c r="EA9" s="106">
        <f t="shared" si="83"/>
        <v>-2</v>
      </c>
      <c r="EB9" s="156"/>
      <c r="EC9" s="162">
        <f t="shared" si="84"/>
        <v>0</v>
      </c>
      <c r="ED9" s="106"/>
      <c r="EE9" s="156">
        <f t="shared" si="26"/>
        <v>0</v>
      </c>
      <c r="EF9" s="162">
        <f t="shared" si="85"/>
        <v>0</v>
      </c>
      <c r="EG9" s="106"/>
      <c r="EH9" s="156">
        <f t="shared" si="27"/>
        <v>0</v>
      </c>
      <c r="EI9" s="162">
        <f t="shared" si="86"/>
        <v>0</v>
      </c>
      <c r="EJ9" s="106"/>
      <c r="EK9" s="156">
        <f t="shared" si="28"/>
        <v>0</v>
      </c>
      <c r="EL9" s="162">
        <f t="shared" si="87"/>
        <v>0</v>
      </c>
      <c r="EM9" s="106"/>
      <c r="EN9" s="156">
        <f t="shared" si="29"/>
        <v>0</v>
      </c>
      <c r="EO9" s="162">
        <f t="shared" si="88"/>
        <v>0</v>
      </c>
      <c r="EP9" s="106"/>
      <c r="EQ9" s="156">
        <f t="shared" si="30"/>
        <v>0</v>
      </c>
      <c r="ER9" s="162">
        <f t="shared" si="89"/>
        <v>0</v>
      </c>
      <c r="ES9" s="106"/>
      <c r="ET9" s="156">
        <f t="shared" si="31"/>
        <v>0</v>
      </c>
      <c r="EU9" s="162">
        <f t="shared" si="90"/>
        <v>0</v>
      </c>
      <c r="EV9" s="106"/>
      <c r="EW9" s="156">
        <f t="shared" si="91"/>
        <v>0</v>
      </c>
      <c r="EX9" s="162">
        <f t="shared" si="92"/>
        <v>0</v>
      </c>
      <c r="EY9" s="106"/>
      <c r="EZ9" s="156">
        <f t="shared" si="32"/>
        <v>0</v>
      </c>
      <c r="FA9" s="162">
        <f t="shared" si="93"/>
        <v>0</v>
      </c>
      <c r="FB9" s="106"/>
      <c r="FC9" s="156">
        <f t="shared" si="33"/>
        <v>0</v>
      </c>
      <c r="FD9" s="162">
        <f t="shared" si="94"/>
        <v>0</v>
      </c>
      <c r="FE9" s="106"/>
      <c r="FF9" s="156">
        <f t="shared" si="34"/>
        <v>0</v>
      </c>
      <c r="FG9" s="162">
        <f t="shared" si="95"/>
        <v>0</v>
      </c>
      <c r="FH9" s="106"/>
      <c r="FI9" s="156">
        <f t="shared" si="35"/>
        <v>0</v>
      </c>
      <c r="FJ9" s="162">
        <f t="shared" si="96"/>
        <v>0</v>
      </c>
      <c r="FK9" s="106"/>
      <c r="FL9" s="156">
        <f t="shared" si="36"/>
        <v>0</v>
      </c>
      <c r="FM9" s="162">
        <f t="shared" si="97"/>
        <v>0</v>
      </c>
      <c r="FN9" s="106"/>
      <c r="FO9" s="156">
        <f t="shared" si="37"/>
        <v>0</v>
      </c>
      <c r="FP9" s="162">
        <f t="shared" si="98"/>
        <v>0</v>
      </c>
      <c r="FQ9" s="106"/>
      <c r="FR9" s="156">
        <f t="shared" si="38"/>
        <v>0</v>
      </c>
    </row>
    <row r="10" spans="1:174" ht="15" customHeight="1">
      <c r="A10" s="104">
        <v>5</v>
      </c>
      <c r="B10" s="104">
        <f t="shared" si="39"/>
        <v>14447</v>
      </c>
      <c r="C10" s="98">
        <v>14627</v>
      </c>
      <c r="D10" s="99">
        <f t="shared" si="0"/>
        <v>180</v>
      </c>
      <c r="E10" s="149"/>
      <c r="F10" s="104">
        <v>5</v>
      </c>
      <c r="G10" s="104">
        <f t="shared" si="40"/>
        <v>42421</v>
      </c>
      <c r="H10" s="98">
        <v>42488</v>
      </c>
      <c r="I10" s="99">
        <f t="shared" si="1"/>
        <v>67</v>
      </c>
      <c r="J10" s="149"/>
      <c r="K10" s="104">
        <v>5</v>
      </c>
      <c r="L10" s="104">
        <f t="shared" si="41"/>
        <v>849067</v>
      </c>
      <c r="M10" s="105">
        <v>849233</v>
      </c>
      <c r="N10" s="99">
        <f t="shared" si="2"/>
        <v>166</v>
      </c>
      <c r="O10" s="101"/>
      <c r="P10" s="104">
        <v>5</v>
      </c>
      <c r="Q10" s="104">
        <f t="shared" si="42"/>
        <v>249899</v>
      </c>
      <c r="R10" s="105">
        <v>249906</v>
      </c>
      <c r="S10" s="99">
        <f t="shared" si="3"/>
        <v>7</v>
      </c>
      <c r="T10" s="100"/>
      <c r="U10" s="104">
        <v>5</v>
      </c>
      <c r="V10" s="373">
        <f t="shared" si="4"/>
        <v>420</v>
      </c>
      <c r="W10" s="103">
        <f>'Maldives at LG Daily'!I9</f>
        <v>4621</v>
      </c>
      <c r="X10" s="106">
        <v>73</v>
      </c>
      <c r="Y10" s="249">
        <f t="shared" si="5"/>
        <v>5.7534246575342465</v>
      </c>
      <c r="AA10" s="158">
        <v>5</v>
      </c>
      <c r="AB10" s="106">
        <f t="shared" si="43"/>
        <v>48713</v>
      </c>
      <c r="AC10" s="106">
        <v>48747</v>
      </c>
      <c r="AD10" s="106">
        <f t="shared" si="6"/>
        <v>34</v>
      </c>
      <c r="AE10" s="106">
        <f t="shared" si="99"/>
        <v>2</v>
      </c>
      <c r="AF10" s="234"/>
      <c r="AG10" s="158">
        <f t="shared" si="44"/>
        <v>10926</v>
      </c>
      <c r="AH10" s="106">
        <v>10933</v>
      </c>
      <c r="AI10" s="106">
        <f t="shared" si="45"/>
        <v>7</v>
      </c>
      <c r="AJ10" s="106">
        <f t="shared" si="100"/>
        <v>1</v>
      </c>
      <c r="AK10" s="106"/>
      <c r="AL10" s="158">
        <f t="shared" si="46"/>
        <v>10413</v>
      </c>
      <c r="AM10" s="106">
        <v>10422</v>
      </c>
      <c r="AN10" s="106">
        <f t="shared" si="7"/>
        <v>9</v>
      </c>
      <c r="AO10" s="106">
        <f t="shared" si="47"/>
        <v>-1</v>
      </c>
      <c r="AP10" s="106"/>
      <c r="AQ10" s="158">
        <f t="shared" si="48"/>
        <v>19980</v>
      </c>
      <c r="AR10" s="106">
        <v>19992</v>
      </c>
      <c r="AS10" s="106">
        <f t="shared" si="8"/>
        <v>12</v>
      </c>
      <c r="AT10" s="106">
        <f t="shared" si="49"/>
        <v>-1</v>
      </c>
      <c r="AU10" s="106"/>
      <c r="AV10" s="158">
        <f t="shared" si="50"/>
        <v>36006</v>
      </c>
      <c r="AW10" s="106">
        <v>36015</v>
      </c>
      <c r="AX10" s="106">
        <f t="shared" si="9"/>
        <v>9</v>
      </c>
      <c r="AY10" s="106">
        <f t="shared" si="51"/>
        <v>-1</v>
      </c>
      <c r="AZ10" s="106"/>
      <c r="BA10" s="158">
        <f t="shared" si="52"/>
        <v>9657</v>
      </c>
      <c r="BB10" s="106">
        <v>9663</v>
      </c>
      <c r="BC10" s="106">
        <f t="shared" si="10"/>
        <v>6</v>
      </c>
      <c r="BD10" s="106">
        <f t="shared" si="53"/>
        <v>-2</v>
      </c>
      <c r="BE10" s="106"/>
      <c r="BF10" s="158">
        <f t="shared" si="54"/>
        <v>26501</v>
      </c>
      <c r="BG10" s="106">
        <v>26510</v>
      </c>
      <c r="BH10" s="106">
        <f t="shared" si="11"/>
        <v>9</v>
      </c>
      <c r="BI10" s="106">
        <f t="shared" si="55"/>
        <v>1</v>
      </c>
      <c r="BJ10" s="106"/>
      <c r="BK10" s="158">
        <f t="shared" si="56"/>
        <v>10528</v>
      </c>
      <c r="BL10" s="106">
        <v>10537</v>
      </c>
      <c r="BM10" s="106">
        <f t="shared" si="12"/>
        <v>9</v>
      </c>
      <c r="BN10" s="106">
        <f t="shared" si="57"/>
        <v>0</v>
      </c>
      <c r="BO10" s="106"/>
      <c r="BP10" s="158">
        <f t="shared" si="58"/>
        <v>4272</v>
      </c>
      <c r="BQ10" s="106">
        <v>4274</v>
      </c>
      <c r="BR10" s="253">
        <f t="shared" si="13"/>
        <v>2</v>
      </c>
      <c r="BS10" s="106">
        <f t="shared" si="59"/>
        <v>0</v>
      </c>
      <c r="BT10" s="106"/>
      <c r="BU10" s="158">
        <f t="shared" si="60"/>
        <v>1881</v>
      </c>
      <c r="BV10" s="106">
        <v>1881</v>
      </c>
      <c r="BW10" s="106">
        <f t="shared" si="14"/>
        <v>0</v>
      </c>
      <c r="BX10" s="106">
        <f t="shared" si="61"/>
        <v>0</v>
      </c>
      <c r="BY10" s="106"/>
      <c r="BZ10" s="162">
        <f t="shared" si="62"/>
        <v>29385</v>
      </c>
      <c r="CA10" s="106">
        <v>29390</v>
      </c>
      <c r="CB10" s="253">
        <f t="shared" si="15"/>
        <v>5</v>
      </c>
      <c r="CC10" s="106">
        <f t="shared" si="63"/>
        <v>2</v>
      </c>
      <c r="CD10" s="156"/>
      <c r="CE10" s="162">
        <f t="shared" si="64"/>
        <v>3608</v>
      </c>
      <c r="CF10" s="106">
        <v>3611</v>
      </c>
      <c r="CG10" s="106">
        <f t="shared" si="16"/>
        <v>3</v>
      </c>
      <c r="CH10" s="106">
        <f t="shared" si="65"/>
        <v>1</v>
      </c>
      <c r="CI10" s="156"/>
      <c r="CJ10" s="162">
        <f t="shared" si="66"/>
        <v>86848</v>
      </c>
      <c r="CK10" s="106">
        <v>86879</v>
      </c>
      <c r="CL10" s="106">
        <f t="shared" si="17"/>
        <v>31</v>
      </c>
      <c r="CM10" s="106">
        <f t="shared" si="67"/>
        <v>-2</v>
      </c>
      <c r="CN10" s="156"/>
      <c r="CO10" s="162">
        <f t="shared" si="68"/>
        <v>26612</v>
      </c>
      <c r="CP10" s="106">
        <v>26622</v>
      </c>
      <c r="CQ10" s="106">
        <f t="shared" si="18"/>
        <v>10</v>
      </c>
      <c r="CR10" s="106">
        <f t="shared" si="69"/>
        <v>-3</v>
      </c>
      <c r="CS10" s="156"/>
      <c r="CT10" s="162">
        <f t="shared" si="70"/>
        <v>12874</v>
      </c>
      <c r="CU10" s="106">
        <v>12875</v>
      </c>
      <c r="CV10" s="106">
        <f t="shared" si="19"/>
        <v>1</v>
      </c>
      <c r="CW10" s="106">
        <f t="shared" si="71"/>
        <v>0</v>
      </c>
      <c r="CX10" s="156"/>
      <c r="CY10" s="162">
        <f t="shared" si="72"/>
        <v>19915</v>
      </c>
      <c r="CZ10" s="106">
        <v>19921</v>
      </c>
      <c r="DA10" s="106">
        <f t="shared" si="20"/>
        <v>6</v>
      </c>
      <c r="DB10" s="106">
        <f t="shared" si="73"/>
        <v>-10</v>
      </c>
      <c r="DC10" s="156"/>
      <c r="DD10" s="162">
        <f t="shared" si="74"/>
        <v>21180</v>
      </c>
      <c r="DE10" s="106">
        <v>21184</v>
      </c>
      <c r="DF10" s="106">
        <f t="shared" si="21"/>
        <v>4</v>
      </c>
      <c r="DG10" s="106">
        <f t="shared" si="75"/>
        <v>-2</v>
      </c>
      <c r="DH10" s="156"/>
      <c r="DI10" s="162">
        <f t="shared" si="76"/>
        <v>10154</v>
      </c>
      <c r="DJ10" s="106">
        <v>10160</v>
      </c>
      <c r="DK10" s="106">
        <f t="shared" si="22"/>
        <v>6</v>
      </c>
      <c r="DL10" s="106">
        <f t="shared" si="77"/>
        <v>3</v>
      </c>
      <c r="DM10" s="156"/>
      <c r="DN10" s="162">
        <f t="shared" si="78"/>
        <v>27281</v>
      </c>
      <c r="DO10" s="106">
        <v>27303</v>
      </c>
      <c r="DP10" s="106">
        <f t="shared" si="23"/>
        <v>22</v>
      </c>
      <c r="DQ10" s="106">
        <f t="shared" si="79"/>
        <v>2</v>
      </c>
      <c r="DR10" s="156"/>
      <c r="DS10" s="162">
        <f t="shared" si="80"/>
        <v>2898</v>
      </c>
      <c r="DT10" s="106">
        <v>2903</v>
      </c>
      <c r="DU10" s="106">
        <f t="shared" si="24"/>
        <v>5</v>
      </c>
      <c r="DV10" s="106">
        <f t="shared" si="81"/>
        <v>3</v>
      </c>
      <c r="DW10" s="156"/>
      <c r="DX10" s="162">
        <f t="shared" si="82"/>
        <v>208</v>
      </c>
      <c r="DY10" s="106">
        <v>222</v>
      </c>
      <c r="DZ10" s="106">
        <f t="shared" si="25"/>
        <v>14</v>
      </c>
      <c r="EA10" s="106">
        <f t="shared" si="83"/>
        <v>12</v>
      </c>
      <c r="EB10" s="156"/>
      <c r="EC10" s="162">
        <f t="shared" si="84"/>
        <v>0</v>
      </c>
      <c r="ED10" s="106"/>
      <c r="EE10" s="156">
        <f t="shared" si="26"/>
        <v>0</v>
      </c>
      <c r="EF10" s="162">
        <f t="shared" si="85"/>
        <v>0</v>
      </c>
      <c r="EG10" s="106"/>
      <c r="EH10" s="156">
        <f t="shared" si="27"/>
        <v>0</v>
      </c>
      <c r="EI10" s="162">
        <f t="shared" si="86"/>
        <v>0</v>
      </c>
      <c r="EJ10" s="106"/>
      <c r="EK10" s="156">
        <f t="shared" si="28"/>
        <v>0</v>
      </c>
      <c r="EL10" s="162">
        <f t="shared" si="87"/>
        <v>0</v>
      </c>
      <c r="EM10" s="106"/>
      <c r="EN10" s="156">
        <f t="shared" si="29"/>
        <v>0</v>
      </c>
      <c r="EO10" s="162">
        <f t="shared" si="88"/>
        <v>0</v>
      </c>
      <c r="EP10" s="106"/>
      <c r="EQ10" s="156">
        <f t="shared" si="30"/>
        <v>0</v>
      </c>
      <c r="ER10" s="162">
        <f t="shared" si="89"/>
        <v>0</v>
      </c>
      <c r="ES10" s="106"/>
      <c r="ET10" s="156">
        <f t="shared" si="31"/>
        <v>0</v>
      </c>
      <c r="EU10" s="162">
        <f t="shared" si="90"/>
        <v>0</v>
      </c>
      <c r="EV10" s="106"/>
      <c r="EW10" s="156">
        <f t="shared" si="91"/>
        <v>0</v>
      </c>
      <c r="EX10" s="162">
        <f t="shared" si="92"/>
        <v>0</v>
      </c>
      <c r="EY10" s="106"/>
      <c r="EZ10" s="156">
        <f t="shared" si="32"/>
        <v>0</v>
      </c>
      <c r="FA10" s="162">
        <f t="shared" si="93"/>
        <v>0</v>
      </c>
      <c r="FB10" s="106"/>
      <c r="FC10" s="156">
        <f t="shared" si="33"/>
        <v>0</v>
      </c>
      <c r="FD10" s="162">
        <f t="shared" si="94"/>
        <v>0</v>
      </c>
      <c r="FE10" s="106"/>
      <c r="FF10" s="156">
        <f t="shared" si="34"/>
        <v>0</v>
      </c>
      <c r="FG10" s="162">
        <f t="shared" si="95"/>
        <v>0</v>
      </c>
      <c r="FH10" s="106"/>
      <c r="FI10" s="156">
        <f t="shared" si="35"/>
        <v>0</v>
      </c>
      <c r="FJ10" s="162">
        <f t="shared" si="96"/>
        <v>0</v>
      </c>
      <c r="FK10" s="106"/>
      <c r="FL10" s="156">
        <f t="shared" si="36"/>
        <v>0</v>
      </c>
      <c r="FM10" s="162">
        <f t="shared" si="97"/>
        <v>0</v>
      </c>
      <c r="FN10" s="106"/>
      <c r="FO10" s="156">
        <f t="shared" si="37"/>
        <v>0</v>
      </c>
      <c r="FP10" s="162">
        <f t="shared" si="98"/>
        <v>0</v>
      </c>
      <c r="FQ10" s="106"/>
      <c r="FR10" s="156">
        <f t="shared" si="38"/>
        <v>0</v>
      </c>
    </row>
    <row r="11" spans="1:174" ht="15" customHeight="1">
      <c r="A11" s="104">
        <v>6</v>
      </c>
      <c r="B11" s="104">
        <f t="shared" si="39"/>
        <v>14627</v>
      </c>
      <c r="C11" s="98">
        <v>14716</v>
      </c>
      <c r="D11" s="99">
        <f t="shared" si="0"/>
        <v>89</v>
      </c>
      <c r="E11" s="149"/>
      <c r="F11" s="104">
        <v>6</v>
      </c>
      <c r="G11" s="104">
        <f t="shared" si="40"/>
        <v>42488</v>
      </c>
      <c r="H11" s="98">
        <v>42530</v>
      </c>
      <c r="I11" s="99">
        <f t="shared" si="1"/>
        <v>42</v>
      </c>
      <c r="J11" s="149"/>
      <c r="K11" s="104">
        <v>6</v>
      </c>
      <c r="L11" s="104">
        <f t="shared" si="41"/>
        <v>849233</v>
      </c>
      <c r="M11" s="105">
        <v>849415</v>
      </c>
      <c r="N11" s="99">
        <f t="shared" si="2"/>
        <v>182</v>
      </c>
      <c r="O11" s="101"/>
      <c r="P11" s="104">
        <v>6</v>
      </c>
      <c r="Q11" s="104">
        <f t="shared" si="42"/>
        <v>249906</v>
      </c>
      <c r="R11" s="105">
        <v>249968</v>
      </c>
      <c r="S11" s="99">
        <f t="shared" si="3"/>
        <v>62</v>
      </c>
      <c r="T11" s="100"/>
      <c r="U11" s="102">
        <v>6</v>
      </c>
      <c r="V11" s="373">
        <f t="shared" si="4"/>
        <v>375</v>
      </c>
      <c r="W11" s="103">
        <f>'Maldives at LG Daily'!I10</f>
        <v>2796</v>
      </c>
      <c r="X11" s="106">
        <v>81</v>
      </c>
      <c r="Y11" s="249">
        <f t="shared" si="5"/>
        <v>4.6296296296296298</v>
      </c>
      <c r="AA11" s="158">
        <v>6</v>
      </c>
      <c r="AB11" s="106">
        <f t="shared" si="43"/>
        <v>48747</v>
      </c>
      <c r="AC11" s="106">
        <v>48781</v>
      </c>
      <c r="AD11" s="106">
        <f t="shared" si="6"/>
        <v>34</v>
      </c>
      <c r="AE11" s="106">
        <f t="shared" si="99"/>
        <v>0</v>
      </c>
      <c r="AF11" s="234"/>
      <c r="AG11" s="158">
        <f t="shared" si="44"/>
        <v>10933</v>
      </c>
      <c r="AH11" s="106">
        <v>10940</v>
      </c>
      <c r="AI11" s="106">
        <f t="shared" si="45"/>
        <v>7</v>
      </c>
      <c r="AJ11" s="106">
        <f t="shared" si="100"/>
        <v>0</v>
      </c>
      <c r="AK11" s="106"/>
      <c r="AL11" s="158">
        <f t="shared" si="46"/>
        <v>10422</v>
      </c>
      <c r="AM11" s="106">
        <v>10433</v>
      </c>
      <c r="AN11" s="106">
        <f t="shared" si="7"/>
        <v>11</v>
      </c>
      <c r="AO11" s="106">
        <f t="shared" si="47"/>
        <v>2</v>
      </c>
      <c r="AP11" s="106"/>
      <c r="AQ11" s="158">
        <f t="shared" si="48"/>
        <v>19992</v>
      </c>
      <c r="AR11" s="106">
        <v>20007</v>
      </c>
      <c r="AS11" s="106">
        <f t="shared" si="8"/>
        <v>15</v>
      </c>
      <c r="AT11" s="106">
        <f t="shared" si="49"/>
        <v>3</v>
      </c>
      <c r="AU11" s="106"/>
      <c r="AV11" s="158">
        <f t="shared" si="50"/>
        <v>36015</v>
      </c>
      <c r="AW11" s="106">
        <v>36026</v>
      </c>
      <c r="AX11" s="106">
        <f t="shared" si="9"/>
        <v>11</v>
      </c>
      <c r="AY11" s="106">
        <f t="shared" si="51"/>
        <v>2</v>
      </c>
      <c r="AZ11" s="106"/>
      <c r="BA11" s="158">
        <f t="shared" si="52"/>
        <v>9663</v>
      </c>
      <c r="BB11" s="106">
        <v>9671</v>
      </c>
      <c r="BC11" s="106">
        <f t="shared" si="10"/>
        <v>8</v>
      </c>
      <c r="BD11" s="106">
        <f t="shared" si="53"/>
        <v>2</v>
      </c>
      <c r="BE11" s="106"/>
      <c r="BF11" s="158">
        <f t="shared" si="54"/>
        <v>26510</v>
      </c>
      <c r="BG11" s="106">
        <v>26519</v>
      </c>
      <c r="BH11" s="106">
        <f t="shared" si="11"/>
        <v>9</v>
      </c>
      <c r="BI11" s="106">
        <f t="shared" si="55"/>
        <v>0</v>
      </c>
      <c r="BJ11" s="106"/>
      <c r="BK11" s="158">
        <f t="shared" si="56"/>
        <v>10537</v>
      </c>
      <c r="BL11" s="106">
        <v>10546</v>
      </c>
      <c r="BM11" s="106">
        <f t="shared" si="12"/>
        <v>9</v>
      </c>
      <c r="BN11" s="106">
        <f t="shared" si="57"/>
        <v>0</v>
      </c>
      <c r="BO11" s="106"/>
      <c r="BP11" s="158">
        <f t="shared" si="58"/>
        <v>4274</v>
      </c>
      <c r="BQ11" s="106">
        <v>4276</v>
      </c>
      <c r="BR11" s="253">
        <f t="shared" si="13"/>
        <v>2</v>
      </c>
      <c r="BS11" s="106">
        <f t="shared" si="59"/>
        <v>0</v>
      </c>
      <c r="BT11" s="106"/>
      <c r="BU11" s="158">
        <f t="shared" si="60"/>
        <v>1881</v>
      </c>
      <c r="BV11" s="106">
        <v>1881</v>
      </c>
      <c r="BW11" s="106">
        <f t="shared" si="14"/>
        <v>0</v>
      </c>
      <c r="BX11" s="106">
        <f t="shared" si="61"/>
        <v>0</v>
      </c>
      <c r="BY11" s="106"/>
      <c r="BZ11" s="162">
        <f t="shared" si="62"/>
        <v>29390</v>
      </c>
      <c r="CA11" s="106">
        <v>29393</v>
      </c>
      <c r="CB11" s="253">
        <f t="shared" si="15"/>
        <v>3</v>
      </c>
      <c r="CC11" s="106">
        <f t="shared" si="63"/>
        <v>-2</v>
      </c>
      <c r="CD11" s="156"/>
      <c r="CE11" s="162">
        <f t="shared" si="64"/>
        <v>3611</v>
      </c>
      <c r="CF11" s="106">
        <v>3611</v>
      </c>
      <c r="CG11" s="106">
        <f t="shared" si="16"/>
        <v>0</v>
      </c>
      <c r="CH11" s="106">
        <f t="shared" si="65"/>
        <v>-3</v>
      </c>
      <c r="CI11" s="156"/>
      <c r="CJ11" s="162">
        <f t="shared" si="66"/>
        <v>86879</v>
      </c>
      <c r="CK11" s="106">
        <v>86905</v>
      </c>
      <c r="CL11" s="106">
        <f t="shared" si="17"/>
        <v>26</v>
      </c>
      <c r="CM11" s="106">
        <f t="shared" si="67"/>
        <v>-5</v>
      </c>
      <c r="CN11" s="156"/>
      <c r="CO11" s="162">
        <f t="shared" si="68"/>
        <v>26622</v>
      </c>
      <c r="CP11" s="106">
        <v>26634</v>
      </c>
      <c r="CQ11" s="106">
        <f t="shared" si="18"/>
        <v>12</v>
      </c>
      <c r="CR11" s="106">
        <f t="shared" si="69"/>
        <v>2</v>
      </c>
      <c r="CS11" s="156"/>
      <c r="CT11" s="162">
        <f t="shared" si="70"/>
        <v>12875</v>
      </c>
      <c r="CU11" s="106">
        <v>12875</v>
      </c>
      <c r="CV11" s="106">
        <f t="shared" si="19"/>
        <v>0</v>
      </c>
      <c r="CW11" s="106">
        <f t="shared" si="71"/>
        <v>-1</v>
      </c>
      <c r="CX11" s="156"/>
      <c r="CY11" s="162">
        <f t="shared" si="72"/>
        <v>19921</v>
      </c>
      <c r="CZ11" s="106">
        <v>19927</v>
      </c>
      <c r="DA11" s="106">
        <f t="shared" si="20"/>
        <v>6</v>
      </c>
      <c r="DB11" s="106">
        <f t="shared" si="73"/>
        <v>0</v>
      </c>
      <c r="DC11" s="156"/>
      <c r="DD11" s="162">
        <f t="shared" si="74"/>
        <v>21184</v>
      </c>
      <c r="DE11" s="106">
        <v>21187</v>
      </c>
      <c r="DF11" s="106">
        <f t="shared" si="21"/>
        <v>3</v>
      </c>
      <c r="DG11" s="106">
        <f t="shared" si="75"/>
        <v>-1</v>
      </c>
      <c r="DH11" s="156"/>
      <c r="DI11" s="162">
        <f t="shared" si="76"/>
        <v>10160</v>
      </c>
      <c r="DJ11" s="106">
        <v>10163</v>
      </c>
      <c r="DK11" s="106">
        <f t="shared" si="22"/>
        <v>3</v>
      </c>
      <c r="DL11" s="106">
        <f t="shared" si="77"/>
        <v>-3</v>
      </c>
      <c r="DM11" s="156"/>
      <c r="DN11" s="162">
        <f t="shared" si="78"/>
        <v>27303</v>
      </c>
      <c r="DO11" s="106">
        <v>27324</v>
      </c>
      <c r="DP11" s="106">
        <f t="shared" si="23"/>
        <v>21</v>
      </c>
      <c r="DQ11" s="106">
        <f t="shared" si="79"/>
        <v>-1</v>
      </c>
      <c r="DR11" s="156"/>
      <c r="DS11" s="162">
        <f t="shared" si="80"/>
        <v>2903</v>
      </c>
      <c r="DT11" s="106">
        <v>2906</v>
      </c>
      <c r="DU11" s="106">
        <f t="shared" si="24"/>
        <v>3</v>
      </c>
      <c r="DV11" s="106">
        <f t="shared" si="81"/>
        <v>-2</v>
      </c>
      <c r="DW11" s="156"/>
      <c r="DX11" s="162">
        <f t="shared" si="82"/>
        <v>222</v>
      </c>
      <c r="DY11" s="106">
        <v>224</v>
      </c>
      <c r="DZ11" s="106">
        <f t="shared" si="25"/>
        <v>2</v>
      </c>
      <c r="EA11" s="106">
        <f t="shared" si="83"/>
        <v>-12</v>
      </c>
      <c r="EB11" s="156"/>
      <c r="EC11" s="162">
        <f t="shared" si="84"/>
        <v>0</v>
      </c>
      <c r="ED11" s="106"/>
      <c r="EE11" s="156">
        <f t="shared" si="26"/>
        <v>0</v>
      </c>
      <c r="EF11" s="162">
        <f t="shared" si="85"/>
        <v>0</v>
      </c>
      <c r="EG11" s="106"/>
      <c r="EH11" s="156">
        <f t="shared" si="27"/>
        <v>0</v>
      </c>
      <c r="EI11" s="162">
        <f t="shared" si="86"/>
        <v>0</v>
      </c>
      <c r="EJ11" s="106"/>
      <c r="EK11" s="156">
        <f t="shared" si="28"/>
        <v>0</v>
      </c>
      <c r="EL11" s="162">
        <f t="shared" si="87"/>
        <v>0</v>
      </c>
      <c r="EM11" s="106"/>
      <c r="EN11" s="156">
        <f t="shared" si="29"/>
        <v>0</v>
      </c>
      <c r="EO11" s="162">
        <f t="shared" si="88"/>
        <v>0</v>
      </c>
      <c r="EP11" s="106"/>
      <c r="EQ11" s="156">
        <f t="shared" si="30"/>
        <v>0</v>
      </c>
      <c r="ER11" s="162">
        <f t="shared" si="89"/>
        <v>0</v>
      </c>
      <c r="ES11" s="106"/>
      <c r="ET11" s="156">
        <f t="shared" si="31"/>
        <v>0</v>
      </c>
      <c r="EU11" s="162">
        <f t="shared" si="90"/>
        <v>0</v>
      </c>
      <c r="EV11" s="106"/>
      <c r="EW11" s="156">
        <f t="shared" si="91"/>
        <v>0</v>
      </c>
      <c r="EX11" s="162">
        <f t="shared" si="92"/>
        <v>0</v>
      </c>
      <c r="EY11" s="106"/>
      <c r="EZ11" s="156">
        <f t="shared" si="32"/>
        <v>0</v>
      </c>
      <c r="FA11" s="162">
        <f t="shared" si="93"/>
        <v>0</v>
      </c>
      <c r="FB11" s="106"/>
      <c r="FC11" s="156">
        <f t="shared" si="33"/>
        <v>0</v>
      </c>
      <c r="FD11" s="162">
        <f t="shared" si="94"/>
        <v>0</v>
      </c>
      <c r="FE11" s="106"/>
      <c r="FF11" s="156">
        <f t="shared" si="34"/>
        <v>0</v>
      </c>
      <c r="FG11" s="162">
        <f t="shared" si="95"/>
        <v>0</v>
      </c>
      <c r="FH11" s="106"/>
      <c r="FI11" s="156">
        <f t="shared" si="35"/>
        <v>0</v>
      </c>
      <c r="FJ11" s="162">
        <f t="shared" si="96"/>
        <v>0</v>
      </c>
      <c r="FK11" s="106"/>
      <c r="FL11" s="156">
        <f t="shared" si="36"/>
        <v>0</v>
      </c>
      <c r="FM11" s="162">
        <f t="shared" si="97"/>
        <v>0</v>
      </c>
      <c r="FN11" s="106"/>
      <c r="FO11" s="156">
        <f t="shared" si="37"/>
        <v>0</v>
      </c>
      <c r="FP11" s="162">
        <f t="shared" si="98"/>
        <v>0</v>
      </c>
      <c r="FQ11" s="106"/>
      <c r="FR11" s="156">
        <f t="shared" si="38"/>
        <v>0</v>
      </c>
    </row>
    <row r="12" spans="1:174" ht="15" customHeight="1">
      <c r="A12" s="104">
        <v>7</v>
      </c>
      <c r="B12" s="104">
        <f t="shared" si="39"/>
        <v>14716</v>
      </c>
      <c r="C12" s="98">
        <v>14869</v>
      </c>
      <c r="D12" s="99">
        <f t="shared" si="0"/>
        <v>153</v>
      </c>
      <c r="E12" s="149"/>
      <c r="F12" s="104">
        <v>7</v>
      </c>
      <c r="G12" s="104">
        <f t="shared" si="40"/>
        <v>42530</v>
      </c>
      <c r="H12" s="98">
        <v>42583</v>
      </c>
      <c r="I12" s="99">
        <f t="shared" si="1"/>
        <v>53</v>
      </c>
      <c r="J12" s="149"/>
      <c r="K12" s="104">
        <v>7</v>
      </c>
      <c r="L12" s="104">
        <f t="shared" si="41"/>
        <v>849415</v>
      </c>
      <c r="M12" s="105">
        <v>849516</v>
      </c>
      <c r="N12" s="99">
        <f t="shared" si="2"/>
        <v>101</v>
      </c>
      <c r="O12" s="101"/>
      <c r="P12" s="104">
        <v>7</v>
      </c>
      <c r="Q12" s="104">
        <f t="shared" si="42"/>
        <v>249968</v>
      </c>
      <c r="R12" s="105">
        <v>249968</v>
      </c>
      <c r="S12" s="99">
        <f>MAX(0,R12-Q12)</f>
        <v>0</v>
      </c>
      <c r="T12" s="100"/>
      <c r="U12" s="102">
        <v>7</v>
      </c>
      <c r="V12" s="373">
        <f>SUM(S12+N12+I12+D12)</f>
        <v>307</v>
      </c>
      <c r="W12" s="103">
        <f>'Maldives at LG Daily'!I11</f>
        <v>2573</v>
      </c>
      <c r="X12" s="106">
        <v>80</v>
      </c>
      <c r="Y12" s="249">
        <f t="shared" si="5"/>
        <v>3.8374999999999999</v>
      </c>
      <c r="AA12" s="158">
        <v>7</v>
      </c>
      <c r="AB12" s="106">
        <f t="shared" si="43"/>
        <v>48781</v>
      </c>
      <c r="AC12" s="106">
        <v>48816</v>
      </c>
      <c r="AD12" s="106">
        <f t="shared" si="6"/>
        <v>35</v>
      </c>
      <c r="AE12" s="106">
        <f t="shared" si="99"/>
        <v>1</v>
      </c>
      <c r="AF12" s="234"/>
      <c r="AG12" s="158">
        <f t="shared" si="44"/>
        <v>10940</v>
      </c>
      <c r="AH12" s="106">
        <v>10948</v>
      </c>
      <c r="AI12" s="106">
        <f t="shared" si="45"/>
        <v>8</v>
      </c>
      <c r="AJ12" s="106">
        <f t="shared" si="100"/>
        <v>1</v>
      </c>
      <c r="AK12" s="106"/>
      <c r="AL12" s="158">
        <f t="shared" si="46"/>
        <v>10433</v>
      </c>
      <c r="AM12" s="106">
        <v>10443</v>
      </c>
      <c r="AN12" s="106">
        <f t="shared" si="7"/>
        <v>10</v>
      </c>
      <c r="AO12" s="106">
        <f t="shared" si="47"/>
        <v>-1</v>
      </c>
      <c r="AP12" s="106"/>
      <c r="AQ12" s="158">
        <f t="shared" si="48"/>
        <v>20007</v>
      </c>
      <c r="AR12" s="106">
        <v>20020</v>
      </c>
      <c r="AS12" s="106">
        <f t="shared" si="8"/>
        <v>13</v>
      </c>
      <c r="AT12" s="106">
        <f t="shared" si="49"/>
        <v>-2</v>
      </c>
      <c r="AU12" s="106"/>
      <c r="AV12" s="158">
        <f t="shared" si="50"/>
        <v>36026</v>
      </c>
      <c r="AW12" s="106">
        <v>36035</v>
      </c>
      <c r="AX12" s="106">
        <f t="shared" si="9"/>
        <v>9</v>
      </c>
      <c r="AY12" s="106">
        <f t="shared" si="51"/>
        <v>-2</v>
      </c>
      <c r="AZ12" s="106"/>
      <c r="BA12" s="158">
        <f t="shared" si="52"/>
        <v>9671</v>
      </c>
      <c r="BB12" s="106">
        <v>9678</v>
      </c>
      <c r="BC12" s="106">
        <f t="shared" si="10"/>
        <v>7</v>
      </c>
      <c r="BD12" s="106">
        <f t="shared" si="53"/>
        <v>-1</v>
      </c>
      <c r="BE12" s="106"/>
      <c r="BF12" s="158">
        <f t="shared" si="54"/>
        <v>26519</v>
      </c>
      <c r="BG12" s="106">
        <v>26528</v>
      </c>
      <c r="BH12" s="106">
        <f t="shared" si="11"/>
        <v>9</v>
      </c>
      <c r="BI12" s="106">
        <f t="shared" si="55"/>
        <v>0</v>
      </c>
      <c r="BJ12" s="106"/>
      <c r="BK12" s="158">
        <f t="shared" si="56"/>
        <v>10546</v>
      </c>
      <c r="BL12" s="106">
        <v>10555</v>
      </c>
      <c r="BM12" s="106">
        <f t="shared" si="12"/>
        <v>9</v>
      </c>
      <c r="BN12" s="106">
        <f t="shared" si="57"/>
        <v>0</v>
      </c>
      <c r="BO12" s="106"/>
      <c r="BP12" s="158">
        <f t="shared" si="58"/>
        <v>4276</v>
      </c>
      <c r="BQ12" s="106">
        <v>4277</v>
      </c>
      <c r="BR12" s="253">
        <f t="shared" si="13"/>
        <v>1</v>
      </c>
      <c r="BS12" s="106">
        <f t="shared" si="59"/>
        <v>-1</v>
      </c>
      <c r="BT12" s="106"/>
      <c r="BU12" s="158">
        <f t="shared" si="60"/>
        <v>1881</v>
      </c>
      <c r="BV12" s="106">
        <v>1883</v>
      </c>
      <c r="BW12" s="106">
        <f t="shared" si="14"/>
        <v>2</v>
      </c>
      <c r="BX12" s="106">
        <f t="shared" si="61"/>
        <v>2</v>
      </c>
      <c r="BY12" s="106"/>
      <c r="BZ12" s="162">
        <f t="shared" si="62"/>
        <v>29393</v>
      </c>
      <c r="CA12" s="106">
        <v>29395</v>
      </c>
      <c r="CB12" s="253">
        <f t="shared" si="15"/>
        <v>2</v>
      </c>
      <c r="CC12" s="106">
        <f t="shared" si="63"/>
        <v>-1</v>
      </c>
      <c r="CD12" s="156"/>
      <c r="CE12" s="162">
        <f t="shared" si="64"/>
        <v>3611</v>
      </c>
      <c r="CF12" s="106">
        <v>3613</v>
      </c>
      <c r="CG12" s="106">
        <f t="shared" si="16"/>
        <v>2</v>
      </c>
      <c r="CH12" s="106">
        <f t="shared" si="65"/>
        <v>2</v>
      </c>
      <c r="CI12" s="156"/>
      <c r="CJ12" s="162">
        <f t="shared" si="66"/>
        <v>86905</v>
      </c>
      <c r="CK12" s="106">
        <v>86932</v>
      </c>
      <c r="CL12" s="106">
        <f t="shared" si="17"/>
        <v>27</v>
      </c>
      <c r="CM12" s="106">
        <f t="shared" si="67"/>
        <v>1</v>
      </c>
      <c r="CN12" s="156"/>
      <c r="CO12" s="162">
        <f t="shared" si="68"/>
        <v>26634</v>
      </c>
      <c r="CP12" s="106">
        <v>26640</v>
      </c>
      <c r="CQ12" s="106">
        <f t="shared" si="18"/>
        <v>6</v>
      </c>
      <c r="CR12" s="106">
        <f t="shared" si="69"/>
        <v>-6</v>
      </c>
      <c r="CS12" s="156"/>
      <c r="CT12" s="162">
        <f t="shared" si="70"/>
        <v>12875</v>
      </c>
      <c r="CU12" s="106">
        <v>12877</v>
      </c>
      <c r="CV12" s="106">
        <f t="shared" si="19"/>
        <v>2</v>
      </c>
      <c r="CW12" s="106">
        <f t="shared" si="71"/>
        <v>2</v>
      </c>
      <c r="CX12" s="156"/>
      <c r="CY12" s="162">
        <f t="shared" si="72"/>
        <v>19927</v>
      </c>
      <c r="CZ12" s="106">
        <v>19928</v>
      </c>
      <c r="DA12" s="106">
        <f t="shared" si="20"/>
        <v>1</v>
      </c>
      <c r="DB12" s="106">
        <f t="shared" si="73"/>
        <v>-5</v>
      </c>
      <c r="DC12" s="156"/>
      <c r="DD12" s="162">
        <f t="shared" si="74"/>
        <v>21187</v>
      </c>
      <c r="DE12" s="106">
        <v>21191</v>
      </c>
      <c r="DF12" s="106">
        <f t="shared" si="21"/>
        <v>4</v>
      </c>
      <c r="DG12" s="106">
        <f t="shared" si="75"/>
        <v>1</v>
      </c>
      <c r="DH12" s="156"/>
      <c r="DI12" s="162">
        <f t="shared" si="76"/>
        <v>10163</v>
      </c>
      <c r="DJ12" s="106">
        <v>10167</v>
      </c>
      <c r="DK12" s="106">
        <f t="shared" si="22"/>
        <v>4</v>
      </c>
      <c r="DL12" s="106"/>
      <c r="DM12" s="156"/>
      <c r="DN12" s="162">
        <f t="shared" si="78"/>
        <v>27324</v>
      </c>
      <c r="DO12" s="106">
        <v>27343</v>
      </c>
      <c r="DP12" s="106">
        <f t="shared" si="23"/>
        <v>19</v>
      </c>
      <c r="DQ12" s="106">
        <f t="shared" si="79"/>
        <v>-2</v>
      </c>
      <c r="DR12" s="156"/>
      <c r="DS12" s="162">
        <f t="shared" si="80"/>
        <v>2906</v>
      </c>
      <c r="DT12" s="106">
        <v>2908</v>
      </c>
      <c r="DU12" s="106">
        <f t="shared" si="24"/>
        <v>2</v>
      </c>
      <c r="DV12" s="106">
        <f t="shared" si="81"/>
        <v>-1</v>
      </c>
      <c r="DW12" s="156"/>
      <c r="DX12" s="162">
        <f t="shared" si="82"/>
        <v>224</v>
      </c>
      <c r="DY12" s="106">
        <v>226</v>
      </c>
      <c r="DZ12" s="106">
        <f t="shared" si="25"/>
        <v>2</v>
      </c>
      <c r="EA12" s="106">
        <f t="shared" si="83"/>
        <v>0</v>
      </c>
      <c r="EB12" s="156"/>
      <c r="EC12" s="162">
        <f t="shared" si="84"/>
        <v>0</v>
      </c>
      <c r="ED12" s="106"/>
      <c r="EE12" s="156">
        <f t="shared" si="26"/>
        <v>0</v>
      </c>
      <c r="EF12" s="162">
        <f t="shared" si="85"/>
        <v>0</v>
      </c>
      <c r="EG12" s="106"/>
      <c r="EH12" s="156">
        <f t="shared" si="27"/>
        <v>0</v>
      </c>
      <c r="EI12" s="162">
        <f t="shared" si="86"/>
        <v>0</v>
      </c>
      <c r="EJ12" s="106"/>
      <c r="EK12" s="156">
        <f t="shared" si="28"/>
        <v>0</v>
      </c>
      <c r="EL12" s="162">
        <f t="shared" si="87"/>
        <v>0</v>
      </c>
      <c r="EM12" s="106"/>
      <c r="EN12" s="156">
        <f t="shared" si="29"/>
        <v>0</v>
      </c>
      <c r="EO12" s="162">
        <f t="shared" si="88"/>
        <v>0</v>
      </c>
      <c r="EP12" s="106"/>
      <c r="EQ12" s="156">
        <f t="shared" si="30"/>
        <v>0</v>
      </c>
      <c r="ER12" s="162">
        <f t="shared" si="89"/>
        <v>0</v>
      </c>
      <c r="ES12" s="106"/>
      <c r="ET12" s="156">
        <f t="shared" si="31"/>
        <v>0</v>
      </c>
      <c r="EU12" s="162">
        <f t="shared" si="90"/>
        <v>0</v>
      </c>
      <c r="EV12" s="106"/>
      <c r="EW12" s="156">
        <f t="shared" si="91"/>
        <v>0</v>
      </c>
      <c r="EX12" s="162">
        <f t="shared" si="92"/>
        <v>0</v>
      </c>
      <c r="EY12" s="106"/>
      <c r="EZ12" s="156">
        <f t="shared" si="32"/>
        <v>0</v>
      </c>
      <c r="FA12" s="162">
        <f t="shared" si="93"/>
        <v>0</v>
      </c>
      <c r="FB12" s="106"/>
      <c r="FC12" s="156">
        <f t="shared" si="33"/>
        <v>0</v>
      </c>
      <c r="FD12" s="162">
        <f t="shared" si="94"/>
        <v>0</v>
      </c>
      <c r="FE12" s="106"/>
      <c r="FF12" s="156">
        <f t="shared" si="34"/>
        <v>0</v>
      </c>
      <c r="FG12" s="162">
        <f t="shared" si="95"/>
        <v>0</v>
      </c>
      <c r="FH12" s="106"/>
      <c r="FI12" s="156">
        <f t="shared" si="35"/>
        <v>0</v>
      </c>
      <c r="FJ12" s="162">
        <f t="shared" si="96"/>
        <v>0</v>
      </c>
      <c r="FK12" s="106"/>
      <c r="FL12" s="156">
        <f t="shared" si="36"/>
        <v>0</v>
      </c>
      <c r="FM12" s="162">
        <f t="shared" si="97"/>
        <v>0</v>
      </c>
      <c r="FN12" s="106"/>
      <c r="FO12" s="156">
        <f t="shared" si="37"/>
        <v>0</v>
      </c>
      <c r="FP12" s="162">
        <f t="shared" si="98"/>
        <v>0</v>
      </c>
      <c r="FQ12" s="106"/>
      <c r="FR12" s="156">
        <f t="shared" si="38"/>
        <v>0</v>
      </c>
    </row>
    <row r="13" spans="1:174" ht="15" customHeight="1">
      <c r="A13" s="104">
        <v>8</v>
      </c>
      <c r="B13" s="104">
        <f t="shared" si="39"/>
        <v>14869</v>
      </c>
      <c r="C13" s="98">
        <v>15038</v>
      </c>
      <c r="D13" s="99">
        <f t="shared" si="0"/>
        <v>169</v>
      </c>
      <c r="E13" s="149"/>
      <c r="F13" s="104">
        <v>8</v>
      </c>
      <c r="G13" s="104">
        <f t="shared" si="40"/>
        <v>42583</v>
      </c>
      <c r="H13" s="98">
        <v>42593</v>
      </c>
      <c r="I13" s="99">
        <f t="shared" si="1"/>
        <v>10</v>
      </c>
      <c r="J13" s="149"/>
      <c r="K13" s="104">
        <v>8</v>
      </c>
      <c r="L13" s="104">
        <f t="shared" si="41"/>
        <v>849516</v>
      </c>
      <c r="M13" s="105">
        <v>849641</v>
      </c>
      <c r="N13" s="99">
        <f t="shared" si="2"/>
        <v>125</v>
      </c>
      <c r="O13" s="101"/>
      <c r="P13" s="104">
        <v>8</v>
      </c>
      <c r="Q13" s="104">
        <f t="shared" si="42"/>
        <v>249968</v>
      </c>
      <c r="R13" s="105">
        <v>249968</v>
      </c>
      <c r="S13" s="99">
        <f t="shared" si="3"/>
        <v>0</v>
      </c>
      <c r="T13" s="100"/>
      <c r="U13" s="104">
        <v>8</v>
      </c>
      <c r="V13" s="373">
        <f t="shared" si="4"/>
        <v>304</v>
      </c>
      <c r="W13" s="103">
        <f>'Maldives at LG Daily'!I12</f>
        <v>3036</v>
      </c>
      <c r="X13" s="106">
        <v>46</v>
      </c>
      <c r="Y13" s="249">
        <f t="shared" si="5"/>
        <v>6.6086956521739131</v>
      </c>
      <c r="AA13" s="158">
        <v>8</v>
      </c>
      <c r="AB13" s="106">
        <f t="shared" si="43"/>
        <v>48816</v>
      </c>
      <c r="AC13" s="106">
        <v>48848</v>
      </c>
      <c r="AD13" s="106">
        <f t="shared" si="6"/>
        <v>32</v>
      </c>
      <c r="AE13" s="106">
        <f t="shared" si="99"/>
        <v>-3</v>
      </c>
      <c r="AF13" s="234"/>
      <c r="AG13" s="158">
        <f t="shared" si="44"/>
        <v>10948</v>
      </c>
      <c r="AH13" s="106">
        <v>10954</v>
      </c>
      <c r="AI13" s="106">
        <f t="shared" si="45"/>
        <v>6</v>
      </c>
      <c r="AJ13" s="106">
        <f t="shared" si="100"/>
        <v>-2</v>
      </c>
      <c r="AK13" s="106"/>
      <c r="AL13" s="158">
        <f t="shared" si="46"/>
        <v>10443</v>
      </c>
      <c r="AM13" s="106">
        <v>10452</v>
      </c>
      <c r="AN13" s="106">
        <f t="shared" si="7"/>
        <v>9</v>
      </c>
      <c r="AO13" s="106">
        <f t="shared" si="47"/>
        <v>-1</v>
      </c>
      <c r="AP13" s="106"/>
      <c r="AQ13" s="158">
        <f t="shared" si="48"/>
        <v>20020</v>
      </c>
      <c r="AR13" s="106">
        <v>20032</v>
      </c>
      <c r="AS13" s="106">
        <f t="shared" si="8"/>
        <v>12</v>
      </c>
      <c r="AT13" s="106">
        <f t="shared" si="49"/>
        <v>-1</v>
      </c>
      <c r="AU13" s="106"/>
      <c r="AV13" s="158">
        <f t="shared" si="50"/>
        <v>36035</v>
      </c>
      <c r="AW13" s="106">
        <v>36045</v>
      </c>
      <c r="AX13" s="106">
        <f t="shared" si="9"/>
        <v>10</v>
      </c>
      <c r="AY13" s="106">
        <f t="shared" si="51"/>
        <v>1</v>
      </c>
      <c r="AZ13" s="106"/>
      <c r="BA13" s="158">
        <f t="shared" si="52"/>
        <v>9678</v>
      </c>
      <c r="BB13" s="106">
        <v>9685</v>
      </c>
      <c r="BC13" s="106">
        <f t="shared" si="10"/>
        <v>7</v>
      </c>
      <c r="BD13" s="106">
        <f t="shared" si="53"/>
        <v>0</v>
      </c>
      <c r="BE13" s="106"/>
      <c r="BF13" s="158">
        <f t="shared" si="54"/>
        <v>26528</v>
      </c>
      <c r="BG13" s="106">
        <v>26537</v>
      </c>
      <c r="BH13" s="106">
        <f t="shared" si="11"/>
        <v>9</v>
      </c>
      <c r="BI13" s="106">
        <f t="shared" si="55"/>
        <v>0</v>
      </c>
      <c r="BJ13" s="106"/>
      <c r="BK13" s="158">
        <f t="shared" si="56"/>
        <v>10555</v>
      </c>
      <c r="BL13" s="106">
        <v>10564</v>
      </c>
      <c r="BM13" s="106">
        <f t="shared" si="12"/>
        <v>9</v>
      </c>
      <c r="BN13" s="106">
        <f t="shared" si="57"/>
        <v>0</v>
      </c>
      <c r="BO13" s="106"/>
      <c r="BP13" s="158">
        <f t="shared" si="58"/>
        <v>4277</v>
      </c>
      <c r="BQ13" s="106">
        <v>4279</v>
      </c>
      <c r="BR13" s="253">
        <f t="shared" si="13"/>
        <v>2</v>
      </c>
      <c r="BS13" s="106">
        <f t="shared" si="59"/>
        <v>1</v>
      </c>
      <c r="BT13" s="106"/>
      <c r="BU13" s="158">
        <f t="shared" si="60"/>
        <v>1883</v>
      </c>
      <c r="BV13" s="106">
        <v>1883</v>
      </c>
      <c r="BW13" s="106">
        <f t="shared" si="14"/>
        <v>0</v>
      </c>
      <c r="BX13" s="106">
        <f t="shared" si="61"/>
        <v>-2</v>
      </c>
      <c r="BY13" s="106"/>
      <c r="BZ13" s="162">
        <f t="shared" si="62"/>
        <v>29395</v>
      </c>
      <c r="CA13" s="106">
        <v>29398</v>
      </c>
      <c r="CB13" s="253">
        <f t="shared" si="15"/>
        <v>3</v>
      </c>
      <c r="CC13" s="106">
        <f t="shared" si="63"/>
        <v>1</v>
      </c>
      <c r="CD13" s="156"/>
      <c r="CE13" s="162">
        <f t="shared" si="64"/>
        <v>3613</v>
      </c>
      <c r="CF13" s="106">
        <v>3614</v>
      </c>
      <c r="CG13" s="106">
        <f t="shared" si="16"/>
        <v>1</v>
      </c>
      <c r="CH13" s="106">
        <f t="shared" si="65"/>
        <v>-1</v>
      </c>
      <c r="CI13" s="156"/>
      <c r="CJ13" s="162">
        <f t="shared" si="66"/>
        <v>86932</v>
      </c>
      <c r="CK13" s="106">
        <v>86955</v>
      </c>
      <c r="CL13" s="106">
        <f t="shared" si="17"/>
        <v>23</v>
      </c>
      <c r="CM13" s="106">
        <f t="shared" si="67"/>
        <v>-4</v>
      </c>
      <c r="CN13" s="156"/>
      <c r="CO13" s="162">
        <f t="shared" si="68"/>
        <v>26640</v>
      </c>
      <c r="CP13" s="106">
        <v>26657</v>
      </c>
      <c r="CQ13" s="106">
        <f t="shared" si="18"/>
        <v>17</v>
      </c>
      <c r="CR13" s="106">
        <f t="shared" si="69"/>
        <v>11</v>
      </c>
      <c r="CS13" s="156"/>
      <c r="CT13" s="162">
        <f t="shared" si="70"/>
        <v>12877</v>
      </c>
      <c r="CU13" s="106">
        <v>12878</v>
      </c>
      <c r="CV13" s="106">
        <f t="shared" si="19"/>
        <v>1</v>
      </c>
      <c r="CW13" s="106">
        <f t="shared" si="71"/>
        <v>-1</v>
      </c>
      <c r="CX13" s="156"/>
      <c r="CY13" s="162">
        <f t="shared" si="72"/>
        <v>19928</v>
      </c>
      <c r="CZ13" s="106">
        <v>19929</v>
      </c>
      <c r="DA13" s="106">
        <f t="shared" si="20"/>
        <v>1</v>
      </c>
      <c r="DB13" s="106">
        <f t="shared" si="73"/>
        <v>0</v>
      </c>
      <c r="DC13" s="156"/>
      <c r="DD13" s="162">
        <f t="shared" si="74"/>
        <v>21191</v>
      </c>
      <c r="DE13" s="106">
        <v>21194</v>
      </c>
      <c r="DF13" s="106">
        <f t="shared" si="21"/>
        <v>3</v>
      </c>
      <c r="DG13" s="106">
        <f t="shared" si="75"/>
        <v>-1</v>
      </c>
      <c r="DH13" s="156"/>
      <c r="DI13" s="162">
        <f t="shared" si="76"/>
        <v>10167</v>
      </c>
      <c r="DJ13" s="106">
        <v>10171</v>
      </c>
      <c r="DK13" s="106">
        <f t="shared" si="22"/>
        <v>4</v>
      </c>
      <c r="DL13" s="106">
        <f t="shared" si="77"/>
        <v>0</v>
      </c>
      <c r="DM13" s="156"/>
      <c r="DN13" s="162">
        <f t="shared" si="78"/>
        <v>27343</v>
      </c>
      <c r="DO13" s="106">
        <v>27363</v>
      </c>
      <c r="DP13" s="106">
        <f t="shared" si="23"/>
        <v>20</v>
      </c>
      <c r="DQ13" s="106">
        <f t="shared" si="79"/>
        <v>1</v>
      </c>
      <c r="DR13" s="156"/>
      <c r="DS13" s="162">
        <f t="shared" si="80"/>
        <v>2908</v>
      </c>
      <c r="DT13" s="106">
        <v>2912</v>
      </c>
      <c r="DU13" s="106">
        <f t="shared" si="24"/>
        <v>4</v>
      </c>
      <c r="DV13" s="106">
        <f t="shared" si="81"/>
        <v>2</v>
      </c>
      <c r="DW13" s="156"/>
      <c r="DX13" s="162">
        <f t="shared" si="82"/>
        <v>226</v>
      </c>
      <c r="DY13" s="106">
        <v>228</v>
      </c>
      <c r="DZ13" s="106">
        <f t="shared" si="25"/>
        <v>2</v>
      </c>
      <c r="EA13" s="106">
        <f t="shared" si="83"/>
        <v>0</v>
      </c>
      <c r="EB13" s="156"/>
      <c r="EC13" s="162">
        <f t="shared" si="84"/>
        <v>0</v>
      </c>
      <c r="ED13" s="106"/>
      <c r="EE13" s="156">
        <f t="shared" si="26"/>
        <v>0</v>
      </c>
      <c r="EF13" s="162">
        <f t="shared" si="85"/>
        <v>0</v>
      </c>
      <c r="EG13" s="106"/>
      <c r="EH13" s="156">
        <f t="shared" si="27"/>
        <v>0</v>
      </c>
      <c r="EI13" s="162">
        <f t="shared" si="86"/>
        <v>0</v>
      </c>
      <c r="EJ13" s="106"/>
      <c r="EK13" s="156">
        <f t="shared" si="28"/>
        <v>0</v>
      </c>
      <c r="EL13" s="162">
        <f t="shared" si="87"/>
        <v>0</v>
      </c>
      <c r="EM13" s="106"/>
      <c r="EN13" s="156">
        <f t="shared" si="29"/>
        <v>0</v>
      </c>
      <c r="EO13" s="162">
        <f t="shared" si="88"/>
        <v>0</v>
      </c>
      <c r="EP13" s="106"/>
      <c r="EQ13" s="156">
        <f t="shared" si="30"/>
        <v>0</v>
      </c>
      <c r="ER13" s="162">
        <f t="shared" si="89"/>
        <v>0</v>
      </c>
      <c r="ES13" s="106"/>
      <c r="ET13" s="156">
        <f t="shared" si="31"/>
        <v>0</v>
      </c>
      <c r="EU13" s="162">
        <f t="shared" si="90"/>
        <v>0</v>
      </c>
      <c r="EV13" s="106"/>
      <c r="EW13" s="156">
        <f t="shared" si="91"/>
        <v>0</v>
      </c>
      <c r="EX13" s="162">
        <f t="shared" si="92"/>
        <v>0</v>
      </c>
      <c r="EY13" s="106"/>
      <c r="EZ13" s="156">
        <f t="shared" si="32"/>
        <v>0</v>
      </c>
      <c r="FA13" s="162">
        <f t="shared" si="93"/>
        <v>0</v>
      </c>
      <c r="FB13" s="106"/>
      <c r="FC13" s="156">
        <f t="shared" si="33"/>
        <v>0</v>
      </c>
      <c r="FD13" s="162">
        <f t="shared" si="94"/>
        <v>0</v>
      </c>
      <c r="FE13" s="106"/>
      <c r="FF13" s="156">
        <f t="shared" si="34"/>
        <v>0</v>
      </c>
      <c r="FG13" s="162">
        <f t="shared" si="95"/>
        <v>0</v>
      </c>
      <c r="FH13" s="106"/>
      <c r="FI13" s="156">
        <f t="shared" si="35"/>
        <v>0</v>
      </c>
      <c r="FJ13" s="162">
        <f t="shared" si="96"/>
        <v>0</v>
      </c>
      <c r="FK13" s="106"/>
      <c r="FL13" s="156">
        <f t="shared" si="36"/>
        <v>0</v>
      </c>
      <c r="FM13" s="162">
        <f t="shared" si="97"/>
        <v>0</v>
      </c>
      <c r="FN13" s="106"/>
      <c r="FO13" s="156">
        <f t="shared" si="37"/>
        <v>0</v>
      </c>
      <c r="FP13" s="162">
        <f t="shared" si="98"/>
        <v>0</v>
      </c>
      <c r="FQ13" s="106"/>
      <c r="FR13" s="156">
        <f t="shared" si="38"/>
        <v>0</v>
      </c>
    </row>
    <row r="14" spans="1:174" ht="15" customHeight="1">
      <c r="A14" s="104">
        <v>9</v>
      </c>
      <c r="B14" s="104">
        <f t="shared" si="39"/>
        <v>15038</v>
      </c>
      <c r="C14" s="98">
        <v>15220</v>
      </c>
      <c r="D14" s="99">
        <f t="shared" si="0"/>
        <v>182</v>
      </c>
      <c r="E14" s="149"/>
      <c r="F14" s="104">
        <v>9</v>
      </c>
      <c r="G14" s="104">
        <f t="shared" si="40"/>
        <v>42593</v>
      </c>
      <c r="H14" s="98">
        <v>42593</v>
      </c>
      <c r="I14" s="99">
        <f t="shared" si="1"/>
        <v>0</v>
      </c>
      <c r="J14" s="149"/>
      <c r="K14" s="104">
        <v>9</v>
      </c>
      <c r="L14" s="104">
        <f t="shared" si="41"/>
        <v>849641</v>
      </c>
      <c r="M14" s="105">
        <v>849790</v>
      </c>
      <c r="N14" s="99">
        <f t="shared" si="2"/>
        <v>149</v>
      </c>
      <c r="O14" s="101"/>
      <c r="P14" s="104">
        <v>9</v>
      </c>
      <c r="Q14" s="104">
        <f t="shared" si="42"/>
        <v>249968</v>
      </c>
      <c r="R14" s="105">
        <v>249968</v>
      </c>
      <c r="S14" s="99">
        <f t="shared" si="3"/>
        <v>0</v>
      </c>
      <c r="T14" s="100"/>
      <c r="U14" s="102">
        <v>9</v>
      </c>
      <c r="V14" s="373">
        <f t="shared" si="4"/>
        <v>331</v>
      </c>
      <c r="W14" s="103">
        <f>'Maldives at LG Daily'!I13</f>
        <v>7274</v>
      </c>
      <c r="X14" s="106">
        <v>36</v>
      </c>
      <c r="Y14" s="249">
        <f t="shared" si="5"/>
        <v>9.1944444444444446</v>
      </c>
      <c r="AA14" s="158">
        <v>9</v>
      </c>
      <c r="AB14" s="106">
        <f t="shared" si="43"/>
        <v>48848</v>
      </c>
      <c r="AC14" s="106">
        <v>48879</v>
      </c>
      <c r="AD14" s="106">
        <f t="shared" si="6"/>
        <v>31</v>
      </c>
      <c r="AE14" s="106">
        <f t="shared" si="99"/>
        <v>-1</v>
      </c>
      <c r="AF14" s="234"/>
      <c r="AG14" s="158">
        <f t="shared" si="44"/>
        <v>10954</v>
      </c>
      <c r="AH14" s="106">
        <v>10960</v>
      </c>
      <c r="AI14" s="106">
        <f t="shared" si="45"/>
        <v>6</v>
      </c>
      <c r="AJ14" s="106">
        <f t="shared" si="100"/>
        <v>0</v>
      </c>
      <c r="AK14" s="106"/>
      <c r="AL14" s="158">
        <f t="shared" si="46"/>
        <v>10452</v>
      </c>
      <c r="AM14" s="106">
        <v>10462</v>
      </c>
      <c r="AN14" s="106">
        <f t="shared" si="7"/>
        <v>10</v>
      </c>
      <c r="AO14" s="106">
        <f t="shared" si="47"/>
        <v>1</v>
      </c>
      <c r="AP14" s="106"/>
      <c r="AQ14" s="158">
        <f t="shared" si="48"/>
        <v>20032</v>
      </c>
      <c r="AR14" s="106">
        <v>20043</v>
      </c>
      <c r="AS14" s="106">
        <f t="shared" si="8"/>
        <v>11</v>
      </c>
      <c r="AT14" s="106">
        <f t="shared" si="49"/>
        <v>-1</v>
      </c>
      <c r="AU14" s="106"/>
      <c r="AV14" s="158">
        <f t="shared" si="50"/>
        <v>36045</v>
      </c>
      <c r="AW14" s="106">
        <v>36054</v>
      </c>
      <c r="AX14" s="106">
        <f t="shared" si="9"/>
        <v>9</v>
      </c>
      <c r="AY14" s="106">
        <f t="shared" si="51"/>
        <v>-1</v>
      </c>
      <c r="AZ14" s="106"/>
      <c r="BA14" s="158">
        <f t="shared" si="52"/>
        <v>9685</v>
      </c>
      <c r="BB14" s="106">
        <v>9692</v>
      </c>
      <c r="BC14" s="106">
        <f t="shared" si="10"/>
        <v>7</v>
      </c>
      <c r="BD14" s="106">
        <f t="shared" si="53"/>
        <v>0</v>
      </c>
      <c r="BE14" s="106"/>
      <c r="BF14" s="158">
        <f t="shared" si="54"/>
        <v>26537</v>
      </c>
      <c r="BG14" s="106">
        <v>26546</v>
      </c>
      <c r="BH14" s="106">
        <f t="shared" si="11"/>
        <v>9</v>
      </c>
      <c r="BI14" s="106">
        <f t="shared" si="55"/>
        <v>0</v>
      </c>
      <c r="BJ14" s="106"/>
      <c r="BK14" s="158">
        <f t="shared" si="56"/>
        <v>10564</v>
      </c>
      <c r="BL14" s="106">
        <v>10571</v>
      </c>
      <c r="BM14" s="106">
        <f t="shared" si="12"/>
        <v>7</v>
      </c>
      <c r="BN14" s="106">
        <f t="shared" si="57"/>
        <v>-2</v>
      </c>
      <c r="BO14" s="106"/>
      <c r="BP14" s="158">
        <f t="shared" si="58"/>
        <v>4279</v>
      </c>
      <c r="BQ14" s="106">
        <v>4281</v>
      </c>
      <c r="BR14" s="253">
        <f t="shared" si="13"/>
        <v>2</v>
      </c>
      <c r="BS14" s="106">
        <f t="shared" si="59"/>
        <v>0</v>
      </c>
      <c r="BT14" s="106"/>
      <c r="BU14" s="158">
        <f t="shared" si="60"/>
        <v>1883</v>
      </c>
      <c r="BV14" s="106">
        <v>1884</v>
      </c>
      <c r="BW14" s="106">
        <f t="shared" si="14"/>
        <v>1</v>
      </c>
      <c r="BX14" s="106">
        <f t="shared" si="61"/>
        <v>1</v>
      </c>
      <c r="BY14" s="106"/>
      <c r="BZ14" s="162">
        <f t="shared" si="62"/>
        <v>29398</v>
      </c>
      <c r="CA14" s="106">
        <v>29403</v>
      </c>
      <c r="CB14" s="253">
        <f t="shared" si="15"/>
        <v>5</v>
      </c>
      <c r="CC14" s="106">
        <f t="shared" si="63"/>
        <v>2</v>
      </c>
      <c r="CD14" s="156"/>
      <c r="CE14" s="162">
        <f t="shared" si="64"/>
        <v>3614</v>
      </c>
      <c r="CF14" s="106">
        <v>3618</v>
      </c>
      <c r="CG14" s="106">
        <f t="shared" si="16"/>
        <v>4</v>
      </c>
      <c r="CH14" s="106">
        <f t="shared" si="65"/>
        <v>3</v>
      </c>
      <c r="CI14" s="156"/>
      <c r="CJ14" s="162">
        <f t="shared" si="66"/>
        <v>86955</v>
      </c>
      <c r="CK14" s="106">
        <v>86979</v>
      </c>
      <c r="CL14" s="106">
        <f t="shared" si="17"/>
        <v>24</v>
      </c>
      <c r="CM14" s="106">
        <f t="shared" si="67"/>
        <v>1</v>
      </c>
      <c r="CN14" s="156"/>
      <c r="CO14" s="162">
        <f t="shared" si="68"/>
        <v>26657</v>
      </c>
      <c r="CP14" s="106">
        <v>26665</v>
      </c>
      <c r="CQ14" s="106">
        <f t="shared" si="18"/>
        <v>8</v>
      </c>
      <c r="CR14" s="106">
        <f t="shared" si="69"/>
        <v>-9</v>
      </c>
      <c r="CS14" s="156"/>
      <c r="CT14" s="162">
        <f t="shared" si="70"/>
        <v>12878</v>
      </c>
      <c r="CU14" s="106">
        <v>12879</v>
      </c>
      <c r="CV14" s="106">
        <f t="shared" si="19"/>
        <v>1</v>
      </c>
      <c r="CW14" s="106">
        <f t="shared" si="71"/>
        <v>0</v>
      </c>
      <c r="CX14" s="156"/>
      <c r="CY14" s="162">
        <f t="shared" si="72"/>
        <v>19929</v>
      </c>
      <c r="CZ14" s="106">
        <v>19930</v>
      </c>
      <c r="DA14" s="106">
        <f t="shared" si="20"/>
        <v>1</v>
      </c>
      <c r="DB14" s="106">
        <f t="shared" si="73"/>
        <v>0</v>
      </c>
      <c r="DC14" s="156"/>
      <c r="DD14" s="162">
        <f t="shared" si="74"/>
        <v>21194</v>
      </c>
      <c r="DE14" s="106">
        <v>21197</v>
      </c>
      <c r="DF14" s="106">
        <f t="shared" si="21"/>
        <v>3</v>
      </c>
      <c r="DG14" s="106">
        <f t="shared" si="75"/>
        <v>0</v>
      </c>
      <c r="DH14" s="156"/>
      <c r="DI14" s="162">
        <f t="shared" si="76"/>
        <v>10171</v>
      </c>
      <c r="DJ14" s="106">
        <v>10173</v>
      </c>
      <c r="DK14" s="106">
        <f t="shared" si="22"/>
        <v>2</v>
      </c>
      <c r="DL14" s="106">
        <f t="shared" si="77"/>
        <v>-2</v>
      </c>
      <c r="DM14" s="156"/>
      <c r="DN14" s="162">
        <f t="shared" si="78"/>
        <v>27363</v>
      </c>
      <c r="DO14" s="106">
        <v>27373</v>
      </c>
      <c r="DP14" s="106">
        <f t="shared" si="23"/>
        <v>10</v>
      </c>
      <c r="DQ14" s="106">
        <f t="shared" si="79"/>
        <v>-10</v>
      </c>
      <c r="DR14" s="156"/>
      <c r="DS14" s="162">
        <f t="shared" si="80"/>
        <v>2912</v>
      </c>
      <c r="DT14" s="106">
        <v>2918</v>
      </c>
      <c r="DU14" s="106">
        <f t="shared" si="24"/>
        <v>6</v>
      </c>
      <c r="DV14" s="106">
        <f t="shared" si="81"/>
        <v>2</v>
      </c>
      <c r="DW14" s="156"/>
      <c r="DX14" s="162">
        <f t="shared" si="82"/>
        <v>228</v>
      </c>
      <c r="DY14" s="106">
        <v>231</v>
      </c>
      <c r="DZ14" s="106">
        <f t="shared" si="25"/>
        <v>3</v>
      </c>
      <c r="EA14" s="106">
        <f t="shared" si="83"/>
        <v>1</v>
      </c>
      <c r="EB14" s="156"/>
      <c r="EC14" s="162">
        <f t="shared" si="84"/>
        <v>0</v>
      </c>
      <c r="ED14" s="106"/>
      <c r="EE14" s="156">
        <f t="shared" si="26"/>
        <v>0</v>
      </c>
      <c r="EF14" s="162">
        <f t="shared" si="85"/>
        <v>0</v>
      </c>
      <c r="EG14" s="106"/>
      <c r="EH14" s="156">
        <f t="shared" si="27"/>
        <v>0</v>
      </c>
      <c r="EI14" s="162">
        <f t="shared" si="86"/>
        <v>0</v>
      </c>
      <c r="EJ14" s="106"/>
      <c r="EK14" s="156">
        <f t="shared" si="28"/>
        <v>0</v>
      </c>
      <c r="EL14" s="162">
        <f t="shared" si="87"/>
        <v>0</v>
      </c>
      <c r="EM14" s="106"/>
      <c r="EN14" s="156">
        <f t="shared" si="29"/>
        <v>0</v>
      </c>
      <c r="EO14" s="162">
        <f t="shared" si="88"/>
        <v>0</v>
      </c>
      <c r="EP14" s="106"/>
      <c r="EQ14" s="156">
        <f t="shared" si="30"/>
        <v>0</v>
      </c>
      <c r="ER14" s="162">
        <f t="shared" si="89"/>
        <v>0</v>
      </c>
      <c r="ES14" s="106"/>
      <c r="ET14" s="156">
        <f t="shared" si="31"/>
        <v>0</v>
      </c>
      <c r="EU14" s="162">
        <f t="shared" si="90"/>
        <v>0</v>
      </c>
      <c r="EV14" s="106"/>
      <c r="EW14" s="156">
        <f t="shared" si="91"/>
        <v>0</v>
      </c>
      <c r="EX14" s="162">
        <f t="shared" si="92"/>
        <v>0</v>
      </c>
      <c r="EY14" s="106"/>
      <c r="EZ14" s="156">
        <f t="shared" si="32"/>
        <v>0</v>
      </c>
      <c r="FA14" s="162">
        <f t="shared" si="93"/>
        <v>0</v>
      </c>
      <c r="FB14" s="106"/>
      <c r="FC14" s="156">
        <f t="shared" si="33"/>
        <v>0</v>
      </c>
      <c r="FD14" s="162">
        <f t="shared" si="94"/>
        <v>0</v>
      </c>
      <c r="FE14" s="106"/>
      <c r="FF14" s="156">
        <f t="shared" si="34"/>
        <v>0</v>
      </c>
      <c r="FG14" s="162">
        <f t="shared" si="95"/>
        <v>0</v>
      </c>
      <c r="FH14" s="106"/>
      <c r="FI14" s="156">
        <f t="shared" si="35"/>
        <v>0</v>
      </c>
      <c r="FJ14" s="162">
        <f t="shared" si="96"/>
        <v>0</v>
      </c>
      <c r="FK14" s="106"/>
      <c r="FL14" s="156">
        <f t="shared" si="36"/>
        <v>0</v>
      </c>
      <c r="FM14" s="162">
        <f t="shared" si="97"/>
        <v>0</v>
      </c>
      <c r="FN14" s="106"/>
      <c r="FO14" s="156">
        <f t="shared" si="37"/>
        <v>0</v>
      </c>
      <c r="FP14" s="162">
        <f t="shared" si="98"/>
        <v>0</v>
      </c>
      <c r="FQ14" s="106"/>
      <c r="FR14" s="156">
        <f t="shared" si="38"/>
        <v>0</v>
      </c>
    </row>
    <row r="15" spans="1:174" ht="15" customHeight="1">
      <c r="A15" s="104">
        <v>10</v>
      </c>
      <c r="B15" s="104">
        <f t="shared" si="39"/>
        <v>15220</v>
      </c>
      <c r="C15" s="98">
        <v>15401</v>
      </c>
      <c r="D15" s="99">
        <f t="shared" si="0"/>
        <v>181</v>
      </c>
      <c r="E15" s="149"/>
      <c r="F15" s="104">
        <v>10</v>
      </c>
      <c r="G15" s="104">
        <f t="shared" si="40"/>
        <v>42593</v>
      </c>
      <c r="H15" s="98">
        <v>42593</v>
      </c>
      <c r="I15" s="99">
        <f t="shared" si="1"/>
        <v>0</v>
      </c>
      <c r="J15" s="149"/>
      <c r="K15" s="104">
        <v>10</v>
      </c>
      <c r="L15" s="104">
        <f t="shared" si="41"/>
        <v>849790</v>
      </c>
      <c r="M15" s="105">
        <v>849915</v>
      </c>
      <c r="N15" s="99">
        <f t="shared" si="2"/>
        <v>125</v>
      </c>
      <c r="O15" s="101"/>
      <c r="P15" s="104">
        <v>10</v>
      </c>
      <c r="Q15" s="104">
        <f t="shared" si="42"/>
        <v>249968</v>
      </c>
      <c r="R15" s="105">
        <v>249968</v>
      </c>
      <c r="S15" s="99">
        <f t="shared" si="3"/>
        <v>0</v>
      </c>
      <c r="T15" s="100"/>
      <c r="U15" s="102">
        <v>10</v>
      </c>
      <c r="V15" s="373">
        <f t="shared" si="4"/>
        <v>306</v>
      </c>
      <c r="W15" s="103">
        <f>'Maldives at LG Daily'!I14</f>
        <v>15</v>
      </c>
      <c r="X15" s="106">
        <v>37</v>
      </c>
      <c r="Y15" s="249">
        <f t="shared" si="5"/>
        <v>8.2702702702702702</v>
      </c>
      <c r="AA15" s="158">
        <v>10</v>
      </c>
      <c r="AB15" s="106">
        <f t="shared" si="43"/>
        <v>48879</v>
      </c>
      <c r="AC15" s="106">
        <v>48905</v>
      </c>
      <c r="AD15" s="106">
        <f t="shared" si="6"/>
        <v>26</v>
      </c>
      <c r="AE15" s="106">
        <f t="shared" si="99"/>
        <v>-5</v>
      </c>
      <c r="AF15" s="234"/>
      <c r="AG15" s="158">
        <f t="shared" si="44"/>
        <v>10960</v>
      </c>
      <c r="AH15" s="106">
        <v>10967</v>
      </c>
      <c r="AI15" s="106">
        <f t="shared" si="45"/>
        <v>7</v>
      </c>
      <c r="AJ15" s="106">
        <f t="shared" si="100"/>
        <v>1</v>
      </c>
      <c r="AK15" s="106"/>
      <c r="AL15" s="158">
        <f t="shared" si="46"/>
        <v>10462</v>
      </c>
      <c r="AM15" s="106">
        <v>10472</v>
      </c>
      <c r="AN15" s="106">
        <f t="shared" si="7"/>
        <v>10</v>
      </c>
      <c r="AO15" s="106">
        <f t="shared" si="47"/>
        <v>0</v>
      </c>
      <c r="AP15" s="106"/>
      <c r="AQ15" s="158">
        <f t="shared" si="48"/>
        <v>20043</v>
      </c>
      <c r="AR15" s="106">
        <v>20056</v>
      </c>
      <c r="AS15" s="106">
        <f t="shared" si="8"/>
        <v>13</v>
      </c>
      <c r="AT15" s="106">
        <f t="shared" si="49"/>
        <v>2</v>
      </c>
      <c r="AU15" s="106"/>
      <c r="AV15" s="158">
        <f t="shared" si="50"/>
        <v>36054</v>
      </c>
      <c r="AW15" s="106">
        <v>36061</v>
      </c>
      <c r="AX15" s="106">
        <f t="shared" si="9"/>
        <v>7</v>
      </c>
      <c r="AY15" s="106">
        <f t="shared" si="51"/>
        <v>-2</v>
      </c>
      <c r="AZ15" s="106"/>
      <c r="BA15" s="158">
        <f t="shared" si="52"/>
        <v>9692</v>
      </c>
      <c r="BB15" s="106">
        <v>9698</v>
      </c>
      <c r="BC15" s="106">
        <f t="shared" si="10"/>
        <v>6</v>
      </c>
      <c r="BD15" s="106">
        <f t="shared" si="53"/>
        <v>-1</v>
      </c>
      <c r="BE15" s="106"/>
      <c r="BF15" s="158">
        <f t="shared" si="54"/>
        <v>26546</v>
      </c>
      <c r="BG15" s="106">
        <v>26554</v>
      </c>
      <c r="BH15" s="106">
        <f t="shared" si="11"/>
        <v>8</v>
      </c>
      <c r="BI15" s="106">
        <f t="shared" si="55"/>
        <v>-1</v>
      </c>
      <c r="BJ15" s="106"/>
      <c r="BK15" s="158">
        <f t="shared" si="56"/>
        <v>10571</v>
      </c>
      <c r="BL15" s="106">
        <v>10578</v>
      </c>
      <c r="BM15" s="106">
        <f t="shared" si="12"/>
        <v>7</v>
      </c>
      <c r="BN15" s="106">
        <f t="shared" si="57"/>
        <v>0</v>
      </c>
      <c r="BO15" s="106"/>
      <c r="BP15" s="158">
        <f t="shared" si="58"/>
        <v>4281</v>
      </c>
      <c r="BQ15" s="106">
        <v>4283</v>
      </c>
      <c r="BR15" s="253">
        <f t="shared" si="13"/>
        <v>2</v>
      </c>
      <c r="BS15" s="106">
        <f t="shared" si="59"/>
        <v>0</v>
      </c>
      <c r="BT15" s="106"/>
      <c r="BU15" s="158">
        <f t="shared" si="60"/>
        <v>1884</v>
      </c>
      <c r="BV15" s="106">
        <v>1885</v>
      </c>
      <c r="BW15" s="106">
        <f t="shared" si="14"/>
        <v>1</v>
      </c>
      <c r="BX15" s="106">
        <f t="shared" si="61"/>
        <v>0</v>
      </c>
      <c r="BY15" s="106"/>
      <c r="BZ15" s="162">
        <f t="shared" si="62"/>
        <v>29403</v>
      </c>
      <c r="CA15" s="106">
        <v>29407</v>
      </c>
      <c r="CB15" s="253">
        <f t="shared" si="15"/>
        <v>4</v>
      </c>
      <c r="CC15" s="106">
        <f t="shared" si="63"/>
        <v>-1</v>
      </c>
      <c r="CD15" s="156"/>
      <c r="CE15" s="162">
        <f t="shared" si="64"/>
        <v>3618</v>
      </c>
      <c r="CF15" s="106">
        <v>3619</v>
      </c>
      <c r="CG15" s="106">
        <f t="shared" si="16"/>
        <v>1</v>
      </c>
      <c r="CH15" s="106">
        <f t="shared" si="65"/>
        <v>-3</v>
      </c>
      <c r="CI15" s="156"/>
      <c r="CJ15" s="162">
        <f t="shared" si="66"/>
        <v>86979</v>
      </c>
      <c r="CK15" s="106">
        <v>87002</v>
      </c>
      <c r="CL15" s="106">
        <f t="shared" si="17"/>
        <v>23</v>
      </c>
      <c r="CM15" s="106">
        <f t="shared" si="67"/>
        <v>-1</v>
      </c>
      <c r="CN15" s="156"/>
      <c r="CO15" s="162">
        <f t="shared" si="68"/>
        <v>26665</v>
      </c>
      <c r="CP15" s="106">
        <v>26673</v>
      </c>
      <c r="CQ15" s="106">
        <f t="shared" si="18"/>
        <v>8</v>
      </c>
      <c r="CR15" s="106">
        <f t="shared" si="69"/>
        <v>0</v>
      </c>
      <c r="CS15" s="156"/>
      <c r="CT15" s="162">
        <f t="shared" si="70"/>
        <v>12879</v>
      </c>
      <c r="CU15" s="106">
        <v>12880</v>
      </c>
      <c r="CV15" s="106">
        <f t="shared" si="19"/>
        <v>1</v>
      </c>
      <c r="CW15" s="106">
        <f t="shared" si="71"/>
        <v>0</v>
      </c>
      <c r="CX15" s="156"/>
      <c r="CY15" s="162">
        <f t="shared" si="72"/>
        <v>19930</v>
      </c>
      <c r="CZ15" s="106">
        <v>19930</v>
      </c>
      <c r="DA15" s="106">
        <f t="shared" si="20"/>
        <v>0</v>
      </c>
      <c r="DB15" s="106">
        <f t="shared" si="73"/>
        <v>-1</v>
      </c>
      <c r="DC15" s="156"/>
      <c r="DD15" s="162">
        <f t="shared" si="74"/>
        <v>21197</v>
      </c>
      <c r="DE15" s="106">
        <v>21199</v>
      </c>
      <c r="DF15" s="106">
        <f t="shared" si="21"/>
        <v>2</v>
      </c>
      <c r="DG15" s="106">
        <f t="shared" si="75"/>
        <v>-1</v>
      </c>
      <c r="DH15" s="156"/>
      <c r="DI15" s="162">
        <f t="shared" si="76"/>
        <v>10173</v>
      </c>
      <c r="DJ15" s="106">
        <v>10175</v>
      </c>
      <c r="DK15" s="106">
        <f t="shared" si="22"/>
        <v>2</v>
      </c>
      <c r="DL15" s="106">
        <f t="shared" si="77"/>
        <v>0</v>
      </c>
      <c r="DM15" s="156"/>
      <c r="DN15" s="162">
        <f t="shared" si="78"/>
        <v>27373</v>
      </c>
      <c r="DO15" s="106">
        <v>27393</v>
      </c>
      <c r="DP15" s="106">
        <f t="shared" si="23"/>
        <v>20</v>
      </c>
      <c r="DQ15" s="106">
        <f t="shared" si="79"/>
        <v>10</v>
      </c>
      <c r="DR15" s="156"/>
      <c r="DS15" s="162">
        <f t="shared" si="80"/>
        <v>2918</v>
      </c>
      <c r="DT15" s="106">
        <v>2920</v>
      </c>
      <c r="DU15" s="106">
        <f t="shared" si="24"/>
        <v>2</v>
      </c>
      <c r="DV15" s="106">
        <f t="shared" si="81"/>
        <v>-4</v>
      </c>
      <c r="DW15" s="156"/>
      <c r="DX15" s="162">
        <f t="shared" si="82"/>
        <v>231</v>
      </c>
      <c r="DY15" s="106">
        <v>232</v>
      </c>
      <c r="DZ15" s="106">
        <f t="shared" si="25"/>
        <v>1</v>
      </c>
      <c r="EA15" s="106">
        <f t="shared" si="83"/>
        <v>-2</v>
      </c>
      <c r="EB15" s="156"/>
      <c r="EC15" s="162">
        <f t="shared" si="84"/>
        <v>0</v>
      </c>
      <c r="ED15" s="106"/>
      <c r="EE15" s="156">
        <f t="shared" si="26"/>
        <v>0</v>
      </c>
      <c r="EF15" s="162">
        <f t="shared" ref="EF15:EF36" si="101">EG14</f>
        <v>0</v>
      </c>
      <c r="EG15" s="106"/>
      <c r="EH15" s="156">
        <f t="shared" si="27"/>
        <v>0</v>
      </c>
      <c r="EI15" s="162">
        <f t="shared" ref="EI15:EI36" si="102">EJ14</f>
        <v>0</v>
      </c>
      <c r="EJ15" s="106"/>
      <c r="EK15" s="156">
        <f t="shared" si="28"/>
        <v>0</v>
      </c>
      <c r="EL15" s="162">
        <f t="shared" si="87"/>
        <v>0</v>
      </c>
      <c r="EM15" s="106"/>
      <c r="EN15" s="156">
        <f t="shared" si="29"/>
        <v>0</v>
      </c>
      <c r="EO15" s="162">
        <f t="shared" si="88"/>
        <v>0</v>
      </c>
      <c r="EP15" s="106"/>
      <c r="EQ15" s="156">
        <f t="shared" si="30"/>
        <v>0</v>
      </c>
      <c r="ER15" s="162">
        <f t="shared" si="89"/>
        <v>0</v>
      </c>
      <c r="ES15" s="106"/>
      <c r="ET15" s="156">
        <f t="shared" si="31"/>
        <v>0</v>
      </c>
      <c r="EU15" s="162">
        <f t="shared" si="90"/>
        <v>0</v>
      </c>
      <c r="EV15" s="106"/>
      <c r="EW15" s="156">
        <f t="shared" si="91"/>
        <v>0</v>
      </c>
      <c r="EX15" s="162">
        <f t="shared" si="92"/>
        <v>0</v>
      </c>
      <c r="EY15" s="106"/>
      <c r="EZ15" s="156">
        <f t="shared" si="32"/>
        <v>0</v>
      </c>
      <c r="FA15" s="162">
        <f t="shared" si="93"/>
        <v>0</v>
      </c>
      <c r="FB15" s="106"/>
      <c r="FC15" s="156">
        <f t="shared" si="33"/>
        <v>0</v>
      </c>
      <c r="FD15" s="162">
        <f t="shared" si="94"/>
        <v>0</v>
      </c>
      <c r="FE15" s="106"/>
      <c r="FF15" s="156">
        <f t="shared" si="34"/>
        <v>0</v>
      </c>
      <c r="FG15" s="162">
        <f t="shared" si="95"/>
        <v>0</v>
      </c>
      <c r="FH15" s="106"/>
      <c r="FI15" s="156">
        <f t="shared" si="35"/>
        <v>0</v>
      </c>
      <c r="FJ15" s="162">
        <f t="shared" si="96"/>
        <v>0</v>
      </c>
      <c r="FK15" s="106"/>
      <c r="FL15" s="156">
        <f t="shared" si="36"/>
        <v>0</v>
      </c>
      <c r="FM15" s="162">
        <f t="shared" si="97"/>
        <v>0</v>
      </c>
      <c r="FN15" s="106"/>
      <c r="FO15" s="156">
        <f t="shared" si="37"/>
        <v>0</v>
      </c>
      <c r="FP15" s="162">
        <f t="shared" si="98"/>
        <v>0</v>
      </c>
      <c r="FQ15" s="106"/>
      <c r="FR15" s="156">
        <f t="shared" si="38"/>
        <v>0</v>
      </c>
    </row>
    <row r="16" spans="1:174" ht="15" customHeight="1">
      <c r="A16" s="104">
        <v>11</v>
      </c>
      <c r="B16" s="104">
        <f t="shared" si="39"/>
        <v>15401</v>
      </c>
      <c r="C16" s="98">
        <v>15576</v>
      </c>
      <c r="D16" s="99">
        <f t="shared" si="0"/>
        <v>175</v>
      </c>
      <c r="E16" s="149"/>
      <c r="F16" s="104">
        <v>11</v>
      </c>
      <c r="G16" s="104">
        <f t="shared" si="40"/>
        <v>42593</v>
      </c>
      <c r="H16" s="98">
        <v>42624</v>
      </c>
      <c r="I16" s="99">
        <f t="shared" si="1"/>
        <v>31</v>
      </c>
      <c r="J16" s="149"/>
      <c r="K16" s="104">
        <v>11</v>
      </c>
      <c r="L16" s="104">
        <f t="shared" si="41"/>
        <v>849915</v>
      </c>
      <c r="M16" s="105">
        <v>850047</v>
      </c>
      <c r="N16" s="99">
        <f t="shared" si="2"/>
        <v>132</v>
      </c>
      <c r="O16" s="101"/>
      <c r="P16" s="104">
        <v>11</v>
      </c>
      <c r="Q16" s="104">
        <f t="shared" si="42"/>
        <v>249968</v>
      </c>
      <c r="R16" s="105">
        <v>249968</v>
      </c>
      <c r="S16" s="99">
        <f t="shared" si="3"/>
        <v>0</v>
      </c>
      <c r="T16" s="100"/>
      <c r="U16" s="104">
        <v>11</v>
      </c>
      <c r="V16" s="373">
        <f t="shared" si="4"/>
        <v>338</v>
      </c>
      <c r="W16" s="103">
        <f>'Maldives at LG Daily'!I15</f>
        <v>2625</v>
      </c>
      <c r="X16" s="106">
        <v>51</v>
      </c>
      <c r="Y16" s="249">
        <f t="shared" si="5"/>
        <v>6.6274509803921573</v>
      </c>
      <c r="AA16" s="158">
        <v>11</v>
      </c>
      <c r="AB16" s="106">
        <f t="shared" si="43"/>
        <v>48905</v>
      </c>
      <c r="AC16" s="106">
        <v>48929</v>
      </c>
      <c r="AD16" s="106">
        <f t="shared" si="6"/>
        <v>24</v>
      </c>
      <c r="AE16" s="106">
        <f t="shared" si="99"/>
        <v>-2</v>
      </c>
      <c r="AF16" s="234"/>
      <c r="AG16" s="158">
        <f t="shared" si="44"/>
        <v>10967</v>
      </c>
      <c r="AH16" s="106">
        <v>10973</v>
      </c>
      <c r="AI16" s="106">
        <f t="shared" si="45"/>
        <v>6</v>
      </c>
      <c r="AJ16" s="106">
        <f t="shared" si="100"/>
        <v>-1</v>
      </c>
      <c r="AK16" s="106"/>
      <c r="AL16" s="158">
        <f t="shared" si="46"/>
        <v>10472</v>
      </c>
      <c r="AM16" s="106">
        <v>10482</v>
      </c>
      <c r="AN16" s="106">
        <f t="shared" si="7"/>
        <v>10</v>
      </c>
      <c r="AO16" s="106">
        <f t="shared" si="47"/>
        <v>0</v>
      </c>
      <c r="AP16" s="106"/>
      <c r="AQ16" s="158">
        <f t="shared" si="48"/>
        <v>20056</v>
      </c>
      <c r="AR16" s="106">
        <v>20066</v>
      </c>
      <c r="AS16" s="106">
        <f t="shared" si="8"/>
        <v>10</v>
      </c>
      <c r="AT16" s="106">
        <f t="shared" si="49"/>
        <v>-3</v>
      </c>
      <c r="AU16" s="106"/>
      <c r="AV16" s="158">
        <f t="shared" si="50"/>
        <v>36061</v>
      </c>
      <c r="AW16" s="106">
        <v>36070</v>
      </c>
      <c r="AX16" s="106">
        <f t="shared" si="9"/>
        <v>9</v>
      </c>
      <c r="AY16" s="106">
        <f t="shared" si="51"/>
        <v>2</v>
      </c>
      <c r="AZ16" s="106"/>
      <c r="BA16" s="158">
        <f t="shared" si="52"/>
        <v>9698</v>
      </c>
      <c r="BB16" s="106">
        <v>9705</v>
      </c>
      <c r="BC16" s="106">
        <f t="shared" si="10"/>
        <v>7</v>
      </c>
      <c r="BD16" s="106">
        <f t="shared" si="53"/>
        <v>1</v>
      </c>
      <c r="BE16" s="106"/>
      <c r="BF16" s="158">
        <f t="shared" si="54"/>
        <v>26554</v>
      </c>
      <c r="BG16" s="106">
        <v>26562</v>
      </c>
      <c r="BH16" s="106">
        <f t="shared" si="11"/>
        <v>8</v>
      </c>
      <c r="BI16" s="106">
        <f t="shared" si="55"/>
        <v>0</v>
      </c>
      <c r="BJ16" s="106"/>
      <c r="BK16" s="158">
        <f t="shared" si="56"/>
        <v>10578</v>
      </c>
      <c r="BL16" s="106">
        <v>10587</v>
      </c>
      <c r="BM16" s="106">
        <f t="shared" si="12"/>
        <v>9</v>
      </c>
      <c r="BN16" s="106">
        <f t="shared" si="57"/>
        <v>2</v>
      </c>
      <c r="BO16" s="106"/>
      <c r="BP16" s="158">
        <f t="shared" si="58"/>
        <v>4283</v>
      </c>
      <c r="BQ16" s="106">
        <v>4285</v>
      </c>
      <c r="BR16" s="253">
        <f t="shared" si="13"/>
        <v>2</v>
      </c>
      <c r="BS16" s="106">
        <f t="shared" si="59"/>
        <v>0</v>
      </c>
      <c r="BT16" s="106"/>
      <c r="BU16" s="158">
        <f t="shared" si="60"/>
        <v>1885</v>
      </c>
      <c r="BV16" s="106">
        <v>1886</v>
      </c>
      <c r="BW16" s="106">
        <f t="shared" si="14"/>
        <v>1</v>
      </c>
      <c r="BX16" s="106">
        <f t="shared" si="61"/>
        <v>0</v>
      </c>
      <c r="BY16" s="106"/>
      <c r="BZ16" s="162">
        <f t="shared" si="62"/>
        <v>29407</v>
      </c>
      <c r="CA16" s="106">
        <v>29408</v>
      </c>
      <c r="CB16" s="253">
        <f t="shared" si="15"/>
        <v>1</v>
      </c>
      <c r="CC16" s="106">
        <f t="shared" si="63"/>
        <v>-3</v>
      </c>
      <c r="CD16" s="156"/>
      <c r="CE16" s="162">
        <f t="shared" si="64"/>
        <v>3619</v>
      </c>
      <c r="CF16" s="106">
        <v>3620</v>
      </c>
      <c r="CG16" s="106">
        <f t="shared" si="16"/>
        <v>1</v>
      </c>
      <c r="CH16" s="106">
        <f t="shared" si="65"/>
        <v>0</v>
      </c>
      <c r="CI16" s="156"/>
      <c r="CJ16" s="162">
        <f t="shared" si="66"/>
        <v>87002</v>
      </c>
      <c r="CK16" s="106">
        <v>87027</v>
      </c>
      <c r="CL16" s="106">
        <f t="shared" si="17"/>
        <v>25</v>
      </c>
      <c r="CM16" s="106">
        <f t="shared" si="67"/>
        <v>2</v>
      </c>
      <c r="CN16" s="156"/>
      <c r="CO16" s="162">
        <f t="shared" si="68"/>
        <v>26673</v>
      </c>
      <c r="CP16" s="106">
        <v>26684</v>
      </c>
      <c r="CQ16" s="106">
        <f t="shared" si="18"/>
        <v>11</v>
      </c>
      <c r="CR16" s="106">
        <f t="shared" si="69"/>
        <v>3</v>
      </c>
      <c r="CS16" s="156"/>
      <c r="CT16" s="162">
        <f t="shared" si="70"/>
        <v>12880</v>
      </c>
      <c r="CU16" s="106">
        <v>12881</v>
      </c>
      <c r="CV16" s="106">
        <f t="shared" si="19"/>
        <v>1</v>
      </c>
      <c r="CW16" s="106">
        <f t="shared" si="71"/>
        <v>0</v>
      </c>
      <c r="CX16" s="156"/>
      <c r="CY16" s="162">
        <f t="shared" si="72"/>
        <v>19930</v>
      </c>
      <c r="CZ16" s="106">
        <v>19931</v>
      </c>
      <c r="DA16" s="106">
        <f t="shared" si="20"/>
        <v>1</v>
      </c>
      <c r="DB16" s="106">
        <f t="shared" si="73"/>
        <v>1</v>
      </c>
      <c r="DC16" s="156"/>
      <c r="DD16" s="162">
        <f t="shared" si="74"/>
        <v>21199</v>
      </c>
      <c r="DE16" s="106">
        <v>21203</v>
      </c>
      <c r="DF16" s="106">
        <f t="shared" si="21"/>
        <v>4</v>
      </c>
      <c r="DG16" s="106">
        <f t="shared" si="75"/>
        <v>2</v>
      </c>
      <c r="DH16" s="156"/>
      <c r="DI16" s="162">
        <f t="shared" si="76"/>
        <v>10175</v>
      </c>
      <c r="DJ16" s="106">
        <v>10179</v>
      </c>
      <c r="DK16" s="106">
        <f t="shared" si="22"/>
        <v>4</v>
      </c>
      <c r="DL16" s="106">
        <f t="shared" si="77"/>
        <v>2</v>
      </c>
      <c r="DM16" s="156"/>
      <c r="DN16" s="162">
        <f t="shared" si="78"/>
        <v>27393</v>
      </c>
      <c r="DO16" s="106">
        <v>27405</v>
      </c>
      <c r="DP16" s="106">
        <f t="shared" si="23"/>
        <v>12</v>
      </c>
      <c r="DQ16" s="106">
        <f t="shared" si="79"/>
        <v>-8</v>
      </c>
      <c r="DR16" s="156"/>
      <c r="DS16" s="162">
        <f t="shared" si="80"/>
        <v>2920</v>
      </c>
      <c r="DT16" s="106">
        <v>2921</v>
      </c>
      <c r="DU16" s="106">
        <f t="shared" si="24"/>
        <v>1</v>
      </c>
      <c r="DV16" s="106">
        <f t="shared" si="81"/>
        <v>-1</v>
      </c>
      <c r="DW16" s="156"/>
      <c r="DX16" s="162">
        <f t="shared" si="82"/>
        <v>232</v>
      </c>
      <c r="DY16" s="106">
        <v>234</v>
      </c>
      <c r="DZ16" s="106">
        <f t="shared" si="25"/>
        <v>2</v>
      </c>
      <c r="EA16" s="106">
        <f t="shared" si="83"/>
        <v>1</v>
      </c>
      <c r="EB16" s="156"/>
      <c r="EC16" s="162">
        <f t="shared" si="84"/>
        <v>0</v>
      </c>
      <c r="ED16" s="106"/>
      <c r="EE16" s="156">
        <f t="shared" si="26"/>
        <v>0</v>
      </c>
      <c r="EF16" s="162">
        <f t="shared" si="101"/>
        <v>0</v>
      </c>
      <c r="EG16" s="106"/>
      <c r="EH16" s="156">
        <f t="shared" si="27"/>
        <v>0</v>
      </c>
      <c r="EI16" s="162">
        <f t="shared" si="102"/>
        <v>0</v>
      </c>
      <c r="EJ16" s="106"/>
      <c r="EK16" s="156">
        <f t="shared" si="28"/>
        <v>0</v>
      </c>
      <c r="EL16" s="162">
        <f t="shared" si="87"/>
        <v>0</v>
      </c>
      <c r="EM16" s="106"/>
      <c r="EN16" s="156">
        <f t="shared" si="29"/>
        <v>0</v>
      </c>
      <c r="EO16" s="162">
        <f t="shared" si="88"/>
        <v>0</v>
      </c>
      <c r="EP16" s="106"/>
      <c r="EQ16" s="156">
        <f t="shared" si="30"/>
        <v>0</v>
      </c>
      <c r="ER16" s="162">
        <f t="shared" si="89"/>
        <v>0</v>
      </c>
      <c r="ES16" s="106"/>
      <c r="ET16" s="156">
        <f t="shared" si="31"/>
        <v>0</v>
      </c>
      <c r="EU16" s="162">
        <f t="shared" si="90"/>
        <v>0</v>
      </c>
      <c r="EV16" s="106"/>
      <c r="EW16" s="156">
        <f t="shared" si="91"/>
        <v>0</v>
      </c>
      <c r="EX16" s="162">
        <f t="shared" si="92"/>
        <v>0</v>
      </c>
      <c r="EY16" s="106"/>
      <c r="EZ16" s="156">
        <f t="shared" si="32"/>
        <v>0</v>
      </c>
      <c r="FA16" s="162">
        <f t="shared" si="93"/>
        <v>0</v>
      </c>
      <c r="FB16" s="106"/>
      <c r="FC16" s="156">
        <f t="shared" si="33"/>
        <v>0</v>
      </c>
      <c r="FD16" s="162">
        <f t="shared" si="94"/>
        <v>0</v>
      </c>
      <c r="FE16" s="106"/>
      <c r="FF16" s="156">
        <f t="shared" si="34"/>
        <v>0</v>
      </c>
      <c r="FG16" s="162">
        <f t="shared" si="95"/>
        <v>0</v>
      </c>
      <c r="FH16" s="106"/>
      <c r="FI16" s="156">
        <f t="shared" si="35"/>
        <v>0</v>
      </c>
      <c r="FJ16" s="162">
        <f t="shared" si="96"/>
        <v>0</v>
      </c>
      <c r="FK16" s="106"/>
      <c r="FL16" s="156">
        <f t="shared" si="36"/>
        <v>0</v>
      </c>
      <c r="FM16" s="162">
        <f t="shared" si="97"/>
        <v>0</v>
      </c>
      <c r="FN16" s="106"/>
      <c r="FO16" s="156">
        <f t="shared" si="37"/>
        <v>0</v>
      </c>
      <c r="FP16" s="162">
        <f t="shared" si="98"/>
        <v>0</v>
      </c>
      <c r="FQ16" s="106"/>
      <c r="FR16" s="156">
        <f t="shared" si="38"/>
        <v>0</v>
      </c>
    </row>
    <row r="17" spans="1:174" ht="15" customHeight="1">
      <c r="A17" s="104">
        <v>12</v>
      </c>
      <c r="B17" s="104">
        <f t="shared" si="39"/>
        <v>15576</v>
      </c>
      <c r="C17" s="98">
        <v>15745</v>
      </c>
      <c r="D17" s="99">
        <f t="shared" si="0"/>
        <v>169</v>
      </c>
      <c r="E17" s="149"/>
      <c r="F17" s="104">
        <v>12</v>
      </c>
      <c r="G17" s="104">
        <f t="shared" si="40"/>
        <v>42624</v>
      </c>
      <c r="H17" s="105">
        <v>42645</v>
      </c>
      <c r="I17" s="99">
        <f t="shared" si="1"/>
        <v>21</v>
      </c>
      <c r="J17" s="149"/>
      <c r="K17" s="104">
        <v>12</v>
      </c>
      <c r="L17" s="104">
        <f t="shared" si="41"/>
        <v>850047</v>
      </c>
      <c r="M17" s="105">
        <v>850167</v>
      </c>
      <c r="N17" s="99">
        <f t="shared" si="2"/>
        <v>120</v>
      </c>
      <c r="O17" s="101"/>
      <c r="P17" s="104">
        <v>12</v>
      </c>
      <c r="Q17" s="104">
        <f t="shared" si="42"/>
        <v>249968</v>
      </c>
      <c r="R17" s="105">
        <v>249968</v>
      </c>
      <c r="S17" s="99">
        <f t="shared" si="3"/>
        <v>0</v>
      </c>
      <c r="T17" s="100"/>
      <c r="U17" s="102">
        <v>12</v>
      </c>
      <c r="V17" s="373">
        <f t="shared" si="4"/>
        <v>310</v>
      </c>
      <c r="W17" s="103">
        <f>'Maldives at LG Daily'!I16</f>
        <v>3473</v>
      </c>
      <c r="X17" s="106">
        <v>54</v>
      </c>
      <c r="Y17" s="249">
        <f t="shared" si="5"/>
        <v>5.7407407407407405</v>
      </c>
      <c r="AA17" s="158">
        <v>12</v>
      </c>
      <c r="AB17" s="106">
        <f t="shared" si="43"/>
        <v>48929</v>
      </c>
      <c r="AC17" s="106">
        <v>48957</v>
      </c>
      <c r="AD17" s="106">
        <f t="shared" si="6"/>
        <v>28</v>
      </c>
      <c r="AE17" s="106">
        <f t="shared" si="99"/>
        <v>4</v>
      </c>
      <c r="AF17" s="234"/>
      <c r="AG17" s="158">
        <f t="shared" si="44"/>
        <v>10973</v>
      </c>
      <c r="AH17" s="106">
        <v>10978</v>
      </c>
      <c r="AI17" s="106">
        <f t="shared" si="45"/>
        <v>5</v>
      </c>
      <c r="AJ17" s="106">
        <f t="shared" si="100"/>
        <v>-1</v>
      </c>
      <c r="AK17" s="106"/>
      <c r="AL17" s="158">
        <f t="shared" si="46"/>
        <v>10482</v>
      </c>
      <c r="AM17" s="106">
        <v>10492</v>
      </c>
      <c r="AN17" s="106">
        <f t="shared" si="7"/>
        <v>10</v>
      </c>
      <c r="AO17" s="106">
        <f t="shared" si="47"/>
        <v>0</v>
      </c>
      <c r="AP17" s="106"/>
      <c r="AQ17" s="158">
        <f t="shared" si="48"/>
        <v>20066</v>
      </c>
      <c r="AR17" s="106">
        <v>20077</v>
      </c>
      <c r="AS17" s="106">
        <f t="shared" si="8"/>
        <v>11</v>
      </c>
      <c r="AT17" s="106">
        <f t="shared" si="49"/>
        <v>1</v>
      </c>
      <c r="AU17" s="106"/>
      <c r="AV17" s="158">
        <f t="shared" si="50"/>
        <v>36070</v>
      </c>
      <c r="AW17" s="106">
        <v>36078</v>
      </c>
      <c r="AX17" s="106">
        <f t="shared" si="9"/>
        <v>8</v>
      </c>
      <c r="AY17" s="106">
        <f t="shared" si="51"/>
        <v>-1</v>
      </c>
      <c r="AZ17" s="106"/>
      <c r="BA17" s="158">
        <f t="shared" si="52"/>
        <v>9705</v>
      </c>
      <c r="BB17" s="106">
        <v>9712</v>
      </c>
      <c r="BC17" s="106">
        <f t="shared" si="10"/>
        <v>7</v>
      </c>
      <c r="BD17" s="106">
        <f t="shared" si="53"/>
        <v>0</v>
      </c>
      <c r="BE17" s="106"/>
      <c r="BF17" s="158">
        <f t="shared" si="54"/>
        <v>26562</v>
      </c>
      <c r="BG17" s="106">
        <v>26570</v>
      </c>
      <c r="BH17" s="106">
        <f t="shared" si="11"/>
        <v>8</v>
      </c>
      <c r="BI17" s="106">
        <f t="shared" si="55"/>
        <v>0</v>
      </c>
      <c r="BJ17" s="106"/>
      <c r="BK17" s="158">
        <f t="shared" si="56"/>
        <v>10587</v>
      </c>
      <c r="BL17" s="106">
        <v>10594</v>
      </c>
      <c r="BM17" s="106">
        <f t="shared" si="12"/>
        <v>7</v>
      </c>
      <c r="BN17" s="106">
        <f t="shared" si="57"/>
        <v>-2</v>
      </c>
      <c r="BO17" s="106"/>
      <c r="BP17" s="158">
        <f t="shared" si="58"/>
        <v>4285</v>
      </c>
      <c r="BQ17" s="106">
        <v>4287</v>
      </c>
      <c r="BR17" s="253">
        <f t="shared" si="13"/>
        <v>2</v>
      </c>
      <c r="BS17" s="106">
        <f t="shared" si="59"/>
        <v>0</v>
      </c>
      <c r="BT17" s="106"/>
      <c r="BU17" s="158">
        <f t="shared" si="60"/>
        <v>1886</v>
      </c>
      <c r="BV17" s="106">
        <v>1887</v>
      </c>
      <c r="BW17" s="106">
        <f t="shared" si="14"/>
        <v>1</v>
      </c>
      <c r="BX17" s="106">
        <f t="shared" si="61"/>
        <v>0</v>
      </c>
      <c r="BY17" s="106"/>
      <c r="BZ17" s="162">
        <f t="shared" si="62"/>
        <v>29408</v>
      </c>
      <c r="CA17" s="106">
        <v>29413</v>
      </c>
      <c r="CB17" s="253">
        <f t="shared" si="15"/>
        <v>5</v>
      </c>
      <c r="CC17" s="106">
        <f t="shared" si="63"/>
        <v>4</v>
      </c>
      <c r="CD17" s="156"/>
      <c r="CE17" s="162">
        <f t="shared" si="64"/>
        <v>3620</v>
      </c>
      <c r="CF17" s="106">
        <v>3623</v>
      </c>
      <c r="CG17" s="106">
        <f t="shared" si="16"/>
        <v>3</v>
      </c>
      <c r="CH17" s="106">
        <f t="shared" si="65"/>
        <v>2</v>
      </c>
      <c r="CI17" s="156"/>
      <c r="CJ17" s="162">
        <f t="shared" si="66"/>
        <v>87027</v>
      </c>
      <c r="CK17" s="106">
        <v>87057</v>
      </c>
      <c r="CL17" s="106">
        <f t="shared" si="17"/>
        <v>30</v>
      </c>
      <c r="CM17" s="106">
        <f t="shared" si="67"/>
        <v>5</v>
      </c>
      <c r="CN17" s="156"/>
      <c r="CO17" s="162">
        <f t="shared" si="68"/>
        <v>26684</v>
      </c>
      <c r="CP17" s="106">
        <v>26694</v>
      </c>
      <c r="CQ17" s="106">
        <f t="shared" si="18"/>
        <v>10</v>
      </c>
      <c r="CR17" s="106">
        <f t="shared" si="69"/>
        <v>-1</v>
      </c>
      <c r="CS17" s="156"/>
      <c r="CT17" s="162">
        <f t="shared" si="70"/>
        <v>12881</v>
      </c>
      <c r="CU17" s="106">
        <v>12885</v>
      </c>
      <c r="CV17" s="106">
        <f t="shared" si="19"/>
        <v>4</v>
      </c>
      <c r="CW17" s="106">
        <f t="shared" si="71"/>
        <v>3</v>
      </c>
      <c r="CX17" s="156"/>
      <c r="CY17" s="162">
        <f t="shared" si="72"/>
        <v>19931</v>
      </c>
      <c r="CZ17" s="106">
        <v>19931</v>
      </c>
      <c r="DA17" s="106">
        <f t="shared" si="20"/>
        <v>0</v>
      </c>
      <c r="DB17" s="106">
        <f t="shared" si="73"/>
        <v>-1</v>
      </c>
      <c r="DC17" s="156"/>
      <c r="DD17" s="162">
        <f t="shared" si="74"/>
        <v>21203</v>
      </c>
      <c r="DE17" s="106">
        <v>21205</v>
      </c>
      <c r="DF17" s="106">
        <f t="shared" si="21"/>
        <v>2</v>
      </c>
      <c r="DG17" s="106">
        <f t="shared" si="75"/>
        <v>-2</v>
      </c>
      <c r="DH17" s="156"/>
      <c r="DI17" s="162">
        <f t="shared" si="76"/>
        <v>10179</v>
      </c>
      <c r="DJ17" s="106">
        <v>10182</v>
      </c>
      <c r="DK17" s="106">
        <f t="shared" si="22"/>
        <v>3</v>
      </c>
      <c r="DL17" s="106">
        <f t="shared" si="77"/>
        <v>-1</v>
      </c>
      <c r="DM17" s="156"/>
      <c r="DN17" s="162">
        <f t="shared" si="78"/>
        <v>27405</v>
      </c>
      <c r="DO17" s="106">
        <v>27418</v>
      </c>
      <c r="DP17" s="106">
        <f t="shared" si="23"/>
        <v>13</v>
      </c>
      <c r="DQ17" s="106">
        <f t="shared" si="79"/>
        <v>1</v>
      </c>
      <c r="DR17" s="156"/>
      <c r="DS17" s="162">
        <f t="shared" si="80"/>
        <v>2921</v>
      </c>
      <c r="DT17" s="106">
        <v>2925</v>
      </c>
      <c r="DU17" s="106">
        <f t="shared" si="24"/>
        <v>4</v>
      </c>
      <c r="DV17" s="106">
        <f t="shared" si="81"/>
        <v>3</v>
      </c>
      <c r="DW17" s="156"/>
      <c r="DX17" s="162">
        <f t="shared" si="82"/>
        <v>234</v>
      </c>
      <c r="DY17" s="106">
        <v>242</v>
      </c>
      <c r="DZ17" s="106">
        <f t="shared" si="25"/>
        <v>8</v>
      </c>
      <c r="EA17" s="106">
        <f t="shared" si="83"/>
        <v>6</v>
      </c>
      <c r="EB17" s="156"/>
      <c r="EC17" s="162">
        <f t="shared" si="84"/>
        <v>0</v>
      </c>
      <c r="ED17" s="106"/>
      <c r="EE17" s="156">
        <f t="shared" si="26"/>
        <v>0</v>
      </c>
      <c r="EF17" s="162">
        <f t="shared" si="101"/>
        <v>0</v>
      </c>
      <c r="EG17" s="106"/>
      <c r="EH17" s="156">
        <f t="shared" si="27"/>
        <v>0</v>
      </c>
      <c r="EI17" s="162">
        <f t="shared" si="102"/>
        <v>0</v>
      </c>
      <c r="EJ17" s="106"/>
      <c r="EK17" s="156">
        <f t="shared" si="28"/>
        <v>0</v>
      </c>
      <c r="EL17" s="162">
        <f t="shared" ref="EL17:EL36" si="103">EM16</f>
        <v>0</v>
      </c>
      <c r="EM17" s="106"/>
      <c r="EN17" s="156">
        <f t="shared" si="29"/>
        <v>0</v>
      </c>
      <c r="EO17" s="162">
        <f t="shared" si="88"/>
        <v>0</v>
      </c>
      <c r="EP17" s="106"/>
      <c r="EQ17" s="156">
        <f t="shared" si="30"/>
        <v>0</v>
      </c>
      <c r="ER17" s="162">
        <f t="shared" si="89"/>
        <v>0</v>
      </c>
      <c r="ES17" s="106"/>
      <c r="ET17" s="156">
        <f t="shared" si="31"/>
        <v>0</v>
      </c>
      <c r="EU17" s="162">
        <f t="shared" si="90"/>
        <v>0</v>
      </c>
      <c r="EV17" s="106"/>
      <c r="EW17" s="156">
        <f t="shared" si="91"/>
        <v>0</v>
      </c>
      <c r="EX17" s="162">
        <f t="shared" si="92"/>
        <v>0</v>
      </c>
      <c r="EY17" s="106"/>
      <c r="EZ17" s="156">
        <f t="shared" si="32"/>
        <v>0</v>
      </c>
      <c r="FA17" s="162">
        <f t="shared" si="93"/>
        <v>0</v>
      </c>
      <c r="FB17" s="106"/>
      <c r="FC17" s="156">
        <f t="shared" si="33"/>
        <v>0</v>
      </c>
      <c r="FD17" s="162">
        <f t="shared" si="94"/>
        <v>0</v>
      </c>
      <c r="FE17" s="106"/>
      <c r="FF17" s="156">
        <f t="shared" si="34"/>
        <v>0</v>
      </c>
      <c r="FG17" s="162">
        <f t="shared" si="95"/>
        <v>0</v>
      </c>
      <c r="FH17" s="106"/>
      <c r="FI17" s="156">
        <f t="shared" si="35"/>
        <v>0</v>
      </c>
      <c r="FJ17" s="162">
        <f t="shared" si="96"/>
        <v>0</v>
      </c>
      <c r="FK17" s="106"/>
      <c r="FL17" s="156">
        <f t="shared" si="36"/>
        <v>0</v>
      </c>
      <c r="FM17" s="162">
        <f t="shared" si="97"/>
        <v>0</v>
      </c>
      <c r="FN17" s="106"/>
      <c r="FO17" s="156">
        <f t="shared" si="37"/>
        <v>0</v>
      </c>
      <c r="FP17" s="162">
        <f t="shared" si="98"/>
        <v>0</v>
      </c>
      <c r="FQ17" s="106"/>
      <c r="FR17" s="156">
        <f t="shared" si="38"/>
        <v>0</v>
      </c>
    </row>
    <row r="18" spans="1:174" ht="15" customHeight="1">
      <c r="A18" s="104">
        <v>13</v>
      </c>
      <c r="B18" s="104">
        <f t="shared" si="39"/>
        <v>15745</v>
      </c>
      <c r="C18" s="98">
        <v>15894</v>
      </c>
      <c r="D18" s="99">
        <f t="shared" si="0"/>
        <v>149</v>
      </c>
      <c r="E18" s="149"/>
      <c r="F18" s="104">
        <v>13</v>
      </c>
      <c r="G18" s="104">
        <f t="shared" si="40"/>
        <v>42645</v>
      </c>
      <c r="H18" s="105">
        <v>42677</v>
      </c>
      <c r="I18" s="99">
        <f t="shared" si="1"/>
        <v>32</v>
      </c>
      <c r="J18" s="149"/>
      <c r="K18" s="104">
        <v>13</v>
      </c>
      <c r="L18" s="104">
        <f t="shared" si="41"/>
        <v>850167</v>
      </c>
      <c r="M18" s="105">
        <v>850326</v>
      </c>
      <c r="N18" s="99">
        <f>MAX(0,M18-L18)</f>
        <v>159</v>
      </c>
      <c r="O18" s="101"/>
      <c r="P18" s="104">
        <v>13</v>
      </c>
      <c r="Q18" s="104">
        <f t="shared" si="42"/>
        <v>249968</v>
      </c>
      <c r="R18" s="105">
        <v>249968</v>
      </c>
      <c r="S18" s="99">
        <f t="shared" si="3"/>
        <v>0</v>
      </c>
      <c r="T18" s="100"/>
      <c r="U18" s="102">
        <v>13</v>
      </c>
      <c r="V18" s="373">
        <f t="shared" si="4"/>
        <v>340</v>
      </c>
      <c r="W18" s="103">
        <f>'Maldives at LG Daily'!I17</f>
        <v>2117</v>
      </c>
      <c r="X18" s="106">
        <v>48</v>
      </c>
      <c r="Y18" s="249">
        <f t="shared" si="5"/>
        <v>7.083333333333333</v>
      </c>
      <c r="AA18" s="158">
        <v>13</v>
      </c>
      <c r="AB18" s="106">
        <f t="shared" si="43"/>
        <v>48957</v>
      </c>
      <c r="AC18" s="106">
        <v>48984</v>
      </c>
      <c r="AD18" s="106">
        <f t="shared" si="6"/>
        <v>27</v>
      </c>
      <c r="AE18" s="106">
        <f t="shared" si="99"/>
        <v>-1</v>
      </c>
      <c r="AF18" s="234"/>
      <c r="AG18" s="158">
        <f t="shared" si="44"/>
        <v>10978</v>
      </c>
      <c r="AH18" s="106">
        <v>10984</v>
      </c>
      <c r="AI18" s="106">
        <f t="shared" si="45"/>
        <v>6</v>
      </c>
      <c r="AJ18" s="106">
        <f t="shared" si="100"/>
        <v>1</v>
      </c>
      <c r="AK18" s="106"/>
      <c r="AL18" s="158">
        <f t="shared" si="46"/>
        <v>10492</v>
      </c>
      <c r="AM18" s="106">
        <v>10500</v>
      </c>
      <c r="AN18" s="106">
        <f t="shared" si="7"/>
        <v>8</v>
      </c>
      <c r="AO18" s="106">
        <f t="shared" si="47"/>
        <v>-2</v>
      </c>
      <c r="AP18" s="106"/>
      <c r="AQ18" s="158">
        <f t="shared" si="48"/>
        <v>20077</v>
      </c>
      <c r="AR18" s="106">
        <v>20088</v>
      </c>
      <c r="AS18" s="106">
        <f t="shared" si="8"/>
        <v>11</v>
      </c>
      <c r="AT18" s="106">
        <f t="shared" si="49"/>
        <v>0</v>
      </c>
      <c r="AU18" s="106"/>
      <c r="AV18" s="158">
        <f t="shared" si="50"/>
        <v>36078</v>
      </c>
      <c r="AW18" s="106">
        <v>36086</v>
      </c>
      <c r="AX18" s="106">
        <f t="shared" si="9"/>
        <v>8</v>
      </c>
      <c r="AY18" s="106">
        <f t="shared" si="51"/>
        <v>0</v>
      </c>
      <c r="AZ18" s="106"/>
      <c r="BA18" s="158">
        <f t="shared" si="52"/>
        <v>9712</v>
      </c>
      <c r="BB18" s="106">
        <v>9719</v>
      </c>
      <c r="BC18" s="106">
        <f t="shared" si="10"/>
        <v>7</v>
      </c>
      <c r="BD18" s="106">
        <f t="shared" si="53"/>
        <v>0</v>
      </c>
      <c r="BE18" s="106"/>
      <c r="BF18" s="158">
        <f>BG17</f>
        <v>26570</v>
      </c>
      <c r="BG18" s="106">
        <v>26579</v>
      </c>
      <c r="BH18" s="106">
        <f t="shared" si="11"/>
        <v>9</v>
      </c>
      <c r="BI18" s="106">
        <f t="shared" si="55"/>
        <v>1</v>
      </c>
      <c r="BJ18" s="106"/>
      <c r="BK18" s="158">
        <f t="shared" si="56"/>
        <v>10594</v>
      </c>
      <c r="BL18" s="106">
        <v>10603</v>
      </c>
      <c r="BM18" s="106">
        <f t="shared" si="12"/>
        <v>9</v>
      </c>
      <c r="BN18" s="106">
        <f t="shared" si="57"/>
        <v>2</v>
      </c>
      <c r="BO18" s="106"/>
      <c r="BP18" s="158">
        <f t="shared" si="58"/>
        <v>4287</v>
      </c>
      <c r="BQ18" s="106">
        <v>4288</v>
      </c>
      <c r="BR18" s="253">
        <f t="shared" si="13"/>
        <v>1</v>
      </c>
      <c r="BS18" s="106">
        <f t="shared" si="59"/>
        <v>-1</v>
      </c>
      <c r="BT18" s="106"/>
      <c r="BU18" s="158">
        <f t="shared" si="60"/>
        <v>1887</v>
      </c>
      <c r="BV18" s="106">
        <v>1889</v>
      </c>
      <c r="BW18" s="106">
        <f t="shared" si="14"/>
        <v>2</v>
      </c>
      <c r="BX18" s="106">
        <f t="shared" si="61"/>
        <v>1</v>
      </c>
      <c r="BY18" s="106"/>
      <c r="BZ18" s="162">
        <f t="shared" si="62"/>
        <v>29413</v>
      </c>
      <c r="CA18" s="106">
        <v>29415</v>
      </c>
      <c r="CB18" s="253">
        <f t="shared" si="15"/>
        <v>2</v>
      </c>
      <c r="CC18" s="106">
        <f t="shared" si="63"/>
        <v>-3</v>
      </c>
      <c r="CD18" s="156"/>
      <c r="CE18" s="162">
        <f t="shared" si="64"/>
        <v>3623</v>
      </c>
      <c r="CF18" s="106">
        <v>3623</v>
      </c>
      <c r="CG18" s="106">
        <f t="shared" si="16"/>
        <v>0</v>
      </c>
      <c r="CH18" s="106">
        <f t="shared" si="65"/>
        <v>-3</v>
      </c>
      <c r="CI18" s="156"/>
      <c r="CJ18" s="162">
        <f t="shared" si="66"/>
        <v>87057</v>
      </c>
      <c r="CK18" s="106">
        <v>87084</v>
      </c>
      <c r="CL18" s="106">
        <f t="shared" si="17"/>
        <v>27</v>
      </c>
      <c r="CM18" s="106">
        <f t="shared" si="67"/>
        <v>-3</v>
      </c>
      <c r="CN18" s="156"/>
      <c r="CO18" s="162">
        <f t="shared" si="68"/>
        <v>26694</v>
      </c>
      <c r="CP18" s="106">
        <v>26703</v>
      </c>
      <c r="CQ18" s="106">
        <f t="shared" si="18"/>
        <v>9</v>
      </c>
      <c r="CR18" s="106">
        <f t="shared" si="69"/>
        <v>-1</v>
      </c>
      <c r="CS18" s="156"/>
      <c r="CT18" s="162">
        <f t="shared" si="70"/>
        <v>12885</v>
      </c>
      <c r="CU18" s="106">
        <v>12886</v>
      </c>
      <c r="CV18" s="106">
        <f t="shared" si="19"/>
        <v>1</v>
      </c>
      <c r="CW18" s="106">
        <f t="shared" si="71"/>
        <v>-3</v>
      </c>
      <c r="CX18" s="156"/>
      <c r="CY18" s="162">
        <f t="shared" si="72"/>
        <v>19931</v>
      </c>
      <c r="CZ18" s="106">
        <v>19932</v>
      </c>
      <c r="DA18" s="106">
        <f t="shared" si="20"/>
        <v>1</v>
      </c>
      <c r="DB18" s="106">
        <f t="shared" si="73"/>
        <v>1</v>
      </c>
      <c r="DC18" s="156"/>
      <c r="DD18" s="162">
        <f t="shared" si="74"/>
        <v>21205</v>
      </c>
      <c r="DE18" s="106">
        <v>21207</v>
      </c>
      <c r="DF18" s="106">
        <f t="shared" si="21"/>
        <v>2</v>
      </c>
      <c r="DG18" s="106">
        <f t="shared" si="75"/>
        <v>0</v>
      </c>
      <c r="DH18" s="156"/>
      <c r="DI18" s="162">
        <f t="shared" si="76"/>
        <v>10182</v>
      </c>
      <c r="DJ18" s="106">
        <v>10188</v>
      </c>
      <c r="DK18" s="106">
        <f t="shared" si="22"/>
        <v>6</v>
      </c>
      <c r="DL18" s="106">
        <f t="shared" si="77"/>
        <v>3</v>
      </c>
      <c r="DM18" s="156"/>
      <c r="DN18" s="162">
        <f t="shared" si="78"/>
        <v>27418</v>
      </c>
      <c r="DO18" s="106">
        <v>27436</v>
      </c>
      <c r="DP18" s="106">
        <f t="shared" si="23"/>
        <v>18</v>
      </c>
      <c r="DQ18" s="106">
        <f t="shared" si="79"/>
        <v>5</v>
      </c>
      <c r="DR18" s="156"/>
      <c r="DS18" s="162">
        <f t="shared" si="80"/>
        <v>2925</v>
      </c>
      <c r="DT18" s="106">
        <v>2927</v>
      </c>
      <c r="DU18" s="106">
        <f t="shared" si="24"/>
        <v>2</v>
      </c>
      <c r="DV18" s="106">
        <f t="shared" si="81"/>
        <v>-2</v>
      </c>
      <c r="DW18" s="156"/>
      <c r="DX18" s="162">
        <f t="shared" si="82"/>
        <v>242</v>
      </c>
      <c r="DY18" s="106">
        <v>244</v>
      </c>
      <c r="DZ18" s="106">
        <f t="shared" si="25"/>
        <v>2</v>
      </c>
      <c r="EA18" s="106">
        <f t="shared" si="83"/>
        <v>-6</v>
      </c>
      <c r="EB18" s="156"/>
      <c r="EC18" s="162">
        <f t="shared" si="84"/>
        <v>0</v>
      </c>
      <c r="ED18" s="106"/>
      <c r="EE18" s="156">
        <f t="shared" si="26"/>
        <v>0</v>
      </c>
      <c r="EF18" s="162">
        <f t="shared" si="101"/>
        <v>0</v>
      </c>
      <c r="EG18" s="106"/>
      <c r="EH18" s="156">
        <f t="shared" si="27"/>
        <v>0</v>
      </c>
      <c r="EI18" s="162">
        <f t="shared" si="102"/>
        <v>0</v>
      </c>
      <c r="EJ18" s="106"/>
      <c r="EK18" s="156">
        <f t="shared" si="28"/>
        <v>0</v>
      </c>
      <c r="EL18" s="162">
        <f t="shared" si="103"/>
        <v>0</v>
      </c>
      <c r="EM18" s="106"/>
      <c r="EN18" s="156">
        <f t="shared" si="29"/>
        <v>0</v>
      </c>
      <c r="EO18" s="162">
        <f t="shared" si="88"/>
        <v>0</v>
      </c>
      <c r="EP18" s="106"/>
      <c r="EQ18" s="156">
        <f t="shared" si="30"/>
        <v>0</v>
      </c>
      <c r="ER18" s="162">
        <f t="shared" si="89"/>
        <v>0</v>
      </c>
      <c r="ES18" s="106"/>
      <c r="ET18" s="156">
        <f t="shared" si="31"/>
        <v>0</v>
      </c>
      <c r="EU18" s="162">
        <f t="shared" si="90"/>
        <v>0</v>
      </c>
      <c r="EV18" s="106"/>
      <c r="EW18" s="156">
        <f t="shared" si="91"/>
        <v>0</v>
      </c>
      <c r="EX18" s="162">
        <f t="shared" si="92"/>
        <v>0</v>
      </c>
      <c r="EY18" s="106"/>
      <c r="EZ18" s="156">
        <f t="shared" si="32"/>
        <v>0</v>
      </c>
      <c r="FA18" s="162">
        <f t="shared" si="93"/>
        <v>0</v>
      </c>
      <c r="FB18" s="106"/>
      <c r="FC18" s="156">
        <f t="shared" si="33"/>
        <v>0</v>
      </c>
      <c r="FD18" s="162">
        <f t="shared" si="94"/>
        <v>0</v>
      </c>
      <c r="FE18" s="106"/>
      <c r="FF18" s="156">
        <f t="shared" si="34"/>
        <v>0</v>
      </c>
      <c r="FG18" s="162">
        <f t="shared" si="95"/>
        <v>0</v>
      </c>
      <c r="FH18" s="106"/>
      <c r="FI18" s="156">
        <f t="shared" si="35"/>
        <v>0</v>
      </c>
      <c r="FJ18" s="162">
        <f t="shared" si="96"/>
        <v>0</v>
      </c>
      <c r="FK18" s="106"/>
      <c r="FL18" s="156">
        <f t="shared" si="36"/>
        <v>0</v>
      </c>
      <c r="FM18" s="162">
        <f t="shared" si="97"/>
        <v>0</v>
      </c>
      <c r="FN18" s="106"/>
      <c r="FO18" s="156">
        <f t="shared" si="37"/>
        <v>0</v>
      </c>
      <c r="FP18" s="162">
        <f t="shared" si="98"/>
        <v>0</v>
      </c>
      <c r="FQ18" s="106"/>
      <c r="FR18" s="156">
        <f t="shared" si="38"/>
        <v>0</v>
      </c>
    </row>
    <row r="19" spans="1:174" ht="15" customHeight="1">
      <c r="A19" s="104">
        <v>14</v>
      </c>
      <c r="B19" s="104">
        <f t="shared" si="39"/>
        <v>15894</v>
      </c>
      <c r="C19" s="98">
        <v>16039</v>
      </c>
      <c r="D19" s="99">
        <f t="shared" si="0"/>
        <v>145</v>
      </c>
      <c r="E19" s="149"/>
      <c r="F19" s="104">
        <v>14</v>
      </c>
      <c r="G19" s="104">
        <f t="shared" si="40"/>
        <v>42677</v>
      </c>
      <c r="H19" s="105">
        <v>42677</v>
      </c>
      <c r="I19" s="99">
        <f t="shared" si="1"/>
        <v>0</v>
      </c>
      <c r="J19" s="149"/>
      <c r="K19" s="104">
        <v>14</v>
      </c>
      <c r="L19" s="104">
        <f t="shared" si="41"/>
        <v>850326</v>
      </c>
      <c r="M19" s="105">
        <v>850488</v>
      </c>
      <c r="N19" s="99">
        <f t="shared" si="2"/>
        <v>162</v>
      </c>
      <c r="O19" s="101"/>
      <c r="P19" s="104">
        <v>14</v>
      </c>
      <c r="Q19" s="104">
        <f t="shared" si="42"/>
        <v>249968</v>
      </c>
      <c r="R19" s="105">
        <v>2472</v>
      </c>
      <c r="S19" s="99">
        <f t="shared" si="3"/>
        <v>0</v>
      </c>
      <c r="T19" s="100"/>
      <c r="U19" s="104">
        <v>14</v>
      </c>
      <c r="V19" s="373">
        <f t="shared" si="4"/>
        <v>307</v>
      </c>
      <c r="W19" s="103">
        <f>'Maldives at LG Daily'!I18</f>
        <v>1904</v>
      </c>
      <c r="X19" s="106">
        <v>59</v>
      </c>
      <c r="Y19" s="249">
        <f t="shared" si="5"/>
        <v>5.2033898305084749</v>
      </c>
      <c r="AA19" s="158">
        <v>14</v>
      </c>
      <c r="AB19" s="106">
        <f t="shared" si="43"/>
        <v>48984</v>
      </c>
      <c r="AC19" s="106">
        <v>49009</v>
      </c>
      <c r="AD19" s="106">
        <f>MAX(0,AC19-AB19)</f>
        <v>25</v>
      </c>
      <c r="AE19" s="106">
        <f t="shared" si="99"/>
        <v>-2</v>
      </c>
      <c r="AF19" s="234"/>
      <c r="AG19" s="158">
        <f t="shared" si="44"/>
        <v>10984</v>
      </c>
      <c r="AH19" s="106">
        <v>10990</v>
      </c>
      <c r="AI19" s="106">
        <f t="shared" si="45"/>
        <v>6</v>
      </c>
      <c r="AJ19" s="106">
        <f t="shared" si="100"/>
        <v>0</v>
      </c>
      <c r="AK19" s="106"/>
      <c r="AL19" s="158">
        <f t="shared" si="46"/>
        <v>10500</v>
      </c>
      <c r="AM19" s="106">
        <v>10510</v>
      </c>
      <c r="AN19" s="106">
        <f t="shared" si="7"/>
        <v>10</v>
      </c>
      <c r="AO19" s="106">
        <f t="shared" si="47"/>
        <v>2</v>
      </c>
      <c r="AP19" s="106"/>
      <c r="AQ19" s="158">
        <f t="shared" si="48"/>
        <v>20088</v>
      </c>
      <c r="AR19" s="106">
        <v>20098</v>
      </c>
      <c r="AS19" s="106">
        <f t="shared" si="8"/>
        <v>10</v>
      </c>
      <c r="AT19" s="106">
        <f t="shared" si="49"/>
        <v>-1</v>
      </c>
      <c r="AU19" s="106"/>
      <c r="AV19" s="158">
        <f t="shared" si="50"/>
        <v>36086</v>
      </c>
      <c r="AW19" s="106">
        <v>36093</v>
      </c>
      <c r="AX19" s="106">
        <f t="shared" si="9"/>
        <v>7</v>
      </c>
      <c r="AY19" s="106">
        <f t="shared" si="51"/>
        <v>-1</v>
      </c>
      <c r="AZ19" s="106"/>
      <c r="BA19" s="158">
        <f t="shared" si="52"/>
        <v>9719</v>
      </c>
      <c r="BB19" s="106">
        <v>9725</v>
      </c>
      <c r="BC19" s="106">
        <f t="shared" si="10"/>
        <v>6</v>
      </c>
      <c r="BD19" s="106">
        <f t="shared" si="53"/>
        <v>-1</v>
      </c>
      <c r="BE19" s="106"/>
      <c r="BF19" s="158">
        <f t="shared" si="54"/>
        <v>26579</v>
      </c>
      <c r="BG19" s="106">
        <v>26588</v>
      </c>
      <c r="BH19" s="106">
        <f t="shared" si="11"/>
        <v>9</v>
      </c>
      <c r="BI19" s="106">
        <f t="shared" si="55"/>
        <v>0</v>
      </c>
      <c r="BJ19" s="106"/>
      <c r="BK19" s="158">
        <f t="shared" si="56"/>
        <v>10603</v>
      </c>
      <c r="BL19" s="106">
        <v>10610</v>
      </c>
      <c r="BM19" s="106">
        <f t="shared" si="12"/>
        <v>7</v>
      </c>
      <c r="BN19" s="106">
        <f t="shared" si="57"/>
        <v>-2</v>
      </c>
      <c r="BO19" s="106"/>
      <c r="BP19" s="158">
        <f t="shared" si="58"/>
        <v>4288</v>
      </c>
      <c r="BQ19" s="106">
        <v>4288</v>
      </c>
      <c r="BR19" s="253">
        <f t="shared" si="13"/>
        <v>0</v>
      </c>
      <c r="BS19" s="106">
        <f t="shared" si="59"/>
        <v>-1</v>
      </c>
      <c r="BT19" s="106"/>
      <c r="BU19" s="158">
        <f t="shared" si="60"/>
        <v>1889</v>
      </c>
      <c r="BV19" s="106">
        <v>1891</v>
      </c>
      <c r="BW19" s="106">
        <f t="shared" si="14"/>
        <v>2</v>
      </c>
      <c r="BX19" s="106">
        <f t="shared" si="61"/>
        <v>0</v>
      </c>
      <c r="BY19" s="106"/>
      <c r="BZ19" s="162">
        <f t="shared" si="62"/>
        <v>29415</v>
      </c>
      <c r="CA19" s="106">
        <v>29417</v>
      </c>
      <c r="CB19" s="253">
        <f t="shared" si="15"/>
        <v>2</v>
      </c>
      <c r="CC19" s="106">
        <f t="shared" si="63"/>
        <v>0</v>
      </c>
      <c r="CD19" s="156"/>
      <c r="CE19" s="162">
        <f t="shared" si="64"/>
        <v>3623</v>
      </c>
      <c r="CF19" s="106">
        <v>3624</v>
      </c>
      <c r="CG19" s="106">
        <f t="shared" si="16"/>
        <v>1</v>
      </c>
      <c r="CH19" s="106">
        <f t="shared" si="65"/>
        <v>1</v>
      </c>
      <c r="CI19" s="156"/>
      <c r="CJ19" s="162">
        <f t="shared" si="66"/>
        <v>87084</v>
      </c>
      <c r="CK19" s="106">
        <v>87114</v>
      </c>
      <c r="CL19" s="106">
        <f t="shared" si="17"/>
        <v>30</v>
      </c>
      <c r="CM19" s="106">
        <f t="shared" si="67"/>
        <v>3</v>
      </c>
      <c r="CN19" s="156"/>
      <c r="CO19" s="162">
        <f t="shared" si="68"/>
        <v>26703</v>
      </c>
      <c r="CP19" s="106">
        <v>26713</v>
      </c>
      <c r="CQ19" s="106">
        <f t="shared" si="18"/>
        <v>10</v>
      </c>
      <c r="CR19" s="106">
        <f t="shared" si="69"/>
        <v>1</v>
      </c>
      <c r="CS19" s="156"/>
      <c r="CT19" s="162">
        <f t="shared" si="70"/>
        <v>12886</v>
      </c>
      <c r="CU19" s="106">
        <v>12887</v>
      </c>
      <c r="CV19" s="106">
        <f t="shared" si="19"/>
        <v>1</v>
      </c>
      <c r="CW19" s="106">
        <f t="shared" si="71"/>
        <v>0</v>
      </c>
      <c r="CX19" s="156"/>
      <c r="CY19" s="162">
        <f t="shared" si="72"/>
        <v>19932</v>
      </c>
      <c r="CZ19" s="106">
        <v>19932</v>
      </c>
      <c r="DA19" s="106">
        <f t="shared" si="20"/>
        <v>0</v>
      </c>
      <c r="DB19" s="106">
        <f t="shared" si="73"/>
        <v>-1</v>
      </c>
      <c r="DC19" s="156"/>
      <c r="DD19" s="162">
        <f t="shared" si="74"/>
        <v>21207</v>
      </c>
      <c r="DE19" s="106">
        <v>21209</v>
      </c>
      <c r="DF19" s="106">
        <f t="shared" si="21"/>
        <v>2</v>
      </c>
      <c r="DG19" s="106">
        <f t="shared" si="75"/>
        <v>0</v>
      </c>
      <c r="DH19" s="156"/>
      <c r="DI19" s="162">
        <f t="shared" si="76"/>
        <v>10188</v>
      </c>
      <c r="DJ19" s="106">
        <v>10191</v>
      </c>
      <c r="DK19" s="106">
        <f t="shared" si="22"/>
        <v>3</v>
      </c>
      <c r="DL19" s="106">
        <f t="shared" si="77"/>
        <v>-3</v>
      </c>
      <c r="DM19" s="156"/>
      <c r="DN19" s="162">
        <f t="shared" si="78"/>
        <v>27436</v>
      </c>
      <c r="DO19" s="106">
        <v>27453</v>
      </c>
      <c r="DP19" s="106">
        <f t="shared" si="23"/>
        <v>17</v>
      </c>
      <c r="DQ19" s="106">
        <f t="shared" si="79"/>
        <v>-1</v>
      </c>
      <c r="DR19" s="156"/>
      <c r="DS19" s="162">
        <f t="shared" si="80"/>
        <v>2927</v>
      </c>
      <c r="DT19" s="106">
        <v>2930</v>
      </c>
      <c r="DU19" s="106">
        <f t="shared" si="24"/>
        <v>3</v>
      </c>
      <c r="DV19" s="106">
        <f t="shared" si="81"/>
        <v>1</v>
      </c>
      <c r="DW19" s="156"/>
      <c r="DX19" s="162">
        <f t="shared" si="82"/>
        <v>244</v>
      </c>
      <c r="DY19" s="106">
        <v>248</v>
      </c>
      <c r="DZ19" s="106">
        <f t="shared" si="25"/>
        <v>4</v>
      </c>
      <c r="EA19" s="106">
        <f t="shared" si="83"/>
        <v>2</v>
      </c>
      <c r="EB19" s="156"/>
      <c r="EC19" s="162">
        <f t="shared" ref="EC19:EC36" si="104">ED18</f>
        <v>0</v>
      </c>
      <c r="ED19" s="106"/>
      <c r="EE19" s="156">
        <f t="shared" si="26"/>
        <v>0</v>
      </c>
      <c r="EF19" s="162">
        <f t="shared" si="101"/>
        <v>0</v>
      </c>
      <c r="EG19" s="106"/>
      <c r="EH19" s="156">
        <f t="shared" si="27"/>
        <v>0</v>
      </c>
      <c r="EI19" s="162">
        <f t="shared" si="102"/>
        <v>0</v>
      </c>
      <c r="EJ19" s="106"/>
      <c r="EK19" s="156">
        <f t="shared" si="28"/>
        <v>0</v>
      </c>
      <c r="EL19" s="162">
        <f t="shared" si="103"/>
        <v>0</v>
      </c>
      <c r="EM19" s="106"/>
      <c r="EN19" s="156">
        <f t="shared" si="29"/>
        <v>0</v>
      </c>
      <c r="EO19" s="162">
        <f t="shared" si="88"/>
        <v>0</v>
      </c>
      <c r="EP19" s="106"/>
      <c r="EQ19" s="156">
        <f t="shared" si="30"/>
        <v>0</v>
      </c>
      <c r="ER19" s="162">
        <f t="shared" si="89"/>
        <v>0</v>
      </c>
      <c r="ES19" s="106"/>
      <c r="ET19" s="156">
        <f t="shared" si="31"/>
        <v>0</v>
      </c>
      <c r="EU19" s="162">
        <f t="shared" si="90"/>
        <v>0</v>
      </c>
      <c r="EV19" s="106"/>
      <c r="EW19" s="156">
        <f t="shared" si="91"/>
        <v>0</v>
      </c>
      <c r="EX19" s="162">
        <f t="shared" si="92"/>
        <v>0</v>
      </c>
      <c r="EY19" s="106"/>
      <c r="EZ19" s="156">
        <f t="shared" si="32"/>
        <v>0</v>
      </c>
      <c r="FA19" s="162">
        <f t="shared" si="93"/>
        <v>0</v>
      </c>
      <c r="FB19" s="106"/>
      <c r="FC19" s="156">
        <f t="shared" si="33"/>
        <v>0</v>
      </c>
      <c r="FD19" s="162">
        <f t="shared" si="94"/>
        <v>0</v>
      </c>
      <c r="FE19" s="106"/>
      <c r="FF19" s="156">
        <f t="shared" si="34"/>
        <v>0</v>
      </c>
      <c r="FG19" s="162">
        <f t="shared" si="95"/>
        <v>0</v>
      </c>
      <c r="FH19" s="106"/>
      <c r="FI19" s="156">
        <f t="shared" si="35"/>
        <v>0</v>
      </c>
      <c r="FJ19" s="162">
        <f t="shared" si="96"/>
        <v>0</v>
      </c>
      <c r="FK19" s="106"/>
      <c r="FL19" s="156">
        <f t="shared" si="36"/>
        <v>0</v>
      </c>
      <c r="FM19" s="162">
        <f t="shared" si="97"/>
        <v>0</v>
      </c>
      <c r="FN19" s="106"/>
      <c r="FO19" s="156">
        <f t="shared" si="37"/>
        <v>0</v>
      </c>
      <c r="FP19" s="162">
        <f t="shared" si="98"/>
        <v>0</v>
      </c>
      <c r="FQ19" s="106"/>
      <c r="FR19" s="156">
        <f t="shared" si="38"/>
        <v>0</v>
      </c>
    </row>
    <row r="20" spans="1:174" ht="15" customHeight="1">
      <c r="A20" s="104">
        <v>15</v>
      </c>
      <c r="B20" s="104">
        <f t="shared" si="39"/>
        <v>16039</v>
      </c>
      <c r="C20" s="98">
        <v>16190</v>
      </c>
      <c r="D20" s="99">
        <f t="shared" si="0"/>
        <v>151</v>
      </c>
      <c r="E20" s="149"/>
      <c r="F20" s="104">
        <v>15</v>
      </c>
      <c r="G20" s="104">
        <f t="shared" si="40"/>
        <v>42677</v>
      </c>
      <c r="H20" s="105">
        <v>42677</v>
      </c>
      <c r="I20" s="99">
        <f t="shared" si="1"/>
        <v>0</v>
      </c>
      <c r="J20" s="149"/>
      <c r="K20" s="104">
        <v>15</v>
      </c>
      <c r="L20" s="104">
        <f t="shared" si="41"/>
        <v>850488</v>
      </c>
      <c r="M20" s="105">
        <v>850659</v>
      </c>
      <c r="N20" s="99">
        <f t="shared" si="2"/>
        <v>171</v>
      </c>
      <c r="O20" s="101"/>
      <c r="P20" s="104">
        <v>15</v>
      </c>
      <c r="Q20" s="104">
        <f t="shared" si="42"/>
        <v>2472</v>
      </c>
      <c r="R20" s="105">
        <v>2493</v>
      </c>
      <c r="S20" s="99">
        <f t="shared" si="3"/>
        <v>21</v>
      </c>
      <c r="T20" s="100"/>
      <c r="U20" s="102">
        <v>15</v>
      </c>
      <c r="V20" s="373">
        <f t="shared" si="4"/>
        <v>343</v>
      </c>
      <c r="W20" s="103">
        <f>'Maldives at LG Daily'!I19</f>
        <v>2290</v>
      </c>
      <c r="X20" s="106">
        <v>63</v>
      </c>
      <c r="Y20" s="249">
        <f t="shared" si="5"/>
        <v>5.4444444444444446</v>
      </c>
      <c r="AA20" s="158">
        <v>15</v>
      </c>
      <c r="AB20" s="106">
        <f t="shared" si="43"/>
        <v>49009</v>
      </c>
      <c r="AC20" s="106">
        <v>49058</v>
      </c>
      <c r="AD20" s="106">
        <f t="shared" si="6"/>
        <v>49</v>
      </c>
      <c r="AE20" s="106">
        <f t="shared" si="99"/>
        <v>24</v>
      </c>
      <c r="AF20" s="234"/>
      <c r="AG20" s="158">
        <f t="shared" si="44"/>
        <v>10990</v>
      </c>
      <c r="AH20" s="106">
        <v>10996</v>
      </c>
      <c r="AI20" s="106">
        <f t="shared" si="45"/>
        <v>6</v>
      </c>
      <c r="AJ20" s="106">
        <f t="shared" si="100"/>
        <v>0</v>
      </c>
      <c r="AK20" s="106"/>
      <c r="AL20" s="158">
        <f t="shared" si="46"/>
        <v>10510</v>
      </c>
      <c r="AM20" s="106">
        <v>10519</v>
      </c>
      <c r="AN20" s="106">
        <f t="shared" si="7"/>
        <v>9</v>
      </c>
      <c r="AO20" s="106">
        <f t="shared" si="47"/>
        <v>-1</v>
      </c>
      <c r="AP20" s="106"/>
      <c r="AQ20" s="158">
        <f t="shared" si="48"/>
        <v>20098</v>
      </c>
      <c r="AR20" s="106">
        <v>20110</v>
      </c>
      <c r="AS20" s="106">
        <f t="shared" si="8"/>
        <v>12</v>
      </c>
      <c r="AT20" s="106">
        <f t="shared" si="49"/>
        <v>2</v>
      </c>
      <c r="AU20" s="106"/>
      <c r="AV20" s="158">
        <f t="shared" si="50"/>
        <v>36093</v>
      </c>
      <c r="AW20" s="106">
        <v>36102</v>
      </c>
      <c r="AX20" s="106">
        <f t="shared" si="9"/>
        <v>9</v>
      </c>
      <c r="AY20" s="106">
        <f t="shared" si="51"/>
        <v>2</v>
      </c>
      <c r="AZ20" s="106"/>
      <c r="BA20" s="158">
        <f t="shared" si="52"/>
        <v>9725</v>
      </c>
      <c r="BB20" s="106">
        <v>9731</v>
      </c>
      <c r="BC20" s="106">
        <f t="shared" si="10"/>
        <v>6</v>
      </c>
      <c r="BD20" s="106">
        <f t="shared" si="53"/>
        <v>0</v>
      </c>
      <c r="BE20" s="106"/>
      <c r="BF20" s="158">
        <f t="shared" si="54"/>
        <v>26588</v>
      </c>
      <c r="BG20" s="106">
        <v>26597</v>
      </c>
      <c r="BH20" s="106">
        <f t="shared" si="11"/>
        <v>9</v>
      </c>
      <c r="BI20" s="106">
        <f t="shared" si="55"/>
        <v>0</v>
      </c>
      <c r="BJ20" s="106"/>
      <c r="BK20" s="158">
        <f t="shared" si="56"/>
        <v>10610</v>
      </c>
      <c r="BL20" s="106">
        <v>10619</v>
      </c>
      <c r="BM20" s="106">
        <f t="shared" si="12"/>
        <v>9</v>
      </c>
      <c r="BN20" s="106">
        <f t="shared" si="57"/>
        <v>2</v>
      </c>
      <c r="BO20" s="106"/>
      <c r="BP20" s="158">
        <f t="shared" si="58"/>
        <v>4288</v>
      </c>
      <c r="BQ20" s="106">
        <v>4290</v>
      </c>
      <c r="BR20" s="253">
        <f t="shared" si="13"/>
        <v>2</v>
      </c>
      <c r="BS20" s="106">
        <f t="shared" si="59"/>
        <v>2</v>
      </c>
      <c r="BT20" s="106"/>
      <c r="BU20" s="158">
        <f t="shared" si="60"/>
        <v>1891</v>
      </c>
      <c r="BV20" s="106">
        <v>1891</v>
      </c>
      <c r="BW20" s="106">
        <f t="shared" si="14"/>
        <v>0</v>
      </c>
      <c r="BX20" s="106">
        <f t="shared" si="61"/>
        <v>-2</v>
      </c>
      <c r="BY20" s="106"/>
      <c r="BZ20" s="162">
        <f t="shared" si="62"/>
        <v>29417</v>
      </c>
      <c r="CA20" s="106">
        <v>29420</v>
      </c>
      <c r="CB20" s="253">
        <f t="shared" si="15"/>
        <v>3</v>
      </c>
      <c r="CC20" s="106">
        <f t="shared" si="63"/>
        <v>1</v>
      </c>
      <c r="CD20" s="156"/>
      <c r="CE20" s="162">
        <f t="shared" si="64"/>
        <v>3624</v>
      </c>
      <c r="CF20" s="106">
        <v>3627</v>
      </c>
      <c r="CG20" s="106">
        <f t="shared" si="16"/>
        <v>3</v>
      </c>
      <c r="CH20" s="106">
        <f t="shared" si="65"/>
        <v>2</v>
      </c>
      <c r="CI20" s="156"/>
      <c r="CJ20" s="162">
        <f t="shared" si="66"/>
        <v>87114</v>
      </c>
      <c r="CK20" s="106">
        <v>87145</v>
      </c>
      <c r="CL20" s="106">
        <f t="shared" si="17"/>
        <v>31</v>
      </c>
      <c r="CM20" s="106">
        <f t="shared" si="67"/>
        <v>1</v>
      </c>
      <c r="CN20" s="156"/>
      <c r="CO20" s="162">
        <f t="shared" si="68"/>
        <v>26713</v>
      </c>
      <c r="CP20" s="106">
        <v>26723</v>
      </c>
      <c r="CQ20" s="106">
        <f t="shared" si="18"/>
        <v>10</v>
      </c>
      <c r="CR20" s="106">
        <f t="shared" si="69"/>
        <v>0</v>
      </c>
      <c r="CS20" s="156"/>
      <c r="CT20" s="162">
        <f t="shared" si="70"/>
        <v>12887</v>
      </c>
      <c r="CU20" s="106">
        <v>12887</v>
      </c>
      <c r="CV20" s="106">
        <f t="shared" si="19"/>
        <v>0</v>
      </c>
      <c r="CW20" s="106">
        <f t="shared" si="71"/>
        <v>-1</v>
      </c>
      <c r="CX20" s="156"/>
      <c r="CY20" s="162">
        <f t="shared" si="72"/>
        <v>19932</v>
      </c>
      <c r="CZ20" s="106">
        <v>19934</v>
      </c>
      <c r="DA20" s="106">
        <f t="shared" si="20"/>
        <v>2</v>
      </c>
      <c r="DB20" s="106">
        <f t="shared" si="73"/>
        <v>2</v>
      </c>
      <c r="DC20" s="156"/>
      <c r="DD20" s="162">
        <f t="shared" si="74"/>
        <v>21209</v>
      </c>
      <c r="DE20" s="106">
        <v>21215</v>
      </c>
      <c r="DF20" s="106">
        <f t="shared" si="21"/>
        <v>6</v>
      </c>
      <c r="DG20" s="106">
        <f t="shared" si="75"/>
        <v>4</v>
      </c>
      <c r="DH20" s="156"/>
      <c r="DI20" s="162">
        <f t="shared" si="76"/>
        <v>10191</v>
      </c>
      <c r="DJ20" s="106">
        <v>10193</v>
      </c>
      <c r="DK20" s="106">
        <f t="shared" si="22"/>
        <v>2</v>
      </c>
      <c r="DL20" s="106">
        <f t="shared" si="77"/>
        <v>-1</v>
      </c>
      <c r="DM20" s="156"/>
      <c r="DN20" s="162">
        <f t="shared" si="78"/>
        <v>27453</v>
      </c>
      <c r="DO20" s="106">
        <v>27468</v>
      </c>
      <c r="DP20" s="106">
        <f t="shared" si="23"/>
        <v>15</v>
      </c>
      <c r="DQ20" s="106">
        <f t="shared" si="79"/>
        <v>-2</v>
      </c>
      <c r="DR20" s="156"/>
      <c r="DS20" s="162">
        <f t="shared" si="80"/>
        <v>2930</v>
      </c>
      <c r="DT20" s="106">
        <v>2932</v>
      </c>
      <c r="DU20" s="106">
        <f t="shared" si="24"/>
        <v>2</v>
      </c>
      <c r="DV20" s="106">
        <f t="shared" si="81"/>
        <v>-1</v>
      </c>
      <c r="DW20" s="156"/>
      <c r="DX20" s="162">
        <f t="shared" si="82"/>
        <v>248</v>
      </c>
      <c r="DY20" s="106">
        <v>252</v>
      </c>
      <c r="DZ20" s="106">
        <f t="shared" si="25"/>
        <v>4</v>
      </c>
      <c r="EA20" s="106">
        <f t="shared" si="83"/>
        <v>0</v>
      </c>
      <c r="EB20" s="156"/>
      <c r="EC20" s="162">
        <f t="shared" si="104"/>
        <v>0</v>
      </c>
      <c r="ED20" s="106"/>
      <c r="EE20" s="156">
        <f t="shared" si="26"/>
        <v>0</v>
      </c>
      <c r="EF20" s="162">
        <f t="shared" si="101"/>
        <v>0</v>
      </c>
      <c r="EG20" s="106"/>
      <c r="EH20" s="156">
        <f t="shared" si="27"/>
        <v>0</v>
      </c>
      <c r="EI20" s="162">
        <f t="shared" si="102"/>
        <v>0</v>
      </c>
      <c r="EJ20" s="106"/>
      <c r="EK20" s="156">
        <f t="shared" si="28"/>
        <v>0</v>
      </c>
      <c r="EL20" s="162">
        <f t="shared" si="103"/>
        <v>0</v>
      </c>
      <c r="EM20" s="106"/>
      <c r="EN20" s="156">
        <f t="shared" si="29"/>
        <v>0</v>
      </c>
      <c r="EO20" s="162">
        <f t="shared" si="88"/>
        <v>0</v>
      </c>
      <c r="EP20" s="106"/>
      <c r="EQ20" s="156">
        <f t="shared" si="30"/>
        <v>0</v>
      </c>
      <c r="ER20" s="162">
        <f t="shared" si="89"/>
        <v>0</v>
      </c>
      <c r="ES20" s="106"/>
      <c r="ET20" s="156">
        <f t="shared" si="31"/>
        <v>0</v>
      </c>
      <c r="EU20" s="162">
        <f t="shared" si="90"/>
        <v>0</v>
      </c>
      <c r="EV20" s="106"/>
      <c r="EW20" s="156">
        <f t="shared" si="91"/>
        <v>0</v>
      </c>
      <c r="EX20" s="162">
        <f t="shared" si="92"/>
        <v>0</v>
      </c>
      <c r="EY20" s="106"/>
      <c r="EZ20" s="156">
        <f t="shared" si="32"/>
        <v>0</v>
      </c>
      <c r="FA20" s="162">
        <f t="shared" si="93"/>
        <v>0</v>
      </c>
      <c r="FB20" s="106"/>
      <c r="FC20" s="156">
        <f t="shared" si="33"/>
        <v>0</v>
      </c>
      <c r="FD20" s="162">
        <f t="shared" si="94"/>
        <v>0</v>
      </c>
      <c r="FE20" s="106"/>
      <c r="FF20" s="156">
        <f t="shared" si="34"/>
        <v>0</v>
      </c>
      <c r="FG20" s="162">
        <f t="shared" si="95"/>
        <v>0</v>
      </c>
      <c r="FH20" s="106"/>
      <c r="FI20" s="156">
        <f t="shared" si="35"/>
        <v>0</v>
      </c>
      <c r="FJ20" s="162">
        <f t="shared" si="96"/>
        <v>0</v>
      </c>
      <c r="FK20" s="106"/>
      <c r="FL20" s="156">
        <f t="shared" si="36"/>
        <v>0</v>
      </c>
      <c r="FM20" s="162">
        <f t="shared" si="97"/>
        <v>0</v>
      </c>
      <c r="FN20" s="106"/>
      <c r="FO20" s="156">
        <f t="shared" si="37"/>
        <v>0</v>
      </c>
      <c r="FP20" s="162">
        <f t="shared" si="98"/>
        <v>0</v>
      </c>
      <c r="FQ20" s="106"/>
      <c r="FR20" s="156">
        <f t="shared" si="38"/>
        <v>0</v>
      </c>
    </row>
    <row r="21" spans="1:174" ht="15" customHeight="1">
      <c r="A21" s="104">
        <v>16</v>
      </c>
      <c r="B21" s="104">
        <f t="shared" si="39"/>
        <v>16190</v>
      </c>
      <c r="C21" s="98">
        <v>16380</v>
      </c>
      <c r="D21" s="99">
        <f t="shared" si="0"/>
        <v>190</v>
      </c>
      <c r="E21" s="149"/>
      <c r="F21" s="104">
        <v>16</v>
      </c>
      <c r="G21" s="104">
        <f t="shared" si="40"/>
        <v>42677</v>
      </c>
      <c r="H21" s="107">
        <v>42686</v>
      </c>
      <c r="I21" s="99">
        <f t="shared" si="1"/>
        <v>9</v>
      </c>
      <c r="J21" s="149"/>
      <c r="K21" s="104">
        <v>16</v>
      </c>
      <c r="L21" s="104">
        <f t="shared" si="41"/>
        <v>850659</v>
      </c>
      <c r="M21" s="107">
        <v>850843</v>
      </c>
      <c r="N21" s="99">
        <f t="shared" si="2"/>
        <v>184</v>
      </c>
      <c r="O21" s="101"/>
      <c r="P21" s="104">
        <v>16</v>
      </c>
      <c r="Q21" s="104">
        <f t="shared" si="42"/>
        <v>2493</v>
      </c>
      <c r="R21" s="107">
        <v>2493</v>
      </c>
      <c r="S21" s="99">
        <f>MAX(0,R21-Q21)</f>
        <v>0</v>
      </c>
      <c r="T21" s="100"/>
      <c r="U21" s="102">
        <v>16</v>
      </c>
      <c r="V21" s="373">
        <f t="shared" si="4"/>
        <v>383</v>
      </c>
      <c r="W21" s="103">
        <f>'Maldives at LG Daily'!I20</f>
        <v>5943</v>
      </c>
      <c r="X21" s="122">
        <v>62</v>
      </c>
      <c r="Y21" s="249">
        <f t="shared" si="5"/>
        <v>6.17741935483871</v>
      </c>
      <c r="AA21" s="158">
        <v>16</v>
      </c>
      <c r="AB21" s="106">
        <f t="shared" si="43"/>
        <v>49058</v>
      </c>
      <c r="AC21" s="106">
        <v>49085</v>
      </c>
      <c r="AD21" s="106">
        <f t="shared" si="6"/>
        <v>27</v>
      </c>
      <c r="AE21" s="106">
        <f t="shared" si="99"/>
        <v>-22</v>
      </c>
      <c r="AF21" s="234"/>
      <c r="AG21" s="158">
        <f t="shared" si="44"/>
        <v>10996</v>
      </c>
      <c r="AH21" s="106">
        <v>11003</v>
      </c>
      <c r="AI21" s="106">
        <f t="shared" si="45"/>
        <v>7</v>
      </c>
      <c r="AJ21" s="106">
        <f t="shared" si="100"/>
        <v>1</v>
      </c>
      <c r="AK21" s="106"/>
      <c r="AL21" s="158">
        <f t="shared" si="46"/>
        <v>10519</v>
      </c>
      <c r="AM21" s="106">
        <v>10529</v>
      </c>
      <c r="AN21" s="106">
        <f t="shared" si="7"/>
        <v>10</v>
      </c>
      <c r="AO21" s="106">
        <f t="shared" si="47"/>
        <v>1</v>
      </c>
      <c r="AP21" s="106"/>
      <c r="AQ21" s="158">
        <f t="shared" si="48"/>
        <v>20110</v>
      </c>
      <c r="AR21" s="106">
        <v>20122</v>
      </c>
      <c r="AS21" s="106">
        <f t="shared" si="8"/>
        <v>12</v>
      </c>
      <c r="AT21" s="106">
        <f t="shared" si="49"/>
        <v>0</v>
      </c>
      <c r="AU21" s="106"/>
      <c r="AV21" s="158">
        <f t="shared" si="50"/>
        <v>36102</v>
      </c>
      <c r="AW21" s="106">
        <v>36111</v>
      </c>
      <c r="AX21" s="106">
        <f t="shared" si="9"/>
        <v>9</v>
      </c>
      <c r="AY21" s="106">
        <f t="shared" si="51"/>
        <v>0</v>
      </c>
      <c r="AZ21" s="106"/>
      <c r="BA21" s="158">
        <f t="shared" si="52"/>
        <v>9731</v>
      </c>
      <c r="BB21" s="106">
        <v>9738</v>
      </c>
      <c r="BC21" s="106">
        <f t="shared" si="10"/>
        <v>7</v>
      </c>
      <c r="BD21" s="106">
        <f t="shared" si="53"/>
        <v>1</v>
      </c>
      <c r="BE21" s="106"/>
      <c r="BF21" s="158">
        <f t="shared" si="54"/>
        <v>26597</v>
      </c>
      <c r="BG21" s="106">
        <v>26606</v>
      </c>
      <c r="BH21" s="106">
        <f t="shared" si="11"/>
        <v>9</v>
      </c>
      <c r="BI21" s="106">
        <f t="shared" si="55"/>
        <v>0</v>
      </c>
      <c r="BJ21" s="106"/>
      <c r="BK21" s="158">
        <f t="shared" si="56"/>
        <v>10619</v>
      </c>
      <c r="BL21" s="106">
        <v>10628</v>
      </c>
      <c r="BM21" s="106">
        <f t="shared" si="12"/>
        <v>9</v>
      </c>
      <c r="BN21" s="106">
        <f t="shared" si="57"/>
        <v>0</v>
      </c>
      <c r="BO21" s="106"/>
      <c r="BP21" s="158">
        <f t="shared" si="58"/>
        <v>4290</v>
      </c>
      <c r="BQ21" s="106">
        <v>4291</v>
      </c>
      <c r="BR21" s="253">
        <f t="shared" si="13"/>
        <v>1</v>
      </c>
      <c r="BS21" s="106">
        <f t="shared" si="59"/>
        <v>-1</v>
      </c>
      <c r="BT21" s="106"/>
      <c r="BU21" s="158">
        <f t="shared" si="60"/>
        <v>1891</v>
      </c>
      <c r="BV21" s="106">
        <v>1891</v>
      </c>
      <c r="BW21" s="106">
        <f t="shared" si="14"/>
        <v>0</v>
      </c>
      <c r="BX21" s="106">
        <f t="shared" si="61"/>
        <v>0</v>
      </c>
      <c r="BY21" s="106"/>
      <c r="BZ21" s="162">
        <f t="shared" si="62"/>
        <v>29420</v>
      </c>
      <c r="CA21" s="106">
        <v>29424</v>
      </c>
      <c r="CB21" s="253">
        <f t="shared" si="15"/>
        <v>4</v>
      </c>
      <c r="CC21" s="106">
        <f t="shared" si="63"/>
        <v>1</v>
      </c>
      <c r="CD21" s="156"/>
      <c r="CE21" s="162">
        <f t="shared" si="64"/>
        <v>3627</v>
      </c>
      <c r="CF21" s="106">
        <v>3627</v>
      </c>
      <c r="CG21" s="106">
        <f t="shared" si="16"/>
        <v>0</v>
      </c>
      <c r="CH21" s="106">
        <f t="shared" si="65"/>
        <v>-3</v>
      </c>
      <c r="CI21" s="156"/>
      <c r="CJ21" s="162">
        <f t="shared" si="66"/>
        <v>87145</v>
      </c>
      <c r="CK21" s="106">
        <v>87177</v>
      </c>
      <c r="CL21" s="106">
        <f t="shared" si="17"/>
        <v>32</v>
      </c>
      <c r="CM21" s="106">
        <f t="shared" si="67"/>
        <v>1</v>
      </c>
      <c r="CN21" s="156"/>
      <c r="CO21" s="162">
        <f t="shared" si="68"/>
        <v>26723</v>
      </c>
      <c r="CP21" s="106">
        <v>26731</v>
      </c>
      <c r="CQ21" s="106">
        <f t="shared" si="18"/>
        <v>8</v>
      </c>
      <c r="CR21" s="106">
        <f t="shared" si="69"/>
        <v>-2</v>
      </c>
      <c r="CS21" s="156"/>
      <c r="CT21" s="162">
        <f t="shared" si="70"/>
        <v>12887</v>
      </c>
      <c r="CU21" s="106">
        <v>12888</v>
      </c>
      <c r="CV21" s="106">
        <f t="shared" si="19"/>
        <v>1</v>
      </c>
      <c r="CW21" s="106">
        <f t="shared" si="71"/>
        <v>1</v>
      </c>
      <c r="CX21" s="156"/>
      <c r="CY21" s="162">
        <f t="shared" si="72"/>
        <v>19934</v>
      </c>
      <c r="CZ21" s="106">
        <v>19935</v>
      </c>
      <c r="DA21" s="106">
        <f t="shared" si="20"/>
        <v>1</v>
      </c>
      <c r="DB21" s="106">
        <f t="shared" si="73"/>
        <v>-1</v>
      </c>
      <c r="DC21" s="156"/>
      <c r="DD21" s="162">
        <f t="shared" si="74"/>
        <v>21215</v>
      </c>
      <c r="DE21" s="106">
        <v>21218</v>
      </c>
      <c r="DF21" s="106">
        <f t="shared" si="21"/>
        <v>3</v>
      </c>
      <c r="DG21" s="106">
        <f t="shared" si="75"/>
        <v>-3</v>
      </c>
      <c r="DH21" s="156"/>
      <c r="DI21" s="162">
        <f t="shared" si="76"/>
        <v>10193</v>
      </c>
      <c r="DJ21" s="106">
        <v>10198</v>
      </c>
      <c r="DK21" s="106">
        <f t="shared" si="22"/>
        <v>5</v>
      </c>
      <c r="DL21" s="106">
        <f t="shared" si="77"/>
        <v>3</v>
      </c>
      <c r="DM21" s="156"/>
      <c r="DN21" s="162">
        <f t="shared" si="78"/>
        <v>27468</v>
      </c>
      <c r="DO21" s="106">
        <v>27485</v>
      </c>
      <c r="DP21" s="106">
        <f t="shared" si="23"/>
        <v>17</v>
      </c>
      <c r="DQ21" s="106">
        <f t="shared" si="79"/>
        <v>2</v>
      </c>
      <c r="DR21" s="156"/>
      <c r="DS21" s="162">
        <f t="shared" si="80"/>
        <v>2932</v>
      </c>
      <c r="DT21" s="106">
        <v>2936</v>
      </c>
      <c r="DU21" s="106">
        <f t="shared" si="24"/>
        <v>4</v>
      </c>
      <c r="DV21" s="106">
        <f t="shared" si="81"/>
        <v>2</v>
      </c>
      <c r="DW21" s="156"/>
      <c r="DX21" s="162">
        <f t="shared" si="82"/>
        <v>252</v>
      </c>
      <c r="DY21" s="106">
        <v>257</v>
      </c>
      <c r="DZ21" s="106">
        <f t="shared" si="25"/>
        <v>5</v>
      </c>
      <c r="EA21" s="106">
        <f t="shared" si="83"/>
        <v>1</v>
      </c>
      <c r="EB21" s="156"/>
      <c r="EC21" s="162">
        <f t="shared" si="104"/>
        <v>0</v>
      </c>
      <c r="ED21" s="106"/>
      <c r="EE21" s="156">
        <f t="shared" si="26"/>
        <v>0</v>
      </c>
      <c r="EF21" s="162">
        <f t="shared" si="101"/>
        <v>0</v>
      </c>
      <c r="EG21" s="106"/>
      <c r="EH21" s="156">
        <f t="shared" si="27"/>
        <v>0</v>
      </c>
      <c r="EI21" s="162">
        <f t="shared" si="102"/>
        <v>0</v>
      </c>
      <c r="EJ21" s="106"/>
      <c r="EK21" s="156">
        <f t="shared" si="28"/>
        <v>0</v>
      </c>
      <c r="EL21" s="162">
        <f t="shared" si="103"/>
        <v>0</v>
      </c>
      <c r="EM21" s="106"/>
      <c r="EN21" s="156">
        <f t="shared" si="29"/>
        <v>0</v>
      </c>
      <c r="EO21" s="162">
        <f t="shared" si="88"/>
        <v>0</v>
      </c>
      <c r="EP21" s="106"/>
      <c r="EQ21" s="156">
        <f t="shared" si="30"/>
        <v>0</v>
      </c>
      <c r="ER21" s="162">
        <f t="shared" si="89"/>
        <v>0</v>
      </c>
      <c r="ES21" s="106"/>
      <c r="ET21" s="156">
        <f t="shared" si="31"/>
        <v>0</v>
      </c>
      <c r="EU21" s="162">
        <f t="shared" si="90"/>
        <v>0</v>
      </c>
      <c r="EV21" s="106"/>
      <c r="EW21" s="156">
        <f t="shared" si="91"/>
        <v>0</v>
      </c>
      <c r="EX21" s="162">
        <f t="shared" si="92"/>
        <v>0</v>
      </c>
      <c r="EY21" s="106"/>
      <c r="EZ21" s="156">
        <f t="shared" si="32"/>
        <v>0</v>
      </c>
      <c r="FA21" s="162">
        <f t="shared" si="93"/>
        <v>0</v>
      </c>
      <c r="FB21" s="106"/>
      <c r="FC21" s="156">
        <f t="shared" si="33"/>
        <v>0</v>
      </c>
      <c r="FD21" s="162">
        <f t="shared" si="94"/>
        <v>0</v>
      </c>
      <c r="FE21" s="106"/>
      <c r="FF21" s="156">
        <f t="shared" si="34"/>
        <v>0</v>
      </c>
      <c r="FG21" s="162">
        <f t="shared" si="95"/>
        <v>0</v>
      </c>
      <c r="FH21" s="106"/>
      <c r="FI21" s="156">
        <f t="shared" si="35"/>
        <v>0</v>
      </c>
      <c r="FJ21" s="162">
        <f t="shared" si="96"/>
        <v>0</v>
      </c>
      <c r="FK21" s="106"/>
      <c r="FL21" s="156">
        <f t="shared" si="36"/>
        <v>0</v>
      </c>
      <c r="FM21" s="162">
        <f t="shared" si="97"/>
        <v>0</v>
      </c>
      <c r="FN21" s="106"/>
      <c r="FO21" s="156">
        <f t="shared" si="37"/>
        <v>0</v>
      </c>
      <c r="FP21" s="162">
        <f t="shared" si="98"/>
        <v>0</v>
      </c>
      <c r="FQ21" s="106"/>
      <c r="FR21" s="156">
        <f t="shared" si="38"/>
        <v>0</v>
      </c>
    </row>
    <row r="22" spans="1:174" ht="15" customHeight="1">
      <c r="A22" s="104">
        <v>17</v>
      </c>
      <c r="B22" s="104">
        <f t="shared" si="39"/>
        <v>16380</v>
      </c>
      <c r="C22" s="98">
        <v>16576</v>
      </c>
      <c r="D22" s="99">
        <f t="shared" si="0"/>
        <v>196</v>
      </c>
      <c r="E22" s="149"/>
      <c r="F22" s="104">
        <v>17</v>
      </c>
      <c r="G22" s="104">
        <f t="shared" si="40"/>
        <v>42686</v>
      </c>
      <c r="H22" s="107">
        <v>42701</v>
      </c>
      <c r="I22" s="99">
        <f t="shared" si="1"/>
        <v>15</v>
      </c>
      <c r="J22" s="149"/>
      <c r="K22" s="104">
        <v>17</v>
      </c>
      <c r="L22" s="104">
        <f t="shared" si="41"/>
        <v>850843</v>
      </c>
      <c r="M22" s="107">
        <v>851023</v>
      </c>
      <c r="N22" s="99">
        <f t="shared" si="2"/>
        <v>180</v>
      </c>
      <c r="O22" s="101"/>
      <c r="P22" s="104">
        <v>17</v>
      </c>
      <c r="Q22" s="104">
        <f t="shared" si="42"/>
        <v>2493</v>
      </c>
      <c r="R22" s="107">
        <v>2493</v>
      </c>
      <c r="S22" s="99">
        <f t="shared" si="3"/>
        <v>0</v>
      </c>
      <c r="T22" s="100"/>
      <c r="U22" s="104">
        <v>17</v>
      </c>
      <c r="V22" s="373">
        <f t="shared" si="4"/>
        <v>391</v>
      </c>
      <c r="W22" s="103">
        <f>'Maldives at LG Daily'!I21</f>
        <v>1053</v>
      </c>
      <c r="X22" s="122">
        <v>47</v>
      </c>
      <c r="Y22" s="249">
        <f t="shared" si="5"/>
        <v>8.3191489361702136</v>
      </c>
      <c r="AA22" s="158">
        <v>17</v>
      </c>
      <c r="AB22" s="106">
        <f t="shared" si="43"/>
        <v>49085</v>
      </c>
      <c r="AC22" s="106">
        <v>49109</v>
      </c>
      <c r="AD22" s="106">
        <f t="shared" si="6"/>
        <v>24</v>
      </c>
      <c r="AE22" s="106">
        <f t="shared" si="99"/>
        <v>-3</v>
      </c>
      <c r="AF22" s="234"/>
      <c r="AG22" s="158">
        <f t="shared" si="44"/>
        <v>11003</v>
      </c>
      <c r="AH22" s="106">
        <v>11009</v>
      </c>
      <c r="AI22" s="106">
        <f t="shared" si="45"/>
        <v>6</v>
      </c>
      <c r="AJ22" s="106">
        <f t="shared" si="100"/>
        <v>-1</v>
      </c>
      <c r="AK22" s="106"/>
      <c r="AL22" s="158">
        <f t="shared" si="46"/>
        <v>10529</v>
      </c>
      <c r="AM22" s="106">
        <v>10540</v>
      </c>
      <c r="AN22" s="106">
        <f t="shared" si="7"/>
        <v>11</v>
      </c>
      <c r="AO22" s="106">
        <f t="shared" si="47"/>
        <v>1</v>
      </c>
      <c r="AP22" s="106"/>
      <c r="AQ22" s="158">
        <f t="shared" si="48"/>
        <v>20122</v>
      </c>
      <c r="AR22" s="106">
        <v>20134</v>
      </c>
      <c r="AS22" s="106">
        <f t="shared" si="8"/>
        <v>12</v>
      </c>
      <c r="AT22" s="106">
        <f t="shared" si="49"/>
        <v>0</v>
      </c>
      <c r="AU22" s="106"/>
      <c r="AV22" s="158">
        <f t="shared" si="50"/>
        <v>36111</v>
      </c>
      <c r="AW22" s="106">
        <v>36121</v>
      </c>
      <c r="AX22" s="106">
        <f t="shared" si="9"/>
        <v>10</v>
      </c>
      <c r="AY22" s="106">
        <f t="shared" si="51"/>
        <v>1</v>
      </c>
      <c r="AZ22" s="106"/>
      <c r="BA22" s="158">
        <f t="shared" si="52"/>
        <v>9738</v>
      </c>
      <c r="BB22" s="106">
        <v>9746</v>
      </c>
      <c r="BC22" s="106">
        <f t="shared" si="10"/>
        <v>8</v>
      </c>
      <c r="BD22" s="106">
        <f t="shared" si="53"/>
        <v>1</v>
      </c>
      <c r="BE22" s="106"/>
      <c r="BF22" s="158">
        <f t="shared" si="54"/>
        <v>26606</v>
      </c>
      <c r="BG22" s="106">
        <v>26614</v>
      </c>
      <c r="BH22" s="106">
        <f t="shared" si="11"/>
        <v>8</v>
      </c>
      <c r="BI22" s="106">
        <f t="shared" si="55"/>
        <v>-1</v>
      </c>
      <c r="BJ22" s="106"/>
      <c r="BK22" s="158">
        <f t="shared" si="56"/>
        <v>10628</v>
      </c>
      <c r="BL22" s="106">
        <v>10637</v>
      </c>
      <c r="BM22" s="106">
        <f t="shared" si="12"/>
        <v>9</v>
      </c>
      <c r="BN22" s="106">
        <f t="shared" si="57"/>
        <v>0</v>
      </c>
      <c r="BO22" s="106"/>
      <c r="BP22" s="158">
        <f t="shared" si="58"/>
        <v>4291</v>
      </c>
      <c r="BQ22" s="106">
        <v>4292</v>
      </c>
      <c r="BR22" s="253">
        <f t="shared" si="13"/>
        <v>1</v>
      </c>
      <c r="BS22" s="106">
        <f t="shared" si="59"/>
        <v>0</v>
      </c>
      <c r="BT22" s="106"/>
      <c r="BU22" s="158">
        <f t="shared" si="60"/>
        <v>1891</v>
      </c>
      <c r="BV22" s="106">
        <v>1891</v>
      </c>
      <c r="BW22" s="106">
        <f t="shared" si="14"/>
        <v>0</v>
      </c>
      <c r="BX22" s="106">
        <f t="shared" si="61"/>
        <v>0</v>
      </c>
      <c r="BY22" s="106"/>
      <c r="BZ22" s="162">
        <f t="shared" si="62"/>
        <v>29424</v>
      </c>
      <c r="CA22" s="106">
        <v>29426</v>
      </c>
      <c r="CB22" s="253">
        <f t="shared" si="15"/>
        <v>2</v>
      </c>
      <c r="CC22" s="106">
        <f t="shared" si="63"/>
        <v>-2</v>
      </c>
      <c r="CD22" s="156"/>
      <c r="CE22" s="162">
        <f t="shared" si="64"/>
        <v>3627</v>
      </c>
      <c r="CF22" s="106">
        <v>3627</v>
      </c>
      <c r="CG22" s="106">
        <f t="shared" si="16"/>
        <v>0</v>
      </c>
      <c r="CH22" s="106">
        <f t="shared" si="65"/>
        <v>0</v>
      </c>
      <c r="CI22" s="156"/>
      <c r="CJ22" s="162">
        <f t="shared" si="66"/>
        <v>87177</v>
      </c>
      <c r="CK22" s="106">
        <v>87211</v>
      </c>
      <c r="CL22" s="106">
        <f t="shared" si="17"/>
        <v>34</v>
      </c>
      <c r="CM22" s="106">
        <f t="shared" si="67"/>
        <v>2</v>
      </c>
      <c r="CN22" s="156"/>
      <c r="CO22" s="162">
        <f t="shared" si="68"/>
        <v>26731</v>
      </c>
      <c r="CP22" s="106">
        <v>26741</v>
      </c>
      <c r="CQ22" s="106">
        <f t="shared" si="18"/>
        <v>10</v>
      </c>
      <c r="CR22" s="106">
        <f t="shared" si="69"/>
        <v>2</v>
      </c>
      <c r="CS22" s="156"/>
      <c r="CT22" s="162">
        <f t="shared" si="70"/>
        <v>12888</v>
      </c>
      <c r="CU22" s="106">
        <v>12888</v>
      </c>
      <c r="CV22" s="106">
        <f t="shared" si="19"/>
        <v>0</v>
      </c>
      <c r="CW22" s="106">
        <f t="shared" si="71"/>
        <v>-1</v>
      </c>
      <c r="CX22" s="156"/>
      <c r="CY22" s="162">
        <f t="shared" si="72"/>
        <v>19935</v>
      </c>
      <c r="CZ22" s="106">
        <v>19950</v>
      </c>
      <c r="DA22" s="106">
        <f t="shared" si="20"/>
        <v>15</v>
      </c>
      <c r="DB22" s="106">
        <f t="shared" si="73"/>
        <v>14</v>
      </c>
      <c r="DC22" s="156"/>
      <c r="DD22" s="162">
        <f t="shared" si="74"/>
        <v>21218</v>
      </c>
      <c r="DE22" s="106">
        <v>21222</v>
      </c>
      <c r="DF22" s="106">
        <f t="shared" si="21"/>
        <v>4</v>
      </c>
      <c r="DG22" s="106">
        <f t="shared" si="75"/>
        <v>1</v>
      </c>
      <c r="DH22" s="156"/>
      <c r="DI22" s="162">
        <f t="shared" si="76"/>
        <v>10198</v>
      </c>
      <c r="DJ22" s="106">
        <v>10209</v>
      </c>
      <c r="DK22" s="106">
        <f t="shared" si="22"/>
        <v>11</v>
      </c>
      <c r="DL22" s="106">
        <f t="shared" si="77"/>
        <v>6</v>
      </c>
      <c r="DM22" s="156"/>
      <c r="DN22" s="162">
        <f t="shared" si="78"/>
        <v>27485</v>
      </c>
      <c r="DO22" s="106">
        <v>27507</v>
      </c>
      <c r="DP22" s="106">
        <f t="shared" si="23"/>
        <v>22</v>
      </c>
      <c r="DQ22" s="106">
        <f t="shared" si="79"/>
        <v>5</v>
      </c>
      <c r="DR22" s="156"/>
      <c r="DS22" s="162">
        <f t="shared" si="80"/>
        <v>2936</v>
      </c>
      <c r="DT22" s="106">
        <v>2938</v>
      </c>
      <c r="DU22" s="106">
        <f t="shared" si="24"/>
        <v>2</v>
      </c>
      <c r="DV22" s="106">
        <f t="shared" si="81"/>
        <v>-2</v>
      </c>
      <c r="DW22" s="156"/>
      <c r="DX22" s="162">
        <f t="shared" si="82"/>
        <v>257</v>
      </c>
      <c r="DY22" s="106">
        <v>260</v>
      </c>
      <c r="DZ22" s="106">
        <f t="shared" si="25"/>
        <v>3</v>
      </c>
      <c r="EA22" s="106">
        <f t="shared" si="83"/>
        <v>-2</v>
      </c>
      <c r="EB22" s="156"/>
      <c r="EC22" s="162">
        <f t="shared" si="104"/>
        <v>0</v>
      </c>
      <c r="ED22" s="106"/>
      <c r="EE22" s="156">
        <f t="shared" si="26"/>
        <v>0</v>
      </c>
      <c r="EF22" s="162">
        <f t="shared" si="101"/>
        <v>0</v>
      </c>
      <c r="EG22" s="106"/>
      <c r="EH22" s="156">
        <f t="shared" si="27"/>
        <v>0</v>
      </c>
      <c r="EI22" s="162">
        <f t="shared" si="102"/>
        <v>0</v>
      </c>
      <c r="EJ22" s="106"/>
      <c r="EK22" s="156">
        <f t="shared" si="28"/>
        <v>0</v>
      </c>
      <c r="EL22" s="162">
        <f t="shared" si="103"/>
        <v>0</v>
      </c>
      <c r="EM22" s="106"/>
      <c r="EN22" s="156">
        <f t="shared" si="29"/>
        <v>0</v>
      </c>
      <c r="EO22" s="162">
        <f t="shared" si="88"/>
        <v>0</v>
      </c>
      <c r="EP22" s="106"/>
      <c r="EQ22" s="156">
        <f t="shared" si="30"/>
        <v>0</v>
      </c>
      <c r="ER22" s="162">
        <f t="shared" si="89"/>
        <v>0</v>
      </c>
      <c r="ES22" s="106"/>
      <c r="ET22" s="156">
        <f t="shared" si="31"/>
        <v>0</v>
      </c>
      <c r="EU22" s="162">
        <f t="shared" si="90"/>
        <v>0</v>
      </c>
      <c r="EV22" s="106"/>
      <c r="EW22" s="156">
        <f t="shared" si="91"/>
        <v>0</v>
      </c>
      <c r="EX22" s="162">
        <f t="shared" si="92"/>
        <v>0</v>
      </c>
      <c r="EY22" s="106"/>
      <c r="EZ22" s="156">
        <f t="shared" si="32"/>
        <v>0</v>
      </c>
      <c r="FA22" s="162">
        <f t="shared" si="93"/>
        <v>0</v>
      </c>
      <c r="FB22" s="106"/>
      <c r="FC22" s="156">
        <f t="shared" si="33"/>
        <v>0</v>
      </c>
      <c r="FD22" s="162">
        <f t="shared" si="94"/>
        <v>0</v>
      </c>
      <c r="FE22" s="106"/>
      <c r="FF22" s="156">
        <f t="shared" si="34"/>
        <v>0</v>
      </c>
      <c r="FG22" s="162">
        <f t="shared" si="95"/>
        <v>0</v>
      </c>
      <c r="FH22" s="106"/>
      <c r="FI22" s="156">
        <f t="shared" si="35"/>
        <v>0</v>
      </c>
      <c r="FJ22" s="162">
        <f t="shared" si="96"/>
        <v>0</v>
      </c>
      <c r="FK22" s="106"/>
      <c r="FL22" s="156">
        <f t="shared" si="36"/>
        <v>0</v>
      </c>
      <c r="FM22" s="162">
        <f t="shared" si="97"/>
        <v>0</v>
      </c>
      <c r="FN22" s="106"/>
      <c r="FO22" s="156">
        <f t="shared" si="37"/>
        <v>0</v>
      </c>
      <c r="FP22" s="162">
        <f t="shared" si="98"/>
        <v>0</v>
      </c>
      <c r="FQ22" s="106"/>
      <c r="FR22" s="156">
        <f t="shared" si="38"/>
        <v>0</v>
      </c>
    </row>
    <row r="23" spans="1:174" ht="15" customHeight="1">
      <c r="A23" s="104">
        <v>18</v>
      </c>
      <c r="B23" s="104">
        <f t="shared" si="39"/>
        <v>16576</v>
      </c>
      <c r="C23" s="98">
        <v>16756</v>
      </c>
      <c r="D23" s="99">
        <f t="shared" si="0"/>
        <v>180</v>
      </c>
      <c r="E23" s="149"/>
      <c r="F23" s="104">
        <v>18</v>
      </c>
      <c r="G23" s="104">
        <f t="shared" si="40"/>
        <v>42701</v>
      </c>
      <c r="H23" s="107">
        <v>42740</v>
      </c>
      <c r="I23" s="99">
        <f t="shared" si="1"/>
        <v>39</v>
      </c>
      <c r="J23" s="149"/>
      <c r="K23" s="104">
        <v>18</v>
      </c>
      <c r="L23" s="104">
        <f t="shared" si="41"/>
        <v>851023</v>
      </c>
      <c r="M23" s="107">
        <v>851204</v>
      </c>
      <c r="N23" s="99">
        <f t="shared" si="2"/>
        <v>181</v>
      </c>
      <c r="O23" s="101"/>
      <c r="P23" s="104">
        <v>18</v>
      </c>
      <c r="Q23" s="104">
        <f t="shared" si="42"/>
        <v>2493</v>
      </c>
      <c r="R23" s="107">
        <v>2493</v>
      </c>
      <c r="S23" s="99">
        <f t="shared" si="3"/>
        <v>0</v>
      </c>
      <c r="T23" s="100"/>
      <c r="U23" s="102">
        <v>18</v>
      </c>
      <c r="V23" s="373">
        <f t="shared" si="4"/>
        <v>400</v>
      </c>
      <c r="W23" s="103">
        <f>'Maldives at LG Daily'!I22</f>
        <v>0</v>
      </c>
      <c r="X23" s="122">
        <v>46</v>
      </c>
      <c r="Y23" s="249">
        <f t="shared" si="5"/>
        <v>8.695652173913043</v>
      </c>
      <c r="AA23" s="158">
        <v>18</v>
      </c>
      <c r="AB23" s="106">
        <f t="shared" si="43"/>
        <v>49109</v>
      </c>
      <c r="AC23" s="106">
        <v>49133</v>
      </c>
      <c r="AD23" s="106">
        <f t="shared" si="6"/>
        <v>24</v>
      </c>
      <c r="AE23" s="106">
        <f t="shared" si="99"/>
        <v>0</v>
      </c>
      <c r="AF23" s="234"/>
      <c r="AG23" s="158">
        <f t="shared" si="44"/>
        <v>11009</v>
      </c>
      <c r="AH23" s="106">
        <v>11016</v>
      </c>
      <c r="AI23" s="106">
        <f t="shared" si="45"/>
        <v>7</v>
      </c>
      <c r="AJ23" s="106">
        <f t="shared" si="100"/>
        <v>1</v>
      </c>
      <c r="AK23" s="106"/>
      <c r="AL23" s="158">
        <f t="shared" si="46"/>
        <v>10540</v>
      </c>
      <c r="AM23" s="106">
        <v>10549</v>
      </c>
      <c r="AN23" s="106">
        <f t="shared" si="7"/>
        <v>9</v>
      </c>
      <c r="AO23" s="106">
        <f t="shared" si="47"/>
        <v>-2</v>
      </c>
      <c r="AP23" s="106"/>
      <c r="AQ23" s="158">
        <f t="shared" si="48"/>
        <v>20134</v>
      </c>
      <c r="AR23" s="106">
        <v>20146</v>
      </c>
      <c r="AS23" s="106">
        <f t="shared" si="8"/>
        <v>12</v>
      </c>
      <c r="AT23" s="106">
        <f t="shared" si="49"/>
        <v>0</v>
      </c>
      <c r="AU23" s="106"/>
      <c r="AV23" s="158">
        <f t="shared" si="50"/>
        <v>36121</v>
      </c>
      <c r="AW23" s="106">
        <v>36130</v>
      </c>
      <c r="AX23" s="106">
        <f t="shared" si="9"/>
        <v>9</v>
      </c>
      <c r="AY23" s="106">
        <f t="shared" si="51"/>
        <v>-1</v>
      </c>
      <c r="AZ23" s="106"/>
      <c r="BA23" s="158">
        <f t="shared" si="52"/>
        <v>9746</v>
      </c>
      <c r="BB23" s="106">
        <v>9754</v>
      </c>
      <c r="BC23" s="106">
        <f t="shared" si="10"/>
        <v>8</v>
      </c>
      <c r="BD23" s="106">
        <f t="shared" si="53"/>
        <v>0</v>
      </c>
      <c r="BE23" s="106"/>
      <c r="BF23" s="158">
        <f t="shared" si="54"/>
        <v>26614</v>
      </c>
      <c r="BG23" s="106">
        <v>26625</v>
      </c>
      <c r="BH23" s="106">
        <f t="shared" si="11"/>
        <v>11</v>
      </c>
      <c r="BI23" s="106">
        <f t="shared" si="55"/>
        <v>3</v>
      </c>
      <c r="BJ23" s="106"/>
      <c r="BK23" s="158">
        <f t="shared" si="56"/>
        <v>10637</v>
      </c>
      <c r="BL23" s="106">
        <v>10646</v>
      </c>
      <c r="BM23" s="106">
        <f t="shared" si="12"/>
        <v>9</v>
      </c>
      <c r="BN23" s="106">
        <f t="shared" si="57"/>
        <v>0</v>
      </c>
      <c r="BO23" s="106"/>
      <c r="BP23" s="158">
        <f t="shared" si="58"/>
        <v>4292</v>
      </c>
      <c r="BQ23" s="106">
        <v>4294</v>
      </c>
      <c r="BR23" s="253">
        <f t="shared" si="13"/>
        <v>2</v>
      </c>
      <c r="BS23" s="106">
        <f t="shared" si="59"/>
        <v>1</v>
      </c>
      <c r="BT23" s="106"/>
      <c r="BU23" s="158">
        <f t="shared" si="60"/>
        <v>1891</v>
      </c>
      <c r="BV23" s="106">
        <v>1892</v>
      </c>
      <c r="BW23" s="106">
        <f t="shared" si="14"/>
        <v>1</v>
      </c>
      <c r="BX23" s="106">
        <f t="shared" si="61"/>
        <v>1</v>
      </c>
      <c r="BY23" s="106"/>
      <c r="BZ23" s="162">
        <f t="shared" si="62"/>
        <v>29426</v>
      </c>
      <c r="CA23" s="106">
        <v>29431</v>
      </c>
      <c r="CB23" s="253">
        <f t="shared" si="15"/>
        <v>5</v>
      </c>
      <c r="CC23" s="106">
        <f t="shared" si="63"/>
        <v>3</v>
      </c>
      <c r="CD23" s="156"/>
      <c r="CE23" s="162">
        <f t="shared" si="64"/>
        <v>3627</v>
      </c>
      <c r="CF23" s="106">
        <v>3640</v>
      </c>
      <c r="CG23" s="106">
        <f t="shared" si="16"/>
        <v>13</v>
      </c>
      <c r="CH23" s="106">
        <f t="shared" si="65"/>
        <v>13</v>
      </c>
      <c r="CI23" s="156"/>
      <c r="CJ23" s="162">
        <f t="shared" si="66"/>
        <v>87211</v>
      </c>
      <c r="CK23" s="106">
        <v>87247</v>
      </c>
      <c r="CL23" s="106">
        <f t="shared" si="17"/>
        <v>36</v>
      </c>
      <c r="CM23" s="106">
        <f t="shared" si="67"/>
        <v>2</v>
      </c>
      <c r="CN23" s="156"/>
      <c r="CO23" s="162">
        <f t="shared" si="68"/>
        <v>26741</v>
      </c>
      <c r="CP23" s="106">
        <v>26751</v>
      </c>
      <c r="CQ23" s="106">
        <f t="shared" si="18"/>
        <v>10</v>
      </c>
      <c r="CR23" s="106">
        <f t="shared" si="69"/>
        <v>0</v>
      </c>
      <c r="CS23" s="156"/>
      <c r="CT23" s="162">
        <f t="shared" si="70"/>
        <v>12888</v>
      </c>
      <c r="CU23" s="106">
        <v>12889</v>
      </c>
      <c r="CV23" s="106">
        <f t="shared" si="19"/>
        <v>1</v>
      </c>
      <c r="CW23" s="106">
        <f t="shared" si="71"/>
        <v>1</v>
      </c>
      <c r="CX23" s="156"/>
      <c r="CY23" s="162">
        <f t="shared" si="72"/>
        <v>19950</v>
      </c>
      <c r="CZ23" s="106">
        <v>19953</v>
      </c>
      <c r="DA23" s="106">
        <f t="shared" si="20"/>
        <v>3</v>
      </c>
      <c r="DB23" s="106">
        <f t="shared" si="73"/>
        <v>-12</v>
      </c>
      <c r="DC23" s="156"/>
      <c r="DD23" s="162">
        <f t="shared" si="74"/>
        <v>21222</v>
      </c>
      <c r="DE23" s="106">
        <v>21226</v>
      </c>
      <c r="DF23" s="106">
        <f t="shared" si="21"/>
        <v>4</v>
      </c>
      <c r="DG23" s="106">
        <f t="shared" si="75"/>
        <v>0</v>
      </c>
      <c r="DH23" s="156"/>
      <c r="DI23" s="162">
        <f t="shared" si="76"/>
        <v>10209</v>
      </c>
      <c r="DJ23" s="106">
        <v>10217</v>
      </c>
      <c r="DK23" s="106">
        <f t="shared" si="22"/>
        <v>8</v>
      </c>
      <c r="DL23" s="106">
        <f t="shared" si="77"/>
        <v>-3</v>
      </c>
      <c r="DM23" s="156"/>
      <c r="DN23" s="162">
        <f t="shared" si="78"/>
        <v>27507</v>
      </c>
      <c r="DO23" s="106">
        <v>27525</v>
      </c>
      <c r="DP23" s="106">
        <f t="shared" si="23"/>
        <v>18</v>
      </c>
      <c r="DQ23" s="106">
        <f t="shared" si="79"/>
        <v>-4</v>
      </c>
      <c r="DR23" s="156"/>
      <c r="DS23" s="162">
        <f t="shared" si="80"/>
        <v>2938</v>
      </c>
      <c r="DT23" s="106">
        <v>2941</v>
      </c>
      <c r="DU23" s="106">
        <f t="shared" si="24"/>
        <v>3</v>
      </c>
      <c r="DV23" s="106">
        <f t="shared" si="81"/>
        <v>1</v>
      </c>
      <c r="DW23" s="156"/>
      <c r="DX23" s="162">
        <f t="shared" si="82"/>
        <v>260</v>
      </c>
      <c r="DY23" s="106">
        <v>266</v>
      </c>
      <c r="DZ23" s="106">
        <f t="shared" si="25"/>
        <v>6</v>
      </c>
      <c r="EA23" s="106">
        <f t="shared" si="83"/>
        <v>3</v>
      </c>
      <c r="EB23" s="156"/>
      <c r="EC23" s="162">
        <f t="shared" si="104"/>
        <v>0</v>
      </c>
      <c r="ED23" s="106"/>
      <c r="EE23" s="156">
        <f t="shared" si="26"/>
        <v>0</v>
      </c>
      <c r="EF23" s="162">
        <f t="shared" si="101"/>
        <v>0</v>
      </c>
      <c r="EG23" s="106"/>
      <c r="EH23" s="156">
        <f t="shared" si="27"/>
        <v>0</v>
      </c>
      <c r="EI23" s="162">
        <f t="shared" si="102"/>
        <v>0</v>
      </c>
      <c r="EJ23" s="106"/>
      <c r="EK23" s="156">
        <f t="shared" si="28"/>
        <v>0</v>
      </c>
      <c r="EL23" s="162">
        <f t="shared" si="103"/>
        <v>0</v>
      </c>
      <c r="EM23" s="106"/>
      <c r="EN23" s="156">
        <f t="shared" si="29"/>
        <v>0</v>
      </c>
      <c r="EO23" s="162">
        <f t="shared" si="88"/>
        <v>0</v>
      </c>
      <c r="EP23" s="106"/>
      <c r="EQ23" s="156">
        <f t="shared" si="30"/>
        <v>0</v>
      </c>
      <c r="ER23" s="162">
        <f t="shared" si="89"/>
        <v>0</v>
      </c>
      <c r="ES23" s="106"/>
      <c r="ET23" s="156">
        <f t="shared" si="31"/>
        <v>0</v>
      </c>
      <c r="EU23" s="162">
        <f t="shared" si="90"/>
        <v>0</v>
      </c>
      <c r="EV23" s="106"/>
      <c r="EW23" s="156">
        <f t="shared" si="91"/>
        <v>0</v>
      </c>
      <c r="EX23" s="162">
        <f t="shared" si="92"/>
        <v>0</v>
      </c>
      <c r="EY23" s="106"/>
      <c r="EZ23" s="156">
        <f t="shared" si="32"/>
        <v>0</v>
      </c>
      <c r="FA23" s="162">
        <f t="shared" si="93"/>
        <v>0</v>
      </c>
      <c r="FB23" s="106"/>
      <c r="FC23" s="156">
        <f t="shared" si="33"/>
        <v>0</v>
      </c>
      <c r="FD23" s="162">
        <f t="shared" si="94"/>
        <v>0</v>
      </c>
      <c r="FE23" s="106"/>
      <c r="FF23" s="156">
        <f t="shared" si="34"/>
        <v>0</v>
      </c>
      <c r="FG23" s="162">
        <f t="shared" si="95"/>
        <v>0</v>
      </c>
      <c r="FH23" s="106"/>
      <c r="FI23" s="156">
        <f t="shared" si="35"/>
        <v>0</v>
      </c>
      <c r="FJ23" s="162">
        <f t="shared" si="96"/>
        <v>0</v>
      </c>
      <c r="FK23" s="106"/>
      <c r="FL23" s="156">
        <f t="shared" si="36"/>
        <v>0</v>
      </c>
      <c r="FM23" s="162">
        <f t="shared" si="97"/>
        <v>0</v>
      </c>
      <c r="FN23" s="106"/>
      <c r="FO23" s="156">
        <f t="shared" si="37"/>
        <v>0</v>
      </c>
      <c r="FP23" s="162">
        <f t="shared" si="98"/>
        <v>0</v>
      </c>
      <c r="FQ23" s="106"/>
      <c r="FR23" s="156">
        <f t="shared" si="38"/>
        <v>0</v>
      </c>
    </row>
    <row r="24" spans="1:174" ht="15" customHeight="1">
      <c r="A24" s="104">
        <v>19</v>
      </c>
      <c r="B24" s="104">
        <f t="shared" si="39"/>
        <v>16756</v>
      </c>
      <c r="C24" s="98">
        <v>16923</v>
      </c>
      <c r="D24" s="99">
        <f t="shared" si="0"/>
        <v>167</v>
      </c>
      <c r="E24" s="149"/>
      <c r="F24" s="104">
        <v>19</v>
      </c>
      <c r="G24" s="104">
        <f t="shared" si="40"/>
        <v>42740</v>
      </c>
      <c r="H24" s="107">
        <v>42747</v>
      </c>
      <c r="I24" s="99">
        <f t="shared" si="1"/>
        <v>7</v>
      </c>
      <c r="J24" s="149"/>
      <c r="K24" s="104">
        <v>19</v>
      </c>
      <c r="L24" s="104">
        <f t="shared" si="41"/>
        <v>851204</v>
      </c>
      <c r="M24" s="107">
        <v>851397</v>
      </c>
      <c r="N24" s="99">
        <f t="shared" si="2"/>
        <v>193</v>
      </c>
      <c r="O24" s="101"/>
      <c r="P24" s="104">
        <v>19</v>
      </c>
      <c r="Q24" s="104">
        <f t="shared" si="42"/>
        <v>2493</v>
      </c>
      <c r="R24" s="107">
        <v>2503</v>
      </c>
      <c r="S24" s="99">
        <f t="shared" si="3"/>
        <v>10</v>
      </c>
      <c r="T24" s="100"/>
      <c r="U24" s="102">
        <v>19</v>
      </c>
      <c r="V24" s="373">
        <f t="shared" si="4"/>
        <v>377</v>
      </c>
      <c r="W24" s="103">
        <f>'Maldives at LG Daily'!I23</f>
        <v>0</v>
      </c>
      <c r="X24" s="122"/>
      <c r="Y24" s="249" t="e">
        <f t="shared" si="5"/>
        <v>#DIV/0!</v>
      </c>
      <c r="AA24" s="158">
        <v>19</v>
      </c>
      <c r="AB24" s="106">
        <f t="shared" si="43"/>
        <v>49133</v>
      </c>
      <c r="AC24" s="106">
        <v>49164</v>
      </c>
      <c r="AD24" s="106">
        <f t="shared" si="6"/>
        <v>31</v>
      </c>
      <c r="AE24" s="106">
        <f t="shared" si="99"/>
        <v>7</v>
      </c>
      <c r="AF24" s="234"/>
      <c r="AG24" s="158">
        <f t="shared" si="44"/>
        <v>11016</v>
      </c>
      <c r="AH24" s="106">
        <v>11022</v>
      </c>
      <c r="AI24" s="106">
        <f t="shared" si="45"/>
        <v>6</v>
      </c>
      <c r="AJ24" s="106">
        <f t="shared" si="100"/>
        <v>-1</v>
      </c>
      <c r="AK24" s="106"/>
      <c r="AL24" s="158">
        <f t="shared" si="46"/>
        <v>10549</v>
      </c>
      <c r="AM24" s="106">
        <v>10559</v>
      </c>
      <c r="AN24" s="106">
        <f t="shared" si="7"/>
        <v>10</v>
      </c>
      <c r="AO24" s="106">
        <f t="shared" si="47"/>
        <v>1</v>
      </c>
      <c r="AP24" s="106"/>
      <c r="AQ24" s="158">
        <f t="shared" si="48"/>
        <v>20146</v>
      </c>
      <c r="AR24" s="106">
        <v>20158</v>
      </c>
      <c r="AS24" s="106">
        <f t="shared" si="8"/>
        <v>12</v>
      </c>
      <c r="AT24" s="106">
        <f t="shared" si="49"/>
        <v>0</v>
      </c>
      <c r="AU24" s="106"/>
      <c r="AV24" s="158">
        <f t="shared" si="50"/>
        <v>36130</v>
      </c>
      <c r="AW24" s="106">
        <v>36139</v>
      </c>
      <c r="AX24" s="106">
        <f t="shared" si="9"/>
        <v>9</v>
      </c>
      <c r="AY24" s="106">
        <f t="shared" si="51"/>
        <v>0</v>
      </c>
      <c r="AZ24" s="106"/>
      <c r="BA24" s="158">
        <f t="shared" si="52"/>
        <v>9754</v>
      </c>
      <c r="BB24" s="106">
        <v>9761</v>
      </c>
      <c r="BC24" s="106">
        <f t="shared" si="10"/>
        <v>7</v>
      </c>
      <c r="BD24" s="106">
        <f t="shared" si="53"/>
        <v>-1</v>
      </c>
      <c r="BE24" s="106"/>
      <c r="BF24" s="158">
        <f t="shared" si="54"/>
        <v>26625</v>
      </c>
      <c r="BG24" s="106">
        <v>26635</v>
      </c>
      <c r="BH24" s="106">
        <f t="shared" si="11"/>
        <v>10</v>
      </c>
      <c r="BI24" s="106">
        <f t="shared" si="55"/>
        <v>-1</v>
      </c>
      <c r="BJ24" s="106"/>
      <c r="BK24" s="158">
        <f t="shared" si="56"/>
        <v>10646</v>
      </c>
      <c r="BL24" s="106">
        <v>10655</v>
      </c>
      <c r="BM24" s="106">
        <f t="shared" si="12"/>
        <v>9</v>
      </c>
      <c r="BN24" s="106">
        <f t="shared" si="57"/>
        <v>0</v>
      </c>
      <c r="BO24" s="106"/>
      <c r="BP24" s="158">
        <f t="shared" si="58"/>
        <v>4294</v>
      </c>
      <c r="BQ24" s="106">
        <v>4296</v>
      </c>
      <c r="BR24" s="253">
        <f t="shared" si="13"/>
        <v>2</v>
      </c>
      <c r="BS24" s="106">
        <f t="shared" si="59"/>
        <v>0</v>
      </c>
      <c r="BT24" s="106"/>
      <c r="BU24" s="158">
        <f t="shared" si="60"/>
        <v>1892</v>
      </c>
      <c r="BV24" s="106">
        <v>1892</v>
      </c>
      <c r="BW24" s="106">
        <f t="shared" si="14"/>
        <v>0</v>
      </c>
      <c r="BX24" s="106">
        <f t="shared" si="61"/>
        <v>-1</v>
      </c>
      <c r="BY24" s="106"/>
      <c r="BZ24" s="162">
        <f t="shared" si="62"/>
        <v>29431</v>
      </c>
      <c r="CA24" s="106">
        <v>29443</v>
      </c>
      <c r="CB24" s="253">
        <f t="shared" si="15"/>
        <v>12</v>
      </c>
      <c r="CC24" s="106">
        <f t="shared" si="63"/>
        <v>7</v>
      </c>
      <c r="CD24" s="156"/>
      <c r="CE24" s="162">
        <f t="shared" si="64"/>
        <v>3640</v>
      </c>
      <c r="CF24" s="106">
        <v>3642</v>
      </c>
      <c r="CG24" s="106">
        <f t="shared" si="16"/>
        <v>2</v>
      </c>
      <c r="CH24" s="106">
        <f t="shared" si="65"/>
        <v>-11</v>
      </c>
      <c r="CI24" s="156"/>
      <c r="CJ24" s="162">
        <f t="shared" si="66"/>
        <v>87247</v>
      </c>
      <c r="CK24" s="106">
        <v>87278</v>
      </c>
      <c r="CL24" s="106">
        <f t="shared" si="17"/>
        <v>31</v>
      </c>
      <c r="CM24" s="106">
        <f t="shared" si="67"/>
        <v>-5</v>
      </c>
      <c r="CN24" s="156"/>
      <c r="CO24" s="162">
        <f t="shared" si="68"/>
        <v>26751</v>
      </c>
      <c r="CP24" s="106">
        <v>26760</v>
      </c>
      <c r="CQ24" s="106">
        <f t="shared" si="18"/>
        <v>9</v>
      </c>
      <c r="CR24" s="106">
        <f t="shared" si="69"/>
        <v>-1</v>
      </c>
      <c r="CS24" s="156"/>
      <c r="CT24" s="162">
        <f t="shared" si="70"/>
        <v>12889</v>
      </c>
      <c r="CU24" s="106">
        <v>12890</v>
      </c>
      <c r="CV24" s="106">
        <f t="shared" si="19"/>
        <v>1</v>
      </c>
      <c r="CW24" s="106">
        <f t="shared" si="71"/>
        <v>0</v>
      </c>
      <c r="CX24" s="156"/>
      <c r="CY24" s="162">
        <f t="shared" si="72"/>
        <v>19953</v>
      </c>
      <c r="CZ24" s="106">
        <v>19959</v>
      </c>
      <c r="DA24" s="106">
        <f t="shared" si="20"/>
        <v>6</v>
      </c>
      <c r="DB24" s="106">
        <f t="shared" si="73"/>
        <v>3</v>
      </c>
      <c r="DC24" s="156"/>
      <c r="DD24" s="162">
        <f t="shared" si="74"/>
        <v>21226</v>
      </c>
      <c r="DE24" s="106">
        <v>21228</v>
      </c>
      <c r="DF24" s="106">
        <f t="shared" si="21"/>
        <v>2</v>
      </c>
      <c r="DG24" s="106">
        <f t="shared" si="75"/>
        <v>-2</v>
      </c>
      <c r="DH24" s="156"/>
      <c r="DI24" s="162">
        <f t="shared" si="76"/>
        <v>10217</v>
      </c>
      <c r="DJ24" s="106">
        <v>10227</v>
      </c>
      <c r="DK24" s="106">
        <f t="shared" si="22"/>
        <v>10</v>
      </c>
      <c r="DL24" s="106">
        <f t="shared" si="77"/>
        <v>2</v>
      </c>
      <c r="DM24" s="156"/>
      <c r="DN24" s="162">
        <f t="shared" si="78"/>
        <v>27525</v>
      </c>
      <c r="DO24" s="106">
        <v>27544</v>
      </c>
      <c r="DP24" s="106">
        <f t="shared" si="23"/>
        <v>19</v>
      </c>
      <c r="DQ24" s="106">
        <f t="shared" si="79"/>
        <v>1</v>
      </c>
      <c r="DR24" s="156"/>
      <c r="DS24" s="162">
        <f t="shared" si="80"/>
        <v>2941</v>
      </c>
      <c r="DT24" s="106">
        <v>2944</v>
      </c>
      <c r="DU24" s="106">
        <f t="shared" si="24"/>
        <v>3</v>
      </c>
      <c r="DV24" s="106">
        <f t="shared" si="81"/>
        <v>0</v>
      </c>
      <c r="DW24" s="156"/>
      <c r="DX24" s="162">
        <f t="shared" si="82"/>
        <v>266</v>
      </c>
      <c r="DY24" s="106">
        <v>268</v>
      </c>
      <c r="DZ24" s="106">
        <f t="shared" si="25"/>
        <v>2</v>
      </c>
      <c r="EA24" s="106">
        <f t="shared" si="83"/>
        <v>-4</v>
      </c>
      <c r="EB24" s="156"/>
      <c r="EC24" s="162">
        <f t="shared" si="104"/>
        <v>0</v>
      </c>
      <c r="ED24" s="106"/>
      <c r="EE24" s="156">
        <f t="shared" si="26"/>
        <v>0</v>
      </c>
      <c r="EF24" s="162">
        <f t="shared" si="101"/>
        <v>0</v>
      </c>
      <c r="EG24" s="106"/>
      <c r="EH24" s="156">
        <f t="shared" si="27"/>
        <v>0</v>
      </c>
      <c r="EI24" s="162">
        <f t="shared" si="102"/>
        <v>0</v>
      </c>
      <c r="EJ24" s="106"/>
      <c r="EK24" s="156">
        <f t="shared" si="28"/>
        <v>0</v>
      </c>
      <c r="EL24" s="162">
        <f t="shared" si="103"/>
        <v>0</v>
      </c>
      <c r="EM24" s="106"/>
      <c r="EN24" s="156">
        <f t="shared" si="29"/>
        <v>0</v>
      </c>
      <c r="EO24" s="162">
        <f t="shared" si="88"/>
        <v>0</v>
      </c>
      <c r="EP24" s="106"/>
      <c r="EQ24" s="156">
        <f t="shared" si="30"/>
        <v>0</v>
      </c>
      <c r="ER24" s="162">
        <f t="shared" si="89"/>
        <v>0</v>
      </c>
      <c r="ES24" s="106"/>
      <c r="ET24" s="156">
        <f t="shared" si="31"/>
        <v>0</v>
      </c>
      <c r="EU24" s="162">
        <f t="shared" si="90"/>
        <v>0</v>
      </c>
      <c r="EV24" s="106"/>
      <c r="EW24" s="156">
        <f t="shared" si="91"/>
        <v>0</v>
      </c>
      <c r="EX24" s="162">
        <f t="shared" si="92"/>
        <v>0</v>
      </c>
      <c r="EY24" s="106"/>
      <c r="EZ24" s="156">
        <f t="shared" si="32"/>
        <v>0</v>
      </c>
      <c r="FA24" s="162">
        <f t="shared" si="93"/>
        <v>0</v>
      </c>
      <c r="FB24" s="106"/>
      <c r="FC24" s="156">
        <f t="shared" si="33"/>
        <v>0</v>
      </c>
      <c r="FD24" s="162">
        <f t="shared" si="94"/>
        <v>0</v>
      </c>
      <c r="FE24" s="106"/>
      <c r="FF24" s="156">
        <f t="shared" si="34"/>
        <v>0</v>
      </c>
      <c r="FG24" s="162">
        <f t="shared" si="95"/>
        <v>0</v>
      </c>
      <c r="FH24" s="106"/>
      <c r="FI24" s="156">
        <f t="shared" si="35"/>
        <v>0</v>
      </c>
      <c r="FJ24" s="162">
        <f t="shared" si="96"/>
        <v>0</v>
      </c>
      <c r="FK24" s="106"/>
      <c r="FL24" s="156">
        <f t="shared" si="36"/>
        <v>0</v>
      </c>
      <c r="FM24" s="162">
        <f t="shared" si="97"/>
        <v>0</v>
      </c>
      <c r="FN24" s="106"/>
      <c r="FO24" s="156">
        <f t="shared" si="37"/>
        <v>0</v>
      </c>
      <c r="FP24" s="162">
        <f t="shared" si="98"/>
        <v>0</v>
      </c>
      <c r="FQ24" s="106"/>
      <c r="FR24" s="156">
        <f t="shared" si="38"/>
        <v>0</v>
      </c>
    </row>
    <row r="25" spans="1:174" ht="15" customHeight="1">
      <c r="A25" s="104">
        <v>20</v>
      </c>
      <c r="B25" s="104">
        <f t="shared" si="39"/>
        <v>16923</v>
      </c>
      <c r="C25" s="98">
        <v>17108</v>
      </c>
      <c r="D25" s="99">
        <f t="shared" si="0"/>
        <v>185</v>
      </c>
      <c r="E25" s="149"/>
      <c r="F25" s="104">
        <v>20</v>
      </c>
      <c r="G25" s="104">
        <f t="shared" si="40"/>
        <v>42747</v>
      </c>
      <c r="H25" s="107">
        <v>42747</v>
      </c>
      <c r="I25" s="99">
        <f t="shared" si="1"/>
        <v>0</v>
      </c>
      <c r="J25" s="149"/>
      <c r="K25" s="104">
        <v>20</v>
      </c>
      <c r="L25" s="104">
        <f t="shared" si="41"/>
        <v>851397</v>
      </c>
      <c r="M25" s="107">
        <v>851566</v>
      </c>
      <c r="N25" s="99">
        <f t="shared" si="2"/>
        <v>169</v>
      </c>
      <c r="O25" s="101"/>
      <c r="P25" s="104">
        <v>20</v>
      </c>
      <c r="Q25" s="104">
        <f t="shared" si="42"/>
        <v>2503</v>
      </c>
      <c r="R25" s="107">
        <v>2529</v>
      </c>
      <c r="S25" s="99">
        <f t="shared" si="3"/>
        <v>26</v>
      </c>
      <c r="T25" s="100"/>
      <c r="U25" s="104">
        <v>20</v>
      </c>
      <c r="V25" s="373">
        <f t="shared" si="4"/>
        <v>380</v>
      </c>
      <c r="W25" s="103">
        <f>'Maldives at LG Daily'!I24</f>
        <v>0</v>
      </c>
      <c r="X25" s="122"/>
      <c r="Y25" s="249" t="e">
        <f t="shared" si="5"/>
        <v>#DIV/0!</v>
      </c>
      <c r="AA25" s="158">
        <v>20</v>
      </c>
      <c r="AB25" s="106">
        <f t="shared" si="43"/>
        <v>49164</v>
      </c>
      <c r="AC25" s="106">
        <v>49189</v>
      </c>
      <c r="AD25" s="106">
        <f>MAX(0,AC25-AB25)</f>
        <v>25</v>
      </c>
      <c r="AE25" s="106">
        <f t="shared" si="99"/>
        <v>-6</v>
      </c>
      <c r="AF25" s="234"/>
      <c r="AG25" s="158">
        <f t="shared" si="44"/>
        <v>11022</v>
      </c>
      <c r="AH25" s="106">
        <v>11029</v>
      </c>
      <c r="AI25" s="106">
        <f t="shared" si="45"/>
        <v>7</v>
      </c>
      <c r="AJ25" s="106">
        <f t="shared" si="100"/>
        <v>1</v>
      </c>
      <c r="AK25" s="106"/>
      <c r="AL25" s="158">
        <f t="shared" si="46"/>
        <v>10559</v>
      </c>
      <c r="AM25" s="106">
        <v>10569</v>
      </c>
      <c r="AN25" s="106">
        <f t="shared" si="7"/>
        <v>10</v>
      </c>
      <c r="AO25" s="106">
        <f t="shared" si="47"/>
        <v>0</v>
      </c>
      <c r="AP25" s="106"/>
      <c r="AQ25" s="158">
        <f t="shared" si="48"/>
        <v>20158</v>
      </c>
      <c r="AR25" s="106">
        <v>20171</v>
      </c>
      <c r="AS25" s="106">
        <f t="shared" si="8"/>
        <v>13</v>
      </c>
      <c r="AT25" s="106">
        <f t="shared" si="49"/>
        <v>1</v>
      </c>
      <c r="AU25" s="106"/>
      <c r="AV25" s="158">
        <f t="shared" si="50"/>
        <v>36139</v>
      </c>
      <c r="AW25" s="106">
        <v>36149</v>
      </c>
      <c r="AX25" s="106">
        <f t="shared" si="9"/>
        <v>10</v>
      </c>
      <c r="AY25" s="106">
        <f t="shared" si="51"/>
        <v>1</v>
      </c>
      <c r="AZ25" s="106"/>
      <c r="BA25" s="158">
        <f t="shared" si="52"/>
        <v>9761</v>
      </c>
      <c r="BB25" s="106">
        <v>9768</v>
      </c>
      <c r="BC25" s="106">
        <f t="shared" si="10"/>
        <v>7</v>
      </c>
      <c r="BD25" s="106">
        <f t="shared" si="53"/>
        <v>0</v>
      </c>
      <c r="BE25" s="106"/>
      <c r="BF25" s="158">
        <f t="shared" si="54"/>
        <v>26635</v>
      </c>
      <c r="BG25" s="106">
        <v>26645</v>
      </c>
      <c r="BH25" s="106">
        <f t="shared" si="11"/>
        <v>10</v>
      </c>
      <c r="BI25" s="106">
        <f t="shared" si="55"/>
        <v>0</v>
      </c>
      <c r="BJ25" s="106"/>
      <c r="BK25" s="158">
        <f t="shared" si="56"/>
        <v>10655</v>
      </c>
      <c r="BL25" s="106">
        <v>10665</v>
      </c>
      <c r="BM25" s="106">
        <f t="shared" si="12"/>
        <v>10</v>
      </c>
      <c r="BN25" s="106">
        <f t="shared" si="57"/>
        <v>1</v>
      </c>
      <c r="BO25" s="106"/>
      <c r="BP25" s="158">
        <f t="shared" si="58"/>
        <v>4296</v>
      </c>
      <c r="BQ25" s="106">
        <v>4297</v>
      </c>
      <c r="BR25" s="253">
        <f t="shared" si="13"/>
        <v>1</v>
      </c>
      <c r="BS25" s="106">
        <f t="shared" si="59"/>
        <v>-1</v>
      </c>
      <c r="BT25" s="106"/>
      <c r="BU25" s="158">
        <f t="shared" si="60"/>
        <v>1892</v>
      </c>
      <c r="BV25" s="106">
        <v>1892</v>
      </c>
      <c r="BW25" s="106">
        <f t="shared" si="14"/>
        <v>0</v>
      </c>
      <c r="BX25" s="106">
        <f t="shared" si="61"/>
        <v>0</v>
      </c>
      <c r="BY25" s="106"/>
      <c r="BZ25" s="162">
        <f t="shared" si="62"/>
        <v>29443</v>
      </c>
      <c r="CA25" s="106">
        <v>29445</v>
      </c>
      <c r="CB25" s="253">
        <f t="shared" si="15"/>
        <v>2</v>
      </c>
      <c r="CC25" s="106">
        <f t="shared" si="63"/>
        <v>-10</v>
      </c>
      <c r="CD25" s="156"/>
      <c r="CE25" s="162">
        <f t="shared" si="64"/>
        <v>3642</v>
      </c>
      <c r="CF25" s="106">
        <v>3643</v>
      </c>
      <c r="CG25" s="106">
        <f t="shared" si="16"/>
        <v>1</v>
      </c>
      <c r="CH25" s="106">
        <f t="shared" si="65"/>
        <v>-1</v>
      </c>
      <c r="CI25" s="156"/>
      <c r="CJ25" s="162">
        <f t="shared" si="66"/>
        <v>87278</v>
      </c>
      <c r="CK25" s="106">
        <v>87306</v>
      </c>
      <c r="CL25" s="106">
        <f t="shared" si="17"/>
        <v>28</v>
      </c>
      <c r="CM25" s="106">
        <f t="shared" si="67"/>
        <v>-3</v>
      </c>
      <c r="CN25" s="156"/>
      <c r="CO25" s="162">
        <f t="shared" si="68"/>
        <v>26760</v>
      </c>
      <c r="CP25" s="106">
        <v>26770</v>
      </c>
      <c r="CQ25" s="106">
        <f t="shared" si="18"/>
        <v>10</v>
      </c>
      <c r="CR25" s="106">
        <f t="shared" si="69"/>
        <v>1</v>
      </c>
      <c r="CS25" s="156"/>
      <c r="CT25" s="162">
        <f t="shared" si="70"/>
        <v>12890</v>
      </c>
      <c r="CU25" s="106">
        <v>12891</v>
      </c>
      <c r="CV25" s="106">
        <f t="shared" si="19"/>
        <v>1</v>
      </c>
      <c r="CW25" s="106">
        <f t="shared" si="71"/>
        <v>0</v>
      </c>
      <c r="CX25" s="156"/>
      <c r="CY25" s="162">
        <f t="shared" si="72"/>
        <v>19959</v>
      </c>
      <c r="CZ25" s="106">
        <v>19969</v>
      </c>
      <c r="DA25" s="106">
        <f t="shared" si="20"/>
        <v>10</v>
      </c>
      <c r="DB25" s="106">
        <f t="shared" si="73"/>
        <v>4</v>
      </c>
      <c r="DC25" s="156"/>
      <c r="DD25" s="162">
        <f t="shared" si="74"/>
        <v>21228</v>
      </c>
      <c r="DE25" s="106">
        <v>21231</v>
      </c>
      <c r="DF25" s="106">
        <f t="shared" si="21"/>
        <v>3</v>
      </c>
      <c r="DG25" s="106">
        <f t="shared" si="75"/>
        <v>1</v>
      </c>
      <c r="DH25" s="156"/>
      <c r="DI25" s="162">
        <f t="shared" si="76"/>
        <v>10227</v>
      </c>
      <c r="DJ25" s="106">
        <v>10234</v>
      </c>
      <c r="DK25" s="106">
        <f t="shared" si="22"/>
        <v>7</v>
      </c>
      <c r="DL25" s="106">
        <f t="shared" si="77"/>
        <v>-3</v>
      </c>
      <c r="DM25" s="156"/>
      <c r="DN25" s="162">
        <f t="shared" si="78"/>
        <v>27544</v>
      </c>
      <c r="DO25" s="106">
        <v>27561</v>
      </c>
      <c r="DP25" s="106">
        <f t="shared" si="23"/>
        <v>17</v>
      </c>
      <c r="DQ25" s="106">
        <f t="shared" si="79"/>
        <v>-2</v>
      </c>
      <c r="DR25" s="156"/>
      <c r="DS25" s="162">
        <f t="shared" si="80"/>
        <v>2944</v>
      </c>
      <c r="DT25" s="106">
        <v>2945</v>
      </c>
      <c r="DU25" s="106">
        <f t="shared" si="24"/>
        <v>1</v>
      </c>
      <c r="DV25" s="106">
        <f t="shared" si="81"/>
        <v>-2</v>
      </c>
      <c r="DW25" s="156"/>
      <c r="DX25" s="162">
        <f t="shared" si="82"/>
        <v>268</v>
      </c>
      <c r="DY25" s="106">
        <v>272</v>
      </c>
      <c r="DZ25" s="106">
        <f t="shared" si="25"/>
        <v>4</v>
      </c>
      <c r="EA25" s="106">
        <f t="shared" si="83"/>
        <v>2</v>
      </c>
      <c r="EB25" s="156"/>
      <c r="EC25" s="162">
        <f t="shared" si="104"/>
        <v>0</v>
      </c>
      <c r="ED25" s="106"/>
      <c r="EE25" s="156">
        <f t="shared" si="26"/>
        <v>0</v>
      </c>
      <c r="EF25" s="162">
        <f t="shared" si="101"/>
        <v>0</v>
      </c>
      <c r="EG25" s="106"/>
      <c r="EH25" s="156">
        <f t="shared" si="27"/>
        <v>0</v>
      </c>
      <c r="EI25" s="162">
        <f t="shared" si="102"/>
        <v>0</v>
      </c>
      <c r="EJ25" s="106"/>
      <c r="EK25" s="156">
        <f t="shared" si="28"/>
        <v>0</v>
      </c>
      <c r="EL25" s="162">
        <f t="shared" si="103"/>
        <v>0</v>
      </c>
      <c r="EM25" s="106"/>
      <c r="EN25" s="156">
        <f t="shared" si="29"/>
        <v>0</v>
      </c>
      <c r="EO25" s="162">
        <f t="shared" si="88"/>
        <v>0</v>
      </c>
      <c r="EP25" s="106"/>
      <c r="EQ25" s="156">
        <f t="shared" si="30"/>
        <v>0</v>
      </c>
      <c r="ER25" s="162">
        <f t="shared" si="89"/>
        <v>0</v>
      </c>
      <c r="ES25" s="106"/>
      <c r="ET25" s="156">
        <f t="shared" si="31"/>
        <v>0</v>
      </c>
      <c r="EU25" s="162">
        <f t="shared" si="90"/>
        <v>0</v>
      </c>
      <c r="EV25" s="106"/>
      <c r="EW25" s="156">
        <f t="shared" si="91"/>
        <v>0</v>
      </c>
      <c r="EX25" s="162">
        <f t="shared" si="92"/>
        <v>0</v>
      </c>
      <c r="EY25" s="106"/>
      <c r="EZ25" s="156">
        <f t="shared" si="32"/>
        <v>0</v>
      </c>
      <c r="FA25" s="162">
        <f t="shared" si="93"/>
        <v>0</v>
      </c>
      <c r="FB25" s="106"/>
      <c r="FC25" s="156">
        <f t="shared" si="33"/>
        <v>0</v>
      </c>
      <c r="FD25" s="162">
        <f t="shared" si="94"/>
        <v>0</v>
      </c>
      <c r="FE25" s="106"/>
      <c r="FF25" s="156">
        <f t="shared" si="34"/>
        <v>0</v>
      </c>
      <c r="FG25" s="162">
        <f t="shared" si="95"/>
        <v>0</v>
      </c>
      <c r="FH25" s="106"/>
      <c r="FI25" s="156">
        <f t="shared" si="35"/>
        <v>0</v>
      </c>
      <c r="FJ25" s="162">
        <f t="shared" si="96"/>
        <v>0</v>
      </c>
      <c r="FK25" s="106"/>
      <c r="FL25" s="156">
        <f t="shared" si="36"/>
        <v>0</v>
      </c>
      <c r="FM25" s="162">
        <f t="shared" si="97"/>
        <v>0</v>
      </c>
      <c r="FN25" s="106"/>
      <c r="FO25" s="156">
        <f t="shared" si="37"/>
        <v>0</v>
      </c>
      <c r="FP25" s="162">
        <f t="shared" si="98"/>
        <v>0</v>
      </c>
      <c r="FQ25" s="106"/>
      <c r="FR25" s="156">
        <f t="shared" si="38"/>
        <v>0</v>
      </c>
    </row>
    <row r="26" spans="1:174" ht="15" customHeight="1">
      <c r="A26" s="104">
        <v>21</v>
      </c>
      <c r="B26" s="104">
        <f t="shared" si="39"/>
        <v>17108</v>
      </c>
      <c r="C26" s="98">
        <v>17300</v>
      </c>
      <c r="D26" s="99">
        <f t="shared" si="0"/>
        <v>192</v>
      </c>
      <c r="E26" s="149"/>
      <c r="F26" s="104">
        <v>21</v>
      </c>
      <c r="G26" s="104">
        <f t="shared" si="40"/>
        <v>42747</v>
      </c>
      <c r="H26" s="105">
        <v>42769</v>
      </c>
      <c r="I26" s="99">
        <f t="shared" si="1"/>
        <v>22</v>
      </c>
      <c r="J26" s="149"/>
      <c r="K26" s="104">
        <v>21</v>
      </c>
      <c r="L26" s="104">
        <f t="shared" si="41"/>
        <v>851566</v>
      </c>
      <c r="M26" s="105">
        <v>851751</v>
      </c>
      <c r="N26" s="99">
        <f t="shared" si="2"/>
        <v>185</v>
      </c>
      <c r="O26" s="101"/>
      <c r="P26" s="104">
        <v>21</v>
      </c>
      <c r="Q26" s="104">
        <f t="shared" si="42"/>
        <v>2529</v>
      </c>
      <c r="R26" s="105">
        <v>2529</v>
      </c>
      <c r="S26" s="99">
        <f t="shared" si="3"/>
        <v>0</v>
      </c>
      <c r="T26" s="100"/>
      <c r="U26" s="102">
        <v>21</v>
      </c>
      <c r="V26" s="373">
        <f t="shared" si="4"/>
        <v>399</v>
      </c>
      <c r="W26" s="103">
        <f>'Maldives at LG Daily'!I25</f>
        <v>0</v>
      </c>
      <c r="X26" s="122"/>
      <c r="Y26" s="249" t="e">
        <f t="shared" si="5"/>
        <v>#DIV/0!</v>
      </c>
      <c r="AA26" s="158">
        <v>21</v>
      </c>
      <c r="AB26" s="106">
        <f t="shared" si="43"/>
        <v>49189</v>
      </c>
      <c r="AC26" s="106">
        <v>49216</v>
      </c>
      <c r="AD26" s="106">
        <f t="shared" si="6"/>
        <v>27</v>
      </c>
      <c r="AE26" s="106">
        <f t="shared" si="99"/>
        <v>2</v>
      </c>
      <c r="AF26" s="234"/>
      <c r="AG26" s="158">
        <f t="shared" si="44"/>
        <v>11029</v>
      </c>
      <c r="AH26" s="106">
        <v>11035</v>
      </c>
      <c r="AI26" s="106">
        <f t="shared" si="45"/>
        <v>6</v>
      </c>
      <c r="AJ26" s="106">
        <f t="shared" si="100"/>
        <v>-1</v>
      </c>
      <c r="AK26" s="106"/>
      <c r="AL26" s="158">
        <f t="shared" si="46"/>
        <v>10569</v>
      </c>
      <c r="AM26" s="106">
        <v>10579</v>
      </c>
      <c r="AN26" s="106">
        <f t="shared" si="7"/>
        <v>10</v>
      </c>
      <c r="AO26" s="106">
        <f t="shared" si="47"/>
        <v>0</v>
      </c>
      <c r="AP26" s="106"/>
      <c r="AQ26" s="158">
        <f t="shared" si="48"/>
        <v>20171</v>
      </c>
      <c r="AR26" s="106">
        <v>20183</v>
      </c>
      <c r="AS26" s="106">
        <f t="shared" si="8"/>
        <v>12</v>
      </c>
      <c r="AT26" s="106">
        <f t="shared" si="49"/>
        <v>-1</v>
      </c>
      <c r="AU26" s="106"/>
      <c r="AV26" s="158">
        <f t="shared" si="50"/>
        <v>36149</v>
      </c>
      <c r="AW26" s="106">
        <v>36158</v>
      </c>
      <c r="AX26" s="106">
        <f t="shared" si="9"/>
        <v>9</v>
      </c>
      <c r="AY26" s="106">
        <f t="shared" si="51"/>
        <v>-1</v>
      </c>
      <c r="AZ26" s="106"/>
      <c r="BA26" s="158">
        <f t="shared" si="52"/>
        <v>9768</v>
      </c>
      <c r="BB26" s="106">
        <v>9775</v>
      </c>
      <c r="BC26" s="106">
        <f t="shared" si="10"/>
        <v>7</v>
      </c>
      <c r="BD26" s="106">
        <f t="shared" si="53"/>
        <v>0</v>
      </c>
      <c r="BE26" s="106"/>
      <c r="BF26" s="158">
        <f t="shared" si="54"/>
        <v>26645</v>
      </c>
      <c r="BG26" s="106">
        <v>26654</v>
      </c>
      <c r="BH26" s="106">
        <f t="shared" si="11"/>
        <v>9</v>
      </c>
      <c r="BI26" s="106">
        <f t="shared" si="55"/>
        <v>-1</v>
      </c>
      <c r="BJ26" s="106"/>
      <c r="BK26" s="158">
        <f t="shared" si="56"/>
        <v>10665</v>
      </c>
      <c r="BL26" s="106">
        <v>10674</v>
      </c>
      <c r="BM26" s="106">
        <f t="shared" si="12"/>
        <v>9</v>
      </c>
      <c r="BN26" s="106">
        <f t="shared" si="57"/>
        <v>-1</v>
      </c>
      <c r="BO26" s="106"/>
      <c r="BP26" s="158">
        <f t="shared" si="58"/>
        <v>4297</v>
      </c>
      <c r="BQ26" s="106">
        <v>4297</v>
      </c>
      <c r="BR26" s="253">
        <f t="shared" si="13"/>
        <v>0</v>
      </c>
      <c r="BS26" s="106">
        <f t="shared" si="59"/>
        <v>-1</v>
      </c>
      <c r="BT26" s="106"/>
      <c r="BU26" s="158">
        <f t="shared" si="60"/>
        <v>1892</v>
      </c>
      <c r="BV26" s="106">
        <v>1892</v>
      </c>
      <c r="BW26" s="106">
        <f t="shared" si="14"/>
        <v>0</v>
      </c>
      <c r="BX26" s="106">
        <f t="shared" si="61"/>
        <v>0</v>
      </c>
      <c r="BY26" s="106"/>
      <c r="BZ26" s="162">
        <f t="shared" si="62"/>
        <v>29445</v>
      </c>
      <c r="CA26" s="106">
        <v>29446</v>
      </c>
      <c r="CB26" s="253">
        <f t="shared" si="15"/>
        <v>1</v>
      </c>
      <c r="CC26" s="106">
        <f t="shared" si="63"/>
        <v>-1</v>
      </c>
      <c r="CD26" s="156"/>
      <c r="CE26" s="162">
        <f t="shared" si="64"/>
        <v>3643</v>
      </c>
      <c r="CF26" s="106">
        <v>3643</v>
      </c>
      <c r="CG26" s="106">
        <f t="shared" si="16"/>
        <v>0</v>
      </c>
      <c r="CH26" s="106">
        <f t="shared" si="65"/>
        <v>-1</v>
      </c>
      <c r="CI26" s="156"/>
      <c r="CJ26" s="162">
        <f t="shared" si="66"/>
        <v>87306</v>
      </c>
      <c r="CK26" s="106">
        <v>87339</v>
      </c>
      <c r="CL26" s="106">
        <f t="shared" si="17"/>
        <v>33</v>
      </c>
      <c r="CM26" s="106">
        <f t="shared" si="67"/>
        <v>5</v>
      </c>
      <c r="CN26" s="156"/>
      <c r="CO26" s="162">
        <f t="shared" si="68"/>
        <v>26770</v>
      </c>
      <c r="CP26" s="106">
        <v>26780</v>
      </c>
      <c r="CQ26" s="106">
        <f t="shared" si="18"/>
        <v>10</v>
      </c>
      <c r="CR26" s="106">
        <f t="shared" si="69"/>
        <v>0</v>
      </c>
      <c r="CS26" s="156"/>
      <c r="CT26" s="162">
        <f t="shared" si="70"/>
        <v>12891</v>
      </c>
      <c r="CU26" s="106">
        <v>12894</v>
      </c>
      <c r="CV26" s="106">
        <f t="shared" si="19"/>
        <v>3</v>
      </c>
      <c r="CW26" s="106">
        <f t="shared" si="71"/>
        <v>2</v>
      </c>
      <c r="CX26" s="156"/>
      <c r="CY26" s="162">
        <f t="shared" si="72"/>
        <v>19969</v>
      </c>
      <c r="CZ26" s="106">
        <v>19975</v>
      </c>
      <c r="DA26" s="106">
        <f t="shared" si="20"/>
        <v>6</v>
      </c>
      <c r="DB26" s="106">
        <f t="shared" si="73"/>
        <v>-4</v>
      </c>
      <c r="DC26" s="156"/>
      <c r="DD26" s="162">
        <f t="shared" si="74"/>
        <v>21231</v>
      </c>
      <c r="DE26" s="106">
        <v>21233</v>
      </c>
      <c r="DF26" s="106">
        <f t="shared" si="21"/>
        <v>2</v>
      </c>
      <c r="DG26" s="106">
        <f t="shared" si="75"/>
        <v>-1</v>
      </c>
      <c r="DH26" s="156"/>
      <c r="DI26" s="162">
        <f t="shared" si="76"/>
        <v>10234</v>
      </c>
      <c r="DJ26" s="106">
        <v>10238</v>
      </c>
      <c r="DK26" s="106">
        <f t="shared" si="22"/>
        <v>4</v>
      </c>
      <c r="DL26" s="106">
        <f t="shared" si="77"/>
        <v>-3</v>
      </c>
      <c r="DM26" s="156"/>
      <c r="DN26" s="162">
        <f t="shared" si="78"/>
        <v>27561</v>
      </c>
      <c r="DO26" s="106">
        <v>27580</v>
      </c>
      <c r="DP26" s="106">
        <f t="shared" si="23"/>
        <v>19</v>
      </c>
      <c r="DQ26" s="106">
        <f t="shared" si="79"/>
        <v>2</v>
      </c>
      <c r="DR26" s="156"/>
      <c r="DS26" s="162">
        <f t="shared" si="80"/>
        <v>2945</v>
      </c>
      <c r="DT26" s="106">
        <v>2951</v>
      </c>
      <c r="DU26" s="106">
        <f t="shared" si="24"/>
        <v>6</v>
      </c>
      <c r="DV26" s="106">
        <f t="shared" si="81"/>
        <v>5</v>
      </c>
      <c r="DW26" s="156"/>
      <c r="DX26" s="162">
        <f t="shared" si="82"/>
        <v>272</v>
      </c>
      <c r="DY26" s="106">
        <v>280</v>
      </c>
      <c r="DZ26" s="106">
        <f t="shared" si="25"/>
        <v>8</v>
      </c>
      <c r="EA26" s="106">
        <f t="shared" si="83"/>
        <v>4</v>
      </c>
      <c r="EB26" s="156"/>
      <c r="EC26" s="162">
        <f t="shared" si="104"/>
        <v>0</v>
      </c>
      <c r="ED26" s="106"/>
      <c r="EE26" s="156">
        <f t="shared" si="26"/>
        <v>0</v>
      </c>
      <c r="EF26" s="162">
        <f t="shared" si="101"/>
        <v>0</v>
      </c>
      <c r="EG26" s="106"/>
      <c r="EH26" s="156">
        <f t="shared" si="27"/>
        <v>0</v>
      </c>
      <c r="EI26" s="162">
        <f t="shared" si="102"/>
        <v>0</v>
      </c>
      <c r="EJ26" s="106"/>
      <c r="EK26" s="156">
        <f t="shared" si="28"/>
        <v>0</v>
      </c>
      <c r="EL26" s="162">
        <f t="shared" si="103"/>
        <v>0</v>
      </c>
      <c r="EM26" s="106"/>
      <c r="EN26" s="156">
        <f t="shared" si="29"/>
        <v>0</v>
      </c>
      <c r="EO26" s="162">
        <f t="shared" si="88"/>
        <v>0</v>
      </c>
      <c r="EP26" s="106"/>
      <c r="EQ26" s="156">
        <f t="shared" si="30"/>
        <v>0</v>
      </c>
      <c r="ER26" s="162">
        <f t="shared" si="89"/>
        <v>0</v>
      </c>
      <c r="ES26" s="106"/>
      <c r="ET26" s="156">
        <f t="shared" si="31"/>
        <v>0</v>
      </c>
      <c r="EU26" s="162">
        <f t="shared" si="90"/>
        <v>0</v>
      </c>
      <c r="EV26" s="106"/>
      <c r="EW26" s="156">
        <f t="shared" si="91"/>
        <v>0</v>
      </c>
      <c r="EX26" s="162">
        <f t="shared" si="92"/>
        <v>0</v>
      </c>
      <c r="EY26" s="106"/>
      <c r="EZ26" s="156">
        <f t="shared" si="32"/>
        <v>0</v>
      </c>
      <c r="FA26" s="162">
        <f t="shared" si="93"/>
        <v>0</v>
      </c>
      <c r="FB26" s="106"/>
      <c r="FC26" s="156">
        <f t="shared" si="33"/>
        <v>0</v>
      </c>
      <c r="FD26" s="162">
        <f t="shared" si="94"/>
        <v>0</v>
      </c>
      <c r="FE26" s="106"/>
      <c r="FF26" s="156">
        <f t="shared" si="34"/>
        <v>0</v>
      </c>
      <c r="FG26" s="162">
        <f t="shared" si="95"/>
        <v>0</v>
      </c>
      <c r="FH26" s="106"/>
      <c r="FI26" s="156">
        <f t="shared" si="35"/>
        <v>0</v>
      </c>
      <c r="FJ26" s="162">
        <f t="shared" si="96"/>
        <v>0</v>
      </c>
      <c r="FK26" s="106"/>
      <c r="FL26" s="156">
        <f t="shared" si="36"/>
        <v>0</v>
      </c>
      <c r="FM26" s="162">
        <f t="shared" si="97"/>
        <v>0</v>
      </c>
      <c r="FN26" s="106"/>
      <c r="FO26" s="156">
        <f t="shared" si="37"/>
        <v>0</v>
      </c>
      <c r="FP26" s="162">
        <f t="shared" si="98"/>
        <v>0</v>
      </c>
      <c r="FQ26" s="106"/>
      <c r="FR26" s="156">
        <f t="shared" si="38"/>
        <v>0</v>
      </c>
    </row>
    <row r="27" spans="1:174" ht="15" customHeight="1">
      <c r="A27" s="104">
        <v>22</v>
      </c>
      <c r="B27" s="104">
        <f t="shared" si="39"/>
        <v>17300</v>
      </c>
      <c r="C27" s="98">
        <v>17485</v>
      </c>
      <c r="D27" s="99">
        <f t="shared" si="0"/>
        <v>185</v>
      </c>
      <c r="E27" s="149"/>
      <c r="F27" s="104">
        <v>22</v>
      </c>
      <c r="G27" s="104">
        <f t="shared" si="40"/>
        <v>42769</v>
      </c>
      <c r="H27" s="105">
        <v>42769</v>
      </c>
      <c r="I27" s="99">
        <f t="shared" si="1"/>
        <v>0</v>
      </c>
      <c r="J27" s="149"/>
      <c r="K27" s="104">
        <v>22</v>
      </c>
      <c r="L27" s="104">
        <f t="shared" si="41"/>
        <v>851751</v>
      </c>
      <c r="M27" s="105">
        <v>851931</v>
      </c>
      <c r="N27" s="99">
        <f t="shared" si="2"/>
        <v>180</v>
      </c>
      <c r="O27" s="101"/>
      <c r="P27" s="104">
        <v>22</v>
      </c>
      <c r="Q27" s="104">
        <f t="shared" si="42"/>
        <v>2529</v>
      </c>
      <c r="R27" s="105">
        <v>2556</v>
      </c>
      <c r="S27" s="99">
        <f t="shared" si="3"/>
        <v>27</v>
      </c>
      <c r="T27" s="100"/>
      <c r="U27" s="102">
        <v>22</v>
      </c>
      <c r="V27" s="373">
        <f t="shared" si="4"/>
        <v>392</v>
      </c>
      <c r="W27" s="103">
        <f>'Maldives at LG Daily'!I26</f>
        <v>0</v>
      </c>
      <c r="X27" s="122"/>
      <c r="Y27" s="249" t="e">
        <f t="shared" si="5"/>
        <v>#DIV/0!</v>
      </c>
      <c r="AA27" s="158">
        <v>22</v>
      </c>
      <c r="AB27" s="106">
        <f t="shared" si="43"/>
        <v>49216</v>
      </c>
      <c r="AC27" s="106">
        <v>49245</v>
      </c>
      <c r="AD27" s="106">
        <f t="shared" si="6"/>
        <v>29</v>
      </c>
      <c r="AE27" s="106">
        <f t="shared" si="99"/>
        <v>2</v>
      </c>
      <c r="AF27" s="234"/>
      <c r="AG27" s="158">
        <f t="shared" si="44"/>
        <v>11035</v>
      </c>
      <c r="AH27" s="106">
        <v>11041</v>
      </c>
      <c r="AI27" s="106">
        <f t="shared" si="45"/>
        <v>6</v>
      </c>
      <c r="AJ27" s="106">
        <f t="shared" si="100"/>
        <v>0</v>
      </c>
      <c r="AK27" s="106"/>
      <c r="AL27" s="158">
        <f t="shared" si="46"/>
        <v>10579</v>
      </c>
      <c r="AM27" s="106">
        <v>10587</v>
      </c>
      <c r="AN27" s="106">
        <f t="shared" si="7"/>
        <v>8</v>
      </c>
      <c r="AO27" s="106">
        <f t="shared" si="47"/>
        <v>-2</v>
      </c>
      <c r="AP27" s="106"/>
      <c r="AQ27" s="158">
        <f t="shared" si="48"/>
        <v>20183</v>
      </c>
      <c r="AR27" s="106">
        <v>20195</v>
      </c>
      <c r="AS27" s="106">
        <f t="shared" si="8"/>
        <v>12</v>
      </c>
      <c r="AT27" s="106">
        <f t="shared" si="49"/>
        <v>0</v>
      </c>
      <c r="AU27" s="106"/>
      <c r="AV27" s="158">
        <f t="shared" si="50"/>
        <v>36158</v>
      </c>
      <c r="AW27" s="106">
        <v>36166</v>
      </c>
      <c r="AX27" s="106">
        <f t="shared" si="9"/>
        <v>8</v>
      </c>
      <c r="AY27" s="106">
        <f t="shared" si="51"/>
        <v>-1</v>
      </c>
      <c r="AZ27" s="106"/>
      <c r="BA27" s="158">
        <f t="shared" si="52"/>
        <v>9775</v>
      </c>
      <c r="BB27" s="106">
        <v>9782</v>
      </c>
      <c r="BC27" s="106">
        <f t="shared" si="10"/>
        <v>7</v>
      </c>
      <c r="BD27" s="106">
        <f t="shared" si="53"/>
        <v>0</v>
      </c>
      <c r="BE27" s="106"/>
      <c r="BF27" s="158">
        <f t="shared" si="54"/>
        <v>26654</v>
      </c>
      <c r="BG27" s="106">
        <v>26663</v>
      </c>
      <c r="BH27" s="106">
        <f t="shared" si="11"/>
        <v>9</v>
      </c>
      <c r="BI27" s="106">
        <f t="shared" si="55"/>
        <v>0</v>
      </c>
      <c r="BJ27" s="106"/>
      <c r="BK27" s="158">
        <f t="shared" si="56"/>
        <v>10674</v>
      </c>
      <c r="BL27" s="106">
        <v>10682</v>
      </c>
      <c r="BM27" s="106">
        <f t="shared" si="12"/>
        <v>8</v>
      </c>
      <c r="BN27" s="106">
        <f t="shared" si="57"/>
        <v>-1</v>
      </c>
      <c r="BO27" s="106"/>
      <c r="BP27" s="158">
        <f t="shared" si="58"/>
        <v>4297</v>
      </c>
      <c r="BQ27" s="106">
        <v>4299</v>
      </c>
      <c r="BR27" s="253">
        <f t="shared" si="13"/>
        <v>2</v>
      </c>
      <c r="BS27" s="106">
        <f t="shared" si="59"/>
        <v>2</v>
      </c>
      <c r="BT27" s="106"/>
      <c r="BU27" s="158">
        <f t="shared" si="60"/>
        <v>1892</v>
      </c>
      <c r="BV27" s="106">
        <v>1893</v>
      </c>
      <c r="BW27" s="106">
        <f t="shared" si="14"/>
        <v>1</v>
      </c>
      <c r="BX27" s="106">
        <f t="shared" si="61"/>
        <v>1</v>
      </c>
      <c r="BY27" s="106"/>
      <c r="BZ27" s="162">
        <f t="shared" si="62"/>
        <v>29446</v>
      </c>
      <c r="CA27" s="106">
        <v>29448</v>
      </c>
      <c r="CB27" s="253">
        <f t="shared" si="15"/>
        <v>2</v>
      </c>
      <c r="CC27" s="106">
        <f t="shared" si="63"/>
        <v>1</v>
      </c>
      <c r="CD27" s="156"/>
      <c r="CE27" s="162">
        <f t="shared" si="64"/>
        <v>3643</v>
      </c>
      <c r="CF27" s="106">
        <v>3644</v>
      </c>
      <c r="CG27" s="106">
        <f t="shared" si="16"/>
        <v>1</v>
      </c>
      <c r="CH27" s="106">
        <f t="shared" si="65"/>
        <v>1</v>
      </c>
      <c r="CI27" s="156"/>
      <c r="CJ27" s="162">
        <f t="shared" si="66"/>
        <v>87339</v>
      </c>
      <c r="CK27" s="106">
        <v>87371</v>
      </c>
      <c r="CL27" s="106">
        <f t="shared" si="17"/>
        <v>32</v>
      </c>
      <c r="CM27" s="106">
        <f t="shared" si="67"/>
        <v>-1</v>
      </c>
      <c r="CN27" s="156"/>
      <c r="CO27" s="162">
        <f t="shared" si="68"/>
        <v>26780</v>
      </c>
      <c r="CP27" s="106">
        <v>26791</v>
      </c>
      <c r="CQ27" s="106">
        <f t="shared" si="18"/>
        <v>11</v>
      </c>
      <c r="CR27" s="106">
        <f t="shared" si="69"/>
        <v>1</v>
      </c>
      <c r="CS27" s="156"/>
      <c r="CT27" s="162">
        <f t="shared" si="70"/>
        <v>12894</v>
      </c>
      <c r="CU27" s="106">
        <v>12894</v>
      </c>
      <c r="CV27" s="106">
        <f t="shared" si="19"/>
        <v>0</v>
      </c>
      <c r="CW27" s="106">
        <f t="shared" si="71"/>
        <v>-3</v>
      </c>
      <c r="CX27" s="156"/>
      <c r="CY27" s="162">
        <f t="shared" si="72"/>
        <v>19975</v>
      </c>
      <c r="CZ27" s="106">
        <v>19983</v>
      </c>
      <c r="DA27" s="106">
        <f t="shared" si="20"/>
        <v>8</v>
      </c>
      <c r="DB27" s="106">
        <f t="shared" si="73"/>
        <v>2</v>
      </c>
      <c r="DC27" s="156"/>
      <c r="DD27" s="162">
        <f t="shared" si="74"/>
        <v>21233</v>
      </c>
      <c r="DE27" s="106">
        <v>21237</v>
      </c>
      <c r="DF27" s="106">
        <f t="shared" si="21"/>
        <v>4</v>
      </c>
      <c r="DG27" s="106">
        <f t="shared" si="75"/>
        <v>2</v>
      </c>
      <c r="DH27" s="156"/>
      <c r="DI27" s="162">
        <f t="shared" si="76"/>
        <v>10238</v>
      </c>
      <c r="DJ27" s="106">
        <v>10242</v>
      </c>
      <c r="DK27" s="106">
        <f t="shared" si="22"/>
        <v>4</v>
      </c>
      <c r="DL27" s="106">
        <f t="shared" si="77"/>
        <v>0</v>
      </c>
      <c r="DM27" s="156"/>
      <c r="DN27" s="162">
        <f t="shared" si="78"/>
        <v>27580</v>
      </c>
      <c r="DO27" s="106">
        <v>27600</v>
      </c>
      <c r="DP27" s="106">
        <f t="shared" si="23"/>
        <v>20</v>
      </c>
      <c r="DQ27" s="106">
        <f t="shared" si="79"/>
        <v>1</v>
      </c>
      <c r="DR27" s="156"/>
      <c r="DS27" s="162">
        <f t="shared" si="80"/>
        <v>2951</v>
      </c>
      <c r="DT27" s="106">
        <v>2954</v>
      </c>
      <c r="DU27" s="106">
        <f t="shared" si="24"/>
        <v>3</v>
      </c>
      <c r="DV27" s="106">
        <f t="shared" si="81"/>
        <v>-3</v>
      </c>
      <c r="DW27" s="156"/>
      <c r="DX27" s="162">
        <f t="shared" si="82"/>
        <v>280</v>
      </c>
      <c r="DY27" s="106">
        <v>285</v>
      </c>
      <c r="DZ27" s="106">
        <f t="shared" si="25"/>
        <v>5</v>
      </c>
      <c r="EA27" s="106">
        <f t="shared" si="83"/>
        <v>-3</v>
      </c>
      <c r="EB27" s="156"/>
      <c r="EC27" s="162">
        <f t="shared" si="104"/>
        <v>0</v>
      </c>
      <c r="ED27" s="106"/>
      <c r="EE27" s="156">
        <f t="shared" si="26"/>
        <v>0</v>
      </c>
      <c r="EF27" s="162">
        <f t="shared" si="101"/>
        <v>0</v>
      </c>
      <c r="EG27" s="106"/>
      <c r="EH27" s="156">
        <f t="shared" si="27"/>
        <v>0</v>
      </c>
      <c r="EI27" s="162">
        <f t="shared" si="102"/>
        <v>0</v>
      </c>
      <c r="EJ27" s="106"/>
      <c r="EK27" s="156">
        <f t="shared" si="28"/>
        <v>0</v>
      </c>
      <c r="EL27" s="162">
        <f t="shared" si="103"/>
        <v>0</v>
      </c>
      <c r="EM27" s="106"/>
      <c r="EN27" s="156">
        <f t="shared" si="29"/>
        <v>0</v>
      </c>
      <c r="EO27" s="162">
        <f t="shared" si="88"/>
        <v>0</v>
      </c>
      <c r="EP27" s="106"/>
      <c r="EQ27" s="156">
        <f t="shared" si="30"/>
        <v>0</v>
      </c>
      <c r="ER27" s="162">
        <f t="shared" si="89"/>
        <v>0</v>
      </c>
      <c r="ES27" s="106"/>
      <c r="ET27" s="156">
        <f t="shared" si="31"/>
        <v>0</v>
      </c>
      <c r="EU27" s="162">
        <f t="shared" si="90"/>
        <v>0</v>
      </c>
      <c r="EV27" s="106"/>
      <c r="EW27" s="156">
        <f t="shared" si="91"/>
        <v>0</v>
      </c>
      <c r="EX27" s="162">
        <f t="shared" si="92"/>
        <v>0</v>
      </c>
      <c r="EY27" s="106"/>
      <c r="EZ27" s="156">
        <f t="shared" si="32"/>
        <v>0</v>
      </c>
      <c r="FA27" s="162">
        <f t="shared" si="93"/>
        <v>0</v>
      </c>
      <c r="FB27" s="106"/>
      <c r="FC27" s="156">
        <f t="shared" si="33"/>
        <v>0</v>
      </c>
      <c r="FD27" s="162">
        <f t="shared" si="94"/>
        <v>0</v>
      </c>
      <c r="FE27" s="106"/>
      <c r="FF27" s="156">
        <f t="shared" si="34"/>
        <v>0</v>
      </c>
      <c r="FG27" s="162">
        <f t="shared" si="95"/>
        <v>0</v>
      </c>
      <c r="FH27" s="106"/>
      <c r="FI27" s="156">
        <f t="shared" si="35"/>
        <v>0</v>
      </c>
      <c r="FJ27" s="162">
        <f t="shared" si="96"/>
        <v>0</v>
      </c>
      <c r="FK27" s="106"/>
      <c r="FL27" s="156">
        <f t="shared" si="36"/>
        <v>0</v>
      </c>
      <c r="FM27" s="162">
        <f t="shared" si="97"/>
        <v>0</v>
      </c>
      <c r="FN27" s="106"/>
      <c r="FO27" s="156">
        <f t="shared" si="37"/>
        <v>0</v>
      </c>
      <c r="FP27" s="162">
        <f t="shared" si="98"/>
        <v>0</v>
      </c>
      <c r="FQ27" s="106"/>
      <c r="FR27" s="156">
        <f t="shared" si="38"/>
        <v>0</v>
      </c>
    </row>
    <row r="28" spans="1:174" ht="15" customHeight="1">
      <c r="A28" s="104">
        <v>23</v>
      </c>
      <c r="B28" s="104">
        <f t="shared" si="39"/>
        <v>17485</v>
      </c>
      <c r="C28" s="98">
        <v>17659</v>
      </c>
      <c r="D28" s="99">
        <f t="shared" si="0"/>
        <v>174</v>
      </c>
      <c r="E28" s="149"/>
      <c r="F28" s="104">
        <v>23</v>
      </c>
      <c r="G28" s="104">
        <f t="shared" si="40"/>
        <v>42769</v>
      </c>
      <c r="H28" s="105">
        <v>42769</v>
      </c>
      <c r="I28" s="99">
        <f t="shared" si="1"/>
        <v>0</v>
      </c>
      <c r="J28" s="149"/>
      <c r="K28" s="104">
        <v>23</v>
      </c>
      <c r="L28" s="104">
        <f t="shared" si="41"/>
        <v>851931</v>
      </c>
      <c r="M28" s="105">
        <v>852100</v>
      </c>
      <c r="N28" s="99">
        <f t="shared" si="2"/>
        <v>169</v>
      </c>
      <c r="O28" s="101"/>
      <c r="P28" s="104">
        <v>23</v>
      </c>
      <c r="Q28" s="104">
        <f t="shared" si="42"/>
        <v>2556</v>
      </c>
      <c r="R28" s="105">
        <v>2562</v>
      </c>
      <c r="S28" s="99">
        <f t="shared" si="3"/>
        <v>6</v>
      </c>
      <c r="T28" s="100"/>
      <c r="U28" s="104">
        <v>23</v>
      </c>
      <c r="V28" s="373">
        <f t="shared" si="4"/>
        <v>349</v>
      </c>
      <c r="W28" s="103">
        <f>'Maldives at LG Daily'!I27</f>
        <v>0</v>
      </c>
      <c r="X28" s="122"/>
      <c r="Y28" s="249" t="e">
        <f t="shared" si="5"/>
        <v>#DIV/0!</v>
      </c>
      <c r="AA28" s="158">
        <v>23</v>
      </c>
      <c r="AB28" s="106">
        <f t="shared" si="43"/>
        <v>49245</v>
      </c>
      <c r="AC28" s="106">
        <v>49274</v>
      </c>
      <c r="AD28" s="106">
        <f t="shared" si="6"/>
        <v>29</v>
      </c>
      <c r="AE28" s="106">
        <f t="shared" si="99"/>
        <v>0</v>
      </c>
      <c r="AF28" s="234"/>
      <c r="AG28" s="158">
        <f t="shared" si="44"/>
        <v>11041</v>
      </c>
      <c r="AH28" s="106">
        <v>11047</v>
      </c>
      <c r="AI28" s="106">
        <f t="shared" si="45"/>
        <v>6</v>
      </c>
      <c r="AJ28" s="106">
        <f t="shared" si="100"/>
        <v>0</v>
      </c>
      <c r="AK28" s="106"/>
      <c r="AL28" s="158">
        <f t="shared" si="46"/>
        <v>10587</v>
      </c>
      <c r="AM28" s="106">
        <v>10597</v>
      </c>
      <c r="AN28" s="106">
        <f t="shared" si="7"/>
        <v>10</v>
      </c>
      <c r="AO28" s="106">
        <f t="shared" si="47"/>
        <v>2</v>
      </c>
      <c r="AP28" s="106"/>
      <c r="AQ28" s="158">
        <f t="shared" si="48"/>
        <v>20195</v>
      </c>
      <c r="AR28" s="106">
        <v>20207</v>
      </c>
      <c r="AS28" s="106">
        <f t="shared" si="8"/>
        <v>12</v>
      </c>
      <c r="AT28" s="106">
        <f t="shared" si="49"/>
        <v>0</v>
      </c>
      <c r="AU28" s="106"/>
      <c r="AV28" s="158">
        <f t="shared" si="50"/>
        <v>36166</v>
      </c>
      <c r="AW28" s="106">
        <v>36174</v>
      </c>
      <c r="AX28" s="106">
        <f t="shared" si="9"/>
        <v>8</v>
      </c>
      <c r="AY28" s="106">
        <f t="shared" si="51"/>
        <v>0</v>
      </c>
      <c r="AZ28" s="106"/>
      <c r="BA28" s="158">
        <f t="shared" si="52"/>
        <v>9782</v>
      </c>
      <c r="BB28" s="106">
        <v>9788</v>
      </c>
      <c r="BC28" s="106">
        <f t="shared" si="10"/>
        <v>6</v>
      </c>
      <c r="BD28" s="106">
        <f t="shared" si="53"/>
        <v>-1</v>
      </c>
      <c r="BE28" s="106"/>
      <c r="BF28" s="158">
        <f t="shared" si="54"/>
        <v>26663</v>
      </c>
      <c r="BG28" s="106">
        <v>26673</v>
      </c>
      <c r="BH28" s="106">
        <f t="shared" si="11"/>
        <v>10</v>
      </c>
      <c r="BI28" s="106">
        <f t="shared" si="55"/>
        <v>1</v>
      </c>
      <c r="BJ28" s="106"/>
      <c r="BK28" s="158">
        <f t="shared" si="56"/>
        <v>10682</v>
      </c>
      <c r="BL28" s="106">
        <v>10691</v>
      </c>
      <c r="BM28" s="106">
        <f t="shared" si="12"/>
        <v>9</v>
      </c>
      <c r="BN28" s="106">
        <f t="shared" si="57"/>
        <v>1</v>
      </c>
      <c r="BO28" s="106"/>
      <c r="BP28" s="158">
        <f t="shared" si="58"/>
        <v>4299</v>
      </c>
      <c r="BQ28" s="106">
        <v>4299</v>
      </c>
      <c r="BR28" s="253">
        <f t="shared" si="13"/>
        <v>0</v>
      </c>
      <c r="BS28" s="106">
        <f t="shared" si="59"/>
        <v>-2</v>
      </c>
      <c r="BT28" s="106"/>
      <c r="BU28" s="158">
        <f t="shared" si="60"/>
        <v>1893</v>
      </c>
      <c r="BV28" s="106">
        <v>1894</v>
      </c>
      <c r="BW28" s="106">
        <f t="shared" si="14"/>
        <v>1</v>
      </c>
      <c r="BX28" s="106">
        <f t="shared" si="61"/>
        <v>0</v>
      </c>
      <c r="BY28" s="106"/>
      <c r="BZ28" s="162">
        <f t="shared" si="62"/>
        <v>29448</v>
      </c>
      <c r="CA28" s="106">
        <v>29453</v>
      </c>
      <c r="CB28" s="253">
        <f t="shared" si="15"/>
        <v>5</v>
      </c>
      <c r="CC28" s="106">
        <f t="shared" si="63"/>
        <v>3</v>
      </c>
      <c r="CD28" s="156"/>
      <c r="CE28" s="162">
        <f t="shared" si="64"/>
        <v>3644</v>
      </c>
      <c r="CF28" s="106">
        <v>3648</v>
      </c>
      <c r="CG28" s="106">
        <f t="shared" si="16"/>
        <v>4</v>
      </c>
      <c r="CH28" s="106">
        <f t="shared" si="65"/>
        <v>3</v>
      </c>
      <c r="CI28" s="156"/>
      <c r="CJ28" s="162">
        <f t="shared" si="66"/>
        <v>87371</v>
      </c>
      <c r="CK28" s="106">
        <v>87403</v>
      </c>
      <c r="CL28" s="106">
        <f t="shared" si="17"/>
        <v>32</v>
      </c>
      <c r="CM28" s="106">
        <f t="shared" si="67"/>
        <v>0</v>
      </c>
      <c r="CN28" s="156"/>
      <c r="CO28" s="162">
        <f t="shared" si="68"/>
        <v>26791</v>
      </c>
      <c r="CP28" s="106">
        <v>26800</v>
      </c>
      <c r="CQ28" s="106">
        <f t="shared" si="18"/>
        <v>9</v>
      </c>
      <c r="CR28" s="106">
        <f t="shared" si="69"/>
        <v>-2</v>
      </c>
      <c r="CS28" s="156"/>
      <c r="CT28" s="162">
        <f t="shared" si="70"/>
        <v>12894</v>
      </c>
      <c r="CU28" s="106">
        <v>12895</v>
      </c>
      <c r="CV28" s="106">
        <f t="shared" si="19"/>
        <v>1</v>
      </c>
      <c r="CW28" s="106">
        <f t="shared" si="71"/>
        <v>1</v>
      </c>
      <c r="CX28" s="156"/>
      <c r="CY28" s="162">
        <f t="shared" si="72"/>
        <v>19983</v>
      </c>
      <c r="CZ28" s="106">
        <v>19986</v>
      </c>
      <c r="DA28" s="106">
        <f t="shared" si="20"/>
        <v>3</v>
      </c>
      <c r="DB28" s="106">
        <f t="shared" si="73"/>
        <v>-5</v>
      </c>
      <c r="DC28" s="156"/>
      <c r="DD28" s="162">
        <f t="shared" si="74"/>
        <v>21237</v>
      </c>
      <c r="DE28" s="106">
        <v>21241</v>
      </c>
      <c r="DF28" s="106">
        <f t="shared" si="21"/>
        <v>4</v>
      </c>
      <c r="DG28" s="106">
        <f t="shared" si="75"/>
        <v>0</v>
      </c>
      <c r="DH28" s="156"/>
      <c r="DI28" s="162">
        <f t="shared" si="76"/>
        <v>10242</v>
      </c>
      <c r="DJ28" s="106">
        <v>10246</v>
      </c>
      <c r="DK28" s="106">
        <f t="shared" si="22"/>
        <v>4</v>
      </c>
      <c r="DL28" s="106">
        <f t="shared" si="77"/>
        <v>0</v>
      </c>
      <c r="DM28" s="156"/>
      <c r="DN28" s="162">
        <f t="shared" si="78"/>
        <v>27600</v>
      </c>
      <c r="DO28" s="106">
        <v>27613</v>
      </c>
      <c r="DP28" s="106">
        <f t="shared" si="23"/>
        <v>13</v>
      </c>
      <c r="DQ28" s="106">
        <f t="shared" si="79"/>
        <v>-7</v>
      </c>
      <c r="DR28" s="156"/>
      <c r="DS28" s="162">
        <f t="shared" si="80"/>
        <v>2954</v>
      </c>
      <c r="DT28" s="106">
        <v>2957</v>
      </c>
      <c r="DU28" s="106">
        <f t="shared" si="24"/>
        <v>3</v>
      </c>
      <c r="DV28" s="106">
        <f t="shared" si="81"/>
        <v>0</v>
      </c>
      <c r="DW28" s="156"/>
      <c r="DX28" s="162">
        <f t="shared" si="82"/>
        <v>285</v>
      </c>
      <c r="DY28" s="106">
        <v>285</v>
      </c>
      <c r="DZ28" s="106">
        <f t="shared" si="25"/>
        <v>0</v>
      </c>
      <c r="EA28" s="106">
        <f t="shared" si="83"/>
        <v>-5</v>
      </c>
      <c r="EB28" s="156"/>
      <c r="EC28" s="162">
        <f t="shared" si="104"/>
        <v>0</v>
      </c>
      <c r="ED28" s="106"/>
      <c r="EE28" s="156">
        <f t="shared" si="26"/>
        <v>0</v>
      </c>
      <c r="EF28" s="162">
        <f t="shared" si="101"/>
        <v>0</v>
      </c>
      <c r="EG28" s="106"/>
      <c r="EH28" s="156">
        <f t="shared" si="27"/>
        <v>0</v>
      </c>
      <c r="EI28" s="162">
        <f t="shared" si="102"/>
        <v>0</v>
      </c>
      <c r="EJ28" s="106"/>
      <c r="EK28" s="156">
        <f t="shared" si="28"/>
        <v>0</v>
      </c>
      <c r="EL28" s="162">
        <f t="shared" si="103"/>
        <v>0</v>
      </c>
      <c r="EM28" s="106"/>
      <c r="EN28" s="156">
        <f t="shared" si="29"/>
        <v>0</v>
      </c>
      <c r="EO28" s="162">
        <f t="shared" si="88"/>
        <v>0</v>
      </c>
      <c r="EP28" s="106"/>
      <c r="EQ28" s="156">
        <f t="shared" si="30"/>
        <v>0</v>
      </c>
      <c r="ER28" s="162">
        <f t="shared" si="89"/>
        <v>0</v>
      </c>
      <c r="ES28" s="106"/>
      <c r="ET28" s="156">
        <f t="shared" si="31"/>
        <v>0</v>
      </c>
      <c r="EU28" s="162">
        <f t="shared" si="90"/>
        <v>0</v>
      </c>
      <c r="EV28" s="106"/>
      <c r="EW28" s="156">
        <f t="shared" si="91"/>
        <v>0</v>
      </c>
      <c r="EX28" s="162">
        <f t="shared" si="92"/>
        <v>0</v>
      </c>
      <c r="EY28" s="106"/>
      <c r="EZ28" s="156">
        <f t="shared" si="32"/>
        <v>0</v>
      </c>
      <c r="FA28" s="162">
        <f t="shared" si="93"/>
        <v>0</v>
      </c>
      <c r="FB28" s="106"/>
      <c r="FC28" s="156">
        <f t="shared" si="33"/>
        <v>0</v>
      </c>
      <c r="FD28" s="162">
        <f t="shared" si="94"/>
        <v>0</v>
      </c>
      <c r="FE28" s="106"/>
      <c r="FF28" s="156">
        <f t="shared" si="34"/>
        <v>0</v>
      </c>
      <c r="FG28" s="162">
        <f t="shared" si="95"/>
        <v>0</v>
      </c>
      <c r="FH28" s="106"/>
      <c r="FI28" s="156">
        <f t="shared" si="35"/>
        <v>0</v>
      </c>
      <c r="FJ28" s="162">
        <f t="shared" si="96"/>
        <v>0</v>
      </c>
      <c r="FK28" s="106"/>
      <c r="FL28" s="156">
        <f t="shared" si="36"/>
        <v>0</v>
      </c>
      <c r="FM28" s="162">
        <f t="shared" si="97"/>
        <v>0</v>
      </c>
      <c r="FN28" s="106"/>
      <c r="FO28" s="156">
        <f t="shared" si="37"/>
        <v>0</v>
      </c>
      <c r="FP28" s="162">
        <f t="shared" si="98"/>
        <v>0</v>
      </c>
      <c r="FQ28" s="106"/>
      <c r="FR28" s="156">
        <f t="shared" si="38"/>
        <v>0</v>
      </c>
    </row>
    <row r="29" spans="1:174" ht="14.25" customHeight="1">
      <c r="A29" s="104">
        <v>24</v>
      </c>
      <c r="B29" s="104">
        <f t="shared" si="39"/>
        <v>17659</v>
      </c>
      <c r="C29" s="98">
        <v>17767</v>
      </c>
      <c r="D29" s="99">
        <f t="shared" si="0"/>
        <v>108</v>
      </c>
      <c r="E29" s="149"/>
      <c r="F29" s="104">
        <v>24</v>
      </c>
      <c r="G29" s="104">
        <f t="shared" si="40"/>
        <v>42769</v>
      </c>
      <c r="H29" s="105">
        <v>42783</v>
      </c>
      <c r="I29" s="99">
        <f t="shared" si="1"/>
        <v>14</v>
      </c>
      <c r="J29" s="149"/>
      <c r="K29" s="104">
        <v>24</v>
      </c>
      <c r="L29" s="104">
        <f t="shared" si="41"/>
        <v>852100</v>
      </c>
      <c r="M29" s="105">
        <v>852260</v>
      </c>
      <c r="N29" s="99">
        <f t="shared" si="2"/>
        <v>160</v>
      </c>
      <c r="O29" s="101"/>
      <c r="P29" s="104">
        <v>24</v>
      </c>
      <c r="Q29" s="104">
        <f t="shared" si="42"/>
        <v>2562</v>
      </c>
      <c r="R29" s="105">
        <v>2562</v>
      </c>
      <c r="S29" s="99">
        <f t="shared" si="3"/>
        <v>0</v>
      </c>
      <c r="T29" s="100"/>
      <c r="U29" s="102">
        <v>24</v>
      </c>
      <c r="V29" s="373">
        <f t="shared" si="4"/>
        <v>282</v>
      </c>
      <c r="W29" s="103">
        <f>'Maldives at LG Daily'!I28</f>
        <v>0</v>
      </c>
      <c r="X29" s="122"/>
      <c r="Y29" s="249" t="e">
        <f t="shared" si="5"/>
        <v>#DIV/0!</v>
      </c>
      <c r="AA29" s="158">
        <v>24</v>
      </c>
      <c r="AB29" s="106">
        <f t="shared" si="43"/>
        <v>49274</v>
      </c>
      <c r="AC29" s="106">
        <v>49298</v>
      </c>
      <c r="AD29" s="106">
        <f t="shared" si="6"/>
        <v>24</v>
      </c>
      <c r="AE29" s="106">
        <f t="shared" si="99"/>
        <v>-5</v>
      </c>
      <c r="AF29" s="234"/>
      <c r="AG29" s="158">
        <f t="shared" si="44"/>
        <v>11047</v>
      </c>
      <c r="AH29" s="106">
        <v>11052</v>
      </c>
      <c r="AI29" s="106">
        <f t="shared" si="45"/>
        <v>5</v>
      </c>
      <c r="AJ29" s="106">
        <f t="shared" si="100"/>
        <v>-1</v>
      </c>
      <c r="AK29" s="106"/>
      <c r="AL29" s="158">
        <f t="shared" si="46"/>
        <v>10597</v>
      </c>
      <c r="AM29" s="106">
        <v>10615</v>
      </c>
      <c r="AN29" s="106">
        <f t="shared" si="7"/>
        <v>18</v>
      </c>
      <c r="AO29" s="106">
        <f t="shared" si="47"/>
        <v>8</v>
      </c>
      <c r="AP29" s="106"/>
      <c r="AQ29" s="158">
        <f t="shared" si="48"/>
        <v>20207</v>
      </c>
      <c r="AR29" s="106">
        <v>20216</v>
      </c>
      <c r="AS29" s="106">
        <f t="shared" si="8"/>
        <v>9</v>
      </c>
      <c r="AT29" s="106">
        <f t="shared" si="49"/>
        <v>-3</v>
      </c>
      <c r="AU29" s="106"/>
      <c r="AV29" s="158">
        <f t="shared" si="50"/>
        <v>36174</v>
      </c>
      <c r="AW29" s="106">
        <v>36181</v>
      </c>
      <c r="AX29" s="106">
        <f t="shared" si="9"/>
        <v>7</v>
      </c>
      <c r="AY29" s="106">
        <f t="shared" si="51"/>
        <v>-1</v>
      </c>
      <c r="AZ29" s="106"/>
      <c r="BA29" s="158">
        <f t="shared" si="52"/>
        <v>9788</v>
      </c>
      <c r="BB29" s="106">
        <v>9794</v>
      </c>
      <c r="BC29" s="106">
        <f t="shared" si="10"/>
        <v>6</v>
      </c>
      <c r="BD29" s="106">
        <f t="shared" si="53"/>
        <v>0</v>
      </c>
      <c r="BE29" s="106"/>
      <c r="BF29" s="158">
        <f t="shared" si="54"/>
        <v>26673</v>
      </c>
      <c r="BG29" s="106">
        <v>26681</v>
      </c>
      <c r="BH29" s="106">
        <f t="shared" si="11"/>
        <v>8</v>
      </c>
      <c r="BI29" s="106">
        <f t="shared" si="55"/>
        <v>-2</v>
      </c>
      <c r="BJ29" s="106"/>
      <c r="BK29" s="158">
        <f t="shared" si="56"/>
        <v>10691</v>
      </c>
      <c r="BL29" s="106">
        <v>10692</v>
      </c>
      <c r="BM29" s="106">
        <f t="shared" si="12"/>
        <v>1</v>
      </c>
      <c r="BN29" s="106">
        <f t="shared" si="57"/>
        <v>-8</v>
      </c>
      <c r="BO29" s="106"/>
      <c r="BP29" s="158">
        <f t="shared" si="58"/>
        <v>4299</v>
      </c>
      <c r="BQ29" s="106">
        <v>4300</v>
      </c>
      <c r="BR29" s="253">
        <f t="shared" si="13"/>
        <v>1</v>
      </c>
      <c r="BS29" s="106">
        <f t="shared" si="59"/>
        <v>1</v>
      </c>
      <c r="BT29" s="106"/>
      <c r="BU29" s="158">
        <f t="shared" si="60"/>
        <v>1894</v>
      </c>
      <c r="BV29" s="106">
        <v>1894</v>
      </c>
      <c r="BW29" s="106">
        <f t="shared" si="14"/>
        <v>0</v>
      </c>
      <c r="BX29" s="106">
        <f t="shared" si="61"/>
        <v>-1</v>
      </c>
      <c r="BY29" s="106"/>
      <c r="BZ29" s="162">
        <f t="shared" si="62"/>
        <v>29453</v>
      </c>
      <c r="CA29" s="106">
        <v>29455</v>
      </c>
      <c r="CB29" s="253">
        <f t="shared" si="15"/>
        <v>2</v>
      </c>
      <c r="CC29" s="106">
        <f t="shared" si="63"/>
        <v>-3</v>
      </c>
      <c r="CD29" s="156"/>
      <c r="CE29" s="162">
        <f t="shared" si="64"/>
        <v>3648</v>
      </c>
      <c r="CF29" s="106">
        <v>3649</v>
      </c>
      <c r="CG29" s="106">
        <f t="shared" si="16"/>
        <v>1</v>
      </c>
      <c r="CH29" s="106">
        <f t="shared" si="65"/>
        <v>-3</v>
      </c>
      <c r="CI29" s="156"/>
      <c r="CJ29" s="162">
        <f t="shared" si="66"/>
        <v>87403</v>
      </c>
      <c r="CK29" s="106">
        <v>87432</v>
      </c>
      <c r="CL29" s="106">
        <f t="shared" si="17"/>
        <v>29</v>
      </c>
      <c r="CM29" s="106">
        <f t="shared" si="67"/>
        <v>-3</v>
      </c>
      <c r="CN29" s="156"/>
      <c r="CO29" s="162">
        <f t="shared" si="68"/>
        <v>26800</v>
      </c>
      <c r="CP29" s="106">
        <v>26812</v>
      </c>
      <c r="CQ29" s="106">
        <f t="shared" si="18"/>
        <v>12</v>
      </c>
      <c r="CR29" s="106">
        <f t="shared" si="69"/>
        <v>3</v>
      </c>
      <c r="CS29" s="156"/>
      <c r="CT29" s="162">
        <f t="shared" si="70"/>
        <v>12895</v>
      </c>
      <c r="CU29" s="106">
        <v>12896</v>
      </c>
      <c r="CV29" s="106">
        <f t="shared" si="19"/>
        <v>1</v>
      </c>
      <c r="CW29" s="106">
        <f t="shared" si="71"/>
        <v>0</v>
      </c>
      <c r="CX29" s="156"/>
      <c r="CY29" s="162">
        <f t="shared" si="72"/>
        <v>19986</v>
      </c>
      <c r="CZ29" s="106">
        <v>19988</v>
      </c>
      <c r="DA29" s="106">
        <f t="shared" si="20"/>
        <v>2</v>
      </c>
      <c r="DB29" s="106">
        <f t="shared" si="73"/>
        <v>-1</v>
      </c>
      <c r="DC29" s="156"/>
      <c r="DD29" s="162">
        <f t="shared" si="74"/>
        <v>21241</v>
      </c>
      <c r="DE29" s="106">
        <v>21244</v>
      </c>
      <c r="DF29" s="106">
        <f t="shared" si="21"/>
        <v>3</v>
      </c>
      <c r="DG29" s="106">
        <f t="shared" si="75"/>
        <v>-1</v>
      </c>
      <c r="DH29" s="156"/>
      <c r="DI29" s="162">
        <f t="shared" si="76"/>
        <v>10246</v>
      </c>
      <c r="DJ29" s="106">
        <v>10249</v>
      </c>
      <c r="DK29" s="106">
        <f t="shared" si="22"/>
        <v>3</v>
      </c>
      <c r="DL29" s="106">
        <f t="shared" si="77"/>
        <v>-1</v>
      </c>
      <c r="DM29" s="156"/>
      <c r="DN29" s="162">
        <f t="shared" si="78"/>
        <v>27613</v>
      </c>
      <c r="DO29" s="106">
        <v>27631</v>
      </c>
      <c r="DP29" s="106">
        <f t="shared" si="23"/>
        <v>18</v>
      </c>
      <c r="DQ29" s="106">
        <f t="shared" si="79"/>
        <v>5</v>
      </c>
      <c r="DR29" s="156"/>
      <c r="DS29" s="162">
        <f t="shared" si="80"/>
        <v>2957</v>
      </c>
      <c r="DT29" s="106">
        <v>2958</v>
      </c>
      <c r="DU29" s="106">
        <f t="shared" si="24"/>
        <v>1</v>
      </c>
      <c r="DV29" s="106">
        <f t="shared" si="81"/>
        <v>-2</v>
      </c>
      <c r="DW29" s="156"/>
      <c r="DX29" s="162">
        <f t="shared" si="82"/>
        <v>285</v>
      </c>
      <c r="DY29" s="106">
        <v>286</v>
      </c>
      <c r="DZ29" s="106">
        <f t="shared" si="25"/>
        <v>1</v>
      </c>
      <c r="EA29" s="106">
        <f t="shared" si="83"/>
        <v>1</v>
      </c>
      <c r="EB29" s="156"/>
      <c r="EC29" s="162">
        <f t="shared" si="104"/>
        <v>0</v>
      </c>
      <c r="ED29" s="106"/>
      <c r="EE29" s="156">
        <f t="shared" si="26"/>
        <v>0</v>
      </c>
      <c r="EF29" s="162">
        <f t="shared" si="101"/>
        <v>0</v>
      </c>
      <c r="EG29" s="106"/>
      <c r="EH29" s="156">
        <f t="shared" si="27"/>
        <v>0</v>
      </c>
      <c r="EI29" s="162">
        <f t="shared" si="102"/>
        <v>0</v>
      </c>
      <c r="EJ29" s="106"/>
      <c r="EK29" s="156">
        <f t="shared" si="28"/>
        <v>0</v>
      </c>
      <c r="EL29" s="162">
        <f t="shared" si="103"/>
        <v>0</v>
      </c>
      <c r="EM29" s="106"/>
      <c r="EN29" s="156">
        <f t="shared" si="29"/>
        <v>0</v>
      </c>
      <c r="EO29" s="162">
        <f t="shared" si="88"/>
        <v>0</v>
      </c>
      <c r="EP29" s="106"/>
      <c r="EQ29" s="156">
        <f t="shared" si="30"/>
        <v>0</v>
      </c>
      <c r="ER29" s="162">
        <f t="shared" si="89"/>
        <v>0</v>
      </c>
      <c r="ES29" s="106"/>
      <c r="ET29" s="156">
        <f t="shared" si="31"/>
        <v>0</v>
      </c>
      <c r="EU29" s="162">
        <f t="shared" si="90"/>
        <v>0</v>
      </c>
      <c r="EV29" s="106"/>
      <c r="EW29" s="156">
        <f t="shared" si="91"/>
        <v>0</v>
      </c>
      <c r="EX29" s="162">
        <f t="shared" si="92"/>
        <v>0</v>
      </c>
      <c r="EY29" s="106"/>
      <c r="EZ29" s="156">
        <f t="shared" si="32"/>
        <v>0</v>
      </c>
      <c r="FA29" s="162">
        <f t="shared" si="93"/>
        <v>0</v>
      </c>
      <c r="FB29" s="106"/>
      <c r="FC29" s="156">
        <f t="shared" si="33"/>
        <v>0</v>
      </c>
      <c r="FD29" s="162">
        <f t="shared" si="94"/>
        <v>0</v>
      </c>
      <c r="FE29" s="106"/>
      <c r="FF29" s="156">
        <f t="shared" si="34"/>
        <v>0</v>
      </c>
      <c r="FG29" s="162">
        <f t="shared" si="95"/>
        <v>0</v>
      </c>
      <c r="FH29" s="106"/>
      <c r="FI29" s="156">
        <f t="shared" si="35"/>
        <v>0</v>
      </c>
      <c r="FJ29" s="162">
        <f t="shared" si="96"/>
        <v>0</v>
      </c>
      <c r="FK29" s="106"/>
      <c r="FL29" s="156">
        <f t="shared" si="36"/>
        <v>0</v>
      </c>
      <c r="FM29" s="162">
        <f t="shared" si="97"/>
        <v>0</v>
      </c>
      <c r="FN29" s="106"/>
      <c r="FO29" s="156">
        <f t="shared" si="37"/>
        <v>0</v>
      </c>
      <c r="FP29" s="162">
        <f t="shared" si="98"/>
        <v>0</v>
      </c>
      <c r="FQ29" s="106"/>
      <c r="FR29" s="156">
        <f t="shared" si="38"/>
        <v>0</v>
      </c>
    </row>
    <row r="30" spans="1:174" ht="15" customHeight="1">
      <c r="A30" s="104">
        <v>25</v>
      </c>
      <c r="B30" s="104">
        <f t="shared" si="39"/>
        <v>17767</v>
      </c>
      <c r="C30" s="107">
        <v>17925</v>
      </c>
      <c r="D30" s="99">
        <f t="shared" si="0"/>
        <v>158</v>
      </c>
      <c r="E30" s="149"/>
      <c r="F30" s="104">
        <v>25</v>
      </c>
      <c r="G30" s="104">
        <f t="shared" si="40"/>
        <v>42783</v>
      </c>
      <c r="H30" s="107">
        <v>42783</v>
      </c>
      <c r="I30" s="99">
        <f t="shared" si="1"/>
        <v>0</v>
      </c>
      <c r="J30" s="149"/>
      <c r="K30" s="104">
        <v>25</v>
      </c>
      <c r="L30" s="104">
        <f t="shared" si="41"/>
        <v>852260</v>
      </c>
      <c r="M30" s="107">
        <v>852387</v>
      </c>
      <c r="N30" s="99">
        <f t="shared" si="2"/>
        <v>127</v>
      </c>
      <c r="O30" s="101"/>
      <c r="P30" s="104">
        <v>25</v>
      </c>
      <c r="Q30" s="104">
        <f t="shared" si="42"/>
        <v>2562</v>
      </c>
      <c r="R30" s="107">
        <v>2595</v>
      </c>
      <c r="S30" s="99">
        <f t="shared" si="3"/>
        <v>33</v>
      </c>
      <c r="T30" s="100"/>
      <c r="U30" s="102">
        <v>25</v>
      </c>
      <c r="V30" s="373">
        <f t="shared" si="4"/>
        <v>318</v>
      </c>
      <c r="W30" s="103">
        <f>'Maldives at LG Daily'!I29</f>
        <v>0</v>
      </c>
      <c r="X30" s="122"/>
      <c r="Y30" s="249" t="e">
        <f t="shared" si="5"/>
        <v>#DIV/0!</v>
      </c>
      <c r="AA30" s="158">
        <v>25</v>
      </c>
      <c r="AB30" s="106">
        <f t="shared" si="43"/>
        <v>49298</v>
      </c>
      <c r="AC30" s="106">
        <v>49323</v>
      </c>
      <c r="AD30" s="106">
        <f t="shared" si="6"/>
        <v>25</v>
      </c>
      <c r="AE30" s="106">
        <f t="shared" si="99"/>
        <v>1</v>
      </c>
      <c r="AF30" s="234"/>
      <c r="AG30" s="158">
        <f t="shared" si="44"/>
        <v>11052</v>
      </c>
      <c r="AH30" s="106">
        <v>11058</v>
      </c>
      <c r="AI30" s="106">
        <f t="shared" si="45"/>
        <v>6</v>
      </c>
      <c r="AJ30" s="106">
        <f t="shared" si="100"/>
        <v>1</v>
      </c>
      <c r="AK30" s="106"/>
      <c r="AL30" s="158">
        <f t="shared" si="46"/>
        <v>10615</v>
      </c>
      <c r="AM30" s="106">
        <v>10615</v>
      </c>
      <c r="AN30" s="106">
        <f t="shared" si="7"/>
        <v>0</v>
      </c>
      <c r="AO30" s="106">
        <f t="shared" si="47"/>
        <v>-18</v>
      </c>
      <c r="AP30" s="106"/>
      <c r="AQ30" s="158">
        <f t="shared" si="48"/>
        <v>20216</v>
      </c>
      <c r="AR30" s="106">
        <v>20226</v>
      </c>
      <c r="AS30" s="106">
        <f t="shared" si="8"/>
        <v>10</v>
      </c>
      <c r="AT30" s="106">
        <f t="shared" si="49"/>
        <v>1</v>
      </c>
      <c r="AU30" s="106"/>
      <c r="AV30" s="158">
        <f t="shared" si="50"/>
        <v>36181</v>
      </c>
      <c r="AW30" s="106">
        <v>36189</v>
      </c>
      <c r="AX30" s="106">
        <f t="shared" si="9"/>
        <v>8</v>
      </c>
      <c r="AY30" s="106">
        <f t="shared" si="51"/>
        <v>1</v>
      </c>
      <c r="AZ30" s="106"/>
      <c r="BA30" s="158">
        <f t="shared" si="52"/>
        <v>9794</v>
      </c>
      <c r="BB30" s="106">
        <v>9801</v>
      </c>
      <c r="BC30" s="106">
        <f t="shared" si="10"/>
        <v>7</v>
      </c>
      <c r="BD30" s="106">
        <f t="shared" si="53"/>
        <v>1</v>
      </c>
      <c r="BE30" s="106"/>
      <c r="BF30" s="158">
        <f t="shared" si="54"/>
        <v>26681</v>
      </c>
      <c r="BG30" s="106">
        <v>26689</v>
      </c>
      <c r="BH30" s="106">
        <f t="shared" si="11"/>
        <v>8</v>
      </c>
      <c r="BI30" s="106">
        <f t="shared" si="55"/>
        <v>0</v>
      </c>
      <c r="BJ30" s="106"/>
      <c r="BK30" s="158">
        <f t="shared" si="56"/>
        <v>10692</v>
      </c>
      <c r="BL30" s="106">
        <v>10701</v>
      </c>
      <c r="BM30" s="106">
        <f t="shared" si="12"/>
        <v>9</v>
      </c>
      <c r="BN30" s="106">
        <f t="shared" si="57"/>
        <v>8</v>
      </c>
      <c r="BO30" s="106"/>
      <c r="BP30" s="158">
        <f t="shared" si="58"/>
        <v>4300</v>
      </c>
      <c r="BQ30" s="106">
        <v>4301</v>
      </c>
      <c r="BR30" s="253">
        <f t="shared" si="13"/>
        <v>1</v>
      </c>
      <c r="BS30" s="106">
        <f t="shared" si="59"/>
        <v>0</v>
      </c>
      <c r="BT30" s="106"/>
      <c r="BU30" s="158">
        <f t="shared" si="60"/>
        <v>1894</v>
      </c>
      <c r="BV30" s="106">
        <v>1894</v>
      </c>
      <c r="BW30" s="106">
        <f t="shared" si="14"/>
        <v>0</v>
      </c>
      <c r="BX30" s="106">
        <f t="shared" si="61"/>
        <v>0</v>
      </c>
      <c r="BY30" s="106"/>
      <c r="BZ30" s="162">
        <f t="shared" si="62"/>
        <v>29455</v>
      </c>
      <c r="CA30" s="106">
        <v>29458</v>
      </c>
      <c r="CB30" s="253">
        <f t="shared" si="15"/>
        <v>3</v>
      </c>
      <c r="CC30" s="106">
        <f t="shared" si="63"/>
        <v>1</v>
      </c>
      <c r="CD30" s="156"/>
      <c r="CE30" s="162">
        <f t="shared" si="64"/>
        <v>3649</v>
      </c>
      <c r="CF30" s="106">
        <v>3651</v>
      </c>
      <c r="CG30" s="106">
        <f t="shared" si="16"/>
        <v>2</v>
      </c>
      <c r="CH30" s="106">
        <f t="shared" si="65"/>
        <v>1</v>
      </c>
      <c r="CI30" s="156"/>
      <c r="CJ30" s="162">
        <f t="shared" si="66"/>
        <v>87432</v>
      </c>
      <c r="CK30" s="106">
        <v>87463</v>
      </c>
      <c r="CL30" s="106">
        <f t="shared" si="17"/>
        <v>31</v>
      </c>
      <c r="CM30" s="106">
        <f t="shared" si="67"/>
        <v>2</v>
      </c>
      <c r="CN30" s="156"/>
      <c r="CO30" s="162">
        <f t="shared" si="68"/>
        <v>26812</v>
      </c>
      <c r="CP30" s="106">
        <v>26820</v>
      </c>
      <c r="CQ30" s="106">
        <f t="shared" si="18"/>
        <v>8</v>
      </c>
      <c r="CR30" s="106">
        <f t="shared" si="69"/>
        <v>-4</v>
      </c>
      <c r="CS30" s="156"/>
      <c r="CT30" s="162">
        <f t="shared" si="70"/>
        <v>12896</v>
      </c>
      <c r="CU30" s="106">
        <v>12897</v>
      </c>
      <c r="CV30" s="106">
        <f t="shared" si="19"/>
        <v>1</v>
      </c>
      <c r="CW30" s="106">
        <f t="shared" si="71"/>
        <v>0</v>
      </c>
      <c r="CX30" s="156"/>
      <c r="CY30" s="162">
        <f t="shared" si="72"/>
        <v>19988</v>
      </c>
      <c r="CZ30" s="106">
        <v>19989</v>
      </c>
      <c r="DA30" s="106">
        <f t="shared" si="20"/>
        <v>1</v>
      </c>
      <c r="DB30" s="106">
        <f t="shared" si="73"/>
        <v>-1</v>
      </c>
      <c r="DC30" s="156"/>
      <c r="DD30" s="162">
        <f t="shared" si="74"/>
        <v>21244</v>
      </c>
      <c r="DE30" s="106">
        <v>21248</v>
      </c>
      <c r="DF30" s="106">
        <f t="shared" si="21"/>
        <v>4</v>
      </c>
      <c r="DG30" s="106">
        <f t="shared" si="75"/>
        <v>1</v>
      </c>
      <c r="DH30" s="156"/>
      <c r="DI30" s="162">
        <f t="shared" si="76"/>
        <v>10249</v>
      </c>
      <c r="DJ30" s="106">
        <v>10254</v>
      </c>
      <c r="DK30" s="106">
        <f t="shared" si="22"/>
        <v>5</v>
      </c>
      <c r="DL30" s="106">
        <f t="shared" si="77"/>
        <v>2</v>
      </c>
      <c r="DM30" s="156"/>
      <c r="DN30" s="162">
        <f t="shared" si="78"/>
        <v>27631</v>
      </c>
      <c r="DO30" s="106">
        <v>27646</v>
      </c>
      <c r="DP30" s="106">
        <f t="shared" si="23"/>
        <v>15</v>
      </c>
      <c r="DQ30" s="106">
        <f t="shared" si="79"/>
        <v>-3</v>
      </c>
      <c r="DR30" s="156"/>
      <c r="DS30" s="162">
        <f t="shared" si="80"/>
        <v>2958</v>
      </c>
      <c r="DT30" s="106">
        <v>2963</v>
      </c>
      <c r="DU30" s="106">
        <f t="shared" si="24"/>
        <v>5</v>
      </c>
      <c r="DV30" s="106">
        <f t="shared" si="81"/>
        <v>4</v>
      </c>
      <c r="DW30" s="156"/>
      <c r="DX30" s="162">
        <f t="shared" si="82"/>
        <v>286</v>
      </c>
      <c r="DY30" s="106">
        <v>287</v>
      </c>
      <c r="DZ30" s="106">
        <f t="shared" si="25"/>
        <v>1</v>
      </c>
      <c r="EA30" s="106">
        <f t="shared" si="83"/>
        <v>0</v>
      </c>
      <c r="EB30" s="156"/>
      <c r="EC30" s="162">
        <f t="shared" si="104"/>
        <v>0</v>
      </c>
      <c r="ED30" s="106"/>
      <c r="EE30" s="156">
        <f t="shared" si="26"/>
        <v>0</v>
      </c>
      <c r="EF30" s="162">
        <f t="shared" si="101"/>
        <v>0</v>
      </c>
      <c r="EG30" s="106"/>
      <c r="EH30" s="156">
        <f t="shared" si="27"/>
        <v>0</v>
      </c>
      <c r="EI30" s="162">
        <f t="shared" si="102"/>
        <v>0</v>
      </c>
      <c r="EJ30" s="106"/>
      <c r="EK30" s="156">
        <f t="shared" si="28"/>
        <v>0</v>
      </c>
      <c r="EL30" s="162">
        <f t="shared" si="103"/>
        <v>0</v>
      </c>
      <c r="EM30" s="106"/>
      <c r="EN30" s="156">
        <f t="shared" si="29"/>
        <v>0</v>
      </c>
      <c r="EO30" s="162">
        <f t="shared" si="88"/>
        <v>0</v>
      </c>
      <c r="EP30" s="106"/>
      <c r="EQ30" s="156">
        <f t="shared" si="30"/>
        <v>0</v>
      </c>
      <c r="ER30" s="162">
        <f t="shared" si="89"/>
        <v>0</v>
      </c>
      <c r="ES30" s="106"/>
      <c r="ET30" s="156">
        <f t="shared" si="31"/>
        <v>0</v>
      </c>
      <c r="EU30" s="162">
        <f t="shared" si="90"/>
        <v>0</v>
      </c>
      <c r="EV30" s="106"/>
      <c r="EW30" s="156">
        <f t="shared" si="91"/>
        <v>0</v>
      </c>
      <c r="EX30" s="162">
        <f t="shared" si="92"/>
        <v>0</v>
      </c>
      <c r="EY30" s="106"/>
      <c r="EZ30" s="156">
        <f t="shared" si="32"/>
        <v>0</v>
      </c>
      <c r="FA30" s="162">
        <f t="shared" si="93"/>
        <v>0</v>
      </c>
      <c r="FB30" s="106"/>
      <c r="FC30" s="156">
        <f t="shared" si="33"/>
        <v>0</v>
      </c>
      <c r="FD30" s="162">
        <f t="shared" si="94"/>
        <v>0</v>
      </c>
      <c r="FE30" s="106"/>
      <c r="FF30" s="156">
        <f t="shared" si="34"/>
        <v>0</v>
      </c>
      <c r="FG30" s="162">
        <f t="shared" si="95"/>
        <v>0</v>
      </c>
      <c r="FH30" s="106"/>
      <c r="FI30" s="156">
        <f t="shared" si="35"/>
        <v>0</v>
      </c>
      <c r="FJ30" s="162">
        <f t="shared" si="96"/>
        <v>0</v>
      </c>
      <c r="FK30" s="106"/>
      <c r="FL30" s="156">
        <f t="shared" si="36"/>
        <v>0</v>
      </c>
      <c r="FM30" s="162">
        <f t="shared" si="97"/>
        <v>0</v>
      </c>
      <c r="FN30" s="106"/>
      <c r="FO30" s="156">
        <f t="shared" si="37"/>
        <v>0</v>
      </c>
      <c r="FP30" s="162">
        <f t="shared" si="98"/>
        <v>0</v>
      </c>
      <c r="FQ30" s="106"/>
      <c r="FR30" s="156">
        <f t="shared" si="38"/>
        <v>0</v>
      </c>
    </row>
    <row r="31" spans="1:174" ht="15" customHeight="1">
      <c r="A31" s="104">
        <v>26</v>
      </c>
      <c r="B31" s="104">
        <f t="shared" si="39"/>
        <v>17925</v>
      </c>
      <c r="C31" s="105">
        <v>18043</v>
      </c>
      <c r="D31" s="99">
        <f t="shared" si="0"/>
        <v>118</v>
      </c>
      <c r="E31" s="149"/>
      <c r="F31" s="104">
        <v>26</v>
      </c>
      <c r="G31" s="104">
        <f t="shared" si="40"/>
        <v>42783</v>
      </c>
      <c r="H31" s="105">
        <v>42795</v>
      </c>
      <c r="I31" s="99">
        <f t="shared" si="1"/>
        <v>12</v>
      </c>
      <c r="J31" s="149"/>
      <c r="K31" s="104">
        <v>26</v>
      </c>
      <c r="L31" s="104">
        <f t="shared" si="41"/>
        <v>852387</v>
      </c>
      <c r="M31" s="105">
        <v>852546</v>
      </c>
      <c r="N31" s="99">
        <f t="shared" si="2"/>
        <v>159</v>
      </c>
      <c r="O31" s="101"/>
      <c r="P31" s="104">
        <v>26</v>
      </c>
      <c r="Q31" s="104">
        <f t="shared" si="42"/>
        <v>2595</v>
      </c>
      <c r="R31" s="105">
        <v>2595</v>
      </c>
      <c r="S31" s="99">
        <f t="shared" si="3"/>
        <v>0</v>
      </c>
      <c r="T31" s="100"/>
      <c r="U31" s="104">
        <v>26</v>
      </c>
      <c r="V31" s="374">
        <f t="shared" si="4"/>
        <v>289</v>
      </c>
      <c r="W31" s="103">
        <f>'Maldives at LG Daily'!I30</f>
        <v>0</v>
      </c>
      <c r="X31" s="122"/>
      <c r="Y31" s="249" t="e">
        <f t="shared" si="5"/>
        <v>#DIV/0!</v>
      </c>
      <c r="AA31" s="158">
        <v>26</v>
      </c>
      <c r="AB31" s="106">
        <f t="shared" si="43"/>
        <v>49323</v>
      </c>
      <c r="AC31" s="106">
        <v>49349</v>
      </c>
      <c r="AD31" s="106">
        <f t="shared" si="6"/>
        <v>26</v>
      </c>
      <c r="AE31" s="106">
        <f t="shared" si="99"/>
        <v>1</v>
      </c>
      <c r="AF31" s="234"/>
      <c r="AG31" s="158">
        <f t="shared" si="44"/>
        <v>11058</v>
      </c>
      <c r="AH31" s="106">
        <v>11064</v>
      </c>
      <c r="AI31" s="106">
        <f t="shared" si="45"/>
        <v>6</v>
      </c>
      <c r="AJ31" s="106">
        <f t="shared" si="100"/>
        <v>0</v>
      </c>
      <c r="AK31" s="106"/>
      <c r="AL31" s="158">
        <f t="shared" si="46"/>
        <v>10615</v>
      </c>
      <c r="AM31" s="106">
        <v>10623</v>
      </c>
      <c r="AN31" s="106">
        <f t="shared" si="7"/>
        <v>8</v>
      </c>
      <c r="AO31" s="106">
        <f t="shared" si="47"/>
        <v>8</v>
      </c>
      <c r="AP31" s="106"/>
      <c r="AQ31" s="158">
        <f t="shared" si="48"/>
        <v>20226</v>
      </c>
      <c r="AR31" s="106">
        <v>20236</v>
      </c>
      <c r="AS31" s="106">
        <f t="shared" si="8"/>
        <v>10</v>
      </c>
      <c r="AT31" s="106">
        <f t="shared" si="49"/>
        <v>0</v>
      </c>
      <c r="AU31" s="106"/>
      <c r="AV31" s="158">
        <f t="shared" si="50"/>
        <v>36189</v>
      </c>
      <c r="AW31" s="106">
        <v>36196</v>
      </c>
      <c r="AX31" s="106">
        <f t="shared" si="9"/>
        <v>7</v>
      </c>
      <c r="AY31" s="106">
        <f t="shared" si="51"/>
        <v>-1</v>
      </c>
      <c r="AZ31" s="106"/>
      <c r="BA31" s="158">
        <f t="shared" si="52"/>
        <v>9801</v>
      </c>
      <c r="BB31" s="106">
        <v>9807</v>
      </c>
      <c r="BC31" s="106">
        <f t="shared" si="10"/>
        <v>6</v>
      </c>
      <c r="BD31" s="106">
        <f t="shared" si="53"/>
        <v>-1</v>
      </c>
      <c r="BE31" s="106"/>
      <c r="BF31" s="158">
        <f t="shared" si="54"/>
        <v>26689</v>
      </c>
      <c r="BG31" s="106">
        <v>26699</v>
      </c>
      <c r="BH31" s="106">
        <f t="shared" si="11"/>
        <v>10</v>
      </c>
      <c r="BI31" s="106">
        <f t="shared" si="55"/>
        <v>2</v>
      </c>
      <c r="BJ31" s="106"/>
      <c r="BK31" s="158">
        <f t="shared" si="56"/>
        <v>10701</v>
      </c>
      <c r="BL31" s="106">
        <v>10718</v>
      </c>
      <c r="BM31" s="106">
        <f t="shared" si="12"/>
        <v>17</v>
      </c>
      <c r="BN31" s="106">
        <f t="shared" si="57"/>
        <v>8</v>
      </c>
      <c r="BO31" s="106"/>
      <c r="BP31" s="158">
        <f t="shared" si="58"/>
        <v>4301</v>
      </c>
      <c r="BQ31" s="106">
        <v>4302</v>
      </c>
      <c r="BR31" s="253">
        <f t="shared" si="13"/>
        <v>1</v>
      </c>
      <c r="BS31" s="106">
        <f t="shared" si="59"/>
        <v>0</v>
      </c>
      <c r="BT31" s="106"/>
      <c r="BU31" s="158">
        <f t="shared" si="60"/>
        <v>1894</v>
      </c>
      <c r="BV31" s="106">
        <v>1894</v>
      </c>
      <c r="BW31" s="106">
        <f t="shared" si="14"/>
        <v>0</v>
      </c>
      <c r="BX31" s="106">
        <f t="shared" si="61"/>
        <v>0</v>
      </c>
      <c r="BY31" s="106"/>
      <c r="BZ31" s="162">
        <f t="shared" si="62"/>
        <v>29458</v>
      </c>
      <c r="CA31" s="106">
        <v>29464</v>
      </c>
      <c r="CB31" s="253">
        <f t="shared" si="15"/>
        <v>6</v>
      </c>
      <c r="CC31" s="106">
        <f t="shared" si="63"/>
        <v>3</v>
      </c>
      <c r="CD31" s="156"/>
      <c r="CE31" s="162">
        <f t="shared" si="64"/>
        <v>3651</v>
      </c>
      <c r="CF31" s="106">
        <v>3655</v>
      </c>
      <c r="CG31" s="106">
        <f t="shared" si="16"/>
        <v>4</v>
      </c>
      <c r="CH31" s="106">
        <f t="shared" si="65"/>
        <v>2</v>
      </c>
      <c r="CI31" s="156"/>
      <c r="CJ31" s="162">
        <f t="shared" si="66"/>
        <v>87463</v>
      </c>
      <c r="CK31" s="106">
        <v>87492</v>
      </c>
      <c r="CL31" s="106">
        <f t="shared" si="17"/>
        <v>29</v>
      </c>
      <c r="CM31" s="106">
        <f t="shared" si="67"/>
        <v>-2</v>
      </c>
      <c r="CN31" s="156"/>
      <c r="CO31" s="162">
        <f t="shared" si="68"/>
        <v>26820</v>
      </c>
      <c r="CP31" s="106">
        <v>26828</v>
      </c>
      <c r="CQ31" s="106">
        <f t="shared" si="18"/>
        <v>8</v>
      </c>
      <c r="CR31" s="106">
        <f t="shared" si="69"/>
        <v>0</v>
      </c>
      <c r="CS31" s="156"/>
      <c r="CT31" s="162">
        <f t="shared" si="70"/>
        <v>12897</v>
      </c>
      <c r="CU31" s="106">
        <v>12898</v>
      </c>
      <c r="CV31" s="106">
        <f t="shared" si="19"/>
        <v>1</v>
      </c>
      <c r="CW31" s="106">
        <f t="shared" si="71"/>
        <v>0</v>
      </c>
      <c r="CX31" s="156"/>
      <c r="CY31" s="162">
        <f t="shared" si="72"/>
        <v>19989</v>
      </c>
      <c r="CZ31" s="106">
        <v>19990</v>
      </c>
      <c r="DA31" s="106">
        <f t="shared" si="20"/>
        <v>1</v>
      </c>
      <c r="DB31" s="106">
        <f t="shared" si="73"/>
        <v>0</v>
      </c>
      <c r="DC31" s="156"/>
      <c r="DD31" s="162">
        <f t="shared" si="74"/>
        <v>21248</v>
      </c>
      <c r="DE31" s="106">
        <v>21250</v>
      </c>
      <c r="DF31" s="106">
        <f t="shared" si="21"/>
        <v>2</v>
      </c>
      <c r="DG31" s="106">
        <f t="shared" si="75"/>
        <v>-2</v>
      </c>
      <c r="DH31" s="156"/>
      <c r="DI31" s="162">
        <f t="shared" si="76"/>
        <v>10254</v>
      </c>
      <c r="DJ31" s="106">
        <v>10257</v>
      </c>
      <c r="DK31" s="106">
        <f t="shared" si="22"/>
        <v>3</v>
      </c>
      <c r="DL31" s="106">
        <f t="shared" si="77"/>
        <v>-2</v>
      </c>
      <c r="DM31" s="156"/>
      <c r="DN31" s="162">
        <f t="shared" si="78"/>
        <v>27646</v>
      </c>
      <c r="DO31" s="106">
        <v>27662</v>
      </c>
      <c r="DP31" s="106">
        <f t="shared" si="23"/>
        <v>16</v>
      </c>
      <c r="DQ31" s="106">
        <f t="shared" si="79"/>
        <v>1</v>
      </c>
      <c r="DR31" s="156"/>
      <c r="DS31" s="162">
        <f t="shared" si="80"/>
        <v>2963</v>
      </c>
      <c r="DT31" s="106">
        <v>2965</v>
      </c>
      <c r="DU31" s="106">
        <f t="shared" si="24"/>
        <v>2</v>
      </c>
      <c r="DV31" s="106">
        <f t="shared" si="81"/>
        <v>-3</v>
      </c>
      <c r="DW31" s="156"/>
      <c r="DX31" s="162">
        <f t="shared" si="82"/>
        <v>287</v>
      </c>
      <c r="DY31" s="106">
        <v>288</v>
      </c>
      <c r="DZ31" s="106">
        <f t="shared" si="25"/>
        <v>1</v>
      </c>
      <c r="EA31" s="106">
        <f t="shared" si="83"/>
        <v>0</v>
      </c>
      <c r="EB31" s="156"/>
      <c r="EC31" s="162">
        <f t="shared" si="104"/>
        <v>0</v>
      </c>
      <c r="ED31" s="106"/>
      <c r="EE31" s="156">
        <f t="shared" si="26"/>
        <v>0</v>
      </c>
      <c r="EF31" s="162">
        <f t="shared" si="101"/>
        <v>0</v>
      </c>
      <c r="EG31" s="106"/>
      <c r="EH31" s="156">
        <f t="shared" si="27"/>
        <v>0</v>
      </c>
      <c r="EI31" s="162">
        <f t="shared" si="102"/>
        <v>0</v>
      </c>
      <c r="EJ31" s="106"/>
      <c r="EK31" s="156">
        <f t="shared" si="28"/>
        <v>0</v>
      </c>
      <c r="EL31" s="162">
        <f t="shared" si="103"/>
        <v>0</v>
      </c>
      <c r="EM31" s="106"/>
      <c r="EN31" s="156">
        <f t="shared" si="29"/>
        <v>0</v>
      </c>
      <c r="EO31" s="162">
        <f t="shared" si="88"/>
        <v>0</v>
      </c>
      <c r="EP31" s="106"/>
      <c r="EQ31" s="156">
        <f t="shared" si="30"/>
        <v>0</v>
      </c>
      <c r="ER31" s="162">
        <f t="shared" si="89"/>
        <v>0</v>
      </c>
      <c r="ES31" s="106"/>
      <c r="ET31" s="156">
        <f t="shared" si="31"/>
        <v>0</v>
      </c>
      <c r="EU31" s="162">
        <f t="shared" si="90"/>
        <v>0</v>
      </c>
      <c r="EV31" s="106"/>
      <c r="EW31" s="156">
        <f t="shared" si="91"/>
        <v>0</v>
      </c>
      <c r="EX31" s="162">
        <f t="shared" si="92"/>
        <v>0</v>
      </c>
      <c r="EY31" s="106"/>
      <c r="EZ31" s="156">
        <f t="shared" si="32"/>
        <v>0</v>
      </c>
      <c r="FA31" s="162">
        <f t="shared" si="93"/>
        <v>0</v>
      </c>
      <c r="FB31" s="106"/>
      <c r="FC31" s="156">
        <f t="shared" si="33"/>
        <v>0</v>
      </c>
      <c r="FD31" s="162">
        <f t="shared" si="94"/>
        <v>0</v>
      </c>
      <c r="FE31" s="106"/>
      <c r="FF31" s="156">
        <f t="shared" si="34"/>
        <v>0</v>
      </c>
      <c r="FG31" s="162">
        <f t="shared" si="95"/>
        <v>0</v>
      </c>
      <c r="FH31" s="106"/>
      <c r="FI31" s="156">
        <f t="shared" si="35"/>
        <v>0</v>
      </c>
      <c r="FJ31" s="162">
        <f t="shared" si="96"/>
        <v>0</v>
      </c>
      <c r="FK31" s="106"/>
      <c r="FL31" s="156">
        <f t="shared" si="36"/>
        <v>0</v>
      </c>
      <c r="FM31" s="162">
        <f t="shared" si="97"/>
        <v>0</v>
      </c>
      <c r="FN31" s="106"/>
      <c r="FO31" s="156">
        <f t="shared" si="37"/>
        <v>0</v>
      </c>
      <c r="FP31" s="162">
        <f t="shared" si="98"/>
        <v>0</v>
      </c>
      <c r="FQ31" s="106"/>
      <c r="FR31" s="156">
        <f t="shared" si="38"/>
        <v>0</v>
      </c>
    </row>
    <row r="32" spans="1:174" ht="15" customHeight="1">
      <c r="A32" s="104">
        <v>27</v>
      </c>
      <c r="B32" s="104">
        <f t="shared" si="39"/>
        <v>18043</v>
      </c>
      <c r="C32" s="105">
        <v>18210</v>
      </c>
      <c r="D32" s="99">
        <f t="shared" si="0"/>
        <v>167</v>
      </c>
      <c r="E32" s="149"/>
      <c r="F32" s="104">
        <v>27</v>
      </c>
      <c r="G32" s="104">
        <f t="shared" si="40"/>
        <v>42795</v>
      </c>
      <c r="H32" s="105">
        <v>42798</v>
      </c>
      <c r="I32" s="99">
        <f t="shared" si="1"/>
        <v>3</v>
      </c>
      <c r="J32" s="149"/>
      <c r="K32" s="104">
        <v>27</v>
      </c>
      <c r="L32" s="104">
        <f t="shared" si="41"/>
        <v>852546</v>
      </c>
      <c r="M32" s="105">
        <v>852680</v>
      </c>
      <c r="N32" s="99">
        <f t="shared" si="2"/>
        <v>134</v>
      </c>
      <c r="O32" s="101"/>
      <c r="P32" s="104">
        <v>27</v>
      </c>
      <c r="Q32" s="104">
        <f t="shared" si="42"/>
        <v>2595</v>
      </c>
      <c r="R32" s="105">
        <v>2606</v>
      </c>
      <c r="S32" s="99">
        <f t="shared" si="3"/>
        <v>11</v>
      </c>
      <c r="T32" s="100"/>
      <c r="U32" s="102">
        <v>27</v>
      </c>
      <c r="V32" s="373">
        <f t="shared" si="4"/>
        <v>315</v>
      </c>
      <c r="W32" s="103">
        <f>'Maldives at LG Daily'!I31</f>
        <v>0</v>
      </c>
      <c r="X32" s="122"/>
      <c r="Y32" s="249" t="e">
        <f t="shared" si="5"/>
        <v>#DIV/0!</v>
      </c>
      <c r="AA32" s="158">
        <v>27</v>
      </c>
      <c r="AB32" s="106">
        <f t="shared" si="43"/>
        <v>49349</v>
      </c>
      <c r="AC32" s="106">
        <v>49370</v>
      </c>
      <c r="AD32" s="106">
        <f t="shared" si="6"/>
        <v>21</v>
      </c>
      <c r="AE32" s="106">
        <f t="shared" si="99"/>
        <v>-5</v>
      </c>
      <c r="AF32" s="234"/>
      <c r="AG32" s="158">
        <f t="shared" si="44"/>
        <v>11064</v>
      </c>
      <c r="AH32" s="106">
        <v>11069</v>
      </c>
      <c r="AI32" s="106">
        <f t="shared" si="45"/>
        <v>5</v>
      </c>
      <c r="AJ32" s="106">
        <f t="shared" si="100"/>
        <v>-1</v>
      </c>
      <c r="AK32" s="106"/>
      <c r="AL32" s="158">
        <f t="shared" si="46"/>
        <v>10623</v>
      </c>
      <c r="AM32" s="106">
        <v>10632</v>
      </c>
      <c r="AN32" s="106">
        <f t="shared" si="7"/>
        <v>9</v>
      </c>
      <c r="AO32" s="106">
        <f t="shared" si="47"/>
        <v>1</v>
      </c>
      <c r="AP32" s="106"/>
      <c r="AQ32" s="158">
        <f t="shared" si="48"/>
        <v>20236</v>
      </c>
      <c r="AR32" s="106">
        <v>20246</v>
      </c>
      <c r="AS32" s="106">
        <f t="shared" si="8"/>
        <v>10</v>
      </c>
      <c r="AT32" s="106">
        <f t="shared" si="49"/>
        <v>0</v>
      </c>
      <c r="AU32" s="106"/>
      <c r="AV32" s="158">
        <f t="shared" si="50"/>
        <v>36196</v>
      </c>
      <c r="AW32" s="106">
        <v>36204</v>
      </c>
      <c r="AX32" s="106">
        <f t="shared" si="9"/>
        <v>8</v>
      </c>
      <c r="AY32" s="106">
        <f t="shared" si="51"/>
        <v>1</v>
      </c>
      <c r="AZ32" s="106"/>
      <c r="BA32" s="158">
        <f t="shared" si="52"/>
        <v>9807</v>
      </c>
      <c r="BB32" s="106">
        <v>9813</v>
      </c>
      <c r="BC32" s="106">
        <f t="shared" si="10"/>
        <v>6</v>
      </c>
      <c r="BD32" s="106">
        <f t="shared" si="53"/>
        <v>0</v>
      </c>
      <c r="BE32" s="106"/>
      <c r="BF32" s="158">
        <f t="shared" si="54"/>
        <v>26699</v>
      </c>
      <c r="BG32" s="106">
        <v>26709</v>
      </c>
      <c r="BH32" s="106">
        <f t="shared" si="11"/>
        <v>10</v>
      </c>
      <c r="BI32" s="106">
        <f t="shared" si="55"/>
        <v>0</v>
      </c>
      <c r="BJ32" s="106"/>
      <c r="BK32" s="158">
        <f t="shared" si="56"/>
        <v>10718</v>
      </c>
      <c r="BL32" s="106">
        <v>10726</v>
      </c>
      <c r="BM32" s="106">
        <f t="shared" si="12"/>
        <v>8</v>
      </c>
      <c r="BN32" s="106">
        <f t="shared" si="57"/>
        <v>-9</v>
      </c>
      <c r="BO32" s="106"/>
      <c r="BP32" s="158">
        <f t="shared" si="58"/>
        <v>4302</v>
      </c>
      <c r="BQ32" s="106">
        <v>4303</v>
      </c>
      <c r="BR32" s="253">
        <f t="shared" si="13"/>
        <v>1</v>
      </c>
      <c r="BS32" s="106">
        <f t="shared" si="59"/>
        <v>0</v>
      </c>
      <c r="BT32" s="106"/>
      <c r="BU32" s="158">
        <f t="shared" si="60"/>
        <v>1894</v>
      </c>
      <c r="BV32" s="106">
        <v>1894</v>
      </c>
      <c r="BW32" s="106">
        <f t="shared" si="14"/>
        <v>0</v>
      </c>
      <c r="BX32" s="106">
        <f t="shared" si="61"/>
        <v>0</v>
      </c>
      <c r="BY32" s="106"/>
      <c r="BZ32" s="162">
        <f t="shared" si="62"/>
        <v>29464</v>
      </c>
      <c r="CA32" s="106">
        <v>29466</v>
      </c>
      <c r="CB32" s="253">
        <f t="shared" si="15"/>
        <v>2</v>
      </c>
      <c r="CC32" s="106">
        <f t="shared" si="63"/>
        <v>-4</v>
      </c>
      <c r="CD32" s="156"/>
      <c r="CE32" s="162">
        <f t="shared" si="64"/>
        <v>3655</v>
      </c>
      <c r="CF32" s="106">
        <v>3656</v>
      </c>
      <c r="CG32" s="106">
        <f t="shared" si="16"/>
        <v>1</v>
      </c>
      <c r="CH32" s="106">
        <f t="shared" si="65"/>
        <v>-3</v>
      </c>
      <c r="CI32" s="156"/>
      <c r="CJ32" s="162">
        <f t="shared" si="66"/>
        <v>87492</v>
      </c>
      <c r="CK32" s="106">
        <v>87523</v>
      </c>
      <c r="CL32" s="106">
        <f t="shared" si="17"/>
        <v>31</v>
      </c>
      <c r="CM32" s="106">
        <f t="shared" si="67"/>
        <v>2</v>
      </c>
      <c r="CN32" s="156"/>
      <c r="CO32" s="162">
        <f t="shared" si="68"/>
        <v>26828</v>
      </c>
      <c r="CP32" s="106">
        <v>26838</v>
      </c>
      <c r="CQ32" s="106">
        <f t="shared" si="18"/>
        <v>10</v>
      </c>
      <c r="CR32" s="106">
        <f t="shared" si="69"/>
        <v>2</v>
      </c>
      <c r="CS32" s="156"/>
      <c r="CT32" s="162">
        <f t="shared" si="70"/>
        <v>12898</v>
      </c>
      <c r="CU32" s="106">
        <v>12898</v>
      </c>
      <c r="CV32" s="106">
        <f t="shared" si="19"/>
        <v>0</v>
      </c>
      <c r="CW32" s="106">
        <f t="shared" si="71"/>
        <v>-1</v>
      </c>
      <c r="CX32" s="156"/>
      <c r="CY32" s="162">
        <f t="shared" si="72"/>
        <v>19990</v>
      </c>
      <c r="CZ32" s="106">
        <v>19991</v>
      </c>
      <c r="DA32" s="106">
        <f t="shared" si="20"/>
        <v>1</v>
      </c>
      <c r="DB32" s="106">
        <f t="shared" si="73"/>
        <v>0</v>
      </c>
      <c r="DC32" s="156"/>
      <c r="DD32" s="162">
        <f t="shared" si="74"/>
        <v>21250</v>
      </c>
      <c r="DE32" s="106">
        <v>21255</v>
      </c>
      <c r="DF32" s="106">
        <f t="shared" si="21"/>
        <v>5</v>
      </c>
      <c r="DG32" s="106">
        <f t="shared" si="75"/>
        <v>3</v>
      </c>
      <c r="DH32" s="156"/>
      <c r="DI32" s="162">
        <f t="shared" si="76"/>
        <v>10257</v>
      </c>
      <c r="DJ32" s="106">
        <v>10261</v>
      </c>
      <c r="DK32" s="106">
        <f t="shared" si="22"/>
        <v>4</v>
      </c>
      <c r="DL32" s="106">
        <f t="shared" si="77"/>
        <v>1</v>
      </c>
      <c r="DM32" s="156"/>
      <c r="DN32" s="162">
        <f t="shared" si="78"/>
        <v>27662</v>
      </c>
      <c r="DO32" s="106">
        <v>27679</v>
      </c>
      <c r="DP32" s="106">
        <f t="shared" si="23"/>
        <v>17</v>
      </c>
      <c r="DQ32" s="106">
        <f t="shared" si="79"/>
        <v>1</v>
      </c>
      <c r="DR32" s="156"/>
      <c r="DS32" s="162">
        <f t="shared" si="80"/>
        <v>2965</v>
      </c>
      <c r="DT32" s="106">
        <v>2968</v>
      </c>
      <c r="DU32" s="106">
        <f t="shared" si="24"/>
        <v>3</v>
      </c>
      <c r="DV32" s="106">
        <f t="shared" si="81"/>
        <v>1</v>
      </c>
      <c r="DW32" s="156"/>
      <c r="DX32" s="162">
        <f t="shared" si="82"/>
        <v>288</v>
      </c>
      <c r="DY32" s="106">
        <v>290</v>
      </c>
      <c r="DZ32" s="106">
        <f t="shared" si="25"/>
        <v>2</v>
      </c>
      <c r="EA32" s="106">
        <f t="shared" si="83"/>
        <v>1</v>
      </c>
      <c r="EB32" s="156"/>
      <c r="EC32" s="162">
        <f t="shared" si="104"/>
        <v>0</v>
      </c>
      <c r="ED32" s="106"/>
      <c r="EE32" s="156">
        <f t="shared" si="26"/>
        <v>0</v>
      </c>
      <c r="EF32" s="162">
        <f t="shared" si="101"/>
        <v>0</v>
      </c>
      <c r="EG32" s="106"/>
      <c r="EH32" s="156">
        <f t="shared" si="27"/>
        <v>0</v>
      </c>
      <c r="EI32" s="162">
        <f t="shared" si="102"/>
        <v>0</v>
      </c>
      <c r="EJ32" s="106"/>
      <c r="EK32" s="156">
        <f t="shared" si="28"/>
        <v>0</v>
      </c>
      <c r="EL32" s="162">
        <f t="shared" si="103"/>
        <v>0</v>
      </c>
      <c r="EM32" s="106"/>
      <c r="EN32" s="156">
        <f t="shared" si="29"/>
        <v>0</v>
      </c>
      <c r="EO32" s="162">
        <f t="shared" si="88"/>
        <v>0</v>
      </c>
      <c r="EP32" s="106"/>
      <c r="EQ32" s="156">
        <f t="shared" si="30"/>
        <v>0</v>
      </c>
      <c r="ER32" s="162">
        <f t="shared" si="89"/>
        <v>0</v>
      </c>
      <c r="ES32" s="106"/>
      <c r="ET32" s="156">
        <f t="shared" si="31"/>
        <v>0</v>
      </c>
      <c r="EU32" s="162">
        <f t="shared" si="90"/>
        <v>0</v>
      </c>
      <c r="EV32" s="106"/>
      <c r="EW32" s="156">
        <f t="shared" si="91"/>
        <v>0</v>
      </c>
      <c r="EX32" s="162">
        <f t="shared" si="92"/>
        <v>0</v>
      </c>
      <c r="EY32" s="106"/>
      <c r="EZ32" s="156">
        <f t="shared" si="32"/>
        <v>0</v>
      </c>
      <c r="FA32" s="162">
        <f t="shared" si="93"/>
        <v>0</v>
      </c>
      <c r="FB32" s="106"/>
      <c r="FC32" s="156">
        <f t="shared" si="33"/>
        <v>0</v>
      </c>
      <c r="FD32" s="162">
        <f t="shared" si="94"/>
        <v>0</v>
      </c>
      <c r="FE32" s="106"/>
      <c r="FF32" s="156">
        <f t="shared" si="34"/>
        <v>0</v>
      </c>
      <c r="FG32" s="162">
        <f t="shared" si="95"/>
        <v>0</v>
      </c>
      <c r="FH32" s="106"/>
      <c r="FI32" s="156">
        <f t="shared" si="35"/>
        <v>0</v>
      </c>
      <c r="FJ32" s="162">
        <f t="shared" si="96"/>
        <v>0</v>
      </c>
      <c r="FK32" s="106"/>
      <c r="FL32" s="156">
        <f t="shared" si="36"/>
        <v>0</v>
      </c>
      <c r="FM32" s="162">
        <f t="shared" si="97"/>
        <v>0</v>
      </c>
      <c r="FN32" s="106"/>
      <c r="FO32" s="156">
        <f t="shared" si="37"/>
        <v>0</v>
      </c>
      <c r="FP32" s="162">
        <f t="shared" si="98"/>
        <v>0</v>
      </c>
      <c r="FQ32" s="106"/>
      <c r="FR32" s="156">
        <f t="shared" si="38"/>
        <v>0</v>
      </c>
    </row>
    <row r="33" spans="1:174" ht="15" customHeight="1">
      <c r="A33" s="104">
        <v>28</v>
      </c>
      <c r="B33" s="104">
        <f t="shared" si="39"/>
        <v>18210</v>
      </c>
      <c r="C33" s="105">
        <v>18394</v>
      </c>
      <c r="D33" s="99">
        <f t="shared" si="0"/>
        <v>184</v>
      </c>
      <c r="E33" s="149"/>
      <c r="F33" s="104">
        <v>28</v>
      </c>
      <c r="G33" s="104">
        <f t="shared" si="40"/>
        <v>42798</v>
      </c>
      <c r="H33" s="105">
        <v>42812</v>
      </c>
      <c r="I33" s="99">
        <f t="shared" si="1"/>
        <v>14</v>
      </c>
      <c r="J33" s="149"/>
      <c r="K33" s="104">
        <v>28</v>
      </c>
      <c r="L33" s="104">
        <f t="shared" si="41"/>
        <v>852680</v>
      </c>
      <c r="M33" s="105">
        <v>852819</v>
      </c>
      <c r="N33" s="99">
        <f t="shared" si="2"/>
        <v>139</v>
      </c>
      <c r="O33" s="101"/>
      <c r="P33" s="104">
        <v>28</v>
      </c>
      <c r="Q33" s="104">
        <f t="shared" si="42"/>
        <v>2606</v>
      </c>
      <c r="R33" s="105">
        <v>2606</v>
      </c>
      <c r="S33" s="99">
        <f t="shared" si="3"/>
        <v>0</v>
      </c>
      <c r="T33" s="100"/>
      <c r="U33" s="102">
        <v>28</v>
      </c>
      <c r="V33" s="373">
        <f t="shared" si="4"/>
        <v>337</v>
      </c>
      <c r="W33" s="103">
        <f>'Maldives at LG Daily'!I32</f>
        <v>0</v>
      </c>
      <c r="X33" s="122"/>
      <c r="Y33" s="249" t="e">
        <f t="shared" si="5"/>
        <v>#DIV/0!</v>
      </c>
      <c r="AA33" s="158">
        <v>28</v>
      </c>
      <c r="AB33" s="106">
        <f t="shared" si="43"/>
        <v>49370</v>
      </c>
      <c r="AC33" s="106">
        <v>49393</v>
      </c>
      <c r="AD33" s="106">
        <f t="shared" si="6"/>
        <v>23</v>
      </c>
      <c r="AE33" s="106">
        <f t="shared" si="99"/>
        <v>2</v>
      </c>
      <c r="AF33" s="234"/>
      <c r="AG33" s="158">
        <f t="shared" si="44"/>
        <v>11069</v>
      </c>
      <c r="AH33" s="106">
        <v>11075</v>
      </c>
      <c r="AI33" s="106">
        <f t="shared" si="45"/>
        <v>6</v>
      </c>
      <c r="AJ33" s="106">
        <f t="shared" si="100"/>
        <v>1</v>
      </c>
      <c r="AK33" s="106"/>
      <c r="AL33" s="158">
        <f t="shared" si="46"/>
        <v>10632</v>
      </c>
      <c r="AM33" s="106">
        <v>10641</v>
      </c>
      <c r="AN33" s="106">
        <f t="shared" si="7"/>
        <v>9</v>
      </c>
      <c r="AO33" s="106">
        <f t="shared" si="47"/>
        <v>0</v>
      </c>
      <c r="AP33" s="106"/>
      <c r="AQ33" s="158">
        <f t="shared" si="48"/>
        <v>20246</v>
      </c>
      <c r="AR33" s="106">
        <v>20256</v>
      </c>
      <c r="AS33" s="106">
        <f t="shared" si="8"/>
        <v>10</v>
      </c>
      <c r="AT33" s="106">
        <f t="shared" si="49"/>
        <v>0</v>
      </c>
      <c r="AU33" s="106"/>
      <c r="AV33" s="158">
        <f t="shared" si="50"/>
        <v>36204</v>
      </c>
      <c r="AW33" s="106">
        <v>36211</v>
      </c>
      <c r="AX33" s="106">
        <f t="shared" si="9"/>
        <v>7</v>
      </c>
      <c r="AY33" s="106">
        <f t="shared" si="51"/>
        <v>-1</v>
      </c>
      <c r="AZ33" s="106"/>
      <c r="BA33" s="158">
        <f t="shared" si="52"/>
        <v>9813</v>
      </c>
      <c r="BB33" s="106">
        <v>9820</v>
      </c>
      <c r="BC33" s="106">
        <f t="shared" si="10"/>
        <v>7</v>
      </c>
      <c r="BD33" s="106">
        <f t="shared" si="53"/>
        <v>1</v>
      </c>
      <c r="BE33" s="106"/>
      <c r="BF33" s="158">
        <f t="shared" si="54"/>
        <v>26709</v>
      </c>
      <c r="BG33" s="106">
        <v>26709</v>
      </c>
      <c r="BH33" s="106">
        <f t="shared" si="11"/>
        <v>0</v>
      </c>
      <c r="BI33" s="106">
        <f t="shared" si="55"/>
        <v>-10</v>
      </c>
      <c r="BJ33" s="106"/>
      <c r="BK33" s="158">
        <f t="shared" si="56"/>
        <v>10726</v>
      </c>
      <c r="BL33" s="106">
        <v>10734</v>
      </c>
      <c r="BM33" s="106">
        <f t="shared" si="12"/>
        <v>8</v>
      </c>
      <c r="BN33" s="106">
        <f t="shared" si="57"/>
        <v>0</v>
      </c>
      <c r="BO33" s="106"/>
      <c r="BP33" s="158">
        <f t="shared" si="58"/>
        <v>4303</v>
      </c>
      <c r="BQ33" s="106">
        <v>4303</v>
      </c>
      <c r="BR33" s="253">
        <f t="shared" si="13"/>
        <v>0</v>
      </c>
      <c r="BS33" s="106">
        <f t="shared" si="59"/>
        <v>-1</v>
      </c>
      <c r="BT33" s="106"/>
      <c r="BU33" s="158">
        <f t="shared" si="60"/>
        <v>1894</v>
      </c>
      <c r="BV33" s="106">
        <v>1894</v>
      </c>
      <c r="BW33" s="106">
        <f t="shared" si="14"/>
        <v>0</v>
      </c>
      <c r="BX33" s="106">
        <f t="shared" si="61"/>
        <v>0</v>
      </c>
      <c r="BY33" s="106"/>
      <c r="BZ33" s="162">
        <f t="shared" si="62"/>
        <v>29466</v>
      </c>
      <c r="CA33" s="106">
        <v>29469</v>
      </c>
      <c r="CB33" s="253">
        <f t="shared" si="15"/>
        <v>3</v>
      </c>
      <c r="CC33" s="106">
        <f t="shared" si="63"/>
        <v>1</v>
      </c>
      <c r="CD33" s="156"/>
      <c r="CE33" s="162">
        <f t="shared" si="64"/>
        <v>3656</v>
      </c>
      <c r="CF33" s="106">
        <v>3656</v>
      </c>
      <c r="CG33" s="106">
        <f t="shared" si="16"/>
        <v>0</v>
      </c>
      <c r="CH33" s="106">
        <f t="shared" si="65"/>
        <v>-1</v>
      </c>
      <c r="CI33" s="156"/>
      <c r="CJ33" s="162">
        <f t="shared" si="66"/>
        <v>87523</v>
      </c>
      <c r="CK33" s="106">
        <v>87554</v>
      </c>
      <c r="CL33" s="106">
        <f t="shared" si="17"/>
        <v>31</v>
      </c>
      <c r="CM33" s="106">
        <f t="shared" si="67"/>
        <v>0</v>
      </c>
      <c r="CN33" s="156"/>
      <c r="CO33" s="162">
        <f t="shared" si="68"/>
        <v>26838</v>
      </c>
      <c r="CP33" s="106">
        <v>26847</v>
      </c>
      <c r="CQ33" s="106">
        <f t="shared" si="18"/>
        <v>9</v>
      </c>
      <c r="CR33" s="106">
        <f t="shared" si="69"/>
        <v>-1</v>
      </c>
      <c r="CS33" s="156"/>
      <c r="CT33" s="162">
        <f t="shared" si="70"/>
        <v>12898</v>
      </c>
      <c r="CU33" s="106">
        <v>12899</v>
      </c>
      <c r="CV33" s="106">
        <f t="shared" si="19"/>
        <v>1</v>
      </c>
      <c r="CW33" s="106">
        <f t="shared" si="71"/>
        <v>1</v>
      </c>
      <c r="CX33" s="156"/>
      <c r="CY33" s="162">
        <f t="shared" si="72"/>
        <v>19991</v>
      </c>
      <c r="CZ33" s="106">
        <v>19991</v>
      </c>
      <c r="DA33" s="106">
        <f t="shared" si="20"/>
        <v>0</v>
      </c>
      <c r="DB33" s="106">
        <f t="shared" si="73"/>
        <v>-1</v>
      </c>
      <c r="DC33" s="156"/>
      <c r="DD33" s="162">
        <f t="shared" si="74"/>
        <v>21255</v>
      </c>
      <c r="DE33" s="106">
        <v>21263</v>
      </c>
      <c r="DF33" s="106">
        <f t="shared" si="21"/>
        <v>8</v>
      </c>
      <c r="DG33" s="106">
        <f t="shared" si="75"/>
        <v>3</v>
      </c>
      <c r="DH33" s="156"/>
      <c r="DI33" s="162">
        <f t="shared" si="76"/>
        <v>10261</v>
      </c>
      <c r="DJ33" s="106">
        <v>10264</v>
      </c>
      <c r="DK33" s="106">
        <f t="shared" si="22"/>
        <v>3</v>
      </c>
      <c r="DL33" s="106">
        <f t="shared" si="77"/>
        <v>-1</v>
      </c>
      <c r="DM33" s="156"/>
      <c r="DN33" s="162">
        <f t="shared" si="78"/>
        <v>27679</v>
      </c>
      <c r="DO33" s="106">
        <v>27692</v>
      </c>
      <c r="DP33" s="106">
        <f t="shared" si="23"/>
        <v>13</v>
      </c>
      <c r="DQ33" s="106">
        <f t="shared" si="79"/>
        <v>-4</v>
      </c>
      <c r="DR33" s="156"/>
      <c r="DS33" s="162">
        <f t="shared" si="80"/>
        <v>2968</v>
      </c>
      <c r="DT33" s="106">
        <v>2973</v>
      </c>
      <c r="DU33" s="106">
        <f t="shared" si="24"/>
        <v>5</v>
      </c>
      <c r="DV33" s="106">
        <f t="shared" si="81"/>
        <v>2</v>
      </c>
      <c r="DW33" s="156"/>
      <c r="DX33" s="162">
        <f t="shared" si="82"/>
        <v>290</v>
      </c>
      <c r="DY33" s="106">
        <v>291</v>
      </c>
      <c r="DZ33" s="106">
        <f t="shared" si="25"/>
        <v>1</v>
      </c>
      <c r="EA33" s="106">
        <f t="shared" si="83"/>
        <v>-1</v>
      </c>
      <c r="EB33" s="156"/>
      <c r="EC33" s="162">
        <f t="shared" si="104"/>
        <v>0</v>
      </c>
      <c r="ED33" s="106"/>
      <c r="EE33" s="156">
        <f t="shared" si="26"/>
        <v>0</v>
      </c>
      <c r="EF33" s="162">
        <f t="shared" si="101"/>
        <v>0</v>
      </c>
      <c r="EG33" s="106"/>
      <c r="EH33" s="156">
        <f t="shared" si="27"/>
        <v>0</v>
      </c>
      <c r="EI33" s="162">
        <f t="shared" si="102"/>
        <v>0</v>
      </c>
      <c r="EJ33" s="106"/>
      <c r="EK33" s="156">
        <f t="shared" si="28"/>
        <v>0</v>
      </c>
      <c r="EL33" s="162">
        <f t="shared" si="103"/>
        <v>0</v>
      </c>
      <c r="EM33" s="106"/>
      <c r="EN33" s="156">
        <f t="shared" si="29"/>
        <v>0</v>
      </c>
      <c r="EO33" s="162">
        <f t="shared" si="88"/>
        <v>0</v>
      </c>
      <c r="EP33" s="106"/>
      <c r="EQ33" s="156">
        <f t="shared" si="30"/>
        <v>0</v>
      </c>
      <c r="ER33" s="162">
        <f t="shared" si="89"/>
        <v>0</v>
      </c>
      <c r="ES33" s="106"/>
      <c r="ET33" s="156">
        <f t="shared" si="31"/>
        <v>0</v>
      </c>
      <c r="EU33" s="162">
        <f t="shared" si="90"/>
        <v>0</v>
      </c>
      <c r="EV33" s="106"/>
      <c r="EW33" s="156">
        <f t="shared" si="91"/>
        <v>0</v>
      </c>
      <c r="EX33" s="162">
        <f t="shared" si="92"/>
        <v>0</v>
      </c>
      <c r="EY33" s="106"/>
      <c r="EZ33" s="156">
        <f t="shared" si="32"/>
        <v>0</v>
      </c>
      <c r="FA33" s="162">
        <f t="shared" si="93"/>
        <v>0</v>
      </c>
      <c r="FB33" s="106"/>
      <c r="FC33" s="156">
        <f t="shared" si="33"/>
        <v>0</v>
      </c>
      <c r="FD33" s="162">
        <f t="shared" si="94"/>
        <v>0</v>
      </c>
      <c r="FE33" s="106"/>
      <c r="FF33" s="156">
        <f t="shared" si="34"/>
        <v>0</v>
      </c>
      <c r="FG33" s="162">
        <f t="shared" si="95"/>
        <v>0</v>
      </c>
      <c r="FH33" s="106"/>
      <c r="FI33" s="156">
        <f t="shared" si="35"/>
        <v>0</v>
      </c>
      <c r="FJ33" s="162">
        <f t="shared" si="96"/>
        <v>0</v>
      </c>
      <c r="FK33" s="106"/>
      <c r="FL33" s="156">
        <f t="shared" si="36"/>
        <v>0</v>
      </c>
      <c r="FM33" s="162">
        <f t="shared" si="97"/>
        <v>0</v>
      </c>
      <c r="FN33" s="106"/>
      <c r="FO33" s="156">
        <f t="shared" si="37"/>
        <v>0</v>
      </c>
      <c r="FP33" s="162">
        <f t="shared" si="98"/>
        <v>0</v>
      </c>
      <c r="FQ33" s="106"/>
      <c r="FR33" s="156">
        <f t="shared" si="38"/>
        <v>0</v>
      </c>
    </row>
    <row r="34" spans="1:174">
      <c r="A34" s="104">
        <v>29</v>
      </c>
      <c r="B34" s="104">
        <f t="shared" si="39"/>
        <v>18394</v>
      </c>
      <c r="C34" s="105">
        <v>18563</v>
      </c>
      <c r="D34" s="99">
        <f t="shared" si="0"/>
        <v>169</v>
      </c>
      <c r="E34" s="101"/>
      <c r="F34" s="104">
        <v>29</v>
      </c>
      <c r="G34" s="104">
        <f t="shared" si="40"/>
        <v>42812</v>
      </c>
      <c r="H34" s="105">
        <v>42812</v>
      </c>
      <c r="I34" s="99">
        <f t="shared" si="1"/>
        <v>0</v>
      </c>
      <c r="J34" s="101"/>
      <c r="K34" s="104">
        <v>29</v>
      </c>
      <c r="L34" s="104">
        <f t="shared" si="41"/>
        <v>852819</v>
      </c>
      <c r="M34" s="105">
        <v>852935</v>
      </c>
      <c r="N34" s="99">
        <f t="shared" si="2"/>
        <v>116</v>
      </c>
      <c r="O34" s="101"/>
      <c r="P34" s="104">
        <v>29</v>
      </c>
      <c r="Q34" s="104">
        <f t="shared" si="42"/>
        <v>2606</v>
      </c>
      <c r="R34" s="105">
        <v>2622</v>
      </c>
      <c r="S34" s="99">
        <f t="shared" si="3"/>
        <v>16</v>
      </c>
      <c r="T34" s="100"/>
      <c r="U34" s="104">
        <v>29</v>
      </c>
      <c r="V34" s="373">
        <f t="shared" si="4"/>
        <v>301</v>
      </c>
      <c r="W34" s="103">
        <f>'Maldives at LG Daily'!I33</f>
        <v>0</v>
      </c>
      <c r="X34" s="122"/>
      <c r="Y34" s="249" t="e">
        <f t="shared" si="5"/>
        <v>#DIV/0!</v>
      </c>
      <c r="AA34" s="158">
        <v>29</v>
      </c>
      <c r="AB34" s="106">
        <f t="shared" si="43"/>
        <v>49393</v>
      </c>
      <c r="AC34" s="106">
        <v>49421</v>
      </c>
      <c r="AD34" s="106">
        <f t="shared" si="6"/>
        <v>28</v>
      </c>
      <c r="AE34" s="106">
        <f t="shared" si="99"/>
        <v>5</v>
      </c>
      <c r="AF34" s="234"/>
      <c r="AG34" s="158">
        <f t="shared" si="44"/>
        <v>11075</v>
      </c>
      <c r="AH34" s="106">
        <v>11080</v>
      </c>
      <c r="AI34" s="106">
        <f t="shared" si="45"/>
        <v>5</v>
      </c>
      <c r="AJ34" s="106">
        <f t="shared" si="100"/>
        <v>-1</v>
      </c>
      <c r="AK34" s="106"/>
      <c r="AL34" s="158">
        <f t="shared" si="46"/>
        <v>10641</v>
      </c>
      <c r="AM34" s="106">
        <v>10650</v>
      </c>
      <c r="AN34" s="106">
        <f t="shared" si="7"/>
        <v>9</v>
      </c>
      <c r="AO34" s="106">
        <f t="shared" si="47"/>
        <v>0</v>
      </c>
      <c r="AP34" s="106"/>
      <c r="AQ34" s="158">
        <f t="shared" si="48"/>
        <v>20256</v>
      </c>
      <c r="AR34" s="106">
        <v>20266</v>
      </c>
      <c r="AS34" s="106">
        <f t="shared" si="8"/>
        <v>10</v>
      </c>
      <c r="AT34" s="106">
        <f t="shared" si="49"/>
        <v>0</v>
      </c>
      <c r="AU34" s="106"/>
      <c r="AV34" s="158">
        <f t="shared" si="50"/>
        <v>36211</v>
      </c>
      <c r="AW34" s="106">
        <v>36219</v>
      </c>
      <c r="AX34" s="106">
        <f t="shared" si="9"/>
        <v>8</v>
      </c>
      <c r="AY34" s="106">
        <f t="shared" si="51"/>
        <v>1</v>
      </c>
      <c r="AZ34" s="106"/>
      <c r="BA34" s="158">
        <f t="shared" si="52"/>
        <v>9820</v>
      </c>
      <c r="BB34" s="106">
        <v>9825</v>
      </c>
      <c r="BC34" s="106">
        <f t="shared" si="10"/>
        <v>5</v>
      </c>
      <c r="BD34" s="106">
        <f t="shared" si="53"/>
        <v>-2</v>
      </c>
      <c r="BE34" s="106"/>
      <c r="BF34" s="158">
        <f t="shared" si="54"/>
        <v>26709</v>
      </c>
      <c r="BG34" s="106">
        <v>26727</v>
      </c>
      <c r="BH34" s="106">
        <f t="shared" si="11"/>
        <v>18</v>
      </c>
      <c r="BI34" s="106">
        <f t="shared" si="55"/>
        <v>18</v>
      </c>
      <c r="BJ34" s="106"/>
      <c r="BK34" s="158">
        <f t="shared" si="56"/>
        <v>10734</v>
      </c>
      <c r="BL34" s="106">
        <v>10742</v>
      </c>
      <c r="BM34" s="106">
        <f t="shared" si="12"/>
        <v>8</v>
      </c>
      <c r="BN34" s="106">
        <f t="shared" si="57"/>
        <v>0</v>
      </c>
      <c r="BO34" s="106"/>
      <c r="BP34" s="158">
        <f t="shared" si="58"/>
        <v>4303</v>
      </c>
      <c r="BQ34" s="106">
        <v>4304</v>
      </c>
      <c r="BR34" s="253">
        <f t="shared" si="13"/>
        <v>1</v>
      </c>
      <c r="BS34" s="106">
        <f t="shared" si="59"/>
        <v>1</v>
      </c>
      <c r="BT34" s="106"/>
      <c r="BU34" s="158">
        <f t="shared" si="60"/>
        <v>1894</v>
      </c>
      <c r="BV34" s="106">
        <v>1895</v>
      </c>
      <c r="BW34" s="106">
        <f t="shared" si="14"/>
        <v>1</v>
      </c>
      <c r="BX34" s="106">
        <f t="shared" si="61"/>
        <v>1</v>
      </c>
      <c r="BY34" s="106"/>
      <c r="BZ34" s="162">
        <f t="shared" si="62"/>
        <v>29469</v>
      </c>
      <c r="CA34" s="106">
        <v>29472</v>
      </c>
      <c r="CB34" s="253">
        <f t="shared" si="15"/>
        <v>3</v>
      </c>
      <c r="CC34" s="106">
        <f t="shared" si="63"/>
        <v>0</v>
      </c>
      <c r="CD34" s="156"/>
      <c r="CE34" s="162">
        <f t="shared" si="64"/>
        <v>3656</v>
      </c>
      <c r="CF34" s="106">
        <v>3658</v>
      </c>
      <c r="CG34" s="106">
        <f t="shared" si="16"/>
        <v>2</v>
      </c>
      <c r="CH34" s="106">
        <f t="shared" si="65"/>
        <v>2</v>
      </c>
      <c r="CI34" s="156"/>
      <c r="CJ34" s="162">
        <f t="shared" si="66"/>
        <v>87554</v>
      </c>
      <c r="CK34" s="106">
        <v>87585</v>
      </c>
      <c r="CL34" s="106">
        <f t="shared" si="17"/>
        <v>31</v>
      </c>
      <c r="CM34" s="106">
        <f t="shared" si="67"/>
        <v>0</v>
      </c>
      <c r="CN34" s="156"/>
      <c r="CO34" s="162">
        <f t="shared" si="68"/>
        <v>26847</v>
      </c>
      <c r="CP34" s="106">
        <v>26856</v>
      </c>
      <c r="CQ34" s="106">
        <f t="shared" si="18"/>
        <v>9</v>
      </c>
      <c r="CR34" s="106">
        <f t="shared" si="69"/>
        <v>0</v>
      </c>
      <c r="CS34" s="156"/>
      <c r="CT34" s="162">
        <f t="shared" si="70"/>
        <v>12899</v>
      </c>
      <c r="CU34" s="106">
        <v>12899</v>
      </c>
      <c r="CV34" s="106">
        <f t="shared" si="19"/>
        <v>0</v>
      </c>
      <c r="CW34" s="106">
        <f t="shared" si="71"/>
        <v>-1</v>
      </c>
      <c r="CX34" s="156"/>
      <c r="CY34" s="162">
        <f t="shared" si="72"/>
        <v>19991</v>
      </c>
      <c r="CZ34" s="106">
        <v>19993</v>
      </c>
      <c r="DA34" s="106">
        <f t="shared" si="20"/>
        <v>2</v>
      </c>
      <c r="DB34" s="106">
        <f t="shared" si="73"/>
        <v>2</v>
      </c>
      <c r="DC34" s="156"/>
      <c r="DD34" s="162">
        <f t="shared" si="74"/>
        <v>21263</v>
      </c>
      <c r="DE34" s="106">
        <v>21265</v>
      </c>
      <c r="DF34" s="106">
        <f t="shared" si="21"/>
        <v>2</v>
      </c>
      <c r="DG34" s="106">
        <f t="shared" si="75"/>
        <v>-6</v>
      </c>
      <c r="DH34" s="156"/>
      <c r="DI34" s="162">
        <f t="shared" si="76"/>
        <v>10264</v>
      </c>
      <c r="DJ34" s="106">
        <v>10267</v>
      </c>
      <c r="DK34" s="106">
        <f t="shared" si="22"/>
        <v>3</v>
      </c>
      <c r="DL34" s="106">
        <f t="shared" si="77"/>
        <v>0</v>
      </c>
      <c r="DM34" s="156"/>
      <c r="DN34" s="162">
        <f t="shared" si="78"/>
        <v>27692</v>
      </c>
      <c r="DO34" s="106">
        <v>27707</v>
      </c>
      <c r="DP34" s="106">
        <f t="shared" si="23"/>
        <v>15</v>
      </c>
      <c r="DQ34" s="106">
        <f t="shared" si="79"/>
        <v>2</v>
      </c>
      <c r="DR34" s="156"/>
      <c r="DS34" s="162">
        <f t="shared" si="80"/>
        <v>2973</v>
      </c>
      <c r="DT34" s="106">
        <v>2981</v>
      </c>
      <c r="DU34" s="106">
        <f t="shared" si="24"/>
        <v>8</v>
      </c>
      <c r="DV34" s="106">
        <f t="shared" si="81"/>
        <v>3</v>
      </c>
      <c r="DW34" s="156"/>
      <c r="DX34" s="162">
        <f t="shared" si="82"/>
        <v>291</v>
      </c>
      <c r="DY34" s="106">
        <v>292</v>
      </c>
      <c r="DZ34" s="106">
        <f t="shared" si="25"/>
        <v>1</v>
      </c>
      <c r="EA34" s="106">
        <f t="shared" si="83"/>
        <v>0</v>
      </c>
      <c r="EB34" s="156"/>
      <c r="EC34" s="162">
        <f t="shared" si="104"/>
        <v>0</v>
      </c>
      <c r="ED34" s="106"/>
      <c r="EE34" s="156">
        <f t="shared" si="26"/>
        <v>0</v>
      </c>
      <c r="EF34" s="162">
        <f t="shared" si="101"/>
        <v>0</v>
      </c>
      <c r="EG34" s="106"/>
      <c r="EH34" s="156">
        <f t="shared" si="27"/>
        <v>0</v>
      </c>
      <c r="EI34" s="162">
        <f t="shared" si="102"/>
        <v>0</v>
      </c>
      <c r="EJ34" s="106"/>
      <c r="EK34" s="156">
        <f t="shared" si="28"/>
        <v>0</v>
      </c>
      <c r="EL34" s="162">
        <f t="shared" si="103"/>
        <v>0</v>
      </c>
      <c r="EM34" s="106"/>
      <c r="EN34" s="156">
        <f t="shared" si="29"/>
        <v>0</v>
      </c>
      <c r="EO34" s="162">
        <f t="shared" si="88"/>
        <v>0</v>
      </c>
      <c r="EP34" s="106"/>
      <c r="EQ34" s="156">
        <f t="shared" si="30"/>
        <v>0</v>
      </c>
      <c r="ER34" s="162">
        <f t="shared" si="89"/>
        <v>0</v>
      </c>
      <c r="ES34" s="106"/>
      <c r="ET34" s="156">
        <f t="shared" si="31"/>
        <v>0</v>
      </c>
      <c r="EU34" s="162">
        <f t="shared" si="90"/>
        <v>0</v>
      </c>
      <c r="EV34" s="106"/>
      <c r="EW34" s="156">
        <f t="shared" si="91"/>
        <v>0</v>
      </c>
      <c r="EX34" s="162">
        <f t="shared" si="92"/>
        <v>0</v>
      </c>
      <c r="EY34" s="106"/>
      <c r="EZ34" s="156">
        <f t="shared" si="32"/>
        <v>0</v>
      </c>
      <c r="FA34" s="162">
        <f t="shared" si="93"/>
        <v>0</v>
      </c>
      <c r="FB34" s="106"/>
      <c r="FC34" s="156">
        <f t="shared" si="33"/>
        <v>0</v>
      </c>
      <c r="FD34" s="162">
        <f t="shared" si="94"/>
        <v>0</v>
      </c>
      <c r="FE34" s="106"/>
      <c r="FF34" s="156">
        <f t="shared" si="34"/>
        <v>0</v>
      </c>
      <c r="FG34" s="162">
        <f t="shared" si="95"/>
        <v>0</v>
      </c>
      <c r="FH34" s="106"/>
      <c r="FI34" s="156">
        <f t="shared" si="35"/>
        <v>0</v>
      </c>
      <c r="FJ34" s="162">
        <f t="shared" si="96"/>
        <v>0</v>
      </c>
      <c r="FK34" s="106"/>
      <c r="FL34" s="156">
        <f t="shared" si="36"/>
        <v>0</v>
      </c>
      <c r="FM34" s="162">
        <f t="shared" si="97"/>
        <v>0</v>
      </c>
      <c r="FN34" s="106"/>
      <c r="FO34" s="156">
        <f t="shared" si="37"/>
        <v>0</v>
      </c>
      <c r="FP34" s="162">
        <f t="shared" si="98"/>
        <v>0</v>
      </c>
      <c r="FQ34" s="106"/>
      <c r="FR34" s="156">
        <f t="shared" si="38"/>
        <v>0</v>
      </c>
    </row>
    <row r="35" spans="1:174">
      <c r="A35" s="104">
        <v>30</v>
      </c>
      <c r="B35" s="104">
        <f t="shared" si="39"/>
        <v>18563</v>
      </c>
      <c r="C35" s="105">
        <v>18736</v>
      </c>
      <c r="D35" s="99">
        <f t="shared" si="0"/>
        <v>173</v>
      </c>
      <c r="E35" s="101"/>
      <c r="F35" s="104">
        <v>30</v>
      </c>
      <c r="G35" s="104">
        <f t="shared" si="40"/>
        <v>42812</v>
      </c>
      <c r="H35" s="105">
        <v>42832</v>
      </c>
      <c r="I35" s="99">
        <f t="shared" si="1"/>
        <v>20</v>
      </c>
      <c r="J35" s="101"/>
      <c r="K35" s="104">
        <v>30</v>
      </c>
      <c r="L35" s="104">
        <f t="shared" si="41"/>
        <v>852935</v>
      </c>
      <c r="M35" s="105">
        <v>853073</v>
      </c>
      <c r="N35" s="99">
        <f t="shared" si="2"/>
        <v>138</v>
      </c>
      <c r="O35" s="101"/>
      <c r="P35" s="104">
        <v>30</v>
      </c>
      <c r="Q35" s="104">
        <f t="shared" si="42"/>
        <v>2622</v>
      </c>
      <c r="R35" s="105">
        <v>2622</v>
      </c>
      <c r="S35" s="99">
        <f t="shared" si="3"/>
        <v>0</v>
      </c>
      <c r="T35" s="100"/>
      <c r="U35" s="102">
        <v>30</v>
      </c>
      <c r="V35" s="373">
        <f t="shared" si="4"/>
        <v>331</v>
      </c>
      <c r="W35" s="103">
        <f>'Maldives at LG Daily'!I34</f>
        <v>0</v>
      </c>
      <c r="X35" s="122"/>
      <c r="Y35" s="249" t="e">
        <f t="shared" si="5"/>
        <v>#DIV/0!</v>
      </c>
      <c r="AA35" s="158">
        <v>30</v>
      </c>
      <c r="AB35" s="106">
        <f t="shared" si="43"/>
        <v>49421</v>
      </c>
      <c r="AC35" s="106">
        <v>49448</v>
      </c>
      <c r="AD35" s="106">
        <f t="shared" si="6"/>
        <v>27</v>
      </c>
      <c r="AE35" s="106">
        <f t="shared" si="99"/>
        <v>-1</v>
      </c>
      <c r="AF35" s="234"/>
      <c r="AG35" s="158">
        <f t="shared" si="44"/>
        <v>11080</v>
      </c>
      <c r="AH35" s="106">
        <v>11086</v>
      </c>
      <c r="AI35" s="106">
        <f t="shared" si="45"/>
        <v>6</v>
      </c>
      <c r="AJ35" s="106">
        <f t="shared" si="100"/>
        <v>1</v>
      </c>
      <c r="AK35" s="106"/>
      <c r="AL35" s="158">
        <f t="shared" si="46"/>
        <v>10650</v>
      </c>
      <c r="AM35" s="106">
        <v>10659</v>
      </c>
      <c r="AN35" s="106">
        <f t="shared" si="7"/>
        <v>9</v>
      </c>
      <c r="AO35" s="106">
        <f t="shared" si="47"/>
        <v>0</v>
      </c>
      <c r="AP35" s="106"/>
      <c r="AQ35" s="158">
        <f t="shared" si="48"/>
        <v>20266</v>
      </c>
      <c r="AR35" s="106">
        <v>20275</v>
      </c>
      <c r="AS35" s="106">
        <v>10</v>
      </c>
      <c r="AT35" s="106">
        <f t="shared" si="49"/>
        <v>0</v>
      </c>
      <c r="AU35" s="106"/>
      <c r="AV35" s="158">
        <f t="shared" si="50"/>
        <v>36219</v>
      </c>
      <c r="AW35" s="106">
        <v>36227</v>
      </c>
      <c r="AX35" s="106">
        <f t="shared" si="9"/>
        <v>8</v>
      </c>
      <c r="AY35" s="106">
        <f t="shared" si="51"/>
        <v>0</v>
      </c>
      <c r="AZ35" s="106"/>
      <c r="BA35" s="158">
        <f t="shared" si="52"/>
        <v>9825</v>
      </c>
      <c r="BB35" s="106">
        <v>9830</v>
      </c>
      <c r="BC35" s="106">
        <f t="shared" si="10"/>
        <v>5</v>
      </c>
      <c r="BD35" s="106">
        <f t="shared" si="53"/>
        <v>0</v>
      </c>
      <c r="BE35" s="106"/>
      <c r="BF35" s="158">
        <f t="shared" si="54"/>
        <v>26727</v>
      </c>
      <c r="BG35" s="106">
        <v>26737</v>
      </c>
      <c r="BH35" s="106">
        <f t="shared" si="11"/>
        <v>10</v>
      </c>
      <c r="BI35" s="106">
        <f t="shared" si="55"/>
        <v>-8</v>
      </c>
      <c r="BJ35" s="106"/>
      <c r="BK35" s="158">
        <f t="shared" si="56"/>
        <v>10742</v>
      </c>
      <c r="BL35" s="106">
        <v>10750</v>
      </c>
      <c r="BM35" s="106">
        <f t="shared" si="12"/>
        <v>8</v>
      </c>
      <c r="BN35" s="106">
        <f t="shared" si="57"/>
        <v>0</v>
      </c>
      <c r="BO35" s="106"/>
      <c r="BP35" s="158">
        <f t="shared" si="58"/>
        <v>4304</v>
      </c>
      <c r="BQ35" s="106">
        <v>4305</v>
      </c>
      <c r="BR35" s="253">
        <f t="shared" si="13"/>
        <v>1</v>
      </c>
      <c r="BS35" s="106">
        <f t="shared" si="59"/>
        <v>0</v>
      </c>
      <c r="BT35" s="106"/>
      <c r="BU35" s="158">
        <f t="shared" si="60"/>
        <v>1895</v>
      </c>
      <c r="BV35" s="106">
        <v>1895</v>
      </c>
      <c r="BW35" s="106">
        <f t="shared" si="14"/>
        <v>0</v>
      </c>
      <c r="BX35" s="106">
        <f t="shared" si="61"/>
        <v>-1</v>
      </c>
      <c r="BY35" s="106"/>
      <c r="BZ35" s="162">
        <f t="shared" si="62"/>
        <v>29472</v>
      </c>
      <c r="CA35" s="106">
        <v>29475</v>
      </c>
      <c r="CB35" s="253">
        <f t="shared" si="15"/>
        <v>3</v>
      </c>
      <c r="CC35" s="106">
        <f t="shared" si="63"/>
        <v>0</v>
      </c>
      <c r="CD35" s="156"/>
      <c r="CE35" s="162">
        <f t="shared" si="64"/>
        <v>3658</v>
      </c>
      <c r="CF35" s="106">
        <v>3661</v>
      </c>
      <c r="CG35" s="106">
        <f t="shared" si="16"/>
        <v>3</v>
      </c>
      <c r="CH35" s="106">
        <f t="shared" si="65"/>
        <v>1</v>
      </c>
      <c r="CI35" s="156"/>
      <c r="CJ35" s="162">
        <f t="shared" si="66"/>
        <v>87585</v>
      </c>
      <c r="CK35" s="106">
        <v>87615</v>
      </c>
      <c r="CL35" s="106">
        <f t="shared" si="17"/>
        <v>30</v>
      </c>
      <c r="CM35" s="106">
        <f t="shared" si="67"/>
        <v>-1</v>
      </c>
      <c r="CN35" s="156"/>
      <c r="CO35" s="162">
        <f t="shared" si="68"/>
        <v>26856</v>
      </c>
      <c r="CP35" s="106">
        <v>26864</v>
      </c>
      <c r="CQ35" s="106">
        <f t="shared" si="18"/>
        <v>8</v>
      </c>
      <c r="CR35" s="106">
        <f t="shared" si="69"/>
        <v>-1</v>
      </c>
      <c r="CS35" s="156"/>
      <c r="CT35" s="162">
        <f t="shared" si="70"/>
        <v>12899</v>
      </c>
      <c r="CU35" s="106">
        <v>12900</v>
      </c>
      <c r="CV35" s="106">
        <f t="shared" si="19"/>
        <v>1</v>
      </c>
      <c r="CW35" s="106">
        <f t="shared" si="71"/>
        <v>1</v>
      </c>
      <c r="CX35" s="156"/>
      <c r="CY35" s="162">
        <f t="shared" si="72"/>
        <v>19993</v>
      </c>
      <c r="CZ35" s="106">
        <v>19994</v>
      </c>
      <c r="DA35" s="106">
        <f t="shared" si="20"/>
        <v>1</v>
      </c>
      <c r="DB35" s="106">
        <f t="shared" si="73"/>
        <v>-1</v>
      </c>
      <c r="DC35" s="156"/>
      <c r="DD35" s="162">
        <f t="shared" si="74"/>
        <v>21265</v>
      </c>
      <c r="DE35" s="106">
        <v>21268</v>
      </c>
      <c r="DF35" s="106">
        <f t="shared" si="21"/>
        <v>3</v>
      </c>
      <c r="DG35" s="106">
        <f t="shared" si="75"/>
        <v>1</v>
      </c>
      <c r="DH35" s="156"/>
      <c r="DI35" s="162">
        <f t="shared" si="76"/>
        <v>10267</v>
      </c>
      <c r="DJ35" s="106">
        <v>10268</v>
      </c>
      <c r="DK35" s="106">
        <f t="shared" si="22"/>
        <v>1</v>
      </c>
      <c r="DL35" s="106">
        <f t="shared" si="77"/>
        <v>-2</v>
      </c>
      <c r="DM35" s="156"/>
      <c r="DN35" s="162">
        <f t="shared" si="78"/>
        <v>27707</v>
      </c>
      <c r="DO35" s="106">
        <v>27721</v>
      </c>
      <c r="DP35" s="106">
        <f t="shared" si="23"/>
        <v>14</v>
      </c>
      <c r="DQ35" s="106">
        <f t="shared" si="79"/>
        <v>-1</v>
      </c>
      <c r="DR35" s="156"/>
      <c r="DS35" s="162">
        <f t="shared" si="80"/>
        <v>2981</v>
      </c>
      <c r="DT35" s="106">
        <v>2986</v>
      </c>
      <c r="DU35" s="106">
        <f t="shared" si="24"/>
        <v>5</v>
      </c>
      <c r="DV35" s="106">
        <f t="shared" si="81"/>
        <v>-3</v>
      </c>
      <c r="DW35" s="156"/>
      <c r="DX35" s="162">
        <f t="shared" si="82"/>
        <v>292</v>
      </c>
      <c r="DY35" s="106">
        <v>292</v>
      </c>
      <c r="DZ35" s="106">
        <f t="shared" si="25"/>
        <v>0</v>
      </c>
      <c r="EA35" s="106">
        <f t="shared" si="83"/>
        <v>-1</v>
      </c>
      <c r="EB35" s="156"/>
      <c r="EC35" s="162">
        <f t="shared" si="104"/>
        <v>0</v>
      </c>
      <c r="ED35" s="106"/>
      <c r="EE35" s="156">
        <f t="shared" si="26"/>
        <v>0</v>
      </c>
      <c r="EF35" s="162">
        <f t="shared" si="101"/>
        <v>0</v>
      </c>
      <c r="EG35" s="106"/>
      <c r="EH35" s="156">
        <f t="shared" si="27"/>
        <v>0</v>
      </c>
      <c r="EI35" s="162">
        <f t="shared" si="102"/>
        <v>0</v>
      </c>
      <c r="EJ35" s="106"/>
      <c r="EK35" s="156">
        <f t="shared" si="28"/>
        <v>0</v>
      </c>
      <c r="EL35" s="162">
        <f t="shared" si="103"/>
        <v>0</v>
      </c>
      <c r="EM35" s="106"/>
      <c r="EN35" s="156">
        <f t="shared" si="29"/>
        <v>0</v>
      </c>
      <c r="EO35" s="162">
        <f t="shared" si="88"/>
        <v>0</v>
      </c>
      <c r="EP35" s="106"/>
      <c r="EQ35" s="156">
        <f t="shared" si="30"/>
        <v>0</v>
      </c>
      <c r="ER35" s="162">
        <f t="shared" si="89"/>
        <v>0</v>
      </c>
      <c r="ES35" s="106"/>
      <c r="ET35" s="156">
        <f t="shared" si="31"/>
        <v>0</v>
      </c>
      <c r="EU35" s="162">
        <f t="shared" si="90"/>
        <v>0</v>
      </c>
      <c r="EV35" s="106"/>
      <c r="EW35" s="156">
        <f t="shared" si="91"/>
        <v>0</v>
      </c>
      <c r="EX35" s="162">
        <f t="shared" si="92"/>
        <v>0</v>
      </c>
      <c r="EY35" s="106"/>
      <c r="EZ35" s="156">
        <f t="shared" si="32"/>
        <v>0</v>
      </c>
      <c r="FA35" s="162">
        <f t="shared" si="93"/>
        <v>0</v>
      </c>
      <c r="FB35" s="106"/>
      <c r="FC35" s="156">
        <f t="shared" si="33"/>
        <v>0</v>
      </c>
      <c r="FD35" s="162">
        <f t="shared" si="94"/>
        <v>0</v>
      </c>
      <c r="FE35" s="106"/>
      <c r="FF35" s="156">
        <f t="shared" si="34"/>
        <v>0</v>
      </c>
      <c r="FG35" s="162">
        <f t="shared" si="95"/>
        <v>0</v>
      </c>
      <c r="FH35" s="106"/>
      <c r="FI35" s="156">
        <f t="shared" si="35"/>
        <v>0</v>
      </c>
      <c r="FJ35" s="162">
        <f t="shared" si="96"/>
        <v>0</v>
      </c>
      <c r="FK35" s="106"/>
      <c r="FL35" s="156">
        <f t="shared" si="36"/>
        <v>0</v>
      </c>
      <c r="FM35" s="162">
        <f t="shared" si="97"/>
        <v>0</v>
      </c>
      <c r="FN35" s="106"/>
      <c r="FO35" s="156">
        <f t="shared" si="37"/>
        <v>0</v>
      </c>
      <c r="FP35" s="162">
        <f t="shared" si="98"/>
        <v>0</v>
      </c>
      <c r="FQ35" s="106"/>
      <c r="FR35" s="156">
        <f t="shared" si="38"/>
        <v>0</v>
      </c>
    </row>
    <row r="36" spans="1:174">
      <c r="A36" s="104">
        <v>31</v>
      </c>
      <c r="B36" s="104">
        <f t="shared" si="39"/>
        <v>18736</v>
      </c>
      <c r="C36" s="263">
        <v>18909</v>
      </c>
      <c r="D36" s="99">
        <f t="shared" si="0"/>
        <v>173</v>
      </c>
      <c r="E36" s="101"/>
      <c r="F36" s="104">
        <v>31</v>
      </c>
      <c r="G36" s="104">
        <f t="shared" si="40"/>
        <v>42832</v>
      </c>
      <c r="H36" s="263">
        <v>42832</v>
      </c>
      <c r="I36" s="99">
        <f t="shared" si="1"/>
        <v>0</v>
      </c>
      <c r="J36" s="101"/>
      <c r="K36" s="104">
        <v>31</v>
      </c>
      <c r="L36" s="104">
        <f t="shared" si="41"/>
        <v>853073</v>
      </c>
      <c r="M36" s="263">
        <v>853212</v>
      </c>
      <c r="N36" s="99">
        <f t="shared" si="2"/>
        <v>139</v>
      </c>
      <c r="O36" s="101"/>
      <c r="P36" s="104">
        <v>31</v>
      </c>
      <c r="Q36" s="104">
        <f t="shared" si="42"/>
        <v>2622</v>
      </c>
      <c r="R36" s="263">
        <v>2622</v>
      </c>
      <c r="S36" s="99">
        <f t="shared" si="3"/>
        <v>0</v>
      </c>
      <c r="T36" s="108"/>
      <c r="U36" s="102">
        <v>31</v>
      </c>
      <c r="V36" s="373">
        <f t="shared" si="4"/>
        <v>312</v>
      </c>
      <c r="W36" s="103">
        <f>'Maldives at LG Daily'!I36</f>
        <v>0</v>
      </c>
      <c r="X36" s="122"/>
      <c r="Y36" s="249" t="e">
        <f t="shared" si="5"/>
        <v>#DIV/0!</v>
      </c>
      <c r="AA36" s="159">
        <v>31</v>
      </c>
      <c r="AB36" s="161">
        <f t="shared" si="43"/>
        <v>49448</v>
      </c>
      <c r="AC36" s="128">
        <v>49476</v>
      </c>
      <c r="AD36" s="106">
        <v>28</v>
      </c>
      <c r="AE36" s="106">
        <f t="shared" si="99"/>
        <v>1</v>
      </c>
      <c r="AF36" s="235"/>
      <c r="AG36" s="159">
        <f t="shared" si="44"/>
        <v>11086</v>
      </c>
      <c r="AH36" s="161">
        <v>11092</v>
      </c>
      <c r="AI36" s="106">
        <f t="shared" si="45"/>
        <v>6</v>
      </c>
      <c r="AJ36" s="106">
        <f t="shared" si="100"/>
        <v>0</v>
      </c>
      <c r="AK36" s="161"/>
      <c r="AL36" s="159">
        <f t="shared" si="46"/>
        <v>10659</v>
      </c>
      <c r="AM36" s="161">
        <v>10669</v>
      </c>
      <c r="AN36" s="106">
        <f t="shared" si="7"/>
        <v>10</v>
      </c>
      <c r="AO36" s="106">
        <f t="shared" si="47"/>
        <v>1</v>
      </c>
      <c r="AP36" s="161"/>
      <c r="AQ36" s="159">
        <f t="shared" si="48"/>
        <v>20275</v>
      </c>
      <c r="AR36" s="161">
        <v>20286</v>
      </c>
      <c r="AS36" s="106">
        <f t="shared" si="8"/>
        <v>11</v>
      </c>
      <c r="AT36" s="106">
        <f t="shared" si="49"/>
        <v>1</v>
      </c>
      <c r="AU36" s="161"/>
      <c r="AV36" s="159">
        <f t="shared" si="50"/>
        <v>36227</v>
      </c>
      <c r="AW36" s="161">
        <v>36234</v>
      </c>
      <c r="AX36" s="106">
        <f t="shared" si="9"/>
        <v>7</v>
      </c>
      <c r="AY36" s="106">
        <f t="shared" si="51"/>
        <v>-1</v>
      </c>
      <c r="AZ36" s="161"/>
      <c r="BA36" s="159">
        <f t="shared" si="52"/>
        <v>9830</v>
      </c>
      <c r="BB36" s="161">
        <v>9836</v>
      </c>
      <c r="BC36" s="106">
        <f t="shared" si="10"/>
        <v>6</v>
      </c>
      <c r="BD36" s="106">
        <f t="shared" si="53"/>
        <v>1</v>
      </c>
      <c r="BE36" s="161"/>
      <c r="BF36" s="159">
        <f t="shared" si="54"/>
        <v>26737</v>
      </c>
      <c r="BG36" s="161">
        <v>26746</v>
      </c>
      <c r="BH36" s="106">
        <f t="shared" si="11"/>
        <v>9</v>
      </c>
      <c r="BI36" s="106">
        <f t="shared" si="55"/>
        <v>-1</v>
      </c>
      <c r="BJ36" s="161"/>
      <c r="BK36" s="159">
        <f t="shared" si="56"/>
        <v>10750</v>
      </c>
      <c r="BL36" s="161">
        <v>10757</v>
      </c>
      <c r="BM36" s="106">
        <f t="shared" si="12"/>
        <v>7</v>
      </c>
      <c r="BN36" s="106">
        <f t="shared" si="57"/>
        <v>-1</v>
      </c>
      <c r="BO36" s="161"/>
      <c r="BP36" s="159">
        <f t="shared" si="58"/>
        <v>4305</v>
      </c>
      <c r="BQ36" s="161">
        <v>4306</v>
      </c>
      <c r="BR36" s="253">
        <f t="shared" si="13"/>
        <v>1</v>
      </c>
      <c r="BS36" s="106">
        <f t="shared" si="59"/>
        <v>0</v>
      </c>
      <c r="BT36" s="161"/>
      <c r="BU36" s="159">
        <f t="shared" si="60"/>
        <v>1895</v>
      </c>
      <c r="BV36" s="161">
        <v>1895</v>
      </c>
      <c r="BW36" s="106">
        <f t="shared" si="14"/>
        <v>0</v>
      </c>
      <c r="BX36" s="106">
        <f t="shared" si="61"/>
        <v>0</v>
      </c>
      <c r="BY36" s="161"/>
      <c r="BZ36" s="237">
        <f t="shared" si="62"/>
        <v>29475</v>
      </c>
      <c r="CA36" s="161">
        <v>29479</v>
      </c>
      <c r="CB36" s="253">
        <f t="shared" si="15"/>
        <v>4</v>
      </c>
      <c r="CC36" s="106">
        <f t="shared" si="63"/>
        <v>1</v>
      </c>
      <c r="CD36" s="157"/>
      <c r="CE36" s="237">
        <f t="shared" si="64"/>
        <v>3661</v>
      </c>
      <c r="CF36" s="161">
        <v>3663</v>
      </c>
      <c r="CG36" s="106">
        <f t="shared" si="16"/>
        <v>2</v>
      </c>
      <c r="CH36" s="106">
        <f t="shared" si="65"/>
        <v>-1</v>
      </c>
      <c r="CI36" s="157"/>
      <c r="CJ36" s="237">
        <f t="shared" si="66"/>
        <v>87615</v>
      </c>
      <c r="CK36" s="161">
        <v>87644</v>
      </c>
      <c r="CL36" s="106">
        <f t="shared" si="17"/>
        <v>29</v>
      </c>
      <c r="CM36" s="106">
        <f t="shared" si="67"/>
        <v>-1</v>
      </c>
      <c r="CN36" s="157"/>
      <c r="CO36" s="237">
        <f t="shared" si="68"/>
        <v>26864</v>
      </c>
      <c r="CP36" s="161">
        <v>26873</v>
      </c>
      <c r="CQ36" s="106">
        <f t="shared" si="18"/>
        <v>9</v>
      </c>
      <c r="CR36" s="106">
        <f t="shared" si="69"/>
        <v>1</v>
      </c>
      <c r="CS36" s="157"/>
      <c r="CT36" s="237">
        <f t="shared" si="70"/>
        <v>12900</v>
      </c>
      <c r="CU36" s="161">
        <v>12900</v>
      </c>
      <c r="CV36" s="106">
        <f t="shared" si="19"/>
        <v>0</v>
      </c>
      <c r="CW36" s="106">
        <f t="shared" si="71"/>
        <v>-1</v>
      </c>
      <c r="CX36" s="157"/>
      <c r="CY36" s="237">
        <f t="shared" si="72"/>
        <v>19994</v>
      </c>
      <c r="CZ36" s="161">
        <v>19995</v>
      </c>
      <c r="DA36" s="106">
        <f t="shared" si="20"/>
        <v>1</v>
      </c>
      <c r="DB36" s="106">
        <f t="shared" si="73"/>
        <v>0</v>
      </c>
      <c r="DC36" s="157"/>
      <c r="DD36" s="237">
        <f t="shared" si="74"/>
        <v>21268</v>
      </c>
      <c r="DE36" s="161">
        <v>21271</v>
      </c>
      <c r="DF36" s="106">
        <f t="shared" si="21"/>
        <v>3</v>
      </c>
      <c r="DG36" s="106">
        <f t="shared" si="75"/>
        <v>0</v>
      </c>
      <c r="DH36" s="157"/>
      <c r="DI36" s="237">
        <f t="shared" si="76"/>
        <v>10268</v>
      </c>
      <c r="DJ36" s="161">
        <v>10270</v>
      </c>
      <c r="DK36" s="106">
        <f t="shared" si="22"/>
        <v>2</v>
      </c>
      <c r="DL36" s="106">
        <f t="shared" si="77"/>
        <v>1</v>
      </c>
      <c r="DM36" s="157"/>
      <c r="DN36" s="237">
        <f t="shared" si="78"/>
        <v>27721</v>
      </c>
      <c r="DO36" s="161">
        <v>27738</v>
      </c>
      <c r="DP36" s="106">
        <f t="shared" si="23"/>
        <v>17</v>
      </c>
      <c r="DQ36" s="106">
        <f t="shared" si="79"/>
        <v>3</v>
      </c>
      <c r="DR36" s="157"/>
      <c r="DS36" s="237">
        <f t="shared" si="80"/>
        <v>2986</v>
      </c>
      <c r="DT36" s="161">
        <v>2989</v>
      </c>
      <c r="DU36" s="106">
        <f t="shared" si="24"/>
        <v>3</v>
      </c>
      <c r="DV36" s="106">
        <f t="shared" si="81"/>
        <v>-2</v>
      </c>
      <c r="DW36" s="157"/>
      <c r="DX36" s="237">
        <f t="shared" si="82"/>
        <v>292</v>
      </c>
      <c r="DY36" s="161">
        <v>292</v>
      </c>
      <c r="DZ36" s="106">
        <f t="shared" si="25"/>
        <v>0</v>
      </c>
      <c r="EA36" s="106">
        <f t="shared" si="83"/>
        <v>0</v>
      </c>
      <c r="EB36" s="157"/>
      <c r="EC36" s="162">
        <f t="shared" si="104"/>
        <v>0</v>
      </c>
      <c r="ED36" s="161"/>
      <c r="EE36" s="156">
        <f t="shared" si="26"/>
        <v>0</v>
      </c>
      <c r="EF36" s="162">
        <f t="shared" si="101"/>
        <v>0</v>
      </c>
      <c r="EG36" s="161"/>
      <c r="EH36" s="156">
        <f t="shared" si="27"/>
        <v>0</v>
      </c>
      <c r="EI36" s="162">
        <f t="shared" si="102"/>
        <v>0</v>
      </c>
      <c r="EJ36" s="161"/>
      <c r="EK36" s="156">
        <f t="shared" si="28"/>
        <v>0</v>
      </c>
      <c r="EL36" s="162">
        <f t="shared" si="103"/>
        <v>0</v>
      </c>
      <c r="EM36" s="161"/>
      <c r="EN36" s="156">
        <f t="shared" si="29"/>
        <v>0</v>
      </c>
      <c r="EO36" s="162">
        <f t="shared" si="88"/>
        <v>0</v>
      </c>
      <c r="EP36" s="106"/>
      <c r="EQ36" s="156">
        <f t="shared" si="30"/>
        <v>0</v>
      </c>
      <c r="ER36" s="162">
        <f t="shared" si="89"/>
        <v>0</v>
      </c>
      <c r="ES36" s="161"/>
      <c r="ET36" s="156">
        <f t="shared" si="31"/>
        <v>0</v>
      </c>
      <c r="EU36" s="162">
        <f t="shared" si="90"/>
        <v>0</v>
      </c>
      <c r="EV36" s="161"/>
      <c r="EW36" s="156">
        <f t="shared" si="91"/>
        <v>0</v>
      </c>
      <c r="EX36" s="162">
        <f t="shared" si="92"/>
        <v>0</v>
      </c>
      <c r="EY36" s="161"/>
      <c r="EZ36" s="156">
        <f t="shared" si="32"/>
        <v>0</v>
      </c>
      <c r="FA36" s="162">
        <f t="shared" si="93"/>
        <v>0</v>
      </c>
      <c r="FB36" s="161"/>
      <c r="FC36" s="156">
        <f t="shared" si="33"/>
        <v>0</v>
      </c>
      <c r="FD36" s="162">
        <f t="shared" si="94"/>
        <v>0</v>
      </c>
      <c r="FE36" s="161"/>
      <c r="FF36" s="156">
        <f t="shared" si="34"/>
        <v>0</v>
      </c>
      <c r="FG36" s="162">
        <f t="shared" si="95"/>
        <v>0</v>
      </c>
      <c r="FH36" s="161"/>
      <c r="FI36" s="156">
        <f t="shared" si="35"/>
        <v>0</v>
      </c>
      <c r="FJ36" s="162">
        <f t="shared" si="96"/>
        <v>0</v>
      </c>
      <c r="FK36" s="161"/>
      <c r="FL36" s="156">
        <f t="shared" si="36"/>
        <v>0</v>
      </c>
      <c r="FM36" s="162">
        <f t="shared" si="97"/>
        <v>0</v>
      </c>
      <c r="FN36" s="161"/>
      <c r="FO36" s="156">
        <f t="shared" si="37"/>
        <v>0</v>
      </c>
      <c r="FP36" s="162">
        <f t="shared" si="98"/>
        <v>0</v>
      </c>
      <c r="FQ36" s="161"/>
      <c r="FR36" s="156">
        <f t="shared" si="38"/>
        <v>0</v>
      </c>
    </row>
    <row r="37" spans="1:174">
      <c r="A37" s="109" t="s">
        <v>102</v>
      </c>
      <c r="D37" s="110">
        <f>SUM(D6:D36)</f>
        <v>5303</v>
      </c>
      <c r="E37" s="111"/>
      <c r="F37" s="109" t="s">
        <v>102</v>
      </c>
      <c r="I37" s="110">
        <f>SUM(I6:I36)</f>
        <v>675</v>
      </c>
      <c r="J37" s="111"/>
      <c r="K37" s="109" t="s">
        <v>102</v>
      </c>
      <c r="N37" s="110">
        <f>SUM(N6:N36)</f>
        <v>4324</v>
      </c>
      <c r="O37" s="111"/>
      <c r="P37" s="109" t="s">
        <v>102</v>
      </c>
      <c r="S37" s="110">
        <f>SUM(S6:S36)</f>
        <v>619</v>
      </c>
      <c r="T37" s="111"/>
      <c r="U37" s="90" t="s">
        <v>102</v>
      </c>
      <c r="V37" s="375">
        <f>SUM(V6:V36)</f>
        <v>10921</v>
      </c>
      <c r="W37" s="150">
        <f>SUM(W6:W36)</f>
        <v>57104</v>
      </c>
    </row>
    <row r="38" spans="1:174">
      <c r="W38" s="90">
        <f>W37/31</f>
        <v>1842.0645161290322</v>
      </c>
    </row>
    <row r="44" spans="1:174">
      <c r="AC44" s="161"/>
    </row>
  </sheetData>
  <mergeCells count="43">
    <mergeCell ref="CO4:CS4"/>
    <mergeCell ref="BF4:BJ4"/>
    <mergeCell ref="BK4:BO4"/>
    <mergeCell ref="BP4:BT4"/>
    <mergeCell ref="BU4:BY4"/>
    <mergeCell ref="BZ4:CD4"/>
    <mergeCell ref="CE4:CI4"/>
    <mergeCell ref="CJ4:CN4"/>
    <mergeCell ref="EI4:EK4"/>
    <mergeCell ref="DS4:DW4"/>
    <mergeCell ref="EL4:EN4"/>
    <mergeCell ref="EO4:EQ4"/>
    <mergeCell ref="DX4:EB4"/>
    <mergeCell ref="A1:X2"/>
    <mergeCell ref="A3:B3"/>
    <mergeCell ref="A4:D4"/>
    <mergeCell ref="F4:I4"/>
    <mergeCell ref="K4:N4"/>
    <mergeCell ref="P4:S4"/>
    <mergeCell ref="U4:X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FM4:FO4"/>
    <mergeCell ref="FP4:FR4"/>
    <mergeCell ref="ER4:ET4"/>
    <mergeCell ref="EU4:EW4"/>
    <mergeCell ref="EX4:EZ4"/>
    <mergeCell ref="FA4:FC4"/>
    <mergeCell ref="FD4:FF4"/>
  </mergeCells>
  <conditionalFormatting sqref="V6:V36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6">
    <cfRule type="cellIs" dxfId="43" priority="71" operator="greaterThan">
      <formula>31</formula>
    </cfRule>
  </conditionalFormatting>
  <conditionalFormatting sqref="AI6:AI36">
    <cfRule type="cellIs" dxfId="42" priority="70" operator="greaterThan">
      <formula>6</formula>
    </cfRule>
  </conditionalFormatting>
  <conditionalFormatting sqref="CB6:CB36">
    <cfRule type="cellIs" dxfId="41" priority="60" operator="greaterThan">
      <formula>4.5</formula>
    </cfRule>
  </conditionalFormatting>
  <conditionalFormatting sqref="CG6:CG36">
    <cfRule type="cellIs" dxfId="40" priority="59" operator="greaterThan">
      <formula>2.5</formula>
    </cfRule>
  </conditionalFormatting>
  <conditionalFormatting sqref="CL6:CL36">
    <cfRule type="cellIs" dxfId="39" priority="58" operator="greaterThan">
      <formula>30</formula>
    </cfRule>
  </conditionalFormatting>
  <conditionalFormatting sqref="CQ6:CQ36">
    <cfRule type="cellIs" dxfId="38" priority="57" operator="greaterThan">
      <formula>3</formula>
    </cfRule>
  </conditionalFormatting>
  <conditionalFormatting sqref="CV6:CV36">
    <cfRule type="cellIs" dxfId="37" priority="56" operator="greaterThan">
      <formula>1</formula>
    </cfRule>
  </conditionalFormatting>
  <conditionalFormatting sqref="DA6:DA36">
    <cfRule type="cellIs" dxfId="36" priority="55" operator="greaterThan">
      <formula>5</formula>
    </cfRule>
  </conditionalFormatting>
  <conditionalFormatting sqref="DF6:DF36">
    <cfRule type="cellIs" dxfId="35" priority="54" operator="greaterThan">
      <formula>4</formula>
    </cfRule>
  </conditionalFormatting>
  <conditionalFormatting sqref="DK6:DK36">
    <cfRule type="cellIs" dxfId="34" priority="53" operator="greaterThan">
      <formula>2</formula>
    </cfRule>
  </conditionalFormatting>
  <conditionalFormatting sqref="DP6:DP36">
    <cfRule type="cellIs" dxfId="33" priority="52" operator="greaterThan">
      <formula>20</formula>
    </cfRule>
  </conditionalFormatting>
  <conditionalFormatting sqref="DU6:DU36">
    <cfRule type="cellIs" dxfId="32" priority="51" operator="greaterThan">
      <formula>2.3</formula>
    </cfRule>
  </conditionalFormatting>
  <conditionalFormatting sqref="DZ6:DZ36">
    <cfRule type="cellIs" dxfId="31" priority="50" operator="greaterThan">
      <formula>2</formula>
    </cfRule>
  </conditionalFormatting>
  <conditionalFormatting sqref="EN6:EN36 EQ6:EQ36 ET6:ET36 EW6:EW36 EZ6:EZ36 FC6:FC36 FF6:FF36">
    <cfRule type="cellIs" dxfId="30" priority="42" operator="greaterThan">
      <formula>4</formula>
    </cfRule>
  </conditionalFormatting>
  <conditionalFormatting sqref="EH6:EH36">
    <cfRule type="cellIs" dxfId="29" priority="44" operator="greaterThan">
      <formula>7</formula>
    </cfRule>
  </conditionalFormatting>
  <conditionalFormatting sqref="EK6:EK36">
    <cfRule type="cellIs" dxfId="28" priority="43" operator="greaterThan">
      <formula>6</formula>
    </cfRule>
  </conditionalFormatting>
  <conditionalFormatting sqref="EE6:EE36">
    <cfRule type="cellIs" dxfId="27" priority="38" operator="greaterThan">
      <formula>10</formula>
    </cfRule>
  </conditionalFormatting>
  <conditionalFormatting sqref="AK6:AK36">
    <cfRule type="cellIs" dxfId="26" priority="37" operator="greaterThan">
      <formula>31</formula>
    </cfRule>
  </conditionalFormatting>
  <conditionalFormatting sqref="CN6:CN36">
    <cfRule type="cellIs" dxfId="25" priority="26" operator="greaterThan">
      <formula>31</formula>
    </cfRule>
  </conditionalFormatting>
  <conditionalFormatting sqref="CI6:CI36">
    <cfRule type="cellIs" dxfId="24" priority="27" operator="greaterThan">
      <formula>31</formula>
    </cfRule>
  </conditionalFormatting>
  <conditionalFormatting sqref="CD6:CD36">
    <cfRule type="cellIs" dxfId="23" priority="28" operator="greaterThan">
      <formula>31</formula>
    </cfRule>
  </conditionalFormatting>
  <conditionalFormatting sqref="CS6:CS36">
    <cfRule type="cellIs" dxfId="22" priority="25" operator="greaterThan">
      <formula>31</formula>
    </cfRule>
  </conditionalFormatting>
  <conditionalFormatting sqref="DC6:DC36">
    <cfRule type="cellIs" dxfId="21" priority="24" operator="greaterThan">
      <formula>31</formula>
    </cfRule>
  </conditionalFormatting>
  <conditionalFormatting sqref="DH6:DH36">
    <cfRule type="cellIs" dxfId="20" priority="23" operator="greaterThan">
      <formula>31</formula>
    </cfRule>
  </conditionalFormatting>
  <conditionalFormatting sqref="DM6:DM36">
    <cfRule type="cellIs" dxfId="19" priority="22" operator="greaterThan">
      <formula>31</formula>
    </cfRule>
  </conditionalFormatting>
  <conditionalFormatting sqref="DR6:DR36">
    <cfRule type="cellIs" dxfId="18" priority="21" operator="greaterThan">
      <formula>31</formula>
    </cfRule>
  </conditionalFormatting>
  <conditionalFormatting sqref="DW6:DW36">
    <cfRule type="cellIs" dxfId="17" priority="20" operator="greaterThan">
      <formula>31</formula>
    </cfRule>
  </conditionalFormatting>
  <conditionalFormatting sqref="BY6:BY36">
    <cfRule type="cellIs" dxfId="16" priority="8" operator="greaterThan">
      <formula>31</formula>
    </cfRule>
  </conditionalFormatting>
  <conditionalFormatting sqref="EB6:EB36">
    <cfRule type="cellIs" dxfId="15" priority="19" operator="greaterThan">
      <formula>31</formula>
    </cfRule>
  </conditionalFormatting>
  <conditionalFormatting sqref="AN6:AN36">
    <cfRule type="cellIs" dxfId="14" priority="17" operator="greaterThan">
      <formula>10</formula>
    </cfRule>
  </conditionalFormatting>
  <conditionalFormatting sqref="AP6:AP36">
    <cfRule type="cellIs" dxfId="13" priority="16" operator="greaterThan">
      <formula>31</formula>
    </cfRule>
  </conditionalFormatting>
  <conditionalFormatting sqref="AX6:AX36">
    <cfRule type="cellIs" dxfId="12" priority="15" operator="greaterThan">
      <formula>8</formula>
    </cfRule>
  </conditionalFormatting>
  <conditionalFormatting sqref="AU6:AU36 AZ6:AZ36">
    <cfRule type="cellIs" dxfId="11" priority="14" operator="greaterThan">
      <formula>31</formula>
    </cfRule>
  </conditionalFormatting>
  <conditionalFormatting sqref="BC6:BC36 BH6:BH36">
    <cfRule type="cellIs" dxfId="10" priority="13" operator="greaterThan">
      <formula>10</formula>
    </cfRule>
  </conditionalFormatting>
  <conditionalFormatting sqref="BE6:BE36 BJ6:BJ36">
    <cfRule type="cellIs" dxfId="9" priority="12" operator="greaterThan">
      <formula>31</formula>
    </cfRule>
  </conditionalFormatting>
  <conditionalFormatting sqref="BR6:BR36">
    <cfRule type="cellIs" dxfId="8" priority="11" operator="greaterThan">
      <formula>2</formula>
    </cfRule>
  </conditionalFormatting>
  <conditionalFormatting sqref="BO6:BO36 BT6:BT36">
    <cfRule type="cellIs" dxfId="7" priority="10" operator="greaterThan">
      <formula>31</formula>
    </cfRule>
  </conditionalFormatting>
  <conditionalFormatting sqref="BW6:BW36">
    <cfRule type="cellIs" dxfId="6" priority="9" operator="greaterThan">
      <formula>1</formula>
    </cfRule>
  </conditionalFormatting>
  <conditionalFormatting sqref="CX6:CX36">
    <cfRule type="cellIs" dxfId="5" priority="7" operator="greaterThan">
      <formula>31</formula>
    </cfRule>
  </conditionalFormatting>
  <conditionalFormatting sqref="AD6:AD36">
    <cfRule type="cellIs" dxfId="4" priority="5" operator="greaterThanOrEqual">
      <formula>28</formula>
    </cfRule>
  </conditionalFormatting>
  <conditionalFormatting sqref="AS6:AS36">
    <cfRule type="cellIs" dxfId="3" priority="4" operator="greaterThanOrEqual">
      <formula>13</formula>
    </cfRule>
  </conditionalFormatting>
  <conditionalFormatting sqref="BM6:BM36">
    <cfRule type="cellIs" dxfId="2" priority="3" operator="greaterThanOrEqual">
      <formula>6</formula>
    </cfRule>
  </conditionalFormatting>
  <conditionalFormatting sqref="FI6:FI36">
    <cfRule type="cellIs" dxfId="1" priority="2" operator="greaterThan">
      <formula>4</formula>
    </cfRule>
  </conditionalFormatting>
  <conditionalFormatting sqref="FL6:FL36 FO6:FO36 FR6:FR36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Sudhakar Appa</dc:creator>
  <cp:keywords/>
  <dc:description/>
  <cp:lastModifiedBy>Faisal Ibrahim</cp:lastModifiedBy>
  <cp:revision/>
  <dcterms:created xsi:type="dcterms:W3CDTF">2018-12-01T06:13:40Z</dcterms:created>
  <dcterms:modified xsi:type="dcterms:W3CDTF">2023-03-01T08:43:05Z</dcterms:modified>
  <cp:category/>
  <cp:contentStatus/>
</cp:coreProperties>
</file>