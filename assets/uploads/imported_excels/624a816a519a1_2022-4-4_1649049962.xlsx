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4 - 2022" sheetId="5" r:id="rId3"/>
  </sheets>
  <definedNames>
    <definedName name="_xlnm.Print_Area" localSheetId="2">'04 - 2022'!$A$1:$J$35</definedName>
  </definedNames>
  <calcPr calcId="162913"/>
</workbook>
</file>

<file path=xl/calcChain.xml><?xml version="1.0" encoding="utf-8"?>
<calcChain xmlns="http://schemas.openxmlformats.org/spreadsheetml/2006/main"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I39" i="5" s="1"/>
  <c r="H38" i="5"/>
  <c r="H39" i="5" s="1"/>
  <c r="G38" i="5"/>
  <c r="F38" i="5"/>
  <c r="E38" i="5"/>
  <c r="D38" i="5"/>
  <c r="C38" i="5"/>
  <c r="B38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B30" i="3" l="1"/>
  <c r="B31" i="3"/>
  <c r="B32" i="3"/>
  <c r="B32" i="2"/>
  <c r="B30" i="2"/>
  <c r="B31" i="2"/>
  <c r="I40" i="5" l="1"/>
  <c r="H40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<sst xmlns="http://schemas.openxmlformats.org/spreadsheetml/2006/main" count="107" uniqueCount="38">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</sst>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6" xfId="2" applyFont="1" applyBorder="1" applyAlignment="1">
      <alignment horizontal="center" vertical="center"/>
    </xf>
    <xf numFmtId="43" fontId="4" fillId="2" borderId="6" xfId="2" applyFont="1" applyFill="1" applyBorder="1" applyAlignment="1">
      <alignment horizontal="center" vertical="center"/>
    </xf>
    <xf numFmtId="43" fontId="4" fillId="0" borderId="6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9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6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6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43" fontId="4" fillId="0" borderId="19" xfId="2" applyFont="1" applyBorder="1" applyAlignment="1">
      <alignment horizontal="center" vertical="center"/>
    </xf>
    <xf numFmtId="43" fontId="4" fillId="2" borderId="19" xfId="2" applyFont="1" applyFill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43" fontId="6" fillId="0" borderId="19" xfId="2" applyFont="1" applyFill="1" applyBorder="1" applyAlignment="1">
      <alignment horizontal="center" vertical="center"/>
    </xf>
    <xf numFmtId="43" fontId="4" fillId="0" borderId="19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43" fontId="4" fillId="0" borderId="21" xfId="0" applyNumberFormat="1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/>
    </xf>
    <xf numFmtId="43" fontId="4" fillId="0" borderId="8" xfId="2" applyFont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  <xf numFmtId="43" fontId="6" fillId="0" borderId="8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M24" sqref="M24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3</v>
      </c>
      <c r="D2" s="14">
        <v>2022</v>
      </c>
      <c r="E2" s="16">
        <f>'04 - 2022'!B8-'04 - 2022'!B7+'04 - 2022'!C8-'04 - 2022'!C7</f>
        <v>9518</v>
      </c>
      <c r="F2" s="14">
        <v>0.11799999999999999</v>
      </c>
      <c r="G2" s="16">
        <f>'04 - 2022'!D8-'04 - 2022'!D7+'04 - 2022'!E8-'04 - 2022'!E7</f>
        <v>25.989999999999952</v>
      </c>
      <c r="H2" s="14">
        <v>0.99</v>
      </c>
      <c r="I2" s="16">
        <f>'04 - 2022'!J8-'04 - 2022'!J7</f>
        <v>20469</v>
      </c>
      <c r="J2" s="14">
        <v>8.1000000000000003E-2</v>
      </c>
      <c r="K2" s="23">
        <f>'04 - 2022'!H8-'04 - 2022'!H7</f>
        <v>0</v>
      </c>
      <c r="L2" s="16">
        <f>'04 - 2022'!I8-'04 - 2022'!I7</f>
        <v>128</v>
      </c>
      <c r="M2" s="15">
        <v>4.393629424766913</v>
      </c>
      <c r="N2" s="16">
        <v>104</v>
      </c>
    </row>
    <row r="3" spans="1:21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'04 - 2022'!B9-'04 - 2022'!B8+'04 - 2022'!C9-'04 - 2022'!C8</f>
        <v>9642</v>
      </c>
      <c r="F3" s="14">
        <v>0.11799999999999999</v>
      </c>
      <c r="G3" s="16">
        <f>'04 - 2022'!D9-'04 - 2022'!D8+'04 - 2022'!E9-'04 - 2022'!E8</f>
        <v>24.360000000000014</v>
      </c>
      <c r="H3" s="14">
        <v>0.99</v>
      </c>
      <c r="I3" s="16">
        <f>'04 - 2022'!J9-'04 - 2022'!J8</f>
        <v>19426</v>
      </c>
      <c r="J3" s="14">
        <v>8.1000000000000003E-2</v>
      </c>
      <c r="K3" s="23">
        <f>'04 - 2022'!H9-'04 - 2022'!H8</f>
        <v>0</v>
      </c>
      <c r="L3" s="16">
        <f>'04 - 2022'!I9-'04 - 2022'!I8</f>
        <v>118</v>
      </c>
      <c r="M3" s="15">
        <v>4.393629424766913</v>
      </c>
      <c r="N3" s="18">
        <v>67</v>
      </c>
    </row>
    <row r="4" spans="1:21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'04 - 2022'!B10-'04 - 2022'!B9+'04 - 2022'!C10-'04 - 2022'!C9</f>
        <v>9080</v>
      </c>
      <c r="F4" s="14">
        <v>0.11799999999999999</v>
      </c>
      <c r="G4" s="16">
        <f>'04 - 2022'!D10-'04 - 2022'!D9+'04 - 2022'!E10-'04 - 2022'!E9</f>
        <v>26.139999999999986</v>
      </c>
      <c r="H4" s="14">
        <v>0.99</v>
      </c>
      <c r="I4" s="16">
        <f>'04 - 2022'!J10-'04 - 2022'!J9</f>
        <v>20339</v>
      </c>
      <c r="J4" s="14">
        <v>8.1000000000000003E-2</v>
      </c>
      <c r="K4" s="23">
        <f>'04 - 2022'!H10-'04 - 2022'!H9</f>
        <v>0</v>
      </c>
      <c r="L4" s="16">
        <f>'04 - 2022'!I10-'04 - 2022'!I9</f>
        <v>106</v>
      </c>
      <c r="M4" s="15">
        <v>4.393629424766913</v>
      </c>
      <c r="N4" s="18">
        <v>56</v>
      </c>
    </row>
    <row r="5" spans="1:21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'04 - 2022'!B11-'04 - 2022'!B10+'04 - 2022'!C11-'04 - 2022'!C10</f>
        <v>8991</v>
      </c>
      <c r="F5" s="14">
        <v>0.11799999999999999</v>
      </c>
      <c r="G5" s="16">
        <f>'04 - 2022'!D11-'04 - 2022'!D10+'04 - 2022'!E11-'04 - 2022'!E10</f>
        <v>18.470000000000027</v>
      </c>
      <c r="H5" s="14">
        <v>0.99</v>
      </c>
      <c r="I5" s="16">
        <f>'04 - 2022'!J11-'04 - 2022'!J10</f>
        <v>19754</v>
      </c>
      <c r="J5" s="14">
        <v>8.1000000000000003E-2</v>
      </c>
      <c r="K5" s="23">
        <f>'04 - 2022'!H11-'04 - 2022'!H10</f>
        <v>0</v>
      </c>
      <c r="L5" s="16">
        <f>'04 - 2022'!I11-'04 - 2022'!I10</f>
        <v>84</v>
      </c>
      <c r="M5" s="15">
        <v>4.393629424766913</v>
      </c>
      <c r="N5" s="18">
        <v>48</v>
      </c>
      <c r="R5" s="14"/>
    </row>
    <row r="6" spans="1:21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v>0</v>
      </c>
      <c r="F6" s="14">
        <v>0.11799999999999999</v>
      </c>
      <c r="G6" s="16">
        <v>0</v>
      </c>
      <c r="H6" s="14">
        <v>0.99</v>
      </c>
      <c r="I6" s="16">
        <v>0</v>
      </c>
      <c r="J6" s="14">
        <v>8.1000000000000003E-2</v>
      </c>
      <c r="K6" s="23">
        <v>0</v>
      </c>
      <c r="L6" s="16">
        <v>0</v>
      </c>
      <c r="M6" s="15">
        <v>4.393629424766913</v>
      </c>
      <c r="N6" s="18"/>
    </row>
    <row r="7" spans="1:21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'04 - 2022'!B13-'04 - 2022'!B12+'04 - 2022'!C13-'04 - 2022'!C12</f>
        <v>0</v>
      </c>
      <c r="F7" s="14">
        <v>0.11799999999999999</v>
      </c>
      <c r="G7" s="16">
        <f>'04 - 2022'!D13-'04 - 2022'!D12+'04 - 2022'!E13-'04 - 2022'!E12</f>
        <v>0</v>
      </c>
      <c r="H7" s="14">
        <v>0.99</v>
      </c>
      <c r="I7" s="16">
        <f>'04 - 2022'!J13-'04 - 2022'!J12</f>
        <v>0</v>
      </c>
      <c r="J7" s="14">
        <v>8.1000000000000003E-2</v>
      </c>
      <c r="K7" s="23">
        <f>'04 - 2022'!H13-'04 - 2022'!H12</f>
        <v>0</v>
      </c>
      <c r="L7" s="16">
        <f>'04 - 2022'!I13-'04 - 2022'!I12</f>
        <v>0</v>
      </c>
      <c r="M7" s="15">
        <v>4.393629424766913</v>
      </c>
      <c r="N7" s="18"/>
    </row>
    <row r="8" spans="1:21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'04 - 2022'!B14-'04 - 2022'!B13+'04 - 2022'!C14-'04 - 2022'!C13</f>
        <v>0</v>
      </c>
      <c r="F8" s="14">
        <v>0.11799999999999999</v>
      </c>
      <c r="G8" s="16">
        <f>'04 - 2022'!D14-'04 - 2022'!D13+'04 - 2022'!E14-'04 - 2022'!E13</f>
        <v>0</v>
      </c>
      <c r="H8" s="14">
        <v>0.99</v>
      </c>
      <c r="I8" s="16">
        <f>'04 - 2022'!J14-'04 - 2022'!J13</f>
        <v>0</v>
      </c>
      <c r="J8" s="14">
        <v>8.1000000000000003E-2</v>
      </c>
      <c r="K8" s="23">
        <f>'04 - 2022'!H14-'04 - 2022'!H13</f>
        <v>0</v>
      </c>
      <c r="L8" s="16">
        <f>'04 - 2022'!I14-'04 - 2022'!I13</f>
        <v>0</v>
      </c>
      <c r="M8" s="15">
        <v>4.393629424766913</v>
      </c>
      <c r="N8" s="18"/>
      <c r="O8" s="16"/>
    </row>
    <row r="9" spans="1:21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'04 - 2022'!B15-'04 - 2022'!B14+'04 - 2022'!C15-'04 - 2022'!C14</f>
        <v>0</v>
      </c>
      <c r="F9" s="14">
        <v>0.11799999999999999</v>
      </c>
      <c r="G9" s="16">
        <f>'04 - 2022'!D15-'04 - 2022'!D14+'04 - 2022'!E15-'04 - 2022'!E14</f>
        <v>0</v>
      </c>
      <c r="H9" s="14">
        <v>0.99</v>
      </c>
      <c r="I9" s="16">
        <f>'04 - 2022'!J15-'04 - 2022'!J14</f>
        <v>0</v>
      </c>
      <c r="J9" s="14">
        <v>8.1000000000000003E-2</v>
      </c>
      <c r="K9" s="23">
        <f>'04 - 2022'!H15-'04 - 2022'!H14</f>
        <v>0</v>
      </c>
      <c r="L9" s="16">
        <f>'04 - 2022'!I15-'04 - 2022'!I14</f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'04 - 2022'!B16-'04 - 2022'!B15+'04 - 2022'!C16-'04 - 2022'!C15</f>
        <v>0</v>
      </c>
      <c r="F10" s="14">
        <v>0.11799999999999999</v>
      </c>
      <c r="G10" s="16">
        <f>'04 - 2022'!D16-'04 - 2022'!D15+'04 - 2022'!E16-'04 - 2022'!E15</f>
        <v>0</v>
      </c>
      <c r="H10" s="14">
        <v>0.99</v>
      </c>
      <c r="I10" s="16">
        <f>'04 - 2022'!J16-'04 - 2022'!J15</f>
        <v>0</v>
      </c>
      <c r="J10" s="14">
        <v>8.1000000000000003E-2</v>
      </c>
      <c r="K10" s="23">
        <f>'04 - 2022'!H16-'04 - 2022'!H15</f>
        <v>0</v>
      </c>
      <c r="L10" s="16">
        <f>'04 - 2022'!I16-'04 - 2022'!I15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'04 - 2022'!B17-'04 - 2022'!B16+'04 - 2022'!C17-'04 - 2022'!C16</f>
        <v>0</v>
      </c>
      <c r="F11" s="14">
        <v>0.11799999999999999</v>
      </c>
      <c r="G11" s="16">
        <f>'04 - 2022'!D17-'04 - 2022'!D16+'04 - 2022'!E17-'04 - 2022'!E16</f>
        <v>0</v>
      </c>
      <c r="H11" s="14">
        <v>0.99</v>
      </c>
      <c r="I11" s="16">
        <f>'04 - 2022'!J17-'04 - 2022'!J16</f>
        <v>0</v>
      </c>
      <c r="J11" s="14">
        <v>8.1000000000000003E-2</v>
      </c>
      <c r="K11" s="23">
        <f>'04 - 2022'!H17-'04 - 2022'!H16</f>
        <v>0</v>
      </c>
      <c r="L11" s="16">
        <f>'04 - 2022'!I17-'04 - 2022'!I16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'04 - 2022'!B18-'04 - 2022'!B17+'04 - 2022'!C18-'04 - 2022'!C17</f>
        <v>0</v>
      </c>
      <c r="F12" s="14">
        <v>0.11799999999999999</v>
      </c>
      <c r="G12" s="16">
        <f>'04 - 2022'!D18-'04 - 2022'!D17+'04 - 2022'!E18-'04 - 2022'!E17</f>
        <v>0</v>
      </c>
      <c r="H12" s="14">
        <v>0.99</v>
      </c>
      <c r="I12" s="16">
        <f>'04 - 2022'!J18-'04 - 2022'!J17</f>
        <v>0</v>
      </c>
      <c r="J12" s="14">
        <v>8.1000000000000003E-2</v>
      </c>
      <c r="K12" s="23">
        <f>'04 - 2022'!H18-'04 - 2022'!H17</f>
        <v>0</v>
      </c>
      <c r="L12" s="16">
        <f>'04 - 2022'!I18-'04 - 2022'!I17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'04 - 2022'!B19-'04 - 2022'!B18+'04 - 2022'!C19-'04 - 2022'!C18</f>
        <v>0</v>
      </c>
      <c r="F13" s="14">
        <v>0.11799999999999999</v>
      </c>
      <c r="G13" s="16">
        <f>'04 - 2022'!D19-'04 - 2022'!D18+'04 - 2022'!E19-'04 - 2022'!E18</f>
        <v>0</v>
      </c>
      <c r="H13" s="14">
        <v>0.99</v>
      </c>
      <c r="I13" s="16">
        <f>'04 - 2022'!J19-'04 - 2022'!J18</f>
        <v>0</v>
      </c>
      <c r="J13" s="14">
        <v>8.1000000000000003E-2</v>
      </c>
      <c r="K13" s="23">
        <f>'04 - 2022'!H19-'04 - 2022'!H18</f>
        <v>0</v>
      </c>
      <c r="L13" s="16">
        <f>'04 - 2022'!I19-'04 - 2022'!I18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'04 - 2022'!B20-'04 - 2022'!B19+'04 - 2022'!C20-'04 - 2022'!C19</f>
        <v>0</v>
      </c>
      <c r="F14" s="14">
        <v>0.11799999999999999</v>
      </c>
      <c r="G14" s="16">
        <f>'04 - 2022'!D20-'04 - 2022'!D19+'04 - 2022'!E20-'04 - 2022'!E19</f>
        <v>0</v>
      </c>
      <c r="H14" s="14">
        <v>0.99</v>
      </c>
      <c r="I14" s="16">
        <f>'04 - 2022'!J20-'04 - 2022'!J19</f>
        <v>0</v>
      </c>
      <c r="J14" s="14">
        <v>8.1000000000000003E-2</v>
      </c>
      <c r="K14" s="23">
        <f>'04 - 2022'!H20-'04 - 2022'!H19</f>
        <v>0</v>
      </c>
      <c r="L14" s="16">
        <f>'04 - 2022'!I20-'04 - 2022'!I19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'04 - 2022'!B21-'04 - 2022'!B20+'04 - 2022'!C21-'04 - 2022'!C20</f>
        <v>0</v>
      </c>
      <c r="F15" s="14">
        <v>0.11799999999999999</v>
      </c>
      <c r="G15" s="16">
        <f>'04 - 2022'!D21-'04 - 2022'!D20+'04 - 2022'!E21-'04 - 2022'!E20</f>
        <v>0</v>
      </c>
      <c r="H15" s="14">
        <v>0.99</v>
      </c>
      <c r="I15" s="16">
        <f>'04 - 2022'!J21-'04 - 2022'!J20</f>
        <v>0</v>
      </c>
      <c r="J15" s="14">
        <v>8.1000000000000003E-2</v>
      </c>
      <c r="K15" s="23">
        <f>'04 - 2022'!H21-'04 - 2022'!H20</f>
        <v>0</v>
      </c>
      <c r="L15" s="16">
        <f>'04 - 2022'!I21-'04 - 2022'!I20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'04 - 2022'!B22-'04 - 2022'!B21+'04 - 2022'!C22-'04 - 2022'!C21</f>
        <v>0</v>
      </c>
      <c r="F16" s="14">
        <v>0.11799999999999999</v>
      </c>
      <c r="G16" s="16">
        <f>'04 - 2022'!D22-'04 - 2022'!D21+'04 - 2022'!E22-'04 - 2022'!E21</f>
        <v>0</v>
      </c>
      <c r="H16" s="14">
        <v>0.99</v>
      </c>
      <c r="I16" s="16">
        <f>'04 - 2022'!J22-'04 - 2022'!J21</f>
        <v>0</v>
      </c>
      <c r="J16" s="14">
        <v>8.1000000000000003E-2</v>
      </c>
      <c r="K16" s="23">
        <f>'04 - 2022'!H22-'04 - 2022'!H21</f>
        <v>0</v>
      </c>
      <c r="L16" s="16">
        <f>'04 - 2022'!I22-'04 - 2022'!I21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'04 - 2022'!B23-'04 - 2022'!B22+'04 - 2022'!C23-'04 - 2022'!C22</f>
        <v>0</v>
      </c>
      <c r="F17" s="14">
        <v>0.11799999999999999</v>
      </c>
      <c r="G17" s="16">
        <f>'04 - 2022'!D23-'04 - 2022'!D22+'04 - 2022'!E23-'04 - 2022'!E22</f>
        <v>0</v>
      </c>
      <c r="H17" s="14">
        <v>0.99</v>
      </c>
      <c r="I17" s="16">
        <f>'04 - 2022'!J23-'04 - 2022'!J22</f>
        <v>0</v>
      </c>
      <c r="J17" s="14">
        <v>8.1000000000000003E-2</v>
      </c>
      <c r="K17" s="23">
        <f>'04 - 2022'!H23-'04 - 2022'!H22</f>
        <v>0</v>
      </c>
      <c r="L17" s="16">
        <f>'04 - 2022'!I23-'04 - 2022'!I22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'04 - 2022'!B24-'04 - 2022'!B23+'04 - 2022'!C24-'04 - 2022'!C23</f>
        <v>0</v>
      </c>
      <c r="F18" s="14">
        <v>0.11799999999999999</v>
      </c>
      <c r="G18" s="16">
        <f>'04 - 2022'!D24-'04 - 2022'!D23+'04 - 2022'!E24-'04 - 2022'!E23</f>
        <v>0</v>
      </c>
      <c r="H18" s="14">
        <v>0.99</v>
      </c>
      <c r="I18" s="16">
        <f>'04 - 2022'!J24-'04 - 2022'!J23</f>
        <v>0</v>
      </c>
      <c r="J18" s="14">
        <v>8.1000000000000003E-2</v>
      </c>
      <c r="K18" s="23">
        <f>'04 - 2022'!H24-'04 - 2022'!H23</f>
        <v>0</v>
      </c>
      <c r="L18" s="16">
        <f>'04 - 2022'!I24-'04 - 2022'!I23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'04 - 2022'!B25-'04 - 2022'!B24+'04 - 2022'!C25-'04 - 2022'!C24</f>
        <v>0</v>
      </c>
      <c r="F19" s="14">
        <v>0.11799999999999999</v>
      </c>
      <c r="G19" s="16">
        <f>'04 - 2022'!D25-'04 - 2022'!D24+'04 - 2022'!E25-'04 - 2022'!E24</f>
        <v>0</v>
      </c>
      <c r="H19" s="14">
        <v>0.99</v>
      </c>
      <c r="I19" s="16">
        <f>'04 - 2022'!J25-'04 - 2022'!J24</f>
        <v>0</v>
      </c>
      <c r="J19" s="14">
        <v>8.1000000000000003E-2</v>
      </c>
      <c r="K19" s="23">
        <f>'04 - 2022'!H25-'04 - 2022'!H24</f>
        <v>0</v>
      </c>
      <c r="L19" s="16">
        <f>'04 - 2022'!I25-'04 - 2022'!I24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'04 - 2022'!B26-'04 - 2022'!B25+'04 - 2022'!C26-'04 - 2022'!C25</f>
        <v>0</v>
      </c>
      <c r="F20" s="14">
        <v>0.11799999999999999</v>
      </c>
      <c r="G20" s="16">
        <f>'04 - 2022'!D26-'04 - 2022'!D25+'04 - 2022'!E26-'04 - 2022'!E25</f>
        <v>0</v>
      </c>
      <c r="H20" s="14">
        <v>0.99</v>
      </c>
      <c r="I20" s="16">
        <f>'04 - 2022'!J26-'04 - 2022'!J25</f>
        <v>0</v>
      </c>
      <c r="J20" s="14">
        <v>8.1000000000000003E-2</v>
      </c>
      <c r="K20" s="23">
        <f>'04 - 2022'!H26-'04 - 2022'!H25</f>
        <v>0</v>
      </c>
      <c r="L20" s="16">
        <f>'04 - 2022'!I26-'04 - 2022'!I25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'04 - 2022'!B27-'04 - 2022'!B26+'04 - 2022'!C27-'04 - 2022'!C26</f>
        <v>0</v>
      </c>
      <c r="F21" s="14">
        <v>0.11799999999999999</v>
      </c>
      <c r="G21" s="16">
        <f>'04 - 2022'!D27-'04 - 2022'!D26+'04 - 2022'!E27-'04 - 2022'!E26</f>
        <v>0</v>
      </c>
      <c r="H21" s="14">
        <v>0.99</v>
      </c>
      <c r="I21" s="16">
        <f>'04 - 2022'!J27-'04 - 2022'!J26</f>
        <v>0</v>
      </c>
      <c r="J21" s="14">
        <v>8.1000000000000003E-2</v>
      </c>
      <c r="K21" s="23">
        <f>'04 - 2022'!H27-'04 - 2022'!H26</f>
        <v>0</v>
      </c>
      <c r="L21" s="16">
        <f>'04 - 2022'!I27-'04 - 2022'!I26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'04 - 2022'!B28-'04 - 2022'!B27+'04 - 2022'!C28-'04 - 2022'!C27</f>
        <v>0</v>
      </c>
      <c r="F22" s="14">
        <v>0.11799999999999999</v>
      </c>
      <c r="G22" s="16">
        <f>'04 - 2022'!D28-'04 - 2022'!D27+'04 - 2022'!E28-'04 - 2022'!E27</f>
        <v>0</v>
      </c>
      <c r="H22" s="14">
        <v>0.99</v>
      </c>
      <c r="I22" s="16">
        <f>'04 - 2022'!J28-'04 - 2022'!J27</f>
        <v>0</v>
      </c>
      <c r="J22" s="14">
        <v>8.1000000000000003E-2</v>
      </c>
      <c r="K22" s="23">
        <f>'04 - 2022'!H28-'04 - 2022'!H27</f>
        <v>0</v>
      </c>
      <c r="L22" s="16">
        <f>'04 - 2022'!I28-'04 - 2022'!I27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'04 - 2022'!B29-'04 - 2022'!B28+'04 - 2022'!C29-'04 - 2022'!C28</f>
        <v>0</v>
      </c>
      <c r="F23" s="14">
        <v>0.11799999999999999</v>
      </c>
      <c r="G23" s="16">
        <f>'04 - 2022'!D29-'04 - 2022'!D28+'04 - 2022'!E29-'04 - 2022'!E28</f>
        <v>0</v>
      </c>
      <c r="H23" s="14">
        <v>0.99</v>
      </c>
      <c r="I23" s="16">
        <f>'04 - 2022'!J29-'04 - 2022'!J28</f>
        <v>0</v>
      </c>
      <c r="J23" s="14">
        <v>8.1000000000000003E-2</v>
      </c>
      <c r="K23" s="23">
        <f>'04 - 2022'!H29-'04 - 2022'!H28</f>
        <v>0</v>
      </c>
      <c r="L23" s="16">
        <f>'04 - 2022'!I29-'04 - 2022'!I28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'04 - 2022'!B30-'04 - 2022'!B29+'04 - 2022'!C30-'04 - 2022'!C29</f>
        <v>0</v>
      </c>
      <c r="F24" s="14">
        <v>0.11799999999999999</v>
      </c>
      <c r="G24" s="16">
        <f>'04 - 2022'!D30-'04 - 2022'!D29+'04 - 2022'!E30-'04 - 2022'!E29</f>
        <v>0</v>
      </c>
      <c r="H24" s="14">
        <v>0.99</v>
      </c>
      <c r="I24" s="16">
        <f>'04 - 2022'!J30-'04 - 2022'!J29</f>
        <v>0</v>
      </c>
      <c r="J24" s="14">
        <v>8.1000000000000003E-2</v>
      </c>
      <c r="K24" s="23">
        <f>'04 - 2022'!H30-'04 - 2022'!H29</f>
        <v>0</v>
      </c>
      <c r="L24" s="16">
        <f>'04 - 2022'!I30-'04 - 2022'!I29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'04 - 2022'!B31-'04 - 2022'!B30+'04 - 2022'!C31-'04 - 2022'!C30</f>
        <v>0</v>
      </c>
      <c r="F25" s="14">
        <v>0.11799999999999999</v>
      </c>
      <c r="G25" s="16">
        <f>'04 - 2022'!D31-'04 - 2022'!D30+'04 - 2022'!E31-'04 - 2022'!E30</f>
        <v>0</v>
      </c>
      <c r="H25" s="14">
        <v>0.99</v>
      </c>
      <c r="I25" s="16">
        <f>'04 - 2022'!J31-'04 - 2022'!J30</f>
        <v>0</v>
      </c>
      <c r="J25" s="14">
        <v>8.1000000000000003E-2</v>
      </c>
      <c r="K25" s="23">
        <f>'04 - 2022'!H31-'04 - 2022'!H30</f>
        <v>0</v>
      </c>
      <c r="L25" s="16">
        <f>'04 - 2022'!I31-'04 - 2022'!I30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'04 - 2022'!B32-'04 - 2022'!B31+'04 - 2022'!C32-'04 - 2022'!C31</f>
        <v>0</v>
      </c>
      <c r="F26" s="14">
        <v>0.11799999999999999</v>
      </c>
      <c r="G26" s="16">
        <f>'04 - 2022'!D32-'04 - 2022'!D31+'04 - 2022'!E32-'04 - 2022'!E31</f>
        <v>0</v>
      </c>
      <c r="H26" s="14">
        <v>0.99</v>
      </c>
      <c r="I26" s="16">
        <f>'04 - 2022'!J32-'04 - 2022'!J31</f>
        <v>0</v>
      </c>
      <c r="J26" s="14">
        <v>8.1000000000000003E-2</v>
      </c>
      <c r="K26" s="23">
        <f>'04 - 2022'!H32-'04 - 2022'!H31</f>
        <v>0</v>
      </c>
      <c r="L26" s="16">
        <f>'04 - 2022'!I32-'04 - 2022'!I31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'04 - 2022'!B33-'04 - 2022'!B32+'04 - 2022'!C33-'04 - 2022'!C32</f>
        <v>0</v>
      </c>
      <c r="F27" s="14">
        <v>0.11799999999999999</v>
      </c>
      <c r="G27" s="16">
        <f>'04 - 2022'!D33-'04 - 2022'!D32+'04 - 2022'!E33-'04 - 2022'!E32</f>
        <v>0</v>
      </c>
      <c r="H27" s="14">
        <v>0.99</v>
      </c>
      <c r="I27" s="16">
        <f>'04 - 2022'!J33-'04 - 2022'!J32</f>
        <v>0</v>
      </c>
      <c r="J27" s="14">
        <v>8.1000000000000003E-2</v>
      </c>
      <c r="K27" s="23">
        <f>'04 - 2022'!H33-'04 - 2022'!H32</f>
        <v>0</v>
      </c>
      <c r="L27" s="16">
        <f>'04 - 2022'!I33-'04 - 2022'!I32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'04 - 2022'!B34-'04 - 2022'!B33+'04 - 2022'!C34-'04 - 2022'!C33</f>
        <v>0</v>
      </c>
      <c r="F28" s="14">
        <v>0.11799999999999999</v>
      </c>
      <c r="G28" s="16">
        <f>'04 - 2022'!D34-'04 - 2022'!D33+'04 - 2022'!E34-'04 - 2022'!E33</f>
        <v>0</v>
      </c>
      <c r="H28" s="14">
        <v>0.99</v>
      </c>
      <c r="I28" s="16">
        <f>'04 - 2022'!J34-'04 - 2022'!J33</f>
        <v>0</v>
      </c>
      <c r="J28" s="14">
        <v>8.1000000000000003E-2</v>
      </c>
      <c r="K28" s="23">
        <f>'04 - 2022'!H34-'04 - 2022'!H33</f>
        <v>0</v>
      </c>
      <c r="L28" s="16">
        <f>'04 - 2022'!I34-'04 - 2022'!I33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'04 - 2022'!B35-'04 - 2022'!B34+'04 - 2022'!C35-'04 - 2022'!C34</f>
        <v>0</v>
      </c>
      <c r="F29" s="14">
        <v>0.11799999999999999</v>
      </c>
      <c r="G29" s="16">
        <f>'04 - 2022'!D35-'04 - 2022'!D34+'04 - 2022'!E35-'04 - 2022'!E34</f>
        <v>0</v>
      </c>
      <c r="H29" s="14">
        <v>0.99</v>
      </c>
      <c r="I29" s="16">
        <f>'04 - 2022'!J35-'04 - 2022'!J34</f>
        <v>0</v>
      </c>
      <c r="J29" s="14">
        <v>8.1000000000000003E-2</v>
      </c>
      <c r="K29" s="23">
        <f>'04 - 2022'!H35-'04 - 2022'!H34</f>
        <v>0</v>
      </c>
      <c r="L29" s="16">
        <f>'04 - 2022'!I35-'04 - 2022'!I34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'04 - 2022'!B36-'04 - 2022'!B35+'04 - 2022'!C36-'04 - 2022'!C35</f>
        <v>0</v>
      </c>
      <c r="F30" s="14">
        <v>0.11799999999999999</v>
      </c>
      <c r="G30" s="16">
        <f>'04 - 2022'!D36-'04 - 2022'!D35+'04 - 2022'!E36-'04 - 2022'!E35</f>
        <v>0</v>
      </c>
      <c r="H30" s="14">
        <v>0.99</v>
      </c>
      <c r="I30" s="16">
        <f>'04 - 2022'!J36-'04 - 2022'!J35</f>
        <v>0</v>
      </c>
      <c r="J30" s="14">
        <v>8.1000000000000003E-2</v>
      </c>
      <c r="K30" s="23">
        <f>'04 - 2022'!H36-'04 - 2022'!H35</f>
        <v>0</v>
      </c>
      <c r="L30" s="16">
        <f>'04 - 2022'!I36-'04 - 2022'!I35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'04 - 2022'!B37-'04 - 2022'!B36+'04 - 2022'!C37-'04 - 2022'!C36</f>
        <v>0</v>
      </c>
      <c r="F31" s="14">
        <v>0.11799999999999999</v>
      </c>
      <c r="G31" s="16">
        <f>'04 - 2022'!D37-'04 - 2022'!D36+'04 - 2022'!E37-'04 - 2022'!E36</f>
        <v>0</v>
      </c>
      <c r="H31" s="14">
        <v>0.99</v>
      </c>
      <c r="I31" s="16">
        <f>'04 - 2022'!J37-'04 - 2022'!J36</f>
        <v>0</v>
      </c>
      <c r="J31" s="14">
        <v>8.1000000000000003E-2</v>
      </c>
      <c r="K31" s="23">
        <f>'04 - 2022'!H37-'04 - 2022'!H36</f>
        <v>0</v>
      </c>
      <c r="L31" s="16">
        <f>'04 - 2022'!I37-'04 - 2022'!I36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v>0</v>
      </c>
      <c r="F32" s="14">
        <v>0.11799999999999999</v>
      </c>
      <c r="G32" s="16">
        <v>0</v>
      </c>
      <c r="H32" s="14">
        <v>0.99</v>
      </c>
      <c r="I32" s="16">
        <v>0</v>
      </c>
      <c r="J32" s="14">
        <v>8.1000000000000003E-2</v>
      </c>
      <c r="K32" s="23">
        <v>0</v>
      </c>
      <c r="L32" s="16"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N11" sqref="N11:O1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3</v>
      </c>
      <c r="D2">
        <v>2022</v>
      </c>
      <c r="E2" s="16">
        <f>'04 - 2022'!B8-'04 - 2022'!B7</f>
        <v>3839</v>
      </c>
      <c r="F2" s="16">
        <f>'04 - 2022'!C8-'04 - 2022'!C7</f>
        <v>5679</v>
      </c>
      <c r="G2" s="14">
        <v>0.11799999999999999</v>
      </c>
      <c r="H2" s="16">
        <f>'04 - 2022'!E8-'04 - 2022'!E7</f>
        <v>26.089999999999975</v>
      </c>
      <c r="I2" s="16">
        <f>'04 - 2022'!F8-'04 - 2022'!F7</f>
        <v>7.25</v>
      </c>
      <c r="J2" s="16">
        <f>'04 - 2022'!G8-'04 - 2022'!G7</f>
        <v>44.129999999997381</v>
      </c>
      <c r="K2" s="14">
        <v>0.74</v>
      </c>
      <c r="L2" s="16">
        <v>104</v>
      </c>
      <c r="M2" s="10"/>
    </row>
    <row r="3" spans="1:13" x14ac:dyDescent="0.25">
      <c r="A3" t="s">
        <v>27</v>
      </c>
      <c r="B3">
        <f>B2+1</f>
        <v>2</v>
      </c>
      <c r="C3" s="14">
        <v>3</v>
      </c>
      <c r="D3" s="14">
        <v>2022</v>
      </c>
      <c r="E3" s="16">
        <f>'04 - 2022'!B9-'04 - 2022'!B8</f>
        <v>3764</v>
      </c>
      <c r="F3" s="16">
        <f>'04 - 2022'!C9-'04 - 2022'!C8</f>
        <v>5878</v>
      </c>
      <c r="G3" s="14">
        <v>0.11799999999999999</v>
      </c>
      <c r="H3" s="16">
        <f>'04 - 2022'!E9-'04 - 2022'!E8</f>
        <v>24.430000000000007</v>
      </c>
      <c r="I3" s="16">
        <f>'04 - 2022'!F9-'04 - 2022'!F8</f>
        <v>8.4400000000000546</v>
      </c>
      <c r="J3" s="16">
        <f>'04 - 2022'!G9-'04 - 2022'!G8</f>
        <v>44.090000000003783</v>
      </c>
      <c r="K3" s="14">
        <v>0.74</v>
      </c>
      <c r="L3" s="18">
        <v>67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3</v>
      </c>
      <c r="D4" s="14">
        <v>2022</v>
      </c>
      <c r="E4" s="16">
        <f>'04 - 2022'!B10-'04 - 2022'!B9</f>
        <v>3554</v>
      </c>
      <c r="F4" s="16">
        <f>'04 - 2022'!C10-'04 - 2022'!C9</f>
        <v>5526</v>
      </c>
      <c r="G4" s="14">
        <v>0.11799999999999999</v>
      </c>
      <c r="H4" s="16">
        <f>'04 - 2022'!E10-'04 - 2022'!E9</f>
        <v>26.240000000000009</v>
      </c>
      <c r="I4" s="16">
        <f>'04 - 2022'!F10-'04 - 2022'!F9</f>
        <v>6.8600000000001273</v>
      </c>
      <c r="J4" s="16">
        <f>'04 - 2022'!G10-'04 - 2022'!G9</f>
        <v>42.089999999996508</v>
      </c>
      <c r="K4" s="14">
        <v>0.74</v>
      </c>
      <c r="L4" s="18">
        <v>56</v>
      </c>
      <c r="M4" s="10"/>
    </row>
    <row r="5" spans="1:13" x14ac:dyDescent="0.25">
      <c r="A5" t="s">
        <v>27</v>
      </c>
      <c r="B5">
        <f t="shared" si="0"/>
        <v>4</v>
      </c>
      <c r="C5" s="14">
        <v>3</v>
      </c>
      <c r="D5" s="14">
        <v>2022</v>
      </c>
      <c r="E5" s="16">
        <f>'04 - 2022'!B11-'04 - 2022'!B10</f>
        <v>3549</v>
      </c>
      <c r="F5" s="16">
        <f>'04 - 2022'!C11-'04 - 2022'!C10</f>
        <v>5442</v>
      </c>
      <c r="G5" s="14">
        <v>0.11799999999999999</v>
      </c>
      <c r="H5" s="16">
        <f>'04 - 2022'!E11-'04 - 2022'!E10</f>
        <v>18.550000000000011</v>
      </c>
      <c r="I5" s="16">
        <f>'04 - 2022'!F11-'04 - 2022'!F10</f>
        <v>6.9499999999998181</v>
      </c>
      <c r="J5" s="16">
        <f>'04 - 2022'!G11-'04 - 2022'!G10</f>
        <v>34.910000000003492</v>
      </c>
      <c r="K5" s="14">
        <v>0.74</v>
      </c>
      <c r="L5" s="18">
        <v>48</v>
      </c>
      <c r="M5" s="10"/>
    </row>
    <row r="6" spans="1:13" x14ac:dyDescent="0.25">
      <c r="A6" t="s">
        <v>27</v>
      </c>
      <c r="B6">
        <f t="shared" si="0"/>
        <v>5</v>
      </c>
      <c r="C6" s="14">
        <v>3</v>
      </c>
      <c r="D6" s="14">
        <v>2022</v>
      </c>
      <c r="E6" s="16">
        <v>0</v>
      </c>
      <c r="F6" s="16">
        <v>0</v>
      </c>
      <c r="G6" s="14">
        <v>0.11799999999999999</v>
      </c>
      <c r="H6" s="16">
        <v>0</v>
      </c>
      <c r="I6" s="16">
        <v>0</v>
      </c>
      <c r="J6" s="16">
        <v>0</v>
      </c>
      <c r="K6" s="14">
        <v>0.74</v>
      </c>
      <c r="L6" s="18"/>
      <c r="M6" s="11"/>
    </row>
    <row r="7" spans="1:13" x14ac:dyDescent="0.25">
      <c r="A7" t="s">
        <v>27</v>
      </c>
      <c r="B7">
        <f t="shared" si="0"/>
        <v>6</v>
      </c>
      <c r="C7" s="14">
        <v>3</v>
      </c>
      <c r="D7" s="14">
        <v>2022</v>
      </c>
      <c r="E7" s="16">
        <f>'04 - 2022'!B13-'04 - 2022'!B12</f>
        <v>0</v>
      </c>
      <c r="F7" s="16">
        <f>'04 - 2022'!C13-'04 - 2022'!C12</f>
        <v>0</v>
      </c>
      <c r="G7" s="14">
        <v>0.11799999999999999</v>
      </c>
      <c r="H7" s="16">
        <f>'04 - 2022'!E13-'04 - 2022'!E12</f>
        <v>0</v>
      </c>
      <c r="I7" s="16">
        <f>'04 - 2022'!F13-'04 - 2022'!F12</f>
        <v>0</v>
      </c>
      <c r="J7" s="16">
        <f>'04 - 2022'!G13-'04 - 2022'!G12</f>
        <v>0</v>
      </c>
      <c r="K7" s="14">
        <v>0.74</v>
      </c>
      <c r="L7" s="18"/>
      <c r="M7" s="11"/>
    </row>
    <row r="8" spans="1:13" x14ac:dyDescent="0.25">
      <c r="A8" t="s">
        <v>27</v>
      </c>
      <c r="B8">
        <f t="shared" si="0"/>
        <v>7</v>
      </c>
      <c r="C8" s="14">
        <v>3</v>
      </c>
      <c r="D8" s="14">
        <v>2022</v>
      </c>
      <c r="E8" s="16">
        <f>'04 - 2022'!B14-'04 - 2022'!B13</f>
        <v>0</v>
      </c>
      <c r="F8" s="16">
        <f>'04 - 2022'!C14-'04 - 2022'!C13</f>
        <v>0</v>
      </c>
      <c r="G8" s="14">
        <v>0.11799999999999999</v>
      </c>
      <c r="H8" s="16">
        <f>'04 - 2022'!E14-'04 - 2022'!E13</f>
        <v>0</v>
      </c>
      <c r="I8" s="16">
        <f>'04 - 2022'!F14-'04 - 2022'!F13</f>
        <v>0</v>
      </c>
      <c r="J8" s="16">
        <f>'04 - 2022'!G14-'04 - 2022'!G13</f>
        <v>0</v>
      </c>
      <c r="K8" s="14">
        <v>0.74</v>
      </c>
      <c r="L8" s="18"/>
      <c r="M8" s="11"/>
    </row>
    <row r="9" spans="1:13" x14ac:dyDescent="0.25">
      <c r="A9" t="s">
        <v>27</v>
      </c>
      <c r="B9">
        <f t="shared" si="0"/>
        <v>8</v>
      </c>
      <c r="C9" s="14">
        <v>3</v>
      </c>
      <c r="D9" s="14">
        <v>2022</v>
      </c>
      <c r="E9" s="16">
        <f>'04 - 2022'!B15-'04 - 2022'!B14</f>
        <v>0</v>
      </c>
      <c r="F9" s="16">
        <f>'04 - 2022'!C15-'04 - 2022'!C14</f>
        <v>0</v>
      </c>
      <c r="G9" s="14">
        <v>0.11799999999999999</v>
      </c>
      <c r="H9" s="16">
        <f>'04 - 2022'!E15-'04 - 2022'!E14</f>
        <v>0</v>
      </c>
      <c r="I9" s="16">
        <f>'04 - 2022'!F15-'04 - 2022'!F14</f>
        <v>0</v>
      </c>
      <c r="J9" s="16">
        <f>'04 - 2022'!G15-'04 - 2022'!G14</f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3</v>
      </c>
      <c r="D10" s="14">
        <v>2022</v>
      </c>
      <c r="E10" s="16">
        <f>'04 - 2022'!B16-'04 - 2022'!B15</f>
        <v>0</v>
      </c>
      <c r="F10" s="16">
        <f>'04 - 2022'!C16-'04 - 2022'!C15</f>
        <v>0</v>
      </c>
      <c r="G10" s="14">
        <v>0.11799999999999999</v>
      </c>
      <c r="H10" s="16">
        <f>'04 - 2022'!E16-'04 - 2022'!E15</f>
        <v>0</v>
      </c>
      <c r="I10" s="16">
        <f>'04 - 2022'!F16-'04 - 2022'!F15</f>
        <v>0</v>
      </c>
      <c r="J10" s="16">
        <f>'04 - 2022'!G16-'04 - 2022'!G15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3</v>
      </c>
      <c r="D11" s="14">
        <v>2022</v>
      </c>
      <c r="E11" s="16">
        <f>'04 - 2022'!B17-'04 - 2022'!B16</f>
        <v>0</v>
      </c>
      <c r="F11" s="16">
        <f>'04 - 2022'!C17-'04 - 2022'!C16</f>
        <v>0</v>
      </c>
      <c r="G11" s="14">
        <v>0.11799999999999999</v>
      </c>
      <c r="H11" s="16">
        <f>'04 - 2022'!E17-'04 - 2022'!E16</f>
        <v>0</v>
      </c>
      <c r="I11" s="16">
        <f>'04 - 2022'!F17-'04 - 2022'!F16</f>
        <v>0</v>
      </c>
      <c r="J11" s="16">
        <f>'04 - 2022'!G17-'04 - 2022'!G16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3</v>
      </c>
      <c r="D12" s="14">
        <v>2022</v>
      </c>
      <c r="E12" s="16">
        <f>'04 - 2022'!B18-'04 - 2022'!B17</f>
        <v>0</v>
      </c>
      <c r="F12" s="16">
        <f>'04 - 2022'!C18-'04 - 2022'!C17</f>
        <v>0</v>
      </c>
      <c r="G12" s="14">
        <v>0.11799999999999999</v>
      </c>
      <c r="H12" s="16">
        <f>'04 - 2022'!E18-'04 - 2022'!E17</f>
        <v>0</v>
      </c>
      <c r="I12" s="16">
        <f>'04 - 2022'!F18-'04 - 2022'!F17</f>
        <v>0</v>
      </c>
      <c r="J12" s="16">
        <f>'04 - 2022'!G18-'04 - 2022'!G17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3</v>
      </c>
      <c r="D13" s="14">
        <v>2022</v>
      </c>
      <c r="E13" s="16">
        <f>'04 - 2022'!B19-'04 - 2022'!B18</f>
        <v>0</v>
      </c>
      <c r="F13" s="16">
        <f>'04 - 2022'!C19-'04 - 2022'!C18</f>
        <v>0</v>
      </c>
      <c r="G13" s="14">
        <v>0.11799999999999999</v>
      </c>
      <c r="H13" s="16">
        <f>'04 - 2022'!E19-'04 - 2022'!E18</f>
        <v>0</v>
      </c>
      <c r="I13" s="16">
        <f>'04 - 2022'!F19-'04 - 2022'!F18</f>
        <v>0</v>
      </c>
      <c r="J13" s="16">
        <f>'04 - 2022'!G19-'04 - 2022'!G18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3</v>
      </c>
      <c r="D14" s="14">
        <v>2022</v>
      </c>
      <c r="E14" s="16">
        <f>'04 - 2022'!B20-'04 - 2022'!B19</f>
        <v>0</v>
      </c>
      <c r="F14" s="16">
        <f>'04 - 2022'!C20-'04 - 2022'!C19</f>
        <v>0</v>
      </c>
      <c r="G14" s="14">
        <v>0.11799999999999999</v>
      </c>
      <c r="H14" s="16">
        <f>'04 - 2022'!E20-'04 - 2022'!E19</f>
        <v>0</v>
      </c>
      <c r="I14" s="16">
        <f>'04 - 2022'!F20-'04 - 2022'!F19</f>
        <v>0</v>
      </c>
      <c r="J14" s="16">
        <f>'04 - 2022'!G20-'04 - 2022'!G19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3</v>
      </c>
      <c r="D15" s="14">
        <v>2022</v>
      </c>
      <c r="E15" s="16">
        <f>'04 - 2022'!B21-'04 - 2022'!B20</f>
        <v>0</v>
      </c>
      <c r="F15" s="16">
        <f>'04 - 2022'!C21-'04 - 2022'!C20</f>
        <v>0</v>
      </c>
      <c r="G15" s="14">
        <v>0.11799999999999999</v>
      </c>
      <c r="H15" s="16">
        <f>'04 - 2022'!E21-'04 - 2022'!E20</f>
        <v>0</v>
      </c>
      <c r="I15" s="16">
        <f>'04 - 2022'!F21-'04 - 2022'!F20</f>
        <v>0</v>
      </c>
      <c r="J15" s="16">
        <f>'04 - 2022'!G21-'04 - 2022'!G20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3</v>
      </c>
      <c r="D16" s="14">
        <v>2022</v>
      </c>
      <c r="E16" s="16">
        <f>'04 - 2022'!B22-'04 - 2022'!B21</f>
        <v>0</v>
      </c>
      <c r="F16" s="16">
        <f>'04 - 2022'!C22-'04 - 2022'!C21</f>
        <v>0</v>
      </c>
      <c r="G16" s="14">
        <v>0.11799999999999999</v>
      </c>
      <c r="H16" s="16">
        <f>'04 - 2022'!E22-'04 - 2022'!E21</f>
        <v>0</v>
      </c>
      <c r="I16" s="16">
        <f>'04 - 2022'!F22-'04 - 2022'!F21</f>
        <v>0</v>
      </c>
      <c r="J16" s="16">
        <f>'04 - 2022'!G22-'04 - 2022'!G21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3</v>
      </c>
      <c r="D17" s="14">
        <v>2022</v>
      </c>
      <c r="E17" s="16">
        <f>'04 - 2022'!B23-'04 - 2022'!B22</f>
        <v>0</v>
      </c>
      <c r="F17" s="16">
        <f>'04 - 2022'!C23-'04 - 2022'!C22</f>
        <v>0</v>
      </c>
      <c r="G17" s="14">
        <v>0.11799999999999999</v>
      </c>
      <c r="H17" s="16">
        <f>'04 - 2022'!E23-'04 - 2022'!E22</f>
        <v>0</v>
      </c>
      <c r="I17" s="16">
        <f>'04 - 2022'!F23-'04 - 2022'!F22</f>
        <v>0</v>
      </c>
      <c r="J17" s="16">
        <f>'04 - 2022'!G23-'04 - 2022'!G22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3</v>
      </c>
      <c r="D18" s="14">
        <v>2022</v>
      </c>
      <c r="E18" s="16">
        <f>'04 - 2022'!B24-'04 - 2022'!B23</f>
        <v>0</v>
      </c>
      <c r="F18" s="16">
        <f>'04 - 2022'!C24-'04 - 2022'!C23</f>
        <v>0</v>
      </c>
      <c r="G18" s="14">
        <v>0.11799999999999999</v>
      </c>
      <c r="H18" s="16">
        <f>'04 - 2022'!E24-'04 - 2022'!E23</f>
        <v>0</v>
      </c>
      <c r="I18" s="16">
        <f>'04 - 2022'!F24-'04 - 2022'!F23</f>
        <v>0</v>
      </c>
      <c r="J18" s="16">
        <f>'04 - 2022'!G24-'04 - 2022'!G23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3</v>
      </c>
      <c r="D19" s="14">
        <v>2022</v>
      </c>
      <c r="E19" s="16">
        <f>'04 - 2022'!B25-'04 - 2022'!B24</f>
        <v>0</v>
      </c>
      <c r="F19" s="16">
        <f>'04 - 2022'!C25-'04 - 2022'!C24</f>
        <v>0</v>
      </c>
      <c r="G19" s="14">
        <v>0.11799999999999999</v>
      </c>
      <c r="H19" s="16">
        <f>'04 - 2022'!E25-'04 - 2022'!E24</f>
        <v>0</v>
      </c>
      <c r="I19" s="16">
        <f>'04 - 2022'!F25-'04 - 2022'!F24</f>
        <v>0</v>
      </c>
      <c r="J19" s="16">
        <f>'04 - 2022'!G25-'04 - 2022'!G24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3</v>
      </c>
      <c r="D20" s="14">
        <v>2022</v>
      </c>
      <c r="E20" s="16">
        <f>'04 - 2022'!B26-'04 - 2022'!B25</f>
        <v>0</v>
      </c>
      <c r="F20" s="16">
        <f>'04 - 2022'!C26-'04 - 2022'!C25</f>
        <v>0</v>
      </c>
      <c r="G20" s="14">
        <v>0.11799999999999999</v>
      </c>
      <c r="H20" s="16">
        <f>'04 - 2022'!E26-'04 - 2022'!E25</f>
        <v>0</v>
      </c>
      <c r="I20" s="16">
        <f>'04 - 2022'!F26-'04 - 2022'!F25</f>
        <v>0</v>
      </c>
      <c r="J20" s="16">
        <f>'04 - 2022'!G26-'04 - 2022'!G25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3</v>
      </c>
      <c r="D21" s="14">
        <v>2022</v>
      </c>
      <c r="E21" s="16">
        <f>'04 - 2022'!B27-'04 - 2022'!B26</f>
        <v>0</v>
      </c>
      <c r="F21" s="16">
        <f>'04 - 2022'!C27-'04 - 2022'!C26</f>
        <v>0</v>
      </c>
      <c r="G21" s="14">
        <v>0.11799999999999999</v>
      </c>
      <c r="H21" s="16">
        <f>'04 - 2022'!E27-'04 - 2022'!E26</f>
        <v>0</v>
      </c>
      <c r="I21" s="16">
        <f>'04 - 2022'!F27-'04 - 2022'!F26</f>
        <v>0</v>
      </c>
      <c r="J21" s="16">
        <f>'04 - 2022'!G27-'04 - 2022'!G26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3</v>
      </c>
      <c r="D22" s="14">
        <v>2022</v>
      </c>
      <c r="E22" s="16">
        <f>'04 - 2022'!B28-'04 - 2022'!B27</f>
        <v>0</v>
      </c>
      <c r="F22" s="16">
        <f>'04 - 2022'!C28-'04 - 2022'!C27</f>
        <v>0</v>
      </c>
      <c r="G22" s="14">
        <v>0.11799999999999999</v>
      </c>
      <c r="H22" s="16">
        <f>'04 - 2022'!E28-'04 - 2022'!E27</f>
        <v>0</v>
      </c>
      <c r="I22" s="16">
        <f>'04 - 2022'!F28-'04 - 2022'!F27</f>
        <v>0</v>
      </c>
      <c r="J22" s="16">
        <f>'04 - 2022'!G28-'04 - 2022'!G27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3</v>
      </c>
      <c r="D23" s="14">
        <v>2022</v>
      </c>
      <c r="E23" s="16">
        <f>'04 - 2022'!B29-'04 - 2022'!B28</f>
        <v>0</v>
      </c>
      <c r="F23" s="16">
        <f>'04 - 2022'!C29-'04 - 2022'!C28</f>
        <v>0</v>
      </c>
      <c r="G23" s="14">
        <v>0.11799999999999999</v>
      </c>
      <c r="H23" s="16">
        <f>'04 - 2022'!E29-'04 - 2022'!E28</f>
        <v>0</v>
      </c>
      <c r="I23" s="16">
        <f>'04 - 2022'!F29-'04 - 2022'!F28</f>
        <v>0</v>
      </c>
      <c r="J23" s="16">
        <f>'04 - 2022'!G29-'04 - 2022'!G28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3</v>
      </c>
      <c r="D24" s="14">
        <v>2022</v>
      </c>
      <c r="E24" s="16">
        <f>'04 - 2022'!B30-'04 - 2022'!B29</f>
        <v>0</v>
      </c>
      <c r="F24" s="16">
        <f>'04 - 2022'!C30-'04 - 2022'!C29</f>
        <v>0</v>
      </c>
      <c r="G24" s="14">
        <v>0.11799999999999999</v>
      </c>
      <c r="H24" s="16">
        <f>'04 - 2022'!E30-'04 - 2022'!E29</f>
        <v>0</v>
      </c>
      <c r="I24" s="16">
        <f>'04 - 2022'!F30-'04 - 2022'!F29</f>
        <v>0</v>
      </c>
      <c r="J24" s="16">
        <f>'04 - 2022'!G30-'04 - 2022'!G29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3</v>
      </c>
      <c r="D25" s="14">
        <v>2022</v>
      </c>
      <c r="E25" s="16">
        <f>'04 - 2022'!B31-'04 - 2022'!B30</f>
        <v>0</v>
      </c>
      <c r="F25" s="16">
        <f>'04 - 2022'!C31-'04 - 2022'!C30</f>
        <v>0</v>
      </c>
      <c r="G25" s="14">
        <v>0.11799999999999999</v>
      </c>
      <c r="H25" s="16">
        <f>'04 - 2022'!E31-'04 - 2022'!E30</f>
        <v>0</v>
      </c>
      <c r="I25" s="16">
        <f>'04 - 2022'!F31-'04 - 2022'!F30</f>
        <v>0</v>
      </c>
      <c r="J25" s="16">
        <f>'04 - 2022'!G31-'04 - 2022'!G30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3</v>
      </c>
      <c r="D26" s="14">
        <v>2022</v>
      </c>
      <c r="E26" s="16">
        <f>'04 - 2022'!B32-'04 - 2022'!B31</f>
        <v>0</v>
      </c>
      <c r="F26" s="16">
        <f>'04 - 2022'!C32-'04 - 2022'!C31</f>
        <v>0</v>
      </c>
      <c r="G26" s="14">
        <v>0.11799999999999999</v>
      </c>
      <c r="H26" s="16">
        <f>'04 - 2022'!E32-'04 - 2022'!E31</f>
        <v>0</v>
      </c>
      <c r="I26" s="16">
        <f>'04 - 2022'!F32-'04 - 2022'!F31</f>
        <v>0</v>
      </c>
      <c r="J26" s="16">
        <f>'04 - 2022'!G32-'04 - 2022'!G31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3</v>
      </c>
      <c r="D27" s="14">
        <v>2022</v>
      </c>
      <c r="E27" s="16">
        <f>'04 - 2022'!B33-'04 - 2022'!B32</f>
        <v>0</v>
      </c>
      <c r="F27" s="16">
        <f>'04 - 2022'!C33-'04 - 2022'!C32</f>
        <v>0</v>
      </c>
      <c r="G27" s="14">
        <v>0.11799999999999999</v>
      </c>
      <c r="H27" s="16">
        <f>'04 - 2022'!E33-'04 - 2022'!E32</f>
        <v>0</v>
      </c>
      <c r="I27" s="16">
        <f>'04 - 2022'!F33-'04 - 2022'!F32</f>
        <v>0</v>
      </c>
      <c r="J27" s="16">
        <f>'04 - 2022'!G33-'04 - 2022'!G32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3</v>
      </c>
      <c r="D28" s="14">
        <v>2022</v>
      </c>
      <c r="E28" s="16">
        <f>'04 - 2022'!B34-'04 - 2022'!B33</f>
        <v>0</v>
      </c>
      <c r="F28" s="16">
        <f>'04 - 2022'!C34-'04 - 2022'!C33</f>
        <v>0</v>
      </c>
      <c r="G28" s="14">
        <v>0.11799999999999999</v>
      </c>
      <c r="H28" s="16">
        <f>'04 - 2022'!E34-'04 - 2022'!E33</f>
        <v>0</v>
      </c>
      <c r="I28" s="16">
        <f>'04 - 2022'!F34-'04 - 2022'!F33</f>
        <v>0</v>
      </c>
      <c r="J28" s="16">
        <f>'04 - 2022'!G34-'04 - 2022'!G33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3</v>
      </c>
      <c r="D29" s="14">
        <v>2022</v>
      </c>
      <c r="E29" s="16">
        <f>'04 - 2022'!B35-'04 - 2022'!B34</f>
        <v>0</v>
      </c>
      <c r="F29" s="16">
        <f>'04 - 2022'!C35-'04 - 2022'!C34</f>
        <v>0</v>
      </c>
      <c r="G29" s="14">
        <v>0.11799999999999999</v>
      </c>
      <c r="H29" s="16">
        <f>'04 - 2022'!E35-'04 - 2022'!E34</f>
        <v>0</v>
      </c>
      <c r="I29" s="16">
        <f>'04 - 2022'!F35-'04 - 2022'!F34</f>
        <v>0</v>
      </c>
      <c r="J29" s="16">
        <f>'04 - 2022'!G35-'04 - 2022'!G34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3</v>
      </c>
      <c r="D30" s="14">
        <v>2022</v>
      </c>
      <c r="E30" s="16">
        <f>'04 - 2022'!B36-'04 - 2022'!B35</f>
        <v>0</v>
      </c>
      <c r="F30" s="16">
        <f>'04 - 2022'!C36-'04 - 2022'!C35</f>
        <v>0</v>
      </c>
      <c r="G30" s="14">
        <v>0.11799999999999999</v>
      </c>
      <c r="H30" s="16">
        <f>'04 - 2022'!E36-'04 - 2022'!E35</f>
        <v>0</v>
      </c>
      <c r="I30" s="16">
        <f>'04 - 2022'!F36-'04 - 2022'!F35</f>
        <v>0</v>
      </c>
      <c r="J30" s="16">
        <f>'04 - 2022'!G36-'04 - 2022'!G35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3</v>
      </c>
      <c r="D31" s="14">
        <v>2022</v>
      </c>
      <c r="E31" s="16">
        <f>'04 - 2022'!B37-'04 - 2022'!B36</f>
        <v>0</v>
      </c>
      <c r="F31" s="16">
        <f>'04 - 2022'!C37-'04 - 2022'!C36</f>
        <v>0</v>
      </c>
      <c r="G31" s="14">
        <v>0.11799999999999999</v>
      </c>
      <c r="H31" s="16">
        <f>'04 - 2022'!E37-'04 - 2022'!E36</f>
        <v>0</v>
      </c>
      <c r="I31" s="16">
        <f>'04 - 2022'!F37-'04 - 2022'!F36</f>
        <v>0</v>
      </c>
      <c r="J31" s="16">
        <f>'04 - 2022'!G37-'04 - 2022'!G36</f>
        <v>0</v>
      </c>
      <c r="K31" s="14">
        <v>0.74</v>
      </c>
      <c r="L31" s="16"/>
    </row>
    <row r="32" spans="1:13" x14ac:dyDescent="0.25">
      <c r="A32" s="14" t="s">
        <v>27</v>
      </c>
      <c r="B32" s="14">
        <f t="shared" si="0"/>
        <v>31</v>
      </c>
      <c r="C32" s="14">
        <v>3</v>
      </c>
      <c r="D32" s="14">
        <v>2022</v>
      </c>
      <c r="E32" s="16">
        <v>0</v>
      </c>
      <c r="F32" s="16">
        <v>0</v>
      </c>
      <c r="G32" s="14">
        <v>0.11799999999999999</v>
      </c>
      <c r="H32" s="16">
        <v>0</v>
      </c>
      <c r="I32" s="16">
        <v>0</v>
      </c>
      <c r="J32" s="16"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G28" sqref="G28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39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62" t="s">
        <v>2</v>
      </c>
      <c r="K5" s="40"/>
    </row>
    <row r="6" spans="1:17" ht="12" customHeight="1" x14ac:dyDescent="0.25">
      <c r="A6" s="64" t="s">
        <v>3</v>
      </c>
      <c r="B6" s="65" t="s">
        <v>33</v>
      </c>
      <c r="C6" s="66" t="s">
        <v>34</v>
      </c>
      <c r="D6" s="66" t="s">
        <v>4</v>
      </c>
      <c r="E6" s="66" t="s">
        <v>5</v>
      </c>
      <c r="F6" s="66" t="s">
        <v>6</v>
      </c>
      <c r="G6" s="67" t="s">
        <v>7</v>
      </c>
      <c r="H6" s="66" t="s">
        <v>28</v>
      </c>
      <c r="I6" s="66" t="s">
        <v>29</v>
      </c>
      <c r="J6" s="66" t="s">
        <v>8</v>
      </c>
      <c r="K6" s="41" t="s">
        <v>31</v>
      </c>
      <c r="L6" s="68" t="s">
        <v>32</v>
      </c>
    </row>
    <row r="7" spans="1:17" s="12" customFormat="1" ht="12.95" customHeight="1" thickBot="1" x14ac:dyDescent="0.3">
      <c r="A7" s="69">
        <v>44286</v>
      </c>
      <c r="B7" s="70">
        <v>887019</v>
      </c>
      <c r="C7" s="71">
        <v>573506</v>
      </c>
      <c r="D7" s="72">
        <v>0.75</v>
      </c>
      <c r="E7" s="73">
        <v>384.24</v>
      </c>
      <c r="F7" s="74">
        <v>1886.87</v>
      </c>
      <c r="G7" s="74">
        <v>40166.97</v>
      </c>
      <c r="H7" s="70">
        <v>14528</v>
      </c>
      <c r="I7" s="70">
        <v>152554</v>
      </c>
      <c r="J7" s="70">
        <v>54402221</v>
      </c>
      <c r="K7" s="75">
        <v>4000</v>
      </c>
      <c r="L7" s="76"/>
      <c r="M7" s="17"/>
    </row>
    <row r="8" spans="1:17" s="28" customFormat="1" ht="12.95" customHeight="1" thickTop="1" x14ac:dyDescent="0.25">
      <c r="A8" s="77">
        <f>A7+1</f>
        <v>44287</v>
      </c>
      <c r="B8" s="78">
        <v>890858</v>
      </c>
      <c r="C8" s="78">
        <v>579185</v>
      </c>
      <c r="D8" s="79">
        <v>0.65</v>
      </c>
      <c r="E8" s="80">
        <v>410.33</v>
      </c>
      <c r="F8" s="56">
        <v>1894.12</v>
      </c>
      <c r="G8" s="78">
        <v>40211.1</v>
      </c>
      <c r="H8" s="78">
        <v>14528</v>
      </c>
      <c r="I8" s="78">
        <v>152682</v>
      </c>
      <c r="J8" s="78">
        <v>54422690</v>
      </c>
      <c r="K8" s="81"/>
      <c r="L8" s="82"/>
      <c r="M8" s="83"/>
    </row>
    <row r="9" spans="1:17" s="28" customFormat="1" ht="12.95" customHeight="1" x14ac:dyDescent="0.25">
      <c r="A9" s="77">
        <f t="shared" ref="A9:A37" si="0">A8+1</f>
        <v>44288</v>
      </c>
      <c r="B9" s="34">
        <v>894622</v>
      </c>
      <c r="C9" s="35">
        <v>585063</v>
      </c>
      <c r="D9" s="57">
        <v>0.57999999999999996</v>
      </c>
      <c r="E9" s="54">
        <v>434.76</v>
      </c>
      <c r="F9" s="26">
        <v>1902.56</v>
      </c>
      <c r="G9" s="26">
        <v>40255.19</v>
      </c>
      <c r="H9" s="34">
        <v>14528</v>
      </c>
      <c r="I9" s="36">
        <v>152800</v>
      </c>
      <c r="J9" s="36">
        <v>54442116</v>
      </c>
      <c r="K9" s="37"/>
      <c r="L9" s="84"/>
      <c r="M9" s="83"/>
    </row>
    <row r="10" spans="1:17" s="28" customFormat="1" ht="12.95" customHeight="1" x14ac:dyDescent="0.25">
      <c r="A10" s="77">
        <f t="shared" si="0"/>
        <v>44289</v>
      </c>
      <c r="B10" s="36">
        <v>898176</v>
      </c>
      <c r="C10" s="36">
        <v>590589</v>
      </c>
      <c r="D10" s="57">
        <v>0.48</v>
      </c>
      <c r="E10" s="54">
        <v>461</v>
      </c>
      <c r="F10" s="26">
        <v>1909.42</v>
      </c>
      <c r="G10" s="26">
        <v>40297.279999999999</v>
      </c>
      <c r="H10" s="34">
        <v>14528</v>
      </c>
      <c r="I10" s="36">
        <v>152906</v>
      </c>
      <c r="J10" s="58">
        <v>54462455</v>
      </c>
      <c r="K10" s="37"/>
      <c r="L10" s="84"/>
      <c r="M10" s="83"/>
    </row>
    <row r="11" spans="1:17" s="28" customFormat="1" ht="12.95" customHeight="1" x14ac:dyDescent="0.25">
      <c r="A11" s="77">
        <f t="shared" si="0"/>
        <v>44290</v>
      </c>
      <c r="B11" s="36">
        <v>901725</v>
      </c>
      <c r="C11" s="36">
        <v>596031</v>
      </c>
      <c r="D11" s="57">
        <v>0.4</v>
      </c>
      <c r="E11" s="54">
        <v>479.55</v>
      </c>
      <c r="F11" s="26">
        <v>1916.37</v>
      </c>
      <c r="G11" s="26">
        <v>40332.19</v>
      </c>
      <c r="H11" s="34">
        <v>14528</v>
      </c>
      <c r="I11" s="36">
        <v>152990</v>
      </c>
      <c r="J11" s="36">
        <v>54482209</v>
      </c>
      <c r="K11" s="37"/>
      <c r="L11" s="84"/>
      <c r="M11" s="83"/>
    </row>
    <row r="12" spans="1:17" s="28" customFormat="1" ht="12.95" customHeight="1" x14ac:dyDescent="0.25">
      <c r="A12" s="77">
        <f t="shared" si="0"/>
        <v>44291</v>
      </c>
      <c r="B12" s="34"/>
      <c r="C12" s="34"/>
      <c r="D12" s="57"/>
      <c r="E12" s="85"/>
      <c r="F12" s="34"/>
      <c r="G12" s="34"/>
      <c r="H12" s="34"/>
      <c r="I12" s="34"/>
      <c r="J12" s="34"/>
      <c r="K12" s="37"/>
      <c r="L12" s="84"/>
      <c r="M12" s="83"/>
      <c r="N12" s="27"/>
    </row>
    <row r="13" spans="1:17" s="28" customFormat="1" ht="12.95" customHeight="1" x14ac:dyDescent="0.25">
      <c r="A13" s="77">
        <f t="shared" si="0"/>
        <v>44292</v>
      </c>
      <c r="B13" s="46"/>
      <c r="C13" s="35"/>
      <c r="D13" s="57"/>
      <c r="E13" s="54"/>
      <c r="F13" s="26"/>
      <c r="G13" s="26"/>
      <c r="H13" s="36"/>
      <c r="I13" s="35"/>
      <c r="J13" s="35"/>
      <c r="K13" s="37"/>
      <c r="L13" s="84"/>
      <c r="M13" s="83"/>
      <c r="N13" s="29"/>
      <c r="O13" s="29"/>
      <c r="P13" s="29"/>
      <c r="Q13" s="29"/>
    </row>
    <row r="14" spans="1:17" s="28" customFormat="1" ht="12.95" customHeight="1" x14ac:dyDescent="0.25">
      <c r="A14" s="77">
        <f t="shared" si="0"/>
        <v>44293</v>
      </c>
      <c r="B14" s="36"/>
      <c r="C14" s="36"/>
      <c r="D14" s="57"/>
      <c r="E14" s="54"/>
      <c r="F14" s="26"/>
      <c r="G14" s="35"/>
      <c r="H14" s="36"/>
      <c r="I14" s="36"/>
      <c r="J14" s="36"/>
      <c r="K14" s="37"/>
      <c r="L14" s="84"/>
      <c r="M14" s="83"/>
      <c r="N14" s="29"/>
      <c r="O14" s="29"/>
      <c r="P14" s="29"/>
      <c r="Q14" s="29"/>
    </row>
    <row r="15" spans="1:17" s="28" customFormat="1" ht="12.95" customHeight="1" x14ac:dyDescent="0.25">
      <c r="A15" s="77">
        <f t="shared" si="0"/>
        <v>44294</v>
      </c>
      <c r="B15" s="36"/>
      <c r="C15" s="36"/>
      <c r="D15" s="57"/>
      <c r="E15" s="54"/>
      <c r="F15" s="26"/>
      <c r="G15" s="35"/>
      <c r="H15" s="36"/>
      <c r="I15" s="36"/>
      <c r="J15" s="36"/>
      <c r="K15" s="37"/>
      <c r="L15" s="84"/>
      <c r="M15" s="83"/>
      <c r="N15" s="29"/>
      <c r="O15" s="29"/>
      <c r="P15" s="29"/>
      <c r="Q15" s="29"/>
    </row>
    <row r="16" spans="1:17" s="28" customFormat="1" ht="12.95" customHeight="1" x14ac:dyDescent="0.25">
      <c r="A16" s="77">
        <f t="shared" si="0"/>
        <v>44295</v>
      </c>
      <c r="B16" s="86"/>
      <c r="C16" s="36"/>
      <c r="D16" s="57"/>
      <c r="E16" s="54"/>
      <c r="F16" s="26"/>
      <c r="G16" s="35"/>
      <c r="H16" s="36"/>
      <c r="I16" s="36"/>
      <c r="J16" s="36"/>
      <c r="K16" s="37"/>
      <c r="L16" s="84"/>
      <c r="M16" s="83"/>
      <c r="N16" s="29"/>
      <c r="O16" s="29"/>
      <c r="P16" s="29"/>
      <c r="Q16" s="29"/>
    </row>
    <row r="17" spans="1:19" s="28" customFormat="1" ht="12.95" customHeight="1" x14ac:dyDescent="0.25">
      <c r="A17" s="77">
        <f t="shared" si="0"/>
        <v>44296</v>
      </c>
      <c r="B17" s="35"/>
      <c r="C17" s="35"/>
      <c r="D17" s="59"/>
      <c r="E17" s="54"/>
      <c r="F17" s="26"/>
      <c r="G17" s="35"/>
      <c r="H17" s="36"/>
      <c r="I17" s="35"/>
      <c r="J17" s="35"/>
      <c r="K17" s="37"/>
      <c r="L17" s="84"/>
      <c r="M17" s="83"/>
      <c r="N17" s="29"/>
      <c r="O17" s="29"/>
      <c r="P17" s="29"/>
      <c r="Q17" s="29"/>
    </row>
    <row r="18" spans="1:19" s="28" customFormat="1" ht="12.95" customHeight="1" x14ac:dyDescent="0.25">
      <c r="A18" s="77">
        <f t="shared" si="0"/>
        <v>44297</v>
      </c>
      <c r="B18" s="36"/>
      <c r="C18" s="36"/>
      <c r="D18" s="57"/>
      <c r="E18" s="54"/>
      <c r="F18" s="26"/>
      <c r="G18" s="35"/>
      <c r="H18" s="36"/>
      <c r="I18" s="36"/>
      <c r="J18" s="36"/>
      <c r="K18" s="37"/>
      <c r="L18" s="84"/>
      <c r="M18" s="83"/>
      <c r="N18" s="29"/>
      <c r="O18" s="30"/>
      <c r="P18" s="29"/>
      <c r="Q18" s="29"/>
    </row>
    <row r="19" spans="1:19" s="28" customFormat="1" ht="12.95" customHeight="1" x14ac:dyDescent="0.25">
      <c r="A19" s="77">
        <f t="shared" si="0"/>
        <v>44298</v>
      </c>
      <c r="B19" s="47"/>
      <c r="C19" s="47"/>
      <c r="D19" s="57"/>
      <c r="E19" s="60"/>
      <c r="F19" s="26"/>
      <c r="G19" s="48"/>
      <c r="H19" s="36"/>
      <c r="I19" s="47"/>
      <c r="J19" s="47"/>
      <c r="K19" s="37"/>
      <c r="L19" s="84"/>
      <c r="M19" s="83"/>
      <c r="N19" s="29"/>
      <c r="O19" s="30"/>
      <c r="P19" s="29"/>
      <c r="Q19" s="29"/>
    </row>
    <row r="20" spans="1:19" s="28" customFormat="1" ht="12.95" customHeight="1" x14ac:dyDescent="0.25">
      <c r="A20" s="77">
        <f t="shared" si="0"/>
        <v>44299</v>
      </c>
      <c r="B20" s="47"/>
      <c r="C20" s="47"/>
      <c r="D20" s="57"/>
      <c r="E20" s="60"/>
      <c r="F20" s="26"/>
      <c r="G20" s="48"/>
      <c r="H20" s="36"/>
      <c r="I20" s="47"/>
      <c r="J20" s="47"/>
      <c r="K20" s="37"/>
      <c r="L20" s="84"/>
      <c r="M20" s="83"/>
      <c r="N20" s="31"/>
      <c r="O20" s="29"/>
      <c r="P20" s="29"/>
      <c r="Q20" s="29"/>
    </row>
    <row r="21" spans="1:19" s="28" customFormat="1" ht="12.95" customHeight="1" x14ac:dyDescent="0.25">
      <c r="A21" s="77">
        <f t="shared" si="0"/>
        <v>44300</v>
      </c>
      <c r="B21" s="47"/>
      <c r="C21" s="47"/>
      <c r="D21" s="57"/>
      <c r="E21" s="60"/>
      <c r="F21" s="26"/>
      <c r="G21" s="48"/>
      <c r="H21" s="36"/>
      <c r="I21" s="47"/>
      <c r="J21" s="47"/>
      <c r="K21" s="37"/>
      <c r="L21" s="84"/>
      <c r="M21" s="83"/>
      <c r="N21" s="31"/>
      <c r="O21" s="31"/>
      <c r="P21" s="32"/>
      <c r="Q21" s="32"/>
      <c r="S21" s="27"/>
    </row>
    <row r="22" spans="1:19" s="28" customFormat="1" ht="12.95" customHeight="1" x14ac:dyDescent="0.25">
      <c r="A22" s="77">
        <f t="shared" si="0"/>
        <v>44301</v>
      </c>
      <c r="B22" s="34"/>
      <c r="C22" s="86"/>
      <c r="D22" s="57"/>
      <c r="E22" s="60"/>
      <c r="F22" s="26"/>
      <c r="G22" s="48"/>
      <c r="H22" s="36"/>
      <c r="I22" s="48"/>
      <c r="J22" s="47"/>
      <c r="K22" s="37"/>
      <c r="L22" s="84"/>
      <c r="M22" s="83"/>
      <c r="N22" s="31"/>
      <c r="O22" s="31"/>
      <c r="P22" s="29"/>
      <c r="Q22" s="29"/>
    </row>
    <row r="23" spans="1:19" s="28" customFormat="1" ht="12.95" customHeight="1" x14ac:dyDescent="0.25">
      <c r="A23" s="77">
        <f t="shared" si="0"/>
        <v>44302</v>
      </c>
      <c r="B23" s="47"/>
      <c r="C23" s="47"/>
      <c r="D23" s="57"/>
      <c r="E23" s="60"/>
      <c r="F23" s="26"/>
      <c r="G23" s="48"/>
      <c r="H23" s="36"/>
      <c r="I23" s="47"/>
      <c r="J23" s="47"/>
      <c r="K23" s="37"/>
      <c r="L23" s="84"/>
      <c r="M23" s="83"/>
      <c r="N23" s="31"/>
      <c r="O23" s="29"/>
      <c r="P23" s="29"/>
      <c r="Q23" s="29"/>
    </row>
    <row r="24" spans="1:19" s="28" customFormat="1" ht="12.95" customHeight="1" x14ac:dyDescent="0.25">
      <c r="A24" s="77">
        <f t="shared" si="0"/>
        <v>44303</v>
      </c>
      <c r="B24" s="47"/>
      <c r="C24" s="47"/>
      <c r="D24" s="57"/>
      <c r="E24" s="54"/>
      <c r="F24" s="26"/>
      <c r="G24" s="48"/>
      <c r="H24" s="36"/>
      <c r="I24" s="47"/>
      <c r="J24" s="47"/>
      <c r="K24" s="37"/>
      <c r="L24" s="87"/>
      <c r="M24" s="83"/>
      <c r="N24" s="31"/>
      <c r="O24" s="31"/>
      <c r="P24" s="29"/>
      <c r="Q24" s="29"/>
    </row>
    <row r="25" spans="1:19" s="28" customFormat="1" ht="12.95" customHeight="1" x14ac:dyDescent="0.25">
      <c r="A25" s="77">
        <f t="shared" si="0"/>
        <v>44304</v>
      </c>
      <c r="B25" s="48"/>
      <c r="C25" s="48"/>
      <c r="D25" s="59"/>
      <c r="E25" s="60"/>
      <c r="F25" s="26"/>
      <c r="G25" s="48"/>
      <c r="H25" s="36"/>
      <c r="I25" s="47"/>
      <c r="J25" s="47"/>
      <c r="K25" s="38"/>
      <c r="L25" s="87"/>
      <c r="M25" s="83"/>
      <c r="N25" s="31"/>
      <c r="O25" s="31"/>
      <c r="P25" s="29"/>
      <c r="Q25" s="29"/>
    </row>
    <row r="26" spans="1:19" s="28" customFormat="1" ht="12.95" customHeight="1" x14ac:dyDescent="0.25">
      <c r="A26" s="77">
        <f t="shared" si="0"/>
        <v>44305</v>
      </c>
      <c r="B26" s="48"/>
      <c r="C26" s="48"/>
      <c r="D26" s="59"/>
      <c r="E26" s="60"/>
      <c r="F26" s="26"/>
      <c r="G26" s="48"/>
      <c r="H26" s="36"/>
      <c r="I26" s="47"/>
      <c r="J26" s="47"/>
      <c r="K26" s="37"/>
      <c r="L26" s="87"/>
      <c r="M26" s="83"/>
      <c r="N26" s="31"/>
      <c r="O26" s="31"/>
      <c r="P26" s="29"/>
      <c r="Q26" s="29"/>
    </row>
    <row r="27" spans="1:19" s="28" customFormat="1" ht="12.95" customHeight="1" x14ac:dyDescent="0.25">
      <c r="A27" s="77">
        <f t="shared" si="0"/>
        <v>44306</v>
      </c>
      <c r="B27" s="47"/>
      <c r="C27" s="47"/>
      <c r="D27" s="57"/>
      <c r="E27" s="54"/>
      <c r="F27" s="26"/>
      <c r="G27" s="48"/>
      <c r="H27" s="36"/>
      <c r="I27" s="47"/>
      <c r="J27" s="47"/>
      <c r="K27" s="37"/>
      <c r="L27" s="84"/>
      <c r="M27" s="83"/>
    </row>
    <row r="28" spans="1:19" s="28" customFormat="1" ht="12.95" customHeight="1" x14ac:dyDescent="0.25">
      <c r="A28" s="77">
        <f t="shared" si="0"/>
        <v>44307</v>
      </c>
      <c r="B28" s="49"/>
      <c r="C28" s="47"/>
      <c r="D28" s="57"/>
      <c r="E28" s="60"/>
      <c r="F28" s="26"/>
      <c r="G28" s="48"/>
      <c r="H28" s="36"/>
      <c r="I28" s="47"/>
      <c r="J28" s="47"/>
      <c r="K28" s="37"/>
      <c r="L28" s="84"/>
      <c r="M28" s="83"/>
    </row>
    <row r="29" spans="1:19" s="28" customFormat="1" ht="12.95" customHeight="1" x14ac:dyDescent="0.25">
      <c r="A29" s="77">
        <f t="shared" si="0"/>
        <v>44308</v>
      </c>
      <c r="B29" s="47"/>
      <c r="C29" s="47"/>
      <c r="D29" s="57"/>
      <c r="E29" s="60"/>
      <c r="F29" s="26"/>
      <c r="G29" s="48"/>
      <c r="H29" s="36"/>
      <c r="I29" s="47"/>
      <c r="J29" s="47"/>
      <c r="K29" s="37"/>
      <c r="L29" s="84"/>
      <c r="M29" s="83"/>
      <c r="N29" s="27"/>
    </row>
    <row r="30" spans="1:19" s="28" customFormat="1" ht="12.95" customHeight="1" x14ac:dyDescent="0.25">
      <c r="A30" s="77">
        <f t="shared" si="0"/>
        <v>44309</v>
      </c>
      <c r="B30" s="47"/>
      <c r="C30" s="47"/>
      <c r="D30" s="57"/>
      <c r="E30" s="60"/>
      <c r="F30" s="26"/>
      <c r="G30" s="48"/>
      <c r="H30" s="36"/>
      <c r="I30" s="47"/>
      <c r="J30" s="47"/>
      <c r="K30" s="37"/>
      <c r="L30" s="84"/>
      <c r="M30" s="83"/>
    </row>
    <row r="31" spans="1:19" s="28" customFormat="1" ht="12.95" customHeight="1" x14ac:dyDescent="0.25">
      <c r="A31" s="77">
        <f t="shared" si="0"/>
        <v>44310</v>
      </c>
      <c r="B31" s="47"/>
      <c r="C31" s="47"/>
      <c r="D31" s="57"/>
      <c r="E31" s="60"/>
      <c r="F31" s="26"/>
      <c r="G31" s="48"/>
      <c r="H31" s="36"/>
      <c r="I31" s="47"/>
      <c r="J31" s="47"/>
      <c r="K31" s="37"/>
      <c r="L31" s="88"/>
      <c r="M31" s="83"/>
      <c r="N31" s="27"/>
      <c r="O31" s="27"/>
    </row>
    <row r="32" spans="1:19" s="28" customFormat="1" ht="12.95" customHeight="1" x14ac:dyDescent="0.25">
      <c r="A32" s="77">
        <f t="shared" si="0"/>
        <v>44311</v>
      </c>
      <c r="B32" s="47"/>
      <c r="C32" s="47"/>
      <c r="D32" s="57"/>
      <c r="E32" s="60"/>
      <c r="F32" s="26"/>
      <c r="G32" s="48"/>
      <c r="H32" s="36"/>
      <c r="I32" s="47"/>
      <c r="J32" s="47"/>
      <c r="K32" s="37"/>
      <c r="L32" s="88"/>
      <c r="M32" s="83"/>
      <c r="N32" s="27"/>
      <c r="O32" s="27"/>
    </row>
    <row r="33" spans="1:16" s="28" customFormat="1" ht="12.95" customHeight="1" x14ac:dyDescent="0.25">
      <c r="A33" s="77">
        <f t="shared" si="0"/>
        <v>44312</v>
      </c>
      <c r="B33" s="47"/>
      <c r="C33" s="47"/>
      <c r="D33" s="57"/>
      <c r="E33" s="60"/>
      <c r="F33" s="26"/>
      <c r="G33" s="48"/>
      <c r="H33" s="36"/>
      <c r="I33" s="47"/>
      <c r="J33" s="47"/>
      <c r="K33" s="37"/>
      <c r="L33" s="84"/>
      <c r="M33" s="89"/>
      <c r="N33" s="27"/>
      <c r="O33" s="27"/>
    </row>
    <row r="34" spans="1:16" s="28" customFormat="1" ht="12.95" customHeight="1" x14ac:dyDescent="0.25">
      <c r="A34" s="77">
        <f t="shared" si="0"/>
        <v>44313</v>
      </c>
      <c r="B34" s="48"/>
      <c r="C34" s="50"/>
      <c r="D34" s="59"/>
      <c r="E34" s="60"/>
      <c r="F34" s="26"/>
      <c r="G34" s="48"/>
      <c r="H34" s="36"/>
      <c r="I34" s="48"/>
      <c r="J34" s="48"/>
      <c r="K34" s="37"/>
      <c r="L34" s="84"/>
      <c r="M34" s="89"/>
      <c r="N34" s="27"/>
      <c r="P34" s="27"/>
    </row>
    <row r="35" spans="1:16" s="28" customFormat="1" ht="12.95" customHeight="1" x14ac:dyDescent="0.25">
      <c r="A35" s="77">
        <f>A34+1</f>
        <v>44314</v>
      </c>
      <c r="B35" s="36"/>
      <c r="C35" s="55"/>
      <c r="D35" s="57"/>
      <c r="E35" s="54"/>
      <c r="F35" s="35"/>
      <c r="G35" s="35"/>
      <c r="H35" s="36"/>
      <c r="I35" s="36"/>
      <c r="J35" s="36"/>
      <c r="K35" s="37"/>
      <c r="L35" s="84"/>
      <c r="M35" s="83"/>
      <c r="N35" s="27"/>
      <c r="O35" s="27"/>
    </row>
    <row r="36" spans="1:16" s="28" customFormat="1" ht="12.95" customHeight="1" x14ac:dyDescent="0.25">
      <c r="A36" s="42">
        <f t="shared" si="0"/>
        <v>44315</v>
      </c>
      <c r="B36" s="36"/>
      <c r="C36" s="55"/>
      <c r="D36" s="57"/>
      <c r="E36" s="54"/>
      <c r="F36" s="35"/>
      <c r="G36" s="35"/>
      <c r="H36" s="36"/>
      <c r="I36" s="36"/>
      <c r="J36" s="36"/>
      <c r="K36" s="37"/>
      <c r="L36" s="84"/>
      <c r="M36" s="83"/>
      <c r="N36" s="27"/>
      <c r="O36" s="27"/>
    </row>
    <row r="37" spans="1:16" s="28" customFormat="1" ht="12.95" customHeight="1" thickBot="1" x14ac:dyDescent="0.3">
      <c r="A37" s="90">
        <f t="shared" si="0"/>
        <v>44316</v>
      </c>
      <c r="B37" s="51"/>
      <c r="C37" s="52"/>
      <c r="D37" s="63"/>
      <c r="E37" s="61"/>
      <c r="F37" s="53"/>
      <c r="G37" s="53"/>
      <c r="H37" s="51"/>
      <c r="I37" s="51"/>
      <c r="J37" s="51"/>
      <c r="K37" s="43"/>
      <c r="L37" s="91"/>
      <c r="M37" s="83"/>
      <c r="N37" s="27"/>
      <c r="O37" s="27"/>
    </row>
    <row r="38" spans="1:16" s="28" customFormat="1" ht="12.95" customHeight="1" x14ac:dyDescent="0.25">
      <c r="A38" s="44" t="s">
        <v>35</v>
      </c>
      <c r="B38" s="45">
        <f t="shared" ref="B38:J38" si="1">B37-B7</f>
        <v>-887019</v>
      </c>
      <c r="C38" s="45">
        <f t="shared" si="1"/>
        <v>-573506</v>
      </c>
      <c r="D38" s="45">
        <f t="shared" si="1"/>
        <v>-0.75</v>
      </c>
      <c r="E38" s="45">
        <f t="shared" si="1"/>
        <v>-384.24</v>
      </c>
      <c r="F38" s="45">
        <f t="shared" si="1"/>
        <v>-1886.87</v>
      </c>
      <c r="G38" s="45">
        <f t="shared" si="1"/>
        <v>-40166.97</v>
      </c>
      <c r="H38" s="45">
        <f t="shared" si="1"/>
        <v>-14528</v>
      </c>
      <c r="I38" s="45">
        <f t="shared" si="1"/>
        <v>-152554</v>
      </c>
      <c r="J38" s="45">
        <f t="shared" si="1"/>
        <v>-54402221</v>
      </c>
      <c r="K38" s="45">
        <f>SUM(K7:K37)</f>
        <v>4000</v>
      </c>
      <c r="L38" s="14"/>
      <c r="M38" s="14"/>
      <c r="N38" s="27"/>
      <c r="O38" s="27"/>
    </row>
    <row r="39" spans="1:16" s="33" customFormat="1" x14ac:dyDescent="0.25">
      <c r="A39" s="14"/>
      <c r="B39" s="14"/>
      <c r="C39" s="45"/>
      <c r="D39" s="14"/>
      <c r="E39" s="16"/>
      <c r="F39" s="16"/>
      <c r="G39" s="16"/>
      <c r="H39" s="13">
        <f>H38*219.969</f>
        <v>-3195709.6319999998</v>
      </c>
      <c r="I39" s="45">
        <f>I38*219.969</f>
        <v>-33557150.825999998</v>
      </c>
      <c r="J39" s="16"/>
      <c r="K39" s="14"/>
      <c r="L39" s="14"/>
      <c r="M39" s="14"/>
    </row>
    <row r="40" spans="1:16" s="33" customFormat="1" x14ac:dyDescent="0.25">
      <c r="A40" s="14"/>
      <c r="B40" s="14"/>
      <c r="C40" s="45"/>
      <c r="D40" s="14"/>
      <c r="E40" s="16"/>
      <c r="F40" s="16"/>
      <c r="G40" s="16"/>
      <c r="H40" s="13">
        <f>H39*219.969</f>
        <v>-702957052.04140794</v>
      </c>
      <c r="I40" s="45">
        <f>I39*219.969</f>
        <v>-7381532910.0443935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04 - 2022</vt:lpstr>
      <vt:lpstr>'04 - 2022'!Print_Area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2022-04-04T05:15:39Z</dcterms:modified>
</cp:coreProperties>
</file>