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AX11" i="10"/>
  <c r="AV11" i="10"/>
  <c r="AS11" i="10"/>
  <c r="AQ11" i="10"/>
  <c r="AR11" i="10" s="1"/>
  <c r="AO11" i="10"/>
  <c r="AC11" i="10"/>
  <c r="T11" i="10"/>
  <c r="H11" i="10"/>
  <c r="I11" i="10" s="1"/>
  <c r="E9" i="5" s="1"/>
  <c r="AX10" i="10"/>
  <c r="AV10" i="10"/>
  <c r="AS10" i="10"/>
  <c r="AQ10" i="10"/>
  <c r="AO10" i="10"/>
  <c r="AP10" i="10" s="1"/>
  <c r="AC10" i="10"/>
  <c r="AD10" i="10" s="1"/>
  <c r="T10" i="10"/>
  <c r="H10" i="10"/>
  <c r="I10" i="10" s="1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J12" i="9" s="1"/>
  <c r="G10" i="5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H14" i="8" s="1"/>
  <c r="I12" i="5" s="1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I13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V13" i="10"/>
  <c r="I9" i="10" l="1"/>
  <c r="E7" i="5" s="1"/>
  <c r="AW10" i="10"/>
  <c r="E8" i="5"/>
  <c r="AE10" i="10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AF10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W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W9" i="10" s="1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AF13" i="10" s="1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H35" i="8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V11" i="10"/>
  <c r="AE11" i="10"/>
  <c r="AW11" i="10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AE9" i="10"/>
  <c r="AF9" i="10" s="1"/>
  <c r="V10" i="10"/>
  <c r="W10" i="10" s="1"/>
  <c r="I15" i="10"/>
  <c r="E13" i="5" s="1"/>
  <c r="AW29" i="10" l="1"/>
  <c r="E27" i="5"/>
  <c r="AW16" i="10"/>
  <c r="AF11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W11" i="10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<sst xmlns="http://schemas.openxmlformats.org/spreadsheetml/2006/main" count="116" uniqueCount="58">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</sst>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5" sqref="M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12.28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12.28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12.28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12.28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0</v>
      </c>
      <c r="H6" s="3">
        <v>1.65</v>
      </c>
      <c r="I6" s="13">
        <f>Water!H8</f>
        <v>3</v>
      </c>
      <c r="J6" s="3">
        <v>12.28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-12807123.119999999</v>
      </c>
      <c r="F7" s="3">
        <v>0.62</v>
      </c>
      <c r="G7" s="13">
        <f>Gas!J9</f>
        <v>-1213549.5920839999</v>
      </c>
      <c r="H7" s="3">
        <v>1.65</v>
      </c>
      <c r="I7" s="13">
        <f>Water!H9</f>
        <v>-8938</v>
      </c>
      <c r="J7" s="3">
        <v>12.28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0</v>
      </c>
      <c r="F8" s="3">
        <v>0.62</v>
      </c>
      <c r="G8" s="13">
        <f>Gas!J10</f>
        <v>0</v>
      </c>
      <c r="H8" s="3">
        <v>1.65</v>
      </c>
      <c r="I8" s="13">
        <f>Water!H10</f>
        <v>0</v>
      </c>
      <c r="J8" s="3">
        <v>12.28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0</v>
      </c>
      <c r="F9" s="3">
        <v>0.62</v>
      </c>
      <c r="G9" s="13">
        <f>Gas!J11</f>
        <v>0</v>
      </c>
      <c r="H9" s="3">
        <v>1.65</v>
      </c>
      <c r="I9" s="13">
        <f>Water!H11</f>
        <v>0</v>
      </c>
      <c r="J9" s="3">
        <v>12.28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0</v>
      </c>
      <c r="F10" s="3">
        <v>0.62</v>
      </c>
      <c r="G10" s="13">
        <f>Gas!J12</f>
        <v>0</v>
      </c>
      <c r="H10" s="3">
        <v>1.65</v>
      </c>
      <c r="I10" s="13">
        <f>Water!H12</f>
        <v>0</v>
      </c>
      <c r="J10" s="3">
        <v>12.28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0</v>
      </c>
      <c r="F11" s="3">
        <v>0.62</v>
      </c>
      <c r="G11" s="13">
        <f>Gas!J13</f>
        <v>0</v>
      </c>
      <c r="H11" s="3">
        <v>1.65</v>
      </c>
      <c r="I11" s="13">
        <f>Water!H13</f>
        <v>0</v>
      </c>
      <c r="J11" s="3">
        <v>12.28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12.28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12.28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12.28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12.28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12.28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9" sqref="E9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/>
      <c r="F9" s="24">
        <v>1065</v>
      </c>
      <c r="G9" s="24">
        <f t="shared" si="0"/>
        <v>1065</v>
      </c>
      <c r="H9" s="25">
        <f t="shared" si="1"/>
        <v>-8938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/>
      <c r="F10" s="24">
        <v>1065</v>
      </c>
      <c r="G10" s="24">
        <f>E10+F10</f>
        <v>1065</v>
      </c>
      <c r="H10" s="25">
        <f t="shared" si="1"/>
        <v>0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/>
      <c r="F11" s="24">
        <v>1065</v>
      </c>
      <c r="G11" s="24">
        <f>E11+F11</f>
        <v>1065</v>
      </c>
      <c r="H11" s="25">
        <f t="shared" si="1"/>
        <v>0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0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9" sqref="F9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760637</v>
      </c>
      <c r="F8" s="24">
        <v>172062</v>
      </c>
      <c r="G8" s="24">
        <f t="shared" si="0"/>
        <v>932699</v>
      </c>
      <c r="H8" s="18">
        <v>1.3011159999999999</v>
      </c>
      <c r="I8" s="24">
        <f t="shared" si="1"/>
        <v>1213549.5920839999</v>
      </c>
      <c r="J8" s="25">
        <f t="shared" si="2"/>
        <v>0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/>
      <c r="F9" s="24"/>
      <c r="G9" s="24">
        <f t="shared" si="0"/>
        <v>0</v>
      </c>
      <c r="H9" s="18">
        <v>1.3011159999999999</v>
      </c>
      <c r="I9" s="24">
        <f t="shared" si="1"/>
        <v>0</v>
      </c>
      <c r="J9" s="25">
        <f t="shared" si="2"/>
        <v>-1213549.5920839999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/>
      <c r="F10" s="24"/>
      <c r="G10" s="24">
        <f>E10+F10</f>
        <v>0</v>
      </c>
      <c r="H10" s="18">
        <v>1.3011159999999999</v>
      </c>
      <c r="I10" s="24">
        <f>H10*G10</f>
        <v>0</v>
      </c>
      <c r="J10" s="25">
        <f t="shared" si="2"/>
        <v>0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/>
      <c r="F11" s="24"/>
      <c r="G11" s="24">
        <f>E11+F11</f>
        <v>0</v>
      </c>
      <c r="H11" s="18">
        <v>1.3011159999999999</v>
      </c>
      <c r="I11" s="24">
        <f t="shared" ref="I11:I34" si="3">H11*G11</f>
        <v>0</v>
      </c>
      <c r="J11" s="25">
        <f t="shared" si="2"/>
        <v>0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0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0</v>
      </c>
      <c r="M37" s="17">
        <f>+(L37*31)</f>
        <v>0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9" sqref="F9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/>
      <c r="G9" s="23">
        <v>2760</v>
      </c>
      <c r="H9" s="24">
        <f t="shared" si="19"/>
        <v>0</v>
      </c>
      <c r="I9" s="25">
        <f t="shared" si="11"/>
        <v>-12807123.119999999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-12807123.119999999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-12807123.119999999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0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0</v>
      </c>
      <c r="AW9" s="25">
        <f t="shared" si="10"/>
        <v>-12807123.119999999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/>
      <c r="G10" s="23">
        <v>2760</v>
      </c>
      <c r="H10" s="24">
        <f t="shared" si="19"/>
        <v>0</v>
      </c>
      <c r="I10" s="25">
        <f t="shared" si="11"/>
        <v>0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0</v>
      </c>
      <c r="W10" s="87" t="e">
        <f t="shared" si="2"/>
        <v>#DIV/0!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0</v>
      </c>
      <c r="AF10" s="87" t="e">
        <f>AD10/AE10</f>
        <v>#DIV/0!</v>
      </c>
      <c r="AG10" s="88">
        <v>0.15</v>
      </c>
      <c r="AI10" s="40">
        <v>44262</v>
      </c>
      <c r="AJ10" s="22">
        <f t="shared" si="14"/>
        <v>0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/>
      <c r="G11" s="23">
        <v>2760</v>
      </c>
      <c r="H11" s="24">
        <f>G11*F11</f>
        <v>0</v>
      </c>
      <c r="I11" s="25">
        <f t="shared" si="11"/>
        <v>0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0</v>
      </c>
      <c r="W11" s="87" t="e">
        <f t="shared" si="2"/>
        <v>#DIV/0!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0</v>
      </c>
      <c r="AF11" s="87" t="e">
        <f>AD11/AE11</f>
        <v>#DIV/0!</v>
      </c>
      <c r="AG11" s="88">
        <v>0.15</v>
      </c>
      <c r="AI11" s="40">
        <v>44263</v>
      </c>
      <c r="AJ11" s="22">
        <f t="shared" si="14"/>
        <v>0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1"/>
        <v>0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0</v>
      </c>
      <c r="W12" s="87" t="e">
        <f t="shared" si="2"/>
        <v>#DIV/0!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0</v>
      </c>
      <c r="AF12" s="87" t="e">
        <f>AD12/AE12</f>
        <v>#DIV/0!</v>
      </c>
      <c r="AG12" s="88">
        <v>0.15</v>
      </c>
      <c r="AI12" s="40">
        <v>44264</v>
      </c>
      <c r="AJ12" s="22">
        <f t="shared" si="14"/>
        <v>0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>
        <f t="shared" si="14"/>
        <v>0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2021-03-05T06:43:31Z</dcterms:modified>
</cp:coreProperties>
</file>