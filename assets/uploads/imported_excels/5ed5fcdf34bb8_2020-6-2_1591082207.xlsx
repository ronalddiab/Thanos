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<sst xmlns="http://schemas.openxmlformats.org/spreadsheetml/2006/main" count="108" uniqueCount="33">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</sst>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topLeftCell="A7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6365.25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32.610423034299998</v>
      </c>
      <c r="J20" s="16">
        <v>2.3196172978505634</v>
      </c>
      <c r="K20" s="20">
        <f>Submetering!K20</f>
        <v>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6680.25</v>
      </c>
      <c r="F21" s="16">
        <v>0.12</v>
      </c>
      <c r="G21" s="20">
        <f>Submetering!F21+Submetering!G20</f>
        <v>15.914346936728974</v>
      </c>
      <c r="H21" s="16">
        <v>0.71</v>
      </c>
      <c r="I21" s="20">
        <f>Submetering!J21+Submetering!I21+Submetering!H21</f>
        <v>39.846576965699995</v>
      </c>
      <c r="J21" s="16">
        <v>2.3196172978505634</v>
      </c>
      <c r="K21" s="20">
        <f>Submetering!K21</f>
        <v>12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6599.25</v>
      </c>
      <c r="F22" s="16">
        <v>0.12</v>
      </c>
      <c r="G22" s="20">
        <f>Submetering!F22+Submetering!G21</f>
        <v>14.005301901121495</v>
      </c>
      <c r="H22" s="16">
        <v>0.71</v>
      </c>
      <c r="I22" s="20">
        <f>Submetering!J22+Submetering!I22+Submetering!H22</f>
        <v>39.8701129568</v>
      </c>
      <c r="J22" s="16">
        <v>2.3196172978505634</v>
      </c>
      <c r="K22" s="20">
        <f>Submetering!K22</f>
        <v>15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6957</v>
      </c>
      <c r="F23" s="16">
        <v>0.12</v>
      </c>
      <c r="G23" s="20">
        <f>Submetering!F23+Submetering!G22</f>
        <v>9.2899411399626182</v>
      </c>
      <c r="H23" s="16">
        <v>0.71</v>
      </c>
      <c r="I23" s="20">
        <f>Submetering!J23+Submetering!I23+Submetering!H23</f>
        <v>49.301004562199999</v>
      </c>
      <c r="J23" s="16">
        <v>2.3196172978505634</v>
      </c>
      <c r="K23" s="20">
        <f>Submetering!K23</f>
        <v>25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6738.75</v>
      </c>
      <c r="F24" s="16">
        <v>0.12</v>
      </c>
      <c r="G24" s="20">
        <f>Submetering!F24+Submetering!G23</f>
        <v>12.226838798130842</v>
      </c>
      <c r="H24" s="16">
        <v>0.71</v>
      </c>
      <c r="I24" s="20">
        <f>Submetering!J24+Submetering!I24+Submetering!H24</f>
        <v>48.449433823300005</v>
      </c>
      <c r="J24" s="16">
        <v>2.3196172978505634</v>
      </c>
      <c r="K24" s="20">
        <f>Submetering!K24</f>
        <v>21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6639.75</v>
      </c>
      <c r="F25" s="16">
        <v>0.12</v>
      </c>
      <c r="G25" s="20">
        <f>Submetering!F25+Submetering!G24</f>
        <v>13.62521191682243</v>
      </c>
      <c r="H25" s="16">
        <v>0.71</v>
      </c>
      <c r="I25" s="20">
        <f>Submetering!J25+Submetering!I25+Submetering!H25</f>
        <v>40.835448657600004</v>
      </c>
      <c r="J25" s="16">
        <v>2.3196172978505634</v>
      </c>
      <c r="K25" s="20">
        <f>Submetering!K25</f>
        <v>10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6594.75</v>
      </c>
      <c r="F26" s="16">
        <v>0.12</v>
      </c>
      <c r="G26" s="20">
        <f>Submetering!F26+Submetering!G25</f>
        <v>15.026320512710283</v>
      </c>
      <c r="H26" s="16">
        <v>0.71</v>
      </c>
      <c r="I26" s="20">
        <f>Submetering!J26+Submetering!I26+Submetering!H26</f>
        <v>54.494751038499999</v>
      </c>
      <c r="J26" s="16">
        <v>2.3196172978505634</v>
      </c>
      <c r="K26" s="20">
        <f>Submetering!K26</f>
        <v>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6756.75</v>
      </c>
      <c r="F27" s="16">
        <v>0.12</v>
      </c>
      <c r="G27" s="20">
        <f>Submetering!F27+Submetering!G26</f>
        <v>14.852993474766356</v>
      </c>
      <c r="H27" s="16">
        <v>0.71</v>
      </c>
      <c r="I27" s="20">
        <f>Submetering!J27+Submetering!I27+Submetering!H27</f>
        <v>47.188986070599995</v>
      </c>
      <c r="J27" s="16">
        <v>2.3196172978505634</v>
      </c>
      <c r="K27" s="20">
        <f>Submetering!K27</f>
        <v>15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7013.25</v>
      </c>
      <c r="F28" s="16">
        <v>0.12</v>
      </c>
      <c r="G28" s="20">
        <f>Submetering!F28+Submetering!G27</f>
        <v>15.498477521214955</v>
      </c>
      <c r="H28" s="16">
        <v>0.71</v>
      </c>
      <c r="I28" s="20">
        <f>Submetering!J28+Submetering!I28+Submetering!H28</f>
        <v>45.244329930100001</v>
      </c>
      <c r="J28" s="16">
        <v>2.3196172978505634</v>
      </c>
      <c r="K28" s="20">
        <f>Submetering!K28</f>
        <v>21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6851.25</v>
      </c>
      <c r="F29" s="16">
        <v>0.12</v>
      </c>
      <c r="G29" s="20">
        <f>Submetering!F29+Submetering!G28</f>
        <v>14.974792585420561</v>
      </c>
      <c r="H29" s="16">
        <v>0.71</v>
      </c>
      <c r="I29" s="20">
        <f>Submetering!J29+Submetering!I29+Submetering!H29</f>
        <v>49.324136034399999</v>
      </c>
      <c r="J29" s="16">
        <v>2.3196172978505634</v>
      </c>
      <c r="K29" s="20">
        <f>Submetering!K29</f>
        <v>26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6725.25</v>
      </c>
      <c r="F30" s="16">
        <v>0.12</v>
      </c>
      <c r="G30" s="20">
        <f>Submetering!F30+Submetering!G29</f>
        <v>12.352288552616823</v>
      </c>
      <c r="H30" s="16">
        <v>0.71</v>
      </c>
      <c r="I30" s="20">
        <f>Submetering!J30+Submetering!I30+Submetering!H30</f>
        <v>51.323248381399999</v>
      </c>
      <c r="J30" s="16">
        <v>2.3196172978505634</v>
      </c>
      <c r="K30" s="20">
        <f>Submetering!K30</f>
        <v>27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6585.75</v>
      </c>
      <c r="F31" s="16">
        <v>0.12</v>
      </c>
      <c r="G31" s="20">
        <f>Submetering!F31+Submetering!G30</f>
        <v>8.6472726550373835</v>
      </c>
      <c r="H31" s="16">
        <v>0.71</v>
      </c>
      <c r="I31" s="20">
        <f>Submetering!J31+Submetering!I31+Submetering!H31</f>
        <v>49.412260615899996</v>
      </c>
      <c r="J31" s="16">
        <v>2.3196172978505634</v>
      </c>
      <c r="K31" s="20">
        <f>Submetering!K31</f>
        <v>26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5</v>
      </c>
      <c r="D32" s="9">
        <v>2020</v>
      </c>
      <c r="E32" s="20">
        <f>Submetering!E32</f>
        <v>6594.75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46.325669865999998</v>
      </c>
      <c r="J32" s="16">
        <v>2.3196172978505634</v>
      </c>
      <c r="K32" s="20">
        <f>Submetering!K32</f>
        <v>18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F11" activePane="bottomRight" state="frozen"/>
      <selection pane="topRight" activeCell="C1" sqref="C1"/>
      <selection pane="bottomLeft" activeCell="A2" sqref="A2"/>
      <selection pane="bottomRight" activeCell="J37" sqref="J3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2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E20" s="20">
        <v>6365.25</v>
      </c>
      <c r="F20" s="20">
        <v>0</v>
      </c>
      <c r="G20" s="20">
        <v>15.914346936728974</v>
      </c>
      <c r="H20" s="20">
        <v>1.204</v>
      </c>
      <c r="I20" s="20">
        <v>11</v>
      </c>
      <c r="J20" s="20">
        <v>20.406423034300001</v>
      </c>
      <c r="K20" s="20">
        <v>9</v>
      </c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E21" s="20">
        <v>6680.25</v>
      </c>
      <c r="F21" s="20">
        <v>0</v>
      </c>
      <c r="G21" s="20">
        <v>14.005301901121495</v>
      </c>
      <c r="H21" s="20">
        <v>1.2529999999999999</v>
      </c>
      <c r="I21" s="20">
        <v>17</v>
      </c>
      <c r="J21" s="20">
        <v>21.593576965699999</v>
      </c>
      <c r="K21" s="20">
        <v>12</v>
      </c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E22" s="20">
        <v>6599.25</v>
      </c>
      <c r="F22" s="20">
        <v>0</v>
      </c>
      <c r="G22" s="20">
        <v>9.2899411399626182</v>
      </c>
      <c r="H22" s="20">
        <v>1.454</v>
      </c>
      <c r="I22" s="20">
        <v>16</v>
      </c>
      <c r="J22" s="20">
        <v>22.416112956799999</v>
      </c>
      <c r="K22" s="20">
        <v>15</v>
      </c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E23" s="20">
        <v>6957</v>
      </c>
      <c r="F23" s="20">
        <v>0</v>
      </c>
      <c r="G23" s="20">
        <v>12.226838798130842</v>
      </c>
      <c r="H23" s="20">
        <v>1.2989999999999999</v>
      </c>
      <c r="I23" s="20">
        <v>21</v>
      </c>
      <c r="J23" s="20">
        <v>27.0020045622</v>
      </c>
      <c r="K23" s="20">
        <v>25</v>
      </c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E24" s="20">
        <v>6738.75</v>
      </c>
      <c r="F24" s="20">
        <v>0</v>
      </c>
      <c r="G24" s="20">
        <v>13.62521191682243</v>
      </c>
      <c r="H24" s="20">
        <v>1.4510000000000001</v>
      </c>
      <c r="I24" s="20">
        <v>24</v>
      </c>
      <c r="J24" s="20">
        <v>22.998433823300001</v>
      </c>
      <c r="K24" s="20">
        <v>21</v>
      </c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E25" s="20">
        <v>6639.75</v>
      </c>
      <c r="F25" s="20">
        <v>0</v>
      </c>
      <c r="G25" s="20">
        <v>15.026320512710283</v>
      </c>
      <c r="H25" s="20">
        <v>1.252</v>
      </c>
      <c r="I25" s="20">
        <v>19</v>
      </c>
      <c r="J25" s="20">
        <v>20.583448657600002</v>
      </c>
      <c r="K25" s="20">
        <v>10</v>
      </c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E26" s="20">
        <v>6594.75</v>
      </c>
      <c r="F26" s="20">
        <v>0</v>
      </c>
      <c r="G26" s="20">
        <v>14.852993474766356</v>
      </c>
      <c r="H26" s="20">
        <v>4.0860000000000003</v>
      </c>
      <c r="I26" s="20">
        <v>27</v>
      </c>
      <c r="J26" s="20">
        <v>23.4087510385</v>
      </c>
      <c r="K26" s="20">
        <v>9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E27" s="20">
        <v>6756.75</v>
      </c>
      <c r="F27" s="20">
        <v>0</v>
      </c>
      <c r="G27" s="20">
        <v>15.498477521214955</v>
      </c>
      <c r="H27" s="20">
        <v>3.181</v>
      </c>
      <c r="I27" s="20">
        <v>19</v>
      </c>
      <c r="J27" s="20">
        <v>25.007986070600001</v>
      </c>
      <c r="K27" s="20">
        <v>15</v>
      </c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E28" s="20">
        <v>7013.25</v>
      </c>
      <c r="F28" s="20">
        <v>0</v>
      </c>
      <c r="G28" s="20">
        <v>14.974792585420561</v>
      </c>
      <c r="H28" s="20">
        <v>1.2390000000000001</v>
      </c>
      <c r="I28" s="20">
        <v>20</v>
      </c>
      <c r="J28" s="20">
        <v>24.0053299301</v>
      </c>
      <c r="K28" s="20">
        <v>21</v>
      </c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E29" s="20">
        <v>6851.25</v>
      </c>
      <c r="F29" s="20">
        <v>0</v>
      </c>
      <c r="G29" s="20">
        <v>12.352288552616823</v>
      </c>
      <c r="H29" s="20">
        <v>1.331</v>
      </c>
      <c r="I29" s="20">
        <v>23</v>
      </c>
      <c r="J29" s="20">
        <v>24.993136034399999</v>
      </c>
      <c r="K29" s="20">
        <v>26</v>
      </c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E30" s="20">
        <v>6725.25</v>
      </c>
      <c r="F30" s="20">
        <v>0</v>
      </c>
      <c r="G30" s="20">
        <v>8.6472726550373835</v>
      </c>
      <c r="H30" s="20">
        <v>1.3180000000000001</v>
      </c>
      <c r="I30" s="20">
        <v>22</v>
      </c>
      <c r="J30" s="20">
        <v>28.005248381400001</v>
      </c>
      <c r="K30" s="20">
        <v>27</v>
      </c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E31" s="20">
        <v>6585.75</v>
      </c>
      <c r="F31" s="20">
        <v>0</v>
      </c>
      <c r="G31" s="20">
        <v>0</v>
      </c>
      <c r="H31" s="20">
        <v>1.413</v>
      </c>
      <c r="I31" s="20">
        <v>23</v>
      </c>
      <c r="J31" s="20">
        <v>24.999260615899999</v>
      </c>
      <c r="K31" s="20">
        <v>26</v>
      </c>
    </row>
    <row r="32" spans="1:11" x14ac:dyDescent="0.25">
      <c r="A32" s="17" t="s">
        <v>32</v>
      </c>
      <c r="B32" s="6">
        <f t="shared" si="0"/>
        <v>31</v>
      </c>
      <c r="E32" s="20">
        <v>6594.75</v>
      </c>
      <c r="F32" s="20">
        <v>0</v>
      </c>
      <c r="G32" s="20">
        <v>0</v>
      </c>
      <c r="H32" s="20">
        <v>1.3240000000000001</v>
      </c>
      <c r="I32" s="20">
        <v>19</v>
      </c>
      <c r="J32" s="20">
        <v>26.001669866</v>
      </c>
      <c r="K32" s="6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2020-06-02T07:14:48Z</dcterms:modified>
</cp:coreProperties>
</file>