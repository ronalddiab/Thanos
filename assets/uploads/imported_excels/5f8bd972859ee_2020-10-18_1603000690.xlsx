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28" i="1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23" i="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5"/>
  <c r="D36"/>
  <c r="C19"/>
  <c r="C22"/>
  <c r="C23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O14"/>
  <c r="Q15" s="1"/>
  <c r="O15"/>
  <c r="Q16" s="1"/>
  <c r="O16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22" i="10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3"/>
  <c r="K24"/>
  <c r="K25"/>
  <c r="K26"/>
  <c r="K27"/>
  <c r="K28"/>
  <c r="K29"/>
  <c r="K30"/>
  <c r="K31"/>
  <c r="K32"/>
  <c r="K33"/>
  <c r="K34"/>
  <c r="K35"/>
  <c r="A3" i="18"/>
  <c r="Q5"/>
  <c r="Q9"/>
  <c r="Q13"/>
  <c r="Q14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G35" i="10" s="1"/>
  <c r="T42" i="1"/>
  <c r="T43"/>
  <c r="T44"/>
  <c r="G34" i="15"/>
  <c r="G35"/>
  <c r="U36" i="1"/>
  <c r="U35"/>
  <c r="F30" i="3"/>
  <c r="G32" i="15"/>
  <c r="F29" i="3"/>
  <c r="G33" i="10" l="1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U26"/>
  <c r="F20" i="10" s="1"/>
  <c r="AK26" i="1"/>
  <c r="C20" i="23" s="1"/>
  <c r="U27" i="1"/>
  <c r="AK27"/>
  <c r="C21" i="23" s="1"/>
  <c r="U28" i="1"/>
  <c r="AK28"/>
  <c r="U29"/>
  <c r="V29" s="1"/>
  <c r="AK29"/>
  <c r="U30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7" l="1"/>
  <c r="F21" i="10"/>
  <c r="C15" i="23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G29"/>
  <c r="G30"/>
  <c r="G31"/>
  <c r="G33"/>
  <c r="G36"/>
  <c r="G37"/>
  <c r="G38"/>
  <c r="G39"/>
  <c r="G40"/>
  <c r="J27" l="1"/>
  <c r="L22" i="10"/>
  <c r="J28" i="15"/>
  <c r="L23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2" l="1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<sst xmlns="http://schemas.openxmlformats.org/spreadsheetml/2006/main" count="540" uniqueCount="327">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</sst>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9" fontId="23" fillId="0" borderId="98" xfId="0" applyNumberFormat="1" applyFont="1" applyFill="1" applyBorder="1" applyAlignment="1">
      <alignment horizontal="center" vertical="center"/>
    </xf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974.17000000000007</c:v>
                </c:pt>
                <c:pt idx="13">
                  <c:v>1042.8800000000001</c:v>
                </c:pt>
                <c:pt idx="14">
                  <c:v>1176.97</c:v>
                </c:pt>
                <c:pt idx="15">
                  <c:v>997.16000000000008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0555776"/>
        <c:axId val="1205616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0563200"/>
        <c:axId val="120564736"/>
      </c:lineChart>
      <c:catAx>
        <c:axId val="12055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61664"/>
        <c:crosses val="autoZero"/>
        <c:auto val="1"/>
        <c:lblAlgn val="ctr"/>
        <c:lblOffset val="100"/>
      </c:catAx>
      <c:valAx>
        <c:axId val="12056166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55776"/>
        <c:crosses val="autoZero"/>
        <c:crossBetween val="between"/>
        <c:majorUnit val="200"/>
      </c:valAx>
      <c:catAx>
        <c:axId val="120563200"/>
        <c:scaling>
          <c:orientation val="minMax"/>
        </c:scaling>
        <c:delete val="1"/>
        <c:axPos val="b"/>
        <c:tickLblPos val="none"/>
        <c:crossAx val="120564736"/>
        <c:crosses val="autoZero"/>
        <c:auto val="1"/>
        <c:lblAlgn val="ctr"/>
        <c:lblOffset val="100"/>
      </c:catAx>
      <c:valAx>
        <c:axId val="1205647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63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4146048"/>
        <c:axId val="1241475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4149120"/>
        <c:axId val="124155008"/>
      </c:lineChart>
      <c:catAx>
        <c:axId val="12414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47584"/>
        <c:crosses val="autoZero"/>
        <c:auto val="1"/>
        <c:lblAlgn val="ctr"/>
        <c:lblOffset val="100"/>
      </c:catAx>
      <c:valAx>
        <c:axId val="124147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46048"/>
        <c:crosses val="autoZero"/>
        <c:crossBetween val="between"/>
        <c:majorUnit val="200"/>
      </c:valAx>
      <c:catAx>
        <c:axId val="124149120"/>
        <c:scaling>
          <c:orientation val="minMax"/>
        </c:scaling>
        <c:delete val="1"/>
        <c:axPos val="b"/>
        <c:tickLblPos val="none"/>
        <c:crossAx val="124155008"/>
        <c:crosses val="autoZero"/>
        <c:auto val="1"/>
        <c:lblAlgn val="ctr"/>
        <c:lblOffset val="100"/>
      </c:catAx>
      <c:valAx>
        <c:axId val="1241550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49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5957632"/>
        <c:axId val="125959168"/>
      </c:lineChart>
      <c:catAx>
        <c:axId val="12595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59168"/>
        <c:crosses val="autoZero"/>
        <c:auto val="1"/>
        <c:lblAlgn val="ctr"/>
        <c:lblOffset val="200"/>
        <c:tickLblSkip val="1"/>
      </c:catAx>
      <c:valAx>
        <c:axId val="1259591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5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4087296"/>
        <c:axId val="124121856"/>
      </c:lineChart>
      <c:catAx>
        <c:axId val="12408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121856"/>
        <c:crosses val="autoZero"/>
        <c:auto val="1"/>
        <c:lblAlgn val="ctr"/>
        <c:lblOffset val="100"/>
      </c:catAx>
      <c:valAx>
        <c:axId val="1241218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8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5805312"/>
        <c:axId val="125807232"/>
      </c:lineChart>
      <c:catAx>
        <c:axId val="125805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07232"/>
        <c:crosses val="autoZero"/>
        <c:auto val="1"/>
        <c:lblAlgn val="ctr"/>
        <c:lblOffset val="100"/>
      </c:catAx>
      <c:valAx>
        <c:axId val="1258072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8053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6254080"/>
        <c:axId val="126264448"/>
      </c:lineChart>
      <c:catAx>
        <c:axId val="126254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64448"/>
        <c:crosses val="autoZero"/>
        <c:auto val="1"/>
        <c:lblAlgn val="ctr"/>
        <c:lblOffset val="100"/>
      </c:catAx>
      <c:valAx>
        <c:axId val="1262644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54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-320086.00800000003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26244352"/>
        <c:axId val="126245888"/>
      </c:lineChart>
      <c:catAx>
        <c:axId val="12624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45888"/>
        <c:crosses val="autoZero"/>
        <c:auto val="1"/>
        <c:lblAlgn val="ctr"/>
        <c:lblOffset val="100"/>
      </c:catAx>
      <c:valAx>
        <c:axId val="126245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4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0241280"/>
        <c:axId val="150242816"/>
      </c:lineChart>
      <c:catAx>
        <c:axId val="15024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42816"/>
        <c:crosses val="autoZero"/>
        <c:auto val="1"/>
        <c:lblAlgn val="ctr"/>
        <c:lblOffset val="100"/>
      </c:catAx>
      <c:valAx>
        <c:axId val="150242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4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1042.8800000000001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1270528"/>
        <c:axId val="151272064"/>
      </c:lineChart>
      <c:catAx>
        <c:axId val="15127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72064"/>
        <c:crosses val="autoZero"/>
        <c:auto val="1"/>
        <c:lblAlgn val="ctr"/>
        <c:lblOffset val="100"/>
      </c:catAx>
      <c:valAx>
        <c:axId val="15127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7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683"/>
          <c:y val="7.471324705111358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1292544"/>
        <c:axId val="151302528"/>
      </c:lineChart>
      <c:catAx>
        <c:axId val="15129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02528"/>
        <c:crosses val="autoZero"/>
        <c:auto val="1"/>
        <c:lblAlgn val="ctr"/>
        <c:lblOffset val="200"/>
        <c:tickLblSkip val="1"/>
      </c:catAx>
      <c:valAx>
        <c:axId val="1513025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9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1089920"/>
        <c:axId val="151091456"/>
      </c:lineChart>
      <c:catAx>
        <c:axId val="15108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91456"/>
        <c:crosses val="autoZero"/>
        <c:auto val="1"/>
        <c:lblAlgn val="ctr"/>
        <c:lblOffset val="100"/>
      </c:catAx>
      <c:valAx>
        <c:axId val="151091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8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1107840"/>
        <c:axId val="151814528"/>
      </c:lineChart>
      <c:catAx>
        <c:axId val="151107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14528"/>
        <c:crosses val="autoZero"/>
        <c:auto val="1"/>
        <c:lblAlgn val="ctr"/>
        <c:lblOffset val="100"/>
      </c:catAx>
      <c:valAx>
        <c:axId val="1518145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07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1991040"/>
        <c:axId val="151992960"/>
      </c:lineChart>
      <c:catAx>
        <c:axId val="1519910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92960"/>
        <c:crosses val="autoZero"/>
        <c:auto val="1"/>
        <c:lblAlgn val="ctr"/>
        <c:lblOffset val="100"/>
      </c:catAx>
      <c:valAx>
        <c:axId val="1519929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910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2017920"/>
        <c:axId val="152023808"/>
      </c:lineChart>
      <c:catAx>
        <c:axId val="15201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23808"/>
        <c:crosses val="autoZero"/>
        <c:auto val="1"/>
        <c:lblAlgn val="ctr"/>
        <c:lblOffset val="100"/>
      </c:catAx>
      <c:valAx>
        <c:axId val="152023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1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2311296"/>
        <c:axId val="152312832"/>
      </c:lineChart>
      <c:catAx>
        <c:axId val="15231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12832"/>
        <c:crosses val="autoZero"/>
        <c:auto val="1"/>
        <c:lblAlgn val="ctr"/>
        <c:lblOffset val="100"/>
      </c:catAx>
      <c:valAx>
        <c:axId val="152312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1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1587456"/>
        <c:axId val="151593344"/>
      </c:lineChart>
      <c:catAx>
        <c:axId val="15158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93344"/>
        <c:crosses val="autoZero"/>
        <c:auto val="1"/>
        <c:lblAlgn val="ctr"/>
        <c:lblOffset val="100"/>
      </c:catAx>
      <c:valAx>
        <c:axId val="151593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8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928"/>
          <c:y val="7.471324705111401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3002752"/>
        <c:axId val="15300428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3018368"/>
        <c:axId val="153019904"/>
      </c:lineChart>
      <c:catAx>
        <c:axId val="1530027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04288"/>
        <c:crosses val="autoZero"/>
        <c:lblAlgn val="ctr"/>
        <c:lblOffset val="100"/>
        <c:tickMarkSkip val="1"/>
      </c:catAx>
      <c:valAx>
        <c:axId val="153004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02752"/>
        <c:crosses val="autoZero"/>
        <c:crossBetween val="between"/>
      </c:valAx>
      <c:catAx>
        <c:axId val="153018368"/>
        <c:scaling>
          <c:orientation val="minMax"/>
        </c:scaling>
        <c:delete val="1"/>
        <c:axPos val="b"/>
        <c:numFmt formatCode="[$-409]d\-mmm\-yy;@" sourceLinked="1"/>
        <c:tickLblPos val="none"/>
        <c:crossAx val="153019904"/>
        <c:crosses val="autoZero"/>
        <c:lblAlgn val="ctr"/>
        <c:lblOffset val="100"/>
      </c:catAx>
      <c:valAx>
        <c:axId val="1530199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18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2909312"/>
        <c:axId val="152910848"/>
      </c:lineChart>
      <c:catAx>
        <c:axId val="15290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10848"/>
        <c:crosses val="autoZero"/>
        <c:auto val="1"/>
        <c:lblAlgn val="ctr"/>
        <c:lblOffset val="100"/>
      </c:catAx>
      <c:valAx>
        <c:axId val="1529108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0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2947712"/>
        <c:axId val="154206976"/>
      </c:lineChart>
      <c:catAx>
        <c:axId val="152947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06976"/>
        <c:crosses val="autoZero"/>
        <c:auto val="1"/>
        <c:lblAlgn val="ctr"/>
        <c:lblOffset val="100"/>
      </c:catAx>
      <c:valAx>
        <c:axId val="15420697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47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4262528"/>
        <c:axId val="1542684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4269952"/>
        <c:axId val="155058176"/>
      </c:lineChart>
      <c:catAx>
        <c:axId val="1542625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68416"/>
        <c:crosses val="autoZero"/>
        <c:lblAlgn val="ctr"/>
        <c:lblOffset val="100"/>
        <c:tickMarkSkip val="1"/>
      </c:catAx>
      <c:valAx>
        <c:axId val="154268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62528"/>
        <c:crosses val="autoZero"/>
        <c:crossBetween val="between"/>
      </c:valAx>
      <c:catAx>
        <c:axId val="154269952"/>
        <c:scaling>
          <c:orientation val="minMax"/>
        </c:scaling>
        <c:delete val="1"/>
        <c:axPos val="b"/>
        <c:numFmt formatCode="General" sourceLinked="1"/>
        <c:tickLblPos val="none"/>
        <c:crossAx val="155058176"/>
        <c:crosses val="autoZero"/>
        <c:lblAlgn val="ctr"/>
        <c:lblOffset val="100"/>
      </c:catAx>
      <c:valAx>
        <c:axId val="1550581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69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5107328"/>
        <c:axId val="155108864"/>
      </c:lineChart>
      <c:catAx>
        <c:axId val="15510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08864"/>
        <c:crosses val="autoZero"/>
        <c:auto val="1"/>
        <c:lblAlgn val="ctr"/>
        <c:lblOffset val="100"/>
      </c:catAx>
      <c:valAx>
        <c:axId val="15510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0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5280896"/>
        <c:axId val="155282432"/>
      </c:lineChart>
      <c:catAx>
        <c:axId val="15528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82432"/>
        <c:crosses val="autoZero"/>
        <c:auto val="1"/>
        <c:lblAlgn val="ctr"/>
        <c:lblOffset val="100"/>
      </c:catAx>
      <c:valAx>
        <c:axId val="15528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8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1631872"/>
        <c:axId val="12163340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5714816"/>
        <c:axId val="125716352"/>
      </c:lineChart>
      <c:catAx>
        <c:axId val="1216318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33408"/>
        <c:crosses val="autoZero"/>
        <c:lblAlgn val="ctr"/>
        <c:lblOffset val="100"/>
        <c:tickMarkSkip val="1"/>
      </c:catAx>
      <c:valAx>
        <c:axId val="1216334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31872"/>
        <c:crosses val="autoZero"/>
        <c:crossBetween val="between"/>
      </c:valAx>
      <c:catAx>
        <c:axId val="125714816"/>
        <c:scaling>
          <c:orientation val="minMax"/>
        </c:scaling>
        <c:delete val="1"/>
        <c:axPos val="b"/>
        <c:numFmt formatCode="[$-409]d\-mmm\-yy;@" sourceLinked="1"/>
        <c:tickLblPos val="none"/>
        <c:crossAx val="125716352"/>
        <c:crosses val="autoZero"/>
        <c:lblAlgn val="ctr"/>
        <c:lblOffset val="100"/>
      </c:catAx>
      <c:valAx>
        <c:axId val="1257163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14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5742080"/>
        <c:axId val="1257438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5745408"/>
        <c:axId val="125751296"/>
      </c:lineChart>
      <c:catAx>
        <c:axId val="1257420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43872"/>
        <c:crosses val="autoZero"/>
        <c:lblAlgn val="ctr"/>
        <c:lblOffset val="100"/>
        <c:tickMarkSkip val="1"/>
      </c:catAx>
      <c:valAx>
        <c:axId val="12574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42080"/>
        <c:crosses val="autoZero"/>
        <c:crossBetween val="between"/>
      </c:valAx>
      <c:catAx>
        <c:axId val="125745408"/>
        <c:scaling>
          <c:orientation val="minMax"/>
        </c:scaling>
        <c:delete val="1"/>
        <c:axPos val="b"/>
        <c:numFmt formatCode="General" sourceLinked="1"/>
        <c:tickLblPos val="none"/>
        <c:crossAx val="125751296"/>
        <c:crosses val="autoZero"/>
        <c:lblAlgn val="ctr"/>
        <c:lblOffset val="100"/>
      </c:catAx>
      <c:valAx>
        <c:axId val="1257512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45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7178112"/>
        <c:axId val="1571921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7193728"/>
        <c:axId val="157195264"/>
      </c:lineChart>
      <c:catAx>
        <c:axId val="1571781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92192"/>
        <c:crosses val="autoZero"/>
        <c:lblAlgn val="ctr"/>
        <c:lblOffset val="100"/>
        <c:tickMarkSkip val="1"/>
      </c:catAx>
      <c:valAx>
        <c:axId val="1571921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78112"/>
        <c:crosses val="autoZero"/>
        <c:crossBetween val="between"/>
      </c:valAx>
      <c:catAx>
        <c:axId val="157193728"/>
        <c:scaling>
          <c:orientation val="minMax"/>
        </c:scaling>
        <c:delete val="1"/>
        <c:axPos val="b"/>
        <c:numFmt formatCode="[$-409]d\-mmm\-yy;@" sourceLinked="1"/>
        <c:tickLblPos val="none"/>
        <c:crossAx val="157195264"/>
        <c:crosses val="autoZero"/>
        <c:lblAlgn val="ctr"/>
        <c:lblOffset val="100"/>
      </c:catAx>
      <c:valAx>
        <c:axId val="1571952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937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8286592"/>
        <c:axId val="1582881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8289920"/>
        <c:axId val="158291456"/>
      </c:lineChart>
      <c:catAx>
        <c:axId val="1582865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8128"/>
        <c:crosses val="autoZero"/>
        <c:lblAlgn val="ctr"/>
        <c:lblOffset val="100"/>
        <c:tickMarkSkip val="1"/>
      </c:catAx>
      <c:valAx>
        <c:axId val="15828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6592"/>
        <c:crosses val="autoZero"/>
        <c:crossBetween val="between"/>
      </c:valAx>
      <c:catAx>
        <c:axId val="158289920"/>
        <c:scaling>
          <c:orientation val="minMax"/>
        </c:scaling>
        <c:delete val="1"/>
        <c:axPos val="b"/>
        <c:numFmt formatCode="General" sourceLinked="1"/>
        <c:tickLblPos val="none"/>
        <c:crossAx val="158291456"/>
        <c:crosses val="autoZero"/>
        <c:lblAlgn val="ctr"/>
        <c:lblOffset val="100"/>
      </c:catAx>
      <c:valAx>
        <c:axId val="1582914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89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525312"/>
        <c:axId val="156975104"/>
      </c:lineChart>
      <c:catAx>
        <c:axId val="158525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75104"/>
        <c:crosses val="autoZero"/>
        <c:auto val="1"/>
        <c:lblAlgn val="ctr"/>
        <c:lblOffset val="100"/>
      </c:catAx>
      <c:valAx>
        <c:axId val="1569751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253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7012352"/>
        <c:axId val="157014272"/>
      </c:lineChart>
      <c:catAx>
        <c:axId val="157012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14272"/>
        <c:crosses val="autoZero"/>
        <c:auto val="1"/>
        <c:lblAlgn val="ctr"/>
        <c:lblOffset val="100"/>
      </c:catAx>
      <c:valAx>
        <c:axId val="157014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12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206016"/>
        <c:axId val="159207808"/>
      </c:lineChart>
      <c:catAx>
        <c:axId val="15920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07808"/>
        <c:crosses val="autoZero"/>
        <c:auto val="1"/>
        <c:lblAlgn val="ctr"/>
        <c:lblOffset val="200"/>
        <c:tickLblSkip val="1"/>
      </c:catAx>
      <c:valAx>
        <c:axId val="1592078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0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9240576"/>
        <c:axId val="159242112"/>
      </c:lineChart>
      <c:catAx>
        <c:axId val="15924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42112"/>
        <c:crosses val="autoZero"/>
        <c:auto val="1"/>
        <c:lblAlgn val="ctr"/>
        <c:lblOffset val="100"/>
      </c:catAx>
      <c:valAx>
        <c:axId val="1592421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4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9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-320086.00800000003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8754688"/>
        <c:axId val="158756224"/>
      </c:lineChart>
      <c:catAx>
        <c:axId val="15875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56224"/>
        <c:crosses val="autoZero"/>
        <c:auto val="1"/>
        <c:lblAlgn val="ctr"/>
        <c:lblOffset val="100"/>
      </c:catAx>
      <c:valAx>
        <c:axId val="158756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5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308608"/>
        <c:axId val="160327168"/>
      </c:lineChart>
      <c:catAx>
        <c:axId val="160308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27168"/>
        <c:crosses val="autoZero"/>
        <c:auto val="1"/>
        <c:lblAlgn val="ctr"/>
        <c:lblOffset val="100"/>
      </c:catAx>
      <c:valAx>
        <c:axId val="1603271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86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356224"/>
        <c:axId val="160509952"/>
      </c:lineChart>
      <c:catAx>
        <c:axId val="160356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09952"/>
        <c:crosses val="autoZero"/>
        <c:auto val="1"/>
        <c:lblAlgn val="ctr"/>
        <c:lblOffset val="100"/>
      </c:catAx>
      <c:valAx>
        <c:axId val="1605099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562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547200"/>
        <c:axId val="160548736"/>
      </c:lineChart>
      <c:catAx>
        <c:axId val="16054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8736"/>
        <c:crosses val="autoZero"/>
        <c:auto val="1"/>
        <c:lblAlgn val="ctr"/>
        <c:lblOffset val="200"/>
        <c:tickLblSkip val="1"/>
      </c:catAx>
      <c:valAx>
        <c:axId val="1605487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101696"/>
        <c:axId val="161103232"/>
      </c:lineChart>
      <c:catAx>
        <c:axId val="16110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3232"/>
        <c:crosses val="autoZero"/>
        <c:auto val="1"/>
        <c:lblAlgn val="ctr"/>
        <c:lblOffset val="100"/>
      </c:catAx>
      <c:valAx>
        <c:axId val="1611032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9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-320086.00800000003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304512"/>
        <c:axId val="161141888"/>
      </c:lineChart>
      <c:catAx>
        <c:axId val="16030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41888"/>
        <c:crosses val="autoZero"/>
        <c:auto val="1"/>
        <c:lblAlgn val="ctr"/>
        <c:lblOffset val="100"/>
      </c:catAx>
      <c:valAx>
        <c:axId val="161141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0298112"/>
        <c:axId val="160300032"/>
      </c:lineChart>
      <c:catAx>
        <c:axId val="160298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00032"/>
        <c:crosses val="autoZero"/>
        <c:auto val="1"/>
        <c:lblAlgn val="ctr"/>
        <c:lblOffset val="100"/>
      </c:catAx>
      <c:valAx>
        <c:axId val="1603000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981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020736"/>
        <c:axId val="162043392"/>
      </c:lineChart>
      <c:catAx>
        <c:axId val="162020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43392"/>
        <c:crosses val="autoZero"/>
        <c:auto val="1"/>
        <c:lblAlgn val="ctr"/>
        <c:lblOffset val="100"/>
      </c:catAx>
      <c:valAx>
        <c:axId val="1620433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207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068352"/>
        <c:axId val="162069888"/>
      </c:lineChart>
      <c:catAx>
        <c:axId val="162068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9888"/>
        <c:crosses val="autoZero"/>
        <c:auto val="1"/>
        <c:lblAlgn val="ctr"/>
        <c:lblOffset val="200"/>
        <c:tickLblSkip val="1"/>
      </c:catAx>
      <c:valAx>
        <c:axId val="1620698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6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250112"/>
        <c:axId val="162251904"/>
      </c:lineChart>
      <c:catAx>
        <c:axId val="16225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1904"/>
        <c:crosses val="autoZero"/>
        <c:auto val="1"/>
        <c:lblAlgn val="ctr"/>
        <c:lblOffset val="100"/>
      </c:catAx>
      <c:valAx>
        <c:axId val="162251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4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534528"/>
        <c:axId val="162536064"/>
      </c:lineChart>
      <c:catAx>
        <c:axId val="16253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6064"/>
        <c:crosses val="autoZero"/>
        <c:auto val="1"/>
        <c:lblAlgn val="ctr"/>
        <c:lblOffset val="100"/>
      </c:catAx>
      <c:valAx>
        <c:axId val="162536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2585216"/>
        <c:axId val="162931456"/>
      </c:lineChart>
      <c:catAx>
        <c:axId val="162585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1456"/>
        <c:crosses val="autoZero"/>
        <c:auto val="1"/>
        <c:lblAlgn val="ctr"/>
        <c:lblOffset val="100"/>
      </c:catAx>
      <c:valAx>
        <c:axId val="1629314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852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972800"/>
        <c:axId val="162974720"/>
      </c:lineChart>
      <c:catAx>
        <c:axId val="162972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74720"/>
        <c:crosses val="autoZero"/>
        <c:auto val="1"/>
        <c:lblAlgn val="ctr"/>
        <c:lblOffset val="100"/>
      </c:catAx>
      <c:valAx>
        <c:axId val="1629747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728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872704"/>
        <c:axId val="162886784"/>
      </c:lineChart>
      <c:catAx>
        <c:axId val="16287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86784"/>
        <c:crosses val="autoZero"/>
        <c:auto val="1"/>
        <c:lblAlgn val="ctr"/>
        <c:lblOffset val="200"/>
        <c:tickLblSkip val="1"/>
      </c:catAx>
      <c:valAx>
        <c:axId val="1628867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7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3452032"/>
        <c:axId val="163453568"/>
      </c:lineChart>
      <c:catAx>
        <c:axId val="16345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53568"/>
        <c:crosses val="autoZero"/>
        <c:auto val="1"/>
        <c:lblAlgn val="ctr"/>
        <c:lblOffset val="100"/>
      </c:catAx>
      <c:valAx>
        <c:axId val="163453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5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4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469952"/>
        <c:axId val="163484032"/>
      </c:lineChart>
      <c:catAx>
        <c:axId val="16346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84032"/>
        <c:crosses val="autoZero"/>
        <c:auto val="1"/>
        <c:lblAlgn val="ctr"/>
        <c:lblOffset val="100"/>
      </c:catAx>
      <c:valAx>
        <c:axId val="16348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2264</v>
      </c>
      <c r="F15" s="426">
        <f>('UTILITY REPORT 1'!E16*'UTILITY REPORT 1'!D16)/'UTILITY REPORT 1'!F16</f>
        <v>0.43028710247349827</v>
      </c>
      <c r="G15" s="426">
        <f>IF('Utility summery'!M19&lt;0,"0",'Utility summery'!M19)</f>
        <v>64.504000000015367</v>
      </c>
      <c r="H15" s="432">
        <v>0</v>
      </c>
      <c r="I15" s="426">
        <f>IF('UTILITY REPORT 1'!G16&lt;0,"0",'UTILITY REPORT 1'!G16)</f>
        <v>43</v>
      </c>
      <c r="J15" s="432">
        <v>0</v>
      </c>
      <c r="K15" s="425">
        <f>'UTILITY REPORT 1'!C16</f>
        <v>2</v>
      </c>
      <c r="L15" s="427" t="e">
        <f>E15*F15+G15*H15+#REF!*#REF!+I15*J15</f>
        <v>#REF!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2360</v>
      </c>
      <c r="F16" s="426">
        <f>('UTILITY REPORT 1'!E17*'UTILITY REPORT 1'!D17)/'UTILITY REPORT 1'!F17</f>
        <v>0.44189830508474581</v>
      </c>
      <c r="G16" s="426">
        <f>IF('Utility summery'!M20&lt;0,"0",'Utility summery'!M20)</f>
        <v>73.127999999979522</v>
      </c>
      <c r="H16" s="432">
        <v>0</v>
      </c>
      <c r="I16" s="426">
        <f>IF('UTILITY REPORT 1'!G17&lt;0,"0",'UTILITY REPORT 1'!G17)</f>
        <v>48</v>
      </c>
      <c r="J16" s="432">
        <v>0</v>
      </c>
      <c r="K16" s="425">
        <f>'UTILITY REPORT 1'!C17</f>
        <v>5</v>
      </c>
      <c r="L16" s="427" t="e">
        <f>E16*F16+G16*H16+#REF!*#REF!+I16*J16</f>
        <v>#REF!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2740</v>
      </c>
      <c r="F17" s="426">
        <f>('UTILITY REPORT 1'!E18*'UTILITY REPORT 1'!D18)/'UTILITY REPORT 1'!F18</f>
        <v>0.42955109489051096</v>
      </c>
      <c r="G17" s="426">
        <f>IF('Utility summery'!M21&lt;0,"0",'Utility summery'!M21)</f>
        <v>79.288000000017931</v>
      </c>
      <c r="H17" s="432">
        <v>0</v>
      </c>
      <c r="I17" s="426">
        <f>IF('UTILITY REPORT 1'!G18&lt;0,"0",'UTILITY REPORT 1'!G18)</f>
        <v>56</v>
      </c>
      <c r="J17" s="432">
        <v>0</v>
      </c>
      <c r="K17" s="425">
        <f>'UTILITY REPORT 1'!C18</f>
        <v>10</v>
      </c>
      <c r="L17" s="427" t="e">
        <f>E17*F17+G17*H17+#REF!*#REF!+I17*J17</f>
        <v>#REF!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2624</v>
      </c>
      <c r="F18" s="426">
        <f>('UTILITY REPORT 1'!E19*'UTILITY REPORT 1'!D19)/'UTILITY REPORT 1'!F19</f>
        <v>0.38001524390243907</v>
      </c>
      <c r="G18" s="426">
        <f>IF('Utility summery'!M22&lt;0,"0",'Utility summery'!M22)</f>
        <v>94.468000000005134</v>
      </c>
      <c r="H18" s="432">
        <v>0</v>
      </c>
      <c r="I18" s="426">
        <f>IF('UTILITY REPORT 1'!G19&lt;0,"0",'UTILITY REPORT 1'!G19)</f>
        <v>71</v>
      </c>
      <c r="J18" s="432">
        <v>0</v>
      </c>
      <c r="K18" s="425">
        <f>'UTILITY REPORT 1'!C19</f>
        <v>12</v>
      </c>
      <c r="L18" s="427" t="e">
        <f>E18*F18+G18*H18+#REF!*#REF!+I18*J18</f>
        <v>#REF!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0</v>
      </c>
      <c r="F19" s="426" t="e">
        <f>('UTILITY REPORT 1'!E20*'UTILITY REPORT 1'!D20)/'UTILITY REPORT 1'!F20</f>
        <v>#DIV/0!</v>
      </c>
      <c r="G19" s="426" t="str">
        <f>IF('Utility summery'!M23&lt;0,"0",'Utility summery'!M23)</f>
        <v>0</v>
      </c>
      <c r="H19" s="432">
        <v>0</v>
      </c>
      <c r="I19" s="426" t="str">
        <f>IF('UTILITY REPORT 1'!G20&lt;0,"0",'UTILITY REPORT 1'!G20)</f>
        <v>0</v>
      </c>
      <c r="J19" s="432">
        <v>0</v>
      </c>
      <c r="K19" s="425">
        <f>'UTILITY REPORT 1'!C20</f>
        <v>12</v>
      </c>
      <c r="L19" s="427" t="e">
        <f>E19*F19+G19*H19+#REF!*#REF!+I19*J19</f>
        <v>#DIV/0!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0</v>
      </c>
      <c r="F20" s="426" t="e">
        <f>('UTILITY REPORT 1'!E21*'UTILITY REPORT 1'!D21)/'UTILITY REPORT 1'!F21</f>
        <v>#DIV/0!</v>
      </c>
      <c r="G20" s="426">
        <f>IF('Utility summery'!M24&lt;0,"0",'Utility summery'!M24)</f>
        <v>0</v>
      </c>
      <c r="H20" s="432">
        <v>0</v>
      </c>
      <c r="I20" s="426">
        <f>IF('UTILITY REPORT 1'!G21&lt;0,"0",'UTILITY REPORT 1'!G21)</f>
        <v>0</v>
      </c>
      <c r="J20" s="432">
        <v>0</v>
      </c>
      <c r="K20" s="425">
        <f>'UTILITY REPORT 1'!C21</f>
        <v>0</v>
      </c>
      <c r="L20" s="427" t="e">
        <f>E20*F20+G20*H20+#REF!*#REF!+I20*J20</f>
        <v>#DIV/0!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0</v>
      </c>
      <c r="F21" s="426" t="e">
        <f>('UTILITY REPORT 1'!E22*'UTILITY REPORT 1'!D22)/'UTILITY REPORT 1'!F22</f>
        <v>#DIV/0!</v>
      </c>
      <c r="G21" s="426">
        <f>IF('Utility summery'!M25&lt;0,"0",'Utility summery'!M25)</f>
        <v>0</v>
      </c>
      <c r="H21" s="432">
        <v>0</v>
      </c>
      <c r="I21" s="426">
        <f>IF('UTILITY REPORT 1'!G22&lt;0,"0",'UTILITY REPORT 1'!G22)</f>
        <v>0</v>
      </c>
      <c r="J21" s="432">
        <v>0</v>
      </c>
      <c r="K21" s="425">
        <f>'UTILITY REPORT 1'!C22</f>
        <v>0</v>
      </c>
      <c r="L21" s="427" t="e">
        <f>E21*F21+G21*H21+#REF!*#REF!+I21*J21</f>
        <v>#DIV/0!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0</v>
      </c>
      <c r="F22" s="426" t="e">
        <f>('UTILITY REPORT 1'!E23*'UTILITY REPORT 1'!D23)/'UTILITY REPORT 1'!F23</f>
        <v>#DIV/0!</v>
      </c>
      <c r="G22" s="426">
        <f>IF('Utility summery'!M26&lt;0,"0",'Utility summery'!M26)</f>
        <v>0</v>
      </c>
      <c r="H22" s="432">
        <v>0</v>
      </c>
      <c r="I22" s="426">
        <f>IF('UTILITY REPORT 1'!G23&lt;0,"0",'UTILITY REPORT 1'!G23)</f>
        <v>0</v>
      </c>
      <c r="J22" s="432">
        <v>0</v>
      </c>
      <c r="K22" s="425">
        <f>'UTILITY REPORT 1'!C23</f>
        <v>0</v>
      </c>
      <c r="L22" s="427" t="e">
        <f>E22*F22+G22*H22+#REF!*#REF!+I22*J22</f>
        <v>#DIV/0!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0</v>
      </c>
      <c r="F23" s="426" t="e">
        <f>('UTILITY REPORT 1'!E24*'UTILITY REPORT 1'!D24)/'UTILITY REPORT 1'!F24</f>
        <v>#DIV/0!</v>
      </c>
      <c r="G23" s="426">
        <f>IF('Utility summery'!M27&lt;0,"0",'Utility summery'!M27)</f>
        <v>0</v>
      </c>
      <c r="H23" s="432">
        <v>0</v>
      </c>
      <c r="I23" s="426">
        <f>IF('UTILITY REPORT 1'!G24&lt;0,"0",'UTILITY REPORT 1'!G24)</f>
        <v>0</v>
      </c>
      <c r="J23" s="432">
        <v>0</v>
      </c>
      <c r="K23" s="425">
        <f>'UTILITY REPORT 1'!C24</f>
        <v>0</v>
      </c>
      <c r="L23" s="427" t="e">
        <f>E23*F23+G23*H23+#REF!*#REF!+I23*J23</f>
        <v>#DIV/0!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0</v>
      </c>
      <c r="F24" s="426" t="e">
        <f>('UTILITY REPORT 1'!E25*'UTILITY REPORT 1'!D25)/'UTILITY REPORT 1'!F25</f>
        <v>#DIV/0!</v>
      </c>
      <c r="G24" s="426">
        <f>IF('Utility summery'!M28&lt;0,"0",'Utility summery'!M28)</f>
        <v>0</v>
      </c>
      <c r="H24" s="432">
        <v>0</v>
      </c>
      <c r="I24" s="426">
        <f>IF('UTILITY REPORT 1'!G25&lt;0,"0",'UTILITY REPORT 1'!G25)</f>
        <v>0</v>
      </c>
      <c r="J24" s="432">
        <v>0</v>
      </c>
      <c r="K24" s="425">
        <f>'UTILITY REPORT 1'!C25</f>
        <v>0</v>
      </c>
      <c r="L24" s="427" t="e">
        <f>E24*F24+G24*H24+#REF!*#REF!+I24*J24</f>
        <v>#DIV/0!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0</v>
      </c>
      <c r="H25" s="432">
        <v>0</v>
      </c>
      <c r="I25" s="426">
        <f>IF('UTILITY REPORT 1'!G26&lt;0,"0",'UTILITY REPORT 1'!G26)</f>
        <v>0</v>
      </c>
      <c r="J25" s="432">
        <v>0</v>
      </c>
      <c r="K25" s="425">
        <f>'UTILITY REPORT 1'!C26</f>
        <v>0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>
        <f>IF('Utility summery'!M30&lt;0,"0",'Utility summery'!M30)</f>
        <v>0</v>
      </c>
      <c r="H26" s="432">
        <v>0</v>
      </c>
      <c r="I26" s="426">
        <f>IF('UTILITY REPORT 1'!G27&lt;0,"0",'UTILITY REPORT 1'!G27)</f>
        <v>0</v>
      </c>
      <c r="J26" s="432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2">
        <v>0</v>
      </c>
      <c r="I27" s="426">
        <f>IF('UTILITY REPORT 1'!G28&lt;0,"0",'UTILITY REPORT 1'!G28)</f>
        <v>0</v>
      </c>
      <c r="J27" s="432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2">
        <v>0</v>
      </c>
      <c r="I28" s="426">
        <f>IF('UTILITY REPORT 1'!G29&lt;0,"0",'UTILITY REPORT 1'!G29)</f>
        <v>0</v>
      </c>
      <c r="J28" s="432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2">
        <v>0</v>
      </c>
      <c r="I29" s="426">
        <f>IF('UTILITY REPORT 1'!G30&lt;0,"0",'UTILITY REPORT 1'!G30)</f>
        <v>0</v>
      </c>
      <c r="J29" s="432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2">
        <v>0</v>
      </c>
      <c r="I30" s="426">
        <f>IF('UTILITY REPORT 1'!G31&lt;0,"0",'UTILITY REPORT 1'!G31)</f>
        <v>0</v>
      </c>
      <c r="J30" s="432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204.00000000008731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58.87</v>
      </c>
      <c r="F15" s="466">
        <f>'UTILITY REPORT 1'!E16</f>
        <v>974.17000000000007</v>
      </c>
      <c r="G15" s="467">
        <f>'UTILITY REPORT 1'!F16</f>
        <v>2264</v>
      </c>
      <c r="H15" s="466">
        <f>IF('Kit report'!F17&lt;0,"0",'Kit report'!F17)</f>
        <v>203.99999999986903</v>
      </c>
      <c r="I15" s="466">
        <f>IF('Kit report'!X17&lt;0,"0",'Kit report'!X17)</f>
        <v>60.00000000003638</v>
      </c>
      <c r="J15" s="466">
        <f>IF('Utility summery'!H19&lt;0,"0",'Utility summery'!H19)</f>
        <v>29</v>
      </c>
      <c r="K15" s="467">
        <f>IF('UTILITY REPORT 1'!H16&lt;0,"0",'UTILITY REPORT 1'!H16)</f>
        <v>20</v>
      </c>
      <c r="L15" s="466">
        <f>'Water-Meter'!K19</f>
        <v>0</v>
      </c>
      <c r="M15" s="467">
        <f>'Water-Meter'!H19</f>
        <v>0</v>
      </c>
      <c r="N15" s="467">
        <f>'Water-Meter'!Q19</f>
        <v>2</v>
      </c>
      <c r="O15" s="466" t="e">
        <f>K15*E15+H15*I15+#REF!*#REF!+J15*L15</f>
        <v>#REF!</v>
      </c>
      <c r="P15" s="472">
        <f>'Water-Meter'!E19</f>
        <v>43</v>
      </c>
      <c r="Q15" s="243">
        <f>IF('Water-Meter'!U19&lt;0,"0",'Water-Meter'!U19)</f>
        <v>47</v>
      </c>
      <c r="R15" s="243">
        <f>IF('Water-Meter'!X19&lt;0,"0",'Water-Meter'!X19)</f>
        <v>0</v>
      </c>
      <c r="S15" s="243">
        <f>IF('Water-Meter'!AA19&lt;0,"0",'Water-Meter'!AA19)</f>
        <v>37</v>
      </c>
      <c r="T15" s="243">
        <f>IF('Water-Meter'!AD19&lt;0,"0",'Water-Meter'!AD19)</f>
        <v>20</v>
      </c>
      <c r="U15" s="243">
        <f>IF('Water-Meter'!AG19&lt;0,"0",'Water-Meter'!AG19)</f>
        <v>0</v>
      </c>
      <c r="V15" s="243">
        <f>IF('Water-Meter'!AJ19&lt;0,"0",'Water-Meter'!AJ19)</f>
        <v>20</v>
      </c>
      <c r="W15" s="31">
        <f>'Water-Meter'!AN19</f>
        <v>124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1042.8800000000001</v>
      </c>
      <c r="G16" s="467">
        <f>'UTILITY REPORT 1'!F17</f>
        <v>2360</v>
      </c>
      <c r="H16" s="466">
        <f>IF('Kit report'!F18&lt;0,"0",'Kit report'!F18)</f>
        <v>204.00000000008731</v>
      </c>
      <c r="I16" s="466">
        <f>IF('Kit report'!X18&lt;0,"0",'Kit report'!X18)</f>
        <v>160.00000000003638</v>
      </c>
      <c r="J16" s="466">
        <f>IF('Utility summery'!H20&lt;0,"0",'Utility summery'!H20)</f>
        <v>34</v>
      </c>
      <c r="K16" s="467">
        <f>IF('UTILITY REPORT 1'!H17&lt;0,"0",'UTILITY REPORT 1'!H17)</f>
        <v>45</v>
      </c>
      <c r="L16" s="466">
        <f>'Water-Meter'!K20</f>
        <v>1</v>
      </c>
      <c r="M16" s="467">
        <f>'Water-Meter'!H20</f>
        <v>0</v>
      </c>
      <c r="N16" s="467">
        <f>'Water-Meter'!Q20</f>
        <v>2</v>
      </c>
      <c r="O16" s="466" t="e">
        <f>K16*E16+H16*I16+#REF!*#REF!+J16*L16</f>
        <v>#REF!</v>
      </c>
      <c r="P16" s="472">
        <f>'Water-Meter'!E20</f>
        <v>48</v>
      </c>
      <c r="Q16" s="243">
        <f>IF('Water-Meter'!U20&lt;0,"0",'Water-Meter'!U20)</f>
        <v>31</v>
      </c>
      <c r="R16" s="243">
        <f>IF('Water-Meter'!X20&lt;0,"0",'Water-Meter'!X20)</f>
        <v>0</v>
      </c>
      <c r="S16" s="243">
        <f>IF('Water-Meter'!AA20&lt;0,"0",'Water-Meter'!AA20)</f>
        <v>36</v>
      </c>
      <c r="T16" s="243">
        <f>IF('Water-Meter'!AD20&lt;0,"0",'Water-Meter'!AD20)</f>
        <v>19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108</v>
      </c>
      <c r="X16" s="483">
        <f>Total!K16</f>
        <v>5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102.83999999999999</v>
      </c>
      <c r="F17" s="466">
        <f>'UTILITY REPORT 1'!E18</f>
        <v>1176.97</v>
      </c>
      <c r="G17" s="467">
        <f>'UTILITY REPORT 1'!F18</f>
        <v>2740</v>
      </c>
      <c r="H17" s="466">
        <f>IF('Kit report'!F19&lt;0,"0",'Kit report'!F19)</f>
        <v>227.99999999995634</v>
      </c>
      <c r="I17" s="466">
        <f>IF('Kit report'!X19&lt;0,"0",'Kit report'!X19)</f>
        <v>60.00000000003638</v>
      </c>
      <c r="J17" s="466">
        <f>IF('Utility summery'!H21&lt;0,"0",'Utility summery'!H21)</f>
        <v>43</v>
      </c>
      <c r="K17" s="467">
        <f>IF('UTILITY REPORT 1'!H18&lt;0,"0",'UTILITY REPORT 1'!H18)</f>
        <v>60</v>
      </c>
      <c r="L17" s="466">
        <f>'Water-Meter'!K21</f>
        <v>1</v>
      </c>
      <c r="M17" s="467">
        <f>'Water-Meter'!H21</f>
        <v>0</v>
      </c>
      <c r="N17" s="467">
        <f>'Water-Meter'!Q21</f>
        <v>3</v>
      </c>
      <c r="O17" s="466" t="e">
        <f>K17*E17+H17*I17+#REF!*#REF!+J17*L17</f>
        <v>#REF!</v>
      </c>
      <c r="P17" s="472">
        <f>'Water-Meter'!E21</f>
        <v>56</v>
      </c>
      <c r="Q17" s="243">
        <f>IF('Water-Meter'!U21&lt;0,"0",'Water-Meter'!U21)</f>
        <v>30</v>
      </c>
      <c r="R17" s="243">
        <f>IF('Water-Meter'!X21&lt;0,"0",'Water-Meter'!X21)</f>
        <v>0</v>
      </c>
      <c r="S17" s="243">
        <f>IF('Water-Meter'!AA21&lt;0,"0",'Water-Meter'!AA21)</f>
        <v>35</v>
      </c>
      <c r="T17" s="243">
        <f>IF('Water-Meter'!AD21&lt;0,"0",'Water-Meter'!AD21)</f>
        <v>18</v>
      </c>
      <c r="U17" s="243">
        <f>IF('Water-Meter'!AG21&lt;0,"0",'Water-Meter'!AG21)</f>
        <v>0</v>
      </c>
      <c r="V17" s="243">
        <f>IF('Water-Meter'!AJ21&lt;0,"0",'Water-Meter'!AJ21)</f>
        <v>23</v>
      </c>
      <c r="W17" s="31">
        <f>'Water-Meter'!AN21</f>
        <v>106</v>
      </c>
      <c r="X17" s="483">
        <f>Total!K17</f>
        <v>10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163</v>
      </c>
      <c r="F18" s="466">
        <f>'UTILITY REPORT 1'!E19</f>
        <v>997.16000000000008</v>
      </c>
      <c r="G18" s="467">
        <f>'UTILITY REPORT 1'!F19</f>
        <v>2624</v>
      </c>
      <c r="H18" s="466">
        <f>IF('Kit report'!F20&lt;0,"0",'Kit report'!F20)</f>
        <v>252.00000000004366</v>
      </c>
      <c r="I18" s="466">
        <f>IF('Kit report'!X20&lt;0,"0",'Kit report'!X20)</f>
        <v>79.99999999992724</v>
      </c>
      <c r="J18" s="466">
        <f>IF('Utility summery'!H22&lt;0,"0",'Utility summery'!H22)</f>
        <v>47</v>
      </c>
      <c r="K18" s="467">
        <f>IF('UTILITY REPORT 1'!H19&lt;0,"0",'UTILITY REPORT 1'!H19)</f>
        <v>84</v>
      </c>
      <c r="L18" s="466">
        <f>'Water-Meter'!K22</f>
        <v>0</v>
      </c>
      <c r="M18" s="467">
        <f>'Water-Meter'!H22</f>
        <v>0</v>
      </c>
      <c r="N18" s="467">
        <f>'Water-Meter'!Q22</f>
        <v>4</v>
      </c>
      <c r="O18" s="466" t="e">
        <f>K18*E18+H18*I18+#REF!*#REF!+J18*L18</f>
        <v>#REF!</v>
      </c>
      <c r="P18" s="472">
        <f>'Water-Meter'!E22</f>
        <v>71</v>
      </c>
      <c r="Q18" s="243">
        <f>IF('Water-Meter'!U22&lt;0,"0",'Water-Meter'!U22)</f>
        <v>0</v>
      </c>
      <c r="R18" s="243">
        <f>IF('Water-Meter'!X22&lt;0,"0",'Water-Meter'!X22)</f>
        <v>1</v>
      </c>
      <c r="S18" s="243">
        <f>IF('Water-Meter'!AA22&lt;0,"0",'Water-Meter'!AA22)</f>
        <v>35</v>
      </c>
      <c r="T18" s="243">
        <f>IF('Water-Meter'!AD22&lt;0,"0",'Water-Meter'!AD22)</f>
        <v>18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77</v>
      </c>
      <c r="X18" s="483">
        <f>Total!K18</f>
        <v>12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0</v>
      </c>
      <c r="F19" s="466">
        <f>'UTILITY REPORT 1'!E20</f>
        <v>0</v>
      </c>
      <c r="G19" s="467">
        <f>'UTILITY REPORT 1'!F20</f>
        <v>0</v>
      </c>
      <c r="H19" s="466" t="str">
        <f>IF('Kit report'!F21&lt;0,"0",'Kit report'!F21)</f>
        <v>0</v>
      </c>
      <c r="I19" s="466" t="str">
        <f>IF('Kit report'!X21&lt;0,"0",'Kit report'!X21)</f>
        <v>0</v>
      </c>
      <c r="J19" s="466" t="str">
        <f>IF('Utility summery'!H23&lt;0,"0",'Utility summery'!H23)</f>
        <v>0</v>
      </c>
      <c r="K19" s="467" t="str">
        <f>IF('UTILITY REPORT 1'!H20&lt;0,"0",'UTILITY REPORT 1'!H20)</f>
        <v>0</v>
      </c>
      <c r="L19" s="466" t="str">
        <f>'Water-Meter'!K23</f>
        <v>0</v>
      </c>
      <c r="M19" s="467" t="str">
        <f>'Water-Meter'!H23</f>
        <v>0</v>
      </c>
      <c r="N19" s="467" t="str">
        <f>'Water-Meter'!Q23</f>
        <v>0</v>
      </c>
      <c r="O19" s="466" t="e">
        <f>K19*E19+H19*I19+#REF!*#REF!+J19*L19</f>
        <v>#REF!</v>
      </c>
      <c r="P19" s="472" t="str">
        <f>'Water-Meter'!E23</f>
        <v>0</v>
      </c>
      <c r="Q19" s="243" t="str">
        <f>IF('Water-Meter'!U23&lt;0,"0",'Water-Meter'!U23)</f>
        <v>0</v>
      </c>
      <c r="R19" s="243" t="str">
        <f>IF('Water-Meter'!X23&lt;0,"0",'Water-Meter'!X23)</f>
        <v>0</v>
      </c>
      <c r="S19" s="243" t="str">
        <f>IF('Water-Meter'!AA23&lt;0,"0",'Water-Meter'!AA23)</f>
        <v>0</v>
      </c>
      <c r="T19" s="243" t="str">
        <f>IF('Water-Meter'!AD23&lt;0,"0",'Water-Meter'!AD23)</f>
        <v>0</v>
      </c>
      <c r="U19" s="243" t="str">
        <f>IF('Water-Meter'!AG23&lt;0,"0",'Water-Meter'!AG23)</f>
        <v>0</v>
      </c>
      <c r="V19" s="243" t="str">
        <f>IF('Water-Meter'!AJ23&lt;0,"0",'Water-Meter'!AJ23)</f>
        <v>0</v>
      </c>
      <c r="W19" s="31">
        <f>'Water-Meter'!AN23</f>
        <v>0</v>
      </c>
      <c r="X19" s="483">
        <f>Total!K19</f>
        <v>12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0</v>
      </c>
      <c r="F20" s="466">
        <f>'UTILITY REPORT 1'!E21</f>
        <v>0</v>
      </c>
      <c r="G20" s="467">
        <f>'UTILITY REPORT 1'!F21</f>
        <v>0</v>
      </c>
      <c r="H20" s="466">
        <f>IF('Kit report'!F22&lt;0,"0",'Kit report'!F22)</f>
        <v>0</v>
      </c>
      <c r="I20" s="466">
        <f>IF('Kit report'!X22&lt;0,"0",'Kit report'!X22)</f>
        <v>0</v>
      </c>
      <c r="J20" s="466">
        <f>IF('Utility summery'!H24&lt;0,"0",'Utility summery'!H24)</f>
        <v>0</v>
      </c>
      <c r="K20" s="467">
        <f>IF('UTILITY REPORT 1'!H21&lt;0,"0",'UTILITY REPORT 1'!H21)</f>
        <v>0</v>
      </c>
      <c r="L20" s="466">
        <f>'Water-Meter'!K24</f>
        <v>0</v>
      </c>
      <c r="M20" s="467">
        <f>'Water-Meter'!H24</f>
        <v>0</v>
      </c>
      <c r="N20" s="467">
        <f>'Water-Meter'!Q24</f>
        <v>0</v>
      </c>
      <c r="O20" s="466" t="e">
        <f>K20*E20+H20*I20+#REF!*#REF!+J20*L20</f>
        <v>#REF!</v>
      </c>
      <c r="P20" s="472">
        <f>'Water-Meter'!E24</f>
        <v>0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0</v>
      </c>
      <c r="T20" s="243">
        <f>IF('Water-Meter'!AD24&lt;0,"0",'Water-Meter'!AD24)</f>
        <v>0</v>
      </c>
      <c r="U20" s="243">
        <f>IF('Water-Meter'!AG24&lt;0,"0",'Water-Meter'!AG24)</f>
        <v>0</v>
      </c>
      <c r="V20" s="243">
        <f>IF('Water-Meter'!AJ24&lt;0,"0",'Water-Meter'!AJ24)</f>
        <v>0</v>
      </c>
      <c r="W20" s="31">
        <f>'Water-Meter'!AN24</f>
        <v>0</v>
      </c>
      <c r="X20" s="483">
        <f>Total!K20</f>
        <v>0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0</v>
      </c>
      <c r="F21" s="466">
        <f>'UTILITY REPORT 1'!E22</f>
        <v>0</v>
      </c>
      <c r="G21" s="467">
        <f>'UTILITY REPORT 1'!F22</f>
        <v>0</v>
      </c>
      <c r="H21" s="466">
        <f>IF('Kit report'!F23&lt;0,"0",'Kit report'!F23)</f>
        <v>0</v>
      </c>
      <c r="I21" s="466">
        <f>IF('Kit report'!X23&lt;0,"0",'Kit report'!X23)</f>
        <v>0</v>
      </c>
      <c r="J21" s="466">
        <f>IF('Utility summery'!H25&lt;0,"0",'Utility summery'!H25)</f>
        <v>0</v>
      </c>
      <c r="K21" s="467">
        <f>IF('UTILITY REPORT 1'!H22&lt;0,"0",'UTILITY REPORT 1'!H22)</f>
        <v>0</v>
      </c>
      <c r="L21" s="466">
        <f>'Water-Meter'!K25</f>
        <v>0</v>
      </c>
      <c r="M21" s="467">
        <f>'Water-Meter'!H25</f>
        <v>0</v>
      </c>
      <c r="N21" s="467">
        <f>'Water-Meter'!Q25</f>
        <v>0</v>
      </c>
      <c r="O21" s="466" t="e">
        <f>K21*E21+H21*I21+#REF!*#REF!+J21*L21</f>
        <v>#REF!</v>
      </c>
      <c r="P21" s="472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83">
        <f>Total!K21</f>
        <v>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0</v>
      </c>
      <c r="F22" s="466">
        <f>'UTILITY REPORT 1'!E23</f>
        <v>0</v>
      </c>
      <c r="G22" s="467">
        <f>'UTILITY REPORT 1'!F23</f>
        <v>0</v>
      </c>
      <c r="H22" s="466">
        <f>IF('Kit report'!F24&lt;0,"0",'Kit report'!F24)</f>
        <v>0</v>
      </c>
      <c r="I22" s="466">
        <f>IF('Kit report'!X24&lt;0,"0",'Kit report'!X24)</f>
        <v>0</v>
      </c>
      <c r="J22" s="466">
        <f>IF('Utility summery'!H26&lt;0,"0",'Utility summery'!H26)</f>
        <v>0</v>
      </c>
      <c r="K22" s="467">
        <f>IF('UTILITY REPORT 1'!H23&lt;0,"0",'UTILITY REPORT 1'!H23)</f>
        <v>0</v>
      </c>
      <c r="L22" s="466">
        <f>'Water-Meter'!K26</f>
        <v>0</v>
      </c>
      <c r="M22" s="467">
        <f>'Water-Meter'!H26</f>
        <v>0</v>
      </c>
      <c r="N22" s="467">
        <f>'Water-Meter'!Q26</f>
        <v>0</v>
      </c>
      <c r="O22" s="466" t="e">
        <f>K22*E22+H22*I22+#REF!*#REF!+J22*L22</f>
        <v>#REF!</v>
      </c>
      <c r="P22" s="472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83">
        <f>Total!K22</f>
        <v>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0</v>
      </c>
      <c r="G23" s="467">
        <f>'UTILITY REPORT 1'!F24</f>
        <v>0</v>
      </c>
      <c r="H23" s="466">
        <f>IF('Kit report'!F25&lt;0,"0",'Kit report'!F25)</f>
        <v>0</v>
      </c>
      <c r="I23" s="466">
        <f>IF('Kit report'!X25&lt;0,"0",'Kit report'!X25)</f>
        <v>0</v>
      </c>
      <c r="J23" s="466">
        <f>IF('Utility summery'!H27&lt;0,"0",'Utility summery'!H27)</f>
        <v>0</v>
      </c>
      <c r="K23" s="467">
        <f>IF('UTILITY REPORT 1'!H24&lt;0,"0",'UTILITY REPORT 1'!H24)</f>
        <v>0</v>
      </c>
      <c r="L23" s="466">
        <f>'Water-Meter'!K27</f>
        <v>0</v>
      </c>
      <c r="M23" s="467">
        <f>'Water-Meter'!H27</f>
        <v>0</v>
      </c>
      <c r="N23" s="467">
        <f>'Water-Meter'!Q27</f>
        <v>0</v>
      </c>
      <c r="O23" s="466" t="e">
        <f>K23*E23+H23*I23+#REF!*#REF!+J23*L23</f>
        <v>#REF!</v>
      </c>
      <c r="P23" s="472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83">
        <f>Total!K23</f>
        <v>0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0</v>
      </c>
      <c r="G24" s="467">
        <f>'UTILITY REPORT 1'!F25</f>
        <v>0</v>
      </c>
      <c r="H24" s="466">
        <f>IF('Kit report'!F26&lt;0,"0",'Kit report'!F26)</f>
        <v>0</v>
      </c>
      <c r="I24" s="466">
        <f>IF('Kit report'!X26&lt;0,"0",'Kit report'!X26)</f>
        <v>0</v>
      </c>
      <c r="J24" s="466">
        <f>IF('Utility summery'!H28&lt;0,"0",'Utility summery'!H28)</f>
        <v>0</v>
      </c>
      <c r="K24" s="467">
        <f>IF('UTILITY REPORT 1'!H25&lt;0,"0",'UTILITY REPORT 1'!H25)</f>
        <v>0</v>
      </c>
      <c r="L24" s="466">
        <f>'Water-Meter'!K28</f>
        <v>0</v>
      </c>
      <c r="M24" s="467">
        <f>'Water-Meter'!H28</f>
        <v>0</v>
      </c>
      <c r="N24" s="467">
        <f>'Water-Meter'!Q28</f>
        <v>0</v>
      </c>
      <c r="O24" s="466" t="e">
        <f>K24*E24+H24*I24+#REF!*#REF!+J24*L24</f>
        <v>#REF!</v>
      </c>
      <c r="P24" s="472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83">
        <f>Total!K24</f>
        <v>0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0</v>
      </c>
      <c r="F25" s="466">
        <f>'UTILITY REPORT 1'!E26</f>
        <v>0</v>
      </c>
      <c r="G25" s="467">
        <f>'UTILITY REPORT 1'!F26</f>
        <v>0</v>
      </c>
      <c r="H25" s="466">
        <f>IF('Kit report'!F27&lt;0,"0",'Kit report'!F27)</f>
        <v>0</v>
      </c>
      <c r="I25" s="466">
        <f>IF('Kit report'!X27&lt;0,"0",'Kit report'!X27)</f>
        <v>0</v>
      </c>
      <c r="J25" s="466">
        <f>IF('Utility summery'!H29&lt;0,"0",'Utility summery'!H29)</f>
        <v>0</v>
      </c>
      <c r="K25" s="467">
        <f>IF('UTILITY REPORT 1'!H26&lt;0,"0",'UTILITY REPORT 1'!H26)</f>
        <v>0</v>
      </c>
      <c r="L25" s="466">
        <f>'Water-Meter'!K29</f>
        <v>0</v>
      </c>
      <c r="M25" s="467">
        <f>'Water-Meter'!H29</f>
        <v>0</v>
      </c>
      <c r="N25" s="467">
        <f>'Water-Meter'!Q29</f>
        <v>0</v>
      </c>
      <c r="O25" s="466" t="e">
        <f>K25*E25+H25*I25+#REF!*#REF!+J25*L25</f>
        <v>#REF!</v>
      </c>
      <c r="P25" s="472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83">
        <f>Total!K25</f>
        <v>0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0</v>
      </c>
      <c r="G26" s="467">
        <f>'UTILITY REPORT 1'!F27</f>
        <v>0</v>
      </c>
      <c r="H26" s="466">
        <f>IF('Kit report'!F28&lt;0,"0",'Kit report'!F28)</f>
        <v>0</v>
      </c>
      <c r="I26" s="466">
        <f>IF('Kit report'!X28&lt;0,"0",'Kit report'!X28)</f>
        <v>0</v>
      </c>
      <c r="J26" s="466">
        <f>IF('Utility summery'!H30&lt;0,"0",'Utility summery'!H30)</f>
        <v>0</v>
      </c>
      <c r="K26" s="467">
        <f>IF('UTILITY REPORT 1'!H27&lt;0,"0",'UTILITY REPORT 1'!H27)</f>
        <v>0</v>
      </c>
      <c r="L26" s="466">
        <f>'Water-Meter'!K30</f>
        <v>0</v>
      </c>
      <c r="M26" s="467">
        <f>'Water-Meter'!H30</f>
        <v>0</v>
      </c>
      <c r="N26" s="467">
        <f>'Water-Meter'!Q30</f>
        <v>0</v>
      </c>
      <c r="O26" s="466" t="e">
        <f>K26*E26+H26*I26+#REF!*#REF!+J26*L26</f>
        <v>#REF!</v>
      </c>
      <c r="P26" s="472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3">
        <f>Total!K26</f>
        <v>0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0</v>
      </c>
      <c r="G27" s="467">
        <f>'UTILITY REPORT 1'!F28</f>
        <v>0</v>
      </c>
      <c r="H27" s="466">
        <f>IF('Kit report'!F29&lt;0,"0",'Kit report'!F29)</f>
        <v>0</v>
      </c>
      <c r="I27" s="466">
        <f>IF('Kit report'!X29&lt;0,"0",'Kit report'!X29)</f>
        <v>0</v>
      </c>
      <c r="J27" s="466">
        <f>IF('Utility summery'!H31&lt;0,"0",'Utility summery'!H31)</f>
        <v>0</v>
      </c>
      <c r="K27" s="467">
        <f>IF('UTILITY REPORT 1'!H28&lt;0,"0",'UTILITY REPORT 1'!H28)</f>
        <v>0</v>
      </c>
      <c r="L27" s="466">
        <f>'Water-Meter'!K31</f>
        <v>0</v>
      </c>
      <c r="M27" s="467">
        <f>'Water-Meter'!H31</f>
        <v>0</v>
      </c>
      <c r="N27" s="467">
        <f>'Water-Meter'!Q31</f>
        <v>0</v>
      </c>
      <c r="O27" s="466" t="e">
        <f>K27*E27+H27*I27+#REF!*#REF!+J27*L27</f>
        <v>#REF!</v>
      </c>
      <c r="P27" s="472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3">
        <f>Total!K27</f>
        <v>0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0</v>
      </c>
      <c r="F28" s="466">
        <f>'UTILITY REPORT 1'!E29</f>
        <v>0</v>
      </c>
      <c r="G28" s="467">
        <f>'UTILITY REPORT 1'!F29</f>
        <v>0</v>
      </c>
      <c r="H28" s="466">
        <f>IF('Kit report'!F30&lt;0,"0",'Kit report'!F30)</f>
        <v>0</v>
      </c>
      <c r="I28" s="466">
        <f>IF('Kit report'!X30&lt;0,"0",'Kit report'!X30)</f>
        <v>0</v>
      </c>
      <c r="J28" s="466">
        <f>IF('Utility summery'!H32&lt;0,"0",'Utility summery'!H32)</f>
        <v>0</v>
      </c>
      <c r="K28" s="467">
        <f>IF('UTILITY REPORT 1'!H29&lt;0,"0",'UTILITY REPORT 1'!H29)</f>
        <v>0</v>
      </c>
      <c r="L28" s="466">
        <f>'Water-Meter'!K32</f>
        <v>0</v>
      </c>
      <c r="M28" s="467">
        <f>'Water-Meter'!H32</f>
        <v>0</v>
      </c>
      <c r="N28" s="467">
        <f>'Water-Meter'!Q32</f>
        <v>0</v>
      </c>
      <c r="O28" s="466" t="e">
        <f>K28*E28+H28*I28+#REF!*#REF!+J28*L28</f>
        <v>#REF!</v>
      </c>
      <c r="P28" s="472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3">
        <f>Total!K28</f>
        <v>0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0</v>
      </c>
      <c r="F29" s="466">
        <f>'UTILITY REPORT 1'!E30</f>
        <v>0</v>
      </c>
      <c r="G29" s="467">
        <f>'UTILITY REPORT 1'!F30</f>
        <v>0</v>
      </c>
      <c r="H29" s="466">
        <f>IF('Kit report'!F31&lt;0,"0",'Kit report'!F31)</f>
        <v>0</v>
      </c>
      <c r="I29" s="466">
        <f>IF('Kit report'!X31&lt;0,"0",'Kit report'!X31)</f>
        <v>0</v>
      </c>
      <c r="J29" s="466">
        <f>IF('Utility summery'!H33&lt;0,"0",'Utility summery'!H33)</f>
        <v>0</v>
      </c>
      <c r="K29" s="467">
        <f>IF('UTILITY REPORT 1'!H30&lt;0,"0",'UTILITY REPORT 1'!H30)</f>
        <v>0</v>
      </c>
      <c r="L29" s="466">
        <f>'Water-Meter'!K33</f>
        <v>0</v>
      </c>
      <c r="M29" s="467">
        <f>'Water-Meter'!H33</f>
        <v>0</v>
      </c>
      <c r="N29" s="467">
        <f>'Water-Meter'!Q33</f>
        <v>0</v>
      </c>
      <c r="O29" s="466" t="e">
        <f>K29*E29+H29*I29+#REF!*#REF!+J29*L29</f>
        <v>#REF!</v>
      </c>
      <c r="P29" s="472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3">
        <f>Total!K29</f>
        <v>0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>
        <f>IF('Kit report'!F32&lt;0,"0",'Kit report'!F32)</f>
        <v>0</v>
      </c>
      <c r="I30" s="466">
        <f>IF('Kit report'!X32&lt;0,"0",'Kit report'!X32)</f>
        <v>0</v>
      </c>
      <c r="J30" s="466">
        <f>IF('Utility summery'!H34&lt;0,"0",'Utility summery'!H34)</f>
        <v>0</v>
      </c>
      <c r="K30" s="467">
        <f>IF('UTILITY REPORT 1'!H31&lt;0,"0",'UTILITY REPORT 1'!H31)</f>
        <v>0</v>
      </c>
      <c r="L30" s="466">
        <f>'Water-Meter'!K34</f>
        <v>0</v>
      </c>
      <c r="M30" s="467">
        <f>'Water-Meter'!H34</f>
        <v>0</v>
      </c>
      <c r="N30" s="467">
        <f>'Water-Meter'!Q34</f>
        <v>0</v>
      </c>
      <c r="O30" s="466" t="e">
        <f>K30*E30+H30*I30+#REF!*#REF!+J30*L30</f>
        <v>#REF!</v>
      </c>
      <c r="P30" s="472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3">
        <f>Total!K30</f>
        <v>0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8" t="s">
        <v>315</v>
      </c>
      <c r="B1" s="848"/>
      <c r="C1" s="848"/>
      <c r="D1" s="848"/>
      <c r="E1" s="848"/>
      <c r="F1" s="848"/>
      <c r="G1" s="848"/>
      <c r="H1" s="848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974.17000000000007</v>
      </c>
      <c r="F16" s="413">
        <f>Gen!U24</f>
        <v>2264</v>
      </c>
      <c r="G16" s="413">
        <f>'Water-Meter'!E19</f>
        <v>43</v>
      </c>
      <c r="H16" s="413">
        <f>'Utility report '!AC19</f>
        <v>20</v>
      </c>
      <c r="I16" s="413">
        <f>Gen!AK24</f>
        <v>58.87</v>
      </c>
    </row>
    <row r="17" spans="1:9" ht="13.5">
      <c r="A17" s="410">
        <f>Gen!B25</f>
        <v>44119</v>
      </c>
      <c r="B17" s="412">
        <f>Gen!C25</f>
        <v>5.1900000000000002E-2</v>
      </c>
      <c r="C17" s="413">
        <f>'Summery Report'!E19</f>
        <v>5</v>
      </c>
      <c r="D17" s="414">
        <v>1</v>
      </c>
      <c r="E17" s="413">
        <f>Gen!T25</f>
        <v>1042.8800000000001</v>
      </c>
      <c r="F17" s="413">
        <f>Gen!U25</f>
        <v>2360</v>
      </c>
      <c r="G17" s="413">
        <f>'Water-Meter'!E20</f>
        <v>48</v>
      </c>
      <c r="H17" s="413">
        <f>'Utility report '!AC20</f>
        <v>45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0.1169</v>
      </c>
      <c r="C18" s="413">
        <f>'Summery Report'!E20</f>
        <v>10</v>
      </c>
      <c r="D18" s="414">
        <v>1</v>
      </c>
      <c r="E18" s="413">
        <f>Gen!T26</f>
        <v>1176.97</v>
      </c>
      <c r="F18" s="413">
        <f>Gen!U26</f>
        <v>2740</v>
      </c>
      <c r="G18" s="413">
        <f>'Water-Meter'!E21</f>
        <v>56</v>
      </c>
      <c r="H18" s="413">
        <f>'Utility report '!AC21</f>
        <v>60</v>
      </c>
      <c r="I18" s="413">
        <f>Gen!AK26</f>
        <v>102.83999999999999</v>
      </c>
    </row>
    <row r="19" spans="1:9" ht="13.5">
      <c r="A19" s="410">
        <f>Gen!B27</f>
        <v>44121</v>
      </c>
      <c r="B19" s="412">
        <f>Gen!C27</f>
        <v>0.15790000000000001</v>
      </c>
      <c r="C19" s="413">
        <f>'Summery Report'!E21</f>
        <v>12</v>
      </c>
      <c r="D19" s="414">
        <v>1</v>
      </c>
      <c r="E19" s="413">
        <f>Gen!T27</f>
        <v>997.16000000000008</v>
      </c>
      <c r="F19" s="413">
        <f>Gen!U27</f>
        <v>2624</v>
      </c>
      <c r="G19" s="413">
        <f>'Water-Meter'!E22</f>
        <v>71</v>
      </c>
      <c r="H19" s="413">
        <f>'Utility report '!AC22</f>
        <v>84</v>
      </c>
      <c r="I19" s="413">
        <f>Gen!AK27</f>
        <v>163</v>
      </c>
    </row>
    <row r="20" spans="1:9" ht="13.5">
      <c r="A20" s="410">
        <f>Gen!B28</f>
        <v>44122</v>
      </c>
      <c r="B20" s="412">
        <f>Gen!C28</f>
        <v>0.15790000000000001</v>
      </c>
      <c r="C20" s="413">
        <f>'Summery Report'!E22</f>
        <v>12</v>
      </c>
      <c r="D20" s="414">
        <v>1</v>
      </c>
      <c r="E20" s="413">
        <f>Gen!T28</f>
        <v>0</v>
      </c>
      <c r="F20" s="413">
        <f>Gen!U28</f>
        <v>0</v>
      </c>
      <c r="G20" s="413" t="str">
        <f>'Water-Meter'!E23</f>
        <v>0</v>
      </c>
      <c r="H20" s="413">
        <f>'Utility report '!AC23</f>
        <v>-40175</v>
      </c>
      <c r="I20" s="413">
        <f>Gen!AK28</f>
        <v>0</v>
      </c>
    </row>
    <row r="21" spans="1:9" ht="13.5">
      <c r="A21" s="410">
        <f>Gen!B29</f>
        <v>44123</v>
      </c>
      <c r="B21" s="412">
        <f>Gen!C29</f>
        <v>0</v>
      </c>
      <c r="C21" s="413">
        <f>'Summery Report'!E23</f>
        <v>0</v>
      </c>
      <c r="D21" s="414">
        <v>1</v>
      </c>
      <c r="E21" s="413">
        <f>Gen!T29</f>
        <v>0</v>
      </c>
      <c r="F21" s="413">
        <f>Gen!U29</f>
        <v>0</v>
      </c>
      <c r="G21" s="413">
        <f>'Water-Meter'!E24</f>
        <v>0</v>
      </c>
      <c r="H21" s="413">
        <f>'Utility report '!AC24</f>
        <v>0</v>
      </c>
      <c r="I21" s="413">
        <f>Gen!AK29</f>
        <v>0</v>
      </c>
    </row>
    <row r="22" spans="1:9" ht="13.5">
      <c r="A22" s="410">
        <f>Gen!B30</f>
        <v>44124</v>
      </c>
      <c r="B22" s="412">
        <f>Gen!C30</f>
        <v>0</v>
      </c>
      <c r="C22" s="413">
        <f>'Summery Report'!E24</f>
        <v>0</v>
      </c>
      <c r="D22" s="414">
        <v>1</v>
      </c>
      <c r="E22" s="413">
        <f>Gen!T30</f>
        <v>0</v>
      </c>
      <c r="F22" s="413">
        <f>Gen!U30</f>
        <v>0</v>
      </c>
      <c r="G22" s="413">
        <f>'Water-Meter'!E25</f>
        <v>0</v>
      </c>
      <c r="H22" s="413">
        <f>'Utility report '!AC25</f>
        <v>0</v>
      </c>
      <c r="I22" s="413">
        <f>Gen!AK30</f>
        <v>0</v>
      </c>
    </row>
    <row r="23" spans="1:9" ht="13.5">
      <c r="A23" s="410">
        <f>Gen!B31</f>
        <v>44125</v>
      </c>
      <c r="B23" s="412">
        <f>Gen!C31</f>
        <v>0</v>
      </c>
      <c r="C23" s="413">
        <f>'Summery Report'!E25</f>
        <v>0</v>
      </c>
      <c r="D23" s="414">
        <v>1</v>
      </c>
      <c r="E23" s="413">
        <f>Gen!T31</f>
        <v>0</v>
      </c>
      <c r="F23" s="413">
        <f>Gen!U31</f>
        <v>0</v>
      </c>
      <c r="G23" s="413">
        <f>'Water-Meter'!E26</f>
        <v>0</v>
      </c>
      <c r="H23" s="413">
        <f>'Utility report '!AC26</f>
        <v>0</v>
      </c>
      <c r="I23" s="413">
        <f>Gen!AK31</f>
        <v>0</v>
      </c>
    </row>
    <row r="24" spans="1:9" ht="13.5">
      <c r="A24" s="410">
        <f>Gen!B32</f>
        <v>44126</v>
      </c>
      <c r="B24" s="412">
        <f>Gen!C32</f>
        <v>0</v>
      </c>
      <c r="C24" s="413">
        <f>'Summery Report'!E26</f>
        <v>0</v>
      </c>
      <c r="D24" s="414">
        <v>1</v>
      </c>
      <c r="E24" s="413">
        <f>Gen!T32</f>
        <v>0</v>
      </c>
      <c r="F24" s="413">
        <f>Gen!U32</f>
        <v>0</v>
      </c>
      <c r="G24" s="413">
        <f>'Water-Meter'!E27</f>
        <v>0</v>
      </c>
      <c r="H24" s="413">
        <f>'Utility report '!AC27</f>
        <v>0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0</v>
      </c>
      <c r="C25" s="413">
        <f>'Summery Report'!E27</f>
        <v>0</v>
      </c>
      <c r="D25" s="414">
        <v>1</v>
      </c>
      <c r="E25" s="413">
        <f>Gen!T33</f>
        <v>0</v>
      </c>
      <c r="F25" s="413">
        <f>Gen!U33</f>
        <v>0</v>
      </c>
      <c r="G25" s="413">
        <f>'Water-Meter'!E28</f>
        <v>0</v>
      </c>
      <c r="H25" s="413">
        <f>'Utility report '!AC28</f>
        <v>0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0</v>
      </c>
      <c r="C26" s="413">
        <f>'Summery Report'!E28</f>
        <v>0</v>
      </c>
      <c r="D26" s="414">
        <v>1</v>
      </c>
      <c r="E26" s="413">
        <f>Gen!T34</f>
        <v>0</v>
      </c>
      <c r="F26" s="413">
        <f>Gen!U34</f>
        <v>0</v>
      </c>
      <c r="G26" s="413">
        <f>'Water-Meter'!E29</f>
        <v>0</v>
      </c>
      <c r="H26" s="413">
        <f>'Utility report '!AC29</f>
        <v>0</v>
      </c>
      <c r="I26" s="413">
        <f>Gen!AK34</f>
        <v>0</v>
      </c>
    </row>
    <row r="27" spans="1:9" ht="13.5">
      <c r="A27" s="410">
        <f>Gen!B35</f>
        <v>44129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44132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44133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9" t="s">
        <v>0</v>
      </c>
      <c r="B4" s="830" t="s">
        <v>141</v>
      </c>
      <c r="C4" s="831" t="s">
        <v>248</v>
      </c>
      <c r="D4" s="849" t="s">
        <v>135</v>
      </c>
      <c r="E4" s="849"/>
      <c r="F4" s="849"/>
      <c r="G4" s="850" t="s">
        <v>20</v>
      </c>
      <c r="H4" s="850"/>
      <c r="I4" s="850"/>
      <c r="J4" s="851" t="s">
        <v>54</v>
      </c>
      <c r="K4" s="851"/>
      <c r="L4" s="851"/>
      <c r="M4" s="851"/>
      <c r="N4" s="852" t="s">
        <v>143</v>
      </c>
      <c r="O4" s="852"/>
      <c r="P4" s="852"/>
      <c r="Q4" s="832"/>
      <c r="R4" s="832"/>
      <c r="S4" s="833"/>
    </row>
    <row r="5" spans="1:19" ht="25.5">
      <c r="A5" s="834"/>
      <c r="B5" s="835"/>
      <c r="C5" s="836"/>
      <c r="D5" s="837" t="s">
        <v>136</v>
      </c>
      <c r="E5" s="837" t="s">
        <v>137</v>
      </c>
      <c r="F5" s="837" t="s">
        <v>121</v>
      </c>
      <c r="G5" s="838" t="s">
        <v>138</v>
      </c>
      <c r="H5" s="838" t="s">
        <v>19</v>
      </c>
      <c r="I5" s="839" t="s">
        <v>139</v>
      </c>
      <c r="J5" s="840" t="s">
        <v>142</v>
      </c>
      <c r="K5" s="840" t="s">
        <v>140</v>
      </c>
      <c r="L5" s="840" t="s">
        <v>140</v>
      </c>
      <c r="M5" s="841" t="s">
        <v>18</v>
      </c>
      <c r="N5" s="842" t="s">
        <v>144</v>
      </c>
      <c r="O5" s="842" t="s">
        <v>146</v>
      </c>
      <c r="P5" s="843" t="s">
        <v>145</v>
      </c>
      <c r="Q5" s="844" t="s">
        <v>148</v>
      </c>
      <c r="R5" s="844" t="s">
        <v>147</v>
      </c>
      <c r="S5" s="845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2264</v>
      </c>
      <c r="D19" s="153">
        <f>Gen!T24</f>
        <v>974.17000000000007</v>
      </c>
      <c r="E19" s="153">
        <f>Gen!AK24</f>
        <v>58.87</v>
      </c>
      <c r="F19" s="153">
        <f>Gen!AS24</f>
        <v>1033.04</v>
      </c>
      <c r="G19" s="154">
        <f>'Utility report '!AC19</f>
        <v>20</v>
      </c>
      <c r="H19" s="154">
        <f>'Utility report '!AE19</f>
        <v>29</v>
      </c>
      <c r="I19" s="297">
        <f>'Water-Meter'!E19</f>
        <v>43</v>
      </c>
      <c r="J19" s="155">
        <f>'Lpg (2)'!B23</f>
        <v>69</v>
      </c>
      <c r="K19" s="155">
        <f>'Lpg (2)'!C24</f>
        <v>85</v>
      </c>
      <c r="L19" s="155">
        <f>'Lpg (2)'!D23</f>
        <v>85</v>
      </c>
      <c r="M19" s="459">
        <f>'Lpg (2)'!G23</f>
        <v>64.504000000015367</v>
      </c>
      <c r="N19" s="152">
        <f t="shared" si="2"/>
        <v>1363.838</v>
      </c>
      <c r="O19" s="152">
        <f t="shared" si="2"/>
        <v>82.417999999999992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681.91899999999998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5</v>
      </c>
      <c r="C20" s="6">
        <f>Gen!U25</f>
        <v>2360</v>
      </c>
      <c r="D20" s="153">
        <f>Gen!T25</f>
        <v>1042.8800000000001</v>
      </c>
      <c r="E20" s="153">
        <f>Gen!AK25</f>
        <v>0</v>
      </c>
      <c r="F20" s="153">
        <f>Gen!AS25</f>
        <v>1042.8800000000001</v>
      </c>
      <c r="G20" s="154">
        <f>'Utility report '!AC20</f>
        <v>45</v>
      </c>
      <c r="H20" s="154">
        <f>'Utility report '!AE20</f>
        <v>34</v>
      </c>
      <c r="I20" s="297">
        <f>'Water-Meter'!E20</f>
        <v>48</v>
      </c>
      <c r="J20" s="155">
        <f>'Lpg (2)'!B24</f>
        <v>68</v>
      </c>
      <c r="K20" s="155">
        <f>'Lpg (2)'!C25</f>
        <v>85</v>
      </c>
      <c r="L20" s="155">
        <f>'Lpg (2)'!D24</f>
        <v>85</v>
      </c>
      <c r="M20" s="459">
        <f>'Lpg (2)'!G24</f>
        <v>73.127999999979522</v>
      </c>
      <c r="N20" s="152">
        <f t="shared" si="2"/>
        <v>1460.0320000000002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292.00640000000004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10</v>
      </c>
      <c r="C21" s="6">
        <f>Gen!U26</f>
        <v>2740</v>
      </c>
      <c r="D21" s="153">
        <f>Gen!T26</f>
        <v>1176.97</v>
      </c>
      <c r="E21" s="153">
        <f>Gen!AK26</f>
        <v>102.83999999999999</v>
      </c>
      <c r="F21" s="153">
        <f>Gen!AS26</f>
        <v>1279.81</v>
      </c>
      <c r="G21" s="154">
        <f>'Utility report '!AC21</f>
        <v>60</v>
      </c>
      <c r="H21" s="154">
        <f>'Utility report '!AE21</f>
        <v>43</v>
      </c>
      <c r="I21" s="297">
        <f>'Water-Meter'!E21</f>
        <v>56</v>
      </c>
      <c r="J21" s="155">
        <f>'Lpg (2)'!B25</f>
        <v>67</v>
      </c>
      <c r="K21" s="155">
        <f>'Lpg (2)'!C25</f>
        <v>85</v>
      </c>
      <c r="L21" s="155">
        <f>'Lpg (2)'!D25</f>
        <v>85</v>
      </c>
      <c r="M21" s="459">
        <f>'Lpg (2)'!G25</f>
        <v>79.288000000017931</v>
      </c>
      <c r="N21" s="152">
        <f t="shared" si="2"/>
        <v>1647.758</v>
      </c>
      <c r="O21" s="152">
        <f t="shared" si="2"/>
        <v>143.97599999999997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164.7758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12</v>
      </c>
      <c r="C22" s="6">
        <f>Gen!U27</f>
        <v>2624</v>
      </c>
      <c r="D22" s="153">
        <f>Gen!T27</f>
        <v>997.16000000000008</v>
      </c>
      <c r="E22" s="153">
        <f>Gen!AK27</f>
        <v>163</v>
      </c>
      <c r="F22" s="153">
        <f>Gen!AS27</f>
        <v>1160.1600000000001</v>
      </c>
      <c r="G22" s="154">
        <f>'Utility report '!AC22</f>
        <v>84</v>
      </c>
      <c r="H22" s="154">
        <f>'Utility report '!AE22</f>
        <v>47</v>
      </c>
      <c r="I22" s="297">
        <f>'Water-Meter'!E22</f>
        <v>71</v>
      </c>
      <c r="J22" s="155">
        <f>'Lpg (2)'!B26</f>
        <v>65</v>
      </c>
      <c r="K22" s="155">
        <f>'Lpg (2)'!C26</f>
        <v>85</v>
      </c>
      <c r="L22" s="155">
        <f>'Lpg (2)'!D26</f>
        <v>85</v>
      </c>
      <c r="M22" s="459">
        <f>'Lpg (2)'!G26</f>
        <v>94.468000000005134</v>
      </c>
      <c r="N22" s="152">
        <f t="shared" si="2"/>
        <v>1396.0240000000001</v>
      </c>
      <c r="O22" s="152">
        <f t="shared" si="2"/>
        <v>228.2</v>
      </c>
      <c r="P22" s="151" t="e">
        <f>'[1]Lpg (2)'!#REF!</f>
        <v>#REF!</v>
      </c>
      <c r="Q22" s="152" t="e">
        <f>'[1]Summery Report'!#REF!</f>
        <v>#REF!</v>
      </c>
      <c r="R22" s="152">
        <f t="shared" si="0"/>
        <v>116.33533333333334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12</v>
      </c>
      <c r="C23" s="6">
        <f>Gen!U28</f>
        <v>0</v>
      </c>
      <c r="D23" s="153">
        <f>Gen!T28</f>
        <v>0</v>
      </c>
      <c r="E23" s="153">
        <f>Gen!AK28</f>
        <v>0</v>
      </c>
      <c r="F23" s="153">
        <f>Gen!AS28</f>
        <v>0</v>
      </c>
      <c r="G23" s="154">
        <f>'Utility report '!AC23</f>
        <v>-40175</v>
      </c>
      <c r="H23" s="154">
        <f>'Utility report '!AE23</f>
        <v>-206289</v>
      </c>
      <c r="I23" s="297" t="str">
        <f>'Water-Meter'!E23</f>
        <v>0</v>
      </c>
      <c r="J23" s="155">
        <f>'Lpg (2)'!B27</f>
        <v>63</v>
      </c>
      <c r="K23" s="155">
        <f>'Lpg (2)'!C27</f>
        <v>85</v>
      </c>
      <c r="L23" s="155">
        <f>'Lpg (2)'!D27</f>
        <v>85</v>
      </c>
      <c r="M23" s="459">
        <f>'Lpg (2)'!G27</f>
        <v>-320086.00800000003</v>
      </c>
      <c r="N23" s="152">
        <f t="shared" si="2"/>
        <v>0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>
        <f t="shared" si="0"/>
        <v>0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0</v>
      </c>
      <c r="C24" s="6">
        <f>Gen!U29</f>
        <v>0</v>
      </c>
      <c r="D24" s="153">
        <f>Gen!T29</f>
        <v>0</v>
      </c>
      <c r="E24" s="153">
        <f>Gen!AK29</f>
        <v>0</v>
      </c>
      <c r="F24" s="153">
        <f>Gen!AS29</f>
        <v>0</v>
      </c>
      <c r="G24" s="154">
        <f>'Utility report '!AC24</f>
        <v>0</v>
      </c>
      <c r="H24" s="154">
        <f>'Utility report '!AE24</f>
        <v>0</v>
      </c>
      <c r="I24" s="297">
        <f>'Water-Meter'!E24</f>
        <v>0</v>
      </c>
      <c r="J24" s="155">
        <f>'Lpg (2)'!B28</f>
        <v>0</v>
      </c>
      <c r="K24" s="155">
        <f>'Lpg (2)'!C28</f>
        <v>0</v>
      </c>
      <c r="L24" s="155">
        <f>'Lpg (2)'!D28</f>
        <v>0</v>
      </c>
      <c r="M24" s="459">
        <f>'Lpg (2)'!G28</f>
        <v>0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0</v>
      </c>
      <c r="C25" s="6">
        <f>Gen!U30</f>
        <v>0</v>
      </c>
      <c r="D25" s="153">
        <f>Gen!T30</f>
        <v>0</v>
      </c>
      <c r="E25" s="153">
        <f>Gen!AK30</f>
        <v>0</v>
      </c>
      <c r="F25" s="153">
        <f>Gen!AS30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9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0</v>
      </c>
      <c r="C26" s="6">
        <f>Gen!U31</f>
        <v>0</v>
      </c>
      <c r="D26" s="153">
        <f>Gen!T31</f>
        <v>0</v>
      </c>
      <c r="E26" s="153">
        <f>Gen!AK31</f>
        <v>0</v>
      </c>
      <c r="F26" s="153">
        <f>Gen!AS31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9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0</v>
      </c>
      <c r="C27" s="6">
        <f>Gen!U32</f>
        <v>0</v>
      </c>
      <c r="D27" s="153">
        <f>Gen!T32</f>
        <v>0</v>
      </c>
      <c r="E27" s="153">
        <f>Gen!AK32</f>
        <v>0</v>
      </c>
      <c r="F27" s="153">
        <f>Gen!AS32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9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0</v>
      </c>
      <c r="C28" s="6">
        <f>Gen!U33</f>
        <v>0</v>
      </c>
      <c r="D28" s="153">
        <f>Gen!T33</f>
        <v>0</v>
      </c>
      <c r="E28" s="153">
        <f>Gen!AK33</f>
        <v>0</v>
      </c>
      <c r="F28" s="153">
        <f>Gen!AS33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9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0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9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9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9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9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9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82</v>
      </c>
      <c r="C39" s="463">
        <f>SUM(C7:C35)</f>
        <v>37339</v>
      </c>
      <c r="D39" s="463">
        <f>SUM(D7:D35)</f>
        <v>15812.779999999997</v>
      </c>
      <c r="E39" s="463">
        <f t="shared" ref="E39:S39" si="3">SUM(E7:E35)</f>
        <v>748.84</v>
      </c>
      <c r="F39" s="463">
        <f t="shared" si="3"/>
        <v>16561.62</v>
      </c>
      <c r="G39" s="463">
        <f t="shared" si="3"/>
        <v>-39215</v>
      </c>
      <c r="H39" s="463">
        <f t="shared" si="3"/>
        <v>-205706</v>
      </c>
      <c r="I39" s="463">
        <f t="shared" si="3"/>
        <v>888</v>
      </c>
      <c r="J39" s="463">
        <f t="shared" si="3"/>
        <v>1288</v>
      </c>
      <c r="K39" s="463">
        <f t="shared" si="3"/>
        <v>1190</v>
      </c>
      <c r="L39" s="463">
        <f t="shared" si="3"/>
        <v>1190</v>
      </c>
      <c r="M39" s="463">
        <f t="shared" si="3"/>
        <v>-319017.424</v>
      </c>
      <c r="N39" s="463">
        <f t="shared" si="3"/>
        <v>22137.892</v>
      </c>
      <c r="O39" s="463">
        <f t="shared" si="3"/>
        <v>1048.376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7" zoomScalePageLayoutView="85" workbookViewId="0">
      <pane xSplit="1" topLeftCell="K1" activePane="topRight" state="frozen"/>
      <selection pane="topRight" activeCell="AD26" sqref="AD2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60" t="s">
        <v>314</v>
      </c>
      <c r="B1" s="861"/>
      <c r="C1" s="861"/>
      <c r="D1" s="861"/>
      <c r="E1" s="861"/>
      <c r="F1" s="861"/>
      <c r="G1" s="861"/>
      <c r="H1" s="861"/>
      <c r="I1" s="861"/>
      <c r="J1" s="862"/>
      <c r="K1" s="862"/>
      <c r="L1" s="862"/>
      <c r="M1" s="862"/>
      <c r="N1" s="862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3"/>
    </row>
    <row r="2" spans="1:37" ht="61.5" customHeight="1" thickBot="1">
      <c r="A2" s="138" t="s">
        <v>98</v>
      </c>
      <c r="B2" s="864" t="s">
        <v>99</v>
      </c>
      <c r="C2" s="865"/>
      <c r="D2" s="866"/>
      <c r="E2" s="139"/>
      <c r="F2" s="139"/>
      <c r="G2" s="139"/>
      <c r="H2" s="136" t="s">
        <v>124</v>
      </c>
      <c r="I2" s="800" t="s">
        <v>100</v>
      </c>
      <c r="J2" s="802" t="s">
        <v>122</v>
      </c>
      <c r="K2" s="803"/>
      <c r="L2" s="804" t="s">
        <v>123</v>
      </c>
      <c r="M2" s="646" t="s">
        <v>101</v>
      </c>
      <c r="N2" s="285" t="s">
        <v>102</v>
      </c>
      <c r="O2" s="853" t="s">
        <v>103</v>
      </c>
      <c r="P2" s="853"/>
      <c r="Q2" s="853"/>
      <c r="R2" s="853"/>
      <c r="S2" s="853"/>
      <c r="T2" s="853"/>
      <c r="U2" s="853"/>
      <c r="V2" s="853"/>
      <c r="W2" s="853"/>
      <c r="X2" s="853"/>
      <c r="Y2" s="853"/>
      <c r="Z2" s="853"/>
      <c r="AA2" s="285" t="s">
        <v>104</v>
      </c>
      <c r="AB2" s="864" t="s">
        <v>164</v>
      </c>
      <c r="AC2" s="866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7">
        <f>SUM(D3/B3)</f>
        <v>1.3262195121951219</v>
      </c>
      <c r="G3" s="868"/>
      <c r="H3" s="128">
        <f>Gen!D11</f>
        <v>38003.53</v>
      </c>
      <c r="I3" s="647"/>
      <c r="J3" s="805"/>
      <c r="K3" s="806" t="s">
        <v>165</v>
      </c>
      <c r="L3" s="805"/>
      <c r="M3" s="649" t="s">
        <v>111</v>
      </c>
      <c r="N3" s="805"/>
      <c r="O3" s="853" t="s">
        <v>112</v>
      </c>
      <c r="P3" s="853"/>
      <c r="Q3" s="853"/>
      <c r="R3" s="853"/>
      <c r="S3" s="854" t="s">
        <v>113</v>
      </c>
      <c r="T3" s="855"/>
      <c r="U3" s="855"/>
      <c r="V3" s="856"/>
      <c r="W3" s="857" t="s">
        <v>114</v>
      </c>
      <c r="X3" s="858"/>
      <c r="Y3" s="858"/>
      <c r="Z3" s="859"/>
      <c r="AA3" s="287" t="s">
        <v>115</v>
      </c>
      <c r="AB3" s="127" t="s">
        <v>111</v>
      </c>
      <c r="AD3" s="127">
        <v>0</v>
      </c>
      <c r="AE3" s="127" t="s">
        <v>116</v>
      </c>
      <c r="AF3" s="794" t="s">
        <v>117</v>
      </c>
      <c r="AG3" s="795" t="s">
        <v>117</v>
      </c>
      <c r="AH3" s="408" t="s">
        <v>117</v>
      </c>
      <c r="AI3" s="135" t="s">
        <v>118</v>
      </c>
      <c r="AJ3" s="796" t="s">
        <v>115</v>
      </c>
      <c r="AK3" s="797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801"/>
      <c r="J4" s="815"/>
      <c r="K4" s="290"/>
      <c r="L4" s="804"/>
      <c r="M4" s="807"/>
      <c r="N4" s="285"/>
      <c r="O4" s="808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8">
        <v>2000</v>
      </c>
      <c r="AG4" s="799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10"/>
      <c r="B5" s="818"/>
      <c r="C5" s="819"/>
      <c r="D5" s="820"/>
      <c r="E5" s="820"/>
      <c r="F5" s="820"/>
      <c r="G5" s="820"/>
      <c r="H5" s="821"/>
      <c r="I5" s="821"/>
      <c r="J5" s="749"/>
      <c r="K5" s="772"/>
      <c r="L5" s="129"/>
      <c r="M5" s="480"/>
      <c r="N5" s="809"/>
      <c r="O5" s="748"/>
      <c r="P5" s="770">
        <v>19032</v>
      </c>
      <c r="Q5" s="782"/>
      <c r="R5" s="772"/>
      <c r="S5" s="748"/>
      <c r="T5" s="754">
        <v>16993</v>
      </c>
      <c r="U5" s="748"/>
      <c r="V5" s="772"/>
      <c r="W5" s="748"/>
      <c r="X5" s="760">
        <v>25177</v>
      </c>
      <c r="Y5" s="748"/>
      <c r="Z5" s="753"/>
      <c r="AA5" s="767"/>
      <c r="AB5" s="765">
        <v>39178</v>
      </c>
      <c r="AC5" s="741">
        <f>AB5-AB4</f>
        <v>39178</v>
      </c>
      <c r="AD5" s="744">
        <v>205678</v>
      </c>
      <c r="AE5" s="750"/>
      <c r="AF5" s="775">
        <v>0.85</v>
      </c>
      <c r="AG5" s="776">
        <v>0.85</v>
      </c>
      <c r="AH5" s="789">
        <v>0.85</v>
      </c>
      <c r="AI5" s="779"/>
      <c r="AJ5" s="767"/>
      <c r="AK5" s="767"/>
    </row>
    <row r="6" spans="1:37" ht="18.75">
      <c r="A6" s="811">
        <f>Gen!B11</f>
        <v>44105</v>
      </c>
      <c r="B6" s="434">
        <f>'Summery Report'!E5</f>
        <v>5</v>
      </c>
      <c r="C6" s="816">
        <f>Gen!C11</f>
        <v>5.1900000000000002E-2</v>
      </c>
      <c r="D6" s="778">
        <f>'Summery Report'!E5</f>
        <v>5</v>
      </c>
      <c r="E6" s="778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8">
        <f>Gen!D11</f>
        <v>38003.53</v>
      </c>
      <c r="I6" s="778">
        <f>Gen!F11</f>
        <v>0</v>
      </c>
      <c r="J6" s="817">
        <f>Gen!T11</f>
        <v>911.04</v>
      </c>
      <c r="K6" s="822">
        <f>Gen!AK11</f>
        <v>0</v>
      </c>
      <c r="L6" s="813">
        <f t="shared" ref="L6:L13" si="1">SUM(J6:K6)</f>
        <v>911.04</v>
      </c>
      <c r="M6" s="458">
        <f>'Water-Meter'!K46</f>
        <v>591.46243908255417</v>
      </c>
      <c r="N6" s="773">
        <f>'Water-Meter'!E6</f>
        <v>36</v>
      </c>
      <c r="O6" s="761"/>
      <c r="P6" s="771">
        <v>19032</v>
      </c>
      <c r="Q6" s="783">
        <f t="shared" ref="Q6:Q36" si="2">SUM(P6-P5)</f>
        <v>0</v>
      </c>
      <c r="R6" s="435">
        <f>SUM(Q6*O6)</f>
        <v>0</v>
      </c>
      <c r="S6" s="755">
        <v>2.2000000000000002</v>
      </c>
      <c r="T6" s="756">
        <v>16993</v>
      </c>
      <c r="U6" s="783">
        <f>T6-T5</f>
        <v>0</v>
      </c>
      <c r="V6" s="436" t="s">
        <v>246</v>
      </c>
      <c r="W6" s="761"/>
      <c r="X6" s="762">
        <v>25177</v>
      </c>
      <c r="Y6" s="783">
        <f>X6-X5</f>
        <v>0</v>
      </c>
      <c r="Z6" s="764">
        <f t="shared" ref="Z6:AA6" si="3">Y6-Y5</f>
        <v>0</v>
      </c>
      <c r="AA6" s="768">
        <f t="shared" si="3"/>
        <v>0</v>
      </c>
      <c r="AB6" s="766">
        <v>39215</v>
      </c>
      <c r="AC6" s="742">
        <f>AB6-AB5</f>
        <v>37</v>
      </c>
      <c r="AD6" s="745">
        <v>205706</v>
      </c>
      <c r="AE6" s="179">
        <f>AD6-AD5</f>
        <v>28</v>
      </c>
      <c r="AF6" s="777">
        <f>'Lpg (2)'!B10*2000/85</f>
        <v>2000</v>
      </c>
      <c r="AG6" s="267">
        <f>'Lpg (2)'!C10*1000/85</f>
        <v>0</v>
      </c>
      <c r="AH6" s="790">
        <f>'Lpg (2)'!D10*1000/85</f>
        <v>0</v>
      </c>
      <c r="AI6" s="780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11">
        <f>Gen!B12</f>
        <v>44106</v>
      </c>
      <c r="B7" s="434">
        <f>'Summery Report'!E6</f>
        <v>4</v>
      </c>
      <c r="C7" s="816">
        <f>Gen!C12</f>
        <v>3.9E-2</v>
      </c>
      <c r="D7" s="778">
        <f>'Summery Report'!E6</f>
        <v>4</v>
      </c>
      <c r="E7" s="778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8">
        <f>Gen!D12</f>
        <v>37092.49</v>
      </c>
      <c r="I7" s="778">
        <f>Gen!F12</f>
        <v>0</v>
      </c>
      <c r="J7" s="817">
        <f>Gen!T12</f>
        <v>976.24</v>
      </c>
      <c r="K7" s="822">
        <f>Gen!AK12</f>
        <v>0</v>
      </c>
      <c r="L7" s="813">
        <f t="shared" si="1"/>
        <v>976.24</v>
      </c>
      <c r="M7" s="458">
        <f>'Water-Meter'!K47</f>
        <v>591.95157136019827</v>
      </c>
      <c r="N7" s="773">
        <f>'Water-Meter'!E7</f>
        <v>45</v>
      </c>
      <c r="O7" s="761"/>
      <c r="P7" s="771">
        <v>19032</v>
      </c>
      <c r="Q7" s="783">
        <f t="shared" si="2"/>
        <v>0</v>
      </c>
      <c r="R7" s="435">
        <f t="shared" ref="R7:R36" si="5">SUM(Q7*O7)</f>
        <v>0</v>
      </c>
      <c r="S7" s="755">
        <v>2.2000000000000002</v>
      </c>
      <c r="T7" s="756">
        <v>16993</v>
      </c>
      <c r="U7" s="783">
        <f t="shared" ref="U7:U36" si="6">T7-T6</f>
        <v>0</v>
      </c>
      <c r="V7" s="436">
        <f t="shared" ref="V7:V9" si="7">SUM(U7*S7)</f>
        <v>0</v>
      </c>
      <c r="W7" s="761"/>
      <c r="X7" s="762">
        <v>25177</v>
      </c>
      <c r="Y7" s="783">
        <f t="shared" ref="Y7:Y36" si="8">X7-X6</f>
        <v>0</v>
      </c>
      <c r="Z7" s="759">
        <f t="shared" ref="Z7:Z36" si="9">SUM(Y7*W7)</f>
        <v>0</v>
      </c>
      <c r="AA7" s="769">
        <f t="shared" ref="AA7:AA36" si="10">SUM(Z7*X9)</f>
        <v>0</v>
      </c>
      <c r="AB7" s="766">
        <v>39270</v>
      </c>
      <c r="AC7" s="742">
        <f t="shared" ref="AC7:AC27" si="11">AB7-AB6</f>
        <v>55</v>
      </c>
      <c r="AD7" s="745">
        <v>205743</v>
      </c>
      <c r="AE7" s="179">
        <f>AD7-AD6</f>
        <v>37</v>
      </c>
      <c r="AF7" s="777">
        <f>'Lpg (2)'!B11*2000/85</f>
        <v>2000</v>
      </c>
      <c r="AG7" s="267">
        <f>'Lpg (2)'!C11*1000/85</f>
        <v>0</v>
      </c>
      <c r="AH7" s="790">
        <f>'Lpg (2)'!D11*1000/85</f>
        <v>0</v>
      </c>
      <c r="AI7" s="780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11">
        <f>Gen!B13</f>
        <v>44107</v>
      </c>
      <c r="B8" s="434">
        <f>'Summery Report'!E7</f>
        <v>2</v>
      </c>
      <c r="C8" s="816">
        <f>Gen!C13</f>
        <v>2.5999999999999999E-2</v>
      </c>
      <c r="D8" s="778">
        <f>'Summery Report'!E7</f>
        <v>2</v>
      </c>
      <c r="E8" s="778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8">
        <f>Gen!D13</f>
        <v>36116.25</v>
      </c>
      <c r="I8" s="778">
        <f>Gen!F13</f>
        <v>0</v>
      </c>
      <c r="J8" s="817">
        <f>Gen!T13</f>
        <v>996.18</v>
      </c>
      <c r="K8" s="822">
        <f>Gen!AK13</f>
        <v>47.58</v>
      </c>
      <c r="L8" s="813">
        <f t="shared" si="1"/>
        <v>1043.76</v>
      </c>
      <c r="M8" s="458">
        <f>'Water-Meter'!K48</f>
        <v>586.8225647242939</v>
      </c>
      <c r="N8" s="773">
        <f>'Water-Meter'!E8</f>
        <v>36</v>
      </c>
      <c r="O8" s="761"/>
      <c r="P8" s="771">
        <v>19032</v>
      </c>
      <c r="Q8" s="783">
        <f t="shared" si="2"/>
        <v>0</v>
      </c>
      <c r="R8" s="435">
        <f t="shared" si="5"/>
        <v>0</v>
      </c>
      <c r="S8" s="755">
        <v>2.2000000000000002</v>
      </c>
      <c r="T8" s="756">
        <v>17017</v>
      </c>
      <c r="U8" s="783">
        <f t="shared" si="6"/>
        <v>24</v>
      </c>
      <c r="V8" s="436">
        <f t="shared" si="7"/>
        <v>52.800000000000004</v>
      </c>
      <c r="W8" s="761"/>
      <c r="X8" s="762">
        <v>25177</v>
      </c>
      <c r="Y8" s="783">
        <f t="shared" si="8"/>
        <v>0</v>
      </c>
      <c r="Z8" s="759">
        <f t="shared" si="9"/>
        <v>0</v>
      </c>
      <c r="AA8" s="769">
        <f t="shared" si="10"/>
        <v>0</v>
      </c>
      <c r="AB8" s="766">
        <v>39353</v>
      </c>
      <c r="AC8" s="742">
        <f t="shared" si="11"/>
        <v>83</v>
      </c>
      <c r="AD8" s="745">
        <v>205773</v>
      </c>
      <c r="AE8" s="179">
        <f t="shared" ref="AE8:AE37" si="15">AD8-AD7</f>
        <v>30</v>
      </c>
      <c r="AF8" s="777">
        <f>'Lpg (2)'!B12*2000/85</f>
        <v>2000</v>
      </c>
      <c r="AG8" s="267">
        <f>'Lpg (2)'!C12*1000/85</f>
        <v>0</v>
      </c>
      <c r="AH8" s="790">
        <f>'Lpg (2)'!D12*1000/85</f>
        <v>0</v>
      </c>
      <c r="AI8" s="780">
        <f t="shared" si="12"/>
        <v>4000000</v>
      </c>
      <c r="AJ8" s="437">
        <f t="shared" si="4"/>
        <v>0</v>
      </c>
      <c r="AK8" s="133"/>
    </row>
    <row r="9" spans="1:37" ht="18.75">
      <c r="A9" s="811">
        <f>Gen!B14</f>
        <v>44108</v>
      </c>
      <c r="B9" s="434">
        <f>'Summery Report'!E8</f>
        <v>1</v>
      </c>
      <c r="C9" s="816">
        <f>Gen!C14</f>
        <v>1.2999999999999999E-2</v>
      </c>
      <c r="D9" s="778">
        <f>'Summery Report'!E8</f>
        <v>1</v>
      </c>
      <c r="E9" s="778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8">
        <f>Gen!D14</f>
        <v>35072.49</v>
      </c>
      <c r="I9" s="778">
        <f>Gen!F14</f>
        <v>0</v>
      </c>
      <c r="J9" s="817">
        <f>Gen!T14</f>
        <v>924.63</v>
      </c>
      <c r="K9" s="822">
        <f>Gen!AK14</f>
        <v>0</v>
      </c>
      <c r="L9" s="813">
        <f t="shared" si="1"/>
        <v>924.63</v>
      </c>
      <c r="M9" s="458">
        <f>'Water-Meter'!K49</f>
        <v>498.21689553152549</v>
      </c>
      <c r="N9" s="773">
        <f>'Water-Meter'!E9</f>
        <v>60</v>
      </c>
      <c r="O9" s="761"/>
      <c r="P9" s="771">
        <v>19032</v>
      </c>
      <c r="Q9" s="783">
        <f t="shared" si="2"/>
        <v>0</v>
      </c>
      <c r="R9" s="435">
        <f t="shared" si="5"/>
        <v>0</v>
      </c>
      <c r="S9" s="755">
        <v>2.2000000000000002</v>
      </c>
      <c r="T9" s="756">
        <v>17019</v>
      </c>
      <c r="U9" s="783">
        <f t="shared" si="6"/>
        <v>2</v>
      </c>
      <c r="V9" s="436">
        <f t="shared" si="7"/>
        <v>4.4000000000000004</v>
      </c>
      <c r="W9" s="761"/>
      <c r="X9" s="762">
        <v>25177</v>
      </c>
      <c r="Y9" s="783">
        <f t="shared" si="8"/>
        <v>0</v>
      </c>
      <c r="Z9" s="759">
        <f t="shared" si="9"/>
        <v>0</v>
      </c>
      <c r="AA9" s="769">
        <f t="shared" si="10"/>
        <v>0</v>
      </c>
      <c r="AB9" s="766">
        <v>39365</v>
      </c>
      <c r="AC9" s="742">
        <f t="shared" si="11"/>
        <v>12</v>
      </c>
      <c r="AD9" s="745">
        <v>205818</v>
      </c>
      <c r="AE9" s="179">
        <f t="shared" si="15"/>
        <v>45</v>
      </c>
      <c r="AF9" s="777">
        <f>'Lpg (2)'!B13*2000/85</f>
        <v>2000</v>
      </c>
      <c r="AG9" s="267">
        <f>'Lpg (2)'!C13*1000/85</f>
        <v>0</v>
      </c>
      <c r="AH9" s="790">
        <f>'Lpg (2)'!D13*1000/85</f>
        <v>0</v>
      </c>
      <c r="AI9" s="780">
        <f t="shared" si="12"/>
        <v>4000000</v>
      </c>
      <c r="AJ9" s="437">
        <f t="shared" si="4"/>
        <v>0</v>
      </c>
      <c r="AK9" s="133"/>
    </row>
    <row r="10" spans="1:37" ht="18.75">
      <c r="A10" s="811">
        <f>Gen!B15</f>
        <v>44109</v>
      </c>
      <c r="B10" s="434">
        <f>'Summery Report'!E9</f>
        <v>2</v>
      </c>
      <c r="C10" s="816">
        <f>Gen!C15</f>
        <v>2.3E-2</v>
      </c>
      <c r="D10" s="778">
        <f>'Summery Report'!E9</f>
        <v>2</v>
      </c>
      <c r="E10" s="778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8">
        <f>Gen!D15</f>
        <v>34147.86</v>
      </c>
      <c r="I10" s="778">
        <f>Gen!F15</f>
        <v>0</v>
      </c>
      <c r="J10" s="817">
        <f>Gen!T15</f>
        <v>936.98</v>
      </c>
      <c r="K10" s="822">
        <f>Gen!AK15</f>
        <v>0</v>
      </c>
      <c r="L10" s="813">
        <f t="shared" si="1"/>
        <v>936.98</v>
      </c>
      <c r="M10" s="458">
        <f>'Water-Meter'!K50</f>
        <v>580.82616800012897</v>
      </c>
      <c r="N10" s="773">
        <f>'Water-Meter'!E10</f>
        <v>45</v>
      </c>
      <c r="O10" s="761"/>
      <c r="P10" s="771">
        <v>19032</v>
      </c>
      <c r="Q10" s="783">
        <f t="shared" si="2"/>
        <v>0</v>
      </c>
      <c r="R10" s="435">
        <f t="shared" si="5"/>
        <v>0</v>
      </c>
      <c r="S10" s="755">
        <v>2.2000000000000002</v>
      </c>
      <c r="T10" s="756">
        <v>17026</v>
      </c>
      <c r="U10" s="783">
        <f t="shared" si="6"/>
        <v>7</v>
      </c>
      <c r="V10" s="436">
        <f t="shared" ref="V10:V16" si="16">SUM(U10*S10)</f>
        <v>15.400000000000002</v>
      </c>
      <c r="W10" s="755">
        <v>2.2999999999999998</v>
      </c>
      <c r="X10" s="762">
        <v>25177</v>
      </c>
      <c r="Y10" s="783">
        <f t="shared" si="8"/>
        <v>0</v>
      </c>
      <c r="Z10" s="759">
        <f t="shared" si="9"/>
        <v>0</v>
      </c>
      <c r="AA10" s="769">
        <f t="shared" si="10"/>
        <v>0</v>
      </c>
      <c r="AB10" s="766">
        <v>39423</v>
      </c>
      <c r="AC10" s="742">
        <f t="shared" si="11"/>
        <v>58</v>
      </c>
      <c r="AD10" s="745">
        <v>205853</v>
      </c>
      <c r="AE10" s="179">
        <f t="shared" si="15"/>
        <v>35</v>
      </c>
      <c r="AF10" s="777">
        <f>'Lpg (2)'!B14*2000/85</f>
        <v>1976.4705882352941</v>
      </c>
      <c r="AG10" s="267">
        <f>'Lpg (2)'!C14*1000/85</f>
        <v>1000</v>
      </c>
      <c r="AH10" s="790">
        <f>'Lpg (2)'!D14*1000/85</f>
        <v>1000</v>
      </c>
      <c r="AI10" s="780">
        <f t="shared" si="12"/>
        <v>6000000</v>
      </c>
      <c r="AJ10" s="437">
        <f t="shared" si="4"/>
        <v>-2000000</v>
      </c>
      <c r="AK10" s="133"/>
    </row>
    <row r="11" spans="1:37" ht="18.75">
      <c r="A11" s="811">
        <f>Gen!B16</f>
        <v>44110</v>
      </c>
      <c r="B11" s="434">
        <f>'Summery Report'!E10</f>
        <v>2</v>
      </c>
      <c r="C11" s="816">
        <f>Gen!C16</f>
        <v>2.3E-2</v>
      </c>
      <c r="D11" s="778">
        <f>'Summery Report'!E10</f>
        <v>2</v>
      </c>
      <c r="E11" s="778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8">
        <f>Gen!D16</f>
        <v>33210.879999999997</v>
      </c>
      <c r="I11" s="778">
        <f>Gen!F16</f>
        <v>0</v>
      </c>
      <c r="J11" s="817">
        <f>Gen!T16</f>
        <v>982.58999999999992</v>
      </c>
      <c r="K11" s="822">
        <f>Gen!AK16</f>
        <v>0</v>
      </c>
      <c r="L11" s="813">
        <f t="shared" si="1"/>
        <v>982.58999999999992</v>
      </c>
      <c r="M11" s="458">
        <f>'Water-Meter'!K51</f>
        <v>573.80249949368635</v>
      </c>
      <c r="N11" s="773">
        <f>'Water-Meter'!E11</f>
        <v>57</v>
      </c>
      <c r="O11" s="761"/>
      <c r="P11" s="771">
        <v>19032</v>
      </c>
      <c r="Q11" s="783">
        <f t="shared" si="2"/>
        <v>0</v>
      </c>
      <c r="R11" s="435">
        <f t="shared" si="5"/>
        <v>0</v>
      </c>
      <c r="S11" s="755"/>
      <c r="T11" s="756">
        <v>17039</v>
      </c>
      <c r="U11" s="783">
        <f t="shared" si="6"/>
        <v>13</v>
      </c>
      <c r="V11" s="436">
        <f t="shared" si="16"/>
        <v>0</v>
      </c>
      <c r="W11" s="755">
        <v>2.2999999999999998</v>
      </c>
      <c r="X11" s="762">
        <v>25182</v>
      </c>
      <c r="Y11" s="783">
        <f t="shared" si="8"/>
        <v>5</v>
      </c>
      <c r="Z11" s="759">
        <f t="shared" si="9"/>
        <v>11.5</v>
      </c>
      <c r="AA11" s="769">
        <f t="shared" si="10"/>
        <v>289869</v>
      </c>
      <c r="AB11" s="766">
        <v>39487</v>
      </c>
      <c r="AC11" s="742">
        <f t="shared" si="11"/>
        <v>64</v>
      </c>
      <c r="AD11" s="745">
        <v>205891</v>
      </c>
      <c r="AE11" s="179">
        <f t="shared" si="15"/>
        <v>38</v>
      </c>
      <c r="AF11" s="777">
        <f>'Lpg (2)'!B15*2000/85</f>
        <v>1929.4117647058824</v>
      </c>
      <c r="AG11" s="267">
        <f>'Lpg (2)'!C15*1000/85</f>
        <v>1000</v>
      </c>
      <c r="AH11" s="790">
        <f>'Lpg (2)'!D15*1000/85</f>
        <v>1000</v>
      </c>
      <c r="AI11" s="780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11">
        <f>Gen!B17</f>
        <v>44111</v>
      </c>
      <c r="B12" s="434">
        <f>'Summery Report'!E11</f>
        <v>4</v>
      </c>
      <c r="C12" s="816">
        <f>Gen!C17</f>
        <v>3.9E-2</v>
      </c>
      <c r="D12" s="778">
        <f>'Summery Report'!E11</f>
        <v>4</v>
      </c>
      <c r="E12" s="778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8">
        <f>Gen!D17</f>
        <v>32228.289999999997</v>
      </c>
      <c r="I12" s="778">
        <f>Gen!F17</f>
        <v>0</v>
      </c>
      <c r="J12" s="817">
        <f>Gen!T17</f>
        <v>950.56999999999994</v>
      </c>
      <c r="K12" s="822">
        <f>Gen!AK17</f>
        <v>0</v>
      </c>
      <c r="L12" s="813">
        <f t="shared" si="1"/>
        <v>950.56999999999994</v>
      </c>
      <c r="M12" s="458">
        <f>'Water-Meter'!K52</f>
        <v>601.43386395738401</v>
      </c>
      <c r="N12" s="773">
        <f>'Water-Meter'!E12</f>
        <v>59</v>
      </c>
      <c r="O12" s="761"/>
      <c r="P12" s="771">
        <v>19032</v>
      </c>
      <c r="Q12" s="783">
        <f t="shared" si="2"/>
        <v>0</v>
      </c>
      <c r="R12" s="435">
        <f t="shared" si="5"/>
        <v>0</v>
      </c>
      <c r="S12" s="755"/>
      <c r="T12" s="756">
        <v>17039</v>
      </c>
      <c r="U12" s="783">
        <f t="shared" si="6"/>
        <v>0</v>
      </c>
      <c r="V12" s="436">
        <f t="shared" si="16"/>
        <v>0</v>
      </c>
      <c r="W12" s="755">
        <v>2.2999999999999998</v>
      </c>
      <c r="X12" s="762">
        <v>25206</v>
      </c>
      <c r="Y12" s="783">
        <f t="shared" si="8"/>
        <v>24</v>
      </c>
      <c r="Z12" s="759">
        <f t="shared" si="9"/>
        <v>55.199999999999996</v>
      </c>
      <c r="AA12" s="769">
        <f t="shared" si="10"/>
        <v>1392254.4</v>
      </c>
      <c r="AB12" s="766">
        <v>39530</v>
      </c>
      <c r="AC12" s="742">
        <f t="shared" si="11"/>
        <v>43</v>
      </c>
      <c r="AD12" s="745">
        <v>205929</v>
      </c>
      <c r="AE12" s="179">
        <f t="shared" si="15"/>
        <v>38</v>
      </c>
      <c r="AF12" s="777">
        <f>'Lpg (2)'!B16*2000/85</f>
        <v>1905.8823529411766</v>
      </c>
      <c r="AG12" s="267">
        <f>'Lpg (2)'!C16*1000/85</f>
        <v>1000</v>
      </c>
      <c r="AH12" s="790">
        <f>'Lpg (2)'!D16*1000/85</f>
        <v>1000</v>
      </c>
      <c r="AI12" s="780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11">
        <f>Gen!B18</f>
        <v>44112</v>
      </c>
      <c r="B13" s="434">
        <f>'Summery Report'!E12</f>
        <v>5</v>
      </c>
      <c r="C13" s="816">
        <f>Gen!C18</f>
        <v>5.1900000000000002E-2</v>
      </c>
      <c r="D13" s="778">
        <f>'Summery Report'!E12</f>
        <v>5</v>
      </c>
      <c r="E13" s="778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8">
        <f>Gen!D18</f>
        <v>31277.719999999998</v>
      </c>
      <c r="I13" s="778">
        <f>Gen!F18</f>
        <v>0</v>
      </c>
      <c r="J13" s="817">
        <f>Gen!T18</f>
        <v>956.81999999999994</v>
      </c>
      <c r="K13" s="822">
        <f>Gen!AK18</f>
        <v>91</v>
      </c>
      <c r="L13" s="813">
        <f t="shared" si="1"/>
        <v>1047.82</v>
      </c>
      <c r="M13" s="458">
        <f>'Water-Meter'!K53</f>
        <v>548.05867595430152</v>
      </c>
      <c r="N13" s="773">
        <f>'Water-Meter'!E13</f>
        <v>46</v>
      </c>
      <c r="O13" s="761"/>
      <c r="P13" s="771">
        <v>19032</v>
      </c>
      <c r="Q13" s="783">
        <f t="shared" si="2"/>
        <v>0</v>
      </c>
      <c r="R13" s="435">
        <f t="shared" si="5"/>
        <v>0</v>
      </c>
      <c r="S13" s="755"/>
      <c r="T13" s="756">
        <v>17039</v>
      </c>
      <c r="U13" s="783">
        <f t="shared" si="6"/>
        <v>0</v>
      </c>
      <c r="V13" s="436">
        <f t="shared" si="16"/>
        <v>0</v>
      </c>
      <c r="W13" s="755">
        <v>2.2999999999999998</v>
      </c>
      <c r="X13" s="762">
        <v>25206</v>
      </c>
      <c r="Y13" s="783">
        <f t="shared" si="8"/>
        <v>0</v>
      </c>
      <c r="Z13" s="759">
        <f t="shared" si="9"/>
        <v>0</v>
      </c>
      <c r="AA13" s="769">
        <f t="shared" si="10"/>
        <v>0</v>
      </c>
      <c r="AB13" s="766">
        <v>39584</v>
      </c>
      <c r="AC13" s="742">
        <f t="shared" si="11"/>
        <v>54</v>
      </c>
      <c r="AD13" s="745">
        <v>205963</v>
      </c>
      <c r="AE13" s="179">
        <f t="shared" si="15"/>
        <v>34</v>
      </c>
      <c r="AF13" s="777">
        <f>'Lpg (2)'!B17*2000/85</f>
        <v>1882.3529411764705</v>
      </c>
      <c r="AG13" s="267">
        <f>'Lpg (2)'!C17*1000/85</f>
        <v>1000</v>
      </c>
      <c r="AH13" s="790">
        <f>'Lpg (2)'!D17*1000/85</f>
        <v>1000</v>
      </c>
      <c r="AI13" s="780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11">
        <f>Gen!B19</f>
        <v>44113</v>
      </c>
      <c r="B14" s="434">
        <f>'Summery Report'!E13</f>
        <v>5</v>
      </c>
      <c r="C14" s="816">
        <f>Gen!C19</f>
        <v>5.1900000000000002E-2</v>
      </c>
      <c r="D14" s="778">
        <f>'Summery Report'!E13</f>
        <v>5</v>
      </c>
      <c r="E14" s="778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8">
        <f>Gen!D19</f>
        <v>30229.899999999998</v>
      </c>
      <c r="I14" s="778">
        <f>Gen!F19</f>
        <v>0</v>
      </c>
      <c r="J14" s="817">
        <f>Gen!T19</f>
        <v>990.35</v>
      </c>
      <c r="K14" s="822">
        <f>Gen!AK19</f>
        <v>76.97</v>
      </c>
      <c r="L14" s="813">
        <f t="shared" ref="L14:L37" si="17">SUM(J14:K14)</f>
        <v>1067.32</v>
      </c>
      <c r="M14" s="458">
        <f>'Water-Meter'!K54</f>
        <v>466.4801122431906</v>
      </c>
      <c r="N14" s="773">
        <f>'Water-Meter'!E14</f>
        <v>56</v>
      </c>
      <c r="O14" s="761"/>
      <c r="P14" s="771">
        <v>19032</v>
      </c>
      <c r="Q14" s="783">
        <f t="shared" si="2"/>
        <v>0</v>
      </c>
      <c r="R14" s="435">
        <f t="shared" si="5"/>
        <v>0</v>
      </c>
      <c r="S14" s="755">
        <v>2.2000000000000002</v>
      </c>
      <c r="T14" s="756">
        <v>17053</v>
      </c>
      <c r="U14" s="783">
        <f t="shared" si="6"/>
        <v>14</v>
      </c>
      <c r="V14" s="436">
        <f t="shared" si="16"/>
        <v>30.800000000000004</v>
      </c>
      <c r="W14" s="755"/>
      <c r="X14" s="762">
        <v>25222</v>
      </c>
      <c r="Y14" s="783">
        <f t="shared" si="8"/>
        <v>16</v>
      </c>
      <c r="Z14" s="759">
        <f t="shared" si="9"/>
        <v>0</v>
      </c>
      <c r="AA14" s="769">
        <f t="shared" si="10"/>
        <v>0</v>
      </c>
      <c r="AB14" s="766">
        <v>39682</v>
      </c>
      <c r="AC14" s="742">
        <f t="shared" si="11"/>
        <v>98</v>
      </c>
      <c r="AD14" s="745">
        <v>206004</v>
      </c>
      <c r="AE14" s="179">
        <f t="shared" si="15"/>
        <v>41</v>
      </c>
      <c r="AF14" s="777">
        <f>'Lpg (2)'!B18*2000/85</f>
        <v>1858.8235294117646</v>
      </c>
      <c r="AG14" s="267">
        <f>'Lpg (2)'!C18*1000/85</f>
        <v>1000</v>
      </c>
      <c r="AH14" s="790">
        <f>'Lpg (2)'!D18*1000/85</f>
        <v>1000</v>
      </c>
      <c r="AI14" s="780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11">
        <f>Gen!B20</f>
        <v>44114</v>
      </c>
      <c r="B15" s="434">
        <f>'Summery Report'!E14</f>
        <v>5</v>
      </c>
      <c r="C15" s="816">
        <f>Gen!C20</f>
        <v>5.1900000000000002E-2</v>
      </c>
      <c r="D15" s="778">
        <f>'Summery Report'!E14</f>
        <v>5</v>
      </c>
      <c r="E15" s="778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8">
        <f>Gen!D20</f>
        <v>44162.58</v>
      </c>
      <c r="I15" s="778">
        <f>Gen!F20</f>
        <v>15000</v>
      </c>
      <c r="J15" s="817">
        <f>Gen!T20</f>
        <v>995.05000000000007</v>
      </c>
      <c r="K15" s="822">
        <f>Gen!AK20</f>
        <v>0</v>
      </c>
      <c r="L15" s="813">
        <f t="shared" si="17"/>
        <v>995.05000000000007</v>
      </c>
      <c r="M15" s="458">
        <f>'Water-Meter'!K55</f>
        <v>502.5927098811103</v>
      </c>
      <c r="N15" s="773">
        <f>'Water-Meter'!E15</f>
        <v>98</v>
      </c>
      <c r="O15" s="761"/>
      <c r="P15" s="771">
        <v>19032</v>
      </c>
      <c r="Q15" s="783">
        <f t="shared" si="2"/>
        <v>0</v>
      </c>
      <c r="R15" s="435">
        <f t="shared" si="5"/>
        <v>0</v>
      </c>
      <c r="S15" s="755"/>
      <c r="T15" s="756">
        <v>17053</v>
      </c>
      <c r="U15" s="783">
        <f t="shared" si="6"/>
        <v>0</v>
      </c>
      <c r="V15" s="436">
        <f t="shared" si="16"/>
        <v>0</v>
      </c>
      <c r="W15" s="755">
        <v>2.2999999999999998</v>
      </c>
      <c r="X15" s="762">
        <v>25235</v>
      </c>
      <c r="Y15" s="783">
        <f t="shared" si="8"/>
        <v>13</v>
      </c>
      <c r="Z15" s="759">
        <f t="shared" si="9"/>
        <v>29.9</v>
      </c>
      <c r="AA15" s="769">
        <f t="shared" si="10"/>
        <v>755094.6</v>
      </c>
      <c r="AB15" s="766">
        <v>39731</v>
      </c>
      <c r="AC15" s="742">
        <f t="shared" si="11"/>
        <v>49</v>
      </c>
      <c r="AD15" s="745">
        <v>206038</v>
      </c>
      <c r="AE15" s="179">
        <f>AD15-AD14</f>
        <v>34</v>
      </c>
      <c r="AF15" s="777">
        <f>'Lpg (2)'!B19*2000/85</f>
        <v>1811.7647058823529</v>
      </c>
      <c r="AG15" s="267">
        <f>'Lpg (2)'!C19*1000/85</f>
        <v>1000</v>
      </c>
      <c r="AH15" s="790">
        <f>'Lpg (2)'!D19*1000/85</f>
        <v>1000</v>
      </c>
      <c r="AI15" s="780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11">
        <f>Gen!B21</f>
        <v>44115</v>
      </c>
      <c r="B16" s="434">
        <f>'Summery Report'!E15</f>
        <v>2</v>
      </c>
      <c r="C16" s="816">
        <f>Gen!C21</f>
        <v>1.2999999999999999E-2</v>
      </c>
      <c r="D16" s="778">
        <f>'Summery Report'!E15</f>
        <v>2</v>
      </c>
      <c r="E16" s="778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8">
        <f>Gen!D21</f>
        <v>43167.53</v>
      </c>
      <c r="I16" s="778">
        <f>Gen!F21</f>
        <v>0</v>
      </c>
      <c r="J16" s="817">
        <f>Gen!T21</f>
        <v>980.98</v>
      </c>
      <c r="K16" s="822">
        <f>Gen!AK21</f>
        <v>66.490000000000009</v>
      </c>
      <c r="L16" s="813">
        <f t="shared" si="17"/>
        <v>1047.47</v>
      </c>
      <c r="M16" s="458">
        <f>'Water-Meter'!K56</f>
        <v>544.69932846975826</v>
      </c>
      <c r="N16" s="773">
        <f>'Water-Meter'!E16</f>
        <v>73</v>
      </c>
      <c r="O16" s="761"/>
      <c r="P16" s="771">
        <v>19032</v>
      </c>
      <c r="Q16" s="783">
        <f t="shared" si="2"/>
        <v>0</v>
      </c>
      <c r="R16" s="435">
        <f t="shared" si="5"/>
        <v>0</v>
      </c>
      <c r="S16" s="755">
        <v>2.2000000000000002</v>
      </c>
      <c r="T16" s="756">
        <v>17058</v>
      </c>
      <c r="U16" s="783">
        <f t="shared" si="6"/>
        <v>5</v>
      </c>
      <c r="V16" s="436">
        <f t="shared" si="16"/>
        <v>11</v>
      </c>
      <c r="W16" s="755">
        <v>2.2999999999999998</v>
      </c>
      <c r="X16" s="762">
        <v>25254</v>
      </c>
      <c r="Y16" s="783">
        <f t="shared" si="8"/>
        <v>19</v>
      </c>
      <c r="Z16" s="759">
        <f t="shared" si="9"/>
        <v>43.699999999999996</v>
      </c>
      <c r="AA16" s="769">
        <f t="shared" si="10"/>
        <v>1103599.7999999998</v>
      </c>
      <c r="AB16" s="766">
        <v>39847</v>
      </c>
      <c r="AC16" s="742">
        <f t="shared" si="11"/>
        <v>116</v>
      </c>
      <c r="AD16" s="745">
        <v>206072</v>
      </c>
      <c r="AE16" s="179">
        <f t="shared" si="15"/>
        <v>34</v>
      </c>
      <c r="AF16" s="777">
        <f>'Lpg (2)'!B20*2000/85</f>
        <v>1764.7058823529412</v>
      </c>
      <c r="AG16" s="267">
        <f>'Lpg (2)'!C20*1000/85</f>
        <v>1000</v>
      </c>
      <c r="AH16" s="790">
        <f>'Lpg (2)'!D20*1000/85</f>
        <v>1000</v>
      </c>
      <c r="AI16" s="780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11">
        <f>Gen!B22</f>
        <v>44116</v>
      </c>
      <c r="B17" s="434">
        <f>'Summery Report'!E16</f>
        <v>4</v>
      </c>
      <c r="C17" s="816">
        <f>Gen!C22</f>
        <v>3.9E-2</v>
      </c>
      <c r="D17" s="778">
        <f>'Summery Report'!E16</f>
        <v>4</v>
      </c>
      <c r="E17" s="778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8">
        <f>Gen!D22</f>
        <v>42120.06</v>
      </c>
      <c r="I17" s="778">
        <f>Gen!F22</f>
        <v>0</v>
      </c>
      <c r="J17" s="817">
        <f>Gen!T22</f>
        <v>935.25</v>
      </c>
      <c r="K17" s="822">
        <f>Gen!AK22</f>
        <v>71</v>
      </c>
      <c r="L17" s="813">
        <f t="shared" si="17"/>
        <v>1006.25</v>
      </c>
      <c r="M17" s="458">
        <f>'Water-Meter'!K57</f>
        <v>528.49955112729583</v>
      </c>
      <c r="N17" s="773">
        <f>'Water-Meter'!E17</f>
        <v>42</v>
      </c>
      <c r="O17" s="761"/>
      <c r="P17" s="771">
        <v>19032</v>
      </c>
      <c r="Q17" s="783">
        <f>SUM(P18-P16)</f>
        <v>0</v>
      </c>
      <c r="R17" s="435">
        <f t="shared" si="5"/>
        <v>0</v>
      </c>
      <c r="S17" s="755"/>
      <c r="T17" s="756">
        <v>17058</v>
      </c>
      <c r="U17" s="783">
        <f t="shared" si="6"/>
        <v>0</v>
      </c>
      <c r="V17" s="436">
        <f t="shared" ref="V17:V36" si="19">SUM(U17*S17)</f>
        <v>0</v>
      </c>
      <c r="W17" s="755">
        <v>2.2999999999999998</v>
      </c>
      <c r="X17" s="762">
        <v>25254</v>
      </c>
      <c r="Y17" s="783">
        <f t="shared" si="8"/>
        <v>0</v>
      </c>
      <c r="Z17" s="759">
        <f t="shared" si="9"/>
        <v>0</v>
      </c>
      <c r="AA17" s="769">
        <f t="shared" si="10"/>
        <v>0</v>
      </c>
      <c r="AB17" s="766">
        <v>39847</v>
      </c>
      <c r="AC17" s="742">
        <f t="shared" si="11"/>
        <v>0</v>
      </c>
      <c r="AD17" s="745">
        <v>206106</v>
      </c>
      <c r="AE17" s="179">
        <f t="shared" si="15"/>
        <v>34</v>
      </c>
      <c r="AF17" s="777">
        <f>'Lpg (2)'!B21*2000/85</f>
        <v>1717.6470588235295</v>
      </c>
      <c r="AG17" s="267">
        <f>'Lpg (2)'!C21*1000/85</f>
        <v>1000</v>
      </c>
      <c r="AH17" s="790">
        <f>'Lpg (2)'!D21*1000/85</f>
        <v>1000</v>
      </c>
      <c r="AI17" s="780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11">
        <f>Gen!B23</f>
        <v>44117</v>
      </c>
      <c r="B18" s="434">
        <f>'Summery Report'!E17</f>
        <v>5</v>
      </c>
      <c r="C18" s="816">
        <f>Gen!C23</f>
        <v>5.1900000000000002E-2</v>
      </c>
      <c r="D18" s="778">
        <f>'Summery Report'!E17</f>
        <v>5</v>
      </c>
      <c r="E18" s="778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8">
        <f>Gen!D23</f>
        <v>41113.81</v>
      </c>
      <c r="I18" s="778">
        <f>Gen!F23</f>
        <v>0</v>
      </c>
      <c r="J18" s="817">
        <f>Gen!T23</f>
        <v>995.96</v>
      </c>
      <c r="K18" s="822">
        <f>Gen!AK23</f>
        <v>71.09</v>
      </c>
      <c r="L18" s="813">
        <f t="shared" si="17"/>
        <v>1067.05</v>
      </c>
      <c r="M18" s="458">
        <f>'Water-Meter'!K58</f>
        <v>517.78614801070182</v>
      </c>
      <c r="N18" s="773">
        <f>'Water-Meter'!E18</f>
        <v>53</v>
      </c>
      <c r="O18" s="761"/>
      <c r="P18" s="771">
        <v>19032</v>
      </c>
      <c r="Q18" s="783"/>
      <c r="R18" s="435">
        <f t="shared" si="5"/>
        <v>0</v>
      </c>
      <c r="S18" s="755"/>
      <c r="T18" s="756">
        <v>17058</v>
      </c>
      <c r="U18" s="783">
        <f t="shared" si="6"/>
        <v>0</v>
      </c>
      <c r="V18" s="436">
        <f t="shared" si="19"/>
        <v>0</v>
      </c>
      <c r="W18" s="755">
        <v>2.2999999999999998</v>
      </c>
      <c r="X18" s="762">
        <v>25254</v>
      </c>
      <c r="Y18" s="783">
        <f t="shared" si="8"/>
        <v>0</v>
      </c>
      <c r="Z18" s="759">
        <f t="shared" si="9"/>
        <v>0</v>
      </c>
      <c r="AA18" s="769">
        <f t="shared" si="10"/>
        <v>0</v>
      </c>
      <c r="AB18" s="766">
        <v>39966</v>
      </c>
      <c r="AC18" s="742">
        <f t="shared" si="11"/>
        <v>119</v>
      </c>
      <c r="AD18" s="745">
        <v>206136</v>
      </c>
      <c r="AE18" s="179">
        <f t="shared" si="15"/>
        <v>30</v>
      </c>
      <c r="AF18" s="777">
        <f>'Lpg (2)'!B22*2000/85</f>
        <v>1647.0588235294117</v>
      </c>
      <c r="AG18" s="267">
        <f>'Lpg (2)'!C22*1000/85</f>
        <v>1000</v>
      </c>
      <c r="AH18" s="790">
        <f>'Lpg (2)'!D22*1000/85</f>
        <v>1000</v>
      </c>
      <c r="AI18" s="780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11">
        <f>Gen!B24</f>
        <v>44118</v>
      </c>
      <c r="B19" s="434">
        <f>'Summery Report'!E18</f>
        <v>2</v>
      </c>
      <c r="C19" s="816">
        <f>Gen!C24</f>
        <v>1.2999999999999999E-2</v>
      </c>
      <c r="D19" s="778">
        <f>'Summery Report'!E18</f>
        <v>2</v>
      </c>
      <c r="E19" s="778">
        <f t="shared" si="13"/>
        <v>1.3262195121951219</v>
      </c>
      <c r="F19" s="447">
        <f t="shared" si="14"/>
        <v>645.98163109756103</v>
      </c>
      <c r="G19" s="447">
        <f t="shared" si="0"/>
        <v>685.01890243902437</v>
      </c>
      <c r="H19" s="778">
        <f>Gen!D24</f>
        <v>40046.759999999995</v>
      </c>
      <c r="I19" s="778">
        <f>Gen!F24</f>
        <v>0</v>
      </c>
      <c r="J19" s="817">
        <f>Gen!T24</f>
        <v>974.17000000000007</v>
      </c>
      <c r="K19" s="822">
        <f>Gen!AK24</f>
        <v>58.87</v>
      </c>
      <c r="L19" s="813">
        <f t="shared" si="17"/>
        <v>1033.04</v>
      </c>
      <c r="M19" s="458">
        <f>'Water-Meter'!K59</f>
        <v>579.4304360893284</v>
      </c>
      <c r="N19" s="773">
        <f>'Water-Meter'!E19</f>
        <v>43</v>
      </c>
      <c r="O19" s="761"/>
      <c r="P19" s="771">
        <v>19032</v>
      </c>
      <c r="Q19" s="783"/>
      <c r="R19" s="435">
        <f t="shared" si="5"/>
        <v>0</v>
      </c>
      <c r="S19" s="755"/>
      <c r="T19" s="756">
        <v>17058</v>
      </c>
      <c r="U19" s="783">
        <f t="shared" si="6"/>
        <v>0</v>
      </c>
      <c r="V19" s="436">
        <f t="shared" si="19"/>
        <v>0</v>
      </c>
      <c r="W19" s="755">
        <v>2.2999999999999998</v>
      </c>
      <c r="X19" s="762">
        <v>25254</v>
      </c>
      <c r="Y19" s="783">
        <f t="shared" si="8"/>
        <v>0</v>
      </c>
      <c r="Z19" s="759">
        <f t="shared" si="9"/>
        <v>0</v>
      </c>
      <c r="AA19" s="769">
        <f t="shared" si="10"/>
        <v>0</v>
      </c>
      <c r="AB19" s="766">
        <v>39986</v>
      </c>
      <c r="AC19" s="742">
        <f t="shared" si="11"/>
        <v>20</v>
      </c>
      <c r="AD19" s="745">
        <v>206165</v>
      </c>
      <c r="AE19" s="179">
        <f t="shared" si="15"/>
        <v>29</v>
      </c>
      <c r="AF19" s="777">
        <f>'Lpg (2)'!B23*2000/85</f>
        <v>1623.5294117647059</v>
      </c>
      <c r="AG19" s="267">
        <f>'Lpg (2)'!C23*1000/85</f>
        <v>1000</v>
      </c>
      <c r="AH19" s="790">
        <f>'Lpg (2)'!D23*1000/85</f>
        <v>1000</v>
      </c>
      <c r="AI19" s="780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11">
        <f>Gen!B25</f>
        <v>44119</v>
      </c>
      <c r="B20" s="434">
        <f>'Summery Report'!E19</f>
        <v>5</v>
      </c>
      <c r="C20" s="816">
        <f>Gen!C25</f>
        <v>5.1900000000000002E-2</v>
      </c>
      <c r="D20" s="778">
        <f>'Summery Report'!E19</f>
        <v>5</v>
      </c>
      <c r="E20" s="778">
        <f t="shared" si="13"/>
        <v>1.3262195121951219</v>
      </c>
      <c r="F20" s="447">
        <f t="shared" si="14"/>
        <v>276.61756097560976</v>
      </c>
      <c r="G20" s="447">
        <f t="shared" si="0"/>
        <v>276.61756097560976</v>
      </c>
      <c r="H20" s="778">
        <f>Gen!D25</f>
        <v>39013.719999999994</v>
      </c>
      <c r="I20" s="778">
        <f>Gen!F25</f>
        <v>0</v>
      </c>
      <c r="J20" s="817">
        <f>Gen!T25</f>
        <v>1042.8800000000001</v>
      </c>
      <c r="K20" s="822">
        <f>Gen!AK25</f>
        <v>0</v>
      </c>
      <c r="L20" s="813">
        <f t="shared" si="17"/>
        <v>1042.8800000000001</v>
      </c>
      <c r="M20" s="458">
        <f>'Water-Meter'!K60</f>
        <v>611.01162357951932</v>
      </c>
      <c r="N20" s="773">
        <f>'Water-Meter'!E20</f>
        <v>48</v>
      </c>
      <c r="O20" s="761"/>
      <c r="P20" s="771">
        <v>19032</v>
      </c>
      <c r="Q20" s="783">
        <f t="shared" si="2"/>
        <v>0</v>
      </c>
      <c r="R20" s="435">
        <f t="shared" si="5"/>
        <v>0</v>
      </c>
      <c r="S20" s="755"/>
      <c r="T20" s="756">
        <v>17058</v>
      </c>
      <c r="U20" s="783">
        <f t="shared" si="6"/>
        <v>0</v>
      </c>
      <c r="V20" s="436">
        <f t="shared" si="19"/>
        <v>0</v>
      </c>
      <c r="W20" s="755">
        <v>2.2999999999999998</v>
      </c>
      <c r="X20" s="762">
        <v>25254</v>
      </c>
      <c r="Y20" s="783">
        <f t="shared" si="8"/>
        <v>0</v>
      </c>
      <c r="Z20" s="759">
        <f t="shared" si="9"/>
        <v>0</v>
      </c>
      <c r="AA20" s="769">
        <f t="shared" si="10"/>
        <v>0</v>
      </c>
      <c r="AB20" s="766">
        <v>40031</v>
      </c>
      <c r="AC20" s="742">
        <f t="shared" si="11"/>
        <v>45</v>
      </c>
      <c r="AD20" s="745">
        <v>206199</v>
      </c>
      <c r="AE20" s="179">
        <f t="shared" si="15"/>
        <v>34</v>
      </c>
      <c r="AF20" s="777">
        <f>'Lpg (2)'!B24*2000/85</f>
        <v>1600</v>
      </c>
      <c r="AG20" s="267">
        <f>'Lpg (2)'!C24*1000/85</f>
        <v>1000</v>
      </c>
      <c r="AH20" s="790">
        <f>'Lpg (2)'!D24*1000/85</f>
        <v>1000</v>
      </c>
      <c r="AI20" s="780">
        <f t="shared" si="18"/>
        <v>5200000</v>
      </c>
      <c r="AJ20" s="437">
        <f t="shared" si="4"/>
        <v>47058.823529411107</v>
      </c>
      <c r="AK20" s="133"/>
    </row>
    <row r="21" spans="1:37" ht="18.75">
      <c r="A21" s="811">
        <f>Gen!B26</f>
        <v>44120</v>
      </c>
      <c r="B21" s="434">
        <f>'Summery Report'!E20</f>
        <v>10</v>
      </c>
      <c r="C21" s="816">
        <f>Gen!C26</f>
        <v>0.1169</v>
      </c>
      <c r="D21" s="778">
        <f>'Summery Report'!E20</f>
        <v>10</v>
      </c>
      <c r="E21" s="778">
        <f t="shared" si="13"/>
        <v>1.3262195121951219</v>
      </c>
      <c r="F21" s="447">
        <f t="shared" si="14"/>
        <v>156.09205792682926</v>
      </c>
      <c r="G21" s="447">
        <f t="shared" si="0"/>
        <v>169.73089939024391</v>
      </c>
      <c r="H21" s="778">
        <f>Gen!D26</f>
        <v>37970.839999999997</v>
      </c>
      <c r="I21" s="778">
        <f>Gen!F26</f>
        <v>0</v>
      </c>
      <c r="J21" s="817">
        <f>Gen!T26</f>
        <v>1176.97</v>
      </c>
      <c r="K21" s="822">
        <f>Gen!AK26</f>
        <v>102.83999999999999</v>
      </c>
      <c r="L21" s="813">
        <f t="shared" si="17"/>
        <v>1279.81</v>
      </c>
      <c r="M21" s="458">
        <f>'Water-Meter'!K61</f>
        <v>609.10561835758722</v>
      </c>
      <c r="N21" s="773">
        <f>'Water-Meter'!E21</f>
        <v>56</v>
      </c>
      <c r="O21" s="761"/>
      <c r="P21" s="771">
        <v>19032</v>
      </c>
      <c r="Q21" s="783">
        <f t="shared" si="2"/>
        <v>0</v>
      </c>
      <c r="R21" s="435">
        <f t="shared" si="5"/>
        <v>0</v>
      </c>
      <c r="S21" s="755"/>
      <c r="T21" s="756">
        <v>17058</v>
      </c>
      <c r="U21" s="783">
        <f>T22-T20</f>
        <v>59</v>
      </c>
      <c r="V21" s="436">
        <f t="shared" si="19"/>
        <v>0</v>
      </c>
      <c r="W21" s="755">
        <v>2.2999999999999998</v>
      </c>
      <c r="X21" s="762">
        <v>25254</v>
      </c>
      <c r="Y21" s="783">
        <f t="shared" si="8"/>
        <v>0</v>
      </c>
      <c r="Z21" s="759">
        <f t="shared" si="9"/>
        <v>0</v>
      </c>
      <c r="AA21" s="769">
        <f t="shared" si="10"/>
        <v>0</v>
      </c>
      <c r="AB21" s="766">
        <v>40091</v>
      </c>
      <c r="AC21" s="742">
        <f t="shared" si="11"/>
        <v>60</v>
      </c>
      <c r="AD21" s="745">
        <v>206242</v>
      </c>
      <c r="AE21" s="179">
        <f t="shared" si="15"/>
        <v>43</v>
      </c>
      <c r="AF21" s="777">
        <f>'Lpg (2)'!B25*2000/85</f>
        <v>1576.4705882352941</v>
      </c>
      <c r="AG21" s="267">
        <f>'Lpg (2)'!C25*1000/85</f>
        <v>1000</v>
      </c>
      <c r="AH21" s="790">
        <f>'Lpg (2)'!D25*1000/85</f>
        <v>1000</v>
      </c>
      <c r="AI21" s="780">
        <f t="shared" si="18"/>
        <v>5152941.1764705889</v>
      </c>
      <c r="AJ21" s="437">
        <f t="shared" si="4"/>
        <v>47058.823529411107</v>
      </c>
      <c r="AK21" s="133"/>
    </row>
    <row r="22" spans="1:37" ht="18.75">
      <c r="A22" s="811">
        <f>Gen!B27</f>
        <v>44121</v>
      </c>
      <c r="B22" s="434">
        <f>'Summery Report'!E21</f>
        <v>12</v>
      </c>
      <c r="C22" s="816">
        <f>Gen!C27</f>
        <v>0.15790000000000001</v>
      </c>
      <c r="D22" s="778">
        <f>'Summery Report'!E21</f>
        <v>12</v>
      </c>
      <c r="E22" s="778">
        <f t="shared" si="13"/>
        <v>1.3262195121951219</v>
      </c>
      <c r="F22" s="447">
        <f t="shared" si="14"/>
        <v>110.20442073170733</v>
      </c>
      <c r="G22" s="447">
        <f t="shared" si="0"/>
        <v>128.21890243902439</v>
      </c>
      <c r="H22" s="778">
        <f>Gen!D27</f>
        <v>36691.03</v>
      </c>
      <c r="I22" s="778">
        <f>Gen!F27</f>
        <v>0</v>
      </c>
      <c r="J22" s="817">
        <f>Gen!T27</f>
        <v>997.16000000000008</v>
      </c>
      <c r="K22" s="822">
        <f>Gen!AK27</f>
        <v>163</v>
      </c>
      <c r="L22" s="813">
        <f t="shared" si="17"/>
        <v>1160.1600000000001</v>
      </c>
      <c r="M22" s="458">
        <f>'Water-Meter'!K62</f>
        <v>611.72006005166338</v>
      </c>
      <c r="N22" s="773">
        <f>'Water-Meter'!E22</f>
        <v>71</v>
      </c>
      <c r="O22" s="761"/>
      <c r="P22" s="771">
        <v>19032</v>
      </c>
      <c r="Q22" s="783">
        <f t="shared" si="2"/>
        <v>0</v>
      </c>
      <c r="R22" s="435">
        <f t="shared" si="5"/>
        <v>0</v>
      </c>
      <c r="S22" s="755">
        <v>6.6</v>
      </c>
      <c r="T22" s="756">
        <v>17117</v>
      </c>
      <c r="U22" s="783">
        <f t="shared" ref="U22:U23" si="20">T23-T21</f>
        <v>-17058</v>
      </c>
      <c r="V22" s="436">
        <f t="shared" si="19"/>
        <v>-112582.79999999999</v>
      </c>
      <c r="W22" s="755">
        <v>2.2999999999999998</v>
      </c>
      <c r="X22" s="762">
        <v>25254</v>
      </c>
      <c r="Y22" s="783">
        <f t="shared" si="8"/>
        <v>0</v>
      </c>
      <c r="Z22" s="759">
        <f t="shared" si="9"/>
        <v>0</v>
      </c>
      <c r="AA22" s="769">
        <f t="shared" si="10"/>
        <v>0</v>
      </c>
      <c r="AB22" s="766">
        <v>40175</v>
      </c>
      <c r="AC22" s="742">
        <f t="shared" si="11"/>
        <v>84</v>
      </c>
      <c r="AD22" s="745">
        <v>206289</v>
      </c>
      <c r="AE22" s="179">
        <f t="shared" si="15"/>
        <v>47</v>
      </c>
      <c r="AF22" s="777">
        <f>'Lpg (2)'!B26*2000/85</f>
        <v>1529.4117647058824</v>
      </c>
      <c r="AG22" s="267">
        <f>'Lpg (2)'!C26*1000/85</f>
        <v>1000</v>
      </c>
      <c r="AH22" s="790">
        <f>'Lpg (2)'!D26*1000/85</f>
        <v>1000</v>
      </c>
      <c r="AI22" s="780">
        <f t="shared" si="18"/>
        <v>5058823.5294117648</v>
      </c>
      <c r="AJ22" s="437">
        <f t="shared" si="4"/>
        <v>94117.647058824077</v>
      </c>
      <c r="AK22" s="133"/>
    </row>
    <row r="23" spans="1:37" ht="18.75">
      <c r="A23" s="811">
        <f>Gen!B28</f>
        <v>44122</v>
      </c>
      <c r="B23" s="434">
        <f>'Summery Report'!E22</f>
        <v>12</v>
      </c>
      <c r="C23" s="816">
        <f>Gen!C28</f>
        <v>0.15790000000000001</v>
      </c>
      <c r="D23" s="778">
        <f>'Summery Report'!E22</f>
        <v>12</v>
      </c>
      <c r="E23" s="778">
        <f t="shared" si="13"/>
        <v>1.3262195121951219</v>
      </c>
      <c r="F23" s="447">
        <f t="shared" si="14"/>
        <v>0</v>
      </c>
      <c r="G23" s="447">
        <f t="shared" si="0"/>
        <v>0</v>
      </c>
      <c r="H23" s="778">
        <f>Gen!D28</f>
        <v>35530.869999999995</v>
      </c>
      <c r="I23" s="778">
        <f>Gen!F28</f>
        <v>0</v>
      </c>
      <c r="J23" s="817">
        <f>Gen!T28</f>
        <v>0</v>
      </c>
      <c r="K23" s="822">
        <f>Gen!AK28</f>
        <v>0</v>
      </c>
      <c r="L23" s="813">
        <f t="shared" si="17"/>
        <v>0</v>
      </c>
      <c r="M23" s="458">
        <f>'Water-Meter'!K63</f>
        <v>544.2797257068147</v>
      </c>
      <c r="N23" s="773" t="str">
        <f>'Water-Meter'!E23</f>
        <v>0</v>
      </c>
      <c r="O23" s="761"/>
      <c r="P23" s="771"/>
      <c r="Q23" s="783">
        <f t="shared" si="2"/>
        <v>-19032</v>
      </c>
      <c r="R23" s="435">
        <f t="shared" si="5"/>
        <v>0</v>
      </c>
      <c r="S23" s="755"/>
      <c r="T23" s="756"/>
      <c r="U23" s="783">
        <f t="shared" si="20"/>
        <v>-17117</v>
      </c>
      <c r="V23" s="436">
        <f t="shared" si="19"/>
        <v>0</v>
      </c>
      <c r="W23" s="755"/>
      <c r="X23" s="762"/>
      <c r="Y23" s="783">
        <f t="shared" si="8"/>
        <v>-25254</v>
      </c>
      <c r="Z23" s="759">
        <f t="shared" si="9"/>
        <v>0</v>
      </c>
      <c r="AA23" s="769">
        <f t="shared" si="10"/>
        <v>0</v>
      </c>
      <c r="AB23" s="766"/>
      <c r="AC23" s="742">
        <f t="shared" si="11"/>
        <v>-40175</v>
      </c>
      <c r="AD23" s="746"/>
      <c r="AE23" s="179">
        <f t="shared" si="15"/>
        <v>-206289</v>
      </c>
      <c r="AF23" s="777">
        <f>'Lpg (2)'!B27*2000/85</f>
        <v>1482.3529411764705</v>
      </c>
      <c r="AG23" s="267">
        <f>'Lpg (2)'!C27*1000/85</f>
        <v>1000</v>
      </c>
      <c r="AH23" s="790">
        <f>'Lpg (2)'!D27*1000/85</f>
        <v>1000</v>
      </c>
      <c r="AI23" s="780">
        <f t="shared" si="18"/>
        <v>4964705.8823529407</v>
      </c>
      <c r="AJ23" s="437">
        <f t="shared" si="4"/>
        <v>94117.647058824077</v>
      </c>
      <c r="AK23" s="133"/>
    </row>
    <row r="24" spans="1:37" ht="18.75">
      <c r="A24" s="811">
        <f>Gen!B29</f>
        <v>44123</v>
      </c>
      <c r="B24" s="434">
        <f>'Summery Report'!E23</f>
        <v>0</v>
      </c>
      <c r="C24" s="816">
        <f>Gen!C29</f>
        <v>0</v>
      </c>
      <c r="D24" s="778">
        <f>'Summery Report'!E23</f>
        <v>0</v>
      </c>
      <c r="E24" s="778">
        <f t="shared" si="13"/>
        <v>1.3262195121951219</v>
      </c>
      <c r="F24" s="447" t="e">
        <f t="shared" si="14"/>
        <v>#DIV/0!</v>
      </c>
      <c r="G24" s="447" t="e">
        <f t="shared" si="0"/>
        <v>#DIV/0!</v>
      </c>
      <c r="H24" s="778">
        <f>Gen!D29</f>
        <v>35530.869999999995</v>
      </c>
      <c r="I24" s="778">
        <f>Gen!F29</f>
        <v>0</v>
      </c>
      <c r="J24" s="817">
        <f>Gen!T29</f>
        <v>0</v>
      </c>
      <c r="K24" s="822">
        <f>Gen!AK29</f>
        <v>0</v>
      </c>
      <c r="L24" s="813">
        <f t="shared" si="17"/>
        <v>0</v>
      </c>
      <c r="M24" s="458">
        <f>'Water-Meter'!K64</f>
        <v>0</v>
      </c>
      <c r="N24" s="773">
        <f>'Water-Meter'!E24</f>
        <v>0</v>
      </c>
      <c r="O24" s="761"/>
      <c r="P24" s="771"/>
      <c r="Q24" s="783">
        <f t="shared" si="2"/>
        <v>0</v>
      </c>
      <c r="R24" s="435">
        <f t="shared" si="5"/>
        <v>0</v>
      </c>
      <c r="S24" s="755"/>
      <c r="T24" s="756"/>
      <c r="U24" s="783">
        <f t="shared" si="6"/>
        <v>0</v>
      </c>
      <c r="V24" s="436">
        <f t="shared" si="19"/>
        <v>0</v>
      </c>
      <c r="W24" s="755"/>
      <c r="X24" s="762"/>
      <c r="Y24" s="783">
        <f t="shared" si="8"/>
        <v>0</v>
      </c>
      <c r="Z24" s="759">
        <f t="shared" si="9"/>
        <v>0</v>
      </c>
      <c r="AA24" s="769">
        <f t="shared" si="10"/>
        <v>0</v>
      </c>
      <c r="AB24" s="766"/>
      <c r="AC24" s="742">
        <f t="shared" si="11"/>
        <v>0</v>
      </c>
      <c r="AD24" s="746"/>
      <c r="AE24" s="179">
        <f t="shared" si="15"/>
        <v>0</v>
      </c>
      <c r="AF24" s="777">
        <f>'Lpg (2)'!B28*2000/85</f>
        <v>0</v>
      </c>
      <c r="AG24" s="267">
        <f>'Lpg (2)'!C28*1000/85</f>
        <v>0</v>
      </c>
      <c r="AH24" s="790">
        <f>'Lpg (2)'!D28*1000/85</f>
        <v>0</v>
      </c>
      <c r="AI24" s="780">
        <f t="shared" si="18"/>
        <v>0</v>
      </c>
      <c r="AJ24" s="437">
        <f t="shared" si="4"/>
        <v>4964705.8823529407</v>
      </c>
      <c r="AK24" s="133"/>
    </row>
    <row r="25" spans="1:37" ht="18.75">
      <c r="A25" s="811">
        <f>Gen!B30</f>
        <v>44124</v>
      </c>
      <c r="B25" s="434">
        <f>'Summery Report'!E24</f>
        <v>0</v>
      </c>
      <c r="C25" s="816">
        <f>Gen!C30</f>
        <v>0</v>
      </c>
      <c r="D25" s="778">
        <f>'Summery Report'!E24</f>
        <v>0</v>
      </c>
      <c r="E25" s="778">
        <f t="shared" si="13"/>
        <v>1.3262195121951219</v>
      </c>
      <c r="F25" s="447" t="e">
        <f t="shared" si="14"/>
        <v>#DIV/0!</v>
      </c>
      <c r="G25" s="447" t="e">
        <f t="shared" si="0"/>
        <v>#DIV/0!</v>
      </c>
      <c r="H25" s="778">
        <f>Gen!D30</f>
        <v>35530.869999999995</v>
      </c>
      <c r="I25" s="778">
        <f>Gen!F30</f>
        <v>0</v>
      </c>
      <c r="J25" s="817">
        <f>Gen!T30</f>
        <v>0</v>
      </c>
      <c r="K25" s="822">
        <f>Gen!AK30</f>
        <v>0</v>
      </c>
      <c r="L25" s="813">
        <f t="shared" si="17"/>
        <v>0</v>
      </c>
      <c r="M25" s="458">
        <f>'Water-Meter'!K65</f>
        <v>0</v>
      </c>
      <c r="N25" s="773">
        <f>'Water-Meter'!E25</f>
        <v>0</v>
      </c>
      <c r="O25" s="761"/>
      <c r="P25" s="771"/>
      <c r="Q25" s="783">
        <f t="shared" si="2"/>
        <v>0</v>
      </c>
      <c r="R25" s="435">
        <f t="shared" si="5"/>
        <v>0</v>
      </c>
      <c r="S25" s="755"/>
      <c r="T25" s="756"/>
      <c r="U25" s="783">
        <f t="shared" si="6"/>
        <v>0</v>
      </c>
      <c r="V25" s="436">
        <f t="shared" si="19"/>
        <v>0</v>
      </c>
      <c r="W25" s="755"/>
      <c r="X25" s="762"/>
      <c r="Y25" s="783">
        <f t="shared" si="8"/>
        <v>0</v>
      </c>
      <c r="Z25" s="759">
        <f t="shared" si="9"/>
        <v>0</v>
      </c>
      <c r="AA25" s="769">
        <f t="shared" si="10"/>
        <v>0</v>
      </c>
      <c r="AB25" s="766"/>
      <c r="AC25" s="742">
        <f t="shared" si="11"/>
        <v>0</v>
      </c>
      <c r="AD25" s="746"/>
      <c r="AE25" s="179">
        <f t="shared" si="15"/>
        <v>0</v>
      </c>
      <c r="AF25" s="777">
        <f>'Lpg (2)'!B29*2000/85</f>
        <v>0</v>
      </c>
      <c r="AG25" s="267">
        <f>'Lpg (2)'!C29*1000/85</f>
        <v>0</v>
      </c>
      <c r="AH25" s="790">
        <f>'Lpg (2)'!D29*1000/85</f>
        <v>0</v>
      </c>
      <c r="AI25" s="780">
        <f t="shared" si="18"/>
        <v>0</v>
      </c>
      <c r="AJ25" s="437">
        <f t="shared" si="4"/>
        <v>0</v>
      </c>
      <c r="AK25" s="133"/>
    </row>
    <row r="26" spans="1:37" ht="18.75">
      <c r="A26" s="811">
        <f>Gen!B31</f>
        <v>44125</v>
      </c>
      <c r="B26" s="434">
        <f>'Summery Report'!E25</f>
        <v>0</v>
      </c>
      <c r="C26" s="816">
        <f>Gen!C31</f>
        <v>0</v>
      </c>
      <c r="D26" s="778">
        <f>'Summery Report'!E25</f>
        <v>0</v>
      </c>
      <c r="E26" s="778">
        <f t="shared" si="13"/>
        <v>1.3262195121951219</v>
      </c>
      <c r="F26" s="447" t="e">
        <f>SUM(J26*E26)/D26</f>
        <v>#DIV/0!</v>
      </c>
      <c r="G26" s="447" t="e">
        <f t="shared" si="0"/>
        <v>#DIV/0!</v>
      </c>
      <c r="H26" s="778">
        <f>Gen!D31</f>
        <v>35530.869999999995</v>
      </c>
      <c r="I26" s="778">
        <f>Gen!F31</f>
        <v>0</v>
      </c>
      <c r="J26" s="817">
        <f>Gen!T31</f>
        <v>0</v>
      </c>
      <c r="K26" s="822">
        <f>Gen!AK31</f>
        <v>0</v>
      </c>
      <c r="L26" s="813">
        <f t="shared" si="17"/>
        <v>0</v>
      </c>
      <c r="M26" s="458">
        <f>'Water-Meter'!K66</f>
        <v>0</v>
      </c>
      <c r="N26" s="773">
        <f>'Water-Meter'!E26</f>
        <v>0</v>
      </c>
      <c r="O26" s="761"/>
      <c r="P26" s="771"/>
      <c r="Q26" s="783">
        <f t="shared" si="2"/>
        <v>0</v>
      </c>
      <c r="R26" s="435">
        <f t="shared" si="5"/>
        <v>0</v>
      </c>
      <c r="S26" s="755"/>
      <c r="T26" s="756"/>
      <c r="U26" s="783">
        <f t="shared" si="6"/>
        <v>0</v>
      </c>
      <c r="V26" s="436">
        <f t="shared" si="19"/>
        <v>0</v>
      </c>
      <c r="W26" s="755"/>
      <c r="X26" s="762"/>
      <c r="Y26" s="783">
        <f t="shared" si="8"/>
        <v>0</v>
      </c>
      <c r="Z26" s="759">
        <f t="shared" si="9"/>
        <v>0</v>
      </c>
      <c r="AA26" s="769">
        <f t="shared" si="10"/>
        <v>0</v>
      </c>
      <c r="AB26" s="766"/>
      <c r="AC26" s="742">
        <f t="shared" si="11"/>
        <v>0</v>
      </c>
      <c r="AD26" s="746"/>
      <c r="AE26" s="179">
        <f t="shared" si="15"/>
        <v>0</v>
      </c>
      <c r="AF26" s="777">
        <f>'Lpg (2)'!B30*2000/85</f>
        <v>0</v>
      </c>
      <c r="AG26" s="267">
        <f>'Lpg (2)'!C30*1000/85</f>
        <v>0</v>
      </c>
      <c r="AH26" s="790">
        <f>'Lpg (2)'!D30*1000/85</f>
        <v>0</v>
      </c>
      <c r="AI26" s="780">
        <f t="shared" si="18"/>
        <v>0</v>
      </c>
      <c r="AJ26" s="437">
        <f t="shared" si="4"/>
        <v>0</v>
      </c>
      <c r="AK26" s="133"/>
    </row>
    <row r="27" spans="1:37" ht="18.75">
      <c r="A27" s="811">
        <f>Gen!B32</f>
        <v>44126</v>
      </c>
      <c r="B27" s="434">
        <f>'Summery Report'!E26</f>
        <v>0</v>
      </c>
      <c r="C27" s="816">
        <f>Gen!C32</f>
        <v>0</v>
      </c>
      <c r="D27" s="778">
        <f>'Summery Report'!E26</f>
        <v>0</v>
      </c>
      <c r="E27" s="778">
        <f t="shared" si="13"/>
        <v>1.3262195121951219</v>
      </c>
      <c r="F27" s="447" t="e">
        <f t="shared" si="14"/>
        <v>#DIV/0!</v>
      </c>
      <c r="G27" s="447" t="e">
        <f t="shared" si="0"/>
        <v>#DIV/0!</v>
      </c>
      <c r="H27" s="778">
        <f>Gen!D32</f>
        <v>35530.869999999995</v>
      </c>
      <c r="I27" s="778">
        <f>Gen!F32</f>
        <v>0</v>
      </c>
      <c r="J27" s="817">
        <f>Gen!T32</f>
        <v>0</v>
      </c>
      <c r="K27" s="822">
        <f>Gen!AK32</f>
        <v>0</v>
      </c>
      <c r="L27" s="813">
        <f t="shared" si="17"/>
        <v>0</v>
      </c>
      <c r="M27" s="458">
        <f>'Water-Meter'!K67</f>
        <v>0</v>
      </c>
      <c r="N27" s="773">
        <f>'Water-Meter'!E27</f>
        <v>0</v>
      </c>
      <c r="O27" s="761"/>
      <c r="P27" s="771"/>
      <c r="Q27" s="783">
        <f t="shared" si="2"/>
        <v>0</v>
      </c>
      <c r="R27" s="435">
        <f t="shared" si="5"/>
        <v>0</v>
      </c>
      <c r="S27" s="755"/>
      <c r="T27" s="756"/>
      <c r="U27" s="783">
        <f t="shared" si="6"/>
        <v>0</v>
      </c>
      <c r="V27" s="436">
        <f t="shared" si="19"/>
        <v>0</v>
      </c>
      <c r="W27" s="755"/>
      <c r="X27" s="762"/>
      <c r="Y27" s="783">
        <f t="shared" si="8"/>
        <v>0</v>
      </c>
      <c r="Z27" s="759">
        <f t="shared" si="9"/>
        <v>0</v>
      </c>
      <c r="AA27" s="769">
        <f t="shared" si="10"/>
        <v>0</v>
      </c>
      <c r="AB27" s="766"/>
      <c r="AC27" s="742">
        <f t="shared" si="11"/>
        <v>0</v>
      </c>
      <c r="AD27" s="746"/>
      <c r="AE27" s="179">
        <f t="shared" si="15"/>
        <v>0</v>
      </c>
      <c r="AF27" s="777">
        <f>'Lpg (2)'!B31*2000/85</f>
        <v>0</v>
      </c>
      <c r="AG27" s="267">
        <f>'Lpg (2)'!C31*1000/85</f>
        <v>0</v>
      </c>
      <c r="AH27" s="790">
        <f>'Lpg (2)'!D31*1000/85</f>
        <v>0</v>
      </c>
      <c r="AI27" s="780">
        <f t="shared" si="18"/>
        <v>0</v>
      </c>
      <c r="AJ27" s="437">
        <f t="shared" si="4"/>
        <v>0</v>
      </c>
      <c r="AK27" s="133"/>
    </row>
    <row r="28" spans="1:37" ht="18.75">
      <c r="A28" s="811">
        <f>Gen!B33</f>
        <v>44127</v>
      </c>
      <c r="B28" s="434">
        <f>'Summery Report'!E27</f>
        <v>0</v>
      </c>
      <c r="C28" s="816">
        <f>Gen!C33</f>
        <v>0</v>
      </c>
      <c r="D28" s="778">
        <f>'Summery Report'!E27</f>
        <v>0</v>
      </c>
      <c r="E28" s="778">
        <f t="shared" si="13"/>
        <v>1.3262195121951219</v>
      </c>
      <c r="F28" s="447" t="e">
        <f t="shared" si="14"/>
        <v>#DIV/0!</v>
      </c>
      <c r="G28" s="447" t="e">
        <f t="shared" si="0"/>
        <v>#DIV/0!</v>
      </c>
      <c r="H28" s="778">
        <f>Gen!D33</f>
        <v>35530.869999999995</v>
      </c>
      <c r="I28" s="778">
        <f>Gen!F33</f>
        <v>0</v>
      </c>
      <c r="J28" s="817">
        <f>Gen!T33</f>
        <v>0</v>
      </c>
      <c r="K28" s="822">
        <f>Gen!AK33</f>
        <v>0</v>
      </c>
      <c r="L28" s="813">
        <f t="shared" si="17"/>
        <v>0</v>
      </c>
      <c r="M28" s="458">
        <f>'Water-Meter'!K68</f>
        <v>0</v>
      </c>
      <c r="N28" s="773">
        <f>'Water-Meter'!E28</f>
        <v>0</v>
      </c>
      <c r="O28" s="761"/>
      <c r="P28" s="771"/>
      <c r="Q28" s="783">
        <f t="shared" si="2"/>
        <v>0</v>
      </c>
      <c r="R28" s="435">
        <f t="shared" si="5"/>
        <v>0</v>
      </c>
      <c r="S28" s="755"/>
      <c r="T28" s="756"/>
      <c r="U28" s="783">
        <f t="shared" si="6"/>
        <v>0</v>
      </c>
      <c r="V28" s="436">
        <f t="shared" si="19"/>
        <v>0</v>
      </c>
      <c r="W28" s="755"/>
      <c r="X28" s="762"/>
      <c r="Y28" s="783">
        <f t="shared" si="8"/>
        <v>0</v>
      </c>
      <c r="Z28" s="759">
        <f t="shared" si="9"/>
        <v>0</v>
      </c>
      <c r="AA28" s="769">
        <f t="shared" si="10"/>
        <v>0</v>
      </c>
      <c r="AB28" s="766"/>
      <c r="AC28" s="742">
        <f t="shared" ref="AC28:AC37" si="21">SUM(AB28-AB27)</f>
        <v>0</v>
      </c>
      <c r="AD28" s="746"/>
      <c r="AE28" s="179">
        <f t="shared" si="15"/>
        <v>0</v>
      </c>
      <c r="AF28" s="777">
        <f>'Lpg (2)'!B32*2000/85</f>
        <v>0</v>
      </c>
      <c r="AG28" s="267">
        <f>'Lpg (2)'!C32*1000/85</f>
        <v>0</v>
      </c>
      <c r="AH28" s="790">
        <f>'Lpg (2)'!D32*1000/85</f>
        <v>0</v>
      </c>
      <c r="AI28" s="780">
        <f t="shared" si="18"/>
        <v>0</v>
      </c>
      <c r="AJ28" s="437">
        <f t="shared" si="4"/>
        <v>0</v>
      </c>
      <c r="AK28" s="133"/>
    </row>
    <row r="29" spans="1:37" ht="18.75">
      <c r="A29" s="811">
        <f>Gen!B34</f>
        <v>44128</v>
      </c>
      <c r="B29" s="434">
        <f>'Summery Report'!E28</f>
        <v>0</v>
      </c>
      <c r="C29" s="816">
        <f>Gen!C34</f>
        <v>0</v>
      </c>
      <c r="D29" s="778">
        <f>'Summery Report'!E28</f>
        <v>0</v>
      </c>
      <c r="E29" s="778">
        <f t="shared" si="13"/>
        <v>1.3262195121951219</v>
      </c>
      <c r="F29" s="447" t="e">
        <f t="shared" si="14"/>
        <v>#DIV/0!</v>
      </c>
      <c r="G29" s="447" t="e">
        <f t="shared" si="0"/>
        <v>#DIV/0!</v>
      </c>
      <c r="H29" s="778">
        <f>Gen!D34</f>
        <v>35530.869999999995</v>
      </c>
      <c r="I29" s="778">
        <f>Gen!F34</f>
        <v>0</v>
      </c>
      <c r="J29" s="817">
        <f>Gen!T34</f>
        <v>0</v>
      </c>
      <c r="K29" s="822">
        <f>Gen!AK34</f>
        <v>0</v>
      </c>
      <c r="L29" s="813">
        <f t="shared" si="17"/>
        <v>0</v>
      </c>
      <c r="M29" s="458">
        <f>'Water-Meter'!K69</f>
        <v>0</v>
      </c>
      <c r="N29" s="773">
        <f>'Water-Meter'!E29</f>
        <v>0</v>
      </c>
      <c r="O29" s="761"/>
      <c r="P29" s="771"/>
      <c r="Q29" s="783">
        <f t="shared" si="2"/>
        <v>0</v>
      </c>
      <c r="R29" s="435">
        <f t="shared" si="5"/>
        <v>0</v>
      </c>
      <c r="S29" s="755"/>
      <c r="T29" s="756"/>
      <c r="U29" s="783">
        <f t="shared" si="6"/>
        <v>0</v>
      </c>
      <c r="V29" s="436">
        <f t="shared" si="19"/>
        <v>0</v>
      </c>
      <c r="W29" s="755"/>
      <c r="X29" s="762"/>
      <c r="Y29" s="783">
        <f t="shared" si="8"/>
        <v>0</v>
      </c>
      <c r="Z29" s="759">
        <f t="shared" si="9"/>
        <v>0</v>
      </c>
      <c r="AA29" s="769">
        <f t="shared" si="10"/>
        <v>0</v>
      </c>
      <c r="AB29" s="766"/>
      <c r="AC29" s="742">
        <f t="shared" si="21"/>
        <v>0</v>
      </c>
      <c r="AD29" s="746"/>
      <c r="AE29" s="179">
        <f t="shared" si="15"/>
        <v>0</v>
      </c>
      <c r="AF29" s="777">
        <f>'Lpg (2)'!B33*2000/85</f>
        <v>0</v>
      </c>
      <c r="AG29" s="267">
        <f>'Lpg (2)'!C33*1000/85</f>
        <v>0</v>
      </c>
      <c r="AH29" s="790">
        <f>'Lpg (2)'!D33*1000/85</f>
        <v>0</v>
      </c>
      <c r="AI29" s="780">
        <f t="shared" si="18"/>
        <v>0</v>
      </c>
      <c r="AJ29" s="437">
        <f t="shared" si="4"/>
        <v>0</v>
      </c>
      <c r="AK29" s="133"/>
    </row>
    <row r="30" spans="1:37" ht="18.75">
      <c r="A30" s="811">
        <f>Gen!B35</f>
        <v>44129</v>
      </c>
      <c r="B30" s="434">
        <f>'Summery Report'!E29</f>
        <v>0</v>
      </c>
      <c r="C30" s="816">
        <f>Gen!C35</f>
        <v>0</v>
      </c>
      <c r="D30" s="778">
        <f>'Summery Report'!E29</f>
        <v>0</v>
      </c>
      <c r="E30" s="778">
        <f t="shared" si="13"/>
        <v>1.3262195121951219</v>
      </c>
      <c r="F30" s="447" t="e">
        <f t="shared" si="14"/>
        <v>#DIV/0!</v>
      </c>
      <c r="G30" s="447" t="e">
        <f t="shared" si="0"/>
        <v>#DIV/0!</v>
      </c>
      <c r="H30" s="778">
        <f>Gen!D35</f>
        <v>35530.869999999995</v>
      </c>
      <c r="I30" s="778">
        <f>Gen!F35</f>
        <v>12000</v>
      </c>
      <c r="J30" s="817">
        <f>Gen!T35</f>
        <v>0</v>
      </c>
      <c r="K30" s="822">
        <f>Gen!AK35</f>
        <v>0</v>
      </c>
      <c r="L30" s="813">
        <f t="shared" si="17"/>
        <v>0</v>
      </c>
      <c r="M30" s="458">
        <f>'Water-Meter'!K70</f>
        <v>0</v>
      </c>
      <c r="N30" s="773">
        <f>'Water-Meter'!E30</f>
        <v>0</v>
      </c>
      <c r="O30" s="761"/>
      <c r="P30" s="771"/>
      <c r="Q30" s="783">
        <f t="shared" si="2"/>
        <v>0</v>
      </c>
      <c r="R30" s="435">
        <f t="shared" si="5"/>
        <v>0</v>
      </c>
      <c r="S30" s="755"/>
      <c r="T30" s="756"/>
      <c r="U30" s="783">
        <f t="shared" si="6"/>
        <v>0</v>
      </c>
      <c r="V30" s="436">
        <f t="shared" si="19"/>
        <v>0</v>
      </c>
      <c r="W30" s="755"/>
      <c r="X30" s="762"/>
      <c r="Y30" s="783">
        <f t="shared" si="8"/>
        <v>0</v>
      </c>
      <c r="Z30" s="759">
        <f t="shared" si="9"/>
        <v>0</v>
      </c>
      <c r="AA30" s="769">
        <f t="shared" si="10"/>
        <v>0</v>
      </c>
      <c r="AB30" s="766"/>
      <c r="AC30" s="742">
        <f t="shared" si="21"/>
        <v>0</v>
      </c>
      <c r="AD30" s="746"/>
      <c r="AE30" s="179">
        <f t="shared" si="15"/>
        <v>0</v>
      </c>
      <c r="AF30" s="777">
        <f>'Lpg (2)'!B34*2000/85</f>
        <v>0</v>
      </c>
      <c r="AG30" s="267">
        <f>'Lpg (2)'!C34*1000/85</f>
        <v>0</v>
      </c>
      <c r="AH30" s="790">
        <f>'Lpg (2)'!D34*1000/85</f>
        <v>0</v>
      </c>
      <c r="AI30" s="780">
        <f t="shared" si="18"/>
        <v>0</v>
      </c>
      <c r="AJ30" s="437">
        <f t="shared" si="4"/>
        <v>0</v>
      </c>
      <c r="AK30" s="133"/>
    </row>
    <row r="31" spans="1:37" ht="18.75">
      <c r="A31" s="811">
        <f>Gen!B36</f>
        <v>44130</v>
      </c>
      <c r="B31" s="434">
        <f>'Summery Report'!E30</f>
        <v>0</v>
      </c>
      <c r="C31" s="816">
        <f>Gen!C36</f>
        <v>0</v>
      </c>
      <c r="D31" s="778">
        <f>'Summery Report'!E30</f>
        <v>0</v>
      </c>
      <c r="E31" s="778">
        <f t="shared" si="13"/>
        <v>1.3262195121951219</v>
      </c>
      <c r="F31" s="447" t="e">
        <f t="shared" si="14"/>
        <v>#DIV/0!</v>
      </c>
      <c r="G31" s="447" t="e">
        <f t="shared" si="0"/>
        <v>#DIV/0!</v>
      </c>
      <c r="H31" s="778">
        <f>Gen!D36</f>
        <v>35530.869999999995</v>
      </c>
      <c r="I31" s="778">
        <f>Gen!F36</f>
        <v>0</v>
      </c>
      <c r="J31" s="817">
        <f>Gen!T36</f>
        <v>0</v>
      </c>
      <c r="K31" s="822">
        <f>Gen!AK36</f>
        <v>0</v>
      </c>
      <c r="L31" s="813">
        <f t="shared" si="17"/>
        <v>0</v>
      </c>
      <c r="M31" s="458">
        <f>'Water-Meter'!K71</f>
        <v>0</v>
      </c>
      <c r="N31" s="773">
        <f>'Water-Meter'!E31</f>
        <v>0</v>
      </c>
      <c r="O31" s="761"/>
      <c r="P31" s="771"/>
      <c r="Q31" s="783">
        <f t="shared" si="2"/>
        <v>0</v>
      </c>
      <c r="R31" s="435">
        <f t="shared" si="5"/>
        <v>0</v>
      </c>
      <c r="S31" s="755"/>
      <c r="T31" s="756"/>
      <c r="U31" s="783">
        <f t="shared" si="6"/>
        <v>0</v>
      </c>
      <c r="V31" s="436">
        <f t="shared" si="19"/>
        <v>0</v>
      </c>
      <c r="W31" s="755"/>
      <c r="X31" s="763"/>
      <c r="Y31" s="783">
        <f t="shared" si="8"/>
        <v>0</v>
      </c>
      <c r="Z31" s="759">
        <f t="shared" si="9"/>
        <v>0</v>
      </c>
      <c r="AA31" s="769">
        <f t="shared" si="10"/>
        <v>0</v>
      </c>
      <c r="AB31" s="766"/>
      <c r="AC31" s="742">
        <f t="shared" si="21"/>
        <v>0</v>
      </c>
      <c r="AD31" s="746"/>
      <c r="AE31" s="179">
        <f t="shared" si="15"/>
        <v>0</v>
      </c>
      <c r="AF31" s="777">
        <f>'Lpg (2)'!B35*2000/85</f>
        <v>0</v>
      </c>
      <c r="AG31" s="267">
        <f>'Lpg (2)'!C35*1000/85</f>
        <v>0</v>
      </c>
      <c r="AH31" s="790">
        <f>'Lpg (2)'!D35*1000/85</f>
        <v>0</v>
      </c>
      <c r="AI31" s="780">
        <f t="shared" si="18"/>
        <v>0</v>
      </c>
      <c r="AJ31" s="437">
        <f t="shared" si="4"/>
        <v>0</v>
      </c>
      <c r="AK31" s="133"/>
    </row>
    <row r="32" spans="1:37" ht="18.75">
      <c r="A32" s="811">
        <f>Gen!B37</f>
        <v>44131</v>
      </c>
      <c r="B32" s="434">
        <f>'Summery Report'!E31</f>
        <v>0</v>
      </c>
      <c r="C32" s="816">
        <f>Gen!C37</f>
        <v>0</v>
      </c>
      <c r="D32" s="778">
        <f>'Summery Report'!E31</f>
        <v>0</v>
      </c>
      <c r="E32" s="778">
        <f t="shared" si="13"/>
        <v>1.3262195121951219</v>
      </c>
      <c r="F32" s="447" t="e">
        <f t="shared" si="14"/>
        <v>#DIV/0!</v>
      </c>
      <c r="G32" s="447" t="e">
        <f t="shared" si="0"/>
        <v>#DIV/0!</v>
      </c>
      <c r="H32" s="778">
        <f>Gen!D37</f>
        <v>35530.869999999995</v>
      </c>
      <c r="I32" s="778">
        <f>Gen!F37</f>
        <v>0</v>
      </c>
      <c r="J32" s="817">
        <f>Gen!T37</f>
        <v>0</v>
      </c>
      <c r="K32" s="822">
        <f>Gen!AK37</f>
        <v>0</v>
      </c>
      <c r="L32" s="813">
        <f t="shared" si="17"/>
        <v>0</v>
      </c>
      <c r="M32" s="458">
        <f>'Water-Meter'!K72</f>
        <v>0</v>
      </c>
      <c r="N32" s="773">
        <f>'Water-Meter'!E32</f>
        <v>0</v>
      </c>
      <c r="O32" s="761"/>
      <c r="P32" s="771"/>
      <c r="Q32" s="783">
        <f t="shared" si="2"/>
        <v>0</v>
      </c>
      <c r="R32" s="435">
        <f t="shared" si="5"/>
        <v>0</v>
      </c>
      <c r="S32" s="755"/>
      <c r="T32" s="756"/>
      <c r="U32" s="783">
        <f t="shared" si="6"/>
        <v>0</v>
      </c>
      <c r="V32" s="436">
        <f t="shared" si="19"/>
        <v>0</v>
      </c>
      <c r="W32" s="755"/>
      <c r="X32" s="762"/>
      <c r="Y32" s="783">
        <f t="shared" si="8"/>
        <v>0</v>
      </c>
      <c r="Z32" s="759">
        <f t="shared" si="9"/>
        <v>0</v>
      </c>
      <c r="AA32" s="769">
        <f t="shared" si="10"/>
        <v>0</v>
      </c>
      <c r="AB32" s="766"/>
      <c r="AC32" s="742">
        <f t="shared" si="21"/>
        <v>0</v>
      </c>
      <c r="AD32" s="746"/>
      <c r="AE32" s="179">
        <f t="shared" si="15"/>
        <v>0</v>
      </c>
      <c r="AF32" s="777">
        <f>'Lpg (2)'!B36*2000/85</f>
        <v>0</v>
      </c>
      <c r="AG32" s="267">
        <f>'Lpg (2)'!C36*1000/85</f>
        <v>0</v>
      </c>
      <c r="AH32" s="790">
        <f>'Lpg (2)'!D36*1000/85</f>
        <v>0</v>
      </c>
      <c r="AI32" s="780">
        <f t="shared" si="18"/>
        <v>0</v>
      </c>
      <c r="AJ32" s="437">
        <f t="shared" si="4"/>
        <v>0</v>
      </c>
      <c r="AK32" s="133"/>
    </row>
    <row r="33" spans="1:37" ht="18.75">
      <c r="A33" s="811">
        <f>Gen!B38</f>
        <v>44132</v>
      </c>
      <c r="B33" s="434">
        <f>'Summery Report'!E32</f>
        <v>0</v>
      </c>
      <c r="C33" s="816">
        <f>Gen!C38</f>
        <v>0</v>
      </c>
      <c r="D33" s="778">
        <f>'Summery Report'!E32</f>
        <v>0</v>
      </c>
      <c r="E33" s="778">
        <f t="shared" si="13"/>
        <v>1.3262195121951219</v>
      </c>
      <c r="F33" s="447" t="e">
        <f t="shared" si="14"/>
        <v>#DIV/0!</v>
      </c>
      <c r="G33" s="447" t="e">
        <f t="shared" si="0"/>
        <v>#DIV/0!</v>
      </c>
      <c r="H33" s="778">
        <f>Gen!D38</f>
        <v>35530.869999999995</v>
      </c>
      <c r="I33" s="778">
        <f>Gen!F38</f>
        <v>0</v>
      </c>
      <c r="J33" s="817">
        <f>Gen!T38</f>
        <v>0</v>
      </c>
      <c r="K33" s="822">
        <f>Gen!AK38</f>
        <v>0</v>
      </c>
      <c r="L33" s="813">
        <f t="shared" si="17"/>
        <v>0</v>
      </c>
      <c r="M33" s="458">
        <f>'Water-Meter'!K73</f>
        <v>0</v>
      </c>
      <c r="N33" s="773">
        <f>'Water-Meter'!E33</f>
        <v>0</v>
      </c>
      <c r="O33" s="761"/>
      <c r="P33" s="771"/>
      <c r="Q33" s="783">
        <f t="shared" si="2"/>
        <v>0</v>
      </c>
      <c r="R33" s="435">
        <f t="shared" si="5"/>
        <v>0</v>
      </c>
      <c r="S33" s="755"/>
      <c r="T33" s="756"/>
      <c r="U33" s="783">
        <f t="shared" si="6"/>
        <v>0</v>
      </c>
      <c r="V33" s="436">
        <f t="shared" si="19"/>
        <v>0</v>
      </c>
      <c r="W33" s="755"/>
      <c r="X33" s="762"/>
      <c r="Y33" s="783">
        <f t="shared" si="8"/>
        <v>0</v>
      </c>
      <c r="Z33" s="759">
        <f t="shared" si="9"/>
        <v>0</v>
      </c>
      <c r="AA33" s="769">
        <f t="shared" si="10"/>
        <v>0</v>
      </c>
      <c r="AB33" s="766"/>
      <c r="AC33" s="742">
        <f t="shared" si="21"/>
        <v>0</v>
      </c>
      <c r="AD33" s="746"/>
      <c r="AE33" s="179">
        <f t="shared" si="15"/>
        <v>0</v>
      </c>
      <c r="AF33" s="777">
        <f>'Lpg (2)'!B37*2000/85</f>
        <v>0</v>
      </c>
      <c r="AG33" s="267">
        <f>'Lpg (2)'!C37*1000/85</f>
        <v>0</v>
      </c>
      <c r="AH33" s="790">
        <f>'Lpg (2)'!D37*1000/85</f>
        <v>0</v>
      </c>
      <c r="AI33" s="780">
        <f t="shared" si="18"/>
        <v>0</v>
      </c>
      <c r="AJ33" s="437">
        <f t="shared" si="4"/>
        <v>0</v>
      </c>
      <c r="AK33" s="133"/>
    </row>
    <row r="34" spans="1:37" ht="18.75">
      <c r="A34" s="811">
        <f>Gen!B39</f>
        <v>44133</v>
      </c>
      <c r="B34" s="434">
        <f>'Summery Report'!E33</f>
        <v>0</v>
      </c>
      <c r="C34" s="816">
        <f>Gen!C39</f>
        <v>0</v>
      </c>
      <c r="D34" s="778">
        <f>'Summery Report'!E33</f>
        <v>0</v>
      </c>
      <c r="E34" s="778">
        <f t="shared" si="13"/>
        <v>1.3262195121951219</v>
      </c>
      <c r="F34" s="447" t="e">
        <f t="shared" si="14"/>
        <v>#DIV/0!</v>
      </c>
      <c r="G34" s="447" t="e">
        <f t="shared" si="0"/>
        <v>#DIV/0!</v>
      </c>
      <c r="H34" s="778">
        <f>Gen!D39</f>
        <v>35530.869999999995</v>
      </c>
      <c r="I34" s="778">
        <f>Gen!F39</f>
        <v>0</v>
      </c>
      <c r="J34" s="817">
        <f>Gen!T39</f>
        <v>0</v>
      </c>
      <c r="K34" s="822">
        <f>Gen!AK39</f>
        <v>0</v>
      </c>
      <c r="L34" s="813">
        <f t="shared" si="17"/>
        <v>0</v>
      </c>
      <c r="M34" s="458">
        <f>'Water-Meter'!K74</f>
        <v>0</v>
      </c>
      <c r="N34" s="773">
        <f>'Water-Meter'!E34</f>
        <v>0</v>
      </c>
      <c r="O34" s="761"/>
      <c r="P34" s="771"/>
      <c r="Q34" s="783">
        <f t="shared" si="2"/>
        <v>0</v>
      </c>
      <c r="R34" s="435">
        <f t="shared" si="5"/>
        <v>0</v>
      </c>
      <c r="S34" s="755"/>
      <c r="T34" s="756"/>
      <c r="U34" s="783">
        <f t="shared" si="6"/>
        <v>0</v>
      </c>
      <c r="V34" s="436">
        <f t="shared" si="19"/>
        <v>0</v>
      </c>
      <c r="W34" s="755"/>
      <c r="X34" s="762"/>
      <c r="Y34" s="783">
        <f t="shared" si="8"/>
        <v>0</v>
      </c>
      <c r="Z34" s="759">
        <f t="shared" si="9"/>
        <v>0</v>
      </c>
      <c r="AA34" s="769">
        <f t="shared" si="10"/>
        <v>0</v>
      </c>
      <c r="AB34" s="766"/>
      <c r="AC34" s="742">
        <f t="shared" si="21"/>
        <v>0</v>
      </c>
      <c r="AD34" s="746"/>
      <c r="AE34" s="179">
        <f t="shared" si="15"/>
        <v>0</v>
      </c>
      <c r="AF34" s="777">
        <f>'Lpg (2)'!B38*2000/85</f>
        <v>0</v>
      </c>
      <c r="AG34" s="267">
        <f>'Lpg (2)'!C38*1000/85</f>
        <v>0</v>
      </c>
      <c r="AH34" s="790">
        <f>'Lpg (2)'!D38*1000/85</f>
        <v>0</v>
      </c>
      <c r="AI34" s="780">
        <f t="shared" si="18"/>
        <v>0</v>
      </c>
      <c r="AJ34" s="437">
        <f t="shared" si="4"/>
        <v>0</v>
      </c>
      <c r="AK34" s="133"/>
    </row>
    <row r="35" spans="1:37" ht="18.75">
      <c r="A35" s="811">
        <f>Gen!B40</f>
        <v>44134</v>
      </c>
      <c r="B35" s="434">
        <f>'Summery Report'!E34</f>
        <v>0</v>
      </c>
      <c r="C35" s="816">
        <f>Gen!C40</f>
        <v>0</v>
      </c>
      <c r="D35" s="778">
        <f>'Summery Report'!E34</f>
        <v>0</v>
      </c>
      <c r="E35" s="778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8">
        <f>Gen!D40</f>
        <v>35530.869999999995</v>
      </c>
      <c r="I35" s="778">
        <f>Gen!F40</f>
        <v>0</v>
      </c>
      <c r="J35" s="817">
        <f>Gen!T40</f>
        <v>0</v>
      </c>
      <c r="K35" s="822">
        <f>Gen!AK40</f>
        <v>0</v>
      </c>
      <c r="L35" s="813">
        <f t="shared" si="17"/>
        <v>0</v>
      </c>
      <c r="M35" s="458">
        <f>'Water-Meter'!K75</f>
        <v>0</v>
      </c>
      <c r="N35" s="773">
        <f>'Water-Meter'!E35</f>
        <v>0</v>
      </c>
      <c r="O35" s="761"/>
      <c r="P35" s="771"/>
      <c r="Q35" s="783">
        <f t="shared" si="2"/>
        <v>0</v>
      </c>
      <c r="R35" s="435">
        <f t="shared" si="5"/>
        <v>0</v>
      </c>
      <c r="S35" s="755"/>
      <c r="T35" s="756"/>
      <c r="U35" s="783">
        <f t="shared" si="6"/>
        <v>0</v>
      </c>
      <c r="V35" s="436">
        <f t="shared" si="19"/>
        <v>0</v>
      </c>
      <c r="W35" s="755"/>
      <c r="X35" s="762"/>
      <c r="Y35" s="783">
        <f t="shared" si="8"/>
        <v>0</v>
      </c>
      <c r="Z35" s="759">
        <f t="shared" si="9"/>
        <v>0</v>
      </c>
      <c r="AA35" s="769">
        <f t="shared" si="10"/>
        <v>0</v>
      </c>
      <c r="AB35" s="766"/>
      <c r="AC35" s="742">
        <f t="shared" si="21"/>
        <v>0</v>
      </c>
      <c r="AD35" s="746"/>
      <c r="AE35" s="179">
        <f t="shared" si="15"/>
        <v>0</v>
      </c>
      <c r="AF35" s="777">
        <f>'Lpg (2)'!B39*2000/85</f>
        <v>0</v>
      </c>
      <c r="AG35" s="267">
        <f>'Lpg (2)'!C39*1000/85</f>
        <v>0</v>
      </c>
      <c r="AH35" s="790">
        <f>'Lpg (2)'!D39*1000/85</f>
        <v>0</v>
      </c>
      <c r="AI35" s="780">
        <f t="shared" si="18"/>
        <v>0</v>
      </c>
      <c r="AJ35" s="437">
        <f t="shared" si="4"/>
        <v>0</v>
      </c>
      <c r="AK35" s="133"/>
    </row>
    <row r="36" spans="1:37" ht="18.75">
      <c r="A36" s="811">
        <f>Gen!B41</f>
        <v>44135</v>
      </c>
      <c r="B36" s="434">
        <f>'Summery Report'!E35</f>
        <v>0</v>
      </c>
      <c r="C36" s="816">
        <f>Gen!C41</f>
        <v>0</v>
      </c>
      <c r="D36" s="778">
        <f>'Summery Report'!E35</f>
        <v>0</v>
      </c>
      <c r="E36" s="778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8">
        <f>Gen!D41</f>
        <v>35530.869999999995</v>
      </c>
      <c r="I36" s="778">
        <f>Gen!F41</f>
        <v>0</v>
      </c>
      <c r="J36" s="817">
        <f>Gen!T41</f>
        <v>0</v>
      </c>
      <c r="K36" s="822">
        <f>Gen!AK41</f>
        <v>0</v>
      </c>
      <c r="L36" s="813">
        <f t="shared" si="17"/>
        <v>0</v>
      </c>
      <c r="M36" s="458">
        <f>'Water-Meter'!K76</f>
        <v>0</v>
      </c>
      <c r="N36" s="773">
        <f>'Water-Meter'!E36</f>
        <v>0</v>
      </c>
      <c r="O36" s="761"/>
      <c r="P36" s="771"/>
      <c r="Q36" s="783">
        <f t="shared" si="2"/>
        <v>0</v>
      </c>
      <c r="R36" s="435">
        <f t="shared" si="5"/>
        <v>0</v>
      </c>
      <c r="S36" s="755"/>
      <c r="T36" s="756"/>
      <c r="U36" s="783">
        <f t="shared" si="6"/>
        <v>0</v>
      </c>
      <c r="V36" s="436">
        <f t="shared" si="19"/>
        <v>0</v>
      </c>
      <c r="W36" s="755"/>
      <c r="X36" s="762"/>
      <c r="Y36" s="783">
        <f t="shared" si="8"/>
        <v>0</v>
      </c>
      <c r="Z36" s="759">
        <f t="shared" si="9"/>
        <v>0</v>
      </c>
      <c r="AA36" s="769">
        <f t="shared" si="10"/>
        <v>0</v>
      </c>
      <c r="AB36" s="766"/>
      <c r="AC36" s="742">
        <f t="shared" si="21"/>
        <v>0</v>
      </c>
      <c r="AD36" s="746"/>
      <c r="AE36" s="179">
        <f t="shared" si="15"/>
        <v>0</v>
      </c>
      <c r="AF36" s="777">
        <f>'Lpg (2)'!B40*2000/85</f>
        <v>0</v>
      </c>
      <c r="AG36" s="267">
        <f>'Lpg (2)'!C40*1000/85</f>
        <v>0</v>
      </c>
      <c r="AH36" s="790">
        <f>'Lpg (2)'!D40*1000/85</f>
        <v>0</v>
      </c>
      <c r="AI36" s="780">
        <f>SUM(AF36*1000)+(AG36*1000)+(AH36*2000)</f>
        <v>0</v>
      </c>
      <c r="AJ36" s="437">
        <f t="shared" si="4"/>
        <v>0</v>
      </c>
      <c r="AK36" s="133"/>
    </row>
    <row r="37" spans="1:37" s="9" customFormat="1" ht="18" thickBot="1">
      <c r="A37" s="812">
        <f>Gen!B42</f>
        <v>44136</v>
      </c>
      <c r="B37" s="823">
        <v>0</v>
      </c>
      <c r="C37" s="824"/>
      <c r="D37" s="824"/>
      <c r="E37" s="824"/>
      <c r="F37" s="824"/>
      <c r="G37" s="824"/>
      <c r="H37" s="825"/>
      <c r="I37" s="826"/>
      <c r="J37" s="827">
        <f>SUM(J6:J36)</f>
        <v>16723.82</v>
      </c>
      <c r="K37" s="828"/>
      <c r="L37" s="814">
        <f t="shared" si="17"/>
        <v>16723.82</v>
      </c>
      <c r="M37" s="458">
        <f>'Water-Meter'!K77</f>
        <v>0</v>
      </c>
      <c r="N37" s="774">
        <f>'Water-Meter'!E37</f>
        <v>0</v>
      </c>
      <c r="O37" s="757"/>
      <c r="P37" s="758"/>
      <c r="Q37" s="784">
        <f t="shared" ref="Q37" si="22">SUM(P37-P36)</f>
        <v>0</v>
      </c>
      <c r="R37" s="785">
        <f t="shared" ref="R37" si="23">SUM(Q37*O37)</f>
        <v>0</v>
      </c>
      <c r="S37" s="757"/>
      <c r="T37" s="758"/>
      <c r="U37" s="784">
        <f t="shared" ref="U37" si="24">T37-T36</f>
        <v>0</v>
      </c>
      <c r="V37" s="786">
        <f t="shared" ref="V37" si="25">SUM(U37*S37)</f>
        <v>0</v>
      </c>
      <c r="W37" s="757"/>
      <c r="X37" s="758"/>
      <c r="Y37" s="784">
        <f t="shared" ref="Y37" si="26">X37-X36</f>
        <v>0</v>
      </c>
      <c r="Z37" s="787">
        <f t="shared" ref="Z37" si="27">SUM(Y37*W37)</f>
        <v>0</v>
      </c>
      <c r="AA37" s="788">
        <f t="shared" ref="AA37" si="28">SUM(Z37*X39)</f>
        <v>0</v>
      </c>
      <c r="AB37" s="751"/>
      <c r="AC37" s="743">
        <f t="shared" si="21"/>
        <v>0</v>
      </c>
      <c r="AD37" s="747"/>
      <c r="AE37" s="752">
        <f t="shared" si="15"/>
        <v>0</v>
      </c>
      <c r="AF37" s="791">
        <f>'Lpg (2)'!B41*2000/85</f>
        <v>0</v>
      </c>
      <c r="AG37" s="792">
        <f>'Lpg (2)'!C41*1000/85</f>
        <v>0</v>
      </c>
      <c r="AH37" s="793">
        <f>'Lpg (2)'!D41*1000/85</f>
        <v>0</v>
      </c>
      <c r="AI37" s="781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5" sqref="W2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9" t="s">
        <v>150</v>
      </c>
      <c r="C1" s="870"/>
      <c r="D1" s="870"/>
      <c r="E1" s="870"/>
      <c r="F1" s="871"/>
      <c r="G1" s="158"/>
      <c r="H1" s="869" t="s">
        <v>151</v>
      </c>
      <c r="I1" s="870"/>
      <c r="J1" s="870"/>
      <c r="K1" s="870"/>
      <c r="L1" s="871"/>
      <c r="M1" s="869" t="s">
        <v>170</v>
      </c>
      <c r="N1" s="870"/>
      <c r="O1" s="870"/>
      <c r="P1" s="870"/>
      <c r="Q1" s="871"/>
      <c r="R1" s="158"/>
      <c r="T1" s="869" t="s">
        <v>166</v>
      </c>
      <c r="U1" s="870"/>
      <c r="V1" s="870"/>
      <c r="W1" s="870"/>
      <c r="X1" s="871"/>
      <c r="Y1" s="869" t="s">
        <v>169</v>
      </c>
      <c r="Z1" s="870"/>
      <c r="AA1" s="870"/>
      <c r="AB1" s="870"/>
      <c r="AC1" s="871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2" t="s">
        <v>156</v>
      </c>
      <c r="C3" s="873"/>
      <c r="D3" s="167"/>
      <c r="E3" s="669">
        <v>8844.6</v>
      </c>
      <c r="F3" s="607" t="s">
        <v>157</v>
      </c>
      <c r="G3" s="608"/>
      <c r="H3" s="872" t="s">
        <v>156</v>
      </c>
      <c r="I3" s="873"/>
      <c r="J3" s="635">
        <f>'Water-Meter'!G5</f>
        <v>38000</v>
      </c>
      <c r="K3" s="609">
        <f>'Water-Meter'!G5</f>
        <v>38000</v>
      </c>
      <c r="L3" s="242"/>
      <c r="M3" s="872" t="s">
        <v>156</v>
      </c>
      <c r="N3" s="873"/>
      <c r="O3" s="167">
        <f>'Water-Meter'!J5</f>
        <v>8050</v>
      </c>
      <c r="P3" s="610">
        <f>'Water-Meter'!J5</f>
        <v>8050</v>
      </c>
      <c r="Q3" s="166"/>
      <c r="R3" s="242"/>
      <c r="S3" s="670"/>
      <c r="T3" s="872" t="s">
        <v>156</v>
      </c>
      <c r="U3" s="873"/>
      <c r="V3" s="167"/>
      <c r="W3" s="671">
        <v>7829.2</v>
      </c>
      <c r="X3" s="611">
        <f t="shared" ref="X3:X35" si="0">(W3-V3)*200</f>
        <v>1565840</v>
      </c>
      <c r="Y3" s="872" t="s">
        <v>156</v>
      </c>
      <c r="Z3" s="873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50">
        <f t="shared" si="6"/>
        <v>44116</v>
      </c>
      <c r="I15" s="599"/>
      <c r="J15" s="651">
        <f>'Water-Meter'!G17</f>
        <v>38000</v>
      </c>
      <c r="K15" s="652">
        <f>'Water-Meter'!G17</f>
        <v>38000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3">
        <f t="shared" si="4"/>
        <v>-4.9931888544891638</v>
      </c>
      <c r="S15" s="654">
        <f>Gen!T22</f>
        <v>935.25</v>
      </c>
      <c r="T15" s="650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50">
        <f t="shared" si="10"/>
        <v>44116</v>
      </c>
      <c r="Z15" s="599"/>
      <c r="AA15" s="599"/>
      <c r="AB15" s="603">
        <f>'Water-Meter'!P17</f>
        <v>20344</v>
      </c>
      <c r="AC15" s="662">
        <f t="shared" si="11"/>
        <v>-20340</v>
      </c>
    </row>
    <row r="16" spans="1:29" ht="18.75">
      <c r="A16" s="673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8868.1</v>
      </c>
      <c r="F16" s="604">
        <f>SUM(E16-D16)*120</f>
        <v>204.00000000008731</v>
      </c>
      <c r="G16" s="599"/>
      <c r="H16" s="650">
        <f t="shared" si="6"/>
        <v>44117</v>
      </c>
      <c r="I16" s="599"/>
      <c r="J16" s="651">
        <f>'Water-Meter'!G18</f>
        <v>38000</v>
      </c>
      <c r="K16" s="652">
        <f>'Water-Meter'!G18</f>
        <v>38000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3">
        <f t="shared" si="4"/>
        <v>-4.9938080495356036</v>
      </c>
      <c r="S16" s="654">
        <f>Gen!T23</f>
        <v>995.96</v>
      </c>
      <c r="T16" s="650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50">
        <f t="shared" si="10"/>
        <v>44117</v>
      </c>
      <c r="Z16" s="599"/>
      <c r="AA16" s="599"/>
      <c r="AB16" s="603">
        <f>'Water-Meter'!P18</f>
        <v>20346</v>
      </c>
      <c r="AC16" s="662">
        <f t="shared" si="11"/>
        <v>-20344</v>
      </c>
    </row>
    <row r="17" spans="1:29" ht="18.75">
      <c r="A17" s="673">
        <f>Gen!C24</f>
        <v>1.2999999999999999E-2</v>
      </c>
      <c r="B17" s="615">
        <f>Gen!B24</f>
        <v>44118</v>
      </c>
      <c r="C17" s="599"/>
      <c r="D17" s="604">
        <f t="shared" si="1"/>
        <v>8868.1</v>
      </c>
      <c r="E17" s="600">
        <v>8869.7999999999993</v>
      </c>
      <c r="F17" s="604">
        <f>SUM(E17-D17)*120</f>
        <v>203.99999999986903</v>
      </c>
      <c r="G17" s="599"/>
      <c r="H17" s="650">
        <f t="shared" si="6"/>
        <v>44118</v>
      </c>
      <c r="I17" s="599"/>
      <c r="J17" s="651">
        <f>'Water-Meter'!G19</f>
        <v>38000</v>
      </c>
      <c r="K17" s="652">
        <f>'Water-Meter'!G19</f>
        <v>38000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8066</v>
      </c>
      <c r="P17" s="603">
        <f>'Water-Meter'!J19</f>
        <v>8066</v>
      </c>
      <c r="Q17" s="599">
        <f t="shared" si="8"/>
        <v>-8066</v>
      </c>
      <c r="R17" s="653">
        <f t="shared" si="4"/>
        <v>-4.9944272445820435</v>
      </c>
      <c r="S17" s="654">
        <f>Gen!T24</f>
        <v>974.17000000000007</v>
      </c>
      <c r="T17" s="650">
        <f t="shared" si="9"/>
        <v>44118</v>
      </c>
      <c r="U17" s="599"/>
      <c r="V17" s="604">
        <f t="shared" si="5"/>
        <v>7833.4</v>
      </c>
      <c r="W17" s="601">
        <v>7833.7</v>
      </c>
      <c r="X17" s="604">
        <f t="shared" si="0"/>
        <v>60.00000000003638</v>
      </c>
      <c r="Y17" s="650">
        <f t="shared" si="10"/>
        <v>44118</v>
      </c>
      <c r="Z17" s="599"/>
      <c r="AA17" s="599"/>
      <c r="AB17" s="603">
        <f>'Water-Meter'!P19</f>
        <v>20348</v>
      </c>
      <c r="AC17" s="662">
        <f t="shared" si="11"/>
        <v>-20346</v>
      </c>
    </row>
    <row r="18" spans="1:29" ht="18.75">
      <c r="A18" s="673">
        <f>Gen!C25</f>
        <v>5.1900000000000002E-2</v>
      </c>
      <c r="B18" s="615">
        <f>Gen!B25</f>
        <v>44119</v>
      </c>
      <c r="C18" s="599"/>
      <c r="D18" s="604">
        <f t="shared" si="1"/>
        <v>8869.7999999999993</v>
      </c>
      <c r="E18" s="600">
        <v>8871.5</v>
      </c>
      <c r="F18" s="604">
        <f t="shared" ref="F18:F22" si="12">SUM(E18-D18)*120</f>
        <v>204.00000000008731</v>
      </c>
      <c r="G18" s="599"/>
      <c r="H18" s="650">
        <f t="shared" si="6"/>
        <v>44119</v>
      </c>
      <c r="I18" s="599"/>
      <c r="J18" s="651">
        <f>'Water-Meter'!G20</f>
        <v>38000</v>
      </c>
      <c r="K18" s="652">
        <f>'Water-Meter'!G20</f>
        <v>38000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8067</v>
      </c>
      <c r="P18" s="603">
        <f>'Water-Meter'!J20</f>
        <v>8067</v>
      </c>
      <c r="Q18" s="599">
        <f t="shared" si="8"/>
        <v>-8066</v>
      </c>
      <c r="R18" s="653">
        <f t="shared" si="4"/>
        <v>-4.9944272445820435</v>
      </c>
      <c r="S18" s="654">
        <f>Gen!T25</f>
        <v>1042.8800000000001</v>
      </c>
      <c r="T18" s="650">
        <f t="shared" si="9"/>
        <v>44119</v>
      </c>
      <c r="U18" s="599"/>
      <c r="V18" s="604">
        <f t="shared" si="5"/>
        <v>7833.7</v>
      </c>
      <c r="W18" s="601">
        <v>7834.5</v>
      </c>
      <c r="X18" s="604">
        <f t="shared" si="0"/>
        <v>160.00000000003638</v>
      </c>
      <c r="Y18" s="650">
        <f t="shared" si="10"/>
        <v>44119</v>
      </c>
      <c r="Z18" s="599"/>
      <c r="AA18" s="599"/>
      <c r="AB18" s="603">
        <f>'Water-Meter'!P20</f>
        <v>20350</v>
      </c>
      <c r="AC18" s="662">
        <f t="shared" si="11"/>
        <v>-20348</v>
      </c>
    </row>
    <row r="19" spans="1:29" ht="18.75">
      <c r="A19" s="673">
        <f>Gen!C26</f>
        <v>0.1169</v>
      </c>
      <c r="B19" s="615">
        <f>Gen!B26</f>
        <v>44120</v>
      </c>
      <c r="C19" s="602"/>
      <c r="D19" s="604">
        <f t="shared" si="1"/>
        <v>8871.5</v>
      </c>
      <c r="E19" s="600">
        <v>8873.4</v>
      </c>
      <c r="F19" s="604">
        <f t="shared" si="12"/>
        <v>227.99999999995634</v>
      </c>
      <c r="G19" s="599"/>
      <c r="H19" s="650">
        <f t="shared" si="6"/>
        <v>44120</v>
      </c>
      <c r="I19" s="602"/>
      <c r="J19" s="651">
        <f>'Water-Meter'!G21</f>
        <v>38000</v>
      </c>
      <c r="K19" s="652">
        <f>'Water-Meter'!G21</f>
        <v>38000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8068</v>
      </c>
      <c r="P19" s="603">
        <f>'Water-Meter'!J21</f>
        <v>8068</v>
      </c>
      <c r="Q19" s="599">
        <f t="shared" si="8"/>
        <v>-8067</v>
      </c>
      <c r="R19" s="653">
        <f t="shared" si="4"/>
        <v>-4.9950464396284833</v>
      </c>
      <c r="S19" s="654">
        <f>Gen!T26</f>
        <v>1176.97</v>
      </c>
      <c r="T19" s="650">
        <f t="shared" si="9"/>
        <v>44120</v>
      </c>
      <c r="U19" s="602"/>
      <c r="V19" s="604">
        <f t="shared" si="5"/>
        <v>7834.5</v>
      </c>
      <c r="W19" s="601">
        <v>7834.8</v>
      </c>
      <c r="X19" s="604">
        <f t="shared" si="0"/>
        <v>60.00000000003638</v>
      </c>
      <c r="Y19" s="650">
        <f t="shared" si="10"/>
        <v>44120</v>
      </c>
      <c r="Z19" s="602"/>
      <c r="AA19" s="599"/>
      <c r="AB19" s="603">
        <f>'Water-Meter'!P21</f>
        <v>20353</v>
      </c>
      <c r="AC19" s="662">
        <f t="shared" si="11"/>
        <v>-20350</v>
      </c>
    </row>
    <row r="20" spans="1:29" ht="18.75">
      <c r="A20" s="673">
        <f>Gen!C27</f>
        <v>0.15790000000000001</v>
      </c>
      <c r="B20" s="615">
        <f>Gen!B27</f>
        <v>44121</v>
      </c>
      <c r="C20" s="602"/>
      <c r="D20" s="604">
        <f t="shared" si="1"/>
        <v>8873.4</v>
      </c>
      <c r="E20" s="600">
        <v>8875.5</v>
      </c>
      <c r="F20" s="604">
        <f t="shared" si="12"/>
        <v>252.00000000004366</v>
      </c>
      <c r="G20" s="599"/>
      <c r="H20" s="650">
        <f t="shared" si="6"/>
        <v>44121</v>
      </c>
      <c r="I20" s="602"/>
      <c r="J20" s="651">
        <f>'Water-Meter'!G22</f>
        <v>38000</v>
      </c>
      <c r="K20" s="652">
        <f>'Water-Meter'!G22</f>
        <v>38000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8068</v>
      </c>
      <c r="P20" s="603">
        <f>'Water-Meter'!J22</f>
        <v>8068</v>
      </c>
      <c r="Q20" s="599">
        <f t="shared" si="8"/>
        <v>-8068</v>
      </c>
      <c r="R20" s="653">
        <f t="shared" si="4"/>
        <v>-4.9956656346749222</v>
      </c>
      <c r="S20" s="654">
        <f>Gen!T27</f>
        <v>997.16000000000008</v>
      </c>
      <c r="T20" s="650">
        <f t="shared" si="9"/>
        <v>44121</v>
      </c>
      <c r="U20" s="602"/>
      <c r="V20" s="604">
        <f t="shared" si="5"/>
        <v>7834.8</v>
      </c>
      <c r="W20" s="601">
        <v>7835.2</v>
      </c>
      <c r="X20" s="604">
        <f t="shared" si="0"/>
        <v>79.99999999992724</v>
      </c>
      <c r="Y20" s="650">
        <f t="shared" si="10"/>
        <v>44121</v>
      </c>
      <c r="Z20" s="602"/>
      <c r="AA20" s="599"/>
      <c r="AB20" s="603">
        <f>'Water-Meter'!P22</f>
        <v>20357</v>
      </c>
      <c r="AC20" s="662">
        <f t="shared" si="11"/>
        <v>-20353</v>
      </c>
    </row>
    <row r="21" spans="1:29" ht="18.75">
      <c r="A21" s="673">
        <f>Gen!C28</f>
        <v>0.15790000000000001</v>
      </c>
      <c r="B21" s="615">
        <f>Gen!B28</f>
        <v>44122</v>
      </c>
      <c r="C21" s="602"/>
      <c r="D21" s="604">
        <f t="shared" si="1"/>
        <v>8875.5</v>
      </c>
      <c r="E21" s="600"/>
      <c r="F21" s="604">
        <f t="shared" si="12"/>
        <v>-1065060</v>
      </c>
      <c r="G21" s="599"/>
      <c r="H21" s="650">
        <f t="shared" si="6"/>
        <v>44122</v>
      </c>
      <c r="I21" s="602"/>
      <c r="J21" s="651">
        <f>'Water-Meter'!G23</f>
        <v>0</v>
      </c>
      <c r="K21" s="652">
        <f>'Water-Meter'!G23</f>
        <v>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0</v>
      </c>
      <c r="P21" s="603">
        <f>'Water-Meter'!J23</f>
        <v>0</v>
      </c>
      <c r="Q21" s="599">
        <f t="shared" ref="Q21:Q35" si="13">N21-O20</f>
        <v>-8068</v>
      </c>
      <c r="R21" s="653">
        <f t="shared" ref="R21:R35" si="14">SUM(Q21/1615)</f>
        <v>-4.9956656346749222</v>
      </c>
      <c r="S21" s="654">
        <f>Gen!T28</f>
        <v>0</v>
      </c>
      <c r="T21" s="650">
        <f t="shared" si="9"/>
        <v>44122</v>
      </c>
      <c r="U21" s="602"/>
      <c r="V21" s="604">
        <f t="shared" si="5"/>
        <v>7835.2</v>
      </c>
      <c r="W21" s="601"/>
      <c r="X21" s="604">
        <f t="shared" si="0"/>
        <v>-1567040</v>
      </c>
      <c r="Y21" s="650">
        <f t="shared" si="10"/>
        <v>44122</v>
      </c>
      <c r="Z21" s="602"/>
      <c r="AA21" s="599"/>
      <c r="AB21" s="603">
        <f>'Water-Meter'!P23</f>
        <v>0</v>
      </c>
      <c r="AC21" s="662">
        <f t="shared" si="11"/>
        <v>-20357</v>
      </c>
    </row>
    <row r="22" spans="1:29" ht="18.75">
      <c r="A22" s="673">
        <f>Gen!C29</f>
        <v>0</v>
      </c>
      <c r="B22" s="615">
        <f>Gen!B29</f>
        <v>44123</v>
      </c>
      <c r="C22" s="599"/>
      <c r="D22" s="604">
        <f t="shared" si="1"/>
        <v>0</v>
      </c>
      <c r="E22" s="600"/>
      <c r="F22" s="604">
        <f t="shared" si="12"/>
        <v>0</v>
      </c>
      <c r="G22" s="599"/>
      <c r="H22" s="650">
        <f t="shared" si="6"/>
        <v>44123</v>
      </c>
      <c r="I22" s="599"/>
      <c r="J22" s="651">
        <f>'Water-Meter'!G24</f>
        <v>0</v>
      </c>
      <c r="K22" s="652">
        <f>'Water-Meter'!G24</f>
        <v>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0</v>
      </c>
      <c r="P22" s="603">
        <f>'Water-Meter'!J24</f>
        <v>0</v>
      </c>
      <c r="Q22" s="599">
        <f t="shared" si="13"/>
        <v>0</v>
      </c>
      <c r="R22" s="653">
        <f t="shared" si="14"/>
        <v>0</v>
      </c>
      <c r="S22" s="654">
        <f>Gen!T29</f>
        <v>0</v>
      </c>
      <c r="T22" s="650">
        <f t="shared" si="9"/>
        <v>44123</v>
      </c>
      <c r="U22" s="599"/>
      <c r="V22" s="604">
        <f t="shared" si="5"/>
        <v>0</v>
      </c>
      <c r="W22" s="601"/>
      <c r="X22" s="604">
        <f t="shared" si="0"/>
        <v>0</v>
      </c>
      <c r="Y22" s="650">
        <f t="shared" si="10"/>
        <v>44123</v>
      </c>
      <c r="Z22" s="599"/>
      <c r="AA22" s="599"/>
      <c r="AB22" s="603">
        <f>'Water-Meter'!P24</f>
        <v>0</v>
      </c>
      <c r="AC22" s="662">
        <f t="shared" si="11"/>
        <v>0</v>
      </c>
    </row>
    <row r="23" spans="1:29" ht="18.75">
      <c r="A23" s="673">
        <f>Gen!C30</f>
        <v>0</v>
      </c>
      <c r="B23" s="615">
        <f>Gen!B30</f>
        <v>44124</v>
      </c>
      <c r="C23" s="602"/>
      <c r="D23" s="604">
        <f t="shared" si="1"/>
        <v>0</v>
      </c>
      <c r="E23" s="600"/>
      <c r="F23" s="604">
        <f t="shared" ref="F23:F34" si="15">SUM(E23-D23)*120</f>
        <v>0</v>
      </c>
      <c r="G23" s="599"/>
      <c r="H23" s="650">
        <f t="shared" si="6"/>
        <v>44124</v>
      </c>
      <c r="I23" s="602"/>
      <c r="J23" s="651">
        <f>'Water-Meter'!G25</f>
        <v>0</v>
      </c>
      <c r="K23" s="652">
        <f>'Water-Meter'!G26</f>
        <v>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0</v>
      </c>
      <c r="P23" s="603">
        <f>'Water-Meter'!J25</f>
        <v>0</v>
      </c>
      <c r="Q23" s="599">
        <f t="shared" si="13"/>
        <v>0</v>
      </c>
      <c r="R23" s="653">
        <f t="shared" si="14"/>
        <v>0</v>
      </c>
      <c r="S23" s="654">
        <f>Gen!T30</f>
        <v>0</v>
      </c>
      <c r="T23" s="650">
        <f t="shared" si="9"/>
        <v>44124</v>
      </c>
      <c r="U23" s="602"/>
      <c r="V23" s="604">
        <f t="shared" si="5"/>
        <v>0</v>
      </c>
      <c r="W23" s="601"/>
      <c r="X23" s="604">
        <f t="shared" si="0"/>
        <v>0</v>
      </c>
      <c r="Y23" s="650">
        <f t="shared" si="10"/>
        <v>44124</v>
      </c>
      <c r="Z23" s="602"/>
      <c r="AA23" s="599"/>
      <c r="AB23" s="603">
        <f>'Water-Meter'!P25</f>
        <v>0</v>
      </c>
      <c r="AC23" s="662">
        <f t="shared" si="11"/>
        <v>0</v>
      </c>
    </row>
    <row r="24" spans="1:29" ht="18.75">
      <c r="A24" s="673">
        <f>Gen!C31</f>
        <v>0</v>
      </c>
      <c r="B24" s="615">
        <f>Gen!B31</f>
        <v>44125</v>
      </c>
      <c r="C24" s="602"/>
      <c r="D24" s="604">
        <f t="shared" ref="D24:D35" si="16">SUM(E23)</f>
        <v>0</v>
      </c>
      <c r="E24" s="600"/>
      <c r="F24" s="604">
        <f t="shared" si="15"/>
        <v>0</v>
      </c>
      <c r="G24" s="599"/>
      <c r="H24" s="650">
        <f t="shared" si="6"/>
        <v>44125</v>
      </c>
      <c r="I24" s="602"/>
      <c r="J24" s="651">
        <f>'Water-Meter'!G26</f>
        <v>0</v>
      </c>
      <c r="K24" s="652">
        <f>'Water-Meter'!G27</f>
        <v>0</v>
      </c>
      <c r="L24" s="599">
        <f t="shared" si="3"/>
        <v>0</v>
      </c>
      <c r="M24" s="650">
        <f t="shared" si="7"/>
        <v>44125</v>
      </c>
      <c r="N24" s="602"/>
      <c r="O24" s="6">
        <f>'Water-Meter'!J26</f>
        <v>0</v>
      </c>
      <c r="P24" s="603">
        <f>'Water-Meter'!J26</f>
        <v>0</v>
      </c>
      <c r="Q24" s="599">
        <f t="shared" si="13"/>
        <v>0</v>
      </c>
      <c r="R24" s="653">
        <f t="shared" si="14"/>
        <v>0</v>
      </c>
      <c r="S24" s="654">
        <f>Gen!T31</f>
        <v>0</v>
      </c>
      <c r="T24" s="650">
        <v>5835.7</v>
      </c>
      <c r="U24" s="602"/>
      <c r="V24" s="604">
        <f t="shared" si="5"/>
        <v>0</v>
      </c>
      <c r="W24" s="601"/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0</v>
      </c>
      <c r="AC24" s="662">
        <f t="shared" si="11"/>
        <v>0</v>
      </c>
    </row>
    <row r="25" spans="1:29" ht="18.75">
      <c r="A25" s="673">
        <f>Gen!C32</f>
        <v>0</v>
      </c>
      <c r="B25" s="615">
        <f>Gen!B32</f>
        <v>44126</v>
      </c>
      <c r="C25" s="602"/>
      <c r="D25" s="604">
        <f t="shared" si="16"/>
        <v>0</v>
      </c>
      <c r="E25" s="600"/>
      <c r="F25" s="604">
        <f t="shared" si="15"/>
        <v>0</v>
      </c>
      <c r="G25" s="599"/>
      <c r="H25" s="650">
        <f t="shared" si="6"/>
        <v>44126</v>
      </c>
      <c r="I25" s="602"/>
      <c r="J25" s="651">
        <f>'Water-Meter'!G27</f>
        <v>0</v>
      </c>
      <c r="K25" s="652">
        <f>'Water-Meter'!G28</f>
        <v>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0</v>
      </c>
      <c r="P25" s="603">
        <f>'Water-Meter'!J27</f>
        <v>0</v>
      </c>
      <c r="Q25" s="599">
        <f t="shared" si="13"/>
        <v>0</v>
      </c>
      <c r="R25" s="653">
        <f t="shared" si="14"/>
        <v>0</v>
      </c>
      <c r="S25" s="654">
        <f>Gen!T32</f>
        <v>0</v>
      </c>
      <c r="T25" s="650">
        <f t="shared" si="9"/>
        <v>44126</v>
      </c>
      <c r="U25" s="602"/>
      <c r="V25" s="604">
        <f t="shared" si="5"/>
        <v>0</v>
      </c>
      <c r="W25" s="601"/>
      <c r="X25" s="604">
        <f t="shared" si="0"/>
        <v>0</v>
      </c>
      <c r="Y25" s="650">
        <f t="shared" si="10"/>
        <v>44126</v>
      </c>
      <c r="Z25" s="602"/>
      <c r="AA25" s="599"/>
      <c r="AB25" s="603">
        <f>'Water-Meter'!P27</f>
        <v>0</v>
      </c>
      <c r="AC25" s="662">
        <f t="shared" si="11"/>
        <v>0</v>
      </c>
    </row>
    <row r="26" spans="1:29" ht="18.75">
      <c r="A26" s="673">
        <f>Gen!C33</f>
        <v>0</v>
      </c>
      <c r="B26" s="615">
        <f>Gen!B33</f>
        <v>44127</v>
      </c>
      <c r="C26" s="602"/>
      <c r="D26" s="604">
        <f t="shared" si="16"/>
        <v>0</v>
      </c>
      <c r="E26" s="600"/>
      <c r="F26" s="604">
        <f t="shared" si="15"/>
        <v>0</v>
      </c>
      <c r="G26" s="599"/>
      <c r="H26" s="650">
        <f t="shared" si="6"/>
        <v>44127</v>
      </c>
      <c r="I26" s="602"/>
      <c r="J26" s="651">
        <f>'Water-Meter'!G28</f>
        <v>0</v>
      </c>
      <c r="K26" s="652">
        <f>'Water-Meter'!G29</f>
        <v>0</v>
      </c>
      <c r="L26" s="599">
        <f t="shared" si="3"/>
        <v>0</v>
      </c>
      <c r="M26" s="650">
        <f t="shared" si="7"/>
        <v>44127</v>
      </c>
      <c r="N26" s="602"/>
      <c r="O26" s="6">
        <f>'Water-Meter'!J28</f>
        <v>0</v>
      </c>
      <c r="P26" s="603">
        <f>'Water-Meter'!J28</f>
        <v>0</v>
      </c>
      <c r="Q26" s="599">
        <f t="shared" si="13"/>
        <v>0</v>
      </c>
      <c r="R26" s="653">
        <f t="shared" si="14"/>
        <v>0</v>
      </c>
      <c r="S26" s="654">
        <f>Gen!T33</f>
        <v>0</v>
      </c>
      <c r="T26" s="650">
        <f t="shared" si="9"/>
        <v>44127</v>
      </c>
      <c r="U26" s="602"/>
      <c r="V26" s="604">
        <f t="shared" si="5"/>
        <v>0</v>
      </c>
      <c r="W26" s="601"/>
      <c r="X26" s="604">
        <f t="shared" si="0"/>
        <v>0</v>
      </c>
      <c r="Y26" s="650">
        <f t="shared" si="10"/>
        <v>44127</v>
      </c>
      <c r="Z26" s="602"/>
      <c r="AA26" s="599"/>
      <c r="AB26" s="603">
        <f>'Water-Meter'!P28</f>
        <v>0</v>
      </c>
      <c r="AC26" s="662">
        <f t="shared" si="11"/>
        <v>0</v>
      </c>
    </row>
    <row r="27" spans="1:29" ht="18.75">
      <c r="A27" s="673">
        <f>Gen!C34</f>
        <v>0</v>
      </c>
      <c r="B27" s="615">
        <f>Gen!B34</f>
        <v>44128</v>
      </c>
      <c r="C27" s="602"/>
      <c r="D27" s="604">
        <f t="shared" si="16"/>
        <v>0</v>
      </c>
      <c r="E27" s="600"/>
      <c r="F27" s="604">
        <f t="shared" si="15"/>
        <v>0</v>
      </c>
      <c r="G27" s="599"/>
      <c r="H27" s="650">
        <f t="shared" si="6"/>
        <v>44128</v>
      </c>
      <c r="I27" s="602"/>
      <c r="J27" s="651">
        <f>'Water-Meter'!G29</f>
        <v>0</v>
      </c>
      <c r="K27" s="652">
        <f>'Water-Meter'!G30</f>
        <v>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0</v>
      </c>
      <c r="P27" s="603">
        <f>'Water-Meter'!J29</f>
        <v>0</v>
      </c>
      <c r="Q27" s="599">
        <f t="shared" si="13"/>
        <v>0</v>
      </c>
      <c r="R27" s="653">
        <f t="shared" si="14"/>
        <v>0</v>
      </c>
      <c r="S27" s="654">
        <f>Gen!T34</f>
        <v>0</v>
      </c>
      <c r="T27" s="650">
        <f t="shared" si="9"/>
        <v>44128</v>
      </c>
      <c r="U27" s="602"/>
      <c r="V27" s="604">
        <f t="shared" si="5"/>
        <v>0</v>
      </c>
      <c r="W27" s="601"/>
      <c r="X27" s="604">
        <f t="shared" si="0"/>
        <v>0</v>
      </c>
      <c r="Y27" s="650">
        <f t="shared" si="10"/>
        <v>44128</v>
      </c>
      <c r="Z27" s="602"/>
      <c r="AA27" s="599"/>
      <c r="AB27" s="603">
        <f>'Water-Meter'!P29</f>
        <v>0</v>
      </c>
      <c r="AC27" s="662">
        <f t="shared" si="11"/>
        <v>0</v>
      </c>
    </row>
    <row r="28" spans="1:29" ht="18.75">
      <c r="A28" s="673">
        <f>Gen!C35</f>
        <v>0</v>
      </c>
      <c r="B28" s="615">
        <f>Gen!B35</f>
        <v>44129</v>
      </c>
      <c r="C28" s="602"/>
      <c r="D28" s="604">
        <f t="shared" si="16"/>
        <v>0</v>
      </c>
      <c r="E28" s="600"/>
      <c r="F28" s="604">
        <f t="shared" si="15"/>
        <v>0</v>
      </c>
      <c r="G28" s="599"/>
      <c r="H28" s="650">
        <f t="shared" si="6"/>
        <v>44129</v>
      </c>
      <c r="I28" s="602"/>
      <c r="J28" s="651">
        <f>'Water-Meter'!G30</f>
        <v>0</v>
      </c>
      <c r="K28" s="652">
        <f>'Water-Meter'!G31</f>
        <v>0</v>
      </c>
      <c r="L28" s="599">
        <f t="shared" si="3"/>
        <v>0</v>
      </c>
      <c r="M28" s="650">
        <f t="shared" si="7"/>
        <v>44129</v>
      </c>
      <c r="N28" s="602"/>
      <c r="O28" s="6">
        <f>'Water-Meter'!J30</f>
        <v>0</v>
      </c>
      <c r="P28" s="603">
        <f>'Water-Meter'!J30</f>
        <v>0</v>
      </c>
      <c r="Q28" s="599">
        <f t="shared" si="13"/>
        <v>0</v>
      </c>
      <c r="R28" s="653">
        <f t="shared" si="14"/>
        <v>0</v>
      </c>
      <c r="S28" s="654">
        <f>Gen!T35</f>
        <v>0</v>
      </c>
      <c r="T28" s="650">
        <f t="shared" si="9"/>
        <v>44129</v>
      </c>
      <c r="U28" s="602"/>
      <c r="V28" s="604">
        <f t="shared" si="5"/>
        <v>0</v>
      </c>
      <c r="W28" s="601"/>
      <c r="X28" s="604">
        <f t="shared" si="0"/>
        <v>0</v>
      </c>
      <c r="Y28" s="650">
        <f t="shared" si="10"/>
        <v>44129</v>
      </c>
      <c r="Z28" s="602"/>
      <c r="AA28" s="599"/>
      <c r="AB28" s="603">
        <f>'Water-Meter'!P30</f>
        <v>0</v>
      </c>
      <c r="AC28" s="662">
        <f t="shared" si="11"/>
        <v>0</v>
      </c>
    </row>
    <row r="29" spans="1:29" ht="18.75">
      <c r="A29" s="673">
        <f>Gen!C36</f>
        <v>0</v>
      </c>
      <c r="B29" s="615">
        <f>Gen!B36</f>
        <v>44130</v>
      </c>
      <c r="C29" s="602"/>
      <c r="D29" s="604">
        <f t="shared" si="16"/>
        <v>0</v>
      </c>
      <c r="E29" s="600"/>
      <c r="F29" s="604">
        <f t="shared" si="15"/>
        <v>0</v>
      </c>
      <c r="G29" s="599"/>
      <c r="H29" s="650">
        <f t="shared" si="6"/>
        <v>44130</v>
      </c>
      <c r="I29" s="602"/>
      <c r="J29" s="651">
        <f>'Water-Meter'!G31</f>
        <v>0</v>
      </c>
      <c r="K29" s="652">
        <f>'Water-Meter'!G32</f>
        <v>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0</v>
      </c>
      <c r="P29" s="603">
        <f>'Water-Meter'!J31</f>
        <v>0</v>
      </c>
      <c r="Q29" s="599">
        <f t="shared" si="13"/>
        <v>0</v>
      </c>
      <c r="R29" s="653">
        <f t="shared" si="14"/>
        <v>0</v>
      </c>
      <c r="S29" s="654">
        <f>Gen!T36</f>
        <v>0</v>
      </c>
      <c r="T29" s="650">
        <f t="shared" si="9"/>
        <v>44130</v>
      </c>
      <c r="U29" s="602"/>
      <c r="V29" s="604">
        <f t="shared" si="5"/>
        <v>0</v>
      </c>
      <c r="W29" s="601"/>
      <c r="X29" s="604">
        <f t="shared" si="0"/>
        <v>0</v>
      </c>
      <c r="Y29" s="650">
        <f t="shared" si="10"/>
        <v>44130</v>
      </c>
      <c r="Z29" s="602"/>
      <c r="AA29" s="599"/>
      <c r="AB29" s="603">
        <f>'Water-Meter'!P31</f>
        <v>0</v>
      </c>
      <c r="AC29" s="662">
        <f t="shared" si="11"/>
        <v>0</v>
      </c>
    </row>
    <row r="30" spans="1:29" ht="18.75">
      <c r="A30" s="673">
        <f>Gen!C37</f>
        <v>0</v>
      </c>
      <c r="B30" s="615">
        <f>Gen!B37</f>
        <v>44131</v>
      </c>
      <c r="C30" s="602"/>
      <c r="D30" s="604">
        <f t="shared" si="16"/>
        <v>0</v>
      </c>
      <c r="E30" s="600"/>
      <c r="F30" s="604">
        <f t="shared" si="15"/>
        <v>0</v>
      </c>
      <c r="G30" s="599"/>
      <c r="H30" s="650">
        <f t="shared" si="6"/>
        <v>44131</v>
      </c>
      <c r="I30" s="602"/>
      <c r="J30" s="651">
        <f>'Water-Meter'!G32</f>
        <v>0</v>
      </c>
      <c r="K30" s="652">
        <f>'Water-Meter'!G33</f>
        <v>0</v>
      </c>
      <c r="L30" s="599">
        <f t="shared" si="3"/>
        <v>0</v>
      </c>
      <c r="M30" s="650">
        <f t="shared" si="7"/>
        <v>44131</v>
      </c>
      <c r="N30" s="602"/>
      <c r="O30" s="6">
        <f>'Water-Meter'!J32</f>
        <v>0</v>
      </c>
      <c r="P30" s="603">
        <f>'Water-Meter'!J32</f>
        <v>0</v>
      </c>
      <c r="Q30" s="599">
        <f t="shared" si="13"/>
        <v>0</v>
      </c>
      <c r="R30" s="653">
        <f t="shared" si="14"/>
        <v>0</v>
      </c>
      <c r="S30" s="654">
        <f>Gen!T37</f>
        <v>0</v>
      </c>
      <c r="T30" s="650">
        <f t="shared" si="9"/>
        <v>44131</v>
      </c>
      <c r="U30" s="602"/>
      <c r="V30" s="604">
        <f t="shared" si="5"/>
        <v>0</v>
      </c>
      <c r="W30" s="601"/>
      <c r="X30" s="604">
        <f t="shared" si="0"/>
        <v>0</v>
      </c>
      <c r="Y30" s="650">
        <f t="shared" si="10"/>
        <v>44131</v>
      </c>
      <c r="Z30" s="602"/>
      <c r="AA30" s="599"/>
      <c r="AB30" s="603">
        <f>'Water-Meter'!P32</f>
        <v>0</v>
      </c>
      <c r="AC30" s="662">
        <f t="shared" si="11"/>
        <v>0</v>
      </c>
    </row>
    <row r="31" spans="1:29" ht="18.75">
      <c r="A31" s="673">
        <f>Gen!C38</f>
        <v>0</v>
      </c>
      <c r="B31" s="615">
        <f>Gen!B38</f>
        <v>44132</v>
      </c>
      <c r="C31" s="602"/>
      <c r="D31" s="604">
        <f t="shared" si="16"/>
        <v>0</v>
      </c>
      <c r="E31" s="600"/>
      <c r="F31" s="604">
        <f t="shared" si="15"/>
        <v>0</v>
      </c>
      <c r="G31" s="599"/>
      <c r="H31" s="650">
        <f t="shared" si="6"/>
        <v>44132</v>
      </c>
      <c r="I31" s="602"/>
      <c r="J31" s="651">
        <f>'Water-Meter'!G33</f>
        <v>0</v>
      </c>
      <c r="K31" s="652">
        <f>'Water-Meter'!G34</f>
        <v>0</v>
      </c>
      <c r="L31" s="599">
        <f t="shared" si="3"/>
        <v>0</v>
      </c>
      <c r="M31" s="650">
        <f t="shared" si="7"/>
        <v>44132</v>
      </c>
      <c r="N31" s="602"/>
      <c r="O31" s="6">
        <f>'Water-Meter'!J33</f>
        <v>0</v>
      </c>
      <c r="P31" s="603">
        <f>'Water-Meter'!J33</f>
        <v>0</v>
      </c>
      <c r="Q31" s="599">
        <f t="shared" si="13"/>
        <v>0</v>
      </c>
      <c r="R31" s="653">
        <f t="shared" si="14"/>
        <v>0</v>
      </c>
      <c r="S31" s="654">
        <f>Gen!T38</f>
        <v>0</v>
      </c>
      <c r="T31" s="650">
        <f>M31</f>
        <v>44132</v>
      </c>
      <c r="U31" s="602"/>
      <c r="V31" s="604">
        <f t="shared" si="5"/>
        <v>0</v>
      </c>
      <c r="W31" s="601"/>
      <c r="X31" s="604">
        <f t="shared" si="0"/>
        <v>0</v>
      </c>
      <c r="Y31" s="650">
        <f>T31</f>
        <v>44132</v>
      </c>
      <c r="Z31" s="602"/>
      <c r="AA31" s="599"/>
      <c r="AB31" s="603">
        <f>'Water-Meter'!P33</f>
        <v>0</v>
      </c>
      <c r="AC31" s="662">
        <f t="shared" si="11"/>
        <v>0</v>
      </c>
    </row>
    <row r="32" spans="1:29" ht="18.75">
      <c r="A32" s="673">
        <f>Gen!C39</f>
        <v>0</v>
      </c>
      <c r="B32" s="615">
        <f>Gen!B39</f>
        <v>44133</v>
      </c>
      <c r="C32" s="602"/>
      <c r="D32" s="604">
        <f t="shared" si="16"/>
        <v>0</v>
      </c>
      <c r="E32" s="600"/>
      <c r="F32" s="604">
        <f t="shared" si="15"/>
        <v>0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0</v>
      </c>
      <c r="R32" s="653">
        <f t="shared" si="14"/>
        <v>0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0</v>
      </c>
      <c r="W32" s="601"/>
      <c r="X32" s="604">
        <f t="shared" si="0"/>
        <v>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0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B23" sqref="B23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4" t="s">
        <v>319</v>
      </c>
      <c r="B2" s="875"/>
      <c r="C2" s="875"/>
      <c r="D2" s="875"/>
      <c r="E2" s="876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38003.53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37092.49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36116.25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35072.49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34147.86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33210.879999999997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32228.289999999997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31277.719999999998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30229.899999999998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44162.58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43167.53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42120.06</v>
      </c>
      <c r="K16" s="296">
        <f>'Water-Meter'!E17</f>
        <v>42</v>
      </c>
      <c r="L16" s="685">
        <f>'Lpg (2)'!G21</f>
        <v>65.4720000000205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41113.81</v>
      </c>
      <c r="K17" s="296">
        <f>'Water-Meter'!E18</f>
        <v>53</v>
      </c>
      <c r="L17" s="685">
        <f>'Lpg (2)'!G22</f>
        <v>65.295999999984645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25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58.87</v>
      </c>
      <c r="I18" s="86">
        <f t="shared" si="1"/>
        <v>994.12</v>
      </c>
      <c r="J18" s="456">
        <f>Gen!D24</f>
        <v>40046.759999999995</v>
      </c>
      <c r="K18" s="296">
        <f>'Water-Meter'!E19</f>
        <v>43</v>
      </c>
      <c r="L18" s="685">
        <f>'Lpg (2)'!G23</f>
        <v>64.504000000015367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25</v>
      </c>
      <c r="C19" s="88">
        <f>Gen!C25</f>
        <v>5.1900000000000002E-2</v>
      </c>
      <c r="D19" s="443">
        <f t="shared" si="0"/>
        <v>5</v>
      </c>
      <c r="E19" s="75">
        <v>5</v>
      </c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39013.719999999994</v>
      </c>
      <c r="K19" s="296">
        <f>'Water-Meter'!E20</f>
        <v>48</v>
      </c>
      <c r="L19" s="685">
        <f>'Lpg (2)'!G24</f>
        <v>73.127999999979522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19</v>
      </c>
      <c r="C20" s="88">
        <f>Gen!C26</f>
        <v>0.1169</v>
      </c>
      <c r="D20" s="443">
        <f t="shared" si="0"/>
        <v>10</v>
      </c>
      <c r="E20" s="75">
        <v>10</v>
      </c>
      <c r="F20" s="71">
        <f>Gen!U24</f>
        <v>2264</v>
      </c>
      <c r="G20" s="86">
        <f>Gen!T24</f>
        <v>974.17000000000007</v>
      </c>
      <c r="H20" s="86">
        <f>Gen!AK26</f>
        <v>102.83999999999999</v>
      </c>
      <c r="I20" s="86">
        <f t="shared" si="1"/>
        <v>1077.01</v>
      </c>
      <c r="J20" s="456">
        <f>Gen!D26</f>
        <v>37970.839999999997</v>
      </c>
      <c r="K20" s="296">
        <f>'Water-Meter'!E21</f>
        <v>56</v>
      </c>
      <c r="L20" s="685">
        <f>'Lpg (2)'!G25</f>
        <v>79.288000000017931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29</v>
      </c>
      <c r="C21" s="88">
        <f>Gen!C27</f>
        <v>0.15790000000000001</v>
      </c>
      <c r="D21" s="443">
        <f t="shared" si="0"/>
        <v>12</v>
      </c>
      <c r="E21" s="75">
        <v>12</v>
      </c>
      <c r="F21" s="71">
        <f>Gen!U25</f>
        <v>2360</v>
      </c>
      <c r="G21" s="86">
        <f>Gen!T25</f>
        <v>1042.8800000000001</v>
      </c>
      <c r="H21" s="86">
        <f>Gen!AK27</f>
        <v>163</v>
      </c>
      <c r="I21" s="86">
        <f t="shared" si="1"/>
        <v>1205.8800000000001</v>
      </c>
      <c r="J21" s="456">
        <f>Gen!D27</f>
        <v>36691.03</v>
      </c>
      <c r="K21" s="296">
        <f>'Water-Meter'!E22</f>
        <v>71</v>
      </c>
      <c r="L21" s="685">
        <f>'Lpg (2)'!G26</f>
        <v>94.468000000005134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-154811</v>
      </c>
      <c r="C22" s="88">
        <f>Gen!C28</f>
        <v>0.15790000000000001</v>
      </c>
      <c r="D22" s="443">
        <f t="shared" si="0"/>
        <v>12</v>
      </c>
      <c r="E22" s="75">
        <v>12</v>
      </c>
      <c r="F22" s="71">
        <f>Gen!U26</f>
        <v>2740</v>
      </c>
      <c r="G22" s="86">
        <f>Gen!T26</f>
        <v>1176.97</v>
      </c>
      <c r="H22" s="86">
        <f>Gen!AK28</f>
        <v>0</v>
      </c>
      <c r="I22" s="86">
        <f t="shared" si="1"/>
        <v>1176.97</v>
      </c>
      <c r="J22" s="456">
        <f>Gen!D28</f>
        <v>35530.869999999995</v>
      </c>
      <c r="K22" s="296" t="str">
        <f>'Water-Meter'!E23</f>
        <v>0</v>
      </c>
      <c r="L22" s="685">
        <f>'Lpg (2)'!G27</f>
        <v>-320086.00800000003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0</v>
      </c>
      <c r="C23" s="88">
        <f>Gen!C29</f>
        <v>0</v>
      </c>
      <c r="D23" s="443">
        <f t="shared" si="0"/>
        <v>0</v>
      </c>
      <c r="E23" s="75"/>
      <c r="F23" s="71">
        <f>Gen!U27</f>
        <v>2624</v>
      </c>
      <c r="G23" s="86">
        <f>Gen!T27</f>
        <v>997.16000000000008</v>
      </c>
      <c r="H23" s="86">
        <f>Gen!AK29</f>
        <v>0</v>
      </c>
      <c r="I23" s="86">
        <f t="shared" si="1"/>
        <v>997.16000000000008</v>
      </c>
      <c r="J23" s="456">
        <f>Gen!D29</f>
        <v>35530.869999999995</v>
      </c>
      <c r="K23" s="296">
        <f>'Water-Meter'!E24</f>
        <v>0</v>
      </c>
      <c r="L23" s="685">
        <f>'Lpg (2)'!G28</f>
        <v>0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0</v>
      </c>
      <c r="C24" s="88">
        <f>Gen!C30</f>
        <v>0</v>
      </c>
      <c r="D24" s="443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456">
        <f>Gen!D30</f>
        <v>35530.869999999995</v>
      </c>
      <c r="K24" s="296">
        <f>'Water-Meter'!E25</f>
        <v>0</v>
      </c>
      <c r="L24" s="685">
        <f>'Lpg (2)'!G29</f>
        <v>0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0</v>
      </c>
      <c r="C25" s="88">
        <f>Gen!C31</f>
        <v>0</v>
      </c>
      <c r="D25" s="443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456">
        <f>Gen!D31</f>
        <v>35530.869999999995</v>
      </c>
      <c r="K25" s="296">
        <f>'Water-Meter'!E26</f>
        <v>0</v>
      </c>
      <c r="L25" s="685">
        <f>'Lpg (2)'!G30</f>
        <v>0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0</v>
      </c>
      <c r="C26" s="88">
        <f>Gen!C32</f>
        <v>0</v>
      </c>
      <c r="D26" s="443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456">
        <f>Gen!D32</f>
        <v>35530.869999999995</v>
      </c>
      <c r="K26" s="296">
        <f>'Water-Meter'!E27</f>
        <v>0</v>
      </c>
      <c r="L26" s="685">
        <f>'Lpg (2)'!G31</f>
        <v>0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0</v>
      </c>
      <c r="C27" s="88">
        <f>Gen!C33</f>
        <v>0</v>
      </c>
      <c r="D27" s="443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456">
        <f>Gen!D33</f>
        <v>35530.869999999995</v>
      </c>
      <c r="K27" s="296">
        <f>'Water-Meter'!E28</f>
        <v>0</v>
      </c>
      <c r="L27" s="685">
        <f>'Lpg (2)'!G32</f>
        <v>0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0</v>
      </c>
      <c r="C28" s="88">
        <f>Gen!C34</f>
        <v>0</v>
      </c>
      <c r="D28" s="443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456">
        <f>Gen!D34</f>
        <v>35530.869999999995</v>
      </c>
      <c r="K28" s="296">
        <f>'Water-Meter'!E29</f>
        <v>0</v>
      </c>
      <c r="L28" s="685">
        <f>'Lpg (2)'!G33</f>
        <v>0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0</v>
      </c>
      <c r="C29" s="88">
        <f>Gen!C35</f>
        <v>0</v>
      </c>
      <c r="D29" s="443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456">
        <f>Gen!D35</f>
        <v>35530.869999999995</v>
      </c>
      <c r="K29" s="296">
        <f>'Water-Meter'!E30</f>
        <v>0</v>
      </c>
      <c r="L29" s="685">
        <f>'Lpg (2)'!G34</f>
        <v>0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0</v>
      </c>
      <c r="C30" s="88">
        <f>Gen!C36</f>
        <v>0</v>
      </c>
      <c r="D30" s="443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6">
        <f>Gen!D36</f>
        <v>35530.869999999995</v>
      </c>
      <c r="K30" s="296">
        <f>'Water-Meter'!E31</f>
        <v>0</v>
      </c>
      <c r="L30" s="685">
        <f>'Lpg (2)'!G35</f>
        <v>0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0</v>
      </c>
      <c r="C31" s="88">
        <f>Gen!C37</f>
        <v>0</v>
      </c>
      <c r="D31" s="443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6">
        <f>Gen!D37</f>
        <v>35530.869999999995</v>
      </c>
      <c r="K31" s="296">
        <f>'Water-Meter'!E32</f>
        <v>0</v>
      </c>
      <c r="L31" s="685">
        <f>'Lpg (2)'!G36</f>
        <v>0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0</v>
      </c>
      <c r="C32" s="88">
        <f>Gen!C38</f>
        <v>0</v>
      </c>
      <c r="D32" s="443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6">
        <f>Gen!D38</f>
        <v>35530.869999999995</v>
      </c>
      <c r="K32" s="296">
        <f>'Water-Meter'!E33</f>
        <v>0</v>
      </c>
      <c r="L32" s="685">
        <f>'Lpg (2)'!G37</f>
        <v>0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0</v>
      </c>
      <c r="C33" s="88">
        <f>Gen!C39</f>
        <v>0</v>
      </c>
      <c r="D33" s="443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6">
        <f>Gen!D39</f>
        <v>35530.869999999995</v>
      </c>
      <c r="K33" s="296">
        <f>'Water-Meter'!E34</f>
        <v>0</v>
      </c>
      <c r="L33" s="685">
        <f>'Lpg (2)'!G38</f>
        <v>0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6">
        <f>Gen!D40</f>
        <v>35530.869999999995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35530.869999999995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35530.869999999995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H1" activePane="topRight" state="frozen"/>
      <selection pane="topRight" activeCell="Q30" sqref="Q30:Q3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7">
        <f>A6</f>
        <v>44105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20"/>
    </row>
    <row r="2" spans="1:29" ht="12" customHeight="1" thickBot="1">
      <c r="A2" s="878"/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8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9" t="s">
        <v>298</v>
      </c>
      <c r="L3" s="880"/>
      <c r="M3" s="881"/>
      <c r="N3" s="879" t="s">
        <v>299</v>
      </c>
      <c r="O3" s="880"/>
      <c r="P3" s="881"/>
      <c r="Q3" s="879" t="s">
        <v>300</v>
      </c>
      <c r="R3" s="880"/>
      <c r="S3" s="881"/>
      <c r="T3" s="879" t="s">
        <v>301</v>
      </c>
      <c r="U3" s="880"/>
      <c r="V3" s="881"/>
      <c r="W3" s="879" t="s">
        <v>302</v>
      </c>
      <c r="X3" s="880"/>
      <c r="Y3" s="881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6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9"/>
      <c r="L5" s="708">
        <v>35172</v>
      </c>
      <c r="M5" s="720"/>
      <c r="N5" s="708"/>
      <c r="O5" s="708">
        <v>30165</v>
      </c>
      <c r="P5" s="721"/>
      <c r="Q5" s="708"/>
      <c r="R5" s="708">
        <v>35661</v>
      </c>
      <c r="S5" s="721"/>
      <c r="T5" s="708"/>
      <c r="U5" s="708">
        <v>32383</v>
      </c>
      <c r="V5" s="721"/>
      <c r="W5" s="708"/>
      <c r="X5" s="708">
        <v>21001</v>
      </c>
      <c r="Y5" s="721"/>
      <c r="Z5" s="721"/>
      <c r="AA5" s="708"/>
      <c r="AB5" s="708"/>
      <c r="AC5" s="722"/>
    </row>
    <row r="6" spans="1:29" ht="20.100000000000001" customHeight="1">
      <c r="A6" s="717">
        <f>Gen!B11</f>
        <v>44105</v>
      </c>
      <c r="B6" s="711"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3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4">
        <f>Gen!T11</f>
        <v>911.04</v>
      </c>
    </row>
    <row r="7" spans="1:29" ht="20.100000000000001" customHeight="1">
      <c r="A7" s="717">
        <f>Gen!B12</f>
        <v>44106</v>
      </c>
      <c r="B7" s="711"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3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4">
        <f>Gen!T12</f>
        <v>976.24</v>
      </c>
    </row>
    <row r="8" spans="1:29" ht="20.100000000000001" customHeight="1">
      <c r="A8" s="717">
        <f>Gen!B13</f>
        <v>44107</v>
      </c>
      <c r="B8" s="711"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3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4">
        <f>Gen!T13</f>
        <v>996.18</v>
      </c>
    </row>
    <row r="9" spans="1:29" ht="20.100000000000001" customHeight="1">
      <c r="A9" s="717">
        <f>Gen!B14</f>
        <v>44108</v>
      </c>
      <c r="B9" s="711"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3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4">
        <f>Gen!T14</f>
        <v>924.63</v>
      </c>
    </row>
    <row r="10" spans="1:29" ht="20.100000000000001" customHeight="1">
      <c r="A10" s="717">
        <f>Gen!B15</f>
        <v>44109</v>
      </c>
      <c r="B10" s="711"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3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4">
        <f>Gen!T15</f>
        <v>936.98</v>
      </c>
    </row>
    <row r="11" spans="1:29" ht="20.100000000000001" customHeight="1">
      <c r="A11" s="717">
        <f>Gen!B16</f>
        <v>44110</v>
      </c>
      <c r="B11" s="711">
        <v>0.02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3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4">
        <f>Gen!T16</f>
        <v>982.58999999999992</v>
      </c>
    </row>
    <row r="12" spans="1:29" ht="20.100000000000001" customHeight="1">
      <c r="A12" s="717">
        <f>Gen!B17</f>
        <v>44111</v>
      </c>
      <c r="B12" s="711"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3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4">
        <f>Gen!T17</f>
        <v>950.56999999999994</v>
      </c>
    </row>
    <row r="13" spans="1:29" ht="20.100000000000001" customHeight="1">
      <c r="A13" s="717">
        <f>Gen!B18</f>
        <v>44112</v>
      </c>
      <c r="B13" s="711"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3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4">
        <f>Gen!T18</f>
        <v>956.81999999999994</v>
      </c>
    </row>
    <row r="14" spans="1:29" ht="20.100000000000001" customHeight="1">
      <c r="A14" s="717">
        <f>Gen!B19</f>
        <v>44113</v>
      </c>
      <c r="B14" s="711"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3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4">
        <f>Gen!T19</f>
        <v>990.35</v>
      </c>
    </row>
    <row r="15" spans="1:29" ht="20.100000000000001" customHeight="1">
      <c r="A15" s="717">
        <f>Gen!B20</f>
        <v>44114</v>
      </c>
      <c r="B15" s="711"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3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4">
        <f>Gen!T20</f>
        <v>995.05000000000007</v>
      </c>
    </row>
    <row r="16" spans="1:29" ht="20.100000000000001" customHeight="1">
      <c r="A16" s="717">
        <f>Gen!B21</f>
        <v>44115</v>
      </c>
      <c r="B16" s="711"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3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4">
        <f>Gen!T21</f>
        <v>980.98</v>
      </c>
    </row>
    <row r="17" spans="1:29" ht="20.100000000000001" customHeight="1">
      <c r="A17" s="717">
        <f>Gen!B22</f>
        <v>44116</v>
      </c>
      <c r="B17" s="711"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2">
        <v>20636.5</v>
      </c>
      <c r="K17" s="723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4">
        <f>Gen!T22</f>
        <v>935.25</v>
      </c>
    </row>
    <row r="18" spans="1:29" ht="20.100000000000001" customHeight="1">
      <c r="A18" s="717">
        <f>Gen!B23</f>
        <v>44117</v>
      </c>
      <c r="B18" s="711"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2">
        <v>20639.5</v>
      </c>
      <c r="K18" s="723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4">
        <f>Gen!T23</f>
        <v>995.96</v>
      </c>
    </row>
    <row r="19" spans="1:29" ht="20.100000000000001" customHeight="1">
      <c r="A19" s="717">
        <f>Gen!B24</f>
        <v>44118</v>
      </c>
      <c r="B19" s="711">
        <v>1.2999999999999999E-2</v>
      </c>
      <c r="C19" s="307">
        <v>18206.560000000001</v>
      </c>
      <c r="D19" s="307">
        <v>21840.2</v>
      </c>
      <c r="E19" s="307"/>
      <c r="F19" s="307"/>
      <c r="G19" s="307">
        <v>58.87</v>
      </c>
      <c r="H19" s="307"/>
      <c r="I19" s="307">
        <v>31077.200000000001</v>
      </c>
      <c r="J19" s="712">
        <v>20642.099999999999</v>
      </c>
      <c r="K19" s="723">
        <f t="shared" si="0"/>
        <v>35247</v>
      </c>
      <c r="L19" s="307">
        <v>35260</v>
      </c>
      <c r="M19" s="306">
        <f t="shared" si="1"/>
        <v>13</v>
      </c>
      <c r="N19" s="308">
        <f t="shared" si="2"/>
        <v>30165</v>
      </c>
      <c r="O19" s="307">
        <v>30171</v>
      </c>
      <c r="P19" s="306">
        <f t="shared" si="3"/>
        <v>6</v>
      </c>
      <c r="Q19" s="306">
        <f t="shared" si="4"/>
        <v>35749</v>
      </c>
      <c r="R19" s="307">
        <v>35749</v>
      </c>
      <c r="S19" s="306">
        <f t="shared" si="5"/>
        <v>0</v>
      </c>
      <c r="T19" s="306">
        <f t="shared" si="6"/>
        <v>32455</v>
      </c>
      <c r="U19" s="307">
        <v>32455</v>
      </c>
      <c r="V19" s="306">
        <f t="shared" si="7"/>
        <v>0</v>
      </c>
      <c r="W19" s="308">
        <f t="shared" si="8"/>
        <v>21097</v>
      </c>
      <c r="X19" s="307">
        <v>21103</v>
      </c>
      <c r="Y19" s="306">
        <f t="shared" si="9"/>
        <v>6</v>
      </c>
      <c r="Z19" s="309">
        <f t="shared" si="10"/>
        <v>25</v>
      </c>
      <c r="AA19" s="126">
        <v>195</v>
      </c>
      <c r="AB19" s="126">
        <v>89</v>
      </c>
      <c r="AC19" s="724">
        <f>Gen!T24</f>
        <v>974.17000000000007</v>
      </c>
    </row>
    <row r="20" spans="1:29" ht="20.100000000000001" customHeight="1">
      <c r="A20" s="717">
        <f>Gen!B25</f>
        <v>44119</v>
      </c>
      <c r="B20" s="711">
        <v>1.2999999999999999E-2</v>
      </c>
      <c r="C20" s="307">
        <v>17173.52</v>
      </c>
      <c r="D20" s="307">
        <v>21840.2</v>
      </c>
      <c r="E20" s="307"/>
      <c r="F20" s="307"/>
      <c r="G20" s="307"/>
      <c r="H20" s="307"/>
      <c r="I20" s="307">
        <v>31081.1</v>
      </c>
      <c r="J20" s="712">
        <v>20645.599999999999</v>
      </c>
      <c r="K20" s="723">
        <f t="shared" si="0"/>
        <v>35260</v>
      </c>
      <c r="L20" s="307">
        <v>35266</v>
      </c>
      <c r="M20" s="306">
        <f t="shared" si="1"/>
        <v>6</v>
      </c>
      <c r="N20" s="308">
        <f t="shared" si="2"/>
        <v>30171</v>
      </c>
      <c r="O20" s="307">
        <v>30171</v>
      </c>
      <c r="P20" s="306">
        <f t="shared" si="3"/>
        <v>0</v>
      </c>
      <c r="Q20" s="306">
        <f t="shared" si="4"/>
        <v>35749</v>
      </c>
      <c r="R20" s="307">
        <v>35756</v>
      </c>
      <c r="S20" s="306">
        <f t="shared" si="5"/>
        <v>7</v>
      </c>
      <c r="T20" s="306">
        <f t="shared" si="6"/>
        <v>32455</v>
      </c>
      <c r="U20" s="307">
        <v>32466</v>
      </c>
      <c r="V20" s="306">
        <f t="shared" si="7"/>
        <v>11</v>
      </c>
      <c r="W20" s="308">
        <f t="shared" si="8"/>
        <v>21103</v>
      </c>
      <c r="X20" s="307">
        <v>21104</v>
      </c>
      <c r="Y20" s="306">
        <f t="shared" si="9"/>
        <v>1</v>
      </c>
      <c r="Z20" s="309">
        <f t="shared" si="10"/>
        <v>25</v>
      </c>
      <c r="AA20" s="126">
        <v>199</v>
      </c>
      <c r="AB20" s="126">
        <v>95</v>
      </c>
      <c r="AC20" s="724">
        <f>Gen!T25</f>
        <v>1042.8800000000001</v>
      </c>
    </row>
    <row r="21" spans="1:29" ht="20.100000000000001" customHeight="1">
      <c r="A21" s="717">
        <f>Gen!B26</f>
        <v>44120</v>
      </c>
      <c r="B21" s="711">
        <v>0.1169</v>
      </c>
      <c r="C21" s="307">
        <v>16130.64</v>
      </c>
      <c r="D21" s="307">
        <v>21840.2</v>
      </c>
      <c r="E21" s="307"/>
      <c r="F21" s="307"/>
      <c r="G21" s="307">
        <v>102.84</v>
      </c>
      <c r="H21" s="307"/>
      <c r="I21" s="307">
        <v>31084.7</v>
      </c>
      <c r="J21" s="712">
        <v>20648.8</v>
      </c>
      <c r="K21" s="723">
        <f t="shared" si="0"/>
        <v>35266</v>
      </c>
      <c r="L21" s="307">
        <v>35278</v>
      </c>
      <c r="M21" s="306">
        <f t="shared" si="1"/>
        <v>12</v>
      </c>
      <c r="N21" s="308">
        <f t="shared" si="2"/>
        <v>30171</v>
      </c>
      <c r="O21" s="307">
        <v>30178</v>
      </c>
      <c r="P21" s="306">
        <f t="shared" si="3"/>
        <v>7</v>
      </c>
      <c r="Q21" s="306">
        <f t="shared" si="4"/>
        <v>35756</v>
      </c>
      <c r="R21" s="307">
        <v>35756</v>
      </c>
      <c r="S21" s="306">
        <f t="shared" si="5"/>
        <v>0</v>
      </c>
      <c r="T21" s="306">
        <f t="shared" si="6"/>
        <v>32466</v>
      </c>
      <c r="U21" s="307">
        <v>32466</v>
      </c>
      <c r="V21" s="306">
        <f t="shared" si="7"/>
        <v>0</v>
      </c>
      <c r="W21" s="308">
        <f t="shared" si="8"/>
        <v>21104</v>
      </c>
      <c r="X21" s="307">
        <v>21104</v>
      </c>
      <c r="Y21" s="306">
        <f t="shared" si="9"/>
        <v>0</v>
      </c>
      <c r="Z21" s="309">
        <f t="shared" si="10"/>
        <v>19</v>
      </c>
      <c r="AA21" s="126">
        <v>240</v>
      </c>
      <c r="AB21" s="126">
        <v>130</v>
      </c>
      <c r="AC21" s="724">
        <f>Gen!T26</f>
        <v>1176.97</v>
      </c>
    </row>
    <row r="22" spans="1:29" ht="18.75" customHeight="1">
      <c r="A22" s="717">
        <f>Gen!B27</f>
        <v>44121</v>
      </c>
      <c r="B22" s="711">
        <v>0.1429</v>
      </c>
      <c r="C22" s="307">
        <v>14850.83</v>
      </c>
      <c r="D22" s="307">
        <v>21840.2</v>
      </c>
      <c r="E22" s="307"/>
      <c r="F22" s="307"/>
      <c r="G22" s="307"/>
      <c r="H22" s="307"/>
      <c r="I22" s="307">
        <v>31089.1</v>
      </c>
      <c r="J22" s="712">
        <v>20652.400000000001</v>
      </c>
      <c r="K22" s="723">
        <f t="shared" si="0"/>
        <v>35278</v>
      </c>
      <c r="L22" s="307">
        <v>35278</v>
      </c>
      <c r="M22" s="306">
        <f t="shared" si="1"/>
        <v>0</v>
      </c>
      <c r="N22" s="308">
        <f t="shared" si="2"/>
        <v>30178</v>
      </c>
      <c r="O22" s="307">
        <v>30190</v>
      </c>
      <c r="P22" s="306">
        <f t="shared" si="3"/>
        <v>12</v>
      </c>
      <c r="Q22" s="306">
        <f t="shared" si="4"/>
        <v>35756</v>
      </c>
      <c r="R22" s="307">
        <v>35756</v>
      </c>
      <c r="S22" s="306">
        <f t="shared" si="5"/>
        <v>0</v>
      </c>
      <c r="T22" s="306">
        <f t="shared" si="6"/>
        <v>32466</v>
      </c>
      <c r="U22" s="307">
        <v>32478</v>
      </c>
      <c r="V22" s="306">
        <f t="shared" si="7"/>
        <v>12</v>
      </c>
      <c r="W22" s="308">
        <f t="shared" si="8"/>
        <v>21104</v>
      </c>
      <c r="X22" s="307">
        <v>21109</v>
      </c>
      <c r="Y22" s="306">
        <f t="shared" si="9"/>
        <v>5</v>
      </c>
      <c r="Z22" s="309">
        <f t="shared" si="10"/>
        <v>29</v>
      </c>
      <c r="AA22" s="126">
        <v>220</v>
      </c>
      <c r="AB22" s="126">
        <v>115</v>
      </c>
      <c r="AC22" s="724">
        <f>Gen!T27</f>
        <v>997.16000000000008</v>
      </c>
    </row>
    <row r="23" spans="1:29" ht="20.100000000000001" customHeight="1">
      <c r="A23" s="717">
        <f>Gen!B28</f>
        <v>44122</v>
      </c>
      <c r="B23" s="711"/>
      <c r="C23" s="307">
        <v>13510.67</v>
      </c>
      <c r="D23" s="307">
        <v>21840.2</v>
      </c>
      <c r="E23" s="501"/>
      <c r="F23" s="307"/>
      <c r="G23" s="307"/>
      <c r="H23" s="307"/>
      <c r="I23" s="307"/>
      <c r="J23" s="712"/>
      <c r="K23" s="723">
        <f t="shared" si="0"/>
        <v>35278</v>
      </c>
      <c r="L23" s="307"/>
      <c r="M23" s="306">
        <f t="shared" si="1"/>
        <v>-35278</v>
      </c>
      <c r="N23" s="308">
        <f t="shared" si="2"/>
        <v>30190</v>
      </c>
      <c r="O23" s="307"/>
      <c r="P23" s="306">
        <f t="shared" si="3"/>
        <v>-30190</v>
      </c>
      <c r="Q23" s="306">
        <f t="shared" si="4"/>
        <v>35756</v>
      </c>
      <c r="R23" s="307"/>
      <c r="S23" s="306">
        <f t="shared" si="5"/>
        <v>-35756</v>
      </c>
      <c r="T23" s="306">
        <f t="shared" si="6"/>
        <v>32478</v>
      </c>
      <c r="U23" s="307"/>
      <c r="V23" s="306">
        <f t="shared" si="7"/>
        <v>-32478</v>
      </c>
      <c r="W23" s="308">
        <f t="shared" si="8"/>
        <v>21109</v>
      </c>
      <c r="X23" s="307"/>
      <c r="Y23" s="306">
        <f t="shared" si="9"/>
        <v>-21109</v>
      </c>
      <c r="Z23" s="309">
        <f t="shared" si="10"/>
        <v>-154811</v>
      </c>
      <c r="AA23" s="126"/>
      <c r="AB23" s="126"/>
      <c r="AC23" s="724">
        <f>Gen!T28</f>
        <v>0</v>
      </c>
    </row>
    <row r="24" spans="1:29" ht="20.100000000000001" customHeight="1">
      <c r="A24" s="717">
        <f>Gen!B29</f>
        <v>44123</v>
      </c>
      <c r="B24" s="711"/>
      <c r="C24" s="307"/>
      <c r="D24" s="307"/>
      <c r="E24" s="307"/>
      <c r="F24" s="307"/>
      <c r="G24" s="307"/>
      <c r="H24" s="307"/>
      <c r="I24" s="307"/>
      <c r="J24" s="712"/>
      <c r="K24" s="723">
        <f t="shared" si="0"/>
        <v>0</v>
      </c>
      <c r="L24" s="307"/>
      <c r="M24" s="306">
        <f t="shared" si="1"/>
        <v>0</v>
      </c>
      <c r="N24" s="308">
        <f t="shared" si="2"/>
        <v>0</v>
      </c>
      <c r="O24" s="307"/>
      <c r="P24" s="306">
        <f t="shared" si="3"/>
        <v>0</v>
      </c>
      <c r="Q24" s="306">
        <f t="shared" si="4"/>
        <v>0</v>
      </c>
      <c r="R24" s="307"/>
      <c r="S24" s="306">
        <f t="shared" si="5"/>
        <v>0</v>
      </c>
      <c r="T24" s="306">
        <f t="shared" si="6"/>
        <v>0</v>
      </c>
      <c r="U24" s="307"/>
      <c r="V24" s="306">
        <f t="shared" si="7"/>
        <v>0</v>
      </c>
      <c r="W24" s="308">
        <f t="shared" si="8"/>
        <v>0</v>
      </c>
      <c r="X24" s="307"/>
      <c r="Y24" s="306">
        <f t="shared" si="9"/>
        <v>0</v>
      </c>
      <c r="Z24" s="309">
        <f t="shared" si="10"/>
        <v>0</v>
      </c>
      <c r="AA24" s="126"/>
      <c r="AB24" s="126"/>
      <c r="AC24" s="724">
        <f>Gen!T29</f>
        <v>0</v>
      </c>
    </row>
    <row r="25" spans="1:29" ht="18.75" customHeight="1">
      <c r="A25" s="717">
        <f>Gen!B30</f>
        <v>44124</v>
      </c>
      <c r="B25" s="711"/>
      <c r="C25" s="307"/>
      <c r="D25" s="307"/>
      <c r="E25" s="307"/>
      <c r="F25" s="307"/>
      <c r="G25" s="307"/>
      <c r="H25" s="307"/>
      <c r="I25" s="307"/>
      <c r="J25" s="712"/>
      <c r="K25" s="723">
        <f t="shared" si="0"/>
        <v>0</v>
      </c>
      <c r="L25" s="307"/>
      <c r="M25" s="306">
        <f t="shared" si="1"/>
        <v>0</v>
      </c>
      <c r="N25" s="308">
        <f t="shared" si="2"/>
        <v>0</v>
      </c>
      <c r="O25" s="307"/>
      <c r="P25" s="306">
        <f t="shared" si="3"/>
        <v>0</v>
      </c>
      <c r="Q25" s="306">
        <f t="shared" si="4"/>
        <v>0</v>
      </c>
      <c r="R25" s="307"/>
      <c r="S25" s="306">
        <f t="shared" si="5"/>
        <v>0</v>
      </c>
      <c r="T25" s="306">
        <f t="shared" si="6"/>
        <v>0</v>
      </c>
      <c r="U25" s="307"/>
      <c r="V25" s="306">
        <f t="shared" si="7"/>
        <v>0</v>
      </c>
      <c r="W25" s="308">
        <f t="shared" si="8"/>
        <v>0</v>
      </c>
      <c r="X25" s="307"/>
      <c r="Y25" s="306">
        <f t="shared" si="9"/>
        <v>0</v>
      </c>
      <c r="Z25" s="309">
        <f t="shared" si="10"/>
        <v>0</v>
      </c>
      <c r="AA25" s="126"/>
      <c r="AB25" s="126"/>
      <c r="AC25" s="724">
        <f>Gen!T30</f>
        <v>0</v>
      </c>
    </row>
    <row r="26" spans="1:29" ht="20.100000000000001" customHeight="1">
      <c r="A26" s="717">
        <f>Gen!B31</f>
        <v>44125</v>
      </c>
      <c r="B26" s="711"/>
      <c r="C26" s="307"/>
      <c r="D26" s="307"/>
      <c r="E26" s="307"/>
      <c r="F26" s="307"/>
      <c r="G26" s="307"/>
      <c r="H26" s="307"/>
      <c r="I26" s="307"/>
      <c r="J26" s="712"/>
      <c r="K26" s="723">
        <f t="shared" si="0"/>
        <v>0</v>
      </c>
      <c r="L26" s="307"/>
      <c r="M26" s="306">
        <f t="shared" si="1"/>
        <v>0</v>
      </c>
      <c r="N26" s="308">
        <f t="shared" si="2"/>
        <v>0</v>
      </c>
      <c r="O26" s="307"/>
      <c r="P26" s="306">
        <f t="shared" si="3"/>
        <v>0</v>
      </c>
      <c r="Q26" s="306">
        <f t="shared" si="4"/>
        <v>0</v>
      </c>
      <c r="R26" s="307"/>
      <c r="S26" s="306">
        <f t="shared" si="5"/>
        <v>0</v>
      </c>
      <c r="T26" s="306">
        <f t="shared" si="6"/>
        <v>0</v>
      </c>
      <c r="U26" s="307"/>
      <c r="V26" s="306">
        <f t="shared" si="7"/>
        <v>0</v>
      </c>
      <c r="W26" s="308">
        <f t="shared" si="8"/>
        <v>0</v>
      </c>
      <c r="X26" s="307"/>
      <c r="Y26" s="306">
        <f t="shared" si="9"/>
        <v>0</v>
      </c>
      <c r="Z26" s="309">
        <f t="shared" ref="Z26:Z37" si="11">Y26+V26+S26+P26+M26</f>
        <v>0</v>
      </c>
      <c r="AA26" s="126"/>
      <c r="AB26" s="126"/>
      <c r="AC26" s="724">
        <f>Gen!T31</f>
        <v>0</v>
      </c>
    </row>
    <row r="27" spans="1:29" ht="20.100000000000001" customHeight="1">
      <c r="A27" s="717">
        <f>Gen!B32</f>
        <v>44126</v>
      </c>
      <c r="B27" s="711"/>
      <c r="C27" s="307"/>
      <c r="D27" s="307"/>
      <c r="E27" s="307"/>
      <c r="F27" s="307"/>
      <c r="G27" s="307"/>
      <c r="H27" s="307"/>
      <c r="I27" s="307"/>
      <c r="J27" s="712"/>
      <c r="K27" s="723">
        <f t="shared" si="0"/>
        <v>0</v>
      </c>
      <c r="L27" s="307"/>
      <c r="M27" s="306">
        <f t="shared" si="1"/>
        <v>0</v>
      </c>
      <c r="N27" s="308">
        <f t="shared" si="2"/>
        <v>0</v>
      </c>
      <c r="O27" s="307"/>
      <c r="P27" s="306">
        <f t="shared" si="3"/>
        <v>0</v>
      </c>
      <c r="Q27" s="306">
        <f t="shared" si="4"/>
        <v>0</v>
      </c>
      <c r="R27" s="307"/>
      <c r="S27" s="306">
        <f t="shared" si="5"/>
        <v>0</v>
      </c>
      <c r="T27" s="306">
        <f t="shared" si="6"/>
        <v>0</v>
      </c>
      <c r="U27" s="307"/>
      <c r="V27" s="306">
        <f t="shared" si="7"/>
        <v>0</v>
      </c>
      <c r="W27" s="308">
        <f t="shared" si="8"/>
        <v>0</v>
      </c>
      <c r="X27" s="307"/>
      <c r="Y27" s="306">
        <f t="shared" si="9"/>
        <v>0</v>
      </c>
      <c r="Z27" s="309">
        <f t="shared" si="11"/>
        <v>0</v>
      </c>
      <c r="AA27" s="126"/>
      <c r="AB27" s="126"/>
      <c r="AC27" s="724">
        <f>Gen!T32</f>
        <v>0</v>
      </c>
    </row>
    <row r="28" spans="1:29" ht="20.100000000000001" customHeight="1">
      <c r="A28" s="717">
        <f>Gen!B33</f>
        <v>44127</v>
      </c>
      <c r="B28" s="711"/>
      <c r="C28" s="307"/>
      <c r="D28" s="307"/>
      <c r="E28" s="307"/>
      <c r="F28" s="307"/>
      <c r="G28" s="307"/>
      <c r="H28" s="307"/>
      <c r="I28" s="307"/>
      <c r="J28" s="712"/>
      <c r="K28" s="723">
        <f t="shared" si="0"/>
        <v>0</v>
      </c>
      <c r="L28" s="307"/>
      <c r="M28" s="306">
        <f t="shared" si="1"/>
        <v>0</v>
      </c>
      <c r="N28" s="308">
        <f t="shared" si="2"/>
        <v>0</v>
      </c>
      <c r="O28" s="307"/>
      <c r="P28" s="306">
        <f t="shared" si="3"/>
        <v>0</v>
      </c>
      <c r="Q28" s="306">
        <f t="shared" si="4"/>
        <v>0</v>
      </c>
      <c r="R28" s="307"/>
      <c r="S28" s="306">
        <f t="shared" si="5"/>
        <v>0</v>
      </c>
      <c r="T28" s="306">
        <f t="shared" si="6"/>
        <v>0</v>
      </c>
      <c r="U28" s="307"/>
      <c r="V28" s="306">
        <f t="shared" si="7"/>
        <v>0</v>
      </c>
      <c r="W28" s="308">
        <f t="shared" si="8"/>
        <v>0</v>
      </c>
      <c r="X28" s="307"/>
      <c r="Y28" s="306">
        <f t="shared" si="9"/>
        <v>0</v>
      </c>
      <c r="Z28" s="309">
        <f t="shared" si="11"/>
        <v>0</v>
      </c>
      <c r="AA28" s="126"/>
      <c r="AB28" s="126"/>
      <c r="AC28" s="724">
        <f>Gen!T33</f>
        <v>0</v>
      </c>
    </row>
    <row r="29" spans="1:29" ht="20.100000000000001" customHeight="1">
      <c r="A29" s="717">
        <f>Gen!B34</f>
        <v>44128</v>
      </c>
      <c r="B29" s="711"/>
      <c r="C29" s="307"/>
      <c r="D29" s="307"/>
      <c r="E29" s="307"/>
      <c r="F29" s="307"/>
      <c r="G29" s="307"/>
      <c r="H29" s="307"/>
      <c r="I29" s="307"/>
      <c r="J29" s="712"/>
      <c r="K29" s="723">
        <f t="shared" si="0"/>
        <v>0</v>
      </c>
      <c r="L29" s="307"/>
      <c r="M29" s="306">
        <f t="shared" si="1"/>
        <v>0</v>
      </c>
      <c r="N29" s="308">
        <f t="shared" si="2"/>
        <v>0</v>
      </c>
      <c r="O29" s="307"/>
      <c r="P29" s="306">
        <f t="shared" si="3"/>
        <v>0</v>
      </c>
      <c r="Q29" s="306">
        <f t="shared" si="4"/>
        <v>0</v>
      </c>
      <c r="R29" s="307"/>
      <c r="S29" s="306">
        <f t="shared" si="5"/>
        <v>0</v>
      </c>
      <c r="T29" s="306">
        <f t="shared" si="6"/>
        <v>0</v>
      </c>
      <c r="U29" s="307"/>
      <c r="V29" s="306">
        <f t="shared" si="7"/>
        <v>0</v>
      </c>
      <c r="W29" s="308">
        <f t="shared" si="8"/>
        <v>0</v>
      </c>
      <c r="X29" s="307"/>
      <c r="Y29" s="306">
        <f t="shared" si="9"/>
        <v>0</v>
      </c>
      <c r="Z29" s="309">
        <f t="shared" si="11"/>
        <v>0</v>
      </c>
      <c r="AA29" s="126"/>
      <c r="AB29" s="126"/>
      <c r="AC29" s="724">
        <f>Gen!T34</f>
        <v>0</v>
      </c>
    </row>
    <row r="30" spans="1:29" ht="20.100000000000001" customHeight="1">
      <c r="A30" s="717">
        <f>Gen!B35</f>
        <v>44129</v>
      </c>
      <c r="B30" s="711"/>
      <c r="C30" s="307"/>
      <c r="D30" s="307"/>
      <c r="E30" s="307"/>
      <c r="F30" s="307"/>
      <c r="G30" s="307"/>
      <c r="H30" s="307"/>
      <c r="I30" s="307"/>
      <c r="J30" s="712"/>
      <c r="K30" s="723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24">
        <f>Gen!T35</f>
        <v>0</v>
      </c>
    </row>
    <row r="31" spans="1:29" ht="20.100000000000001" customHeight="1">
      <c r="A31" s="717">
        <f>Gen!B36</f>
        <v>44130</v>
      </c>
      <c r="B31" s="711"/>
      <c r="C31" s="307"/>
      <c r="D31" s="307"/>
      <c r="E31" s="307"/>
      <c r="F31" s="307"/>
      <c r="G31" s="307"/>
      <c r="H31" s="307"/>
      <c r="I31" s="307"/>
      <c r="J31" s="712"/>
      <c r="K31" s="723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24">
        <f>Gen!T36</f>
        <v>0</v>
      </c>
    </row>
    <row r="32" spans="1:29" ht="20.100000000000001" customHeight="1">
      <c r="A32" s="717">
        <f>Gen!B37</f>
        <v>44131</v>
      </c>
      <c r="B32" s="711"/>
      <c r="C32" s="307"/>
      <c r="D32" s="307"/>
      <c r="E32" s="307"/>
      <c r="F32" s="307"/>
      <c r="G32" s="307"/>
      <c r="H32" s="307"/>
      <c r="I32" s="307"/>
      <c r="J32" s="712"/>
      <c r="K32" s="723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24">
        <f>Gen!T37</f>
        <v>0</v>
      </c>
    </row>
    <row r="33" spans="1:29" ht="20.100000000000001" customHeight="1">
      <c r="A33" s="717">
        <f>Gen!B38</f>
        <v>44132</v>
      </c>
      <c r="B33" s="711"/>
      <c r="C33" s="307"/>
      <c r="D33" s="307"/>
      <c r="E33" s="307"/>
      <c r="F33" s="307"/>
      <c r="G33" s="307"/>
      <c r="H33" s="307"/>
      <c r="I33" s="307"/>
      <c r="J33" s="712"/>
      <c r="K33" s="723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24">
        <f>Gen!T38</f>
        <v>0</v>
      </c>
    </row>
    <row r="34" spans="1:29" ht="20.100000000000001" customHeight="1">
      <c r="A34" s="717">
        <f>Gen!B39</f>
        <v>44133</v>
      </c>
      <c r="B34" s="711"/>
      <c r="C34" s="307"/>
      <c r="D34" s="307"/>
      <c r="E34" s="307"/>
      <c r="F34" s="307"/>
      <c r="G34" s="307"/>
      <c r="H34" s="307"/>
      <c r="I34" s="307"/>
      <c r="J34" s="712"/>
      <c r="K34" s="723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24">
        <f>Gen!T39</f>
        <v>0</v>
      </c>
    </row>
    <row r="35" spans="1:29" ht="20.100000000000001" customHeight="1">
      <c r="A35" s="717">
        <f>Gen!B40</f>
        <v>44134</v>
      </c>
      <c r="B35" s="711"/>
      <c r="C35" s="307"/>
      <c r="D35" s="307"/>
      <c r="E35" s="307"/>
      <c r="F35" s="307"/>
      <c r="G35" s="307"/>
      <c r="H35" s="307"/>
      <c r="I35" s="307"/>
      <c r="J35" s="712"/>
      <c r="K35" s="723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4">
        <f>Gen!T40</f>
        <v>0</v>
      </c>
    </row>
    <row r="36" spans="1:29" ht="20.100000000000001" customHeight="1" thickBot="1">
      <c r="A36" s="718">
        <f>Gen!B41</f>
        <v>44135</v>
      </c>
      <c r="B36" s="711"/>
      <c r="C36" s="307"/>
      <c r="D36" s="307"/>
      <c r="E36" s="307"/>
      <c r="F36" s="307"/>
      <c r="G36" s="307"/>
      <c r="H36" s="307"/>
      <c r="I36" s="307"/>
      <c r="J36" s="712"/>
      <c r="K36" s="723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4">
        <f>Gen!T41</f>
        <v>0</v>
      </c>
    </row>
    <row r="37" spans="1:29" ht="21" customHeight="1" thickBot="1">
      <c r="A37" s="718">
        <f>Gen!B42</f>
        <v>44136</v>
      </c>
      <c r="B37" s="713"/>
      <c r="C37" s="714"/>
      <c r="D37" s="714"/>
      <c r="E37" s="714"/>
      <c r="F37" s="714"/>
      <c r="G37" s="714"/>
      <c r="H37" s="714"/>
      <c r="I37" s="714"/>
      <c r="J37" s="715"/>
      <c r="K37" s="725">
        <f t="shared" si="0"/>
        <v>0</v>
      </c>
      <c r="L37" s="714"/>
      <c r="M37" s="726">
        <f t="shared" si="1"/>
        <v>0</v>
      </c>
      <c r="N37" s="727">
        <f t="shared" si="2"/>
        <v>0</v>
      </c>
      <c r="O37" s="714"/>
      <c r="P37" s="726">
        <f t="shared" si="3"/>
        <v>0</v>
      </c>
      <c r="Q37" s="726">
        <f t="shared" si="4"/>
        <v>0</v>
      </c>
      <c r="R37" s="714"/>
      <c r="S37" s="726">
        <f t="shared" si="5"/>
        <v>0</v>
      </c>
      <c r="T37" s="726">
        <f t="shared" si="6"/>
        <v>0</v>
      </c>
      <c r="U37" s="714"/>
      <c r="V37" s="726">
        <f t="shared" si="7"/>
        <v>0</v>
      </c>
      <c r="W37" s="727">
        <f t="shared" si="8"/>
        <v>0</v>
      </c>
      <c r="X37" s="714"/>
      <c r="Y37" s="726">
        <f t="shared" si="9"/>
        <v>0</v>
      </c>
      <c r="Z37" s="728">
        <f t="shared" si="11"/>
        <v>0</v>
      </c>
      <c r="AA37" s="729"/>
      <c r="AB37" s="729"/>
      <c r="AC37" s="730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3" zoomScale="110" zoomScaleNormal="110" workbookViewId="0">
      <pane xSplit="2" topLeftCell="C1" activePane="topRight" state="frozen"/>
      <selection pane="topRight" activeCell="C32" sqref="C32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8"/>
      <c r="C1" s="888"/>
    </row>
    <row r="2" spans="2:47" ht="26.25">
      <c r="B2" s="888"/>
      <c r="C2" s="888"/>
      <c r="E2" s="889" t="s">
        <v>320</v>
      </c>
      <c r="F2" s="889"/>
      <c r="G2" s="890"/>
      <c r="H2" s="890"/>
      <c r="I2" s="890"/>
      <c r="J2" s="890"/>
      <c r="K2" s="890"/>
      <c r="L2" s="890"/>
      <c r="M2" s="890"/>
      <c r="N2" s="890"/>
      <c r="O2" s="890"/>
      <c r="P2" s="890"/>
      <c r="Q2" s="890"/>
      <c r="R2" s="890"/>
      <c r="S2" s="890"/>
      <c r="T2" s="890"/>
      <c r="U2" s="890"/>
      <c r="V2" s="890"/>
      <c r="W2" s="890"/>
      <c r="X2" s="890"/>
      <c r="Y2" s="890"/>
      <c r="Z2" s="890"/>
      <c r="AA2" s="890"/>
      <c r="AB2" s="890"/>
      <c r="AC2" s="890"/>
      <c r="AD2" s="890"/>
      <c r="AE2" s="890"/>
      <c r="AF2" s="890"/>
      <c r="AG2" s="890"/>
      <c r="AH2" s="890"/>
      <c r="AI2" s="890"/>
      <c r="AJ2" s="890"/>
      <c r="AK2" s="890"/>
      <c r="AL2" s="890"/>
      <c r="AM2" s="890"/>
      <c r="AN2" s="890"/>
      <c r="AO2" s="890"/>
      <c r="AP2" s="890"/>
      <c r="AQ2" s="890"/>
      <c r="AR2" s="890"/>
      <c r="AS2" s="890"/>
      <c r="AT2" s="890"/>
      <c r="AU2" s="890"/>
    </row>
    <row r="3" spans="2:47" ht="12.75" customHeight="1">
      <c r="B3" s="888"/>
      <c r="C3" s="888"/>
      <c r="I3" s="906"/>
      <c r="J3" s="906"/>
      <c r="K3" s="906"/>
      <c r="L3" s="182"/>
      <c r="R3" s="182"/>
    </row>
    <row r="4" spans="2:47">
      <c r="B4" s="888"/>
      <c r="C4" s="888"/>
      <c r="I4" s="906"/>
      <c r="J4" s="906"/>
      <c r="K4" s="906"/>
      <c r="L4" s="182"/>
      <c r="R4" s="182"/>
    </row>
    <row r="5" spans="2:47" ht="12" thickBot="1">
      <c r="B5" s="888"/>
      <c r="C5" s="888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8"/>
      <c r="C6" s="888"/>
      <c r="D6" s="187"/>
      <c r="G6" s="897" t="s">
        <v>57</v>
      </c>
      <c r="H6" s="898"/>
      <c r="I6" s="898"/>
      <c r="J6" s="898"/>
      <c r="K6" s="898"/>
      <c r="L6" s="898"/>
      <c r="M6" s="899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1" t="s">
        <v>201</v>
      </c>
      <c r="H7" s="892"/>
      <c r="I7" s="892"/>
      <c r="J7" s="892"/>
      <c r="K7" s="892"/>
      <c r="L7" s="892"/>
      <c r="M7" s="893"/>
      <c r="N7" s="894" t="s">
        <v>40</v>
      </c>
      <c r="O7" s="895"/>
      <c r="P7" s="895"/>
      <c r="Q7" s="895"/>
      <c r="R7" s="895"/>
      <c r="S7" s="896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1">
        <v>38003.53</v>
      </c>
      <c r="E9" s="735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2"/>
      <c r="E10" s="736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3">
        <f>SUM(D9+E11)</f>
        <v>38003.53</v>
      </c>
      <c r="E11" s="737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38003.53</v>
      </c>
    </row>
    <row r="12" spans="2:47" ht="13.5" customHeight="1">
      <c r="B12" s="598">
        <v>44106</v>
      </c>
      <c r="C12" s="592">
        <v>3.9E-2</v>
      </c>
      <c r="D12" s="733">
        <f t="shared" ref="D12:D43" si="6">SUM(D11-AS11+E12)</f>
        <v>37092.49</v>
      </c>
      <c r="E12" s="737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37092.49</v>
      </c>
    </row>
    <row r="13" spans="2:47" ht="13.5" customHeight="1">
      <c r="B13" s="598">
        <v>44107</v>
      </c>
      <c r="C13" s="592">
        <v>2.5999999999999999E-2</v>
      </c>
      <c r="D13" s="733">
        <f t="shared" si="6"/>
        <v>36116.25</v>
      </c>
      <c r="E13" s="737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36116.25</v>
      </c>
    </row>
    <row r="14" spans="2:47" ht="13.5" customHeight="1">
      <c r="B14" s="598">
        <v>44108</v>
      </c>
      <c r="C14" s="592">
        <v>1.2999999999999999E-2</v>
      </c>
      <c r="D14" s="733">
        <f t="shared" si="6"/>
        <v>35072.49</v>
      </c>
      <c r="E14" s="737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35072.49</v>
      </c>
    </row>
    <row r="15" spans="2:47" ht="13.5" customHeight="1">
      <c r="B15" s="598">
        <v>44109</v>
      </c>
      <c r="C15" s="592">
        <v>2.3E-2</v>
      </c>
      <c r="D15" s="733">
        <f t="shared" si="6"/>
        <v>34147.86</v>
      </c>
      <c r="E15" s="737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34147.86</v>
      </c>
    </row>
    <row r="16" spans="2:47" ht="13.5" customHeight="1">
      <c r="B16" s="598">
        <v>44110</v>
      </c>
      <c r="C16" s="592">
        <v>2.3E-2</v>
      </c>
      <c r="D16" s="733">
        <f t="shared" si="6"/>
        <v>33210.879999999997</v>
      </c>
      <c r="E16" s="737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33210.879999999997</v>
      </c>
    </row>
    <row r="17" spans="2:47" ht="13.5" customHeight="1">
      <c r="B17" s="598">
        <v>44111</v>
      </c>
      <c r="C17" s="592">
        <v>3.9E-2</v>
      </c>
      <c r="D17" s="733">
        <f t="shared" si="6"/>
        <v>32228.289999999997</v>
      </c>
      <c r="E17" s="737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32228.289999999997</v>
      </c>
    </row>
    <row r="18" spans="2:47" ht="13.5" customHeight="1">
      <c r="B18" s="598">
        <v>44112</v>
      </c>
      <c r="C18" s="592">
        <v>5.1900000000000002E-2</v>
      </c>
      <c r="D18" s="733">
        <f t="shared" si="6"/>
        <v>31277.719999999998</v>
      </c>
      <c r="E18" s="737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31277.719999999998</v>
      </c>
    </row>
    <row r="19" spans="2:47" ht="13.5" customHeight="1">
      <c r="B19" s="598">
        <v>44113</v>
      </c>
      <c r="C19" s="592">
        <v>5.1900000000000002E-2</v>
      </c>
      <c r="D19" s="733">
        <f t="shared" si="6"/>
        <v>30229.899999999998</v>
      </c>
      <c r="E19" s="737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30229.899999999998</v>
      </c>
    </row>
    <row r="20" spans="2:47" ht="14.25">
      <c r="B20" s="598">
        <v>44114</v>
      </c>
      <c r="C20" s="592">
        <v>5.1900000000000002E-2</v>
      </c>
      <c r="D20" s="733">
        <f t="shared" si="6"/>
        <v>44162.58</v>
      </c>
      <c r="E20" s="737">
        <v>15000</v>
      </c>
      <c r="F20" s="596">
        <v>15000</v>
      </c>
      <c r="G20" s="626" t="s">
        <v>318</v>
      </c>
      <c r="H20" s="846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44162.58</v>
      </c>
    </row>
    <row r="21" spans="2:47" ht="14.25">
      <c r="B21" s="598">
        <v>44115</v>
      </c>
      <c r="C21" s="592">
        <v>1.2999999999999999E-2</v>
      </c>
      <c r="D21" s="733">
        <f t="shared" si="6"/>
        <v>43167.53</v>
      </c>
      <c r="E21" s="737"/>
      <c r="F21" s="596"/>
      <c r="G21" s="594"/>
      <c r="H21" s="846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43167.53</v>
      </c>
    </row>
    <row r="22" spans="2:47" ht="14.25">
      <c r="B22" s="598">
        <v>44116</v>
      </c>
      <c r="C22" s="592">
        <v>3.9E-2</v>
      </c>
      <c r="D22" s="733">
        <f t="shared" si="6"/>
        <v>42120.06</v>
      </c>
      <c r="E22" s="737"/>
      <c r="F22" s="596"/>
      <c r="G22" s="846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42120.06</v>
      </c>
    </row>
    <row r="23" spans="2:47" ht="14.25">
      <c r="B23" s="598">
        <v>44117</v>
      </c>
      <c r="C23" s="592">
        <v>5.1900000000000002E-2</v>
      </c>
      <c r="D23" s="733">
        <f t="shared" si="6"/>
        <v>41113.81</v>
      </c>
      <c r="E23" s="737"/>
      <c r="F23" s="596"/>
      <c r="G23" s="846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41113.81</v>
      </c>
    </row>
    <row r="24" spans="2:47" ht="14.25">
      <c r="B24" s="598">
        <v>44118</v>
      </c>
      <c r="C24" s="592">
        <v>1.2999999999999999E-2</v>
      </c>
      <c r="D24" s="733">
        <f t="shared" si="6"/>
        <v>40046.759999999995</v>
      </c>
      <c r="E24" s="738"/>
      <c r="F24" s="596"/>
      <c r="G24" s="594"/>
      <c r="H24" s="641">
        <v>424.51</v>
      </c>
      <c r="I24" s="205">
        <v>297.23</v>
      </c>
      <c r="J24" s="224"/>
      <c r="K24" s="205"/>
      <c r="L24" s="205"/>
      <c r="M24" s="537">
        <v>252.43</v>
      </c>
      <c r="N24" s="299">
        <v>1101</v>
      </c>
      <c r="O24" s="299">
        <v>532</v>
      </c>
      <c r="P24" s="207"/>
      <c r="Q24" s="207"/>
      <c r="R24" s="207"/>
      <c r="S24" s="579">
        <v>631</v>
      </c>
      <c r="T24" s="587">
        <f t="shared" si="0"/>
        <v>974.17000000000007</v>
      </c>
      <c r="U24" s="219">
        <f t="shared" si="1"/>
        <v>2264</v>
      </c>
      <c r="V24" s="588">
        <f t="shared" si="4"/>
        <v>0.43028710247349827</v>
      </c>
      <c r="W24" s="212"/>
      <c r="X24" s="220"/>
      <c r="Y24" s="198"/>
      <c r="Z24" s="220"/>
      <c r="AA24" s="205">
        <v>58.87</v>
      </c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58.87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1033.04</v>
      </c>
      <c r="AT24" s="222">
        <f t="shared" si="7"/>
        <v>0</v>
      </c>
      <c r="AU24" s="284">
        <f t="shared" si="5"/>
        <v>40046.759999999995</v>
      </c>
    </row>
    <row r="25" spans="2:47" ht="14.25">
      <c r="B25" s="598">
        <v>44119</v>
      </c>
      <c r="C25" s="592">
        <v>5.1900000000000002E-2</v>
      </c>
      <c r="D25" s="733">
        <f t="shared" si="6"/>
        <v>39013.719999999994</v>
      </c>
      <c r="E25" s="737"/>
      <c r="F25" s="596"/>
      <c r="G25" s="594"/>
      <c r="H25" s="574">
        <v>158.74</v>
      </c>
      <c r="I25" s="220"/>
      <c r="J25" s="224"/>
      <c r="K25" s="205">
        <v>386.36</v>
      </c>
      <c r="L25" s="205">
        <v>497.78</v>
      </c>
      <c r="M25" s="537"/>
      <c r="N25" s="299">
        <v>429</v>
      </c>
      <c r="O25" s="207"/>
      <c r="P25" s="207"/>
      <c r="Q25" s="207">
        <v>715</v>
      </c>
      <c r="R25" s="207">
        <v>1216</v>
      </c>
      <c r="S25" s="579"/>
      <c r="T25" s="587">
        <f t="shared" si="0"/>
        <v>1042.8800000000001</v>
      </c>
      <c r="U25" s="219">
        <f t="shared" si="1"/>
        <v>2360</v>
      </c>
      <c r="V25" s="588">
        <f t="shared" si="4"/>
        <v>0.44189830508474581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1042.8800000000001</v>
      </c>
      <c r="AT25" s="222">
        <f t="shared" si="7"/>
        <v>0</v>
      </c>
      <c r="AU25" s="284">
        <f t="shared" si="5"/>
        <v>39013.719999999994</v>
      </c>
    </row>
    <row r="26" spans="2:47" ht="14.25">
      <c r="B26" s="598">
        <v>44120</v>
      </c>
      <c r="C26" s="592">
        <v>0.1169</v>
      </c>
      <c r="D26" s="733">
        <f t="shared" si="6"/>
        <v>37970.839999999997</v>
      </c>
      <c r="E26" s="737"/>
      <c r="F26" s="596"/>
      <c r="G26" s="846"/>
      <c r="H26" s="574">
        <v>565.04</v>
      </c>
      <c r="I26" s="220">
        <v>334.75</v>
      </c>
      <c r="J26" s="224"/>
      <c r="K26" s="205"/>
      <c r="L26" s="205"/>
      <c r="M26" s="537">
        <v>277.18</v>
      </c>
      <c r="N26" s="299">
        <v>1399</v>
      </c>
      <c r="O26" s="207">
        <v>835</v>
      </c>
      <c r="P26" s="207"/>
      <c r="Q26" s="207"/>
      <c r="R26" s="207"/>
      <c r="S26" s="579">
        <v>506</v>
      </c>
      <c r="T26" s="587">
        <f t="shared" si="0"/>
        <v>1176.97</v>
      </c>
      <c r="U26" s="219">
        <f t="shared" si="1"/>
        <v>2740</v>
      </c>
      <c r="V26" s="588">
        <f t="shared" si="4"/>
        <v>0.42955109489051096</v>
      </c>
      <c r="W26" s="212"/>
      <c r="X26" s="220">
        <v>42.07</v>
      </c>
      <c r="Y26" s="198">
        <v>35</v>
      </c>
      <c r="Z26" s="220"/>
      <c r="AA26" s="220">
        <v>25.77</v>
      </c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102.83999999999999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1279.81</v>
      </c>
      <c r="AT26" s="222">
        <f t="shared" si="7"/>
        <v>0</v>
      </c>
      <c r="AU26" s="284">
        <f t="shared" si="5"/>
        <v>37970.839999999997</v>
      </c>
    </row>
    <row r="27" spans="2:47" ht="14.25">
      <c r="B27" s="598">
        <v>44121</v>
      </c>
      <c r="C27" s="592">
        <v>0.15790000000000001</v>
      </c>
      <c r="D27" s="733">
        <f t="shared" si="6"/>
        <v>36691.03</v>
      </c>
      <c r="E27" s="737"/>
      <c r="F27" s="596"/>
      <c r="G27" s="594"/>
      <c r="H27" s="574"/>
      <c r="I27" s="220">
        <v>475.44</v>
      </c>
      <c r="J27" s="224"/>
      <c r="K27" s="205"/>
      <c r="L27" s="205">
        <v>521.72</v>
      </c>
      <c r="M27" s="537"/>
      <c r="N27" s="299"/>
      <c r="O27" s="207"/>
      <c r="P27" s="207"/>
      <c r="Q27" s="207">
        <v>1344</v>
      </c>
      <c r="R27" s="207">
        <v>1280</v>
      </c>
      <c r="S27" s="579"/>
      <c r="T27" s="587">
        <f t="shared" si="0"/>
        <v>997.16000000000008</v>
      </c>
      <c r="U27" s="219">
        <f t="shared" si="1"/>
        <v>2624</v>
      </c>
      <c r="V27" s="588">
        <f t="shared" si="4"/>
        <v>0.38001524390243907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>
        <v>163</v>
      </c>
      <c r="AJ27" s="393"/>
      <c r="AK27" s="272">
        <f t="shared" si="3"/>
        <v>163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1160.1600000000001</v>
      </c>
      <c r="AT27" s="222">
        <f t="shared" si="7"/>
        <v>0</v>
      </c>
      <c r="AU27" s="284">
        <f t="shared" si="5"/>
        <v>36691.03</v>
      </c>
    </row>
    <row r="28" spans="2:47" ht="14.25">
      <c r="B28" s="598">
        <v>44122</v>
      </c>
      <c r="C28" s="592">
        <v>0.15790000000000001</v>
      </c>
      <c r="D28" s="733">
        <f t="shared" si="6"/>
        <v>35530.869999999995</v>
      </c>
      <c r="E28" s="737"/>
      <c r="F28" s="596"/>
      <c r="G28" s="594"/>
      <c r="H28" s="574"/>
      <c r="I28" s="220"/>
      <c r="J28" s="206"/>
      <c r="K28" s="205"/>
      <c r="L28" s="205"/>
      <c r="M28" s="537"/>
      <c r="N28" s="299"/>
      <c r="O28" s="207"/>
      <c r="P28" s="207"/>
      <c r="Q28" s="207"/>
      <c r="R28" s="207"/>
      <c r="S28" s="579"/>
      <c r="T28" s="587">
        <f t="shared" si="0"/>
        <v>0</v>
      </c>
      <c r="U28" s="219">
        <f t="shared" si="1"/>
        <v>0</v>
      </c>
      <c r="V28" s="588" t="e">
        <f t="shared" si="4"/>
        <v>#DIV/0!</v>
      </c>
      <c r="W28" s="212"/>
      <c r="X28" s="220"/>
      <c r="Y28" s="198"/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93"/>
      <c r="AK28" s="272">
        <f>SUM(W28:AJ28)</f>
        <v>0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0</v>
      </c>
      <c r="AT28" s="222">
        <f t="shared" si="7"/>
        <v>0</v>
      </c>
      <c r="AU28" s="284">
        <f>D28</f>
        <v>35530.869999999995</v>
      </c>
    </row>
    <row r="29" spans="2:47" ht="14.25">
      <c r="B29" s="598">
        <v>44123</v>
      </c>
      <c r="C29" s="592"/>
      <c r="D29" s="733">
        <f t="shared" si="6"/>
        <v>35530.869999999995</v>
      </c>
      <c r="E29" s="737"/>
      <c r="F29" s="596"/>
      <c r="G29" s="594"/>
      <c r="H29" s="574"/>
      <c r="I29" s="220"/>
      <c r="J29" s="206"/>
      <c r="K29" s="205"/>
      <c r="L29" s="205"/>
      <c r="M29" s="537"/>
      <c r="N29" s="299"/>
      <c r="O29" s="207"/>
      <c r="P29" s="207"/>
      <c r="Q29" s="207"/>
      <c r="R29" s="207"/>
      <c r="S29" s="579"/>
      <c r="T29" s="587">
        <f t="shared" si="0"/>
        <v>0</v>
      </c>
      <c r="U29" s="219">
        <f t="shared" si="1"/>
        <v>0</v>
      </c>
      <c r="V29" s="588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35530.869999999995</v>
      </c>
    </row>
    <row r="30" spans="2:47" ht="14.25">
      <c r="B30" s="598">
        <v>44124</v>
      </c>
      <c r="C30" s="592"/>
      <c r="D30" s="733">
        <f t="shared" si="6"/>
        <v>35530.869999999995</v>
      </c>
      <c r="E30" s="737"/>
      <c r="F30" s="596"/>
      <c r="G30" s="594"/>
      <c r="H30" s="574"/>
      <c r="I30" s="220"/>
      <c r="J30" s="206"/>
      <c r="K30" s="205"/>
      <c r="L30" s="205"/>
      <c r="M30" s="537"/>
      <c r="N30" s="299"/>
      <c r="O30" s="207"/>
      <c r="P30" s="207"/>
      <c r="Q30" s="207"/>
      <c r="R30" s="207"/>
      <c r="S30" s="579"/>
      <c r="T30" s="587">
        <f t="shared" si="0"/>
        <v>0</v>
      </c>
      <c r="U30" s="219">
        <f t="shared" si="1"/>
        <v>0</v>
      </c>
      <c r="V30" s="588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35530.869999999995</v>
      </c>
    </row>
    <row r="31" spans="2:47" ht="14.25">
      <c r="B31" s="598">
        <v>44125</v>
      </c>
      <c r="C31" s="592"/>
      <c r="D31" s="733">
        <f t="shared" si="6"/>
        <v>35530.869999999995</v>
      </c>
      <c r="E31" s="737"/>
      <c r="F31" s="596"/>
      <c r="G31" s="594"/>
      <c r="H31" s="574"/>
      <c r="I31" s="220"/>
      <c r="J31" s="206"/>
      <c r="K31" s="205"/>
      <c r="L31" s="205"/>
      <c r="M31" s="537"/>
      <c r="N31" s="299"/>
      <c r="O31" s="207"/>
      <c r="P31" s="207"/>
      <c r="Q31" s="207"/>
      <c r="R31" s="207"/>
      <c r="S31" s="579"/>
      <c r="T31" s="587">
        <f t="shared" si="0"/>
        <v>0</v>
      </c>
      <c r="U31" s="219">
        <f t="shared" si="1"/>
        <v>0</v>
      </c>
      <c r="V31" s="588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93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35530.869999999995</v>
      </c>
    </row>
    <row r="32" spans="2:47" ht="14.25">
      <c r="B32" s="598">
        <v>44126</v>
      </c>
      <c r="C32" s="592"/>
      <c r="D32" s="733">
        <f t="shared" si="6"/>
        <v>35530.869999999995</v>
      </c>
      <c r="E32" s="737"/>
      <c r="F32" s="596"/>
      <c r="G32" s="594"/>
      <c r="H32" s="574"/>
      <c r="I32" s="220"/>
      <c r="J32" s="206"/>
      <c r="K32" s="205"/>
      <c r="L32" s="205"/>
      <c r="M32" s="537"/>
      <c r="N32" s="299"/>
      <c r="O32" s="207"/>
      <c r="P32" s="207"/>
      <c r="Q32" s="207"/>
      <c r="R32" s="207"/>
      <c r="S32" s="579"/>
      <c r="T32" s="587">
        <f t="shared" si="0"/>
        <v>0</v>
      </c>
      <c r="U32" s="219">
        <f t="shared" si="1"/>
        <v>0</v>
      </c>
      <c r="V32" s="588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35530.869999999995</v>
      </c>
    </row>
    <row r="33" spans="2:47" ht="14.25">
      <c r="B33" s="598">
        <v>44127</v>
      </c>
      <c r="C33" s="592"/>
      <c r="D33" s="733">
        <f t="shared" si="6"/>
        <v>35530.869999999995</v>
      </c>
      <c r="E33" s="737"/>
      <c r="F33" s="596"/>
      <c r="G33" s="594"/>
      <c r="H33" s="574"/>
      <c r="I33" s="220"/>
      <c r="J33" s="206"/>
      <c r="K33" s="205"/>
      <c r="L33" s="205"/>
      <c r="M33" s="537"/>
      <c r="N33" s="299"/>
      <c r="O33" s="207"/>
      <c r="P33" s="207"/>
      <c r="Q33" s="207"/>
      <c r="R33" s="207"/>
      <c r="S33" s="579"/>
      <c r="T33" s="587">
        <f t="shared" si="0"/>
        <v>0</v>
      </c>
      <c r="U33" s="219">
        <f t="shared" si="1"/>
        <v>0</v>
      </c>
      <c r="V33" s="588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35530.869999999995</v>
      </c>
    </row>
    <row r="34" spans="2:47" ht="14.25">
      <c r="B34" s="598">
        <v>44128</v>
      </c>
      <c r="C34" s="592"/>
      <c r="D34" s="733">
        <f t="shared" si="6"/>
        <v>35530.869999999995</v>
      </c>
      <c r="E34" s="737"/>
      <c r="F34" s="596"/>
      <c r="G34" s="594"/>
      <c r="H34" s="574"/>
      <c r="I34" s="205"/>
      <c r="J34" s="205"/>
      <c r="K34" s="205"/>
      <c r="L34" s="205"/>
      <c r="M34" s="537"/>
      <c r="N34" s="299"/>
      <c r="O34" s="207"/>
      <c r="P34" s="207"/>
      <c r="Q34" s="207"/>
      <c r="R34" s="207"/>
      <c r="S34" s="579"/>
      <c r="T34" s="587">
        <f t="shared" si="0"/>
        <v>0</v>
      </c>
      <c r="U34" s="219">
        <f t="shared" si="1"/>
        <v>0</v>
      </c>
      <c r="V34" s="588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35530.869999999995</v>
      </c>
    </row>
    <row r="35" spans="2:47" ht="14.25">
      <c r="B35" s="598">
        <v>44129</v>
      </c>
      <c r="C35" s="592"/>
      <c r="D35" s="733">
        <f t="shared" si="6"/>
        <v>35530.869999999995</v>
      </c>
      <c r="E35" s="737"/>
      <c r="F35" s="596">
        <v>12000</v>
      </c>
      <c r="G35" s="626" t="s">
        <v>318</v>
      </c>
      <c r="H35" s="574"/>
      <c r="I35" s="220"/>
      <c r="J35" s="206"/>
      <c r="K35" s="205"/>
      <c r="L35" s="205"/>
      <c r="M35" s="537"/>
      <c r="N35" s="299"/>
      <c r="O35" s="207"/>
      <c r="P35" s="207"/>
      <c r="Q35" s="207"/>
      <c r="R35" s="207"/>
      <c r="S35" s="579"/>
      <c r="T35" s="587">
        <f t="shared" si="0"/>
        <v>0</v>
      </c>
      <c r="U35" s="219">
        <f>O35+Q35</f>
        <v>0</v>
      </c>
      <c r="V35" s="588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35530.869999999995</v>
      </c>
    </row>
    <row r="36" spans="2:47" ht="14.25">
      <c r="B36" s="598">
        <v>44130</v>
      </c>
      <c r="C36" s="592"/>
      <c r="D36" s="733">
        <f t="shared" si="6"/>
        <v>35530.869999999995</v>
      </c>
      <c r="E36" s="737"/>
      <c r="F36" s="596"/>
      <c r="G36" s="537"/>
      <c r="H36" s="574"/>
      <c r="I36" s="220"/>
      <c r="J36" s="206"/>
      <c r="K36" s="205"/>
      <c r="L36" s="205"/>
      <c r="M36" s="537"/>
      <c r="N36" s="299"/>
      <c r="O36" s="207"/>
      <c r="P36" s="207"/>
      <c r="Q36" s="207"/>
      <c r="R36" s="207"/>
      <c r="S36" s="579"/>
      <c r="T36" s="587">
        <f t="shared" si="0"/>
        <v>0</v>
      </c>
      <c r="U36" s="219">
        <f t="shared" si="1"/>
        <v>0</v>
      </c>
      <c r="V36" s="588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35530.869999999995</v>
      </c>
    </row>
    <row r="37" spans="2:47" ht="14.25">
      <c r="B37" s="598">
        <v>44131</v>
      </c>
      <c r="C37" s="592"/>
      <c r="D37" s="733">
        <f t="shared" si="6"/>
        <v>35530.869999999995</v>
      </c>
      <c r="E37" s="737"/>
      <c r="F37" s="596"/>
      <c r="G37" s="537"/>
      <c r="H37" s="574"/>
      <c r="I37" s="220"/>
      <c r="J37" s="206"/>
      <c r="K37" s="205"/>
      <c r="L37" s="205"/>
      <c r="M37" s="537"/>
      <c r="N37" s="299"/>
      <c r="O37" s="207"/>
      <c r="P37" s="207"/>
      <c r="Q37" s="207"/>
      <c r="R37" s="207"/>
      <c r="S37" s="579"/>
      <c r="T37" s="587">
        <f t="shared" si="0"/>
        <v>0</v>
      </c>
      <c r="U37" s="219">
        <f t="shared" si="1"/>
        <v>0</v>
      </c>
      <c r="V37" s="588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35530.869999999995</v>
      </c>
    </row>
    <row r="38" spans="2:47" ht="14.25">
      <c r="B38" s="598">
        <v>44132</v>
      </c>
      <c r="C38" s="592"/>
      <c r="D38" s="733">
        <f t="shared" si="6"/>
        <v>35530.869999999995</v>
      </c>
      <c r="E38" s="737"/>
      <c r="F38" s="596"/>
      <c r="G38" s="537"/>
      <c r="H38" s="574"/>
      <c r="I38" s="220"/>
      <c r="J38" s="206"/>
      <c r="K38" s="205"/>
      <c r="L38" s="205"/>
      <c r="M38" s="537"/>
      <c r="N38" s="299"/>
      <c r="O38" s="207"/>
      <c r="P38" s="207"/>
      <c r="Q38" s="207"/>
      <c r="R38" s="207"/>
      <c r="S38" s="579"/>
      <c r="T38" s="587">
        <f t="shared" si="0"/>
        <v>0</v>
      </c>
      <c r="U38" s="219">
        <f t="shared" si="1"/>
        <v>0</v>
      </c>
      <c r="V38" s="588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35530.869999999995</v>
      </c>
    </row>
    <row r="39" spans="2:47" ht="14.25">
      <c r="B39" s="598">
        <v>44133</v>
      </c>
      <c r="C39" s="592"/>
      <c r="D39" s="733">
        <f t="shared" si="6"/>
        <v>35530.869999999995</v>
      </c>
      <c r="E39" s="737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35530.869999999995</v>
      </c>
    </row>
    <row r="40" spans="2:47" ht="14.25">
      <c r="B40" s="598">
        <v>44134</v>
      </c>
      <c r="C40" s="592"/>
      <c r="D40" s="733">
        <f t="shared" si="6"/>
        <v>35530.869999999995</v>
      </c>
      <c r="E40" s="737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35530.869999999995</v>
      </c>
    </row>
    <row r="41" spans="2:47" ht="14.25">
      <c r="B41" s="598">
        <v>44135</v>
      </c>
      <c r="C41" s="592"/>
      <c r="D41" s="733">
        <f t="shared" si="6"/>
        <v>35530.869999999995</v>
      </c>
      <c r="E41" s="737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35530.869999999995</v>
      </c>
    </row>
    <row r="42" spans="2:47" ht="14.25">
      <c r="B42" s="598">
        <v>44136</v>
      </c>
      <c r="C42" s="593"/>
      <c r="D42" s="733">
        <f t="shared" si="6"/>
        <v>35530.869999999995</v>
      </c>
      <c r="E42" s="739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35530.869999999995</v>
      </c>
    </row>
    <row r="43" spans="2:47" ht="14.25">
      <c r="B43" s="507" t="s">
        <v>25</v>
      </c>
      <c r="C43" s="479">
        <f>AVERAGE(C11:C42)</f>
        <v>5.4005555555555564E-2</v>
      </c>
      <c r="D43" s="732">
        <f t="shared" si="6"/>
        <v>35530.869999999995</v>
      </c>
      <c r="E43" s="739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35530.869999999995</v>
      </c>
    </row>
    <row r="44" spans="2:47" ht="15" thickBot="1">
      <c r="B44" s="508"/>
      <c r="C44" s="509"/>
      <c r="D44" s="734"/>
      <c r="E44" s="740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15000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3956.2699999999995</v>
      </c>
      <c r="I45" s="310">
        <f t="shared" si="8"/>
        <v>1107.42</v>
      </c>
      <c r="J45" s="315">
        <f t="shared" si="8"/>
        <v>0</v>
      </c>
      <c r="K45" s="310">
        <f t="shared" si="8"/>
        <v>3691.96</v>
      </c>
      <c r="L45" s="315">
        <f t="shared" si="8"/>
        <v>4056.37</v>
      </c>
      <c r="M45" s="310">
        <f t="shared" si="8"/>
        <v>3911.7999999999997</v>
      </c>
      <c r="N45" s="315">
        <f t="shared" si="8"/>
        <v>9425</v>
      </c>
      <c r="O45" s="567">
        <f t="shared" si="8"/>
        <v>1367</v>
      </c>
      <c r="P45" s="315">
        <f t="shared" si="8"/>
        <v>0</v>
      </c>
      <c r="Q45" s="310">
        <f>SUM(Q11:Q43)</f>
        <v>9969</v>
      </c>
      <c r="R45" s="315">
        <f>SUM(R11:R44)</f>
        <v>9427</v>
      </c>
      <c r="S45" s="310">
        <f>SUM(S11:S44)</f>
        <v>9365</v>
      </c>
      <c r="T45" s="564">
        <f t="shared" si="0"/>
        <v>16723.82</v>
      </c>
      <c r="U45" s="310">
        <f>SUM(N45:S45)</f>
        <v>39553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89.65</v>
      </c>
      <c r="Y45" s="559">
        <f t="shared" si="9"/>
        <v>81.490000000000009</v>
      </c>
      <c r="Z45" s="235">
        <f t="shared" si="9"/>
        <v>71.09</v>
      </c>
      <c r="AA45" s="559">
        <f t="shared" si="9"/>
        <v>161.61000000000001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0</v>
      </c>
      <c r="AF45" s="235">
        <f>SUM(AF9:AF44)</f>
        <v>0</v>
      </c>
      <c r="AG45" s="559">
        <f>SUM(AG9:AG44)</f>
        <v>0</v>
      </c>
      <c r="AH45" s="235">
        <f>SUM(AH9:AH44)</f>
        <v>0</v>
      </c>
      <c r="AI45" s="559">
        <f>SUM(AI9:AI43)</f>
        <v>325</v>
      </c>
      <c r="AJ45" s="235">
        <f>SUM(AJ9:AJ39)</f>
        <v>20</v>
      </c>
      <c r="AK45" s="559">
        <f>SUM(AK9:AK44)</f>
        <v>748.84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17472.66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982.91624999999988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38715643.299999997</v>
      </c>
      <c r="V47" s="320" t="s">
        <v>244</v>
      </c>
      <c r="AS47" s="534">
        <f>AS45*2143</f>
        <v>37443910.380000003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16913.780384447356</v>
      </c>
      <c r="V48" s="320" t="s">
        <v>245</v>
      </c>
      <c r="X48" s="192"/>
      <c r="Y48" s="192"/>
      <c r="Z48" s="192"/>
      <c r="AA48" s="192"/>
      <c r="AB48" s="192"/>
      <c r="AS48" s="319">
        <f>AS47/2289</f>
        <v>16358.195884665794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82" t="s">
        <v>241</v>
      </c>
      <c r="D50" s="883"/>
      <c r="E50" s="883"/>
      <c r="F50" s="883"/>
      <c r="G50" s="884"/>
      <c r="H50" s="538"/>
      <c r="I50" s="885" t="s">
        <v>213</v>
      </c>
      <c r="J50" s="886"/>
      <c r="K50" s="886"/>
      <c r="L50" s="886"/>
      <c r="M50" s="887"/>
      <c r="N50" s="538"/>
      <c r="O50" s="900" t="s">
        <v>309</v>
      </c>
      <c r="P50" s="901"/>
      <c r="Q50" s="901"/>
      <c r="R50" s="901"/>
      <c r="S50" s="902"/>
      <c r="U50" s="903" t="s">
        <v>226</v>
      </c>
      <c r="V50" s="904"/>
      <c r="W50" s="904"/>
      <c r="X50" s="904"/>
      <c r="Y50" s="904"/>
      <c r="Z50" s="905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44112</v>
      </c>
      <c r="D52" s="510"/>
      <c r="E52" s="512">
        <v>91</v>
      </c>
      <c r="F52" s="511"/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510">
        <v>44117</v>
      </c>
      <c r="D53" s="510" t="s">
        <v>325</v>
      </c>
      <c r="E53" s="512">
        <v>71</v>
      </c>
      <c r="F53" s="511" t="s">
        <v>326</v>
      </c>
      <c r="G53" s="539" t="s">
        <v>323</v>
      </c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/>
      <c r="D54" s="304"/>
      <c r="E54" s="389"/>
      <c r="F54" s="304"/>
      <c r="G54" s="539"/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/>
      <c r="D55" s="304"/>
      <c r="E55" s="389"/>
      <c r="F55" s="304"/>
      <c r="G55" s="539"/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/>
      <c r="D56" s="304"/>
      <c r="E56" s="389"/>
      <c r="F56" s="304"/>
      <c r="G56" s="539"/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7" zoomScale="70" zoomScaleNormal="70" workbookViewId="0">
      <selection activeCell="C27" sqref="C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8"/>
      <c r="D6" s="909"/>
      <c r="E6" s="910"/>
      <c r="F6" s="910"/>
      <c r="G6" s="49" t="s">
        <v>4</v>
      </c>
      <c r="H6" s="47" t="s">
        <v>14</v>
      </c>
      <c r="I6" s="42"/>
      <c r="J6" s="114"/>
    </row>
    <row r="7" spans="1:15" ht="18" customHeight="1">
      <c r="A7" s="911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2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>
        <v>72690.710000000006</v>
      </c>
      <c r="G23" s="269">
        <f t="shared" si="0"/>
        <v>64.504000000015367</v>
      </c>
      <c r="H23" s="112">
        <f>Gen!C24</f>
        <v>1.2999999999999999E-2</v>
      </c>
      <c r="I23" s="6">
        <f t="shared" si="2"/>
        <v>5591593.0769230779</v>
      </c>
      <c r="J23" s="117">
        <f t="shared" si="1"/>
        <v>1.1535889524262449E-5</v>
      </c>
    </row>
    <row r="24" spans="1:14" ht="18.75">
      <c r="A24" s="95">
        <f>Gen!B25</f>
        <v>44119</v>
      </c>
      <c r="B24" s="269">
        <v>68</v>
      </c>
      <c r="C24" s="269">
        <v>85</v>
      </c>
      <c r="D24" s="269">
        <v>85</v>
      </c>
      <c r="E24" s="269"/>
      <c r="F24" s="269">
        <v>72707.33</v>
      </c>
      <c r="G24" s="269">
        <f t="shared" si="0"/>
        <v>73.127999999979522</v>
      </c>
      <c r="H24" s="112">
        <f>Gen!C25</f>
        <v>5.1900000000000002E-2</v>
      </c>
      <c r="I24" s="6">
        <f t="shared" si="2"/>
        <v>1400911.9460500963</v>
      </c>
      <c r="J24" s="117">
        <f t="shared" si="1"/>
        <v>5.2200282970079323E-5</v>
      </c>
    </row>
    <row r="25" spans="1:14" ht="18.75">
      <c r="A25" s="95">
        <f>Gen!B26</f>
        <v>44120</v>
      </c>
      <c r="B25" s="269">
        <v>67</v>
      </c>
      <c r="C25" s="269">
        <v>85</v>
      </c>
      <c r="D25" s="269">
        <v>85</v>
      </c>
      <c r="E25" s="269"/>
      <c r="F25" s="269">
        <v>72725.350000000006</v>
      </c>
      <c r="G25" s="269">
        <f t="shared" si="0"/>
        <v>79.288000000017931</v>
      </c>
      <c r="H25" s="112">
        <f>Gen!C26</f>
        <v>0.1169</v>
      </c>
      <c r="I25" s="6">
        <f t="shared" si="2"/>
        <v>622115.91103507276</v>
      </c>
      <c r="J25" s="117">
        <f t="shared" si="1"/>
        <v>1.2744891843080981E-4</v>
      </c>
    </row>
    <row r="26" spans="1:14" ht="18.75">
      <c r="A26" s="95">
        <f>Gen!B27</f>
        <v>44121</v>
      </c>
      <c r="B26" s="269">
        <v>65</v>
      </c>
      <c r="C26" s="269">
        <v>85</v>
      </c>
      <c r="D26" s="269">
        <v>85</v>
      </c>
      <c r="E26" s="269"/>
      <c r="F26" s="269">
        <v>72746.820000000007</v>
      </c>
      <c r="G26" s="269">
        <f t="shared" si="0"/>
        <v>94.468000000005134</v>
      </c>
      <c r="H26" s="112">
        <f>Gen!C27</f>
        <v>0.15790000000000001</v>
      </c>
      <c r="I26" s="6">
        <f t="shared" si="2"/>
        <v>460714.50284990499</v>
      </c>
      <c r="J26" s="117">
        <f t="shared" si="1"/>
        <v>2.050467250664814E-4</v>
      </c>
    </row>
    <row r="27" spans="1:14" ht="18.75">
      <c r="A27" s="95">
        <f>Gen!B28</f>
        <v>44122</v>
      </c>
      <c r="B27" s="269">
        <v>63</v>
      </c>
      <c r="C27" s="269">
        <v>85</v>
      </c>
      <c r="D27" s="269">
        <v>85</v>
      </c>
      <c r="E27" s="269"/>
      <c r="F27" s="269"/>
      <c r="G27" s="269">
        <f t="shared" si="0"/>
        <v>-320086.00800000003</v>
      </c>
      <c r="H27" s="112">
        <f>Gen!C28</f>
        <v>0.15790000000000001</v>
      </c>
      <c r="I27" s="6">
        <f t="shared" si="2"/>
        <v>0</v>
      </c>
      <c r="J27" s="117" t="e">
        <f t="shared" si="1"/>
        <v>#DIV/0!</v>
      </c>
    </row>
    <row r="28" spans="1:14" ht="18.75">
      <c r="A28" s="95">
        <f>Gen!B29</f>
        <v>44123</v>
      </c>
      <c r="B28" s="269"/>
      <c r="C28" s="269"/>
      <c r="D28" s="269"/>
      <c r="E28" s="269"/>
      <c r="F28" s="269"/>
      <c r="G28" s="269">
        <f t="shared" si="0"/>
        <v>0</v>
      </c>
      <c r="H28" s="112">
        <f>Gen!C29</f>
        <v>0</v>
      </c>
      <c r="I28" s="6" t="e">
        <f t="shared" si="2"/>
        <v>#DIV/0!</v>
      </c>
      <c r="J28" s="117" t="e">
        <f t="shared" si="1"/>
        <v>#DIV/0!</v>
      </c>
    </row>
    <row r="29" spans="1:14" ht="18.75">
      <c r="A29" s="95">
        <f>Gen!B30</f>
        <v>44124</v>
      </c>
      <c r="B29" s="269"/>
      <c r="C29" s="269"/>
      <c r="D29" s="269"/>
      <c r="E29" s="269"/>
      <c r="F29" s="269"/>
      <c r="G29" s="269">
        <f t="shared" si="0"/>
        <v>0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44125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44126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44127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44128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44129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44130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44131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44132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7" t="s">
        <v>6</v>
      </c>
      <c r="D42" s="907"/>
      <c r="E42" s="2">
        <f t="shared" ref="E42:F42" si="4">SUM(E10:E40)</f>
        <v>0</v>
      </c>
      <c r="F42" s="2">
        <f t="shared" si="4"/>
        <v>1234514.8600000001</v>
      </c>
      <c r="G42" s="102">
        <f>SUM(G10:G40)</f>
        <v>-318961.5</v>
      </c>
      <c r="H42" s="7"/>
      <c r="I42" s="6"/>
      <c r="J42" s="117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3" zoomScale="94" zoomScaleNormal="94" workbookViewId="0">
      <pane xSplit="1" topLeftCell="B1" activePane="topRight" state="frozen"/>
      <selection pane="topRight" activeCell="I64" sqref="I6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7" t="s">
        <v>316</v>
      </c>
      <c r="B1" s="918"/>
      <c r="C1" s="918"/>
      <c r="D1" s="918"/>
      <c r="E1" s="918"/>
      <c r="F1" s="918"/>
      <c r="G1" s="918"/>
      <c r="H1" s="918"/>
      <c r="I1" s="918"/>
      <c r="J1" s="918"/>
      <c r="K1" s="918"/>
      <c r="L1" s="918"/>
      <c r="M1" s="918"/>
      <c r="N1" s="918"/>
      <c r="O1" s="918"/>
      <c r="P1" s="918"/>
      <c r="Q1" s="918"/>
      <c r="R1" s="918"/>
      <c r="S1" s="918"/>
      <c r="T1" s="918"/>
      <c r="U1" s="918"/>
      <c r="V1" s="918"/>
      <c r="W1" s="918"/>
      <c r="X1" s="918"/>
      <c r="Y1" s="918"/>
      <c r="Z1" s="918"/>
      <c r="AA1" s="918"/>
      <c r="AB1" s="918"/>
      <c r="AC1" s="918"/>
      <c r="AD1" s="918"/>
      <c r="AE1" s="918"/>
      <c r="AF1" s="918"/>
      <c r="AG1" s="918"/>
      <c r="AH1" s="918"/>
      <c r="AI1" s="918"/>
      <c r="AJ1" s="918"/>
      <c r="AK1" s="918"/>
      <c r="AL1" s="918"/>
      <c r="AM1" s="918"/>
      <c r="AN1" s="918"/>
    </row>
    <row r="2" spans="1:40" ht="13.5" customHeight="1" thickTop="1">
      <c r="A2" s="30"/>
      <c r="B2" s="30"/>
      <c r="C2" s="914" t="s">
        <v>52</v>
      </c>
      <c r="D2" s="914"/>
      <c r="E2" s="914"/>
      <c r="F2" s="914" t="s">
        <v>17</v>
      </c>
      <c r="G2" s="914"/>
      <c r="H2" s="914"/>
      <c r="I2" s="914" t="s">
        <v>131</v>
      </c>
      <c r="J2" s="914"/>
      <c r="K2" s="914"/>
      <c r="L2" s="914" t="s">
        <v>134</v>
      </c>
      <c r="M2" s="914"/>
      <c r="N2" s="914"/>
      <c r="O2" s="914" t="s">
        <v>132</v>
      </c>
      <c r="P2" s="914"/>
      <c r="Q2" s="914"/>
      <c r="R2" s="253"/>
      <c r="S2" s="925" t="s">
        <v>181</v>
      </c>
      <c r="T2" s="926"/>
      <c r="U2" s="927"/>
      <c r="V2" s="925" t="s">
        <v>182</v>
      </c>
      <c r="W2" s="926"/>
      <c r="X2" s="927"/>
      <c r="Y2" s="925" t="s">
        <v>183</v>
      </c>
      <c r="Z2" s="926"/>
      <c r="AA2" s="927"/>
      <c r="AB2" s="925" t="s">
        <v>184</v>
      </c>
      <c r="AC2" s="926"/>
      <c r="AD2" s="927"/>
      <c r="AE2" s="919" t="s">
        <v>239</v>
      </c>
      <c r="AF2" s="920"/>
      <c r="AG2" s="931"/>
      <c r="AH2" s="919" t="s">
        <v>243</v>
      </c>
      <c r="AI2" s="920"/>
      <c r="AJ2" s="931"/>
      <c r="AK2" s="919" t="s">
        <v>240</v>
      </c>
      <c r="AL2" s="920"/>
      <c r="AM2" s="920"/>
      <c r="AN2" s="923" t="s">
        <v>189</v>
      </c>
    </row>
    <row r="3" spans="1:40" ht="21.75" customHeight="1" thickBot="1">
      <c r="A3" s="915" t="s">
        <v>7</v>
      </c>
      <c r="B3" s="30"/>
      <c r="C3" s="914" t="s">
        <v>133</v>
      </c>
      <c r="D3" s="914" t="s">
        <v>15</v>
      </c>
      <c r="E3" s="914" t="s">
        <v>16</v>
      </c>
      <c r="F3" s="914" t="s">
        <v>133</v>
      </c>
      <c r="G3" s="914" t="s">
        <v>15</v>
      </c>
      <c r="H3" s="914" t="s">
        <v>16</v>
      </c>
      <c r="I3" s="914" t="s">
        <v>133</v>
      </c>
      <c r="J3" s="914" t="s">
        <v>15</v>
      </c>
      <c r="K3" s="914" t="s">
        <v>16</v>
      </c>
      <c r="L3" s="914" t="s">
        <v>133</v>
      </c>
      <c r="M3" s="914" t="s">
        <v>15</v>
      </c>
      <c r="N3" s="914" t="s">
        <v>16</v>
      </c>
      <c r="O3" s="914" t="s">
        <v>133</v>
      </c>
      <c r="P3" s="914" t="s">
        <v>15</v>
      </c>
      <c r="Q3" s="914" t="s">
        <v>16</v>
      </c>
      <c r="R3" s="933" t="s">
        <v>185</v>
      </c>
      <c r="S3" s="928"/>
      <c r="T3" s="929"/>
      <c r="U3" s="930"/>
      <c r="V3" s="928"/>
      <c r="W3" s="929"/>
      <c r="X3" s="930"/>
      <c r="Y3" s="928"/>
      <c r="Z3" s="929"/>
      <c r="AA3" s="930"/>
      <c r="AB3" s="928"/>
      <c r="AC3" s="929"/>
      <c r="AD3" s="930"/>
      <c r="AE3" s="921"/>
      <c r="AF3" s="922"/>
      <c r="AG3" s="932"/>
      <c r="AH3" s="921"/>
      <c r="AI3" s="922"/>
      <c r="AJ3" s="932"/>
      <c r="AK3" s="921"/>
      <c r="AL3" s="922"/>
      <c r="AM3" s="922"/>
      <c r="AN3" s="924"/>
    </row>
    <row r="4" spans="1:40" ht="15.75" thickTop="1">
      <c r="A4" s="916"/>
      <c r="B4" s="245"/>
      <c r="C4" s="914"/>
      <c r="D4" s="914"/>
      <c r="E4" s="914"/>
      <c r="F4" s="914"/>
      <c r="G4" s="914"/>
      <c r="H4" s="914"/>
      <c r="I4" s="914"/>
      <c r="J4" s="914"/>
      <c r="K4" s="914"/>
      <c r="L4" s="914"/>
      <c r="M4" s="914"/>
      <c r="N4" s="914"/>
      <c r="O4" s="914"/>
      <c r="P4" s="914"/>
      <c r="Q4" s="914"/>
      <c r="R4" s="933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634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12854</v>
      </c>
      <c r="N15" s="484">
        <f t="shared" si="14"/>
        <v>89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634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12854</v>
      </c>
      <c r="M16" s="1">
        <v>12885</v>
      </c>
      <c r="N16" s="484">
        <f t="shared" si="14"/>
        <v>31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634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12885</v>
      </c>
      <c r="M17" s="1">
        <v>12896</v>
      </c>
      <c r="N17" s="484">
        <f t="shared" si="14"/>
        <v>11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634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12896</v>
      </c>
      <c r="M18" s="1">
        <v>12907</v>
      </c>
      <c r="N18" s="484">
        <f t="shared" si="14"/>
        <v>11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634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>
        <v>242277</v>
      </c>
      <c r="E19" s="484">
        <f t="shared" si="28"/>
        <v>43</v>
      </c>
      <c r="F19" s="96">
        <f t="shared" si="2"/>
        <v>38000</v>
      </c>
      <c r="G19" s="394">
        <v>38000</v>
      </c>
      <c r="H19" s="484">
        <f t="shared" si="13"/>
        <v>0</v>
      </c>
      <c r="I19" s="96">
        <f t="shared" si="3"/>
        <v>8066</v>
      </c>
      <c r="J19" s="1">
        <v>8066</v>
      </c>
      <c r="K19" s="484">
        <f t="shared" si="26"/>
        <v>0</v>
      </c>
      <c r="L19" s="96">
        <f t="shared" si="5"/>
        <v>12907</v>
      </c>
      <c r="M19" s="1">
        <v>12907</v>
      </c>
      <c r="N19" s="484">
        <f t="shared" si="14"/>
        <v>0</v>
      </c>
      <c r="O19" s="96">
        <f t="shared" si="6"/>
        <v>20346</v>
      </c>
      <c r="P19" s="390">
        <v>20348</v>
      </c>
      <c r="Q19" s="484">
        <f t="shared" si="7"/>
        <v>2</v>
      </c>
      <c r="R19" s="251"/>
      <c r="S19" s="246">
        <f t="shared" si="15"/>
        <v>60156</v>
      </c>
      <c r="T19" s="391">
        <v>60203</v>
      </c>
      <c r="U19" s="485">
        <f t="shared" si="16"/>
        <v>47</v>
      </c>
      <c r="V19" s="246">
        <f t="shared" si="8"/>
        <v>73030</v>
      </c>
      <c r="W19" s="391">
        <v>73030</v>
      </c>
      <c r="X19" s="485">
        <f t="shared" si="17"/>
        <v>0</v>
      </c>
      <c r="Y19" s="246">
        <f t="shared" si="9"/>
        <v>84540</v>
      </c>
      <c r="Z19" s="391">
        <v>84577</v>
      </c>
      <c r="AA19" s="485">
        <f t="shared" si="18"/>
        <v>37</v>
      </c>
      <c r="AB19" s="630">
        <f t="shared" si="22"/>
        <v>15907</v>
      </c>
      <c r="AC19" s="634">
        <v>15927</v>
      </c>
      <c r="AD19" s="633">
        <f t="shared" si="23"/>
        <v>20</v>
      </c>
      <c r="AE19" s="246">
        <f t="shared" si="27"/>
        <v>18300</v>
      </c>
      <c r="AF19" s="392">
        <v>18300</v>
      </c>
      <c r="AG19" s="485">
        <f t="shared" si="19"/>
        <v>0</v>
      </c>
      <c r="AH19" s="246">
        <f>AI18</f>
        <v>26226</v>
      </c>
      <c r="AI19" s="392">
        <v>26246</v>
      </c>
      <c r="AJ19" s="485">
        <f t="shared" si="20"/>
        <v>20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124</v>
      </c>
    </row>
    <row r="20" spans="1:40" ht="23.1" customHeight="1">
      <c r="A20" s="58">
        <f>Gen!B25</f>
        <v>44119</v>
      </c>
      <c r="B20" s="4"/>
      <c r="C20" s="96">
        <f t="shared" si="0"/>
        <v>242277</v>
      </c>
      <c r="D20" s="1">
        <v>242325</v>
      </c>
      <c r="E20" s="484">
        <f t="shared" si="28"/>
        <v>48</v>
      </c>
      <c r="F20" s="96">
        <f t="shared" si="2"/>
        <v>38000</v>
      </c>
      <c r="G20" s="394">
        <v>38000</v>
      </c>
      <c r="H20" s="484">
        <f t="shared" si="13"/>
        <v>0</v>
      </c>
      <c r="I20" s="96">
        <f t="shared" si="3"/>
        <v>8066</v>
      </c>
      <c r="J20" s="1">
        <v>8067</v>
      </c>
      <c r="K20" s="484">
        <f t="shared" si="26"/>
        <v>1</v>
      </c>
      <c r="L20" s="96">
        <f t="shared" si="5"/>
        <v>12907</v>
      </c>
      <c r="M20" s="1">
        <v>12907</v>
      </c>
      <c r="N20" s="484">
        <f t="shared" si="14"/>
        <v>0</v>
      </c>
      <c r="O20" s="96">
        <f t="shared" si="6"/>
        <v>20348</v>
      </c>
      <c r="P20" s="390">
        <v>20350</v>
      </c>
      <c r="Q20" s="484">
        <f t="shared" si="7"/>
        <v>2</v>
      </c>
      <c r="R20" s="251"/>
      <c r="S20" s="246">
        <f t="shared" si="15"/>
        <v>60203</v>
      </c>
      <c r="T20" s="391">
        <v>60234</v>
      </c>
      <c r="U20" s="485">
        <f t="shared" si="16"/>
        <v>31</v>
      </c>
      <c r="V20" s="246">
        <f t="shared" si="8"/>
        <v>73030</v>
      </c>
      <c r="W20" s="391">
        <v>73030</v>
      </c>
      <c r="X20" s="485">
        <f t="shared" si="17"/>
        <v>0</v>
      </c>
      <c r="Y20" s="246">
        <f t="shared" si="9"/>
        <v>84577</v>
      </c>
      <c r="Z20" s="391">
        <v>84613</v>
      </c>
      <c r="AA20" s="485">
        <f t="shared" si="18"/>
        <v>36</v>
      </c>
      <c r="AB20" s="630">
        <f t="shared" si="22"/>
        <v>15927</v>
      </c>
      <c r="AC20" s="634">
        <v>15946</v>
      </c>
      <c r="AD20" s="633">
        <f t="shared" si="23"/>
        <v>19</v>
      </c>
      <c r="AE20" s="246">
        <f t="shared" si="27"/>
        <v>18300</v>
      </c>
      <c r="AF20" s="392">
        <v>18300</v>
      </c>
      <c r="AG20" s="485">
        <f t="shared" si="19"/>
        <v>0</v>
      </c>
      <c r="AH20" s="246">
        <f t="shared" si="11"/>
        <v>26246</v>
      </c>
      <c r="AI20" s="392">
        <v>26268</v>
      </c>
      <c r="AJ20" s="485">
        <f t="shared" si="20"/>
        <v>22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108</v>
      </c>
    </row>
    <row r="21" spans="1:40" ht="23.1" customHeight="1">
      <c r="A21" s="58">
        <f>Gen!B26</f>
        <v>44120</v>
      </c>
      <c r="B21" s="4"/>
      <c r="C21" s="96">
        <f t="shared" si="0"/>
        <v>242325</v>
      </c>
      <c r="D21" s="1">
        <v>242381</v>
      </c>
      <c r="E21" s="484">
        <f t="shared" si="28"/>
        <v>56</v>
      </c>
      <c r="F21" s="96">
        <f t="shared" si="2"/>
        <v>38000</v>
      </c>
      <c r="G21" s="394">
        <v>38000</v>
      </c>
      <c r="H21" s="484">
        <f t="shared" si="13"/>
        <v>0</v>
      </c>
      <c r="I21" s="96">
        <f t="shared" si="3"/>
        <v>8067</v>
      </c>
      <c r="J21" s="1">
        <v>8068</v>
      </c>
      <c r="K21" s="484">
        <f t="shared" si="26"/>
        <v>1</v>
      </c>
      <c r="L21" s="96">
        <f t="shared" si="5"/>
        <v>12907</v>
      </c>
      <c r="M21" s="1">
        <v>12907</v>
      </c>
      <c r="N21" s="484">
        <f t="shared" si="14"/>
        <v>0</v>
      </c>
      <c r="O21" s="96">
        <f t="shared" si="6"/>
        <v>20350</v>
      </c>
      <c r="P21" s="390">
        <v>20353</v>
      </c>
      <c r="Q21" s="484">
        <f t="shared" si="7"/>
        <v>3</v>
      </c>
      <c r="R21" s="251"/>
      <c r="S21" s="246">
        <f t="shared" si="15"/>
        <v>60234</v>
      </c>
      <c r="T21" s="391">
        <v>60264</v>
      </c>
      <c r="U21" s="485">
        <f t="shared" si="16"/>
        <v>30</v>
      </c>
      <c r="V21" s="246">
        <f t="shared" ref="V21:V37" si="30">W20</f>
        <v>73030</v>
      </c>
      <c r="W21" s="391">
        <v>73030</v>
      </c>
      <c r="X21" s="485">
        <f t="shared" si="17"/>
        <v>0</v>
      </c>
      <c r="Y21" s="246">
        <f t="shared" si="9"/>
        <v>84613</v>
      </c>
      <c r="Z21" s="391">
        <v>84648</v>
      </c>
      <c r="AA21" s="485">
        <f t="shared" si="18"/>
        <v>35</v>
      </c>
      <c r="AB21" s="630">
        <f t="shared" si="22"/>
        <v>15946</v>
      </c>
      <c r="AC21" s="634">
        <v>15964</v>
      </c>
      <c r="AD21" s="633">
        <f t="shared" si="23"/>
        <v>18</v>
      </c>
      <c r="AE21" s="246">
        <f t="shared" si="10"/>
        <v>18300</v>
      </c>
      <c r="AF21" s="392">
        <v>18300</v>
      </c>
      <c r="AG21" s="485">
        <f t="shared" si="19"/>
        <v>0</v>
      </c>
      <c r="AH21" s="246">
        <f t="shared" si="11"/>
        <v>26268</v>
      </c>
      <c r="AI21" s="392">
        <v>26291</v>
      </c>
      <c r="AJ21" s="485">
        <f t="shared" si="20"/>
        <v>23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106</v>
      </c>
    </row>
    <row r="22" spans="1:40" ht="23.1" customHeight="1">
      <c r="A22" s="58">
        <f>Gen!B27</f>
        <v>44121</v>
      </c>
      <c r="B22" s="4"/>
      <c r="C22" s="96">
        <f t="shared" si="0"/>
        <v>242381</v>
      </c>
      <c r="D22" s="1">
        <v>242452</v>
      </c>
      <c r="E22" s="484">
        <f t="shared" si="28"/>
        <v>71</v>
      </c>
      <c r="F22" s="96">
        <f t="shared" si="2"/>
        <v>38000</v>
      </c>
      <c r="G22" s="394">
        <v>38000</v>
      </c>
      <c r="H22" s="484">
        <f t="shared" si="13"/>
        <v>0</v>
      </c>
      <c r="I22" s="96">
        <f t="shared" si="3"/>
        <v>8068</v>
      </c>
      <c r="J22" s="1">
        <v>8068</v>
      </c>
      <c r="K22" s="484">
        <f t="shared" si="26"/>
        <v>0</v>
      </c>
      <c r="L22" s="96">
        <f t="shared" si="5"/>
        <v>12907</v>
      </c>
      <c r="M22" s="1">
        <v>12907</v>
      </c>
      <c r="N22" s="484">
        <f t="shared" si="14"/>
        <v>0</v>
      </c>
      <c r="O22" s="96">
        <f t="shared" si="6"/>
        <v>20353</v>
      </c>
      <c r="P22" s="390">
        <v>20357</v>
      </c>
      <c r="Q22" s="484">
        <f t="shared" si="7"/>
        <v>4</v>
      </c>
      <c r="R22" s="251"/>
      <c r="S22" s="246">
        <f t="shared" si="15"/>
        <v>60264</v>
      </c>
      <c r="T22" s="391">
        <v>60264</v>
      </c>
      <c r="U22" s="485">
        <f t="shared" si="16"/>
        <v>0</v>
      </c>
      <c r="V22" s="246">
        <f t="shared" si="30"/>
        <v>73030</v>
      </c>
      <c r="W22" s="391">
        <v>73031</v>
      </c>
      <c r="X22" s="485">
        <f t="shared" si="17"/>
        <v>1</v>
      </c>
      <c r="Y22" s="246">
        <f t="shared" si="9"/>
        <v>84648</v>
      </c>
      <c r="Z22" s="391">
        <v>84683</v>
      </c>
      <c r="AA22" s="485">
        <f t="shared" si="18"/>
        <v>35</v>
      </c>
      <c r="AB22" s="630">
        <f t="shared" si="22"/>
        <v>15964</v>
      </c>
      <c r="AC22" s="634">
        <v>15982</v>
      </c>
      <c r="AD22" s="633">
        <f t="shared" si="23"/>
        <v>18</v>
      </c>
      <c r="AE22" s="246">
        <f t="shared" si="10"/>
        <v>18300</v>
      </c>
      <c r="AF22" s="392">
        <v>18300</v>
      </c>
      <c r="AG22" s="485">
        <f t="shared" si="19"/>
        <v>0</v>
      </c>
      <c r="AH22" s="246">
        <f t="shared" si="11"/>
        <v>26291</v>
      </c>
      <c r="AI22" s="392">
        <v>26314</v>
      </c>
      <c r="AJ22" s="485">
        <f t="shared" si="20"/>
        <v>23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77</v>
      </c>
    </row>
    <row r="23" spans="1:40" ht="23.1" customHeight="1">
      <c r="A23" s="58">
        <f>Gen!B28</f>
        <v>44122</v>
      </c>
      <c r="B23" s="4"/>
      <c r="C23" s="96">
        <f t="shared" si="0"/>
        <v>242452</v>
      </c>
      <c r="D23" s="1"/>
      <c r="E23" s="484" t="str">
        <f t="shared" si="28"/>
        <v>0</v>
      </c>
      <c r="F23" s="96">
        <f t="shared" si="2"/>
        <v>38000</v>
      </c>
      <c r="G23" s="394"/>
      <c r="H23" s="484" t="str">
        <f t="shared" si="13"/>
        <v>0</v>
      </c>
      <c r="I23" s="96">
        <f t="shared" si="3"/>
        <v>8068</v>
      </c>
      <c r="J23" s="1"/>
      <c r="K23" s="484" t="str">
        <f t="shared" si="26"/>
        <v>0</v>
      </c>
      <c r="L23" s="96">
        <f t="shared" si="5"/>
        <v>12907</v>
      </c>
      <c r="M23" s="1"/>
      <c r="N23" s="484" t="str">
        <f t="shared" si="14"/>
        <v>0</v>
      </c>
      <c r="O23" s="96">
        <f t="shared" si="6"/>
        <v>20357</v>
      </c>
      <c r="P23" s="390"/>
      <c r="Q23" s="484" t="str">
        <f t="shared" si="7"/>
        <v>0</v>
      </c>
      <c r="R23" s="251"/>
      <c r="S23" s="246">
        <f t="shared" si="15"/>
        <v>60264</v>
      </c>
      <c r="T23" s="391"/>
      <c r="U23" s="485" t="str">
        <f t="shared" si="16"/>
        <v>0</v>
      </c>
      <c r="V23" s="246">
        <f t="shared" si="30"/>
        <v>73031</v>
      </c>
      <c r="W23" s="391"/>
      <c r="X23" s="485" t="str">
        <f t="shared" si="17"/>
        <v>0</v>
      </c>
      <c r="Y23" s="246">
        <f t="shared" si="9"/>
        <v>84683</v>
      </c>
      <c r="Z23" s="391"/>
      <c r="AA23" s="485" t="str">
        <f t="shared" si="18"/>
        <v>0</v>
      </c>
      <c r="AB23" s="630">
        <f t="shared" si="22"/>
        <v>15982</v>
      </c>
      <c r="AC23" s="631"/>
      <c r="AD23" s="633" t="str">
        <f t="shared" si="23"/>
        <v>0</v>
      </c>
      <c r="AE23" s="246">
        <f t="shared" si="10"/>
        <v>18300</v>
      </c>
      <c r="AF23" s="392"/>
      <c r="AG23" s="485" t="str">
        <f t="shared" si="19"/>
        <v>0</v>
      </c>
      <c r="AH23" s="246">
        <f t="shared" si="11"/>
        <v>26314</v>
      </c>
      <c r="AI23" s="392"/>
      <c r="AJ23" s="485" t="str">
        <f t="shared" si="20"/>
        <v>0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0</v>
      </c>
    </row>
    <row r="24" spans="1:40" ht="23.1" customHeight="1">
      <c r="A24" s="58">
        <f>Gen!B29</f>
        <v>44123</v>
      </c>
      <c r="B24" s="4"/>
      <c r="C24" s="96">
        <f t="shared" si="0"/>
        <v>0</v>
      </c>
      <c r="D24" s="1"/>
      <c r="E24" s="484">
        <f t="shared" si="28"/>
        <v>0</v>
      </c>
      <c r="F24" s="96">
        <f t="shared" si="2"/>
        <v>0</v>
      </c>
      <c r="G24" s="394"/>
      <c r="H24" s="484">
        <f t="shared" si="13"/>
        <v>0</v>
      </c>
      <c r="I24" s="96">
        <f t="shared" si="3"/>
        <v>0</v>
      </c>
      <c r="J24" s="1"/>
      <c r="K24" s="484">
        <f t="shared" si="26"/>
        <v>0</v>
      </c>
      <c r="L24" s="96">
        <f t="shared" si="5"/>
        <v>0</v>
      </c>
      <c r="M24" s="1"/>
      <c r="N24" s="484">
        <f t="shared" si="14"/>
        <v>0</v>
      </c>
      <c r="O24" s="96">
        <f t="shared" si="6"/>
        <v>0</v>
      </c>
      <c r="P24" s="390"/>
      <c r="Q24" s="484">
        <f t="shared" si="7"/>
        <v>0</v>
      </c>
      <c r="R24" s="251"/>
      <c r="S24" s="246">
        <f t="shared" si="15"/>
        <v>0</v>
      </c>
      <c r="T24" s="391"/>
      <c r="U24" s="485">
        <f t="shared" si="16"/>
        <v>0</v>
      </c>
      <c r="V24" s="246">
        <f t="shared" si="30"/>
        <v>0</v>
      </c>
      <c r="W24" s="391"/>
      <c r="X24" s="485">
        <f t="shared" si="17"/>
        <v>0</v>
      </c>
      <c r="Y24" s="246">
        <f t="shared" si="9"/>
        <v>0</v>
      </c>
      <c r="Z24" s="391"/>
      <c r="AA24" s="485">
        <f t="shared" si="18"/>
        <v>0</v>
      </c>
      <c r="AB24" s="630">
        <f t="shared" si="22"/>
        <v>0</v>
      </c>
      <c r="AC24" s="631"/>
      <c r="AD24" s="633">
        <f t="shared" si="23"/>
        <v>0</v>
      </c>
      <c r="AE24" s="246">
        <f t="shared" si="10"/>
        <v>0</v>
      </c>
      <c r="AF24" s="392"/>
      <c r="AG24" s="485">
        <f t="shared" si="19"/>
        <v>0</v>
      </c>
      <c r="AH24" s="246">
        <f t="shared" si="11"/>
        <v>0</v>
      </c>
      <c r="AI24" s="392"/>
      <c r="AJ24" s="485">
        <f t="shared" si="20"/>
        <v>0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0</v>
      </c>
    </row>
    <row r="25" spans="1:40" ht="23.1" customHeight="1">
      <c r="A25" s="58">
        <f>Gen!B30</f>
        <v>44124</v>
      </c>
      <c r="B25" s="4"/>
      <c r="C25" s="96">
        <f>D24</f>
        <v>0</v>
      </c>
      <c r="D25" s="1"/>
      <c r="E25" s="484">
        <f t="shared" si="28"/>
        <v>0</v>
      </c>
      <c r="F25" s="96">
        <f t="shared" si="2"/>
        <v>0</v>
      </c>
      <c r="G25" s="394"/>
      <c r="H25" s="484">
        <f>IF((G26-G24)&lt;0,"0",(G26-G24))</f>
        <v>0</v>
      </c>
      <c r="I25" s="96">
        <f t="shared" ref="I25:I37" si="31">J24</f>
        <v>0</v>
      </c>
      <c r="J25" s="1"/>
      <c r="K25" s="484">
        <f t="shared" si="26"/>
        <v>0</v>
      </c>
      <c r="L25" s="96">
        <f t="shared" ref="L25:L37" si="32">M24</f>
        <v>0</v>
      </c>
      <c r="M25" s="1"/>
      <c r="N25" s="484">
        <f t="shared" ref="N25:N37" si="33">IF((M25-M24)&lt;0,"0",(M25-M24))</f>
        <v>0</v>
      </c>
      <c r="O25" s="96">
        <f t="shared" si="6"/>
        <v>0</v>
      </c>
      <c r="P25" s="390"/>
      <c r="Q25" s="484">
        <f t="shared" si="7"/>
        <v>0</v>
      </c>
      <c r="R25" s="251"/>
      <c r="S25" s="246">
        <f t="shared" ref="S25:S37" si="34">T24</f>
        <v>0</v>
      </c>
      <c r="T25" s="391"/>
      <c r="U25" s="485">
        <f t="shared" ref="U25:U37" si="35">IF((T25-T24)&lt;0,"0",(T25-T24))</f>
        <v>0</v>
      </c>
      <c r="V25" s="246">
        <f t="shared" si="30"/>
        <v>0</v>
      </c>
      <c r="W25" s="391"/>
      <c r="X25" s="485">
        <f t="shared" si="17"/>
        <v>0</v>
      </c>
      <c r="Y25" s="246">
        <f t="shared" si="9"/>
        <v>0</v>
      </c>
      <c r="Z25" s="391"/>
      <c r="AA25" s="485">
        <f t="shared" si="18"/>
        <v>0</v>
      </c>
      <c r="AB25" s="630">
        <f t="shared" si="22"/>
        <v>0</v>
      </c>
      <c r="AC25" s="631"/>
      <c r="AD25" s="633">
        <f t="shared" si="23"/>
        <v>0</v>
      </c>
      <c r="AE25" s="246">
        <f t="shared" si="10"/>
        <v>0</v>
      </c>
      <c r="AF25" s="392"/>
      <c r="AG25" s="485">
        <f t="shared" si="19"/>
        <v>0</v>
      </c>
      <c r="AH25" s="246">
        <f t="shared" si="11"/>
        <v>0</v>
      </c>
      <c r="AI25" s="392"/>
      <c r="AJ25" s="485">
        <f t="shared" si="20"/>
        <v>0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0</v>
      </c>
    </row>
    <row r="26" spans="1:40" ht="23.1" customHeight="1">
      <c r="A26" s="58">
        <f>Gen!B31</f>
        <v>44125</v>
      </c>
      <c r="B26" s="4"/>
      <c r="C26" s="96">
        <f>D25</f>
        <v>0</v>
      </c>
      <c r="D26" s="1"/>
      <c r="E26" s="484">
        <f t="shared" si="28"/>
        <v>0</v>
      </c>
      <c r="F26" s="96">
        <f>G26</f>
        <v>0</v>
      </c>
      <c r="G26" s="394"/>
      <c r="H26" s="484">
        <f t="shared" ref="H26:H27" si="36">IF((G27-G25)&lt;0,"0",(G27-G25))</f>
        <v>0</v>
      </c>
      <c r="I26" s="96">
        <f t="shared" si="31"/>
        <v>0</v>
      </c>
      <c r="J26" s="1"/>
      <c r="K26" s="484">
        <f t="shared" si="26"/>
        <v>0</v>
      </c>
      <c r="L26" s="96">
        <f t="shared" si="32"/>
        <v>0</v>
      </c>
      <c r="M26" s="1"/>
      <c r="N26" s="484">
        <f t="shared" si="33"/>
        <v>0</v>
      </c>
      <c r="O26" s="96">
        <f t="shared" ref="O26:O37" si="37">P25</f>
        <v>0</v>
      </c>
      <c r="P26" s="390"/>
      <c r="Q26" s="484">
        <f t="shared" si="7"/>
        <v>0</v>
      </c>
      <c r="R26" s="251"/>
      <c r="S26" s="246">
        <f t="shared" si="34"/>
        <v>0</v>
      </c>
      <c r="T26" s="391"/>
      <c r="U26" s="485">
        <f t="shared" si="35"/>
        <v>0</v>
      </c>
      <c r="V26" s="246">
        <f t="shared" si="30"/>
        <v>0</v>
      </c>
      <c r="W26" s="391"/>
      <c r="X26" s="485">
        <f t="shared" si="17"/>
        <v>0</v>
      </c>
      <c r="Y26" s="246">
        <f t="shared" si="9"/>
        <v>0</v>
      </c>
      <c r="Z26" s="391"/>
      <c r="AA26" s="485">
        <f t="shared" si="18"/>
        <v>0</v>
      </c>
      <c r="AB26" s="630">
        <f t="shared" si="22"/>
        <v>0</v>
      </c>
      <c r="AC26" s="631"/>
      <c r="AD26" s="633">
        <f t="shared" si="23"/>
        <v>0</v>
      </c>
      <c r="AE26" s="246">
        <f t="shared" si="10"/>
        <v>0</v>
      </c>
      <c r="AF26" s="392"/>
      <c r="AG26" s="485">
        <f t="shared" si="19"/>
        <v>0</v>
      </c>
      <c r="AH26" s="246">
        <f t="shared" si="11"/>
        <v>0</v>
      </c>
      <c r="AI26" s="392"/>
      <c r="AJ26" s="485">
        <f t="shared" si="20"/>
        <v>0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0</v>
      </c>
    </row>
    <row r="27" spans="1:40" ht="23.1" customHeight="1">
      <c r="A27" s="58">
        <f>Gen!B32</f>
        <v>44126</v>
      </c>
      <c r="B27" s="4"/>
      <c r="C27" s="96">
        <f>D26</f>
        <v>0</v>
      </c>
      <c r="D27" s="1"/>
      <c r="E27" s="484">
        <f t="shared" si="28"/>
        <v>0</v>
      </c>
      <c r="F27" s="96">
        <f t="shared" ref="F27:F31" si="38">G27</f>
        <v>0</v>
      </c>
      <c r="G27" s="394"/>
      <c r="H27" s="484">
        <f t="shared" si="36"/>
        <v>0</v>
      </c>
      <c r="I27" s="96">
        <f t="shared" si="31"/>
        <v>0</v>
      </c>
      <c r="J27" s="1"/>
      <c r="K27" s="484">
        <f t="shared" si="26"/>
        <v>0</v>
      </c>
      <c r="L27" s="96">
        <f t="shared" si="32"/>
        <v>0</v>
      </c>
      <c r="M27" s="1"/>
      <c r="N27" s="484">
        <f t="shared" si="33"/>
        <v>0</v>
      </c>
      <c r="O27" s="96">
        <f t="shared" si="37"/>
        <v>0</v>
      </c>
      <c r="P27" s="390"/>
      <c r="Q27" s="484">
        <f t="shared" si="7"/>
        <v>0</v>
      </c>
      <c r="R27" s="251"/>
      <c r="S27" s="246">
        <f t="shared" si="34"/>
        <v>0</v>
      </c>
      <c r="T27" s="391"/>
      <c r="U27" s="485">
        <f t="shared" si="35"/>
        <v>0</v>
      </c>
      <c r="V27" s="246">
        <f t="shared" si="30"/>
        <v>0</v>
      </c>
      <c r="W27" s="391"/>
      <c r="X27" s="485">
        <f t="shared" si="17"/>
        <v>0</v>
      </c>
      <c r="Y27" s="246">
        <f t="shared" si="9"/>
        <v>0</v>
      </c>
      <c r="Z27" s="391"/>
      <c r="AA27" s="485">
        <f t="shared" si="18"/>
        <v>0</v>
      </c>
      <c r="AB27" s="630">
        <f t="shared" si="22"/>
        <v>0</v>
      </c>
      <c r="AC27" s="631"/>
      <c r="AD27" s="633">
        <f t="shared" si="23"/>
        <v>0</v>
      </c>
      <c r="AE27" s="246">
        <f t="shared" si="10"/>
        <v>0</v>
      </c>
      <c r="AF27" s="392"/>
      <c r="AG27" s="485">
        <f t="shared" si="19"/>
        <v>0</v>
      </c>
      <c r="AH27" s="246">
        <f t="shared" si="11"/>
        <v>0</v>
      </c>
      <c r="AI27" s="392"/>
      <c r="AJ27" s="485">
        <f t="shared" si="20"/>
        <v>0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0</v>
      </c>
    </row>
    <row r="28" spans="1:40" ht="23.1" customHeight="1">
      <c r="A28" s="58">
        <f>Gen!B33</f>
        <v>44127</v>
      </c>
      <c r="B28" s="4"/>
      <c r="C28" s="96">
        <f t="shared" ref="C28:C37" si="39">D27</f>
        <v>0</v>
      </c>
      <c r="D28" s="1"/>
      <c r="E28" s="484">
        <f t="shared" si="28"/>
        <v>0</v>
      </c>
      <c r="F28" s="96">
        <f t="shared" si="38"/>
        <v>0</v>
      </c>
      <c r="G28" s="394"/>
      <c r="H28" s="484">
        <f t="shared" ref="H28:H37" si="40">IF((G28-G27)&lt;0,"0",(G28-G27))</f>
        <v>0</v>
      </c>
      <c r="I28" s="96">
        <f t="shared" si="31"/>
        <v>0</v>
      </c>
      <c r="J28" s="1"/>
      <c r="K28" s="484">
        <f>IF((J28-J27)&lt;0,"0",(J28-J27))</f>
        <v>0</v>
      </c>
      <c r="L28" s="96">
        <f t="shared" si="32"/>
        <v>0</v>
      </c>
      <c r="M28" s="1"/>
      <c r="N28" s="484">
        <f t="shared" si="33"/>
        <v>0</v>
      </c>
      <c r="O28" s="96">
        <f t="shared" si="37"/>
        <v>0</v>
      </c>
      <c r="P28" s="390"/>
      <c r="Q28" s="484">
        <f t="shared" ref="Q28:Q37" si="41">IF((P28-P27)&lt;0,"0",(P28-P27))</f>
        <v>0</v>
      </c>
      <c r="R28" s="251"/>
      <c r="S28" s="246">
        <f t="shared" si="34"/>
        <v>0</v>
      </c>
      <c r="T28" s="391"/>
      <c r="U28" s="485">
        <f t="shared" si="35"/>
        <v>0</v>
      </c>
      <c r="V28" s="246">
        <f t="shared" si="30"/>
        <v>0</v>
      </c>
      <c r="W28" s="391"/>
      <c r="X28" s="485">
        <f t="shared" si="17"/>
        <v>0</v>
      </c>
      <c r="Y28" s="246">
        <f t="shared" si="9"/>
        <v>0</v>
      </c>
      <c r="Z28" s="391"/>
      <c r="AA28" s="485">
        <f t="shared" si="18"/>
        <v>0</v>
      </c>
      <c r="AB28" s="630">
        <f t="shared" si="22"/>
        <v>0</v>
      </c>
      <c r="AC28" s="631"/>
      <c r="AD28" s="633">
        <f t="shared" si="23"/>
        <v>0</v>
      </c>
      <c r="AE28" s="246">
        <f t="shared" si="10"/>
        <v>0</v>
      </c>
      <c r="AF28" s="392"/>
      <c r="AG28" s="485">
        <f t="shared" si="19"/>
        <v>0</v>
      </c>
      <c r="AH28" s="246">
        <f t="shared" si="11"/>
        <v>0</v>
      </c>
      <c r="AI28" s="392"/>
      <c r="AJ28" s="485">
        <f t="shared" si="20"/>
        <v>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0</v>
      </c>
    </row>
    <row r="29" spans="1:40" ht="23.1" customHeight="1">
      <c r="A29" s="58">
        <f>Gen!B34</f>
        <v>44128</v>
      </c>
      <c r="B29" s="4"/>
      <c r="C29" s="96">
        <f t="shared" si="39"/>
        <v>0</v>
      </c>
      <c r="D29" s="1"/>
      <c r="E29" s="484">
        <f t="shared" si="28"/>
        <v>0</v>
      </c>
      <c r="F29" s="96">
        <f t="shared" si="38"/>
        <v>0</v>
      </c>
      <c r="G29" s="394"/>
      <c r="H29" s="484">
        <f t="shared" si="40"/>
        <v>0</v>
      </c>
      <c r="I29" s="96">
        <f t="shared" si="31"/>
        <v>0</v>
      </c>
      <c r="J29" s="1"/>
      <c r="K29" s="484">
        <f t="shared" ref="K29:K37" si="42">IF((J29-J28)&lt;0,"0",(J29-J28))</f>
        <v>0</v>
      </c>
      <c r="L29" s="96">
        <f t="shared" si="32"/>
        <v>0</v>
      </c>
      <c r="M29" s="1"/>
      <c r="N29" s="484">
        <f t="shared" si="33"/>
        <v>0</v>
      </c>
      <c r="O29" s="96">
        <f t="shared" si="37"/>
        <v>0</v>
      </c>
      <c r="P29" s="390"/>
      <c r="Q29" s="484">
        <f t="shared" si="41"/>
        <v>0</v>
      </c>
      <c r="R29" s="251"/>
      <c r="S29" s="246">
        <f t="shared" si="34"/>
        <v>0</v>
      </c>
      <c r="T29" s="391"/>
      <c r="U29" s="485">
        <f t="shared" si="35"/>
        <v>0</v>
      </c>
      <c r="V29" s="246">
        <f t="shared" si="30"/>
        <v>0</v>
      </c>
      <c r="W29" s="391"/>
      <c r="X29" s="485">
        <f t="shared" si="17"/>
        <v>0</v>
      </c>
      <c r="Y29" s="246">
        <f t="shared" si="9"/>
        <v>0</v>
      </c>
      <c r="Z29" s="391"/>
      <c r="AA29" s="485">
        <f t="shared" si="18"/>
        <v>0</v>
      </c>
      <c r="AB29" s="630">
        <f t="shared" si="22"/>
        <v>0</v>
      </c>
      <c r="AC29" s="631"/>
      <c r="AD29" s="633">
        <f t="shared" si="23"/>
        <v>0</v>
      </c>
      <c r="AE29" s="246">
        <f t="shared" si="10"/>
        <v>0</v>
      </c>
      <c r="AF29" s="392"/>
      <c r="AG29" s="485">
        <f t="shared" si="19"/>
        <v>0</v>
      </c>
      <c r="AH29" s="246">
        <f t="shared" si="11"/>
        <v>0</v>
      </c>
      <c r="AI29" s="392"/>
      <c r="AJ29" s="485">
        <f t="shared" si="20"/>
        <v>0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44129</v>
      </c>
      <c r="B30" s="4"/>
      <c r="C30" s="96">
        <f t="shared" si="39"/>
        <v>0</v>
      </c>
      <c r="D30" s="1"/>
      <c r="E30" s="484">
        <f t="shared" si="28"/>
        <v>0</v>
      </c>
      <c r="F30" s="96">
        <f t="shared" si="38"/>
        <v>0</v>
      </c>
      <c r="G30" s="394"/>
      <c r="H30" s="484">
        <f t="shared" si="40"/>
        <v>0</v>
      </c>
      <c r="I30" s="96">
        <f t="shared" si="31"/>
        <v>0</v>
      </c>
      <c r="J30" s="1"/>
      <c r="K30" s="484">
        <f t="shared" si="42"/>
        <v>0</v>
      </c>
      <c r="L30" s="96">
        <f t="shared" si="32"/>
        <v>0</v>
      </c>
      <c r="M30" s="1"/>
      <c r="N30" s="484">
        <f t="shared" si="33"/>
        <v>0</v>
      </c>
      <c r="O30" s="96">
        <f t="shared" si="37"/>
        <v>0</v>
      </c>
      <c r="P30" s="390"/>
      <c r="Q30" s="484">
        <f t="shared" si="41"/>
        <v>0</v>
      </c>
      <c r="R30" s="251"/>
      <c r="S30" s="246">
        <f t="shared" si="34"/>
        <v>0</v>
      </c>
      <c r="T30" s="391"/>
      <c r="U30" s="485">
        <f t="shared" si="35"/>
        <v>0</v>
      </c>
      <c r="V30" s="246">
        <f t="shared" si="30"/>
        <v>0</v>
      </c>
      <c r="W30" s="391"/>
      <c r="X30" s="485">
        <f t="shared" si="17"/>
        <v>0</v>
      </c>
      <c r="Y30" s="246">
        <f t="shared" si="9"/>
        <v>0</v>
      </c>
      <c r="Z30" s="391"/>
      <c r="AA30" s="485">
        <f t="shared" si="18"/>
        <v>0</v>
      </c>
      <c r="AB30" s="630">
        <f t="shared" si="22"/>
        <v>0</v>
      </c>
      <c r="AC30" s="631"/>
      <c r="AD30" s="633">
        <f t="shared" si="23"/>
        <v>0</v>
      </c>
      <c r="AE30" s="246">
        <f t="shared" si="10"/>
        <v>0</v>
      </c>
      <c r="AF30" s="392"/>
      <c r="AG30" s="485">
        <f t="shared" si="19"/>
        <v>0</v>
      </c>
      <c r="AH30" s="246">
        <f t="shared" si="11"/>
        <v>0</v>
      </c>
      <c r="AI30" s="392"/>
      <c r="AJ30" s="485">
        <f t="shared" si="20"/>
        <v>0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44130</v>
      </c>
      <c r="B31" s="4"/>
      <c r="C31" s="96">
        <f t="shared" si="39"/>
        <v>0</v>
      </c>
      <c r="D31" s="1"/>
      <c r="E31" s="484">
        <f t="shared" si="28"/>
        <v>0</v>
      </c>
      <c r="F31" s="96">
        <f t="shared" si="38"/>
        <v>0</v>
      </c>
      <c r="G31" s="394"/>
      <c r="H31" s="484">
        <f t="shared" si="40"/>
        <v>0</v>
      </c>
      <c r="I31" s="96">
        <f t="shared" si="31"/>
        <v>0</v>
      </c>
      <c r="J31" s="1"/>
      <c r="K31" s="484">
        <f t="shared" si="42"/>
        <v>0</v>
      </c>
      <c r="L31" s="96">
        <f t="shared" si="32"/>
        <v>0</v>
      </c>
      <c r="M31" s="1"/>
      <c r="N31" s="484">
        <f t="shared" si="33"/>
        <v>0</v>
      </c>
      <c r="O31" s="96">
        <f t="shared" si="37"/>
        <v>0</v>
      </c>
      <c r="P31" s="390"/>
      <c r="Q31" s="484">
        <f t="shared" si="41"/>
        <v>0</v>
      </c>
      <c r="R31" s="251"/>
      <c r="S31" s="246">
        <f t="shared" si="34"/>
        <v>0</v>
      </c>
      <c r="T31" s="391"/>
      <c r="U31" s="485">
        <f t="shared" si="35"/>
        <v>0</v>
      </c>
      <c r="V31" s="246">
        <f t="shared" si="30"/>
        <v>0</v>
      </c>
      <c r="W31" s="391"/>
      <c r="X31" s="485">
        <f t="shared" si="17"/>
        <v>0</v>
      </c>
      <c r="Y31" s="246">
        <f t="shared" si="9"/>
        <v>0</v>
      </c>
      <c r="Z31" s="391"/>
      <c r="AA31" s="485">
        <f t="shared" si="18"/>
        <v>0</v>
      </c>
      <c r="AB31" s="630">
        <f t="shared" si="22"/>
        <v>0</v>
      </c>
      <c r="AC31" s="631"/>
      <c r="AD31" s="633">
        <f t="shared" si="23"/>
        <v>0</v>
      </c>
      <c r="AE31" s="246">
        <f t="shared" si="10"/>
        <v>0</v>
      </c>
      <c r="AF31" s="392"/>
      <c r="AG31" s="485">
        <f t="shared" si="19"/>
        <v>0</v>
      </c>
      <c r="AH31" s="246">
        <f t="shared" si="11"/>
        <v>0</v>
      </c>
      <c r="AI31" s="392"/>
      <c r="AJ31" s="485">
        <f t="shared" si="20"/>
        <v>0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0</v>
      </c>
      <c r="D32" s="1"/>
      <c r="E32" s="484">
        <f t="shared" si="28"/>
        <v>0</v>
      </c>
      <c r="F32" s="96">
        <f t="shared" si="2"/>
        <v>0</v>
      </c>
      <c r="G32" s="394"/>
      <c r="H32" s="484">
        <f t="shared" si="40"/>
        <v>0</v>
      </c>
      <c r="I32" s="96">
        <f t="shared" si="31"/>
        <v>0</v>
      </c>
      <c r="J32" s="1"/>
      <c r="K32" s="484">
        <f t="shared" si="42"/>
        <v>0</v>
      </c>
      <c r="L32" s="96">
        <f t="shared" si="32"/>
        <v>0</v>
      </c>
      <c r="M32" s="1"/>
      <c r="N32" s="484">
        <f t="shared" si="33"/>
        <v>0</v>
      </c>
      <c r="O32" s="96">
        <f t="shared" si="37"/>
        <v>0</v>
      </c>
      <c r="P32" s="390"/>
      <c r="Q32" s="484">
        <f t="shared" si="41"/>
        <v>0</v>
      </c>
      <c r="R32" s="251"/>
      <c r="S32" s="246">
        <f t="shared" si="34"/>
        <v>0</v>
      </c>
      <c r="T32" s="391"/>
      <c r="U32" s="485">
        <f t="shared" si="35"/>
        <v>0</v>
      </c>
      <c r="V32" s="246">
        <f t="shared" si="30"/>
        <v>0</v>
      </c>
      <c r="W32" s="391"/>
      <c r="X32" s="485">
        <f t="shared" si="17"/>
        <v>0</v>
      </c>
      <c r="Y32" s="246">
        <f t="shared" si="9"/>
        <v>0</v>
      </c>
      <c r="Z32" s="391"/>
      <c r="AA32" s="485">
        <f t="shared" si="18"/>
        <v>0</v>
      </c>
      <c r="AB32" s="630">
        <f t="shared" si="22"/>
        <v>0</v>
      </c>
      <c r="AC32" s="631"/>
      <c r="AD32" s="633">
        <f t="shared" si="23"/>
        <v>0</v>
      </c>
      <c r="AE32" s="246">
        <f t="shared" si="10"/>
        <v>0</v>
      </c>
      <c r="AF32" s="392"/>
      <c r="AG32" s="485">
        <f t="shared" si="19"/>
        <v>0</v>
      </c>
      <c r="AH32" s="246">
        <f t="shared" si="11"/>
        <v>0</v>
      </c>
      <c r="AI32" s="392"/>
      <c r="AJ32" s="485">
        <f t="shared" si="20"/>
        <v>0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44132</v>
      </c>
      <c r="B33" s="4"/>
      <c r="C33" s="96">
        <f t="shared" si="39"/>
        <v>0</v>
      </c>
      <c r="D33" s="1"/>
      <c r="E33" s="484">
        <f t="shared" si="28"/>
        <v>0</v>
      </c>
      <c r="F33" s="96">
        <f t="shared" si="2"/>
        <v>0</v>
      </c>
      <c r="G33" s="394"/>
      <c r="H33" s="484">
        <f t="shared" si="40"/>
        <v>0</v>
      </c>
      <c r="I33" s="96">
        <f t="shared" si="31"/>
        <v>0</v>
      </c>
      <c r="J33" s="1"/>
      <c r="K33" s="484">
        <f t="shared" si="42"/>
        <v>0</v>
      </c>
      <c r="L33" s="96">
        <f t="shared" si="32"/>
        <v>0</v>
      </c>
      <c r="M33" s="1"/>
      <c r="N33" s="484">
        <f t="shared" si="33"/>
        <v>0</v>
      </c>
      <c r="O33" s="96">
        <f t="shared" si="37"/>
        <v>0</v>
      </c>
      <c r="P33" s="390"/>
      <c r="Q33" s="484">
        <f t="shared" si="41"/>
        <v>0</v>
      </c>
      <c r="R33" s="251"/>
      <c r="S33" s="246">
        <f t="shared" si="34"/>
        <v>0</v>
      </c>
      <c r="T33" s="391"/>
      <c r="U33" s="485">
        <f t="shared" si="35"/>
        <v>0</v>
      </c>
      <c r="V33" s="246">
        <f t="shared" si="30"/>
        <v>0</v>
      </c>
      <c r="W33" s="391"/>
      <c r="X33" s="485">
        <f t="shared" si="17"/>
        <v>0</v>
      </c>
      <c r="Y33" s="246">
        <f t="shared" si="9"/>
        <v>0</v>
      </c>
      <c r="Z33" s="391"/>
      <c r="AA33" s="485">
        <f t="shared" si="18"/>
        <v>0</v>
      </c>
      <c r="AB33" s="630">
        <f t="shared" si="22"/>
        <v>0</v>
      </c>
      <c r="AC33" s="247"/>
      <c r="AD33" s="633">
        <f t="shared" si="23"/>
        <v>0</v>
      </c>
      <c r="AE33" s="246">
        <f t="shared" si="10"/>
        <v>0</v>
      </c>
      <c r="AF33" s="392"/>
      <c r="AG33" s="485">
        <f t="shared" si="19"/>
        <v>0</v>
      </c>
      <c r="AH33" s="246">
        <f t="shared" si="11"/>
        <v>0</v>
      </c>
      <c r="AI33" s="392"/>
      <c r="AJ33" s="485">
        <f t="shared" si="20"/>
        <v>0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44133</v>
      </c>
      <c r="B34" s="149"/>
      <c r="C34" s="96">
        <f t="shared" si="39"/>
        <v>0</v>
      </c>
      <c r="D34" s="1"/>
      <c r="E34" s="484">
        <f t="shared" si="28"/>
        <v>0</v>
      </c>
      <c r="F34" s="96">
        <f t="shared" si="2"/>
        <v>0</v>
      </c>
      <c r="G34" s="394"/>
      <c r="H34" s="484">
        <f t="shared" si="40"/>
        <v>0</v>
      </c>
      <c r="I34" s="96">
        <f t="shared" si="31"/>
        <v>0</v>
      </c>
      <c r="J34" s="1"/>
      <c r="K34" s="484">
        <f t="shared" si="42"/>
        <v>0</v>
      </c>
      <c r="L34" s="96">
        <f t="shared" si="32"/>
        <v>0</v>
      </c>
      <c r="M34" s="1"/>
      <c r="N34" s="484">
        <f t="shared" si="33"/>
        <v>0</v>
      </c>
      <c r="O34" s="96">
        <f t="shared" si="37"/>
        <v>0</v>
      </c>
      <c r="P34" s="390"/>
      <c r="Q34" s="484">
        <f t="shared" si="41"/>
        <v>0</v>
      </c>
      <c r="R34" s="251"/>
      <c r="S34" s="246">
        <f t="shared" si="34"/>
        <v>0</v>
      </c>
      <c r="T34" s="391"/>
      <c r="U34" s="485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0</v>
      </c>
      <c r="Z34" s="391"/>
      <c r="AA34" s="485">
        <f t="shared" si="18"/>
        <v>0</v>
      </c>
      <c r="AB34" s="630">
        <f t="shared" si="22"/>
        <v>0</v>
      </c>
      <c r="AC34" s="247"/>
      <c r="AD34" s="633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0</v>
      </c>
      <c r="AI34" s="392"/>
      <c r="AJ34" s="485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2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2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2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3">U38+X38+AA38+AD38+AG38+AJ38+AM38</f>
        <v>677</v>
      </c>
    </row>
    <row r="38" spans="1:41" ht="18.75">
      <c r="A38" s="58"/>
      <c r="B38" s="22"/>
      <c r="C38" s="913" t="s">
        <v>6</v>
      </c>
      <c r="D38" s="913"/>
      <c r="E38" s="23">
        <f>SUM(E6:E36)</f>
        <v>924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18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924</v>
      </c>
      <c r="S38" s="248"/>
      <c r="T38" s="248"/>
      <c r="U38" s="258">
        <f>SUM(U6:U37)</f>
        <v>677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677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39"/>
      <c r="B42" s="278"/>
      <c r="C42" s="936" t="s">
        <v>222</v>
      </c>
      <c r="D42" s="937"/>
      <c r="E42" s="937"/>
      <c r="F42" s="937"/>
      <c r="G42" s="937"/>
      <c r="H42" s="937"/>
      <c r="I42" s="937"/>
      <c r="J42" s="937"/>
      <c r="K42" s="938"/>
      <c r="R42" s="20"/>
    </row>
    <row r="43" spans="1:41" ht="24.75" customHeight="1">
      <c r="A43" s="940"/>
      <c r="B43" s="20"/>
      <c r="C43" s="942" t="s">
        <v>216</v>
      </c>
      <c r="D43" s="943"/>
      <c r="E43" s="944" t="s">
        <v>237</v>
      </c>
      <c r="F43" s="945"/>
      <c r="G43" s="946" t="s">
        <v>217</v>
      </c>
      <c r="H43" s="947"/>
      <c r="I43" s="946" t="s">
        <v>238</v>
      </c>
      <c r="J43" s="947"/>
      <c r="K43" s="934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40"/>
      <c r="B44" s="20"/>
      <c r="C44" s="948" t="s">
        <v>218</v>
      </c>
      <c r="D44" s="949"/>
      <c r="E44" s="948" t="s">
        <v>219</v>
      </c>
      <c r="F44" s="949"/>
      <c r="G44" s="948" t="s">
        <v>220</v>
      </c>
      <c r="H44" s="949"/>
      <c r="I44" s="948" t="s">
        <v>221</v>
      </c>
      <c r="J44" s="949"/>
      <c r="K44" s="935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41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8">C46*217/300</f>
        <v>217</v>
      </c>
      <c r="E46" s="6">
        <v>295</v>
      </c>
      <c r="F46" s="328">
        <f t="shared" ref="F46:F77" si="49">E46*92/305</f>
        <v>88.983606557377044</v>
      </c>
      <c r="G46" s="644">
        <v>250</v>
      </c>
      <c r="H46" s="328">
        <f t="shared" ref="H46:H77" si="50">G46*146/383</f>
        <v>95.300261096605738</v>
      </c>
      <c r="I46" s="6">
        <v>275</v>
      </c>
      <c r="J46" s="328">
        <f t="shared" ref="J46:J77" si="51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8"/>
        <v>217</v>
      </c>
      <c r="E47" s="6">
        <v>295</v>
      </c>
      <c r="F47" s="328">
        <f t="shared" si="49"/>
        <v>88.983606557377044</v>
      </c>
      <c r="G47" s="487">
        <v>215</v>
      </c>
      <c r="H47" s="328">
        <f t="shared" si="50"/>
        <v>81.958224543080945</v>
      </c>
      <c r="I47" s="6">
        <v>295</v>
      </c>
      <c r="J47" s="328">
        <f t="shared" si="51"/>
        <v>204.00974025974025</v>
      </c>
      <c r="K47" s="334">
        <f t="shared" ref="K47:K77" si="52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8"/>
        <v>213.38333333333333</v>
      </c>
      <c r="E48" s="6">
        <v>275</v>
      </c>
      <c r="F48" s="328">
        <f t="shared" si="49"/>
        <v>82.950819672131146</v>
      </c>
      <c r="G48" s="487">
        <v>245</v>
      </c>
      <c r="H48" s="328">
        <f t="shared" si="50"/>
        <v>93.394255874673632</v>
      </c>
      <c r="I48" s="6">
        <v>285</v>
      </c>
      <c r="J48" s="328">
        <f t="shared" si="51"/>
        <v>197.09415584415584</v>
      </c>
      <c r="K48" s="334">
        <f t="shared" si="52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8"/>
        <v>137.43333333333334</v>
      </c>
      <c r="E49" s="6">
        <v>175</v>
      </c>
      <c r="F49" s="328">
        <f t="shared" si="49"/>
        <v>52.786885245901637</v>
      </c>
      <c r="G49" s="487">
        <v>300</v>
      </c>
      <c r="H49" s="328">
        <f t="shared" si="50"/>
        <v>114.36031331592689</v>
      </c>
      <c r="I49" s="6">
        <v>280</v>
      </c>
      <c r="J49" s="328">
        <f t="shared" si="51"/>
        <v>193.63636363636363</v>
      </c>
      <c r="K49" s="334">
        <f t="shared" si="52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8"/>
        <v>217</v>
      </c>
      <c r="E50" s="6">
        <v>300</v>
      </c>
      <c r="F50" s="328">
        <f t="shared" si="49"/>
        <v>90.491803278688522</v>
      </c>
      <c r="G50" s="487">
        <v>200</v>
      </c>
      <c r="H50" s="328">
        <f t="shared" si="50"/>
        <v>76.240208877284601</v>
      </c>
      <c r="I50" s="6">
        <v>285</v>
      </c>
      <c r="J50" s="328">
        <f t="shared" si="51"/>
        <v>197.09415584415584</v>
      </c>
      <c r="K50" s="334">
        <f t="shared" si="52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8"/>
        <v>209.76666666666668</v>
      </c>
      <c r="E51" s="6">
        <v>245</v>
      </c>
      <c r="F51" s="328">
        <f t="shared" si="49"/>
        <v>73.901639344262293</v>
      </c>
      <c r="G51" s="487">
        <v>235</v>
      </c>
      <c r="H51" s="328">
        <f t="shared" si="50"/>
        <v>89.582245430809394</v>
      </c>
      <c r="I51" s="6">
        <v>290</v>
      </c>
      <c r="J51" s="328">
        <f t="shared" si="51"/>
        <v>200.55194805194805</v>
      </c>
      <c r="K51" s="334">
        <f t="shared" si="52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8"/>
        <v>217</v>
      </c>
      <c r="E52" s="6">
        <v>285</v>
      </c>
      <c r="F52" s="328">
        <f t="shared" si="49"/>
        <v>85.967213114754102</v>
      </c>
      <c r="G52" s="487">
        <v>275</v>
      </c>
      <c r="H52" s="328">
        <f t="shared" si="50"/>
        <v>104.83028720626632</v>
      </c>
      <c r="I52" s="6">
        <v>280</v>
      </c>
      <c r="J52" s="328">
        <f t="shared" si="51"/>
        <v>193.63636363636363</v>
      </c>
      <c r="K52" s="334">
        <f t="shared" si="52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8"/>
        <v>198.91666666666666</v>
      </c>
      <c r="E53" s="6">
        <v>245</v>
      </c>
      <c r="F53" s="328">
        <f t="shared" si="49"/>
        <v>73.901639344262293</v>
      </c>
      <c r="G53" s="487">
        <v>205</v>
      </c>
      <c r="H53" s="328">
        <f t="shared" si="50"/>
        <v>78.146214099216706</v>
      </c>
      <c r="I53" s="6">
        <v>285</v>
      </c>
      <c r="J53" s="328">
        <f t="shared" si="51"/>
        <v>197.09415584415584</v>
      </c>
      <c r="K53" s="334">
        <f t="shared" si="52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8"/>
        <v>151.9</v>
      </c>
      <c r="E54" s="6">
        <v>100</v>
      </c>
      <c r="F54" s="328">
        <f t="shared" si="49"/>
        <v>30.16393442622951</v>
      </c>
      <c r="G54" s="487">
        <v>220</v>
      </c>
      <c r="H54" s="328">
        <f t="shared" si="50"/>
        <v>83.86422976501305</v>
      </c>
      <c r="I54" s="6">
        <v>290</v>
      </c>
      <c r="J54" s="328">
        <f t="shared" si="51"/>
        <v>200.55194805194805</v>
      </c>
      <c r="K54" s="334">
        <f t="shared" si="52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8"/>
        <v>148.28333333333333</v>
      </c>
      <c r="E55" s="6">
        <v>165</v>
      </c>
      <c r="F55" s="328">
        <f t="shared" si="49"/>
        <v>49.770491803278688</v>
      </c>
      <c r="G55" s="487">
        <v>300</v>
      </c>
      <c r="H55" s="328">
        <f t="shared" si="50"/>
        <v>114.36031331592689</v>
      </c>
      <c r="I55" s="6">
        <v>275</v>
      </c>
      <c r="J55" s="328">
        <f t="shared" si="51"/>
        <v>190.17857142857142</v>
      </c>
      <c r="K55" s="334">
        <f t="shared" si="52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8"/>
        <v>206.15</v>
      </c>
      <c r="E56" s="6">
        <v>245</v>
      </c>
      <c r="F56" s="328">
        <f t="shared" si="49"/>
        <v>73.901639344262293</v>
      </c>
      <c r="G56" s="487">
        <v>150</v>
      </c>
      <c r="H56" s="328">
        <f t="shared" si="50"/>
        <v>57.180156657963444</v>
      </c>
      <c r="I56" s="6">
        <v>300</v>
      </c>
      <c r="J56" s="328">
        <f t="shared" si="51"/>
        <v>207.46753246753246</v>
      </c>
      <c r="K56" s="334">
        <f t="shared" si="52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8"/>
        <v>162.75</v>
      </c>
      <c r="E57" s="6">
        <v>180</v>
      </c>
      <c r="F57" s="328">
        <f t="shared" si="49"/>
        <v>54.295081967213115</v>
      </c>
      <c r="G57" s="487">
        <v>300</v>
      </c>
      <c r="H57" s="328">
        <f t="shared" si="50"/>
        <v>114.36031331592689</v>
      </c>
      <c r="I57" s="6">
        <v>285</v>
      </c>
      <c r="J57" s="328">
        <f t="shared" si="51"/>
        <v>197.09415584415584</v>
      </c>
      <c r="K57" s="334">
        <f t="shared" si="52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8"/>
        <v>217</v>
      </c>
      <c r="E58" s="6">
        <v>295</v>
      </c>
      <c r="F58" s="328">
        <f t="shared" si="49"/>
        <v>88.983606557377044</v>
      </c>
      <c r="G58" s="487">
        <v>220</v>
      </c>
      <c r="H58" s="328">
        <f t="shared" si="50"/>
        <v>83.86422976501305</v>
      </c>
      <c r="I58" s="6">
        <v>185</v>
      </c>
      <c r="J58" s="328">
        <f t="shared" si="51"/>
        <v>127.93831168831169</v>
      </c>
      <c r="K58" s="334">
        <f t="shared" si="52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8"/>
        <v>191.68333333333334</v>
      </c>
      <c r="E59" s="6">
        <v>230</v>
      </c>
      <c r="F59" s="328">
        <f t="shared" si="49"/>
        <v>69.377049180327873</v>
      </c>
      <c r="G59" s="487">
        <v>300</v>
      </c>
      <c r="H59" s="328">
        <f t="shared" si="50"/>
        <v>114.36031331592689</v>
      </c>
      <c r="I59" s="6">
        <v>295</v>
      </c>
      <c r="J59" s="328">
        <f t="shared" si="51"/>
        <v>204.00974025974025</v>
      </c>
      <c r="K59" s="334">
        <f t="shared" si="52"/>
        <v>579.4304360893284</v>
      </c>
    </row>
    <row r="60" spans="1:15" ht="13.5">
      <c r="A60" s="294">
        <f>Gen!B25</f>
        <v>44119</v>
      </c>
      <c r="B60" s="20"/>
      <c r="C60" s="63">
        <v>300</v>
      </c>
      <c r="D60" s="328">
        <f t="shared" si="48"/>
        <v>217</v>
      </c>
      <c r="E60" s="6">
        <v>295</v>
      </c>
      <c r="F60" s="328">
        <f t="shared" si="49"/>
        <v>88.983606557377044</v>
      </c>
      <c r="G60" s="487">
        <v>265</v>
      </c>
      <c r="H60" s="328">
        <f t="shared" si="50"/>
        <v>101.0182767624021</v>
      </c>
      <c r="I60" s="6">
        <v>295</v>
      </c>
      <c r="J60" s="328">
        <f t="shared" si="51"/>
        <v>204.00974025974025</v>
      </c>
      <c r="K60" s="334">
        <f t="shared" si="52"/>
        <v>611.01162357951932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>
        <v>300</v>
      </c>
      <c r="D61" s="328">
        <f t="shared" si="48"/>
        <v>217</v>
      </c>
      <c r="E61" s="6">
        <v>295</v>
      </c>
      <c r="F61" s="328">
        <f t="shared" si="49"/>
        <v>88.983606557377044</v>
      </c>
      <c r="G61" s="487">
        <v>260</v>
      </c>
      <c r="H61" s="328">
        <f t="shared" si="50"/>
        <v>99.112271540469976</v>
      </c>
      <c r="I61" s="6">
        <v>295</v>
      </c>
      <c r="J61" s="328">
        <f t="shared" si="51"/>
        <v>204.00974025974025</v>
      </c>
      <c r="K61" s="334">
        <f t="shared" si="52"/>
        <v>609.10561835758722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>
        <v>300</v>
      </c>
      <c r="D62" s="328">
        <f t="shared" si="48"/>
        <v>217</v>
      </c>
      <c r="E62" s="6">
        <v>295</v>
      </c>
      <c r="F62" s="328">
        <f t="shared" si="49"/>
        <v>88.983606557377044</v>
      </c>
      <c r="G62" s="487">
        <v>285</v>
      </c>
      <c r="H62" s="328">
        <f t="shared" si="50"/>
        <v>108.64229765013054</v>
      </c>
      <c r="I62" s="6">
        <v>285</v>
      </c>
      <c r="J62" s="328">
        <f t="shared" si="51"/>
        <v>197.09415584415584</v>
      </c>
      <c r="K62" s="334">
        <f t="shared" si="52"/>
        <v>611.72006005166338</v>
      </c>
    </row>
    <row r="63" spans="1:15" ht="13.5">
      <c r="A63" s="294">
        <f>Gen!B28</f>
        <v>44122</v>
      </c>
      <c r="B63" s="20"/>
      <c r="C63" s="63">
        <v>231</v>
      </c>
      <c r="D63" s="328">
        <f t="shared" si="48"/>
        <v>167.09</v>
      </c>
      <c r="E63" s="6">
        <v>195</v>
      </c>
      <c r="F63" s="328">
        <f t="shared" si="49"/>
        <v>58.819672131147541</v>
      </c>
      <c r="G63" s="487">
        <v>300</v>
      </c>
      <c r="H63" s="328">
        <f t="shared" si="50"/>
        <v>114.36031331592689</v>
      </c>
      <c r="I63" s="6">
        <v>295</v>
      </c>
      <c r="J63" s="328">
        <f t="shared" si="51"/>
        <v>204.00974025974025</v>
      </c>
      <c r="K63" s="334">
        <f t="shared" si="52"/>
        <v>544.2797257068147</v>
      </c>
    </row>
    <row r="64" spans="1:15" ht="13.5">
      <c r="A64" s="294">
        <f>Gen!B29</f>
        <v>44123</v>
      </c>
      <c r="B64" s="20"/>
      <c r="C64" s="63"/>
      <c r="D64" s="328">
        <f t="shared" si="48"/>
        <v>0</v>
      </c>
      <c r="E64" s="6"/>
      <c r="F64" s="328">
        <f t="shared" si="49"/>
        <v>0</v>
      </c>
      <c r="G64" s="487"/>
      <c r="H64" s="328">
        <f t="shared" si="50"/>
        <v>0</v>
      </c>
      <c r="I64" s="6"/>
      <c r="J64" s="328">
        <f t="shared" si="51"/>
        <v>0</v>
      </c>
      <c r="K64" s="334">
        <f t="shared" si="52"/>
        <v>0</v>
      </c>
    </row>
    <row r="65" spans="1:11" ht="13.5">
      <c r="A65" s="294">
        <f>Gen!B30</f>
        <v>44124</v>
      </c>
      <c r="B65" s="20"/>
      <c r="C65" s="63"/>
      <c r="D65" s="328">
        <f t="shared" si="48"/>
        <v>0</v>
      </c>
      <c r="E65" s="6"/>
      <c r="F65" s="328">
        <f t="shared" si="49"/>
        <v>0</v>
      </c>
      <c r="G65" s="487"/>
      <c r="H65" s="328">
        <f t="shared" si="50"/>
        <v>0</v>
      </c>
      <c r="I65" s="6"/>
      <c r="J65" s="328">
        <f t="shared" si="51"/>
        <v>0</v>
      </c>
      <c r="K65" s="334">
        <f t="shared" si="52"/>
        <v>0</v>
      </c>
    </row>
    <row r="66" spans="1:11" ht="13.5">
      <c r="A66" s="294">
        <f>Gen!B31</f>
        <v>44125</v>
      </c>
      <c r="B66" s="20"/>
      <c r="C66" s="63"/>
      <c r="D66" s="328">
        <f t="shared" si="48"/>
        <v>0</v>
      </c>
      <c r="E66" s="6"/>
      <c r="F66" s="328">
        <f t="shared" si="49"/>
        <v>0</v>
      </c>
      <c r="G66" s="487"/>
      <c r="H66" s="328">
        <f t="shared" si="50"/>
        <v>0</v>
      </c>
      <c r="I66" s="6"/>
      <c r="J66" s="328">
        <f t="shared" si="51"/>
        <v>0</v>
      </c>
      <c r="K66" s="334">
        <f t="shared" si="52"/>
        <v>0</v>
      </c>
    </row>
    <row r="67" spans="1:11" ht="13.5">
      <c r="A67" s="294">
        <f>Gen!B32</f>
        <v>44126</v>
      </c>
      <c r="B67" s="20"/>
      <c r="C67" s="63"/>
      <c r="D67" s="328">
        <f t="shared" si="48"/>
        <v>0</v>
      </c>
      <c r="E67" s="6"/>
      <c r="F67" s="328">
        <f t="shared" si="49"/>
        <v>0</v>
      </c>
      <c r="G67" s="487"/>
      <c r="H67" s="328">
        <f t="shared" si="50"/>
        <v>0</v>
      </c>
      <c r="I67" s="6"/>
      <c r="J67" s="328">
        <f t="shared" si="51"/>
        <v>0</v>
      </c>
      <c r="K67" s="334">
        <f t="shared" si="52"/>
        <v>0</v>
      </c>
    </row>
    <row r="68" spans="1:11" ht="13.5">
      <c r="A68" s="294">
        <f>Gen!B33</f>
        <v>44127</v>
      </c>
      <c r="B68" s="20"/>
      <c r="C68" s="63"/>
      <c r="D68" s="328">
        <f t="shared" si="48"/>
        <v>0</v>
      </c>
      <c r="E68" s="6"/>
      <c r="F68" s="328">
        <f t="shared" si="49"/>
        <v>0</v>
      </c>
      <c r="G68" s="487"/>
      <c r="H68" s="328">
        <f t="shared" si="50"/>
        <v>0</v>
      </c>
      <c r="I68" s="6"/>
      <c r="J68" s="328">
        <f t="shared" si="51"/>
        <v>0</v>
      </c>
      <c r="K68" s="334">
        <f t="shared" si="52"/>
        <v>0</v>
      </c>
    </row>
    <row r="69" spans="1:11" ht="13.5">
      <c r="A69" s="294">
        <f>Gen!B34</f>
        <v>44128</v>
      </c>
      <c r="B69" s="20"/>
      <c r="C69" s="63"/>
      <c r="D69" s="328">
        <f t="shared" si="48"/>
        <v>0</v>
      </c>
      <c r="E69" s="6"/>
      <c r="F69" s="328">
        <f t="shared" si="49"/>
        <v>0</v>
      </c>
      <c r="G69" s="487"/>
      <c r="H69" s="328">
        <f t="shared" si="50"/>
        <v>0</v>
      </c>
      <c r="I69" s="6"/>
      <c r="J69" s="328">
        <f t="shared" si="51"/>
        <v>0</v>
      </c>
      <c r="K69" s="334">
        <f t="shared" si="52"/>
        <v>0</v>
      </c>
    </row>
    <row r="70" spans="1:11" ht="13.5">
      <c r="A70" s="294">
        <f>Gen!B35</f>
        <v>44129</v>
      </c>
      <c r="B70" s="20"/>
      <c r="C70" s="63"/>
      <c r="D70" s="328">
        <f t="shared" si="48"/>
        <v>0</v>
      </c>
      <c r="E70" s="6"/>
      <c r="F70" s="328">
        <f t="shared" si="49"/>
        <v>0</v>
      </c>
      <c r="G70" s="487"/>
      <c r="H70" s="328">
        <f t="shared" si="50"/>
        <v>0</v>
      </c>
      <c r="I70" s="6"/>
      <c r="J70" s="328">
        <f t="shared" si="51"/>
        <v>0</v>
      </c>
      <c r="K70" s="334">
        <f t="shared" si="52"/>
        <v>0</v>
      </c>
    </row>
    <row r="71" spans="1:11" ht="13.5">
      <c r="A71" s="294">
        <f>Gen!B36</f>
        <v>44130</v>
      </c>
      <c r="B71" s="20"/>
      <c r="C71" s="63"/>
      <c r="D71" s="328">
        <f t="shared" si="48"/>
        <v>0</v>
      </c>
      <c r="E71" s="6"/>
      <c r="F71" s="328">
        <f t="shared" si="49"/>
        <v>0</v>
      </c>
      <c r="G71" s="487"/>
      <c r="H71" s="328">
        <f t="shared" si="50"/>
        <v>0</v>
      </c>
      <c r="I71" s="6"/>
      <c r="J71" s="328">
        <f t="shared" si="51"/>
        <v>0</v>
      </c>
      <c r="K71" s="334">
        <f t="shared" si="52"/>
        <v>0</v>
      </c>
    </row>
    <row r="72" spans="1:11" ht="13.5">
      <c r="A72" s="294">
        <f>Gen!B37</f>
        <v>44131</v>
      </c>
      <c r="B72" s="20"/>
      <c r="C72" s="63"/>
      <c r="D72" s="328">
        <f t="shared" si="48"/>
        <v>0</v>
      </c>
      <c r="E72" s="6"/>
      <c r="F72" s="328">
        <f t="shared" si="49"/>
        <v>0</v>
      </c>
      <c r="G72" s="487"/>
      <c r="H72" s="328">
        <f t="shared" si="50"/>
        <v>0</v>
      </c>
      <c r="I72" s="6"/>
      <c r="J72" s="328">
        <f t="shared" si="51"/>
        <v>0</v>
      </c>
      <c r="K72" s="334">
        <f t="shared" si="52"/>
        <v>0</v>
      </c>
    </row>
    <row r="73" spans="1:11" ht="13.5">
      <c r="A73" s="294">
        <f>Gen!B38</f>
        <v>44132</v>
      </c>
      <c r="B73" s="20"/>
      <c r="C73" s="63"/>
      <c r="D73" s="328">
        <f t="shared" si="48"/>
        <v>0</v>
      </c>
      <c r="E73" s="6"/>
      <c r="F73" s="328">
        <f t="shared" si="49"/>
        <v>0</v>
      </c>
      <c r="G73" s="487"/>
      <c r="H73" s="328">
        <f t="shared" si="50"/>
        <v>0</v>
      </c>
      <c r="I73" s="6"/>
      <c r="J73" s="328">
        <f t="shared" si="51"/>
        <v>0</v>
      </c>
      <c r="K73" s="334">
        <f t="shared" si="52"/>
        <v>0</v>
      </c>
    </row>
    <row r="74" spans="1:11" ht="13.5">
      <c r="A74" s="294">
        <f>Gen!B39</f>
        <v>44133</v>
      </c>
      <c r="B74" s="20"/>
      <c r="C74" s="63"/>
      <c r="D74" s="328">
        <f t="shared" si="48"/>
        <v>0</v>
      </c>
      <c r="E74" s="6"/>
      <c r="F74" s="328">
        <f t="shared" si="49"/>
        <v>0</v>
      </c>
      <c r="G74" s="487"/>
      <c r="H74" s="328">
        <f t="shared" si="50"/>
        <v>0</v>
      </c>
      <c r="I74" s="6"/>
      <c r="J74" s="328">
        <f t="shared" si="51"/>
        <v>0</v>
      </c>
      <c r="K74" s="334">
        <f t="shared" si="52"/>
        <v>0</v>
      </c>
    </row>
    <row r="75" spans="1:11" ht="14.25" thickBot="1">
      <c r="A75" s="294">
        <f>Gen!B40</f>
        <v>44134</v>
      </c>
      <c r="B75" s="252"/>
      <c r="C75" s="63"/>
      <c r="D75" s="328">
        <f t="shared" si="48"/>
        <v>0</v>
      </c>
      <c r="E75" s="6"/>
      <c r="F75" s="328">
        <f t="shared" si="49"/>
        <v>0</v>
      </c>
      <c r="G75" s="487"/>
      <c r="H75" s="328">
        <f t="shared" si="50"/>
        <v>0</v>
      </c>
      <c r="I75" s="6"/>
      <c r="J75" s="328">
        <f t="shared" si="51"/>
        <v>0</v>
      </c>
      <c r="K75" s="334">
        <f t="shared" si="52"/>
        <v>0</v>
      </c>
    </row>
    <row r="76" spans="1:11" ht="13.5">
      <c r="A76" s="294">
        <f>Gen!B41</f>
        <v>44135</v>
      </c>
      <c r="C76" s="63"/>
      <c r="D76" s="328">
        <f t="shared" si="48"/>
        <v>0</v>
      </c>
      <c r="E76" s="6"/>
      <c r="F76" s="328">
        <f t="shared" si="49"/>
        <v>0</v>
      </c>
      <c r="G76" s="487"/>
      <c r="H76" s="328">
        <f t="shared" si="50"/>
        <v>0</v>
      </c>
      <c r="I76" s="6"/>
      <c r="J76" s="328">
        <f t="shared" si="51"/>
        <v>0</v>
      </c>
      <c r="K76" s="334">
        <f t="shared" si="52"/>
        <v>0</v>
      </c>
    </row>
    <row r="77" spans="1:11" ht="14.25" thickBot="1">
      <c r="A77" s="294">
        <f>Gen!B42</f>
        <v>44136</v>
      </c>
      <c r="C77" s="63"/>
      <c r="D77" s="328">
        <f t="shared" si="48"/>
        <v>0</v>
      </c>
      <c r="E77" s="6"/>
      <c r="F77" s="328">
        <f t="shared" si="49"/>
        <v>0</v>
      </c>
      <c r="G77" s="487"/>
      <c r="H77" s="328">
        <f t="shared" si="50"/>
        <v>0</v>
      </c>
      <c r="I77" s="6"/>
      <c r="J77" s="328">
        <f t="shared" si="51"/>
        <v>0</v>
      </c>
      <c r="K77" s="335">
        <f t="shared" si="52"/>
        <v>0</v>
      </c>
    </row>
    <row r="78" spans="1:11" ht="13.5">
      <c r="A78" s="294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4" t="s">
        <v>317</v>
      </c>
      <c r="B2" s="875"/>
      <c r="C2" s="875"/>
      <c r="D2" s="875"/>
      <c r="E2" s="876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2264</v>
      </c>
      <c r="G18" s="86">
        <f>Gen!T24</f>
        <v>974.17000000000007</v>
      </c>
      <c r="H18" s="86">
        <f>[1]Gen!AJ27</f>
        <v>597.9</v>
      </c>
      <c r="I18" s="86">
        <f t="shared" si="0"/>
        <v>1572.0700000000002</v>
      </c>
      <c r="J18" s="86">
        <f>[1]Gen!AT24</f>
        <v>29915.45000000003</v>
      </c>
      <c r="K18" s="70">
        <f>'Water-Meter'!E19</f>
        <v>43</v>
      </c>
      <c r="L18" s="457">
        <f>'Lpg (2)'!G23</f>
        <v>64.504000000015367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3474038.8895</v>
      </c>
      <c r="R18" s="77">
        <f t="shared" si="3"/>
        <v>2191.0153542795588</v>
      </c>
      <c r="S18" s="447" t="e">
        <f t="shared" si="4"/>
        <v>#DIV/0!</v>
      </c>
      <c r="T18" s="77">
        <f t="shared" si="5"/>
        <v>2.768939393939394</v>
      </c>
      <c r="U18" s="123">
        <f t="shared" si="6"/>
        <v>79.937722222241263</v>
      </c>
      <c r="V18" s="18">
        <f t="shared" si="7"/>
        <v>3474121.5961616165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5.1900000000000002E-2</v>
      </c>
      <c r="D19" s="443">
        <f t="shared" si="2"/>
        <v>3.9963000000000002</v>
      </c>
      <c r="E19" s="75"/>
      <c r="F19" s="71">
        <f>Gen!U25</f>
        <v>2360</v>
      </c>
      <c r="G19" s="86">
        <f>Gen!T25</f>
        <v>1042.8800000000001</v>
      </c>
      <c r="H19" s="86">
        <f>[1]Gen!AJ28</f>
        <v>227.73000000000002</v>
      </c>
      <c r="I19" s="86">
        <f t="shared" si="0"/>
        <v>1270.6100000000001</v>
      </c>
      <c r="J19" s="86">
        <f>[1]Gen!AT25</f>
        <v>42248.240000000034</v>
      </c>
      <c r="K19" s="70">
        <f>'Water-Meter'!E20</f>
        <v>48</v>
      </c>
      <c r="L19" s="457">
        <f>'Lpg (2)'!G24</f>
        <v>73.127999999979522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2807857.5085</v>
      </c>
      <c r="R19" s="77">
        <f t="shared" si="3"/>
        <v>443.56963090163958</v>
      </c>
      <c r="S19" s="447" t="e">
        <f t="shared" si="4"/>
        <v>#DIV/0!</v>
      </c>
      <c r="T19" s="77">
        <f t="shared" si="5"/>
        <v>3.0909090909090908</v>
      </c>
      <c r="U19" s="123">
        <f t="shared" si="6"/>
        <v>90.625166666641292</v>
      </c>
      <c r="V19" s="18">
        <f t="shared" si="7"/>
        <v>2807951.2245757575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0.1169</v>
      </c>
      <c r="D20" s="443">
        <f t="shared" si="2"/>
        <v>9.0013000000000005</v>
      </c>
      <c r="E20" s="75"/>
      <c r="F20" s="71">
        <f>Gen!U26</f>
        <v>2740</v>
      </c>
      <c r="G20" s="86">
        <f>Gen!T26</f>
        <v>1176.97</v>
      </c>
      <c r="H20" s="86">
        <f>[1]Gen!AJ29</f>
        <v>88.289999999999992</v>
      </c>
      <c r="I20" s="86">
        <f t="shared" si="0"/>
        <v>1265.26</v>
      </c>
      <c r="J20" s="86">
        <f>[1]Gen!AT26</f>
        <v>39497.370000000032</v>
      </c>
      <c r="K20" s="70">
        <f>'Water-Meter'!E21</f>
        <v>56</v>
      </c>
      <c r="L20" s="457">
        <f>'Lpg (2)'!G25</f>
        <v>79.288000000017931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2796034.8109999998</v>
      </c>
      <c r="R20" s="77">
        <f t="shared" si="3"/>
        <v>196.10206212357426</v>
      </c>
      <c r="S20" s="447" t="e">
        <f t="shared" si="4"/>
        <v>#DIV/0!</v>
      </c>
      <c r="T20" s="77">
        <f t="shared" si="5"/>
        <v>3.606060606060606</v>
      </c>
      <c r="U20" s="123">
        <f t="shared" si="6"/>
        <v>98.259055555577774</v>
      </c>
      <c r="V20" s="18">
        <f t="shared" si="7"/>
        <v>2796136.6761161615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0.15790000000000001</v>
      </c>
      <c r="D21" s="443">
        <f t="shared" si="2"/>
        <v>12.158300000000001</v>
      </c>
      <c r="E21" s="75"/>
      <c r="F21" s="71">
        <f>Gen!U27</f>
        <v>2624</v>
      </c>
      <c r="G21" s="86">
        <f>Gen!T27</f>
        <v>997.16000000000008</v>
      </c>
      <c r="H21" s="86">
        <f>[1]Gen!AJ30</f>
        <v>783.92</v>
      </c>
      <c r="I21" s="86">
        <f t="shared" si="0"/>
        <v>1781.08</v>
      </c>
      <c r="J21" s="86">
        <f>[1]Gen!AT27</f>
        <v>36688.350000000035</v>
      </c>
      <c r="K21" s="70">
        <f>'Water-Meter'!E22</f>
        <v>71</v>
      </c>
      <c r="L21" s="457">
        <f>'Lpg (2)'!G26</f>
        <v>94.468000000005134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3935919.6379999998</v>
      </c>
      <c r="R21" s="77">
        <f t="shared" si="3"/>
        <v>204.37049186667758</v>
      </c>
      <c r="S21" s="447" t="e">
        <f t="shared" si="4"/>
        <v>#DIV/0!</v>
      </c>
      <c r="T21" s="77">
        <f t="shared" si="5"/>
        <v>4.5719696969696972</v>
      </c>
      <c r="U21" s="123">
        <f t="shared" si="6"/>
        <v>117.07113888889525</v>
      </c>
      <c r="V21" s="18">
        <f t="shared" si="7"/>
        <v>3936041.2811085857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0.15790000000000001</v>
      </c>
      <c r="D22" s="443">
        <f t="shared" si="2"/>
        <v>12.158300000000001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 t="str">
        <f>'Water-Meter'!E23</f>
        <v>0</v>
      </c>
      <c r="L22" s="457">
        <f>'Lpg (2)'!G27</f>
        <v>-320086.00800000003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0</v>
      </c>
      <c r="U22" s="123">
        <f t="shared" si="6"/>
        <v>-396672.2435000001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</v>
      </c>
      <c r="D23" s="443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457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0</v>
      </c>
      <c r="U23" s="123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</v>
      </c>
      <c r="D24" s="443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7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</v>
      </c>
      <c r="D25" s="443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7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7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</v>
      </c>
      <c r="D26" s="443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7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7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0</v>
      </c>
      <c r="D27" s="443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7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7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0</v>
      </c>
      <c r="D28" s="443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7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7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0</v>
      </c>
      <c r="D29" s="443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7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7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0</v>
      </c>
      <c r="D30" s="443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7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7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443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7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7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443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7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7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443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7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7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924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0" t="s">
        <v>180</v>
      </c>
      <c r="B1" s="951"/>
      <c r="C1" s="951"/>
      <c r="D1" s="951"/>
      <c r="E1" s="951"/>
      <c r="F1" s="951"/>
      <c r="G1" s="952"/>
    </row>
    <row r="2" spans="1:7" ht="13.5" thickBot="1">
      <c r="A2" s="302"/>
      <c r="B2" s="953" t="s">
        <v>175</v>
      </c>
      <c r="C2" s="954"/>
      <c r="D2" s="955"/>
      <c r="E2" s="953" t="s">
        <v>176</v>
      </c>
      <c r="F2" s="954"/>
      <c r="G2" s="955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E39" sqref="E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0" t="s">
        <v>230</v>
      </c>
      <c r="B1" s="951"/>
      <c r="C1" s="951"/>
      <c r="D1" s="951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847">
        <v>8470098</v>
      </c>
      <c r="D36" s="399">
        <f t="shared" si="1"/>
        <v>15727</v>
      </c>
      <c r="E36" s="847">
        <v>15726.66</v>
      </c>
      <c r="F36" s="498">
        <f t="shared" si="2"/>
        <v>0.34000000000014552</v>
      </c>
      <c r="G36" s="499">
        <f t="shared" si="3"/>
        <v>270861</v>
      </c>
      <c r="H36" s="847">
        <v>271447</v>
      </c>
      <c r="I36" s="270">
        <f t="shared" si="4"/>
        <v>586</v>
      </c>
      <c r="J36" s="847">
        <v>585.84</v>
      </c>
      <c r="K36" s="277">
        <f t="shared" si="5"/>
        <v>0.15999999999996817</v>
      </c>
      <c r="L36" s="500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8">
        <f t="shared" si="2"/>
        <v>-8470098</v>
      </c>
      <c r="G37" s="499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500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6"/>
      <c r="C76" s="957"/>
      <c r="D76" s="957"/>
      <c r="E76" s="958"/>
      <c r="H76" s="956"/>
      <c r="I76" s="957"/>
      <c r="J76" s="957"/>
      <c r="K76" s="957"/>
      <c r="L76" s="958"/>
    </row>
    <row r="77" spans="1:12">
      <c r="B77" s="959"/>
      <c r="C77" s="960"/>
      <c r="D77" s="960"/>
      <c r="E77" s="961"/>
      <c r="H77" s="959"/>
      <c r="I77" s="960"/>
      <c r="J77" s="960"/>
      <c r="K77" s="960"/>
      <c r="L77" s="961"/>
    </row>
    <row r="78" spans="1:12">
      <c r="B78" s="959"/>
      <c r="C78" s="960"/>
      <c r="D78" s="960"/>
      <c r="E78" s="961"/>
      <c r="H78" s="959"/>
      <c r="I78" s="960"/>
      <c r="J78" s="960"/>
      <c r="K78" s="960"/>
      <c r="L78" s="961"/>
    </row>
    <row r="79" spans="1:12">
      <c r="B79" s="959"/>
      <c r="C79" s="960"/>
      <c r="D79" s="960"/>
      <c r="E79" s="961"/>
      <c r="H79" s="959"/>
      <c r="I79" s="960"/>
      <c r="J79" s="960"/>
      <c r="K79" s="960"/>
      <c r="L79" s="961"/>
    </row>
    <row r="80" spans="1:12">
      <c r="B80" s="959"/>
      <c r="C80" s="960"/>
      <c r="D80" s="960"/>
      <c r="E80" s="961"/>
      <c r="H80" s="959"/>
      <c r="I80" s="960"/>
      <c r="J80" s="960"/>
      <c r="K80" s="960"/>
      <c r="L80" s="961"/>
    </row>
    <row r="81" spans="2:12">
      <c r="B81" s="959"/>
      <c r="C81" s="960"/>
      <c r="D81" s="960"/>
      <c r="E81" s="961"/>
      <c r="H81" s="959"/>
      <c r="I81" s="960"/>
      <c r="J81" s="960"/>
      <c r="K81" s="960"/>
      <c r="L81" s="961"/>
    </row>
    <row r="82" spans="2:12">
      <c r="B82" s="959"/>
      <c r="C82" s="960"/>
      <c r="D82" s="960"/>
      <c r="E82" s="961"/>
      <c r="H82" s="959"/>
      <c r="I82" s="960"/>
      <c r="J82" s="960"/>
      <c r="K82" s="960"/>
      <c r="L82" s="961"/>
    </row>
    <row r="83" spans="2:12">
      <c r="B83" s="959"/>
      <c r="C83" s="960"/>
      <c r="D83" s="960"/>
      <c r="E83" s="961"/>
      <c r="H83" s="959"/>
      <c r="I83" s="960"/>
      <c r="J83" s="960"/>
      <c r="K83" s="960"/>
      <c r="L83" s="961"/>
    </row>
    <row r="84" spans="2:12">
      <c r="B84" s="959"/>
      <c r="C84" s="960"/>
      <c r="D84" s="960"/>
      <c r="E84" s="961"/>
      <c r="H84" s="959"/>
      <c r="I84" s="960"/>
      <c r="J84" s="960"/>
      <c r="K84" s="960"/>
      <c r="L84" s="961"/>
    </row>
    <row r="85" spans="2:12">
      <c r="B85" s="959"/>
      <c r="C85" s="960"/>
      <c r="D85" s="960"/>
      <c r="E85" s="961"/>
      <c r="H85" s="959"/>
      <c r="I85" s="960"/>
      <c r="J85" s="960"/>
      <c r="K85" s="960"/>
      <c r="L85" s="961"/>
    </row>
    <row r="86" spans="2:12">
      <c r="B86" s="959"/>
      <c r="C86" s="960"/>
      <c r="D86" s="960"/>
      <c r="E86" s="961"/>
      <c r="H86" s="959"/>
      <c r="I86" s="960"/>
      <c r="J86" s="960"/>
      <c r="K86" s="960"/>
      <c r="L86" s="961"/>
    </row>
    <row r="87" spans="2:12">
      <c r="B87" s="959"/>
      <c r="C87" s="960"/>
      <c r="D87" s="960"/>
      <c r="E87" s="961"/>
      <c r="H87" s="959"/>
      <c r="I87" s="960"/>
      <c r="J87" s="960"/>
      <c r="K87" s="960"/>
      <c r="L87" s="961"/>
    </row>
    <row r="88" spans="2:12">
      <c r="B88" s="959"/>
      <c r="C88" s="960"/>
      <c r="D88" s="960"/>
      <c r="E88" s="961"/>
      <c r="H88" s="959"/>
      <c r="I88" s="960"/>
      <c r="J88" s="960"/>
      <c r="K88" s="960"/>
      <c r="L88" s="961"/>
    </row>
    <row r="89" spans="2:12">
      <c r="B89" s="959"/>
      <c r="C89" s="960"/>
      <c r="D89" s="960"/>
      <c r="E89" s="961"/>
      <c r="H89" s="959"/>
      <c r="I89" s="960"/>
      <c r="J89" s="960"/>
      <c r="K89" s="960"/>
      <c r="L89" s="961"/>
    </row>
    <row r="90" spans="2:12" ht="13.5" thickBot="1">
      <c r="B90" s="962"/>
      <c r="C90" s="963"/>
      <c r="D90" s="963"/>
      <c r="E90" s="964"/>
      <c r="H90" s="962"/>
      <c r="I90" s="963"/>
      <c r="J90" s="963"/>
      <c r="K90" s="963"/>
      <c r="L90" s="964"/>
    </row>
    <row r="91" spans="2:12">
      <c r="B91" s="965" t="s">
        <v>312</v>
      </c>
      <c r="C91" s="966"/>
      <c r="D91" s="966"/>
      <c r="E91" s="967"/>
      <c r="H91" s="965" t="s">
        <v>313</v>
      </c>
      <c r="I91" s="966"/>
      <c r="J91" s="966"/>
      <c r="K91" s="966"/>
      <c r="L91" s="967"/>
    </row>
    <row r="92" spans="2:12">
      <c r="B92" s="968"/>
      <c r="C92" s="969"/>
      <c r="D92" s="969"/>
      <c r="E92" s="970"/>
      <c r="H92" s="968"/>
      <c r="I92" s="969"/>
      <c r="J92" s="969"/>
      <c r="K92" s="969"/>
      <c r="L92" s="970"/>
    </row>
    <row r="93" spans="2:12" ht="13.5" thickBot="1">
      <c r="B93" s="971"/>
      <c r="C93" s="972"/>
      <c r="D93" s="972"/>
      <c r="E93" s="973"/>
      <c r="H93" s="971"/>
      <c r="I93" s="972"/>
      <c r="J93" s="972"/>
      <c r="K93" s="972"/>
      <c r="L93" s="97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M31" sqref="M3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4" t="s">
        <v>254</v>
      </c>
      <c r="B1" s="974"/>
      <c r="C1" s="974"/>
      <c r="D1" s="974"/>
      <c r="E1" s="974"/>
      <c r="F1" s="974"/>
      <c r="G1" s="974"/>
      <c r="H1" s="974"/>
      <c r="I1" s="974"/>
      <c r="J1" s="974"/>
    </row>
    <row r="2" spans="1:10" ht="19.5" thickBot="1">
      <c r="A2" s="983">
        <f>A5</f>
        <v>44105</v>
      </c>
      <c r="B2" s="984"/>
      <c r="C2" s="984"/>
      <c r="D2" s="984"/>
      <c r="E2" s="984"/>
      <c r="F2" s="984"/>
      <c r="G2" s="984"/>
      <c r="H2" s="984"/>
      <c r="I2" s="984"/>
      <c r="J2" s="984"/>
    </row>
    <row r="3" spans="1:10" ht="15.75" thickBot="1">
      <c r="A3" s="975" t="s">
        <v>7</v>
      </c>
      <c r="B3" s="977" t="s">
        <v>255</v>
      </c>
      <c r="C3" s="449"/>
      <c r="D3" s="979" t="s">
        <v>256</v>
      </c>
      <c r="E3" s="980"/>
      <c r="F3" s="981" t="s">
        <v>257</v>
      </c>
      <c r="G3" s="982"/>
      <c r="H3" s="980"/>
      <c r="I3" s="981" t="s">
        <v>258</v>
      </c>
      <c r="J3" s="980"/>
    </row>
    <row r="4" spans="1:10" ht="30.75" thickBot="1">
      <c r="A4" s="976"/>
      <c r="B4" s="978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38003.53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37092.49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36116.25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35072.49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34147.86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33210.879999999997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32228.289999999997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31277.719999999998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30229.899999999998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44162.58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43167.53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42120.06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41113.81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204.00000000008731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58.87</v>
      </c>
      <c r="D18" s="454">
        <f>Gen!T24</f>
        <v>974.17000000000007</v>
      </c>
      <c r="E18" s="402">
        <f>Gen!D24</f>
        <v>40046.759999999995</v>
      </c>
      <c r="F18" s="403">
        <f>'Water-Meter'!E19</f>
        <v>43</v>
      </c>
      <c r="G18" s="404">
        <f>'Water-Meter'!AN19</f>
        <v>124</v>
      </c>
      <c r="H18" s="402">
        <f>'Utility report '!AC19</f>
        <v>20</v>
      </c>
      <c r="I18" s="401">
        <f>'Kit report'!F17</f>
        <v>203.99999999986903</v>
      </c>
      <c r="J18" s="402">
        <f>'Kit report'!X17</f>
        <v>60.00000000003638</v>
      </c>
    </row>
    <row r="19" spans="1:10" ht="17.100000000000001" customHeight="1">
      <c r="A19" s="218">
        <f>Gen!B25</f>
        <v>44119</v>
      </c>
      <c r="B19" s="406">
        <f>Gen!C25</f>
        <v>5.1900000000000002E-2</v>
      </c>
      <c r="C19" s="453">
        <f>Gen!AK25</f>
        <v>0</v>
      </c>
      <c r="D19" s="454">
        <f>Gen!T25</f>
        <v>1042.8800000000001</v>
      </c>
      <c r="E19" s="402">
        <f>Gen!D25</f>
        <v>39013.719999999994</v>
      </c>
      <c r="F19" s="403">
        <f>'Water-Meter'!E20</f>
        <v>48</v>
      </c>
      <c r="G19" s="404">
        <f>'Water-Meter'!AN20</f>
        <v>108</v>
      </c>
      <c r="H19" s="402">
        <f>'Utility report '!AC20</f>
        <v>45</v>
      </c>
      <c r="I19" s="401">
        <f>'Kit report'!F18</f>
        <v>204.00000000008731</v>
      </c>
      <c r="J19" s="402">
        <f>'Kit report'!X18</f>
        <v>160.00000000003638</v>
      </c>
    </row>
    <row r="20" spans="1:10" ht="17.100000000000001" customHeight="1">
      <c r="A20" s="218">
        <f>Gen!B26</f>
        <v>44120</v>
      </c>
      <c r="B20" s="406">
        <f>Gen!C26</f>
        <v>0.1169</v>
      </c>
      <c r="C20" s="453">
        <f>Gen!AK26</f>
        <v>102.83999999999999</v>
      </c>
      <c r="D20" s="454">
        <f>Gen!T26</f>
        <v>1176.97</v>
      </c>
      <c r="E20" s="402">
        <f>Gen!D26</f>
        <v>37970.839999999997</v>
      </c>
      <c r="F20" s="403">
        <f>'Water-Meter'!E21</f>
        <v>56</v>
      </c>
      <c r="G20" s="404">
        <f>'Water-Meter'!AN21</f>
        <v>106</v>
      </c>
      <c r="H20" s="402">
        <f>'Utility report '!AC21</f>
        <v>60</v>
      </c>
      <c r="I20" s="401">
        <f>'Kit report'!F19</f>
        <v>227.99999999995634</v>
      </c>
      <c r="J20" s="402">
        <f>'Kit report'!X19</f>
        <v>60.00000000003638</v>
      </c>
    </row>
    <row r="21" spans="1:10" ht="15">
      <c r="A21" s="218">
        <f>Gen!B27</f>
        <v>44121</v>
      </c>
      <c r="B21" s="406">
        <f>Gen!C27</f>
        <v>0.15790000000000001</v>
      </c>
      <c r="C21" s="453">
        <f>Gen!AK27</f>
        <v>163</v>
      </c>
      <c r="D21" s="454">
        <f>Gen!T27</f>
        <v>997.16000000000008</v>
      </c>
      <c r="E21" s="402">
        <f>Gen!D27</f>
        <v>36691.03</v>
      </c>
      <c r="F21" s="403">
        <f>'Water-Meter'!E22</f>
        <v>71</v>
      </c>
      <c r="G21" s="404">
        <f>'Water-Meter'!AN22</f>
        <v>77</v>
      </c>
      <c r="H21" s="402">
        <f>'Utility report '!AC22</f>
        <v>84</v>
      </c>
      <c r="I21" s="401">
        <f>'Kit report'!F20</f>
        <v>252.00000000004366</v>
      </c>
      <c r="J21" s="402">
        <f>'Kit report'!X20</f>
        <v>79.99999999992724</v>
      </c>
    </row>
    <row r="22" spans="1:10" ht="15" customHeight="1">
      <c r="A22" s="218">
        <f>Gen!B28</f>
        <v>44122</v>
      </c>
      <c r="B22" s="406">
        <f>Gen!C28</f>
        <v>0.15790000000000001</v>
      </c>
      <c r="C22" s="453">
        <f>Gen!AK28</f>
        <v>0</v>
      </c>
      <c r="D22" s="454">
        <f>Gen!T28</f>
        <v>0</v>
      </c>
      <c r="E22" s="402">
        <f>Gen!D28</f>
        <v>35530.869999999995</v>
      </c>
      <c r="F22" s="403" t="str">
        <f>'Water-Meter'!E23</f>
        <v>0</v>
      </c>
      <c r="G22" s="404">
        <f>'Water-Meter'!AN23</f>
        <v>0</v>
      </c>
      <c r="H22" s="402">
        <f>'Utility report '!AC23</f>
        <v>-40175</v>
      </c>
      <c r="I22" s="401">
        <f>'Kit report'!F21</f>
        <v>-1065060</v>
      </c>
      <c r="J22" s="402">
        <f>'Kit report'!X21</f>
        <v>-1567040</v>
      </c>
    </row>
    <row r="23" spans="1:10" ht="15" customHeight="1">
      <c r="A23" s="218">
        <f>Gen!B29</f>
        <v>44123</v>
      </c>
      <c r="B23" s="406">
        <f>Gen!C29</f>
        <v>0</v>
      </c>
      <c r="C23" s="453">
        <f>Gen!AK29</f>
        <v>0</v>
      </c>
      <c r="D23" s="454">
        <f>Gen!T29</f>
        <v>0</v>
      </c>
      <c r="E23" s="402">
        <f>Gen!D29</f>
        <v>35530.869999999995</v>
      </c>
      <c r="F23" s="403">
        <f>'Water-Meter'!E24</f>
        <v>0</v>
      </c>
      <c r="G23" s="404">
        <f>'Water-Meter'!AN24</f>
        <v>0</v>
      </c>
      <c r="H23" s="402">
        <f>'Utility report '!AC24</f>
        <v>0</v>
      </c>
      <c r="I23" s="401">
        <f>'Kit report'!F22</f>
        <v>0</v>
      </c>
      <c r="J23" s="402">
        <f>'Kit report'!X22</f>
        <v>0</v>
      </c>
    </row>
    <row r="24" spans="1:10" ht="15" customHeight="1">
      <c r="A24" s="218">
        <f>Gen!B30</f>
        <v>44124</v>
      </c>
      <c r="B24" s="406">
        <f>Gen!C30</f>
        <v>0</v>
      </c>
      <c r="C24" s="453">
        <f>Gen!AK30</f>
        <v>0</v>
      </c>
      <c r="D24" s="454">
        <f>Gen!T30</f>
        <v>0</v>
      </c>
      <c r="E24" s="402">
        <f>Gen!D30</f>
        <v>35530.869999999995</v>
      </c>
      <c r="F24" s="403">
        <f>'Water-Meter'!E25</f>
        <v>0</v>
      </c>
      <c r="G24" s="404">
        <f>'Water-Meter'!AN25</f>
        <v>0</v>
      </c>
      <c r="H24" s="402">
        <f>'Utility report '!AC25</f>
        <v>0</v>
      </c>
      <c r="I24" s="401">
        <f>'Kit report'!F23</f>
        <v>0</v>
      </c>
      <c r="J24" s="402">
        <f>'Kit report'!X23</f>
        <v>0</v>
      </c>
    </row>
    <row r="25" spans="1:10" ht="15" customHeight="1">
      <c r="A25" s="218">
        <f>Gen!B31</f>
        <v>44125</v>
      </c>
      <c r="B25" s="406">
        <f>Gen!C31</f>
        <v>0</v>
      </c>
      <c r="C25" s="453">
        <f>Gen!AK31</f>
        <v>0</v>
      </c>
      <c r="D25" s="454">
        <f>Gen!T31</f>
        <v>0</v>
      </c>
      <c r="E25" s="402">
        <f>Gen!D31</f>
        <v>35530.869999999995</v>
      </c>
      <c r="F25" s="403">
        <f>'Water-Meter'!E26</f>
        <v>0</v>
      </c>
      <c r="G25" s="404">
        <f>'Water-Meter'!AN26</f>
        <v>0</v>
      </c>
      <c r="H25" s="402">
        <f>'Utility report '!AC26</f>
        <v>0</v>
      </c>
      <c r="I25" s="401">
        <f>'Kit report'!F24</f>
        <v>0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</v>
      </c>
      <c r="C26" s="453">
        <f>Gen!AK32</f>
        <v>0</v>
      </c>
      <c r="D26" s="454">
        <f>Gen!T32</f>
        <v>0</v>
      </c>
      <c r="E26" s="402">
        <f>Gen!D32</f>
        <v>35530.869999999995</v>
      </c>
      <c r="F26" s="403">
        <f>'Water-Meter'!E27</f>
        <v>0</v>
      </c>
      <c r="G26" s="404">
        <f>'Water-Meter'!AN27</f>
        <v>0</v>
      </c>
      <c r="H26" s="402">
        <f>'Utility report '!AC27</f>
        <v>0</v>
      </c>
      <c r="I26" s="401">
        <f>'Kit report'!F25</f>
        <v>0</v>
      </c>
      <c r="J26" s="402">
        <f>'Kit report'!X25</f>
        <v>0</v>
      </c>
    </row>
    <row r="27" spans="1:10" ht="15" customHeight="1">
      <c r="A27" s="218">
        <f>Gen!B33</f>
        <v>44127</v>
      </c>
      <c r="B27" s="406">
        <f>Gen!C33</f>
        <v>0</v>
      </c>
      <c r="C27" s="453">
        <f>Gen!AK33</f>
        <v>0</v>
      </c>
      <c r="D27" s="454">
        <f>Gen!T33</f>
        <v>0</v>
      </c>
      <c r="E27" s="402">
        <f>Gen!D33</f>
        <v>35530.869999999995</v>
      </c>
      <c r="F27" s="403">
        <f>'Water-Meter'!E28</f>
        <v>0</v>
      </c>
      <c r="G27" s="404">
        <f>'Water-Meter'!AN28</f>
        <v>0</v>
      </c>
      <c r="H27" s="402">
        <f>'Utility report '!AC28</f>
        <v>0</v>
      </c>
      <c r="I27" s="401">
        <f>'Kit report'!F26</f>
        <v>0</v>
      </c>
      <c r="J27" s="402">
        <f>'Kit report'!X26</f>
        <v>0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0</v>
      </c>
      <c r="D28" s="454">
        <f>Gen!T34</f>
        <v>0</v>
      </c>
      <c r="E28" s="402">
        <f>Gen!D34</f>
        <v>35530.869999999995</v>
      </c>
      <c r="F28" s="403">
        <f>'Water-Meter'!E29</f>
        <v>0</v>
      </c>
      <c r="G28" s="404">
        <f>'Water-Meter'!AN29</f>
        <v>0</v>
      </c>
      <c r="H28" s="402">
        <f>'Utility report '!AC29</f>
        <v>0</v>
      </c>
      <c r="I28" s="401">
        <f>'Kit report'!F27</f>
        <v>0</v>
      </c>
      <c r="J28" s="402">
        <f>'Kit report'!X27</f>
        <v>0</v>
      </c>
    </row>
    <row r="29" spans="1:10" ht="15" customHeight="1">
      <c r="A29" s="218">
        <f>Gen!B35</f>
        <v>44129</v>
      </c>
      <c r="B29" s="406">
        <f>Gen!C35</f>
        <v>0</v>
      </c>
      <c r="C29" s="453">
        <f>Gen!AK35</f>
        <v>0</v>
      </c>
      <c r="D29" s="454">
        <f>Gen!T35</f>
        <v>0</v>
      </c>
      <c r="E29" s="402">
        <f>Gen!D35</f>
        <v>35530.869999999995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44130</v>
      </c>
      <c r="B30" s="406">
        <f>Gen!C36</f>
        <v>0</v>
      </c>
      <c r="C30" s="453">
        <f>Gen!AK36</f>
        <v>0</v>
      </c>
      <c r="D30" s="454">
        <f>Gen!T36</f>
        <v>0</v>
      </c>
      <c r="E30" s="402">
        <f>Gen!D36</f>
        <v>35530.869999999995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44131</v>
      </c>
      <c r="B31" s="406">
        <f>Gen!C37</f>
        <v>0</v>
      </c>
      <c r="C31" s="453">
        <f>Gen!AK37</f>
        <v>0</v>
      </c>
      <c r="D31" s="454">
        <f>Gen!T37</f>
        <v>0</v>
      </c>
      <c r="E31" s="402">
        <f>Gen!D37</f>
        <v>35530.869999999995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44132</v>
      </c>
      <c r="B32" s="406">
        <f>Gen!C38</f>
        <v>0</v>
      </c>
      <c r="C32" s="453">
        <f>Gen!AK38</f>
        <v>0</v>
      </c>
      <c r="D32" s="454">
        <f>Gen!T38</f>
        <v>0</v>
      </c>
      <c r="E32" s="402">
        <f>Gen!D38</f>
        <v>35530.869999999995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44133</v>
      </c>
      <c r="B33" s="406">
        <f>Gen!C39</f>
        <v>0</v>
      </c>
      <c r="C33" s="453">
        <f>Gen!AK39</f>
        <v>0</v>
      </c>
      <c r="D33" s="454">
        <f>Gen!T39</f>
        <v>0</v>
      </c>
      <c r="E33" s="402">
        <f>Gen!D39</f>
        <v>35530.869999999995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35530.869999999995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35530.869999999995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35530.869999999995</v>
      </c>
      <c r="F36" s="403">
        <f>'Water-Meter'!E37</f>
        <v>0</v>
      </c>
      <c r="G36" s="404">
        <f>'Water-Meter'!AN37</f>
        <v>677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2020-10-18T05:21:31Z</dcterms:modified>
</cp:coreProperties>
</file>