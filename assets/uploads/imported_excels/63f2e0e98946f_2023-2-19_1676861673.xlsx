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R:\03 Documents\20 HEP\2. FS Macao_HEP_Daily\Grand Suites\2022\"/>
    </mc:Choice>
  </mc:AlternateContent>
  <bookViews>
    <workbookView xWindow="-105" yWindow="-105" windowWidth="23250" windowHeight="12450" tabRatio="620" activeTab="1"/>
  </bookViews>
  <sheets>
    <sheet name="TOTAL" sheetId="117" r:id="rId1"/>
    <sheet name="Macao Daily" sheetId="119" r:id="rId2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" i="119" l="1"/>
  <c r="H5" i="119"/>
  <c r="H6" i="119" l="1"/>
  <c r="I3" i="117" s="1"/>
  <c r="H7" i="119"/>
  <c r="I4" i="117" s="1"/>
  <c r="H8" i="119"/>
  <c r="I5" i="117" s="1"/>
  <c r="H9" i="119"/>
  <c r="I6" i="117" s="1"/>
  <c r="H10" i="119"/>
  <c r="I7" i="117" s="1"/>
  <c r="H11" i="119"/>
  <c r="I8" i="117" s="1"/>
  <c r="H12" i="119"/>
  <c r="I9" i="117" s="1"/>
  <c r="H13" i="119"/>
  <c r="I10" i="117" s="1"/>
  <c r="H14" i="119"/>
  <c r="I11" i="117" s="1"/>
  <c r="H15" i="119"/>
  <c r="I12" i="117" s="1"/>
  <c r="H16" i="119"/>
  <c r="I13" i="117" s="1"/>
  <c r="H17" i="119"/>
  <c r="I14" i="117" s="1"/>
  <c r="H18" i="119"/>
  <c r="I15" i="117" s="1"/>
  <c r="H19" i="119"/>
  <c r="I16" i="117" s="1"/>
  <c r="H20" i="119"/>
  <c r="I17" i="117" s="1"/>
  <c r="H21" i="119"/>
  <c r="I18" i="117" s="1"/>
  <c r="H22" i="119"/>
  <c r="I19" i="117" s="1"/>
  <c r="H23" i="119"/>
  <c r="I20" i="117" s="1"/>
  <c r="H24" i="119"/>
  <c r="I21" i="117" s="1"/>
  <c r="H25" i="119"/>
  <c r="I22" i="117" s="1"/>
  <c r="H26" i="119"/>
  <c r="I23" i="117" s="1"/>
  <c r="H27" i="119"/>
  <c r="I24" i="117" s="1"/>
  <c r="H28" i="119"/>
  <c r="I25" i="117" s="1"/>
  <c r="H29" i="119"/>
  <c r="I26" i="117" s="1"/>
  <c r="H30" i="119"/>
  <c r="I27" i="117" s="1"/>
  <c r="H31" i="119"/>
  <c r="I28" i="117" s="1"/>
  <c r="H32" i="119"/>
  <c r="I29" i="117" s="1"/>
  <c r="H33" i="119"/>
  <c r="I30" i="117" s="1"/>
  <c r="H34" i="119"/>
  <c r="I31" i="117" s="1"/>
  <c r="H35" i="119"/>
  <c r="I32" i="117" s="1"/>
  <c r="I2" i="117"/>
  <c r="M32" i="117" l="1"/>
  <c r="N32" i="117"/>
  <c r="M3" i="117" l="1"/>
  <c r="N3" i="117"/>
  <c r="M4" i="117"/>
  <c r="N4" i="117"/>
  <c r="M5" i="117"/>
  <c r="N5" i="117"/>
  <c r="M6" i="117"/>
  <c r="N6" i="117"/>
  <c r="M7" i="117"/>
  <c r="N7" i="117"/>
  <c r="M8" i="117"/>
  <c r="N8" i="117"/>
  <c r="M9" i="117"/>
  <c r="N9" i="117"/>
  <c r="M10" i="117"/>
  <c r="N10" i="117"/>
  <c r="M11" i="117"/>
  <c r="N11" i="117"/>
  <c r="M12" i="117"/>
  <c r="N12" i="117"/>
  <c r="M13" i="117"/>
  <c r="N13" i="117"/>
  <c r="M14" i="117"/>
  <c r="N14" i="117"/>
  <c r="M15" i="117"/>
  <c r="N15" i="117"/>
  <c r="M16" i="117"/>
  <c r="N16" i="117"/>
  <c r="M17" i="117"/>
  <c r="N17" i="117"/>
  <c r="M18" i="117"/>
  <c r="N18" i="117"/>
  <c r="M19" i="117"/>
  <c r="N19" i="117"/>
  <c r="M20" i="117"/>
  <c r="N20" i="117"/>
  <c r="M21" i="117"/>
  <c r="N21" i="117"/>
  <c r="M22" i="117"/>
  <c r="N22" i="117"/>
  <c r="M23" i="117"/>
  <c r="N23" i="117"/>
  <c r="M24" i="117"/>
  <c r="N24" i="117"/>
  <c r="M25" i="117"/>
  <c r="N25" i="117"/>
  <c r="M26" i="117"/>
  <c r="N26" i="117"/>
  <c r="M27" i="117"/>
  <c r="N27" i="117"/>
  <c r="M28" i="117"/>
  <c r="N28" i="117"/>
  <c r="M29" i="117"/>
  <c r="N29" i="117"/>
  <c r="M30" i="117"/>
  <c r="N30" i="117"/>
  <c r="M31" i="117"/>
  <c r="N31" i="117"/>
  <c r="N2" i="117"/>
  <c r="M2" i="117"/>
  <c r="J35" i="119"/>
  <c r="K32" i="117" s="1"/>
  <c r="F35" i="119"/>
  <c r="G32" i="117" s="1"/>
  <c r="D35" i="119"/>
  <c r="E32" i="117" s="1"/>
  <c r="J34" i="119"/>
  <c r="K31" i="117" s="1"/>
  <c r="F34" i="119"/>
  <c r="G31" i="117" s="1"/>
  <c r="D34" i="119"/>
  <c r="E31" i="117" s="1"/>
  <c r="J33" i="119"/>
  <c r="K30" i="117" s="1"/>
  <c r="F33" i="119"/>
  <c r="G30" i="117" s="1"/>
  <c r="D33" i="119"/>
  <c r="E30" i="117" s="1"/>
  <c r="J32" i="119"/>
  <c r="K29" i="117" s="1"/>
  <c r="F32" i="119"/>
  <c r="G29" i="117" s="1"/>
  <c r="D32" i="119"/>
  <c r="E29" i="117" s="1"/>
  <c r="J31" i="119"/>
  <c r="K28" i="117" s="1"/>
  <c r="F31" i="119"/>
  <c r="G28" i="117" s="1"/>
  <c r="D31" i="119"/>
  <c r="E28" i="117" s="1"/>
  <c r="J30" i="119"/>
  <c r="K27" i="117" s="1"/>
  <c r="F30" i="119"/>
  <c r="G27" i="117" s="1"/>
  <c r="D30" i="119"/>
  <c r="E27" i="117" s="1"/>
  <c r="J29" i="119"/>
  <c r="K26" i="117" s="1"/>
  <c r="F29" i="119"/>
  <c r="G26" i="117" s="1"/>
  <c r="D29" i="119"/>
  <c r="E26" i="117" s="1"/>
  <c r="J28" i="119"/>
  <c r="K25" i="117" s="1"/>
  <c r="F28" i="119"/>
  <c r="G25" i="117" s="1"/>
  <c r="D28" i="119"/>
  <c r="E25" i="117" s="1"/>
  <c r="J27" i="119"/>
  <c r="K24" i="117" s="1"/>
  <c r="F27" i="119"/>
  <c r="G24" i="117" s="1"/>
  <c r="D27" i="119"/>
  <c r="E24" i="117" s="1"/>
  <c r="J26" i="119"/>
  <c r="K23" i="117" s="1"/>
  <c r="F26" i="119"/>
  <c r="G23" i="117" s="1"/>
  <c r="D26" i="119"/>
  <c r="E23" i="117" s="1"/>
  <c r="J25" i="119"/>
  <c r="K22" i="117" s="1"/>
  <c r="F25" i="119"/>
  <c r="G22" i="117" s="1"/>
  <c r="D25" i="119"/>
  <c r="E22" i="117" s="1"/>
  <c r="J24" i="119"/>
  <c r="K21" i="117" s="1"/>
  <c r="F24" i="119"/>
  <c r="G21" i="117" s="1"/>
  <c r="D24" i="119"/>
  <c r="E21" i="117" s="1"/>
  <c r="J23" i="119"/>
  <c r="K20" i="117" s="1"/>
  <c r="F23" i="119"/>
  <c r="G20" i="117" s="1"/>
  <c r="D23" i="119"/>
  <c r="E20" i="117" s="1"/>
  <c r="J22" i="119"/>
  <c r="K19" i="117" s="1"/>
  <c r="F22" i="119"/>
  <c r="G19" i="117" s="1"/>
  <c r="D22" i="119"/>
  <c r="E19" i="117" s="1"/>
  <c r="J21" i="119"/>
  <c r="K18" i="117" s="1"/>
  <c r="F21" i="119"/>
  <c r="G18" i="117" s="1"/>
  <c r="D21" i="119"/>
  <c r="E18" i="117" s="1"/>
  <c r="J20" i="119"/>
  <c r="K17" i="117" s="1"/>
  <c r="F20" i="119"/>
  <c r="G17" i="117" s="1"/>
  <c r="D20" i="119"/>
  <c r="E17" i="117" s="1"/>
  <c r="J19" i="119"/>
  <c r="K16" i="117" s="1"/>
  <c r="F19" i="119"/>
  <c r="G16" i="117" s="1"/>
  <c r="D19" i="119"/>
  <c r="E16" i="117" s="1"/>
  <c r="J18" i="119"/>
  <c r="K15" i="117" s="1"/>
  <c r="F18" i="119"/>
  <c r="G15" i="117" s="1"/>
  <c r="D18" i="119"/>
  <c r="E15" i="117" s="1"/>
  <c r="J17" i="119"/>
  <c r="K14" i="117" s="1"/>
  <c r="F17" i="119"/>
  <c r="G14" i="117" s="1"/>
  <c r="D17" i="119"/>
  <c r="E14" i="117" s="1"/>
  <c r="J16" i="119"/>
  <c r="K13" i="117" s="1"/>
  <c r="F16" i="119"/>
  <c r="G13" i="117" s="1"/>
  <c r="D16" i="119"/>
  <c r="E13" i="117" s="1"/>
  <c r="J15" i="119"/>
  <c r="K12" i="117" s="1"/>
  <c r="F15" i="119"/>
  <c r="G12" i="117" s="1"/>
  <c r="D15" i="119"/>
  <c r="E12" i="117" s="1"/>
  <c r="J14" i="119"/>
  <c r="K11" i="117" s="1"/>
  <c r="F14" i="119"/>
  <c r="G11" i="117" s="1"/>
  <c r="D14" i="119"/>
  <c r="E11" i="117" s="1"/>
  <c r="J13" i="119"/>
  <c r="K10" i="117" s="1"/>
  <c r="F13" i="119"/>
  <c r="G10" i="117" s="1"/>
  <c r="D13" i="119"/>
  <c r="E10" i="117" s="1"/>
  <c r="J12" i="119"/>
  <c r="K9" i="117" s="1"/>
  <c r="F12" i="119"/>
  <c r="G9" i="117" s="1"/>
  <c r="D12" i="119"/>
  <c r="E9" i="117" s="1"/>
  <c r="J11" i="119"/>
  <c r="K8" i="117" s="1"/>
  <c r="F11" i="119"/>
  <c r="G8" i="117" s="1"/>
  <c r="D11" i="119"/>
  <c r="E8" i="117" s="1"/>
  <c r="J10" i="119"/>
  <c r="K7" i="117" s="1"/>
  <c r="F10" i="119"/>
  <c r="G7" i="117" s="1"/>
  <c r="D10" i="119"/>
  <c r="E7" i="117" s="1"/>
  <c r="J9" i="119"/>
  <c r="K6" i="117" s="1"/>
  <c r="F9" i="119"/>
  <c r="G6" i="117" s="1"/>
  <c r="D9" i="119"/>
  <c r="E6" i="117" s="1"/>
  <c r="J8" i="119"/>
  <c r="K5" i="117" s="1"/>
  <c r="F8" i="119"/>
  <c r="G5" i="117" s="1"/>
  <c r="D8" i="119"/>
  <c r="E5" i="117" s="1"/>
  <c r="J7" i="119"/>
  <c r="K4" i="117" s="1"/>
  <c r="F7" i="119"/>
  <c r="G4" i="117" s="1"/>
  <c r="D7" i="119"/>
  <c r="E4" i="117" s="1"/>
  <c r="J6" i="119"/>
  <c r="K3" i="117" s="1"/>
  <c r="F6" i="119"/>
  <c r="G3" i="117" s="1"/>
  <c r="D6" i="119"/>
  <c r="E3" i="117" s="1"/>
  <c r="K2" i="117"/>
  <c r="F5" i="119"/>
  <c r="G2" i="117" s="1"/>
  <c r="D5" i="119"/>
  <c r="E2" i="117" s="1"/>
  <c r="B3" i="117" l="1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  <c r="B30" i="117" s="1"/>
  <c r="B31" i="117" s="1"/>
  <c r="B32" i="117" s="1"/>
</calcChain>
</file>

<file path=xl/sharedStrings.xml><?xml version="1.0" encoding="utf-8"?>
<sst xmlns="http://schemas.openxmlformats.org/spreadsheetml/2006/main" count="61" uniqueCount="29">
  <si>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</si>
  <si>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</si>
  <si>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</si>
  <si>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</si>
  <si>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</si>
  <si>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</si>
  <si>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</si>
  <si>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</si>
  <si>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</si>
  <si>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</si>
  <si>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</si>
  <si>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</si>
  <si>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</si>
  <si>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Food Covers</t>
  </si>
  <si>
    <t xml:space="preserve">Days </t>
  </si>
  <si>
    <t xml:space="preserve">Electricity Meter (KWh) </t>
  </si>
  <si>
    <t>Gas Kg</t>
  </si>
  <si>
    <t>District Cooling (KWh)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</si>
  <si>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</si>
  <si>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</si>
  <si>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</si>
  <si>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</si>
  <si>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</si>
  <si>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 xml:space="preserve"> Reading KWh</t>
  </si>
  <si>
    <t>Reading m³</t>
  </si>
  <si>
    <t xml:space="preserve">Daily Consumption m³ </t>
  </si>
  <si>
    <t>ROOM NIGHTS</t>
  </si>
  <si>
    <t>TOTAL GUESTS</t>
  </si>
  <si>
    <t>Macao the Grand Suites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</si>
</sst>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</numFmts>
  <fonts count="15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Segoe UI Emoji"/>
      <family val="2"/>
    </font>
  </fonts>
  <fills count="9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4">
    <xf numFmtId="0" fontId="0" fillId="0" borderId="0"/>
    <xf numFmtId="164" fontId="4" fillId="0" borderId="0" applyFont="0" applyFill="0" applyBorder="0" applyAlignment="0" applyProtection="0"/>
    <xf numFmtId="164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6" fillId="0" borderId="0"/>
    <xf numFmtId="0" fontId="3" fillId="0" borderId="0"/>
    <xf numFmtId="9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2" fillId="0" borderId="0"/>
    <xf numFmtId="0" fontId="1" fillId="0" borderId="0"/>
    <xf numFmtId="0" fontId="3" fillId="0" borderId="0"/>
  </cellStyleXfs>
  <cellXfs count="47">
    <xf numFmtId="0" fontId="0" fillId="0" borderId="0" xfId="0"/>
    <xf numFmtId="0" fontId="7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0" fillId="2" borderId="0" xfId="11" applyFont="1" applyFill="1" applyAlignment="1">
      <alignment horizontal="center"/>
    </xf>
    <xf numFmtId="1" fontId="11" fillId="2" borderId="0" xfId="11" applyNumberFormat="1" applyFont="1" applyFill="1" applyAlignment="1">
      <alignment horizontal="center"/>
    </xf>
    <xf numFmtId="1" fontId="2" fillId="0" borderId="1" xfId="11" applyNumberFormat="1" applyBorder="1" applyAlignment="1">
      <alignment horizontal="center"/>
    </xf>
    <xf numFmtId="0" fontId="2" fillId="0" borderId="0" xfId="11"/>
    <xf numFmtId="0" fontId="12" fillId="3" borderId="3" xfId="11" applyFont="1" applyFill="1" applyBorder="1" applyAlignment="1">
      <alignment horizontal="center" vertical="center" wrapText="1"/>
    </xf>
    <xf numFmtId="1" fontId="2" fillId="0" borderId="0" xfId="11" applyNumberFormat="1"/>
    <xf numFmtId="0" fontId="7" fillId="6" borderId="2" xfId="11" applyFont="1" applyFill="1" applyBorder="1" applyAlignment="1">
      <alignment horizontal="center" vertical="center"/>
    </xf>
    <xf numFmtId="0" fontId="7" fillId="7" borderId="9" xfId="11" applyFont="1" applyFill="1" applyBorder="1" applyAlignment="1">
      <alignment horizontal="center" vertical="center" wrapText="1"/>
    </xf>
    <xf numFmtId="1" fontId="7" fillId="7" borderId="2" xfId="11" applyNumberFormat="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wrapText="1"/>
    </xf>
    <xf numFmtId="1" fontId="7" fillId="8" borderId="1" xfId="11" applyNumberFormat="1" applyFont="1" applyFill="1" applyBorder="1" applyAlignment="1">
      <alignment horizontal="center" wrapText="1"/>
    </xf>
    <xf numFmtId="15" fontId="9" fillId="6" borderId="2" xfId="11" applyNumberFormat="1" applyFont="1" applyFill="1" applyBorder="1" applyAlignment="1">
      <alignment horizontal="center" vertical="center"/>
    </xf>
    <xf numFmtId="0" fontId="8" fillId="0" borderId="1" xfId="11" applyFont="1" applyBorder="1" applyAlignment="1">
      <alignment horizontal="center"/>
    </xf>
    <xf numFmtId="1" fontId="9" fillId="0" borderId="0" xfId="11" applyNumberFormat="1" applyFont="1" applyAlignment="1">
      <alignment horizontal="center"/>
    </xf>
    <xf numFmtId="0" fontId="8" fillId="0" borderId="0" xfId="11" applyFont="1" applyAlignment="1">
      <alignment horizontal="center"/>
    </xf>
    <xf numFmtId="0" fontId="8" fillId="0" borderId="0" xfId="11" applyFont="1"/>
    <xf numFmtId="1" fontId="8" fillId="0" borderId="1" xfId="11" applyNumberFormat="1" applyFont="1" applyBorder="1" applyAlignment="1">
      <alignment horizontal="center" vertical="center"/>
    </xf>
    <xf numFmtId="15" fontId="7" fillId="6" borderId="2" xfId="11" applyNumberFormat="1" applyFont="1" applyFill="1" applyBorder="1" applyAlignment="1">
      <alignment horizontal="center" vertical="center"/>
    </xf>
    <xf numFmtId="0" fontId="2" fillId="0" borderId="1" xfId="11" applyBorder="1" applyAlignment="1">
      <alignment horizontal="center"/>
    </xf>
    <xf numFmtId="1" fontId="14" fillId="0" borderId="1" xfId="11" applyNumberFormat="1" applyFont="1" applyBorder="1" applyAlignment="1">
      <alignment horizontal="center" vertical="center"/>
    </xf>
    <xf numFmtId="1" fontId="2" fillId="0" borderId="1" xfId="11" applyNumberFormat="1" applyBorder="1" applyAlignment="1">
      <alignment horizontal="center" vertical="center"/>
    </xf>
    <xf numFmtId="0" fontId="2" fillId="0" borderId="0" xfId="11" applyAlignment="1">
      <alignment horizontal="center"/>
    </xf>
    <xf numFmtId="1" fontId="7" fillId="0" borderId="0" xfId="11" applyNumberFormat="1" applyFont="1" applyAlignment="1">
      <alignment horizontal="center"/>
    </xf>
    <xf numFmtId="1" fontId="2" fillId="0" borderId="0" xfId="11" applyNumberFormat="1" applyAlignment="1">
      <alignment horizontal="center"/>
    </xf>
    <xf numFmtId="1" fontId="7" fillId="0" borderId="1" xfId="12" applyNumberFormat="1" applyFont="1" applyBorder="1" applyAlignment="1">
      <alignment horizontal="center" wrapText="1"/>
    </xf>
    <xf numFmtId="0" fontId="9" fillId="0" borderId="1" xfId="12" applyFont="1" applyBorder="1" applyAlignment="1">
      <alignment horizontal="center" wrapText="1"/>
    </xf>
    <xf numFmtId="2" fontId="8" fillId="0" borderId="1" xfId="0" applyNumberFormat="1" applyFont="1" applyBorder="1" applyAlignment="1">
      <alignment horizontal="center"/>
    </xf>
    <xf numFmtId="0" fontId="10" fillId="2" borderId="1" xfId="11" applyFont="1" applyFill="1" applyBorder="1" applyAlignment="1">
      <alignment horizontal="center"/>
    </xf>
    <xf numFmtId="0" fontId="11" fillId="2" borderId="2" xfId="11" applyFont="1" applyFill="1" applyBorder="1" applyAlignment="1">
      <alignment horizontal="center"/>
    </xf>
    <xf numFmtId="0" fontId="13" fillId="4" borderId="4" xfId="11" applyFont="1" applyFill="1" applyBorder="1" applyAlignment="1">
      <alignment horizontal="center" vertical="center"/>
    </xf>
    <xf numFmtId="0" fontId="13" fillId="4" borderId="5" xfId="11" applyFont="1" applyFill="1" applyBorder="1" applyAlignment="1">
      <alignment horizontal="center" vertical="center"/>
    </xf>
    <xf numFmtId="0" fontId="13" fillId="4" borderId="6" xfId="11" applyFont="1" applyFill="1" applyBorder="1" applyAlignment="1">
      <alignment horizontal="center" vertical="center"/>
    </xf>
    <xf numFmtId="0" fontId="7" fillId="5" borderId="7" xfId="11" applyFont="1" applyFill="1" applyBorder="1" applyAlignment="1">
      <alignment horizontal="center" vertical="center" wrapText="1"/>
    </xf>
    <xf numFmtId="0" fontId="7" fillId="5" borderId="8" xfId="11" applyFont="1" applyFill="1" applyBorder="1" applyAlignment="1">
      <alignment horizontal="center" vertical="center" wrapText="1"/>
    </xf>
    <xf numFmtId="0" fontId="13" fillId="4" borderId="10" xfId="11" applyFont="1" applyFill="1" applyBorder="1" applyAlignment="1">
      <alignment horizontal="center" vertical="center"/>
    </xf>
    <xf numFmtId="0" fontId="13" fillId="4" borderId="11" xfId="11" applyFont="1" applyFill="1" applyBorder="1" applyAlignment="1">
      <alignment horizontal="center" vertical="center"/>
    </xf>
  </cellXfs>
  <cellStyles count="14">
    <cellStyle name="Comma 2" xfId="1"/>
    <cellStyle name="Comma 3" xfId="2"/>
    <cellStyle name="Comma 4" xfId="3"/>
    <cellStyle name="Currency 2" xfId="4"/>
    <cellStyle name="Currency 3" xfId="5"/>
    <cellStyle name="Normal" xfId="0" builtinId="0"/>
    <cellStyle name="Normal 2" xfId="6"/>
    <cellStyle name="Normal 2 2" xfId="13"/>
    <cellStyle name="Normal 3" xfId="7"/>
    <cellStyle name="Normal 4" xfId="11"/>
    <cellStyle name="Normal 5" xfId="12"/>
    <cellStyle name="Percent 2" xfId="8"/>
    <cellStyle name="Percent 3" xfId="9"/>
    <cellStyle name="Percent 4" xfId="1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"/>
  <sheetViews>
    <sheetView zoomScale="70" zoomScaleNormal="70" workbookViewId="0">
      <selection activeCell="J19" sqref="J19"/>
    </sheetView>
  </sheetViews>
  <sheetFormatPr defaultRowHeight="12.75" x14ac:dyDescent="0.2"/>
  <cols>
    <col min="1" max="1" width="20.5703125" bestFit="1" customWidth="1"/>
    <col min="5" max="5" width="10.7109375" customWidth="1"/>
    <col min="6" max="6" width="12.140625" customWidth="1"/>
    <col min="11" max="11" width="10.85546875" customWidth="1"/>
    <col min="12" max="12" width="11.28515625" customWidth="1"/>
  </cols>
  <sheetData>
    <row r="1" spans="1:14" ht="60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6</v>
      </c>
      <c r="H1" s="4" t="s">
        <v>7</v>
      </c>
      <c r="I1" s="35" t="s">
        <v>8</v>
      </c>
      <c r="J1" s="36" t="s">
        <v>9</v>
      </c>
      <c r="K1" s="3" t="s">
        <v>10</v>
      </c>
      <c r="L1" s="5" t="s">
        <v>11</v>
      </c>
      <c r="M1" s="3" t="s">
        <v>12</v>
      </c>
      <c r="N1" s="3" t="s">
        <v>13</v>
      </c>
    </row>
    <row r="2" spans="1:14" ht="15" x14ac:dyDescent="0.25">
      <c r="A2" s="6" t="s">
        <v>28</v>
      </c>
      <c r="B2" s="7">
        <v>1</v>
      </c>
      <c r="C2" s="8">
        <v>12</v>
      </c>
      <c r="D2" s="7">
        <v>2022</v>
      </c>
      <c r="E2" s="9">
        <f>'Macao Daily'!D5</f>
        <v>27920</v>
      </c>
      <c r="F2" s="37">
        <v>1.2425999999999999</v>
      </c>
      <c r="G2" s="9">
        <f>'Macao Daily'!F5</f>
        <v>2</v>
      </c>
      <c r="H2" s="37">
        <v>3.3251433251433249</v>
      </c>
      <c r="I2" s="9">
        <f>'Macao Daily'!H5</f>
        <v>16320</v>
      </c>
      <c r="J2" s="37">
        <v>0.22</v>
      </c>
      <c r="K2" s="9">
        <f>'Macao Daily'!J5</f>
        <v>104</v>
      </c>
      <c r="L2" s="37">
        <v>7.7615999999999996</v>
      </c>
      <c r="M2" s="9">
        <f>'Macao Daily'!K5</f>
        <v>80</v>
      </c>
      <c r="N2" s="9">
        <f>'Macao Daily'!L5</f>
        <v>151</v>
      </c>
    </row>
    <row r="3" spans="1:14" ht="15" x14ac:dyDescent="0.25">
      <c r="A3" s="6" t="s">
        <v>28</v>
      </c>
      <c r="B3" s="7">
        <f>B2+1</f>
        <v>2</v>
      </c>
      <c r="C3" s="8">
        <v>12</v>
      </c>
      <c r="D3" s="7">
        <v>2022</v>
      </c>
      <c r="E3" s="9">
        <f>'Macao Daily'!D6</f>
        <v>31298</v>
      </c>
      <c r="F3" s="37">
        <v>1.2425999999999999</v>
      </c>
      <c r="G3" s="9">
        <f>'Macao Daily'!F6</f>
        <v>2</v>
      </c>
      <c r="H3" s="37">
        <v>3.3251433251433249</v>
      </c>
      <c r="I3" s="9">
        <f>'Macao Daily'!H6</f>
        <v>1248</v>
      </c>
      <c r="J3" s="37">
        <v>0.22</v>
      </c>
      <c r="K3" s="9">
        <f>'Macao Daily'!J6</f>
        <v>107</v>
      </c>
      <c r="L3" s="37">
        <v>7.7615999999999996</v>
      </c>
      <c r="M3" s="9">
        <f>'Macao Daily'!K6</f>
        <v>105</v>
      </c>
      <c r="N3" s="9">
        <f>'Macao Daily'!L6</f>
        <v>427</v>
      </c>
    </row>
    <row r="4" spans="1:14" ht="15" x14ac:dyDescent="0.25">
      <c r="A4" s="6" t="s">
        <v>28</v>
      </c>
      <c r="B4" s="7">
        <f t="shared" ref="B4:B32" si="0">B3+1</f>
        <v>3</v>
      </c>
      <c r="C4" s="8">
        <v>12</v>
      </c>
      <c r="D4" s="7">
        <v>2022</v>
      </c>
      <c r="E4" s="9">
        <f>'Macao Daily'!D7</f>
        <v>29531</v>
      </c>
      <c r="F4" s="37">
        <v>1.2425999999999999</v>
      </c>
      <c r="G4" s="9">
        <f>'Macao Daily'!F7</f>
        <v>4</v>
      </c>
      <c r="H4" s="37">
        <v>3.3251433251433249</v>
      </c>
      <c r="I4" s="9">
        <f>'Macao Daily'!H7</f>
        <v>4528</v>
      </c>
      <c r="J4" s="37">
        <v>0.22</v>
      </c>
      <c r="K4" s="9">
        <f>'Macao Daily'!J7</f>
        <v>68</v>
      </c>
      <c r="L4" s="37">
        <v>7.7615999999999996</v>
      </c>
      <c r="M4" s="9">
        <f>'Macao Daily'!K7</f>
        <v>115</v>
      </c>
      <c r="N4" s="9">
        <f>'Macao Daily'!L7</f>
        <v>694</v>
      </c>
    </row>
    <row r="5" spans="1:14" ht="15" x14ac:dyDescent="0.25">
      <c r="A5" s="6" t="s">
        <v>28</v>
      </c>
      <c r="B5" s="7">
        <f t="shared" si="0"/>
        <v>4</v>
      </c>
      <c r="C5" s="8">
        <v>12</v>
      </c>
      <c r="D5" s="7">
        <v>2022</v>
      </c>
      <c r="E5" s="9">
        <f>'Macao Daily'!D8</f>
        <v>29435</v>
      </c>
      <c r="F5" s="37">
        <v>1.2425999999999999</v>
      </c>
      <c r="G5" s="9">
        <f>'Macao Daily'!F8</f>
        <v>3</v>
      </c>
      <c r="H5" s="37">
        <v>3.3251433251433249</v>
      </c>
      <c r="I5" s="9">
        <f>'Macao Daily'!H8</f>
        <v>15392</v>
      </c>
      <c r="J5" s="37">
        <v>0.22</v>
      </c>
      <c r="K5" s="9">
        <f>'Macao Daily'!J8</f>
        <v>122</v>
      </c>
      <c r="L5" s="37">
        <v>7.7615999999999996</v>
      </c>
      <c r="M5" s="9">
        <f>'Macao Daily'!K8</f>
        <v>102</v>
      </c>
      <c r="N5" s="9">
        <f>'Macao Daily'!L8</f>
        <v>606</v>
      </c>
    </row>
    <row r="6" spans="1:14" ht="15" x14ac:dyDescent="0.25">
      <c r="A6" s="6" t="s">
        <v>28</v>
      </c>
      <c r="B6" s="7">
        <f t="shared" si="0"/>
        <v>5</v>
      </c>
      <c r="C6" s="8">
        <v>12</v>
      </c>
      <c r="D6" s="7">
        <v>2022</v>
      </c>
      <c r="E6" s="9">
        <f>'Macao Daily'!D9</f>
        <v>28103</v>
      </c>
      <c r="F6" s="37">
        <v>1.2425999999999999</v>
      </c>
      <c r="G6" s="9">
        <f>'Macao Daily'!F9</f>
        <v>5</v>
      </c>
      <c r="H6" s="37">
        <v>3.3251433251433249</v>
      </c>
      <c r="I6" s="9">
        <f>'Macao Daily'!H9</f>
        <v>8736</v>
      </c>
      <c r="J6" s="37">
        <v>0.22</v>
      </c>
      <c r="K6" s="9">
        <f>'Macao Daily'!J9</f>
        <v>100</v>
      </c>
      <c r="L6" s="37">
        <v>7.7615999999999996</v>
      </c>
      <c r="M6" s="9">
        <f>'Macao Daily'!K9</f>
        <v>79</v>
      </c>
      <c r="N6" s="9">
        <f>'Macao Daily'!L9</f>
        <v>123</v>
      </c>
    </row>
    <row r="7" spans="1:14" ht="15" x14ac:dyDescent="0.25">
      <c r="A7" s="6" t="s">
        <v>28</v>
      </c>
      <c r="B7" s="7">
        <f t="shared" si="0"/>
        <v>6</v>
      </c>
      <c r="C7" s="8">
        <v>12</v>
      </c>
      <c r="D7" s="7">
        <v>2022</v>
      </c>
      <c r="E7" s="9">
        <f>'Macao Daily'!D10</f>
        <v>30823</v>
      </c>
      <c r="F7" s="37">
        <v>1.2425999999999999</v>
      </c>
      <c r="G7" s="9">
        <f>'Macao Daily'!F10</f>
        <v>5</v>
      </c>
      <c r="H7" s="37">
        <v>3.3251433251433249</v>
      </c>
      <c r="I7" s="9">
        <f>'Macao Daily'!H10</f>
        <v>1616</v>
      </c>
      <c r="J7" s="37">
        <v>0.22</v>
      </c>
      <c r="K7" s="9">
        <f>'Macao Daily'!J10</f>
        <v>125</v>
      </c>
      <c r="L7" s="37">
        <v>7.7615999999999996</v>
      </c>
      <c r="M7" s="9">
        <f>'Macao Daily'!K10</f>
        <v>72</v>
      </c>
      <c r="N7" s="9">
        <f>'Macao Daily'!L10</f>
        <v>91</v>
      </c>
    </row>
    <row r="8" spans="1:14" ht="15" x14ac:dyDescent="0.25">
      <c r="A8" s="6" t="s">
        <v>28</v>
      </c>
      <c r="B8" s="7">
        <f t="shared" si="0"/>
        <v>7</v>
      </c>
      <c r="C8" s="8">
        <v>12</v>
      </c>
      <c r="D8" s="7">
        <v>2022</v>
      </c>
      <c r="E8" s="9">
        <f>'Macao Daily'!D11</f>
        <v>29372</v>
      </c>
      <c r="F8" s="37">
        <v>1.2425999999999999</v>
      </c>
      <c r="G8" s="9">
        <f>'Macao Daily'!F11</f>
        <v>4</v>
      </c>
      <c r="H8" s="37">
        <v>3.3251433251433249</v>
      </c>
      <c r="I8" s="9">
        <f>'Macao Daily'!H11</f>
        <v>3872</v>
      </c>
      <c r="J8" s="37">
        <v>0.22</v>
      </c>
      <c r="K8" s="9">
        <f>'Macao Daily'!J11</f>
        <v>122</v>
      </c>
      <c r="L8" s="37">
        <v>7.7615999999999996</v>
      </c>
      <c r="M8" s="9">
        <f>'Macao Daily'!K11</f>
        <v>72</v>
      </c>
      <c r="N8" s="9">
        <f>'Macao Daily'!L11</f>
        <v>116</v>
      </c>
    </row>
    <row r="9" spans="1:14" ht="15" x14ac:dyDescent="0.25">
      <c r="A9" s="6" t="s">
        <v>28</v>
      </c>
      <c r="B9" s="7">
        <f t="shared" si="0"/>
        <v>8</v>
      </c>
      <c r="C9" s="8">
        <v>12</v>
      </c>
      <c r="D9" s="7">
        <v>2022</v>
      </c>
      <c r="E9" s="9">
        <f>'Macao Daily'!D12</f>
        <v>28547</v>
      </c>
      <c r="F9" s="37">
        <v>1.2425999999999999</v>
      </c>
      <c r="G9" s="9">
        <f>'Macao Daily'!F12</f>
        <v>6</v>
      </c>
      <c r="H9" s="37">
        <v>3.3251433251433249</v>
      </c>
      <c r="I9" s="9">
        <f>'Macao Daily'!H12</f>
        <v>10512</v>
      </c>
      <c r="J9" s="37">
        <v>0.22</v>
      </c>
      <c r="K9" s="9">
        <f>'Macao Daily'!J12</f>
        <v>122</v>
      </c>
      <c r="L9" s="37">
        <v>7.7615999999999996</v>
      </c>
      <c r="M9" s="9">
        <f>'Macao Daily'!K12</f>
        <v>92</v>
      </c>
      <c r="N9" s="9">
        <f>'Macao Daily'!L12</f>
        <v>139</v>
      </c>
    </row>
    <row r="10" spans="1:14" ht="15" x14ac:dyDescent="0.25">
      <c r="A10" s="6" t="s">
        <v>28</v>
      </c>
      <c r="B10" s="7">
        <f t="shared" si="0"/>
        <v>9</v>
      </c>
      <c r="C10" s="8">
        <v>12</v>
      </c>
      <c r="D10" s="7">
        <v>2022</v>
      </c>
      <c r="E10" s="9">
        <f>'Macao Daily'!D13</f>
        <v>27917</v>
      </c>
      <c r="F10" s="37">
        <v>1.2425999999999999</v>
      </c>
      <c r="G10" s="9">
        <f>'Macao Daily'!F13</f>
        <v>4</v>
      </c>
      <c r="H10" s="37">
        <v>3.3251433251433249</v>
      </c>
      <c r="I10" s="9">
        <f>'Macao Daily'!H13</f>
        <v>13728</v>
      </c>
      <c r="J10" s="37">
        <v>0.22</v>
      </c>
      <c r="K10" s="9">
        <f>'Macao Daily'!J13</f>
        <v>100</v>
      </c>
      <c r="L10" s="37">
        <v>7.7615999999999996</v>
      </c>
      <c r="M10" s="9">
        <f>'Macao Daily'!K13</f>
        <v>119</v>
      </c>
      <c r="N10" s="9">
        <f>'Macao Daily'!L13</f>
        <v>329</v>
      </c>
    </row>
    <row r="11" spans="1:14" ht="15" x14ac:dyDescent="0.25">
      <c r="A11" s="6" t="s">
        <v>28</v>
      </c>
      <c r="B11" s="7">
        <f t="shared" si="0"/>
        <v>10</v>
      </c>
      <c r="C11" s="8">
        <v>12</v>
      </c>
      <c r="D11" s="7">
        <v>2022</v>
      </c>
      <c r="E11" s="9">
        <f>'Macao Daily'!D14</f>
        <v>29432</v>
      </c>
      <c r="F11" s="37">
        <v>1.2425999999999999</v>
      </c>
      <c r="G11" s="9">
        <f>'Macao Daily'!F14</f>
        <v>3</v>
      </c>
      <c r="H11" s="37">
        <v>3.3251433251433249</v>
      </c>
      <c r="I11" s="9">
        <f>'Macao Daily'!H14</f>
        <v>13960</v>
      </c>
      <c r="J11" s="37">
        <v>0.22</v>
      </c>
      <c r="K11" s="9">
        <f>'Macao Daily'!J14</f>
        <v>123</v>
      </c>
      <c r="L11" s="37">
        <v>7.7615999999999996</v>
      </c>
      <c r="M11" s="9">
        <f>'Macao Daily'!K14</f>
        <v>121</v>
      </c>
      <c r="N11" s="9">
        <f>'Macao Daily'!L14</f>
        <v>621</v>
      </c>
    </row>
    <row r="12" spans="1:14" ht="15" x14ac:dyDescent="0.25">
      <c r="A12" s="6" t="s">
        <v>28</v>
      </c>
      <c r="B12" s="7">
        <f t="shared" si="0"/>
        <v>11</v>
      </c>
      <c r="C12" s="8">
        <v>12</v>
      </c>
      <c r="D12" s="7">
        <v>2022</v>
      </c>
      <c r="E12" s="9">
        <f>'Macao Daily'!D15</f>
        <v>28570</v>
      </c>
      <c r="F12" s="37">
        <v>1.2425999999999999</v>
      </c>
      <c r="G12" s="9">
        <f>'Macao Daily'!F15</f>
        <v>3</v>
      </c>
      <c r="H12" s="37">
        <v>3.3251433251433249</v>
      </c>
      <c r="I12" s="9">
        <f>'Macao Daily'!H15</f>
        <v>7496</v>
      </c>
      <c r="J12" s="37">
        <v>0.22</v>
      </c>
      <c r="K12" s="9">
        <f>'Macao Daily'!J15</f>
        <v>181</v>
      </c>
      <c r="L12" s="37">
        <v>7.7615999999999996</v>
      </c>
      <c r="M12" s="9">
        <f>'Macao Daily'!K15</f>
        <v>83</v>
      </c>
      <c r="N12" s="9">
        <f>'Macao Daily'!L15</f>
        <v>421</v>
      </c>
    </row>
    <row r="13" spans="1:14" ht="15" x14ac:dyDescent="0.25">
      <c r="A13" s="6" t="s">
        <v>28</v>
      </c>
      <c r="B13" s="7">
        <f t="shared" si="0"/>
        <v>12</v>
      </c>
      <c r="C13" s="8">
        <v>12</v>
      </c>
      <c r="D13" s="7">
        <v>2022</v>
      </c>
      <c r="E13" s="9">
        <f>'Macao Daily'!D16</f>
        <v>31991</v>
      </c>
      <c r="F13" s="37">
        <v>1.2425999999999999</v>
      </c>
      <c r="G13" s="9">
        <f>'Macao Daily'!F16</f>
        <v>3</v>
      </c>
      <c r="H13" s="37">
        <v>3.3251433251433249</v>
      </c>
      <c r="I13" s="9">
        <f>'Macao Daily'!H16</f>
        <v>3360</v>
      </c>
      <c r="J13" s="37">
        <v>0.22</v>
      </c>
      <c r="K13" s="9">
        <f>'Macao Daily'!J16</f>
        <v>160</v>
      </c>
      <c r="L13" s="37">
        <v>7.7615999999999996</v>
      </c>
      <c r="M13" s="9">
        <f>'Macao Daily'!K16</f>
        <v>116</v>
      </c>
      <c r="N13" s="9">
        <f>'Macao Daily'!L16</f>
        <v>158</v>
      </c>
    </row>
    <row r="14" spans="1:14" ht="15" x14ac:dyDescent="0.25">
      <c r="A14" s="6" t="s">
        <v>28</v>
      </c>
      <c r="B14" s="7">
        <f t="shared" si="0"/>
        <v>13</v>
      </c>
      <c r="C14" s="8">
        <v>12</v>
      </c>
      <c r="D14" s="7">
        <v>2022</v>
      </c>
      <c r="E14" s="9">
        <f>'Macao Daily'!D17</f>
        <v>31864</v>
      </c>
      <c r="F14" s="37">
        <v>1.2425999999999999</v>
      </c>
      <c r="G14" s="9">
        <f>'Macao Daily'!F17</f>
        <v>4</v>
      </c>
      <c r="H14" s="37">
        <v>3.3251433251433249</v>
      </c>
      <c r="I14" s="9">
        <f>'Macao Daily'!H17</f>
        <v>3616</v>
      </c>
      <c r="J14" s="37">
        <v>0.22</v>
      </c>
      <c r="K14" s="9">
        <f>'Macao Daily'!J17</f>
        <v>123</v>
      </c>
      <c r="L14" s="37">
        <v>7.7615999999999996</v>
      </c>
      <c r="M14" s="9">
        <f>'Macao Daily'!K17</f>
        <v>124</v>
      </c>
      <c r="N14" s="9">
        <f>'Macao Daily'!L17</f>
        <v>160</v>
      </c>
    </row>
    <row r="15" spans="1:14" ht="15" x14ac:dyDescent="0.25">
      <c r="A15" s="6" t="s">
        <v>28</v>
      </c>
      <c r="B15" s="7">
        <f t="shared" si="0"/>
        <v>14</v>
      </c>
      <c r="C15" s="8">
        <v>12</v>
      </c>
      <c r="D15" s="7">
        <v>2022</v>
      </c>
      <c r="E15" s="9">
        <f>'Macao Daily'!D18</f>
        <v>33102</v>
      </c>
      <c r="F15" s="37">
        <v>1.2425999999999999</v>
      </c>
      <c r="G15" s="9">
        <f>'Macao Daily'!F18</f>
        <v>1</v>
      </c>
      <c r="H15" s="37">
        <v>3.3251433251433249</v>
      </c>
      <c r="I15" s="9">
        <f>'Macao Daily'!H18</f>
        <v>880</v>
      </c>
      <c r="J15" s="37">
        <v>0.22</v>
      </c>
      <c r="K15" s="9">
        <f>'Macao Daily'!J18</f>
        <v>101</v>
      </c>
      <c r="L15" s="37">
        <v>7.7615999999999996</v>
      </c>
      <c r="M15" s="9">
        <f>'Macao Daily'!K18</f>
        <v>135</v>
      </c>
      <c r="N15" s="9">
        <f>'Macao Daily'!L18</f>
        <v>138</v>
      </c>
    </row>
    <row r="16" spans="1:14" ht="15" x14ac:dyDescent="0.25">
      <c r="A16" s="6" t="s">
        <v>28</v>
      </c>
      <c r="B16" s="7">
        <f t="shared" si="0"/>
        <v>15</v>
      </c>
      <c r="C16" s="8">
        <v>12</v>
      </c>
      <c r="D16" s="7">
        <v>2022</v>
      </c>
      <c r="E16" s="9">
        <f>'Macao Daily'!D19</f>
        <v>33904</v>
      </c>
      <c r="F16" s="37">
        <v>1.2425999999999999</v>
      </c>
      <c r="G16" s="9">
        <f>'Macao Daily'!F19</f>
        <v>4</v>
      </c>
      <c r="H16" s="37">
        <v>3.3251433251433249</v>
      </c>
      <c r="I16" s="9">
        <f>'Macao Daily'!H19</f>
        <v>272</v>
      </c>
      <c r="J16" s="37">
        <v>0.22</v>
      </c>
      <c r="K16" s="9">
        <f>'Macao Daily'!J19</f>
        <v>146</v>
      </c>
      <c r="L16" s="37">
        <v>7.7615999999999996</v>
      </c>
      <c r="M16" s="9">
        <f>'Macao Daily'!K19</f>
        <v>152</v>
      </c>
      <c r="N16" s="9">
        <f>'Macao Daily'!L19</f>
        <v>441</v>
      </c>
    </row>
    <row r="17" spans="1:14" ht="15" x14ac:dyDescent="0.25">
      <c r="A17" s="6" t="s">
        <v>28</v>
      </c>
      <c r="B17" s="7">
        <f t="shared" si="0"/>
        <v>16</v>
      </c>
      <c r="C17" s="8">
        <v>12</v>
      </c>
      <c r="D17" s="7">
        <v>2022</v>
      </c>
      <c r="E17" s="9">
        <f>'Macao Daily'!D20</f>
        <v>34958</v>
      </c>
      <c r="F17" s="37">
        <v>1.2425999999999999</v>
      </c>
      <c r="G17" s="9">
        <f>'Macao Daily'!F20</f>
        <v>6</v>
      </c>
      <c r="H17" s="37">
        <v>3.3251433251433249</v>
      </c>
      <c r="I17" s="9">
        <f>'Macao Daily'!H20</f>
        <v>2016</v>
      </c>
      <c r="J17" s="37">
        <v>0.22</v>
      </c>
      <c r="K17" s="9">
        <f>'Macao Daily'!J20</f>
        <v>108</v>
      </c>
      <c r="L17" s="37">
        <v>7.7615999999999996</v>
      </c>
      <c r="M17" s="9">
        <f>'Macao Daily'!K20</f>
        <v>198</v>
      </c>
      <c r="N17" s="9">
        <f>'Macao Daily'!L20</f>
        <v>558</v>
      </c>
    </row>
    <row r="18" spans="1:14" ht="15" x14ac:dyDescent="0.25">
      <c r="A18" s="6" t="s">
        <v>28</v>
      </c>
      <c r="B18" s="7">
        <f t="shared" si="0"/>
        <v>17</v>
      </c>
      <c r="C18" s="8">
        <v>12</v>
      </c>
      <c r="D18" s="7">
        <v>2022</v>
      </c>
      <c r="E18" s="9">
        <f>'Macao Daily'!D21</f>
        <v>35241</v>
      </c>
      <c r="F18" s="37">
        <v>1.2425999999999999</v>
      </c>
      <c r="G18" s="9">
        <f>'Macao Daily'!F21</f>
        <v>3</v>
      </c>
      <c r="H18" s="37">
        <v>3.3251433251433249</v>
      </c>
      <c r="I18" s="9">
        <f>'Macao Daily'!H21</f>
        <v>656</v>
      </c>
      <c r="J18" s="37">
        <v>0.22</v>
      </c>
      <c r="K18" s="9">
        <f>'Macao Daily'!J21</f>
        <v>110</v>
      </c>
      <c r="L18" s="37">
        <v>7.7615999999999996</v>
      </c>
      <c r="M18" s="9">
        <f>'Macao Daily'!K21</f>
        <v>194</v>
      </c>
      <c r="N18" s="9">
        <f>'Macao Daily'!L21</f>
        <v>689</v>
      </c>
    </row>
    <row r="19" spans="1:14" ht="15" x14ac:dyDescent="0.25">
      <c r="A19" s="6" t="s">
        <v>28</v>
      </c>
      <c r="B19" s="7">
        <f t="shared" si="0"/>
        <v>18</v>
      </c>
      <c r="C19" s="8">
        <v>12</v>
      </c>
      <c r="D19" s="7">
        <v>2022</v>
      </c>
      <c r="E19" s="9">
        <f>'Macao Daily'!D22</f>
        <v>39719</v>
      </c>
      <c r="F19" s="37">
        <v>1.2425999999999999</v>
      </c>
      <c r="G19" s="9">
        <f>'Macao Daily'!F22</f>
        <v>5</v>
      </c>
      <c r="H19" s="37">
        <v>3.3251433251433249</v>
      </c>
      <c r="I19" s="9">
        <f>'Macao Daily'!H22</f>
        <v>240</v>
      </c>
      <c r="J19" s="37">
        <v>0.22</v>
      </c>
      <c r="K19" s="9">
        <f>'Macao Daily'!J22</f>
        <v>191</v>
      </c>
      <c r="L19" s="37">
        <v>7.7615999999999996</v>
      </c>
      <c r="M19" s="9">
        <f>'Macao Daily'!K22</f>
        <v>149</v>
      </c>
      <c r="N19" s="9">
        <f>'Macao Daily'!L22</f>
        <v>703</v>
      </c>
    </row>
    <row r="20" spans="1:14" ht="15" x14ac:dyDescent="0.25">
      <c r="A20" s="6" t="s">
        <v>28</v>
      </c>
      <c r="B20" s="7">
        <f t="shared" si="0"/>
        <v>19</v>
      </c>
      <c r="C20" s="8">
        <v>12</v>
      </c>
      <c r="D20" s="7">
        <v>2022</v>
      </c>
      <c r="E20" s="9">
        <f>'Macao Daily'!D23</f>
        <v>38108</v>
      </c>
      <c r="F20" s="37">
        <v>1.2425999999999999</v>
      </c>
      <c r="G20" s="9">
        <f>'Macao Daily'!F23</f>
        <v>4</v>
      </c>
      <c r="H20" s="37">
        <v>3.3251433251433249</v>
      </c>
      <c r="I20" s="9">
        <f>'Macao Daily'!H23</f>
        <v>256</v>
      </c>
      <c r="J20" s="37">
        <v>0.22</v>
      </c>
      <c r="K20" s="9">
        <f>'Macao Daily'!J23</f>
        <v>161</v>
      </c>
      <c r="L20" s="37">
        <v>7.7615999999999996</v>
      </c>
      <c r="M20" s="9">
        <f>'Macao Daily'!K23</f>
        <v>161</v>
      </c>
      <c r="N20" s="9">
        <f>'Macao Daily'!L23</f>
        <v>278</v>
      </c>
    </row>
    <row r="21" spans="1:14" ht="15" x14ac:dyDescent="0.25">
      <c r="A21" s="6" t="s">
        <v>28</v>
      </c>
      <c r="B21" s="7">
        <f t="shared" si="0"/>
        <v>20</v>
      </c>
      <c r="C21" s="8">
        <v>12</v>
      </c>
      <c r="D21" s="7">
        <v>2022</v>
      </c>
      <c r="E21" s="9">
        <f>'Macao Daily'!D24</f>
        <v>31854</v>
      </c>
      <c r="F21" s="37">
        <v>1.2425999999999999</v>
      </c>
      <c r="G21" s="9">
        <f>'Macao Daily'!F24</f>
        <v>5</v>
      </c>
      <c r="H21" s="37">
        <v>3.3251433251433249</v>
      </c>
      <c r="I21" s="9">
        <f>'Macao Daily'!H24</f>
        <v>48</v>
      </c>
      <c r="J21" s="37">
        <v>0.22</v>
      </c>
      <c r="K21" s="9">
        <f>'Macao Daily'!J24</f>
        <v>98</v>
      </c>
      <c r="L21" s="37">
        <v>7.7615999999999996</v>
      </c>
      <c r="M21" s="9">
        <f>'Macao Daily'!K24</f>
        <v>146</v>
      </c>
      <c r="N21" s="9">
        <f>'Macao Daily'!L24</f>
        <v>878</v>
      </c>
    </row>
    <row r="22" spans="1:14" ht="15" x14ac:dyDescent="0.25">
      <c r="A22" s="6" t="s">
        <v>28</v>
      </c>
      <c r="B22" s="7">
        <f t="shared" si="0"/>
        <v>21</v>
      </c>
      <c r="C22" s="8">
        <v>12</v>
      </c>
      <c r="D22" s="7">
        <v>2022</v>
      </c>
      <c r="E22" s="9">
        <f>'Macao Daily'!D25</f>
        <v>29493</v>
      </c>
      <c r="F22" s="37">
        <v>1.2425999999999999</v>
      </c>
      <c r="G22" s="9">
        <f>'Macao Daily'!F25</f>
        <v>4</v>
      </c>
      <c r="H22" s="37">
        <v>3.3251433251433249</v>
      </c>
      <c r="I22" s="9">
        <f>'Macao Daily'!H25</f>
        <v>1264</v>
      </c>
      <c r="J22" s="37">
        <v>0.22</v>
      </c>
      <c r="K22" s="9">
        <f>'Macao Daily'!J25</f>
        <v>103</v>
      </c>
      <c r="L22" s="37">
        <v>7.7615999999999996</v>
      </c>
      <c r="M22" s="9">
        <f>'Macao Daily'!K25</f>
        <v>133</v>
      </c>
      <c r="N22" s="9">
        <f>'Macao Daily'!L25</f>
        <v>238</v>
      </c>
    </row>
    <row r="23" spans="1:14" ht="15" x14ac:dyDescent="0.25">
      <c r="A23" s="6" t="s">
        <v>28</v>
      </c>
      <c r="B23" s="7">
        <f t="shared" si="0"/>
        <v>22</v>
      </c>
      <c r="C23" s="8">
        <v>12</v>
      </c>
      <c r="D23" s="7">
        <v>2022</v>
      </c>
      <c r="E23" s="9">
        <f>'Macao Daily'!D26</f>
        <v>29203</v>
      </c>
      <c r="F23" s="37">
        <v>1.2425999999999999</v>
      </c>
      <c r="G23" s="9">
        <f>'Macao Daily'!F26</f>
        <v>7</v>
      </c>
      <c r="H23" s="37">
        <v>3.3251433251433249</v>
      </c>
      <c r="I23" s="9">
        <f>'Macao Daily'!H26</f>
        <v>3456</v>
      </c>
      <c r="J23" s="37">
        <v>0.22</v>
      </c>
      <c r="K23" s="9">
        <f>'Macao Daily'!J26</f>
        <v>60</v>
      </c>
      <c r="L23" s="37">
        <v>7.7615999999999996</v>
      </c>
      <c r="M23" s="9">
        <f>'Macao Daily'!K26</f>
        <v>118</v>
      </c>
      <c r="N23" s="9">
        <f>'Macao Daily'!L26</f>
        <v>175</v>
      </c>
    </row>
    <row r="24" spans="1:14" ht="15" x14ac:dyDescent="0.25">
      <c r="A24" s="6" t="s">
        <v>28</v>
      </c>
      <c r="B24" s="7">
        <f t="shared" si="0"/>
        <v>23</v>
      </c>
      <c r="C24" s="8">
        <v>12</v>
      </c>
      <c r="D24" s="7">
        <v>2022</v>
      </c>
      <c r="E24" s="9">
        <f>'Macao Daily'!D27</f>
        <v>27972</v>
      </c>
      <c r="F24" s="37">
        <v>1.2425999999999999</v>
      </c>
      <c r="G24" s="9">
        <f>'Macao Daily'!F27</f>
        <v>3</v>
      </c>
      <c r="H24" s="37">
        <v>3.3251433251433249</v>
      </c>
      <c r="I24" s="9">
        <f>'Macao Daily'!H27</f>
        <v>2896</v>
      </c>
      <c r="J24" s="37">
        <v>0.22</v>
      </c>
      <c r="K24" s="9">
        <f>'Macao Daily'!J27</f>
        <v>81</v>
      </c>
      <c r="L24" s="37">
        <v>7.7615999999999996</v>
      </c>
      <c r="M24" s="9">
        <f>'Macao Daily'!K27</f>
        <v>105</v>
      </c>
      <c r="N24" s="9">
        <f>'Macao Daily'!L27</f>
        <v>184</v>
      </c>
    </row>
    <row r="25" spans="1:14" ht="15" x14ac:dyDescent="0.25">
      <c r="A25" s="6" t="s">
        <v>28</v>
      </c>
      <c r="B25" s="7">
        <f t="shared" si="0"/>
        <v>24</v>
      </c>
      <c r="C25" s="8">
        <v>12</v>
      </c>
      <c r="D25" s="7">
        <v>2022</v>
      </c>
      <c r="E25" s="9">
        <f>'Macao Daily'!D28</f>
        <v>27563</v>
      </c>
      <c r="F25" s="37">
        <v>1.2425999999999999</v>
      </c>
      <c r="G25" s="9">
        <f>'Macao Daily'!F28</f>
        <v>4</v>
      </c>
      <c r="H25" s="37">
        <v>3.3251433251433249</v>
      </c>
      <c r="I25" s="9">
        <f>'Macao Daily'!H28</f>
        <v>3616</v>
      </c>
      <c r="J25" s="37">
        <v>0.22</v>
      </c>
      <c r="K25" s="9">
        <f>'Macao Daily'!J28</f>
        <v>85</v>
      </c>
      <c r="L25" s="37">
        <v>7.7615999999999996</v>
      </c>
      <c r="M25" s="9">
        <f>'Macao Daily'!K28</f>
        <v>92</v>
      </c>
      <c r="N25" s="9">
        <f>'Macao Daily'!L28</f>
        <v>208</v>
      </c>
    </row>
    <row r="26" spans="1:14" ht="15" x14ac:dyDescent="0.25">
      <c r="A26" s="6" t="s">
        <v>28</v>
      </c>
      <c r="B26" s="7">
        <f>B25+1</f>
        <v>25</v>
      </c>
      <c r="C26" s="8">
        <v>12</v>
      </c>
      <c r="D26" s="7">
        <v>2022</v>
      </c>
      <c r="E26" s="9">
        <f>'Macao Daily'!D29</f>
        <v>26954</v>
      </c>
      <c r="F26" s="37">
        <v>1.2425999999999999</v>
      </c>
      <c r="G26" s="9">
        <f>'Macao Daily'!F29</f>
        <v>2</v>
      </c>
      <c r="H26" s="37">
        <v>3.3251433251433249</v>
      </c>
      <c r="I26" s="9">
        <f>'Macao Daily'!H29</f>
        <v>4096</v>
      </c>
      <c r="J26" s="37">
        <v>0.22</v>
      </c>
      <c r="K26" s="9">
        <f>'Macao Daily'!J29</f>
        <v>82</v>
      </c>
      <c r="L26" s="37">
        <v>7.7615999999999996</v>
      </c>
      <c r="M26" s="9">
        <f>'Macao Daily'!K29</f>
        <v>69</v>
      </c>
      <c r="N26" s="9">
        <f>'Macao Daily'!L29</f>
        <v>184</v>
      </c>
    </row>
    <row r="27" spans="1:14" ht="15" x14ac:dyDescent="0.25">
      <c r="A27" s="6" t="s">
        <v>28</v>
      </c>
      <c r="B27" s="7">
        <f t="shared" si="0"/>
        <v>26</v>
      </c>
      <c r="C27" s="8">
        <v>12</v>
      </c>
      <c r="D27" s="7">
        <v>2022</v>
      </c>
      <c r="E27" s="9">
        <f>'Macao Daily'!D30</f>
        <v>31721</v>
      </c>
      <c r="F27" s="37">
        <v>1.2425999999999999</v>
      </c>
      <c r="G27" s="9">
        <f>'Macao Daily'!F30</f>
        <v>1</v>
      </c>
      <c r="H27" s="37">
        <v>3.3251433251433249</v>
      </c>
      <c r="I27" s="9">
        <f>'Macao Daily'!H30</f>
        <v>6992</v>
      </c>
      <c r="J27" s="37">
        <v>0.22</v>
      </c>
      <c r="K27" s="9">
        <f>'Macao Daily'!J30</f>
        <v>72</v>
      </c>
      <c r="L27" s="37">
        <v>7.7615999999999996</v>
      </c>
      <c r="M27" s="9">
        <f>'Macao Daily'!K30</f>
        <v>58</v>
      </c>
      <c r="N27" s="9">
        <f>'Macao Daily'!L30</f>
        <v>174</v>
      </c>
    </row>
    <row r="28" spans="1:14" ht="15" x14ac:dyDescent="0.25">
      <c r="A28" s="6" t="s">
        <v>28</v>
      </c>
      <c r="B28" s="7">
        <f t="shared" si="0"/>
        <v>27</v>
      </c>
      <c r="C28" s="8">
        <v>12</v>
      </c>
      <c r="D28" s="7">
        <v>2022</v>
      </c>
      <c r="E28" s="9">
        <f>'Macao Daily'!D31</f>
        <v>21074</v>
      </c>
      <c r="F28" s="37">
        <v>1.2425999999999999</v>
      </c>
      <c r="G28" s="9">
        <f>'Macao Daily'!F31</f>
        <v>0</v>
      </c>
      <c r="H28" s="37">
        <v>3.3251433251433249</v>
      </c>
      <c r="I28" s="9">
        <f>'Macao Daily'!H31</f>
        <v>3200</v>
      </c>
      <c r="J28" s="37">
        <v>0.22</v>
      </c>
      <c r="K28" s="9">
        <f>'Macao Daily'!J31</f>
        <v>51</v>
      </c>
      <c r="L28" s="37">
        <v>7.7615999999999996</v>
      </c>
      <c r="M28" s="9">
        <f>'Macao Daily'!K31</f>
        <v>53</v>
      </c>
      <c r="N28" s="9">
        <f>'Macao Daily'!L31</f>
        <v>188</v>
      </c>
    </row>
    <row r="29" spans="1:14" ht="15" x14ac:dyDescent="0.25">
      <c r="A29" s="6" t="s">
        <v>28</v>
      </c>
      <c r="B29" s="7">
        <f t="shared" si="0"/>
        <v>28</v>
      </c>
      <c r="C29" s="8">
        <v>12</v>
      </c>
      <c r="D29" s="7">
        <v>2022</v>
      </c>
      <c r="E29" s="9">
        <f>'Macao Daily'!D32</f>
        <v>26450</v>
      </c>
      <c r="F29" s="37">
        <v>1.2425999999999999</v>
      </c>
      <c r="G29" s="9">
        <f>'Macao Daily'!F32</f>
        <v>0</v>
      </c>
      <c r="H29" s="37">
        <v>3.3251433251433249</v>
      </c>
      <c r="I29" s="9">
        <f>'Macao Daily'!H32</f>
        <v>7344</v>
      </c>
      <c r="J29" s="37">
        <v>0.22</v>
      </c>
      <c r="K29" s="9">
        <f>'Macao Daily'!J32</f>
        <v>48</v>
      </c>
      <c r="L29" s="37">
        <v>7.7615999999999996</v>
      </c>
      <c r="M29" s="9">
        <f>'Macao Daily'!K32</f>
        <v>49</v>
      </c>
      <c r="N29" s="9">
        <f>'Macao Daily'!L32</f>
        <v>146</v>
      </c>
    </row>
    <row r="30" spans="1:14" ht="15" x14ac:dyDescent="0.25">
      <c r="A30" s="6" t="s">
        <v>28</v>
      </c>
      <c r="B30" s="7">
        <f t="shared" si="0"/>
        <v>29</v>
      </c>
      <c r="C30" s="8">
        <v>12</v>
      </c>
      <c r="D30" s="7">
        <v>2022</v>
      </c>
      <c r="E30" s="9">
        <f>'Macao Daily'!D33</f>
        <v>26955</v>
      </c>
      <c r="F30" s="37">
        <v>1.2425999999999999</v>
      </c>
      <c r="G30" s="9">
        <f>'Macao Daily'!F33</f>
        <v>1</v>
      </c>
      <c r="H30" s="37">
        <v>3.3251433251433249</v>
      </c>
      <c r="I30" s="9">
        <f>'Macao Daily'!H33</f>
        <v>4688</v>
      </c>
      <c r="J30" s="37">
        <v>0.22</v>
      </c>
      <c r="K30" s="9">
        <f>'Macao Daily'!J33</f>
        <v>104</v>
      </c>
      <c r="L30" s="37">
        <v>7.7615999999999996</v>
      </c>
      <c r="M30" s="9">
        <f>'Macao Daily'!K33</f>
        <v>63</v>
      </c>
      <c r="N30" s="9">
        <f>'Macao Daily'!L33</f>
        <v>171</v>
      </c>
    </row>
    <row r="31" spans="1:14" ht="15" x14ac:dyDescent="0.25">
      <c r="A31" s="6" t="s">
        <v>28</v>
      </c>
      <c r="B31" s="7">
        <f t="shared" si="0"/>
        <v>30</v>
      </c>
      <c r="C31" s="8">
        <v>12</v>
      </c>
      <c r="D31" s="7">
        <v>2022</v>
      </c>
      <c r="E31" s="9">
        <f>'Macao Daily'!D34</f>
        <v>29938</v>
      </c>
      <c r="F31" s="37">
        <v>1.2425999999999999</v>
      </c>
      <c r="G31" s="9">
        <f>'Macao Daily'!F34</f>
        <v>0</v>
      </c>
      <c r="H31" s="37">
        <v>3.3251433251433249</v>
      </c>
      <c r="I31" s="9">
        <f>'Macao Daily'!H34</f>
        <v>3984</v>
      </c>
      <c r="J31" s="37">
        <v>0.22</v>
      </c>
      <c r="K31" s="9">
        <f>'Macao Daily'!J34</f>
        <v>100</v>
      </c>
      <c r="L31" s="37">
        <v>7.7615999999999996</v>
      </c>
      <c r="M31" s="9">
        <f>'Macao Daily'!K34</f>
        <v>102</v>
      </c>
      <c r="N31" s="9">
        <f>'Macao Daily'!L34</f>
        <v>186</v>
      </c>
    </row>
    <row r="32" spans="1:14" ht="15" x14ac:dyDescent="0.25">
      <c r="A32" s="6" t="s">
        <v>28</v>
      </c>
      <c r="B32" s="7">
        <f t="shared" si="0"/>
        <v>31</v>
      </c>
      <c r="C32" s="8">
        <v>12</v>
      </c>
      <c r="D32" s="7">
        <v>2022</v>
      </c>
      <c r="E32" s="9">
        <f>'Macao Daily'!D35</f>
        <v>33334</v>
      </c>
      <c r="F32" s="37">
        <v>1.2425999999999999</v>
      </c>
      <c r="G32" s="9">
        <f>'Macao Daily'!F35</f>
        <v>1</v>
      </c>
      <c r="H32" s="37">
        <v>3.3251433251433249</v>
      </c>
      <c r="I32" s="9">
        <f>'Macao Daily'!H35</f>
        <v>2304</v>
      </c>
      <c r="J32" s="37">
        <v>0.22</v>
      </c>
      <c r="K32" s="9">
        <f>'Macao Daily'!J35</f>
        <v>142</v>
      </c>
      <c r="L32" s="37">
        <v>7.7615999999999996</v>
      </c>
      <c r="M32" s="9">
        <f>'Macao Daily'!K35</f>
        <v>143</v>
      </c>
      <c r="N32" s="9">
        <f>'Macao Daily'!L35</f>
        <v>277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N35"/>
  <sheetViews>
    <sheetView tabSelected="1" zoomScale="70" zoomScaleNormal="70" workbookViewId="0">
      <pane xSplit="1" topLeftCell="B1" activePane="topRight" state="frozen"/>
      <selection pane="topRight" activeCell="N9" sqref="N9"/>
    </sheetView>
  </sheetViews>
  <sheetFormatPr defaultRowHeight="15" x14ac:dyDescent="0.25"/>
  <cols>
    <col min="1" max="1" width="14" style="13" customWidth="1"/>
    <col min="2" max="2" width="2" style="13" customWidth="1"/>
    <col min="3" max="3" width="12.42578125" style="32" bestFit="1" customWidth="1"/>
    <col min="4" max="4" width="13.5703125" style="33" customWidth="1"/>
    <col min="5" max="5" width="14.85546875" style="13" customWidth="1"/>
    <col min="6" max="8" width="14.85546875" style="32" customWidth="1"/>
    <col min="9" max="9" width="8.85546875" style="13" customWidth="1"/>
    <col min="10" max="10" width="12.5703125" style="13" customWidth="1"/>
    <col min="11" max="12" width="13" style="34" customWidth="1"/>
    <col min="13" max="13" width="9.140625" style="13"/>
    <col min="14" max="14" width="15" style="13" bestFit="1" customWidth="1"/>
    <col min="15" max="256" width="9.140625" style="13"/>
    <col min="257" max="257" width="14" style="13" customWidth="1"/>
    <col min="258" max="258" width="2" style="13" customWidth="1"/>
    <col min="259" max="259" width="11.85546875" style="13" customWidth="1"/>
    <col min="260" max="260" width="13.5703125" style="13" customWidth="1"/>
    <col min="261" max="262" width="13.85546875" style="13" customWidth="1"/>
    <col min="263" max="264" width="14.85546875" style="13" customWidth="1"/>
    <col min="265" max="265" width="8.85546875" style="13" customWidth="1"/>
    <col min="266" max="266" width="12.5703125" style="13" customWidth="1"/>
    <col min="267" max="268" width="13" style="13" customWidth="1"/>
    <col min="269" max="512" width="9.140625" style="13"/>
    <col min="513" max="513" width="14" style="13" customWidth="1"/>
    <col min="514" max="514" width="2" style="13" customWidth="1"/>
    <col min="515" max="515" width="11.85546875" style="13" customWidth="1"/>
    <col min="516" max="516" width="13.5703125" style="13" customWidth="1"/>
    <col min="517" max="518" width="13.85546875" style="13" customWidth="1"/>
    <col min="519" max="520" width="14.85546875" style="13" customWidth="1"/>
    <col min="521" max="521" width="8.85546875" style="13" customWidth="1"/>
    <col min="522" max="522" width="12.5703125" style="13" customWidth="1"/>
    <col min="523" max="524" width="13" style="13" customWidth="1"/>
    <col min="525" max="768" width="9.140625" style="13"/>
    <col min="769" max="769" width="14" style="13" customWidth="1"/>
    <col min="770" max="770" width="2" style="13" customWidth="1"/>
    <col min="771" max="771" width="11.85546875" style="13" customWidth="1"/>
    <col min="772" max="772" width="13.5703125" style="13" customWidth="1"/>
    <col min="773" max="774" width="13.85546875" style="13" customWidth="1"/>
    <col min="775" max="776" width="14.85546875" style="13" customWidth="1"/>
    <col min="777" max="777" width="8.85546875" style="13" customWidth="1"/>
    <col min="778" max="778" width="12.5703125" style="13" customWidth="1"/>
    <col min="779" max="780" width="13" style="13" customWidth="1"/>
    <col min="781" max="1024" width="9.140625" style="13"/>
    <col min="1025" max="1025" width="14" style="13" customWidth="1"/>
    <col min="1026" max="1026" width="2" style="13" customWidth="1"/>
    <col min="1027" max="1027" width="11.85546875" style="13" customWidth="1"/>
    <col min="1028" max="1028" width="13.5703125" style="13" customWidth="1"/>
    <col min="1029" max="1030" width="13.85546875" style="13" customWidth="1"/>
    <col min="1031" max="1032" width="14.85546875" style="13" customWidth="1"/>
    <col min="1033" max="1033" width="8.85546875" style="13" customWidth="1"/>
    <col min="1034" max="1034" width="12.5703125" style="13" customWidth="1"/>
    <col min="1035" max="1036" width="13" style="13" customWidth="1"/>
    <col min="1037" max="1280" width="9.140625" style="13"/>
    <col min="1281" max="1281" width="14" style="13" customWidth="1"/>
    <col min="1282" max="1282" width="2" style="13" customWidth="1"/>
    <col min="1283" max="1283" width="11.85546875" style="13" customWidth="1"/>
    <col min="1284" max="1284" width="13.5703125" style="13" customWidth="1"/>
    <col min="1285" max="1286" width="13.85546875" style="13" customWidth="1"/>
    <col min="1287" max="1288" width="14.85546875" style="13" customWidth="1"/>
    <col min="1289" max="1289" width="8.85546875" style="13" customWidth="1"/>
    <col min="1290" max="1290" width="12.5703125" style="13" customWidth="1"/>
    <col min="1291" max="1292" width="13" style="13" customWidth="1"/>
    <col min="1293" max="1536" width="9.140625" style="13"/>
    <col min="1537" max="1537" width="14" style="13" customWidth="1"/>
    <col min="1538" max="1538" width="2" style="13" customWidth="1"/>
    <col min="1539" max="1539" width="11.85546875" style="13" customWidth="1"/>
    <col min="1540" max="1540" width="13.5703125" style="13" customWidth="1"/>
    <col min="1541" max="1542" width="13.85546875" style="13" customWidth="1"/>
    <col min="1543" max="1544" width="14.85546875" style="13" customWidth="1"/>
    <col min="1545" max="1545" width="8.85546875" style="13" customWidth="1"/>
    <col min="1546" max="1546" width="12.5703125" style="13" customWidth="1"/>
    <col min="1547" max="1548" width="13" style="13" customWidth="1"/>
    <col min="1549" max="1792" width="9.140625" style="13"/>
    <col min="1793" max="1793" width="14" style="13" customWidth="1"/>
    <col min="1794" max="1794" width="2" style="13" customWidth="1"/>
    <col min="1795" max="1795" width="11.85546875" style="13" customWidth="1"/>
    <col min="1796" max="1796" width="13.5703125" style="13" customWidth="1"/>
    <col min="1797" max="1798" width="13.85546875" style="13" customWidth="1"/>
    <col min="1799" max="1800" width="14.85546875" style="13" customWidth="1"/>
    <col min="1801" max="1801" width="8.85546875" style="13" customWidth="1"/>
    <col min="1802" max="1802" width="12.5703125" style="13" customWidth="1"/>
    <col min="1803" max="1804" width="13" style="13" customWidth="1"/>
    <col min="1805" max="2048" width="9.140625" style="13"/>
    <col min="2049" max="2049" width="14" style="13" customWidth="1"/>
    <col min="2050" max="2050" width="2" style="13" customWidth="1"/>
    <col min="2051" max="2051" width="11.85546875" style="13" customWidth="1"/>
    <col min="2052" max="2052" width="13.5703125" style="13" customWidth="1"/>
    <col min="2053" max="2054" width="13.85546875" style="13" customWidth="1"/>
    <col min="2055" max="2056" width="14.85546875" style="13" customWidth="1"/>
    <col min="2057" max="2057" width="8.85546875" style="13" customWidth="1"/>
    <col min="2058" max="2058" width="12.5703125" style="13" customWidth="1"/>
    <col min="2059" max="2060" width="13" style="13" customWidth="1"/>
    <col min="2061" max="2304" width="9.140625" style="13"/>
    <col min="2305" max="2305" width="14" style="13" customWidth="1"/>
    <col min="2306" max="2306" width="2" style="13" customWidth="1"/>
    <col min="2307" max="2307" width="11.85546875" style="13" customWidth="1"/>
    <col min="2308" max="2308" width="13.5703125" style="13" customWidth="1"/>
    <col min="2309" max="2310" width="13.85546875" style="13" customWidth="1"/>
    <col min="2311" max="2312" width="14.85546875" style="13" customWidth="1"/>
    <col min="2313" max="2313" width="8.85546875" style="13" customWidth="1"/>
    <col min="2314" max="2314" width="12.5703125" style="13" customWidth="1"/>
    <col min="2315" max="2316" width="13" style="13" customWidth="1"/>
    <col min="2317" max="2560" width="9.140625" style="13"/>
    <col min="2561" max="2561" width="14" style="13" customWidth="1"/>
    <col min="2562" max="2562" width="2" style="13" customWidth="1"/>
    <col min="2563" max="2563" width="11.85546875" style="13" customWidth="1"/>
    <col min="2564" max="2564" width="13.5703125" style="13" customWidth="1"/>
    <col min="2565" max="2566" width="13.85546875" style="13" customWidth="1"/>
    <col min="2567" max="2568" width="14.85546875" style="13" customWidth="1"/>
    <col min="2569" max="2569" width="8.85546875" style="13" customWidth="1"/>
    <col min="2570" max="2570" width="12.5703125" style="13" customWidth="1"/>
    <col min="2571" max="2572" width="13" style="13" customWidth="1"/>
    <col min="2573" max="2816" width="9.140625" style="13"/>
    <col min="2817" max="2817" width="14" style="13" customWidth="1"/>
    <col min="2818" max="2818" width="2" style="13" customWidth="1"/>
    <col min="2819" max="2819" width="11.85546875" style="13" customWidth="1"/>
    <col min="2820" max="2820" width="13.5703125" style="13" customWidth="1"/>
    <col min="2821" max="2822" width="13.85546875" style="13" customWidth="1"/>
    <col min="2823" max="2824" width="14.85546875" style="13" customWidth="1"/>
    <col min="2825" max="2825" width="8.85546875" style="13" customWidth="1"/>
    <col min="2826" max="2826" width="12.5703125" style="13" customWidth="1"/>
    <col min="2827" max="2828" width="13" style="13" customWidth="1"/>
    <col min="2829" max="3072" width="9.140625" style="13"/>
    <col min="3073" max="3073" width="14" style="13" customWidth="1"/>
    <col min="3074" max="3074" width="2" style="13" customWidth="1"/>
    <col min="3075" max="3075" width="11.85546875" style="13" customWidth="1"/>
    <col min="3076" max="3076" width="13.5703125" style="13" customWidth="1"/>
    <col min="3077" max="3078" width="13.85546875" style="13" customWidth="1"/>
    <col min="3079" max="3080" width="14.85546875" style="13" customWidth="1"/>
    <col min="3081" max="3081" width="8.85546875" style="13" customWidth="1"/>
    <col min="3082" max="3082" width="12.5703125" style="13" customWidth="1"/>
    <col min="3083" max="3084" width="13" style="13" customWidth="1"/>
    <col min="3085" max="3328" width="9.140625" style="13"/>
    <col min="3329" max="3329" width="14" style="13" customWidth="1"/>
    <col min="3330" max="3330" width="2" style="13" customWidth="1"/>
    <col min="3331" max="3331" width="11.85546875" style="13" customWidth="1"/>
    <col min="3332" max="3332" width="13.5703125" style="13" customWidth="1"/>
    <col min="3333" max="3334" width="13.85546875" style="13" customWidth="1"/>
    <col min="3335" max="3336" width="14.85546875" style="13" customWidth="1"/>
    <col min="3337" max="3337" width="8.85546875" style="13" customWidth="1"/>
    <col min="3338" max="3338" width="12.5703125" style="13" customWidth="1"/>
    <col min="3339" max="3340" width="13" style="13" customWidth="1"/>
    <col min="3341" max="3584" width="9.140625" style="13"/>
    <col min="3585" max="3585" width="14" style="13" customWidth="1"/>
    <col min="3586" max="3586" width="2" style="13" customWidth="1"/>
    <col min="3587" max="3587" width="11.85546875" style="13" customWidth="1"/>
    <col min="3588" max="3588" width="13.5703125" style="13" customWidth="1"/>
    <col min="3589" max="3590" width="13.85546875" style="13" customWidth="1"/>
    <col min="3591" max="3592" width="14.85546875" style="13" customWidth="1"/>
    <col min="3593" max="3593" width="8.85546875" style="13" customWidth="1"/>
    <col min="3594" max="3594" width="12.5703125" style="13" customWidth="1"/>
    <col min="3595" max="3596" width="13" style="13" customWidth="1"/>
    <col min="3597" max="3840" width="9.140625" style="13"/>
    <col min="3841" max="3841" width="14" style="13" customWidth="1"/>
    <col min="3842" max="3842" width="2" style="13" customWidth="1"/>
    <col min="3843" max="3843" width="11.85546875" style="13" customWidth="1"/>
    <col min="3844" max="3844" width="13.5703125" style="13" customWidth="1"/>
    <col min="3845" max="3846" width="13.85546875" style="13" customWidth="1"/>
    <col min="3847" max="3848" width="14.85546875" style="13" customWidth="1"/>
    <col min="3849" max="3849" width="8.85546875" style="13" customWidth="1"/>
    <col min="3850" max="3850" width="12.5703125" style="13" customWidth="1"/>
    <col min="3851" max="3852" width="13" style="13" customWidth="1"/>
    <col min="3853" max="4096" width="9.140625" style="13"/>
    <col min="4097" max="4097" width="14" style="13" customWidth="1"/>
    <col min="4098" max="4098" width="2" style="13" customWidth="1"/>
    <col min="4099" max="4099" width="11.85546875" style="13" customWidth="1"/>
    <col min="4100" max="4100" width="13.5703125" style="13" customWidth="1"/>
    <col min="4101" max="4102" width="13.85546875" style="13" customWidth="1"/>
    <col min="4103" max="4104" width="14.85546875" style="13" customWidth="1"/>
    <col min="4105" max="4105" width="8.85546875" style="13" customWidth="1"/>
    <col min="4106" max="4106" width="12.5703125" style="13" customWidth="1"/>
    <col min="4107" max="4108" width="13" style="13" customWidth="1"/>
    <col min="4109" max="4352" width="9.140625" style="13"/>
    <col min="4353" max="4353" width="14" style="13" customWidth="1"/>
    <col min="4354" max="4354" width="2" style="13" customWidth="1"/>
    <col min="4355" max="4355" width="11.85546875" style="13" customWidth="1"/>
    <col min="4356" max="4356" width="13.5703125" style="13" customWidth="1"/>
    <col min="4357" max="4358" width="13.85546875" style="13" customWidth="1"/>
    <col min="4359" max="4360" width="14.85546875" style="13" customWidth="1"/>
    <col min="4361" max="4361" width="8.85546875" style="13" customWidth="1"/>
    <col min="4362" max="4362" width="12.5703125" style="13" customWidth="1"/>
    <col min="4363" max="4364" width="13" style="13" customWidth="1"/>
    <col min="4365" max="4608" width="9.140625" style="13"/>
    <col min="4609" max="4609" width="14" style="13" customWidth="1"/>
    <col min="4610" max="4610" width="2" style="13" customWidth="1"/>
    <col min="4611" max="4611" width="11.85546875" style="13" customWidth="1"/>
    <col min="4612" max="4612" width="13.5703125" style="13" customWidth="1"/>
    <col min="4613" max="4614" width="13.85546875" style="13" customWidth="1"/>
    <col min="4615" max="4616" width="14.85546875" style="13" customWidth="1"/>
    <col min="4617" max="4617" width="8.85546875" style="13" customWidth="1"/>
    <col min="4618" max="4618" width="12.5703125" style="13" customWidth="1"/>
    <col min="4619" max="4620" width="13" style="13" customWidth="1"/>
    <col min="4621" max="4864" width="9.140625" style="13"/>
    <col min="4865" max="4865" width="14" style="13" customWidth="1"/>
    <col min="4866" max="4866" width="2" style="13" customWidth="1"/>
    <col min="4867" max="4867" width="11.85546875" style="13" customWidth="1"/>
    <col min="4868" max="4868" width="13.5703125" style="13" customWidth="1"/>
    <col min="4869" max="4870" width="13.85546875" style="13" customWidth="1"/>
    <col min="4871" max="4872" width="14.85546875" style="13" customWidth="1"/>
    <col min="4873" max="4873" width="8.85546875" style="13" customWidth="1"/>
    <col min="4874" max="4874" width="12.5703125" style="13" customWidth="1"/>
    <col min="4875" max="4876" width="13" style="13" customWidth="1"/>
    <col min="4877" max="5120" width="9.140625" style="13"/>
    <col min="5121" max="5121" width="14" style="13" customWidth="1"/>
    <col min="5122" max="5122" width="2" style="13" customWidth="1"/>
    <col min="5123" max="5123" width="11.85546875" style="13" customWidth="1"/>
    <col min="5124" max="5124" width="13.5703125" style="13" customWidth="1"/>
    <col min="5125" max="5126" width="13.85546875" style="13" customWidth="1"/>
    <col min="5127" max="5128" width="14.85546875" style="13" customWidth="1"/>
    <col min="5129" max="5129" width="8.85546875" style="13" customWidth="1"/>
    <col min="5130" max="5130" width="12.5703125" style="13" customWidth="1"/>
    <col min="5131" max="5132" width="13" style="13" customWidth="1"/>
    <col min="5133" max="5376" width="9.140625" style="13"/>
    <col min="5377" max="5377" width="14" style="13" customWidth="1"/>
    <col min="5378" max="5378" width="2" style="13" customWidth="1"/>
    <col min="5379" max="5379" width="11.85546875" style="13" customWidth="1"/>
    <col min="5380" max="5380" width="13.5703125" style="13" customWidth="1"/>
    <col min="5381" max="5382" width="13.85546875" style="13" customWidth="1"/>
    <col min="5383" max="5384" width="14.85546875" style="13" customWidth="1"/>
    <col min="5385" max="5385" width="8.85546875" style="13" customWidth="1"/>
    <col min="5386" max="5386" width="12.5703125" style="13" customWidth="1"/>
    <col min="5387" max="5388" width="13" style="13" customWidth="1"/>
    <col min="5389" max="5632" width="9.140625" style="13"/>
    <col min="5633" max="5633" width="14" style="13" customWidth="1"/>
    <col min="5634" max="5634" width="2" style="13" customWidth="1"/>
    <col min="5635" max="5635" width="11.85546875" style="13" customWidth="1"/>
    <col min="5636" max="5636" width="13.5703125" style="13" customWidth="1"/>
    <col min="5637" max="5638" width="13.85546875" style="13" customWidth="1"/>
    <col min="5639" max="5640" width="14.85546875" style="13" customWidth="1"/>
    <col min="5641" max="5641" width="8.85546875" style="13" customWidth="1"/>
    <col min="5642" max="5642" width="12.5703125" style="13" customWidth="1"/>
    <col min="5643" max="5644" width="13" style="13" customWidth="1"/>
    <col min="5645" max="5888" width="9.140625" style="13"/>
    <col min="5889" max="5889" width="14" style="13" customWidth="1"/>
    <col min="5890" max="5890" width="2" style="13" customWidth="1"/>
    <col min="5891" max="5891" width="11.85546875" style="13" customWidth="1"/>
    <col min="5892" max="5892" width="13.5703125" style="13" customWidth="1"/>
    <col min="5893" max="5894" width="13.85546875" style="13" customWidth="1"/>
    <col min="5895" max="5896" width="14.85546875" style="13" customWidth="1"/>
    <col min="5897" max="5897" width="8.85546875" style="13" customWidth="1"/>
    <col min="5898" max="5898" width="12.5703125" style="13" customWidth="1"/>
    <col min="5899" max="5900" width="13" style="13" customWidth="1"/>
    <col min="5901" max="6144" width="9.140625" style="13"/>
    <col min="6145" max="6145" width="14" style="13" customWidth="1"/>
    <col min="6146" max="6146" width="2" style="13" customWidth="1"/>
    <col min="6147" max="6147" width="11.85546875" style="13" customWidth="1"/>
    <col min="6148" max="6148" width="13.5703125" style="13" customWidth="1"/>
    <col min="6149" max="6150" width="13.85546875" style="13" customWidth="1"/>
    <col min="6151" max="6152" width="14.85546875" style="13" customWidth="1"/>
    <col min="6153" max="6153" width="8.85546875" style="13" customWidth="1"/>
    <col min="6154" max="6154" width="12.5703125" style="13" customWidth="1"/>
    <col min="6155" max="6156" width="13" style="13" customWidth="1"/>
    <col min="6157" max="6400" width="9.140625" style="13"/>
    <col min="6401" max="6401" width="14" style="13" customWidth="1"/>
    <col min="6402" max="6402" width="2" style="13" customWidth="1"/>
    <col min="6403" max="6403" width="11.85546875" style="13" customWidth="1"/>
    <col min="6404" max="6404" width="13.5703125" style="13" customWidth="1"/>
    <col min="6405" max="6406" width="13.85546875" style="13" customWidth="1"/>
    <col min="6407" max="6408" width="14.85546875" style="13" customWidth="1"/>
    <col min="6409" max="6409" width="8.85546875" style="13" customWidth="1"/>
    <col min="6410" max="6410" width="12.5703125" style="13" customWidth="1"/>
    <col min="6411" max="6412" width="13" style="13" customWidth="1"/>
    <col min="6413" max="6656" width="9.140625" style="13"/>
    <col min="6657" max="6657" width="14" style="13" customWidth="1"/>
    <col min="6658" max="6658" width="2" style="13" customWidth="1"/>
    <col min="6659" max="6659" width="11.85546875" style="13" customWidth="1"/>
    <col min="6660" max="6660" width="13.5703125" style="13" customWidth="1"/>
    <col min="6661" max="6662" width="13.85546875" style="13" customWidth="1"/>
    <col min="6663" max="6664" width="14.85546875" style="13" customWidth="1"/>
    <col min="6665" max="6665" width="8.85546875" style="13" customWidth="1"/>
    <col min="6666" max="6666" width="12.5703125" style="13" customWidth="1"/>
    <col min="6667" max="6668" width="13" style="13" customWidth="1"/>
    <col min="6669" max="6912" width="9.140625" style="13"/>
    <col min="6913" max="6913" width="14" style="13" customWidth="1"/>
    <col min="6914" max="6914" width="2" style="13" customWidth="1"/>
    <col min="6915" max="6915" width="11.85546875" style="13" customWidth="1"/>
    <col min="6916" max="6916" width="13.5703125" style="13" customWidth="1"/>
    <col min="6917" max="6918" width="13.85546875" style="13" customWidth="1"/>
    <col min="6919" max="6920" width="14.85546875" style="13" customWidth="1"/>
    <col min="6921" max="6921" width="8.85546875" style="13" customWidth="1"/>
    <col min="6922" max="6922" width="12.5703125" style="13" customWidth="1"/>
    <col min="6923" max="6924" width="13" style="13" customWidth="1"/>
    <col min="6925" max="7168" width="9.140625" style="13"/>
    <col min="7169" max="7169" width="14" style="13" customWidth="1"/>
    <col min="7170" max="7170" width="2" style="13" customWidth="1"/>
    <col min="7171" max="7171" width="11.85546875" style="13" customWidth="1"/>
    <col min="7172" max="7172" width="13.5703125" style="13" customWidth="1"/>
    <col min="7173" max="7174" width="13.85546875" style="13" customWidth="1"/>
    <col min="7175" max="7176" width="14.85546875" style="13" customWidth="1"/>
    <col min="7177" max="7177" width="8.85546875" style="13" customWidth="1"/>
    <col min="7178" max="7178" width="12.5703125" style="13" customWidth="1"/>
    <col min="7179" max="7180" width="13" style="13" customWidth="1"/>
    <col min="7181" max="7424" width="9.140625" style="13"/>
    <col min="7425" max="7425" width="14" style="13" customWidth="1"/>
    <col min="7426" max="7426" width="2" style="13" customWidth="1"/>
    <col min="7427" max="7427" width="11.85546875" style="13" customWidth="1"/>
    <col min="7428" max="7428" width="13.5703125" style="13" customWidth="1"/>
    <col min="7429" max="7430" width="13.85546875" style="13" customWidth="1"/>
    <col min="7431" max="7432" width="14.85546875" style="13" customWidth="1"/>
    <col min="7433" max="7433" width="8.85546875" style="13" customWidth="1"/>
    <col min="7434" max="7434" width="12.5703125" style="13" customWidth="1"/>
    <col min="7435" max="7436" width="13" style="13" customWidth="1"/>
    <col min="7437" max="7680" width="9.140625" style="13"/>
    <col min="7681" max="7681" width="14" style="13" customWidth="1"/>
    <col min="7682" max="7682" width="2" style="13" customWidth="1"/>
    <col min="7683" max="7683" width="11.85546875" style="13" customWidth="1"/>
    <col min="7684" max="7684" width="13.5703125" style="13" customWidth="1"/>
    <col min="7685" max="7686" width="13.85546875" style="13" customWidth="1"/>
    <col min="7687" max="7688" width="14.85546875" style="13" customWidth="1"/>
    <col min="7689" max="7689" width="8.85546875" style="13" customWidth="1"/>
    <col min="7690" max="7690" width="12.5703125" style="13" customWidth="1"/>
    <col min="7691" max="7692" width="13" style="13" customWidth="1"/>
    <col min="7693" max="7936" width="9.140625" style="13"/>
    <col min="7937" max="7937" width="14" style="13" customWidth="1"/>
    <col min="7938" max="7938" width="2" style="13" customWidth="1"/>
    <col min="7939" max="7939" width="11.85546875" style="13" customWidth="1"/>
    <col min="7940" max="7940" width="13.5703125" style="13" customWidth="1"/>
    <col min="7941" max="7942" width="13.85546875" style="13" customWidth="1"/>
    <col min="7943" max="7944" width="14.85546875" style="13" customWidth="1"/>
    <col min="7945" max="7945" width="8.85546875" style="13" customWidth="1"/>
    <col min="7946" max="7946" width="12.5703125" style="13" customWidth="1"/>
    <col min="7947" max="7948" width="13" style="13" customWidth="1"/>
    <col min="7949" max="8192" width="9.140625" style="13"/>
    <col min="8193" max="8193" width="14" style="13" customWidth="1"/>
    <col min="8194" max="8194" width="2" style="13" customWidth="1"/>
    <col min="8195" max="8195" width="11.85546875" style="13" customWidth="1"/>
    <col min="8196" max="8196" width="13.5703125" style="13" customWidth="1"/>
    <col min="8197" max="8198" width="13.85546875" style="13" customWidth="1"/>
    <col min="8199" max="8200" width="14.85546875" style="13" customWidth="1"/>
    <col min="8201" max="8201" width="8.85546875" style="13" customWidth="1"/>
    <col min="8202" max="8202" width="12.5703125" style="13" customWidth="1"/>
    <col min="8203" max="8204" width="13" style="13" customWidth="1"/>
    <col min="8205" max="8448" width="9.140625" style="13"/>
    <col min="8449" max="8449" width="14" style="13" customWidth="1"/>
    <col min="8450" max="8450" width="2" style="13" customWidth="1"/>
    <col min="8451" max="8451" width="11.85546875" style="13" customWidth="1"/>
    <col min="8452" max="8452" width="13.5703125" style="13" customWidth="1"/>
    <col min="8453" max="8454" width="13.85546875" style="13" customWidth="1"/>
    <col min="8455" max="8456" width="14.85546875" style="13" customWidth="1"/>
    <col min="8457" max="8457" width="8.85546875" style="13" customWidth="1"/>
    <col min="8458" max="8458" width="12.5703125" style="13" customWidth="1"/>
    <col min="8459" max="8460" width="13" style="13" customWidth="1"/>
    <col min="8461" max="8704" width="9.140625" style="13"/>
    <col min="8705" max="8705" width="14" style="13" customWidth="1"/>
    <col min="8706" max="8706" width="2" style="13" customWidth="1"/>
    <col min="8707" max="8707" width="11.85546875" style="13" customWidth="1"/>
    <col min="8708" max="8708" width="13.5703125" style="13" customWidth="1"/>
    <col min="8709" max="8710" width="13.85546875" style="13" customWidth="1"/>
    <col min="8711" max="8712" width="14.85546875" style="13" customWidth="1"/>
    <col min="8713" max="8713" width="8.85546875" style="13" customWidth="1"/>
    <col min="8714" max="8714" width="12.5703125" style="13" customWidth="1"/>
    <col min="8715" max="8716" width="13" style="13" customWidth="1"/>
    <col min="8717" max="8960" width="9.140625" style="13"/>
    <col min="8961" max="8961" width="14" style="13" customWidth="1"/>
    <col min="8962" max="8962" width="2" style="13" customWidth="1"/>
    <col min="8963" max="8963" width="11.85546875" style="13" customWidth="1"/>
    <col min="8964" max="8964" width="13.5703125" style="13" customWidth="1"/>
    <col min="8965" max="8966" width="13.85546875" style="13" customWidth="1"/>
    <col min="8967" max="8968" width="14.85546875" style="13" customWidth="1"/>
    <col min="8969" max="8969" width="8.85546875" style="13" customWidth="1"/>
    <col min="8970" max="8970" width="12.5703125" style="13" customWidth="1"/>
    <col min="8971" max="8972" width="13" style="13" customWidth="1"/>
    <col min="8973" max="9216" width="9.140625" style="13"/>
    <col min="9217" max="9217" width="14" style="13" customWidth="1"/>
    <col min="9218" max="9218" width="2" style="13" customWidth="1"/>
    <col min="9219" max="9219" width="11.85546875" style="13" customWidth="1"/>
    <col min="9220" max="9220" width="13.5703125" style="13" customWidth="1"/>
    <col min="9221" max="9222" width="13.85546875" style="13" customWidth="1"/>
    <col min="9223" max="9224" width="14.85546875" style="13" customWidth="1"/>
    <col min="9225" max="9225" width="8.85546875" style="13" customWidth="1"/>
    <col min="9226" max="9226" width="12.5703125" style="13" customWidth="1"/>
    <col min="9227" max="9228" width="13" style="13" customWidth="1"/>
    <col min="9229" max="9472" width="9.140625" style="13"/>
    <col min="9473" max="9473" width="14" style="13" customWidth="1"/>
    <col min="9474" max="9474" width="2" style="13" customWidth="1"/>
    <col min="9475" max="9475" width="11.85546875" style="13" customWidth="1"/>
    <col min="9476" max="9476" width="13.5703125" style="13" customWidth="1"/>
    <col min="9477" max="9478" width="13.85546875" style="13" customWidth="1"/>
    <col min="9479" max="9480" width="14.85546875" style="13" customWidth="1"/>
    <col min="9481" max="9481" width="8.85546875" style="13" customWidth="1"/>
    <col min="9482" max="9482" width="12.5703125" style="13" customWidth="1"/>
    <col min="9483" max="9484" width="13" style="13" customWidth="1"/>
    <col min="9485" max="9728" width="9.140625" style="13"/>
    <col min="9729" max="9729" width="14" style="13" customWidth="1"/>
    <col min="9730" max="9730" width="2" style="13" customWidth="1"/>
    <col min="9731" max="9731" width="11.85546875" style="13" customWidth="1"/>
    <col min="9732" max="9732" width="13.5703125" style="13" customWidth="1"/>
    <col min="9733" max="9734" width="13.85546875" style="13" customWidth="1"/>
    <col min="9735" max="9736" width="14.85546875" style="13" customWidth="1"/>
    <col min="9737" max="9737" width="8.85546875" style="13" customWidth="1"/>
    <col min="9738" max="9738" width="12.5703125" style="13" customWidth="1"/>
    <col min="9739" max="9740" width="13" style="13" customWidth="1"/>
    <col min="9741" max="9984" width="9.140625" style="13"/>
    <col min="9985" max="9985" width="14" style="13" customWidth="1"/>
    <col min="9986" max="9986" width="2" style="13" customWidth="1"/>
    <col min="9987" max="9987" width="11.85546875" style="13" customWidth="1"/>
    <col min="9988" max="9988" width="13.5703125" style="13" customWidth="1"/>
    <col min="9989" max="9990" width="13.85546875" style="13" customWidth="1"/>
    <col min="9991" max="9992" width="14.85546875" style="13" customWidth="1"/>
    <col min="9993" max="9993" width="8.85546875" style="13" customWidth="1"/>
    <col min="9994" max="9994" width="12.5703125" style="13" customWidth="1"/>
    <col min="9995" max="9996" width="13" style="13" customWidth="1"/>
    <col min="9997" max="10240" width="9.140625" style="13"/>
    <col min="10241" max="10241" width="14" style="13" customWidth="1"/>
    <col min="10242" max="10242" width="2" style="13" customWidth="1"/>
    <col min="10243" max="10243" width="11.85546875" style="13" customWidth="1"/>
    <col min="10244" max="10244" width="13.5703125" style="13" customWidth="1"/>
    <col min="10245" max="10246" width="13.85546875" style="13" customWidth="1"/>
    <col min="10247" max="10248" width="14.85546875" style="13" customWidth="1"/>
    <col min="10249" max="10249" width="8.85546875" style="13" customWidth="1"/>
    <col min="10250" max="10250" width="12.5703125" style="13" customWidth="1"/>
    <col min="10251" max="10252" width="13" style="13" customWidth="1"/>
    <col min="10253" max="10496" width="9.140625" style="13"/>
    <col min="10497" max="10497" width="14" style="13" customWidth="1"/>
    <col min="10498" max="10498" width="2" style="13" customWidth="1"/>
    <col min="10499" max="10499" width="11.85546875" style="13" customWidth="1"/>
    <col min="10500" max="10500" width="13.5703125" style="13" customWidth="1"/>
    <col min="10501" max="10502" width="13.85546875" style="13" customWidth="1"/>
    <col min="10503" max="10504" width="14.85546875" style="13" customWidth="1"/>
    <col min="10505" max="10505" width="8.85546875" style="13" customWidth="1"/>
    <col min="10506" max="10506" width="12.5703125" style="13" customWidth="1"/>
    <col min="10507" max="10508" width="13" style="13" customWidth="1"/>
    <col min="10509" max="10752" width="9.140625" style="13"/>
    <col min="10753" max="10753" width="14" style="13" customWidth="1"/>
    <col min="10754" max="10754" width="2" style="13" customWidth="1"/>
    <col min="10755" max="10755" width="11.85546875" style="13" customWidth="1"/>
    <col min="10756" max="10756" width="13.5703125" style="13" customWidth="1"/>
    <col min="10757" max="10758" width="13.85546875" style="13" customWidth="1"/>
    <col min="10759" max="10760" width="14.85546875" style="13" customWidth="1"/>
    <col min="10761" max="10761" width="8.85546875" style="13" customWidth="1"/>
    <col min="10762" max="10762" width="12.5703125" style="13" customWidth="1"/>
    <col min="10763" max="10764" width="13" style="13" customWidth="1"/>
    <col min="10765" max="11008" width="9.140625" style="13"/>
    <col min="11009" max="11009" width="14" style="13" customWidth="1"/>
    <col min="11010" max="11010" width="2" style="13" customWidth="1"/>
    <col min="11011" max="11011" width="11.85546875" style="13" customWidth="1"/>
    <col min="11012" max="11012" width="13.5703125" style="13" customWidth="1"/>
    <col min="11013" max="11014" width="13.85546875" style="13" customWidth="1"/>
    <col min="11015" max="11016" width="14.85546875" style="13" customWidth="1"/>
    <col min="11017" max="11017" width="8.85546875" style="13" customWidth="1"/>
    <col min="11018" max="11018" width="12.5703125" style="13" customWidth="1"/>
    <col min="11019" max="11020" width="13" style="13" customWidth="1"/>
    <col min="11021" max="11264" width="9.140625" style="13"/>
    <col min="11265" max="11265" width="14" style="13" customWidth="1"/>
    <col min="11266" max="11266" width="2" style="13" customWidth="1"/>
    <col min="11267" max="11267" width="11.85546875" style="13" customWidth="1"/>
    <col min="11268" max="11268" width="13.5703125" style="13" customWidth="1"/>
    <col min="11269" max="11270" width="13.85546875" style="13" customWidth="1"/>
    <col min="11271" max="11272" width="14.85546875" style="13" customWidth="1"/>
    <col min="11273" max="11273" width="8.85546875" style="13" customWidth="1"/>
    <col min="11274" max="11274" width="12.5703125" style="13" customWidth="1"/>
    <col min="11275" max="11276" width="13" style="13" customWidth="1"/>
    <col min="11277" max="11520" width="9.140625" style="13"/>
    <col min="11521" max="11521" width="14" style="13" customWidth="1"/>
    <col min="11522" max="11522" width="2" style="13" customWidth="1"/>
    <col min="11523" max="11523" width="11.85546875" style="13" customWidth="1"/>
    <col min="11524" max="11524" width="13.5703125" style="13" customWidth="1"/>
    <col min="11525" max="11526" width="13.85546875" style="13" customWidth="1"/>
    <col min="11527" max="11528" width="14.85546875" style="13" customWidth="1"/>
    <col min="11529" max="11529" width="8.85546875" style="13" customWidth="1"/>
    <col min="11530" max="11530" width="12.5703125" style="13" customWidth="1"/>
    <col min="11531" max="11532" width="13" style="13" customWidth="1"/>
    <col min="11533" max="11776" width="9.140625" style="13"/>
    <col min="11777" max="11777" width="14" style="13" customWidth="1"/>
    <col min="11778" max="11778" width="2" style="13" customWidth="1"/>
    <col min="11779" max="11779" width="11.85546875" style="13" customWidth="1"/>
    <col min="11780" max="11780" width="13.5703125" style="13" customWidth="1"/>
    <col min="11781" max="11782" width="13.85546875" style="13" customWidth="1"/>
    <col min="11783" max="11784" width="14.85546875" style="13" customWidth="1"/>
    <col min="11785" max="11785" width="8.85546875" style="13" customWidth="1"/>
    <col min="11786" max="11786" width="12.5703125" style="13" customWidth="1"/>
    <col min="11787" max="11788" width="13" style="13" customWidth="1"/>
    <col min="11789" max="12032" width="9.140625" style="13"/>
    <col min="12033" max="12033" width="14" style="13" customWidth="1"/>
    <col min="12034" max="12034" width="2" style="13" customWidth="1"/>
    <col min="12035" max="12035" width="11.85546875" style="13" customWidth="1"/>
    <col min="12036" max="12036" width="13.5703125" style="13" customWidth="1"/>
    <col min="12037" max="12038" width="13.85546875" style="13" customWidth="1"/>
    <col min="12039" max="12040" width="14.85546875" style="13" customWidth="1"/>
    <col min="12041" max="12041" width="8.85546875" style="13" customWidth="1"/>
    <col min="12042" max="12042" width="12.5703125" style="13" customWidth="1"/>
    <col min="12043" max="12044" width="13" style="13" customWidth="1"/>
    <col min="12045" max="12288" width="9.140625" style="13"/>
    <col min="12289" max="12289" width="14" style="13" customWidth="1"/>
    <col min="12290" max="12290" width="2" style="13" customWidth="1"/>
    <col min="12291" max="12291" width="11.85546875" style="13" customWidth="1"/>
    <col min="12292" max="12292" width="13.5703125" style="13" customWidth="1"/>
    <col min="12293" max="12294" width="13.85546875" style="13" customWidth="1"/>
    <col min="12295" max="12296" width="14.85546875" style="13" customWidth="1"/>
    <col min="12297" max="12297" width="8.85546875" style="13" customWidth="1"/>
    <col min="12298" max="12298" width="12.5703125" style="13" customWidth="1"/>
    <col min="12299" max="12300" width="13" style="13" customWidth="1"/>
    <col min="12301" max="12544" width="9.140625" style="13"/>
    <col min="12545" max="12545" width="14" style="13" customWidth="1"/>
    <col min="12546" max="12546" width="2" style="13" customWidth="1"/>
    <col min="12547" max="12547" width="11.85546875" style="13" customWidth="1"/>
    <col min="12548" max="12548" width="13.5703125" style="13" customWidth="1"/>
    <col min="12549" max="12550" width="13.85546875" style="13" customWidth="1"/>
    <col min="12551" max="12552" width="14.85546875" style="13" customWidth="1"/>
    <col min="12553" max="12553" width="8.85546875" style="13" customWidth="1"/>
    <col min="12554" max="12554" width="12.5703125" style="13" customWidth="1"/>
    <col min="12555" max="12556" width="13" style="13" customWidth="1"/>
    <col min="12557" max="12800" width="9.140625" style="13"/>
    <col min="12801" max="12801" width="14" style="13" customWidth="1"/>
    <col min="12802" max="12802" width="2" style="13" customWidth="1"/>
    <col min="12803" max="12803" width="11.85546875" style="13" customWidth="1"/>
    <col min="12804" max="12804" width="13.5703125" style="13" customWidth="1"/>
    <col min="12805" max="12806" width="13.85546875" style="13" customWidth="1"/>
    <col min="12807" max="12808" width="14.85546875" style="13" customWidth="1"/>
    <col min="12809" max="12809" width="8.85546875" style="13" customWidth="1"/>
    <col min="12810" max="12810" width="12.5703125" style="13" customWidth="1"/>
    <col min="12811" max="12812" width="13" style="13" customWidth="1"/>
    <col min="12813" max="13056" width="9.140625" style="13"/>
    <col min="13057" max="13057" width="14" style="13" customWidth="1"/>
    <col min="13058" max="13058" width="2" style="13" customWidth="1"/>
    <col min="13059" max="13059" width="11.85546875" style="13" customWidth="1"/>
    <col min="13060" max="13060" width="13.5703125" style="13" customWidth="1"/>
    <col min="13061" max="13062" width="13.85546875" style="13" customWidth="1"/>
    <col min="13063" max="13064" width="14.85546875" style="13" customWidth="1"/>
    <col min="13065" max="13065" width="8.85546875" style="13" customWidth="1"/>
    <col min="13066" max="13066" width="12.5703125" style="13" customWidth="1"/>
    <col min="13067" max="13068" width="13" style="13" customWidth="1"/>
    <col min="13069" max="13312" width="9.140625" style="13"/>
    <col min="13313" max="13313" width="14" style="13" customWidth="1"/>
    <col min="13314" max="13314" width="2" style="13" customWidth="1"/>
    <col min="13315" max="13315" width="11.85546875" style="13" customWidth="1"/>
    <col min="13316" max="13316" width="13.5703125" style="13" customWidth="1"/>
    <col min="13317" max="13318" width="13.85546875" style="13" customWidth="1"/>
    <col min="13319" max="13320" width="14.85546875" style="13" customWidth="1"/>
    <col min="13321" max="13321" width="8.85546875" style="13" customWidth="1"/>
    <col min="13322" max="13322" width="12.5703125" style="13" customWidth="1"/>
    <col min="13323" max="13324" width="13" style="13" customWidth="1"/>
    <col min="13325" max="13568" width="9.140625" style="13"/>
    <col min="13569" max="13569" width="14" style="13" customWidth="1"/>
    <col min="13570" max="13570" width="2" style="13" customWidth="1"/>
    <col min="13571" max="13571" width="11.85546875" style="13" customWidth="1"/>
    <col min="13572" max="13572" width="13.5703125" style="13" customWidth="1"/>
    <col min="13573" max="13574" width="13.85546875" style="13" customWidth="1"/>
    <col min="13575" max="13576" width="14.85546875" style="13" customWidth="1"/>
    <col min="13577" max="13577" width="8.85546875" style="13" customWidth="1"/>
    <col min="13578" max="13578" width="12.5703125" style="13" customWidth="1"/>
    <col min="13579" max="13580" width="13" style="13" customWidth="1"/>
    <col min="13581" max="13824" width="9.140625" style="13"/>
    <col min="13825" max="13825" width="14" style="13" customWidth="1"/>
    <col min="13826" max="13826" width="2" style="13" customWidth="1"/>
    <col min="13827" max="13827" width="11.85546875" style="13" customWidth="1"/>
    <col min="13828" max="13828" width="13.5703125" style="13" customWidth="1"/>
    <col min="13829" max="13830" width="13.85546875" style="13" customWidth="1"/>
    <col min="13831" max="13832" width="14.85546875" style="13" customWidth="1"/>
    <col min="13833" max="13833" width="8.85546875" style="13" customWidth="1"/>
    <col min="13834" max="13834" width="12.5703125" style="13" customWidth="1"/>
    <col min="13835" max="13836" width="13" style="13" customWidth="1"/>
    <col min="13837" max="14080" width="9.140625" style="13"/>
    <col min="14081" max="14081" width="14" style="13" customWidth="1"/>
    <col min="14082" max="14082" width="2" style="13" customWidth="1"/>
    <col min="14083" max="14083" width="11.85546875" style="13" customWidth="1"/>
    <col min="14084" max="14084" width="13.5703125" style="13" customWidth="1"/>
    <col min="14085" max="14086" width="13.85546875" style="13" customWidth="1"/>
    <col min="14087" max="14088" width="14.85546875" style="13" customWidth="1"/>
    <col min="14089" max="14089" width="8.85546875" style="13" customWidth="1"/>
    <col min="14090" max="14090" width="12.5703125" style="13" customWidth="1"/>
    <col min="14091" max="14092" width="13" style="13" customWidth="1"/>
    <col min="14093" max="14336" width="9.140625" style="13"/>
    <col min="14337" max="14337" width="14" style="13" customWidth="1"/>
    <col min="14338" max="14338" width="2" style="13" customWidth="1"/>
    <col min="14339" max="14339" width="11.85546875" style="13" customWidth="1"/>
    <col min="14340" max="14340" width="13.5703125" style="13" customWidth="1"/>
    <col min="14341" max="14342" width="13.85546875" style="13" customWidth="1"/>
    <col min="14343" max="14344" width="14.85546875" style="13" customWidth="1"/>
    <col min="14345" max="14345" width="8.85546875" style="13" customWidth="1"/>
    <col min="14346" max="14346" width="12.5703125" style="13" customWidth="1"/>
    <col min="14347" max="14348" width="13" style="13" customWidth="1"/>
    <col min="14349" max="14592" width="9.140625" style="13"/>
    <col min="14593" max="14593" width="14" style="13" customWidth="1"/>
    <col min="14594" max="14594" width="2" style="13" customWidth="1"/>
    <col min="14595" max="14595" width="11.85546875" style="13" customWidth="1"/>
    <col min="14596" max="14596" width="13.5703125" style="13" customWidth="1"/>
    <col min="14597" max="14598" width="13.85546875" style="13" customWidth="1"/>
    <col min="14599" max="14600" width="14.85546875" style="13" customWidth="1"/>
    <col min="14601" max="14601" width="8.85546875" style="13" customWidth="1"/>
    <col min="14602" max="14602" width="12.5703125" style="13" customWidth="1"/>
    <col min="14603" max="14604" width="13" style="13" customWidth="1"/>
    <col min="14605" max="14848" width="9.140625" style="13"/>
    <col min="14849" max="14849" width="14" style="13" customWidth="1"/>
    <col min="14850" max="14850" width="2" style="13" customWidth="1"/>
    <col min="14851" max="14851" width="11.85546875" style="13" customWidth="1"/>
    <col min="14852" max="14852" width="13.5703125" style="13" customWidth="1"/>
    <col min="14853" max="14854" width="13.85546875" style="13" customWidth="1"/>
    <col min="14855" max="14856" width="14.85546875" style="13" customWidth="1"/>
    <col min="14857" max="14857" width="8.85546875" style="13" customWidth="1"/>
    <col min="14858" max="14858" width="12.5703125" style="13" customWidth="1"/>
    <col min="14859" max="14860" width="13" style="13" customWidth="1"/>
    <col min="14861" max="15104" width="9.140625" style="13"/>
    <col min="15105" max="15105" width="14" style="13" customWidth="1"/>
    <col min="15106" max="15106" width="2" style="13" customWidth="1"/>
    <col min="15107" max="15107" width="11.85546875" style="13" customWidth="1"/>
    <col min="15108" max="15108" width="13.5703125" style="13" customWidth="1"/>
    <col min="15109" max="15110" width="13.85546875" style="13" customWidth="1"/>
    <col min="15111" max="15112" width="14.85546875" style="13" customWidth="1"/>
    <col min="15113" max="15113" width="8.85546875" style="13" customWidth="1"/>
    <col min="15114" max="15114" width="12.5703125" style="13" customWidth="1"/>
    <col min="15115" max="15116" width="13" style="13" customWidth="1"/>
    <col min="15117" max="15360" width="9.140625" style="13"/>
    <col min="15361" max="15361" width="14" style="13" customWidth="1"/>
    <col min="15362" max="15362" width="2" style="13" customWidth="1"/>
    <col min="15363" max="15363" width="11.85546875" style="13" customWidth="1"/>
    <col min="15364" max="15364" width="13.5703125" style="13" customWidth="1"/>
    <col min="15365" max="15366" width="13.85546875" style="13" customWidth="1"/>
    <col min="15367" max="15368" width="14.85546875" style="13" customWidth="1"/>
    <col min="15369" max="15369" width="8.85546875" style="13" customWidth="1"/>
    <col min="15370" max="15370" width="12.5703125" style="13" customWidth="1"/>
    <col min="15371" max="15372" width="13" style="13" customWidth="1"/>
    <col min="15373" max="15616" width="9.140625" style="13"/>
    <col min="15617" max="15617" width="14" style="13" customWidth="1"/>
    <col min="15618" max="15618" width="2" style="13" customWidth="1"/>
    <col min="15619" max="15619" width="11.85546875" style="13" customWidth="1"/>
    <col min="15620" max="15620" width="13.5703125" style="13" customWidth="1"/>
    <col min="15621" max="15622" width="13.85546875" style="13" customWidth="1"/>
    <col min="15623" max="15624" width="14.85546875" style="13" customWidth="1"/>
    <col min="15625" max="15625" width="8.85546875" style="13" customWidth="1"/>
    <col min="15626" max="15626" width="12.5703125" style="13" customWidth="1"/>
    <col min="15627" max="15628" width="13" style="13" customWidth="1"/>
    <col min="15629" max="15872" width="9.140625" style="13"/>
    <col min="15873" max="15873" width="14" style="13" customWidth="1"/>
    <col min="15874" max="15874" width="2" style="13" customWidth="1"/>
    <col min="15875" max="15875" width="11.85546875" style="13" customWidth="1"/>
    <col min="15876" max="15876" width="13.5703125" style="13" customWidth="1"/>
    <col min="15877" max="15878" width="13.85546875" style="13" customWidth="1"/>
    <col min="15879" max="15880" width="14.85546875" style="13" customWidth="1"/>
    <col min="15881" max="15881" width="8.85546875" style="13" customWidth="1"/>
    <col min="15882" max="15882" width="12.5703125" style="13" customWidth="1"/>
    <col min="15883" max="15884" width="13" style="13" customWidth="1"/>
    <col min="15885" max="16128" width="9.140625" style="13"/>
    <col min="16129" max="16129" width="14" style="13" customWidth="1"/>
    <col min="16130" max="16130" width="2" style="13" customWidth="1"/>
    <col min="16131" max="16131" width="11.85546875" style="13" customWidth="1"/>
    <col min="16132" max="16132" width="13.5703125" style="13" customWidth="1"/>
    <col min="16133" max="16134" width="13.85546875" style="13" customWidth="1"/>
    <col min="16135" max="16136" width="14.85546875" style="13" customWidth="1"/>
    <col min="16137" max="16137" width="8.85546875" style="13" customWidth="1"/>
    <col min="16138" max="16138" width="12.5703125" style="13" customWidth="1"/>
    <col min="16139" max="16140" width="13" style="13" customWidth="1"/>
    <col min="16141" max="16384" width="9.140625" style="13"/>
  </cols>
  <sheetData>
    <row r="1" spans="1:12" ht="10.5" customHeight="1" thickBot="1" x14ac:dyDescent="0.45">
      <c r="A1" s="10"/>
      <c r="B1" s="38"/>
      <c r="C1" s="10"/>
      <c r="D1" s="11"/>
      <c r="E1" s="10"/>
      <c r="F1" s="10"/>
      <c r="G1" s="10"/>
      <c r="H1" s="10"/>
      <c r="I1" s="39"/>
      <c r="J1" s="39"/>
      <c r="K1" s="12"/>
      <c r="L1" s="12"/>
    </row>
    <row r="2" spans="1:12" ht="35.25" customHeight="1" thickBot="1" x14ac:dyDescent="0.3">
      <c r="A2" s="14" t="s">
        <v>14</v>
      </c>
      <c r="B2" s="38"/>
      <c r="C2" s="40" t="s">
        <v>15</v>
      </c>
      <c r="D2" s="41"/>
      <c r="E2" s="42" t="s">
        <v>16</v>
      </c>
      <c r="F2" s="42"/>
      <c r="G2" s="45" t="s">
        <v>17</v>
      </c>
      <c r="H2" s="46"/>
      <c r="I2" s="43" t="s">
        <v>18</v>
      </c>
      <c r="J2" s="44"/>
      <c r="K2" s="15"/>
      <c r="L2" s="15"/>
    </row>
    <row r="3" spans="1:12" ht="44.25" customHeight="1" x14ac:dyDescent="0.25">
      <c r="A3" s="16" t="s">
        <v>19</v>
      </c>
      <c r="B3" s="38"/>
      <c r="C3" s="17" t="s">
        <v>20</v>
      </c>
      <c r="D3" s="18" t="s">
        <v>21</v>
      </c>
      <c r="E3" s="19" t="s">
        <v>22</v>
      </c>
      <c r="F3" s="19" t="s">
        <v>21</v>
      </c>
      <c r="G3" s="19" t="s">
        <v>23</v>
      </c>
      <c r="H3" s="19" t="s">
        <v>21</v>
      </c>
      <c r="I3" s="19" t="s">
        <v>24</v>
      </c>
      <c r="J3" s="20" t="s">
        <v>25</v>
      </c>
      <c r="K3" s="21" t="s">
        <v>26</v>
      </c>
      <c r="L3" s="21" t="s">
        <v>27</v>
      </c>
    </row>
    <row r="4" spans="1:12" s="26" customFormat="1" ht="35.25" customHeight="1" x14ac:dyDescent="0.25">
      <c r="A4" s="22">
        <v>44895</v>
      </c>
      <c r="B4" s="38"/>
      <c r="C4" s="23">
        <v>101774825</v>
      </c>
      <c r="D4" s="24"/>
      <c r="E4" s="23">
        <v>3254</v>
      </c>
      <c r="F4" s="25"/>
      <c r="G4" s="23">
        <v>263811104</v>
      </c>
      <c r="H4" s="25"/>
      <c r="I4" s="23">
        <v>428635</v>
      </c>
      <c r="K4" s="27">
        <v>95</v>
      </c>
      <c r="L4" s="27">
        <v>127</v>
      </c>
    </row>
    <row r="5" spans="1:12" ht="33" customHeight="1" x14ac:dyDescent="0.25">
      <c r="A5" s="28">
        <v>44896</v>
      </c>
      <c r="B5" s="38"/>
      <c r="C5" s="29">
        <v>101802745</v>
      </c>
      <c r="D5" s="30">
        <f t="shared" ref="D5:D22" si="0">IF((C5-C4&lt;0), "0",C5-C4)</f>
        <v>27920</v>
      </c>
      <c r="E5" s="29">
        <v>3256</v>
      </c>
      <c r="F5" s="30">
        <f>IF((E5-E4&lt;0), "0",E5-E4)</f>
        <v>2</v>
      </c>
      <c r="G5" s="29">
        <v>263827424</v>
      </c>
      <c r="H5" s="30">
        <f>IF((G5-G4&lt;0), "0",G5-G4)</f>
        <v>16320</v>
      </c>
      <c r="I5" s="29">
        <v>428739</v>
      </c>
      <c r="J5" s="30">
        <f>IF((I5-I4&lt;0), "0",I5-I4)</f>
        <v>104</v>
      </c>
      <c r="K5" s="31">
        <v>80</v>
      </c>
      <c r="L5" s="31">
        <v>151</v>
      </c>
    </row>
    <row r="6" spans="1:12" ht="45" customHeight="1" x14ac:dyDescent="0.25">
      <c r="A6" s="28">
        <v>44897</v>
      </c>
      <c r="B6" s="38"/>
      <c r="C6" s="29">
        <v>101834043</v>
      </c>
      <c r="D6" s="30">
        <f t="shared" si="0"/>
        <v>31298</v>
      </c>
      <c r="E6" s="29">
        <v>3258</v>
      </c>
      <c r="F6" s="30">
        <f t="shared" ref="F6:F35" si="1">IF((E6-E5&lt;0), "0",E6-E5)</f>
        <v>2</v>
      </c>
      <c r="G6" s="29">
        <v>263828672</v>
      </c>
      <c r="H6" s="30">
        <f t="shared" ref="H6:H35" si="2">IF((G6-G5&lt;0), "0",G6-G5)</f>
        <v>1248</v>
      </c>
      <c r="I6" s="29">
        <v>428846</v>
      </c>
      <c r="J6" s="30">
        <f t="shared" ref="J6:J35" si="3">IF((I6-I5&lt;0), "0",I6-I5)</f>
        <v>107</v>
      </c>
      <c r="K6" s="12">
        <v>105</v>
      </c>
      <c r="L6" s="12">
        <v>427</v>
      </c>
    </row>
    <row r="7" spans="1:12" ht="45" customHeight="1" x14ac:dyDescent="0.25">
      <c r="A7" s="28">
        <v>44898</v>
      </c>
      <c r="B7" s="38"/>
      <c r="C7" s="29">
        <v>101863574</v>
      </c>
      <c r="D7" s="30">
        <f t="shared" si="0"/>
        <v>29531</v>
      </c>
      <c r="E7" s="29">
        <v>3262</v>
      </c>
      <c r="F7" s="30">
        <f t="shared" si="1"/>
        <v>4</v>
      </c>
      <c r="G7" s="29">
        <v>263833200</v>
      </c>
      <c r="H7" s="30">
        <f t="shared" si="2"/>
        <v>4528</v>
      </c>
      <c r="I7" s="29">
        <v>428914</v>
      </c>
      <c r="J7" s="30">
        <f t="shared" si="3"/>
        <v>68</v>
      </c>
      <c r="K7" s="12">
        <v>115</v>
      </c>
      <c r="L7" s="12">
        <v>694</v>
      </c>
    </row>
    <row r="8" spans="1:12" ht="45" customHeight="1" x14ac:dyDescent="0.25">
      <c r="A8" s="28">
        <v>44899</v>
      </c>
      <c r="B8" s="38"/>
      <c r="C8" s="29">
        <v>101893009</v>
      </c>
      <c r="D8" s="30">
        <f t="shared" si="0"/>
        <v>29435</v>
      </c>
      <c r="E8" s="29">
        <v>3265</v>
      </c>
      <c r="F8" s="30">
        <f t="shared" si="1"/>
        <v>3</v>
      </c>
      <c r="G8" s="29">
        <v>263848592</v>
      </c>
      <c r="H8" s="30">
        <f t="shared" si="2"/>
        <v>15392</v>
      </c>
      <c r="I8" s="29">
        <v>429036</v>
      </c>
      <c r="J8" s="30">
        <f t="shared" si="3"/>
        <v>122</v>
      </c>
      <c r="K8" s="12">
        <v>102</v>
      </c>
      <c r="L8" s="12">
        <v>606</v>
      </c>
    </row>
    <row r="9" spans="1:12" ht="45" customHeight="1" x14ac:dyDescent="0.25">
      <c r="A9" s="28">
        <v>44900</v>
      </c>
      <c r="B9" s="38"/>
      <c r="C9" s="29">
        <v>101921112</v>
      </c>
      <c r="D9" s="30">
        <f t="shared" si="0"/>
        <v>28103</v>
      </c>
      <c r="E9" s="29">
        <v>3270</v>
      </c>
      <c r="F9" s="30">
        <f t="shared" si="1"/>
        <v>5</v>
      </c>
      <c r="G9" s="29">
        <v>263857328</v>
      </c>
      <c r="H9" s="30">
        <f t="shared" si="2"/>
        <v>8736</v>
      </c>
      <c r="I9" s="29">
        <v>429136</v>
      </c>
      <c r="J9" s="30">
        <f t="shared" si="3"/>
        <v>100</v>
      </c>
      <c r="K9" s="12">
        <v>79</v>
      </c>
      <c r="L9" s="12">
        <v>123</v>
      </c>
    </row>
    <row r="10" spans="1:12" ht="45" customHeight="1" x14ac:dyDescent="0.25">
      <c r="A10" s="28">
        <v>44901</v>
      </c>
      <c r="B10" s="38"/>
      <c r="C10" s="29">
        <v>101951935</v>
      </c>
      <c r="D10" s="30">
        <f t="shared" si="0"/>
        <v>30823</v>
      </c>
      <c r="E10" s="29">
        <v>3275</v>
      </c>
      <c r="F10" s="30">
        <f t="shared" si="1"/>
        <v>5</v>
      </c>
      <c r="G10" s="29">
        <v>263858944</v>
      </c>
      <c r="H10" s="30">
        <f t="shared" si="2"/>
        <v>1616</v>
      </c>
      <c r="I10" s="29">
        <v>429261</v>
      </c>
      <c r="J10" s="30">
        <f t="shared" si="3"/>
        <v>125</v>
      </c>
      <c r="K10" s="12">
        <v>72</v>
      </c>
      <c r="L10" s="12">
        <v>91</v>
      </c>
    </row>
    <row r="11" spans="1:12" ht="45" customHeight="1" x14ac:dyDescent="0.25">
      <c r="A11" s="28">
        <v>44902</v>
      </c>
      <c r="B11" s="38"/>
      <c r="C11" s="29">
        <v>101981307</v>
      </c>
      <c r="D11" s="30">
        <f t="shared" si="0"/>
        <v>29372</v>
      </c>
      <c r="E11" s="29">
        <v>3279</v>
      </c>
      <c r="F11" s="30">
        <f t="shared" si="1"/>
        <v>4</v>
      </c>
      <c r="G11" s="29">
        <v>263862816</v>
      </c>
      <c r="H11" s="30">
        <f t="shared" si="2"/>
        <v>3872</v>
      </c>
      <c r="I11" s="29">
        <v>429383</v>
      </c>
      <c r="J11" s="30">
        <f t="shared" si="3"/>
        <v>122</v>
      </c>
      <c r="K11" s="12">
        <v>72</v>
      </c>
      <c r="L11" s="12">
        <v>116</v>
      </c>
    </row>
    <row r="12" spans="1:12" ht="45" customHeight="1" x14ac:dyDescent="0.25">
      <c r="A12" s="28">
        <v>44903</v>
      </c>
      <c r="B12" s="38"/>
      <c r="C12" s="29">
        <v>102009854</v>
      </c>
      <c r="D12" s="30">
        <f t="shared" si="0"/>
        <v>28547</v>
      </c>
      <c r="E12" s="29">
        <v>3285</v>
      </c>
      <c r="F12" s="30">
        <f t="shared" si="1"/>
        <v>6</v>
      </c>
      <c r="G12" s="29">
        <v>263873328</v>
      </c>
      <c r="H12" s="30">
        <f t="shared" si="2"/>
        <v>10512</v>
      </c>
      <c r="I12" s="29">
        <v>429505</v>
      </c>
      <c r="J12" s="30">
        <f t="shared" si="3"/>
        <v>122</v>
      </c>
      <c r="K12" s="12">
        <v>92</v>
      </c>
      <c r="L12" s="12">
        <v>139</v>
      </c>
    </row>
    <row r="13" spans="1:12" ht="45" customHeight="1" x14ac:dyDescent="0.25">
      <c r="A13" s="28">
        <v>44904</v>
      </c>
      <c r="B13" s="38"/>
      <c r="C13" s="29">
        <v>102037771</v>
      </c>
      <c r="D13" s="30">
        <f t="shared" si="0"/>
        <v>27917</v>
      </c>
      <c r="E13" s="29">
        <v>3289</v>
      </c>
      <c r="F13" s="30">
        <f t="shared" si="1"/>
        <v>4</v>
      </c>
      <c r="G13" s="29">
        <v>263887056</v>
      </c>
      <c r="H13" s="30">
        <f t="shared" si="2"/>
        <v>13728</v>
      </c>
      <c r="I13" s="29">
        <v>429605</v>
      </c>
      <c r="J13" s="30">
        <f t="shared" si="3"/>
        <v>100</v>
      </c>
      <c r="K13" s="12">
        <v>119</v>
      </c>
      <c r="L13" s="12">
        <v>329</v>
      </c>
    </row>
    <row r="14" spans="1:12" ht="45" customHeight="1" x14ac:dyDescent="0.25">
      <c r="A14" s="28">
        <v>44905</v>
      </c>
      <c r="B14" s="38"/>
      <c r="C14" s="29">
        <v>102067203</v>
      </c>
      <c r="D14" s="30">
        <f t="shared" si="0"/>
        <v>29432</v>
      </c>
      <c r="E14" s="29">
        <v>3292</v>
      </c>
      <c r="F14" s="30">
        <f t="shared" si="1"/>
        <v>3</v>
      </c>
      <c r="G14" s="29">
        <v>263901016</v>
      </c>
      <c r="H14" s="30">
        <f t="shared" si="2"/>
        <v>13960</v>
      </c>
      <c r="I14" s="29">
        <v>429728</v>
      </c>
      <c r="J14" s="30">
        <f t="shared" si="3"/>
        <v>123</v>
      </c>
      <c r="K14" s="12">
        <v>121</v>
      </c>
      <c r="L14" s="12">
        <v>621</v>
      </c>
    </row>
    <row r="15" spans="1:12" ht="45" customHeight="1" x14ac:dyDescent="0.25">
      <c r="A15" s="28">
        <v>44906</v>
      </c>
      <c r="B15" s="38"/>
      <c r="C15" s="29">
        <v>102095773</v>
      </c>
      <c r="D15" s="30">
        <f t="shared" si="0"/>
        <v>28570</v>
      </c>
      <c r="E15" s="29">
        <v>3295</v>
      </c>
      <c r="F15" s="30">
        <f t="shared" si="1"/>
        <v>3</v>
      </c>
      <c r="G15" s="29">
        <v>263908512</v>
      </c>
      <c r="H15" s="30">
        <f t="shared" si="2"/>
        <v>7496</v>
      </c>
      <c r="I15" s="29">
        <v>429909</v>
      </c>
      <c r="J15" s="30">
        <f t="shared" si="3"/>
        <v>181</v>
      </c>
      <c r="K15" s="12">
        <v>83</v>
      </c>
      <c r="L15" s="12">
        <v>421</v>
      </c>
    </row>
    <row r="16" spans="1:12" ht="45" customHeight="1" x14ac:dyDescent="0.25">
      <c r="A16" s="28">
        <v>44907</v>
      </c>
      <c r="B16" s="38"/>
      <c r="C16" s="29">
        <v>102127764</v>
      </c>
      <c r="D16" s="30">
        <f t="shared" si="0"/>
        <v>31991</v>
      </c>
      <c r="E16" s="29">
        <v>3298</v>
      </c>
      <c r="F16" s="30">
        <f t="shared" si="1"/>
        <v>3</v>
      </c>
      <c r="G16" s="29">
        <v>263911872</v>
      </c>
      <c r="H16" s="30">
        <f t="shared" si="2"/>
        <v>3360</v>
      </c>
      <c r="I16" s="29">
        <v>430069</v>
      </c>
      <c r="J16" s="30">
        <f t="shared" si="3"/>
        <v>160</v>
      </c>
      <c r="K16" s="12">
        <v>116</v>
      </c>
      <c r="L16" s="12">
        <v>158</v>
      </c>
    </row>
    <row r="17" spans="1:14" ht="45" customHeight="1" x14ac:dyDescent="0.25">
      <c r="A17" s="28">
        <v>44908</v>
      </c>
      <c r="B17" s="38"/>
      <c r="C17" s="29">
        <v>102159628</v>
      </c>
      <c r="D17" s="30">
        <f t="shared" si="0"/>
        <v>31864</v>
      </c>
      <c r="E17" s="29">
        <v>3302</v>
      </c>
      <c r="F17" s="30">
        <f t="shared" si="1"/>
        <v>4</v>
      </c>
      <c r="G17" s="29">
        <v>263915488</v>
      </c>
      <c r="H17" s="30">
        <f t="shared" si="2"/>
        <v>3616</v>
      </c>
      <c r="I17" s="29">
        <v>430192</v>
      </c>
      <c r="J17" s="30">
        <f t="shared" si="3"/>
        <v>123</v>
      </c>
      <c r="K17" s="12">
        <v>124</v>
      </c>
      <c r="L17" s="12">
        <v>160</v>
      </c>
    </row>
    <row r="18" spans="1:14" ht="45" customHeight="1" x14ac:dyDescent="0.25">
      <c r="A18" s="28">
        <v>44909</v>
      </c>
      <c r="B18" s="38"/>
      <c r="C18" s="29">
        <v>102192730</v>
      </c>
      <c r="D18" s="30">
        <f t="shared" si="0"/>
        <v>33102</v>
      </c>
      <c r="E18" s="29">
        <v>3303</v>
      </c>
      <c r="F18" s="30">
        <f t="shared" si="1"/>
        <v>1</v>
      </c>
      <c r="G18" s="29">
        <v>263916368</v>
      </c>
      <c r="H18" s="30">
        <f t="shared" si="2"/>
        <v>880</v>
      </c>
      <c r="I18" s="29">
        <v>430293</v>
      </c>
      <c r="J18" s="30">
        <f t="shared" si="3"/>
        <v>101</v>
      </c>
      <c r="K18" s="12">
        <v>135</v>
      </c>
      <c r="L18" s="12">
        <v>138</v>
      </c>
    </row>
    <row r="19" spans="1:14" ht="45" customHeight="1" x14ac:dyDescent="0.25">
      <c r="A19" s="28">
        <v>44910</v>
      </c>
      <c r="B19" s="38"/>
      <c r="C19" s="29">
        <v>102226634</v>
      </c>
      <c r="D19" s="30">
        <f t="shared" si="0"/>
        <v>33904</v>
      </c>
      <c r="E19" s="29">
        <v>3307</v>
      </c>
      <c r="F19" s="30">
        <f t="shared" si="1"/>
        <v>4</v>
      </c>
      <c r="G19" s="29">
        <v>263916640</v>
      </c>
      <c r="H19" s="30">
        <f t="shared" si="2"/>
        <v>272</v>
      </c>
      <c r="I19" s="29">
        <v>430439</v>
      </c>
      <c r="J19" s="30">
        <f t="shared" si="3"/>
        <v>146</v>
      </c>
      <c r="K19" s="12">
        <v>152</v>
      </c>
      <c r="L19" s="12">
        <v>441</v>
      </c>
    </row>
    <row r="20" spans="1:14" ht="45" customHeight="1" x14ac:dyDescent="0.25">
      <c r="A20" s="28">
        <v>44911</v>
      </c>
      <c r="B20" s="38"/>
      <c r="C20" s="29">
        <v>102261592</v>
      </c>
      <c r="D20" s="30">
        <f t="shared" si="0"/>
        <v>34958</v>
      </c>
      <c r="E20" s="29">
        <v>3313</v>
      </c>
      <c r="F20" s="30">
        <f t="shared" si="1"/>
        <v>6</v>
      </c>
      <c r="G20" s="29">
        <v>263918656</v>
      </c>
      <c r="H20" s="30">
        <f t="shared" si="2"/>
        <v>2016</v>
      </c>
      <c r="I20" s="29">
        <v>430547</v>
      </c>
      <c r="J20" s="30">
        <f t="shared" si="3"/>
        <v>108</v>
      </c>
      <c r="K20" s="12">
        <v>198</v>
      </c>
      <c r="L20" s="12">
        <v>558</v>
      </c>
    </row>
    <row r="21" spans="1:14" ht="45" customHeight="1" x14ac:dyDescent="0.25">
      <c r="A21" s="28">
        <v>44912</v>
      </c>
      <c r="B21" s="38"/>
      <c r="C21" s="29">
        <v>102296833</v>
      </c>
      <c r="D21" s="30">
        <f t="shared" si="0"/>
        <v>35241</v>
      </c>
      <c r="E21" s="29">
        <v>3316</v>
      </c>
      <c r="F21" s="30">
        <f t="shared" si="1"/>
        <v>3</v>
      </c>
      <c r="G21" s="29">
        <v>263919312</v>
      </c>
      <c r="H21" s="30">
        <f t="shared" si="2"/>
        <v>656</v>
      </c>
      <c r="I21" s="29">
        <v>430657</v>
      </c>
      <c r="J21" s="30">
        <f t="shared" si="3"/>
        <v>110</v>
      </c>
      <c r="K21" s="12">
        <v>194</v>
      </c>
      <c r="L21" s="12">
        <v>689</v>
      </c>
    </row>
    <row r="22" spans="1:14" ht="45" customHeight="1" x14ac:dyDescent="0.25">
      <c r="A22" s="28">
        <v>44913</v>
      </c>
      <c r="B22" s="38"/>
      <c r="C22" s="29">
        <v>102336552</v>
      </c>
      <c r="D22" s="30">
        <f t="shared" si="0"/>
        <v>39719</v>
      </c>
      <c r="E22" s="29">
        <v>3321</v>
      </c>
      <c r="F22" s="30">
        <f t="shared" si="1"/>
        <v>5</v>
      </c>
      <c r="G22" s="29">
        <v>263919552</v>
      </c>
      <c r="H22" s="30">
        <f t="shared" si="2"/>
        <v>240</v>
      </c>
      <c r="I22" s="29">
        <v>430848</v>
      </c>
      <c r="J22" s="30">
        <f t="shared" si="3"/>
        <v>191</v>
      </c>
      <c r="K22" s="12">
        <v>149</v>
      </c>
      <c r="L22" s="12">
        <v>703</v>
      </c>
      <c r="N22" s="15"/>
    </row>
    <row r="23" spans="1:14" ht="45" customHeight="1" x14ac:dyDescent="0.25">
      <c r="A23" s="28">
        <v>44914</v>
      </c>
      <c r="B23" s="38"/>
      <c r="C23" s="29">
        <v>102374660</v>
      </c>
      <c r="D23" s="30">
        <f>IF((C23-C22&lt;0), "0",C23-C22)</f>
        <v>38108</v>
      </c>
      <c r="E23" s="29">
        <v>3325</v>
      </c>
      <c r="F23" s="30">
        <f t="shared" si="1"/>
        <v>4</v>
      </c>
      <c r="G23" s="29">
        <v>263919808</v>
      </c>
      <c r="H23" s="30">
        <f t="shared" si="2"/>
        <v>256</v>
      </c>
      <c r="I23" s="29">
        <v>431009</v>
      </c>
      <c r="J23" s="30">
        <f t="shared" si="3"/>
        <v>161</v>
      </c>
      <c r="K23" s="12">
        <v>161</v>
      </c>
      <c r="L23" s="12">
        <v>278</v>
      </c>
      <c r="N23" s="15"/>
    </row>
    <row r="24" spans="1:14" ht="45" customHeight="1" x14ac:dyDescent="0.25">
      <c r="A24" s="28">
        <v>44915</v>
      </c>
      <c r="B24" s="38"/>
      <c r="C24" s="29">
        <v>102406514</v>
      </c>
      <c r="D24" s="30">
        <f t="shared" ref="D24:D35" si="4">IF((C24-C23&lt;0), "0",C24-C23)</f>
        <v>31854</v>
      </c>
      <c r="E24" s="29">
        <v>3330</v>
      </c>
      <c r="F24" s="30">
        <f t="shared" si="1"/>
        <v>5</v>
      </c>
      <c r="G24" s="29">
        <v>263919856</v>
      </c>
      <c r="H24" s="30">
        <f t="shared" si="2"/>
        <v>48</v>
      </c>
      <c r="I24" s="29">
        <v>431107</v>
      </c>
      <c r="J24" s="30">
        <f t="shared" si="3"/>
        <v>98</v>
      </c>
      <c r="K24" s="12">
        <v>146</v>
      </c>
      <c r="L24" s="12">
        <v>878</v>
      </c>
      <c r="N24" s="15"/>
    </row>
    <row r="25" spans="1:14" ht="45" customHeight="1" x14ac:dyDescent="0.25">
      <c r="A25" s="28">
        <v>44916</v>
      </c>
      <c r="B25" s="38"/>
      <c r="C25" s="29">
        <v>102436007</v>
      </c>
      <c r="D25" s="30">
        <f t="shared" si="4"/>
        <v>29493</v>
      </c>
      <c r="E25" s="29">
        <v>3334</v>
      </c>
      <c r="F25" s="30">
        <f t="shared" si="1"/>
        <v>4</v>
      </c>
      <c r="G25" s="29">
        <v>263921120</v>
      </c>
      <c r="H25" s="30">
        <f t="shared" si="2"/>
        <v>1264</v>
      </c>
      <c r="I25" s="29">
        <v>431210</v>
      </c>
      <c r="J25" s="30">
        <f t="shared" si="3"/>
        <v>103</v>
      </c>
      <c r="K25" s="12">
        <v>133</v>
      </c>
      <c r="L25" s="12">
        <v>238</v>
      </c>
    </row>
    <row r="26" spans="1:14" ht="45" customHeight="1" x14ac:dyDescent="0.25">
      <c r="A26" s="28">
        <v>44917</v>
      </c>
      <c r="B26" s="38"/>
      <c r="C26" s="29">
        <v>102465210</v>
      </c>
      <c r="D26" s="30">
        <f t="shared" si="4"/>
        <v>29203</v>
      </c>
      <c r="E26" s="29">
        <v>3341</v>
      </c>
      <c r="F26" s="30">
        <f t="shared" si="1"/>
        <v>7</v>
      </c>
      <c r="G26" s="29">
        <v>263924576</v>
      </c>
      <c r="H26" s="30">
        <f t="shared" si="2"/>
        <v>3456</v>
      </c>
      <c r="I26" s="29">
        <v>431270</v>
      </c>
      <c r="J26" s="30">
        <f t="shared" si="3"/>
        <v>60</v>
      </c>
      <c r="K26" s="12">
        <v>118</v>
      </c>
      <c r="L26" s="12">
        <v>175</v>
      </c>
    </row>
    <row r="27" spans="1:14" ht="45" customHeight="1" x14ac:dyDescent="0.25">
      <c r="A27" s="28">
        <v>44918</v>
      </c>
      <c r="B27" s="38"/>
      <c r="C27" s="29">
        <v>102493182</v>
      </c>
      <c r="D27" s="30">
        <f t="shared" si="4"/>
        <v>27972</v>
      </c>
      <c r="E27" s="29">
        <v>3344</v>
      </c>
      <c r="F27" s="30">
        <f t="shared" si="1"/>
        <v>3</v>
      </c>
      <c r="G27" s="29">
        <v>263927472</v>
      </c>
      <c r="H27" s="30">
        <f t="shared" si="2"/>
        <v>2896</v>
      </c>
      <c r="I27" s="29">
        <v>431351</v>
      </c>
      <c r="J27" s="30">
        <f t="shared" si="3"/>
        <v>81</v>
      </c>
      <c r="K27" s="12">
        <v>105</v>
      </c>
      <c r="L27" s="12">
        <v>184</v>
      </c>
    </row>
    <row r="28" spans="1:14" ht="45" customHeight="1" x14ac:dyDescent="0.25">
      <c r="A28" s="28">
        <v>44919</v>
      </c>
      <c r="B28" s="38"/>
      <c r="C28" s="29">
        <v>102520745</v>
      </c>
      <c r="D28" s="30">
        <f t="shared" si="4"/>
        <v>27563</v>
      </c>
      <c r="E28" s="29">
        <v>3348</v>
      </c>
      <c r="F28" s="30">
        <f t="shared" si="1"/>
        <v>4</v>
      </c>
      <c r="G28" s="29">
        <v>263931088</v>
      </c>
      <c r="H28" s="30">
        <f t="shared" si="2"/>
        <v>3616</v>
      </c>
      <c r="I28" s="29">
        <v>431436</v>
      </c>
      <c r="J28" s="30">
        <f t="shared" si="3"/>
        <v>85</v>
      </c>
      <c r="K28" s="12">
        <v>92</v>
      </c>
      <c r="L28" s="12">
        <v>208</v>
      </c>
    </row>
    <row r="29" spans="1:14" ht="45" customHeight="1" x14ac:dyDescent="0.25">
      <c r="A29" s="28">
        <v>44920</v>
      </c>
      <c r="B29" s="38"/>
      <c r="C29" s="29">
        <v>102547699</v>
      </c>
      <c r="D29" s="30">
        <f t="shared" si="4"/>
        <v>26954</v>
      </c>
      <c r="E29" s="29">
        <v>3350</v>
      </c>
      <c r="F29" s="30">
        <f t="shared" si="1"/>
        <v>2</v>
      </c>
      <c r="G29" s="29">
        <v>263935184</v>
      </c>
      <c r="H29" s="30">
        <f t="shared" si="2"/>
        <v>4096</v>
      </c>
      <c r="I29" s="29">
        <v>431518</v>
      </c>
      <c r="J29" s="30">
        <f t="shared" si="3"/>
        <v>82</v>
      </c>
      <c r="K29" s="12">
        <v>69</v>
      </c>
      <c r="L29" s="12">
        <v>184</v>
      </c>
    </row>
    <row r="30" spans="1:14" ht="45" customHeight="1" x14ac:dyDescent="0.25">
      <c r="A30" s="28">
        <v>44921</v>
      </c>
      <c r="B30" s="38"/>
      <c r="C30" s="29">
        <v>102579420</v>
      </c>
      <c r="D30" s="30">
        <f t="shared" si="4"/>
        <v>31721</v>
      </c>
      <c r="E30" s="29">
        <v>3351</v>
      </c>
      <c r="F30" s="30">
        <f t="shared" si="1"/>
        <v>1</v>
      </c>
      <c r="G30" s="29">
        <v>263942176</v>
      </c>
      <c r="H30" s="30">
        <f t="shared" si="2"/>
        <v>6992</v>
      </c>
      <c r="I30" s="29">
        <v>431590</v>
      </c>
      <c r="J30" s="30">
        <f t="shared" si="3"/>
        <v>72</v>
      </c>
      <c r="K30" s="12">
        <v>58</v>
      </c>
      <c r="L30" s="12">
        <v>174</v>
      </c>
    </row>
    <row r="31" spans="1:14" ht="45" customHeight="1" x14ac:dyDescent="0.25">
      <c r="A31" s="28">
        <v>44922</v>
      </c>
      <c r="B31" s="38"/>
      <c r="C31" s="29">
        <v>102600494</v>
      </c>
      <c r="D31" s="30">
        <f t="shared" si="4"/>
        <v>21074</v>
      </c>
      <c r="E31" s="29">
        <v>3351</v>
      </c>
      <c r="F31" s="30">
        <f t="shared" si="1"/>
        <v>0</v>
      </c>
      <c r="G31" s="29">
        <v>263945376</v>
      </c>
      <c r="H31" s="30">
        <f t="shared" si="2"/>
        <v>3200</v>
      </c>
      <c r="I31" s="29">
        <v>431641</v>
      </c>
      <c r="J31" s="30">
        <f t="shared" si="3"/>
        <v>51</v>
      </c>
      <c r="K31" s="12">
        <v>53</v>
      </c>
      <c r="L31" s="12">
        <v>188</v>
      </c>
    </row>
    <row r="32" spans="1:14" ht="45" customHeight="1" x14ac:dyDescent="0.25">
      <c r="A32" s="28">
        <v>44923</v>
      </c>
      <c r="B32" s="38"/>
      <c r="C32" s="29">
        <v>102626944</v>
      </c>
      <c r="D32" s="30">
        <f t="shared" si="4"/>
        <v>26450</v>
      </c>
      <c r="E32" s="29">
        <v>3351</v>
      </c>
      <c r="F32" s="30">
        <f t="shared" si="1"/>
        <v>0</v>
      </c>
      <c r="G32" s="29">
        <v>263952720</v>
      </c>
      <c r="H32" s="30">
        <f t="shared" si="2"/>
        <v>7344</v>
      </c>
      <c r="I32" s="29">
        <v>431689</v>
      </c>
      <c r="J32" s="30">
        <f t="shared" si="3"/>
        <v>48</v>
      </c>
      <c r="K32" s="12">
        <v>49</v>
      </c>
      <c r="L32" s="12">
        <v>146</v>
      </c>
    </row>
    <row r="33" spans="1:12" ht="36" customHeight="1" x14ac:dyDescent="0.25">
      <c r="A33" s="28">
        <v>44924</v>
      </c>
      <c r="C33" s="29">
        <v>102653899</v>
      </c>
      <c r="D33" s="30">
        <f t="shared" si="4"/>
        <v>26955</v>
      </c>
      <c r="E33" s="29">
        <v>3352</v>
      </c>
      <c r="F33" s="30">
        <f t="shared" si="1"/>
        <v>1</v>
      </c>
      <c r="G33" s="29">
        <v>263957408</v>
      </c>
      <c r="H33" s="30">
        <f t="shared" si="2"/>
        <v>4688</v>
      </c>
      <c r="I33" s="29">
        <v>431793</v>
      </c>
      <c r="J33" s="30">
        <f t="shared" si="3"/>
        <v>104</v>
      </c>
      <c r="K33" s="12">
        <v>63</v>
      </c>
      <c r="L33" s="12">
        <v>171</v>
      </c>
    </row>
    <row r="34" spans="1:12" ht="45.6" customHeight="1" x14ac:dyDescent="0.25">
      <c r="A34" s="28">
        <v>44925</v>
      </c>
      <c r="C34" s="29">
        <v>102683837</v>
      </c>
      <c r="D34" s="30">
        <f t="shared" si="4"/>
        <v>29938</v>
      </c>
      <c r="E34" s="29">
        <v>3352</v>
      </c>
      <c r="F34" s="30">
        <f t="shared" si="1"/>
        <v>0</v>
      </c>
      <c r="G34" s="29">
        <v>263961392</v>
      </c>
      <c r="H34" s="30">
        <f t="shared" si="2"/>
        <v>3984</v>
      </c>
      <c r="I34" s="29">
        <v>431893</v>
      </c>
      <c r="J34" s="30">
        <f t="shared" si="3"/>
        <v>100</v>
      </c>
      <c r="K34" s="12">
        <v>102</v>
      </c>
      <c r="L34" s="12">
        <v>186</v>
      </c>
    </row>
    <row r="35" spans="1:12" ht="47.45" customHeight="1" x14ac:dyDescent="0.25">
      <c r="A35" s="28">
        <v>44926</v>
      </c>
      <c r="C35" s="29">
        <v>102717171</v>
      </c>
      <c r="D35" s="30">
        <f t="shared" si="4"/>
        <v>33334</v>
      </c>
      <c r="E35" s="29">
        <v>3353</v>
      </c>
      <c r="F35" s="30">
        <f t="shared" si="1"/>
        <v>1</v>
      </c>
      <c r="G35" s="29">
        <v>263963696</v>
      </c>
      <c r="H35" s="30">
        <f t="shared" si="2"/>
        <v>2304</v>
      </c>
      <c r="I35" s="29">
        <v>432035</v>
      </c>
      <c r="J35" s="30">
        <f t="shared" si="3"/>
        <v>142</v>
      </c>
      <c r="K35" s="12">
        <v>143</v>
      </c>
      <c r="L35" s="12">
        <v>277</v>
      </c>
    </row>
  </sheetData>
  <mergeCells count="6">
    <mergeCell ref="B1:B32"/>
    <mergeCell ref="I1:J1"/>
    <mergeCell ref="C2:D2"/>
    <mergeCell ref="E2:F2"/>
    <mergeCell ref="I2:J2"/>
    <mergeCell ref="G2:H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Macao Daily</vt:lpstr>
    </vt:vector>
  </TitlesOfParts>
  <Manager/>
  <Company>FSRB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engchief</dc:creator>
  <cp:keywords/>
  <dc:description/>
  <cp:lastModifiedBy>Sarina Tong</cp:lastModifiedBy>
  <cp:revision/>
  <dcterms:created xsi:type="dcterms:W3CDTF">2009-02-11T09:03:59Z</dcterms:created>
  <dcterms:modified xsi:type="dcterms:W3CDTF">2023-02-17T06:54:05Z</dcterms:modified>
  <cp:category/>
  <cp:contentStatus/>
</cp:coreProperties>
</file>