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6 - 2020" sheetId="1" r:id="rId3"/>
  </sheets>
  <definedNames>
    <definedName name="_xlnm.Print_Area" localSheetId="2">'06 - 2020'!$A$1:$J$36</definedName>
  </definedNames>
  <calcPr calcId="162913" calcMode="manual"/>
</workbook>
</file>

<file path=xl/calcChain.xml><?xml version="1.0" encoding="utf-8"?>
<calcChain xmlns="http://schemas.openxmlformats.org/spreadsheetml/2006/main">
  <c r="L11" i="3" l="1"/>
  <c r="K11" i="3"/>
  <c r="I11" i="3"/>
  <c r="G11" i="3"/>
  <c r="E11" i="3"/>
  <c r="J11" i="2"/>
  <c r="I11" i="2"/>
  <c r="H11" i="2"/>
  <c r="F11" i="2"/>
  <c r="E11" i="2"/>
  <c r="L9" i="3" l="1"/>
  <c r="K9" i="3"/>
  <c r="I9" i="3"/>
  <c r="G9" i="3"/>
  <c r="E9" i="3"/>
  <c r="J9" i="2"/>
  <c r="I9" i="2"/>
  <c r="H9" i="2"/>
  <c r="F9" i="2"/>
  <c r="E9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4" i="2"/>
  <c r="I14" i="2"/>
  <c r="H14" i="2"/>
  <c r="F14" i="2"/>
  <c r="E14" i="2"/>
  <c r="J13" i="2"/>
  <c r="I13" i="2"/>
  <c r="H13" i="2"/>
  <c r="F13" i="2"/>
  <c r="E13" i="2"/>
  <c r="L10" i="3" l="1"/>
  <c r="K10" i="3"/>
  <c r="I10" i="3"/>
  <c r="G10" i="3"/>
  <c r="E10" i="3"/>
  <c r="J10" i="2"/>
  <c r="I10" i="2"/>
  <c r="H10" i="2"/>
  <c r="F10" i="2"/>
  <c r="E10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L6" i="3"/>
  <c r="K6" i="3"/>
  <c r="I6" i="3"/>
  <c r="G6" i="3"/>
  <c r="E6" i="3"/>
  <c r="J7" i="2"/>
  <c r="I7" i="2"/>
  <c r="H7" i="2"/>
  <c r="F7" i="2"/>
  <c r="E7" i="2"/>
  <c r="J6" i="2"/>
  <c r="I6" i="2"/>
  <c r="H6" i="2"/>
  <c r="F6" i="2"/>
  <c r="E6" i="2"/>
  <c r="L3" i="3" l="1"/>
  <c r="L14" i="3"/>
  <c r="L15" i="3"/>
  <c r="L17" i="3"/>
  <c r="L19" i="3"/>
  <c r="L20" i="3"/>
  <c r="L22" i="3"/>
  <c r="L23" i="3"/>
  <c r="L24" i="3"/>
  <c r="L25" i="3"/>
  <c r="L26" i="3"/>
  <c r="L27" i="3"/>
  <c r="L28" i="3"/>
  <c r="L29" i="3"/>
  <c r="L30" i="3"/>
  <c r="L31" i="3"/>
  <c r="L2" i="3"/>
  <c r="K3" i="3"/>
  <c r="K14" i="3"/>
  <c r="K15" i="3"/>
  <c r="K17" i="3"/>
  <c r="K19" i="3"/>
  <c r="K20" i="3"/>
  <c r="K22" i="3"/>
  <c r="K23" i="3"/>
  <c r="K24" i="3"/>
  <c r="K25" i="3"/>
  <c r="K26" i="3"/>
  <c r="K27" i="3"/>
  <c r="K28" i="3"/>
  <c r="K29" i="3"/>
  <c r="K30" i="3"/>
  <c r="K31" i="3"/>
  <c r="K2" i="3"/>
  <c r="I3" i="3"/>
  <c r="I14" i="3"/>
  <c r="I15" i="3"/>
  <c r="I17" i="3"/>
  <c r="I19" i="3"/>
  <c r="I20" i="3"/>
  <c r="I22" i="3"/>
  <c r="I23" i="3"/>
  <c r="I24" i="3"/>
  <c r="I25" i="3"/>
  <c r="I26" i="3"/>
  <c r="I27" i="3"/>
  <c r="I28" i="3"/>
  <c r="I29" i="3"/>
  <c r="I30" i="3"/>
  <c r="I31" i="3"/>
  <c r="I2" i="3"/>
  <c r="G3" i="3"/>
  <c r="G14" i="3"/>
  <c r="G15" i="3"/>
  <c r="G17" i="3"/>
  <c r="G19" i="3"/>
  <c r="G20" i="3"/>
  <c r="G22" i="3"/>
  <c r="G23" i="3"/>
  <c r="G24" i="3"/>
  <c r="G25" i="3"/>
  <c r="G26" i="3"/>
  <c r="G27" i="3"/>
  <c r="G28" i="3"/>
  <c r="G29" i="3"/>
  <c r="G30" i="3"/>
  <c r="G31" i="3"/>
  <c r="G2" i="3"/>
  <c r="E3" i="3" l="1"/>
  <c r="E14" i="3"/>
  <c r="E15" i="3"/>
  <c r="E17" i="3"/>
  <c r="E19" i="3"/>
  <c r="E20" i="3"/>
  <c r="E22" i="3"/>
  <c r="E23" i="3"/>
  <c r="E24" i="3"/>
  <c r="E25" i="3"/>
  <c r="E26" i="3"/>
  <c r="E27" i="3"/>
  <c r="E28" i="3"/>
  <c r="E29" i="3"/>
  <c r="E30" i="3"/>
  <c r="E31" i="3"/>
  <c r="E2" i="3"/>
  <c r="J3" i="2" l="1"/>
  <c r="J15" i="2"/>
  <c r="J17" i="2"/>
  <c r="J19" i="2"/>
  <c r="J20" i="2"/>
  <c r="J22" i="2"/>
  <c r="J23" i="2"/>
  <c r="J24" i="2"/>
  <c r="J25" i="2"/>
  <c r="J26" i="2"/>
  <c r="J27" i="2"/>
  <c r="J28" i="2"/>
  <c r="J29" i="2"/>
  <c r="J30" i="2"/>
  <c r="J31" i="2"/>
  <c r="I3" i="2"/>
  <c r="I15" i="2"/>
  <c r="I17" i="2"/>
  <c r="I19" i="2"/>
  <c r="I20" i="2"/>
  <c r="I22" i="2"/>
  <c r="I23" i="2"/>
  <c r="I24" i="2"/>
  <c r="I25" i="2"/>
  <c r="I26" i="2"/>
  <c r="I27" i="2"/>
  <c r="I28" i="2"/>
  <c r="I29" i="2"/>
  <c r="I30" i="2"/>
  <c r="I31" i="2"/>
  <c r="H3" i="2"/>
  <c r="H15" i="2"/>
  <c r="H17" i="2"/>
  <c r="H19" i="2"/>
  <c r="H20" i="2"/>
  <c r="H22" i="2"/>
  <c r="H23" i="2"/>
  <c r="H24" i="2"/>
  <c r="H25" i="2"/>
  <c r="H26" i="2"/>
  <c r="H27" i="2"/>
  <c r="H28" i="2"/>
  <c r="H29" i="2"/>
  <c r="H30" i="2"/>
  <c r="H31" i="2"/>
  <c r="J2" i="2"/>
  <c r="I2" i="2"/>
  <c r="H2" i="2" l="1"/>
  <c r="F31" i="2"/>
  <c r="F30" i="2"/>
  <c r="F29" i="2"/>
  <c r="F28" i="2"/>
  <c r="F27" i="2"/>
  <c r="F26" i="2"/>
  <c r="F25" i="2"/>
  <c r="F24" i="2"/>
  <c r="F23" i="2"/>
  <c r="F22" i="2"/>
  <c r="F20" i="2"/>
  <c r="F19" i="2"/>
  <c r="F17" i="2"/>
  <c r="F15" i="2"/>
  <c r="F3" i="2"/>
  <c r="F2" i="2" l="1"/>
  <c r="E3" i="2"/>
  <c r="E15" i="2"/>
  <c r="E17" i="2"/>
  <c r="E19" i="2"/>
  <c r="E20" i="2"/>
  <c r="E22" i="2"/>
  <c r="E23" i="2"/>
  <c r="E24" i="2"/>
  <c r="E25" i="2"/>
  <c r="E26" i="2"/>
  <c r="E27" i="2"/>
  <c r="E28" i="2"/>
  <c r="E29" i="2"/>
  <c r="E30" i="2"/>
  <c r="E31" i="2"/>
  <c r="E2" i="2" l="1"/>
  <c r="J38" i="1" l="1"/>
  <c r="I38" i="1"/>
  <c r="I39" i="1" s="1"/>
  <c r="H38" i="1"/>
  <c r="H39" i="1" s="1"/>
  <c r="G38" i="1"/>
  <c r="F38" i="1"/>
  <c r="E38" i="1"/>
  <c r="D38" i="1"/>
  <c r="C38" i="1"/>
  <c r="B38" i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<sst xmlns="http://schemas.openxmlformats.org/spreadsheetml/2006/main" count="104" uniqueCount="37">
  <si>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</si>
  <si>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</si>
  <si>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</si>
  <si>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</si>
  <si>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</si>
  <si>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</si>
  <si>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</si>
  <si>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</si>
  <si>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</si>
  <si>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</si>
  <si>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</si>
  <si>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</si>
  <si>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</si>
  <si>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</si>
  <si>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</si>
  <si>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</si>
  <si>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</si>
  <si>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</si>
  <si>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</si>
  <si>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</si>
  <si>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</si>
  <si>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</si>
  <si>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</si>
  <si>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</si>
  <si>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</si>
  <si>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</si>
  <si>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</si>
  <si>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</si>
  <si>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</si>
  <si>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</si>
  <si>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</si>
  <si>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</si>
  <si>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</si>
  <si>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</si>
  <si>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</si>
  <si>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</si>
  <si>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June'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</si>
</sst>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L15" sqref="L1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6" t="s">
        <v>19</v>
      </c>
      <c r="L1" s="4" t="s">
        <v>19</v>
      </c>
      <c r="M1" s="7" t="s">
        <v>20</v>
      </c>
      <c r="N1" s="52" t="s">
        <v>21</v>
      </c>
      <c r="O1" s="4"/>
    </row>
    <row r="2" spans="1:15" x14ac:dyDescent="0.25">
      <c r="A2" t="s">
        <v>27</v>
      </c>
      <c r="B2">
        <v>1</v>
      </c>
      <c r="C2">
        <v>6</v>
      </c>
      <c r="D2">
        <v>2020</v>
      </c>
      <c r="E2" s="25">
        <f>'06 - 2020'!B8-'06 - 2020'!B7+'06 - 2020'!C8-'06 - 2020'!C7</f>
        <v>2989</v>
      </c>
      <c r="F2" s="23">
        <v>0.11799999999999999</v>
      </c>
      <c r="G2" s="25">
        <f>(('06 - 2020'!E8-'06 - 2020'!E7)+('06 - 2020'!F8-'06 - 2020'!F7)+('06 - 2020'!G8-'06 - 2020'!G7))*1.81</f>
        <v>18.624900000001581</v>
      </c>
      <c r="H2" s="23">
        <v>0.99</v>
      </c>
      <c r="I2" s="25">
        <f>'06 - 2020'!J8-'06 - 2020'!J7</f>
        <v>10739</v>
      </c>
      <c r="J2" s="23">
        <v>8.1000000000000003E-2</v>
      </c>
      <c r="K2" s="57">
        <f>'06 - 2020'!H8-'06 - 2020'!H7</f>
        <v>0</v>
      </c>
      <c r="L2" s="25">
        <f>'06 - 2020'!I8-'06 - 2020'!I7</f>
        <v>21</v>
      </c>
      <c r="M2" s="24">
        <v>4.393629424766913</v>
      </c>
      <c r="N2" s="49">
        <v>0</v>
      </c>
    </row>
    <row r="3" spans="1:15" x14ac:dyDescent="0.25">
      <c r="A3" t="s">
        <v>27</v>
      </c>
      <c r="B3">
        <f>B2+1</f>
        <v>2</v>
      </c>
      <c r="C3" s="23">
        <v>6</v>
      </c>
      <c r="D3" s="23">
        <v>2020</v>
      </c>
      <c r="E3" s="25">
        <f>'06 - 2020'!B9-'06 - 2020'!B8+'06 - 2020'!C9-'06 - 2020'!C8</f>
        <v>2826</v>
      </c>
      <c r="F3" s="23">
        <v>0.11799999999999999</v>
      </c>
      <c r="G3" s="25">
        <f>(('06 - 2020'!E9-'06 - 2020'!E8)+('06 - 2020'!F9-'06 - 2020'!F8)+('06 - 2020'!G9-'06 - 2020'!G8))*1.81</f>
        <v>18.353400000002239</v>
      </c>
      <c r="H3" s="23">
        <v>0.99</v>
      </c>
      <c r="I3" s="25">
        <f>'06 - 2020'!J9-'06 - 2020'!J8</f>
        <v>10321</v>
      </c>
      <c r="J3" s="23">
        <v>8.1000000000000003E-2</v>
      </c>
      <c r="K3" s="57">
        <f>'06 - 2020'!H9-'06 - 2020'!H8</f>
        <v>0</v>
      </c>
      <c r="L3" s="25">
        <f>'06 - 2020'!I9-'06 - 2020'!I8</f>
        <v>16</v>
      </c>
      <c r="M3" s="24">
        <v>4.393629424766913</v>
      </c>
      <c r="N3" s="49">
        <v>0</v>
      </c>
    </row>
    <row r="4" spans="1:15" x14ac:dyDescent="0.25">
      <c r="A4" t="s">
        <v>27</v>
      </c>
      <c r="B4">
        <f t="shared" ref="B4:B31" si="0">B3+1</f>
        <v>3</v>
      </c>
      <c r="C4" s="23">
        <v>6</v>
      </c>
      <c r="D4" s="23">
        <v>2020</v>
      </c>
      <c r="E4" s="25">
        <f>'06 - 2020'!B10-'06 - 2020'!B9+'06 - 2020'!C10-'06 - 2020'!C9</f>
        <v>2882</v>
      </c>
      <c r="F4" s="23">
        <v>0.11799999999999999</v>
      </c>
      <c r="G4" s="25">
        <f>(('06 - 2020'!E10-'06 - 2020'!E9)+('06 - 2020'!F10-'06 - 2020'!F9)+('06 - 2020'!G10-'06 - 2020'!G9))*1.81</f>
        <v>19.276499999996048</v>
      </c>
      <c r="H4" s="23">
        <v>0.99</v>
      </c>
      <c r="I4" s="25">
        <f>'06 - 2020'!J10-'06 - 2020'!J9</f>
        <v>9867</v>
      </c>
      <c r="J4" s="23">
        <v>8.1000000000000003E-2</v>
      </c>
      <c r="K4" s="57">
        <f>'06 - 2020'!H10-'06 - 2020'!H9</f>
        <v>0</v>
      </c>
      <c r="L4" s="25">
        <f>'06 - 2020'!I10-'06 - 2020'!I9</f>
        <v>18</v>
      </c>
      <c r="M4" s="24">
        <v>4.393629424766913</v>
      </c>
      <c r="N4" s="49">
        <v>0</v>
      </c>
    </row>
    <row r="5" spans="1:15" x14ac:dyDescent="0.25">
      <c r="A5" t="s">
        <v>27</v>
      </c>
      <c r="B5">
        <f t="shared" si="0"/>
        <v>4</v>
      </c>
      <c r="C5" s="23">
        <v>6</v>
      </c>
      <c r="D5" s="23">
        <v>2020</v>
      </c>
      <c r="E5" s="25">
        <f>'06 - 2020'!B11-'06 - 2020'!B10+'06 - 2020'!C11-'06 - 2020'!C10</f>
        <v>2862</v>
      </c>
      <c r="F5" s="23">
        <v>0.11799999999999999</v>
      </c>
      <c r="G5" s="25">
        <f>(('06 - 2020'!E11-'06 - 2020'!E10)+('06 - 2020'!F11-'06 - 2020'!F10)+('06 - 2020'!G11-'06 - 2020'!G10))*1.81</f>
        <v>19.294599999999736</v>
      </c>
      <c r="H5" s="23">
        <v>0.99</v>
      </c>
      <c r="I5" s="25">
        <f>'06 - 2020'!J11-'06 - 2020'!J10</f>
        <v>9938</v>
      </c>
      <c r="J5" s="23">
        <v>8.1000000000000003E-2</v>
      </c>
      <c r="K5" s="57">
        <f>'06 - 2020'!H11-'06 - 2020'!H10</f>
        <v>0</v>
      </c>
      <c r="L5" s="25">
        <f>'06 - 2020'!I11-'06 - 2020'!I10</f>
        <v>19</v>
      </c>
      <c r="M5" s="24">
        <v>4.393629424766913</v>
      </c>
      <c r="N5" s="49">
        <v>0</v>
      </c>
    </row>
    <row r="6" spans="1:15" x14ac:dyDescent="0.25">
      <c r="A6" t="s">
        <v>27</v>
      </c>
      <c r="B6">
        <f t="shared" si="0"/>
        <v>5</v>
      </c>
      <c r="C6" s="23">
        <v>6</v>
      </c>
      <c r="D6" s="23">
        <v>2020</v>
      </c>
      <c r="E6" s="25">
        <f>'06 - 2020'!B12-'06 - 2020'!B11+'06 - 2020'!C12-'06 - 2020'!C11</f>
        <v>3188</v>
      </c>
      <c r="F6" s="23">
        <v>0.11799999999999999</v>
      </c>
      <c r="G6" s="25">
        <f>(('06 - 2020'!E12-'06 - 2020'!E11)+('06 - 2020'!F12-'06 - 2020'!F11)+('06 - 2020'!G12-'06 - 2020'!G11))*1.81</f>
        <v>20.109100000001053</v>
      </c>
      <c r="H6" s="23">
        <v>0.99</v>
      </c>
      <c r="I6" s="25">
        <f>'06 - 2020'!J12-'06 - 2020'!J11</f>
        <v>13817</v>
      </c>
      <c r="J6" s="23">
        <v>8.1000000000000003E-2</v>
      </c>
      <c r="K6" s="57">
        <f>'06 - 2020'!H12-'06 - 2020'!H11</f>
        <v>0</v>
      </c>
      <c r="L6" s="25">
        <f>'06 - 2020'!I12-'06 - 2020'!I11</f>
        <v>20</v>
      </c>
      <c r="M6" s="24">
        <v>4.3936294247669103</v>
      </c>
      <c r="N6" s="49">
        <v>0</v>
      </c>
    </row>
    <row r="7" spans="1:15" x14ac:dyDescent="0.25">
      <c r="A7" t="s">
        <v>27</v>
      </c>
      <c r="B7">
        <f t="shared" si="0"/>
        <v>6</v>
      </c>
      <c r="C7" s="23">
        <v>6</v>
      </c>
      <c r="D7" s="23">
        <v>2020</v>
      </c>
      <c r="E7" s="25">
        <f>'06 - 2020'!B13-'06 - 2020'!B12+'06 - 2020'!C13-'06 - 2020'!C12</f>
        <v>2735</v>
      </c>
      <c r="F7" s="23">
        <v>0.11799999999999999</v>
      </c>
      <c r="G7" s="25">
        <f>(('06 - 2020'!E13-'06 - 2020'!E12)+('06 - 2020'!F13-'06 - 2020'!F12)+('06 - 2020'!G13-'06 - 2020'!G12))*1.81</f>
        <v>16.163300000000529</v>
      </c>
      <c r="H7" s="23">
        <v>0.99</v>
      </c>
      <c r="I7" s="25">
        <f>'06 - 2020'!J13-'06 - 2020'!J12</f>
        <v>14643</v>
      </c>
      <c r="J7" s="23">
        <v>8.1000000000000003E-2</v>
      </c>
      <c r="K7" s="57">
        <f>'06 - 2020'!H13-'06 - 2020'!H12</f>
        <v>0</v>
      </c>
      <c r="L7" s="25">
        <f>'06 - 2020'!I13-'06 - 2020'!I12</f>
        <v>17</v>
      </c>
      <c r="M7" s="24">
        <v>4.3936294247669103</v>
      </c>
      <c r="N7" s="49">
        <v>0</v>
      </c>
    </row>
    <row r="8" spans="1:15" x14ac:dyDescent="0.25">
      <c r="A8" t="s">
        <v>27</v>
      </c>
      <c r="B8">
        <f t="shared" si="0"/>
        <v>7</v>
      </c>
      <c r="C8" s="23">
        <v>6</v>
      </c>
      <c r="D8" s="23">
        <v>2020</v>
      </c>
      <c r="E8" s="25">
        <f>'06 - 2020'!B14-'06 - 2020'!B13+'06 - 2020'!C14-'06 - 2020'!C13</f>
        <v>3782</v>
      </c>
      <c r="F8" s="23">
        <v>0.11799999999999999</v>
      </c>
      <c r="G8" s="25">
        <f>(('06 - 2020'!E14-'06 - 2020'!E13)+('06 - 2020'!F14-'06 - 2020'!F13)+('06 - 2020'!G14-'06 - 2020'!G13))*1.81</f>
        <v>23.548099999997103</v>
      </c>
      <c r="H8" s="23">
        <v>0.99</v>
      </c>
      <c r="I8" s="25">
        <f>'06 - 2020'!J14-'06 - 2020'!J13</f>
        <v>14843</v>
      </c>
      <c r="J8" s="23">
        <v>8.1000000000000003E-2</v>
      </c>
      <c r="K8" s="57">
        <f>'06 - 2020'!H14-'06 - 2020'!H13</f>
        <v>0</v>
      </c>
      <c r="L8" s="25">
        <f>'06 - 2020'!I14-'06 - 2020'!I13</f>
        <v>23</v>
      </c>
      <c r="M8" s="24">
        <v>4.3936294247669103</v>
      </c>
      <c r="N8" s="49">
        <v>0</v>
      </c>
      <c r="O8" s="25"/>
    </row>
    <row r="9" spans="1:15" x14ac:dyDescent="0.25">
      <c r="A9" t="s">
        <v>27</v>
      </c>
      <c r="B9">
        <f t="shared" si="0"/>
        <v>8</v>
      </c>
      <c r="C9" s="23">
        <v>6</v>
      </c>
      <c r="D9" s="23">
        <v>2020</v>
      </c>
      <c r="E9" s="25">
        <f>'06 - 2020'!B15-'06 - 2020'!B14+'06 - 2020'!C15-'06 - 2020'!C14</f>
        <v>3362</v>
      </c>
      <c r="F9" s="23">
        <v>0.11799999999999999</v>
      </c>
      <c r="G9" s="25">
        <f>(('06 - 2020'!E15-'06 - 2020'!E14)+('06 - 2020'!F15-'06 - 2020'!F14)+('06 - 2020'!G15-'06 - 2020'!G14))*1.81</f>
        <v>19.638500000000658</v>
      </c>
      <c r="H9" s="23">
        <v>0.99</v>
      </c>
      <c r="I9" s="25">
        <f>'06 - 2020'!J15-'06 - 2020'!J14</f>
        <v>16347</v>
      </c>
      <c r="J9" s="23">
        <v>8.1000000000000003E-2</v>
      </c>
      <c r="K9" s="57">
        <f>'06 - 2020'!H15-'06 - 2020'!H14</f>
        <v>0</v>
      </c>
      <c r="L9" s="25">
        <f>'06 - 2020'!I15-'06 - 2020'!I14</f>
        <v>24</v>
      </c>
      <c r="M9" s="24">
        <v>4.3936294247669103</v>
      </c>
      <c r="N9" s="49">
        <v>0</v>
      </c>
    </row>
    <row r="10" spans="1:15" x14ac:dyDescent="0.25">
      <c r="A10" t="s">
        <v>27</v>
      </c>
      <c r="B10">
        <f t="shared" si="0"/>
        <v>9</v>
      </c>
      <c r="C10" s="23">
        <v>6</v>
      </c>
      <c r="D10" s="23">
        <v>2020</v>
      </c>
      <c r="E10" s="25">
        <f>'06 - 2020'!B16-'06 - 2020'!B15+'06 - 2020'!C16-'06 - 2020'!C15</f>
        <v>3277</v>
      </c>
      <c r="F10" s="23">
        <v>0.11799999999999999</v>
      </c>
      <c r="G10" s="25">
        <f>(('06 - 2020'!E16-'06 - 2020'!E15)+('06 - 2020'!F16-'06 - 2020'!F15)+('06 - 2020'!G16-'06 - 2020'!G15))*1.81</f>
        <v>20.199599999999737</v>
      </c>
      <c r="H10" s="23">
        <v>0.99</v>
      </c>
      <c r="I10" s="25">
        <f>'06 - 2020'!J16-'06 - 2020'!J15</f>
        <v>15026</v>
      </c>
      <c r="J10" s="23">
        <v>8.1000000000000003E-2</v>
      </c>
      <c r="K10" s="57">
        <f>'06 - 2020'!H16-'06 - 2020'!H15</f>
        <v>0</v>
      </c>
      <c r="L10" s="25">
        <f>'06 - 2020'!I16-'06 - 2020'!I15</f>
        <v>19</v>
      </c>
      <c r="M10" s="24">
        <v>4.3936294247669103</v>
      </c>
      <c r="N10" s="49">
        <v>0</v>
      </c>
    </row>
    <row r="11" spans="1:15" x14ac:dyDescent="0.25">
      <c r="A11" t="s">
        <v>27</v>
      </c>
      <c r="B11">
        <f t="shared" si="0"/>
        <v>10</v>
      </c>
      <c r="C11" s="23">
        <v>6</v>
      </c>
      <c r="D11" s="23">
        <v>2020</v>
      </c>
      <c r="E11" s="25">
        <f>'06 - 2020'!B17-'06 - 2020'!B16+'06 - 2020'!C17-'06 - 2020'!C16</f>
        <v>3424</v>
      </c>
      <c r="F11" s="23">
        <v>0.11799999999999999</v>
      </c>
      <c r="G11" s="25">
        <f>(('06 - 2020'!E17-'06 - 2020'!E16)+('06 - 2020'!F17-'06 - 2020'!F16)+('06 - 2020'!G17-'06 - 2020'!G16))*1.81</f>
        <v>20.362500000003294</v>
      </c>
      <c r="H11" s="23">
        <v>0.99</v>
      </c>
      <c r="I11" s="25">
        <f>'06 - 2020'!J17-'06 - 2020'!J16</f>
        <v>16605</v>
      </c>
      <c r="J11" s="23">
        <v>8.1000000000000003E-2</v>
      </c>
      <c r="K11" s="57">
        <f>'06 - 2020'!H17-'06 - 2020'!H16</f>
        <v>0</v>
      </c>
      <c r="L11" s="25">
        <f>'06 - 2020'!I17-'06 - 2020'!I16</f>
        <v>13</v>
      </c>
      <c r="M11" s="24">
        <v>4.3936294247669103</v>
      </c>
      <c r="N11" s="49">
        <v>0</v>
      </c>
    </row>
    <row r="12" spans="1:15" x14ac:dyDescent="0.25">
      <c r="A12" t="s">
        <v>27</v>
      </c>
      <c r="B12">
        <f t="shared" si="0"/>
        <v>11</v>
      </c>
      <c r="C12" s="23">
        <v>6</v>
      </c>
      <c r="D12" s="23">
        <v>2020</v>
      </c>
      <c r="E12" s="25">
        <v>0</v>
      </c>
      <c r="F12" s="23">
        <v>0.11799999999999999</v>
      </c>
      <c r="G12" s="25">
        <v>0</v>
      </c>
      <c r="H12" s="23">
        <v>0.99</v>
      </c>
      <c r="I12" s="25">
        <v>0</v>
      </c>
      <c r="J12" s="23">
        <v>8.1000000000000003E-2</v>
      </c>
      <c r="K12" s="57">
        <v>0</v>
      </c>
      <c r="L12" s="25">
        <v>0</v>
      </c>
      <c r="M12" s="24">
        <v>4.3936294247669103</v>
      </c>
      <c r="N12" s="25"/>
    </row>
    <row r="13" spans="1:15" x14ac:dyDescent="0.25">
      <c r="A13" t="s">
        <v>27</v>
      </c>
      <c r="B13">
        <f t="shared" si="0"/>
        <v>12</v>
      </c>
      <c r="C13" s="23">
        <v>6</v>
      </c>
      <c r="D13" s="23">
        <v>2020</v>
      </c>
      <c r="E13" s="25">
        <f>'06 - 2020'!B19-'06 - 2020'!B18+'06 - 2020'!C19-'06 - 2020'!C18</f>
        <v>0</v>
      </c>
      <c r="F13" s="23">
        <v>0.11799999999999999</v>
      </c>
      <c r="G13" s="25">
        <f>(('06 - 2020'!E19-'06 - 2020'!E18)+('06 - 2020'!F19-'06 - 2020'!F18)+('06 - 2020'!G19-'06 - 2020'!G18))*1.81</f>
        <v>0</v>
      </c>
      <c r="H13" s="23">
        <v>0.99</v>
      </c>
      <c r="I13" s="25">
        <f>'06 - 2020'!J19-'06 - 2020'!J18</f>
        <v>0</v>
      </c>
      <c r="J13" s="23">
        <v>8.1000000000000003E-2</v>
      </c>
      <c r="K13" s="57">
        <f>'06 - 2020'!H19-'06 - 2020'!H18</f>
        <v>0</v>
      </c>
      <c r="L13" s="25">
        <f>'06 - 2020'!I19-'06 - 2020'!I18</f>
        <v>0</v>
      </c>
      <c r="M13" s="24">
        <v>4.3936294247669103</v>
      </c>
      <c r="N13" s="25"/>
    </row>
    <row r="14" spans="1:15" x14ac:dyDescent="0.25">
      <c r="A14" t="s">
        <v>27</v>
      </c>
      <c r="B14">
        <f t="shared" si="0"/>
        <v>13</v>
      </c>
      <c r="C14" s="23">
        <v>6</v>
      </c>
      <c r="D14" s="23">
        <v>2020</v>
      </c>
      <c r="E14" s="25">
        <f>'06 - 2020'!B20-'06 - 2020'!B19+'06 - 2020'!C20-'06 - 2020'!C19</f>
        <v>0</v>
      </c>
      <c r="F14" s="23">
        <v>0.11799999999999999</v>
      </c>
      <c r="G14" s="25">
        <f>(('06 - 2020'!E20-'06 - 2020'!E19)+('06 - 2020'!F20-'06 - 2020'!F19)+('06 - 2020'!G20-'06 - 2020'!G19))*1.81</f>
        <v>0</v>
      </c>
      <c r="H14" s="23">
        <v>0.99</v>
      </c>
      <c r="I14" s="25">
        <f>'06 - 2020'!J20-'06 - 2020'!J19</f>
        <v>0</v>
      </c>
      <c r="J14" s="23">
        <v>8.1000000000000003E-2</v>
      </c>
      <c r="K14" s="57">
        <f>'06 - 2020'!H20-'06 - 2020'!H19</f>
        <v>0</v>
      </c>
      <c r="L14" s="25">
        <f>'06 - 2020'!I20-'06 - 2020'!I19</f>
        <v>0</v>
      </c>
      <c r="M14" s="24">
        <v>4.3936294247669103</v>
      </c>
      <c r="N14" s="25"/>
      <c r="O14" s="25"/>
    </row>
    <row r="15" spans="1:15" x14ac:dyDescent="0.25">
      <c r="A15" t="s">
        <v>27</v>
      </c>
      <c r="B15">
        <f t="shared" si="0"/>
        <v>14</v>
      </c>
      <c r="C15" s="23">
        <v>6</v>
      </c>
      <c r="D15" s="23">
        <v>2020</v>
      </c>
      <c r="E15" s="25">
        <f>'06 - 2020'!B21-'06 - 2020'!B20+'06 - 2020'!C21-'06 - 2020'!C20</f>
        <v>0</v>
      </c>
      <c r="F15" s="23">
        <v>0.11799999999999999</v>
      </c>
      <c r="G15" s="25">
        <f>(('06 - 2020'!E21-'06 - 2020'!E20)+('06 - 2020'!F21-'06 - 2020'!F20)+('06 - 2020'!G21-'06 - 2020'!G20))*1.81</f>
        <v>0</v>
      </c>
      <c r="H15" s="23">
        <v>0.99</v>
      </c>
      <c r="I15" s="25">
        <f>'06 - 2020'!J21-'06 - 2020'!J20</f>
        <v>0</v>
      </c>
      <c r="J15" s="23">
        <v>8.1000000000000003E-2</v>
      </c>
      <c r="K15" s="57">
        <f>'06 - 2020'!H21-'06 - 2020'!H20</f>
        <v>0</v>
      </c>
      <c r="L15" s="25">
        <f>'06 - 2020'!I21-'06 - 2020'!I20</f>
        <v>0</v>
      </c>
      <c r="M15" s="24">
        <v>4.3936294247669103</v>
      </c>
      <c r="N15" s="25"/>
    </row>
    <row r="16" spans="1:15" x14ac:dyDescent="0.25">
      <c r="A16" t="s">
        <v>27</v>
      </c>
      <c r="B16">
        <f t="shared" si="0"/>
        <v>15</v>
      </c>
      <c r="C16" s="23">
        <v>6</v>
      </c>
      <c r="D16" s="23">
        <v>2020</v>
      </c>
      <c r="E16" s="25">
        <f>'06 - 2020'!B22-'06 - 2020'!B21+'06 - 2020'!C22-'06 - 2020'!C21</f>
        <v>0</v>
      </c>
      <c r="F16" s="23">
        <v>0.11799999999999999</v>
      </c>
      <c r="G16" s="25">
        <f>(('06 - 2020'!E22-'06 - 2020'!E21)+('06 - 2020'!F22-'06 - 2020'!F21)+('06 - 2020'!G22-'06 - 2020'!G21))*1.81</f>
        <v>0</v>
      </c>
      <c r="H16" s="23">
        <v>0.99</v>
      </c>
      <c r="I16" s="25">
        <f>'06 - 2020'!J22-'06 - 2020'!J21</f>
        <v>0</v>
      </c>
      <c r="J16" s="23">
        <v>8.1000000000000003E-2</v>
      </c>
      <c r="K16" s="57">
        <f>'06 - 2020'!H22-'06 - 2020'!H21</f>
        <v>0</v>
      </c>
      <c r="L16" s="25">
        <f>'06 - 2020'!I22-'06 - 2020'!I21</f>
        <v>0</v>
      </c>
      <c r="M16" s="24">
        <v>4.3936294247669103</v>
      </c>
      <c r="N16" s="25"/>
    </row>
    <row r="17" spans="1:16" x14ac:dyDescent="0.25">
      <c r="A17" t="s">
        <v>27</v>
      </c>
      <c r="B17">
        <f t="shared" si="0"/>
        <v>16</v>
      </c>
      <c r="C17" s="23">
        <v>6</v>
      </c>
      <c r="D17" s="23">
        <v>2020</v>
      </c>
      <c r="E17" s="25">
        <f>'06 - 2020'!B23-'06 - 2020'!B22+'06 - 2020'!C23-'06 - 2020'!C22</f>
        <v>0</v>
      </c>
      <c r="F17" s="23">
        <v>0.11799999999999999</v>
      </c>
      <c r="G17" s="25">
        <f>(('06 - 2020'!E23-'06 - 2020'!E22)+('06 - 2020'!F23-'06 - 2020'!F22)+('06 - 2020'!G23-'06 - 2020'!G22))*1.81</f>
        <v>0</v>
      </c>
      <c r="H17" s="23">
        <v>0.99</v>
      </c>
      <c r="I17" s="25">
        <f>'06 - 2020'!J23-'06 - 2020'!J22</f>
        <v>0</v>
      </c>
      <c r="J17" s="23">
        <v>8.1000000000000003E-2</v>
      </c>
      <c r="K17" s="57">
        <f>'06 - 2020'!H23-'06 - 2020'!H22</f>
        <v>0</v>
      </c>
      <c r="L17" s="25">
        <f>'06 - 2020'!I23-'06 - 2020'!I22</f>
        <v>0</v>
      </c>
      <c r="M17" s="24">
        <v>4.3936294247669103</v>
      </c>
      <c r="N17" s="50"/>
    </row>
    <row r="18" spans="1:16" x14ac:dyDescent="0.25">
      <c r="A18" t="s">
        <v>27</v>
      </c>
      <c r="B18">
        <f t="shared" si="0"/>
        <v>17</v>
      </c>
      <c r="C18" s="23">
        <v>6</v>
      </c>
      <c r="D18" s="23">
        <v>2020</v>
      </c>
      <c r="E18" s="25">
        <f>'06 - 2020'!B24-'06 - 2020'!B23+'06 - 2020'!C24-'06 - 2020'!C23</f>
        <v>0</v>
      </c>
      <c r="F18" s="23">
        <v>0.11799999999999999</v>
      </c>
      <c r="G18" s="25">
        <f>(('06 - 2020'!E24-'06 - 2020'!E23)+('06 - 2020'!F24-'06 - 2020'!F23)+('06 - 2020'!G24-'06 - 2020'!G23))*1.81</f>
        <v>0</v>
      </c>
      <c r="H18" s="23">
        <v>0.99</v>
      </c>
      <c r="I18" s="25">
        <f>'06 - 2020'!J24-'06 - 2020'!J23</f>
        <v>0</v>
      </c>
      <c r="J18" s="23">
        <v>8.1000000000000003E-2</v>
      </c>
      <c r="K18" s="57">
        <f>'06 - 2020'!H24-'06 - 2020'!H23</f>
        <v>0</v>
      </c>
      <c r="L18" s="25">
        <f>'06 - 2020'!I24-'06 - 2020'!I23</f>
        <v>0</v>
      </c>
      <c r="M18" s="24">
        <v>4.3936294247669103</v>
      </c>
      <c r="N18" s="50"/>
    </row>
    <row r="19" spans="1:16" x14ac:dyDescent="0.25">
      <c r="A19" t="s">
        <v>27</v>
      </c>
      <c r="B19">
        <f>B18+1</f>
        <v>18</v>
      </c>
      <c r="C19" s="23">
        <v>6</v>
      </c>
      <c r="D19" s="23">
        <v>2020</v>
      </c>
      <c r="E19" s="25">
        <f>'06 - 2020'!B25-'06 - 2020'!B24+'06 - 2020'!C25-'06 - 2020'!C24</f>
        <v>0</v>
      </c>
      <c r="F19" s="23">
        <v>0.11799999999999999</v>
      </c>
      <c r="G19" s="25">
        <f>(('06 - 2020'!E25-'06 - 2020'!E24)+('06 - 2020'!F25-'06 - 2020'!F24)+('06 - 2020'!G25-'06 - 2020'!G24))*1.81</f>
        <v>0</v>
      </c>
      <c r="H19" s="23">
        <v>0.99</v>
      </c>
      <c r="I19" s="25">
        <f>'06 - 2020'!J25-'06 - 2020'!J24</f>
        <v>0</v>
      </c>
      <c r="J19" s="23">
        <v>8.1000000000000003E-2</v>
      </c>
      <c r="K19" s="57">
        <f>'06 - 2020'!H25-'06 - 2020'!H24</f>
        <v>0</v>
      </c>
      <c r="L19" s="25">
        <f>'06 - 2020'!I25-'06 - 2020'!I24</f>
        <v>0</v>
      </c>
      <c r="M19" s="24">
        <v>4.3936294247669103</v>
      </c>
      <c r="N19" s="50"/>
    </row>
    <row r="20" spans="1:16" x14ac:dyDescent="0.25">
      <c r="A20" t="s">
        <v>27</v>
      </c>
      <c r="B20">
        <f t="shared" si="0"/>
        <v>19</v>
      </c>
      <c r="C20" s="23">
        <v>6</v>
      </c>
      <c r="D20" s="23">
        <v>2020</v>
      </c>
      <c r="E20" s="25">
        <f>'06 - 2020'!B26-'06 - 2020'!B25+'06 - 2020'!C26-'06 - 2020'!C25</f>
        <v>0</v>
      </c>
      <c r="F20" s="23">
        <v>0.11799999999999999</v>
      </c>
      <c r="G20" s="25">
        <f>(('06 - 2020'!E26-'06 - 2020'!E25)+('06 - 2020'!F26-'06 - 2020'!F25)+('06 - 2020'!G26-'06 - 2020'!G25))*1.81</f>
        <v>0</v>
      </c>
      <c r="H20" s="23">
        <v>0.99</v>
      </c>
      <c r="I20" s="25">
        <f>'06 - 2020'!J26-'06 - 2020'!J25</f>
        <v>0</v>
      </c>
      <c r="J20" s="23">
        <v>8.1000000000000003E-2</v>
      </c>
      <c r="K20" s="57">
        <f>'06 - 2020'!H26-'06 - 2020'!H25</f>
        <v>0</v>
      </c>
      <c r="L20" s="25">
        <f>'06 - 2020'!I26-'06 - 2020'!I25</f>
        <v>0</v>
      </c>
      <c r="M20" s="24">
        <v>4.3936294247669103</v>
      </c>
      <c r="N20" s="50"/>
    </row>
    <row r="21" spans="1:16" x14ac:dyDescent="0.25">
      <c r="A21" t="s">
        <v>27</v>
      </c>
      <c r="B21">
        <f t="shared" si="0"/>
        <v>20</v>
      </c>
      <c r="C21" s="23">
        <v>6</v>
      </c>
      <c r="D21" s="23">
        <v>2020</v>
      </c>
      <c r="E21" s="25">
        <f>'06 - 2020'!B27-'06 - 2020'!B26+'06 - 2020'!C27-'06 - 2020'!C26</f>
        <v>0</v>
      </c>
      <c r="F21" s="23">
        <v>0.11799999999999999</v>
      </c>
      <c r="G21" s="25">
        <f>(('06 - 2020'!E27-'06 - 2020'!E26)+('06 - 2020'!F27-'06 - 2020'!F26)+('06 - 2020'!G27-'06 - 2020'!G26))*1.81</f>
        <v>0</v>
      </c>
      <c r="H21" s="23">
        <v>0.99</v>
      </c>
      <c r="I21" s="25">
        <f>'06 - 2020'!J27-'06 - 2020'!J26</f>
        <v>0</v>
      </c>
      <c r="J21" s="23">
        <v>8.1000000000000003E-2</v>
      </c>
      <c r="K21" s="57">
        <f>'06 - 2020'!H27-'06 - 2020'!H26</f>
        <v>0</v>
      </c>
      <c r="L21" s="25">
        <f>'06 - 2020'!I27-'06 - 2020'!I26</f>
        <v>0</v>
      </c>
      <c r="M21" s="24">
        <v>4.3936294247669103</v>
      </c>
      <c r="N21" s="50"/>
    </row>
    <row r="22" spans="1:16" x14ac:dyDescent="0.25">
      <c r="A22" t="s">
        <v>27</v>
      </c>
      <c r="B22">
        <f t="shared" si="0"/>
        <v>21</v>
      </c>
      <c r="C22" s="23">
        <v>6</v>
      </c>
      <c r="D22" s="23">
        <v>2020</v>
      </c>
      <c r="E22" s="25">
        <f>'06 - 2020'!B28-'06 - 2020'!B27+'06 - 2020'!C28-'06 - 2020'!C27</f>
        <v>0</v>
      </c>
      <c r="F22" s="23">
        <v>0.11799999999999999</v>
      </c>
      <c r="G22" s="25">
        <f>(('06 - 2020'!E28-'06 - 2020'!E27)+('06 - 2020'!F28-'06 - 2020'!F27)+('06 - 2020'!G28-'06 - 2020'!G27))*1.81</f>
        <v>0</v>
      </c>
      <c r="H22" s="23">
        <v>0.99</v>
      </c>
      <c r="I22" s="25">
        <f>'06 - 2020'!J28-'06 - 2020'!J27</f>
        <v>0</v>
      </c>
      <c r="J22" s="23">
        <v>8.1000000000000003E-2</v>
      </c>
      <c r="K22" s="57">
        <f>'06 - 2020'!H28-'06 - 2020'!H27</f>
        <v>0</v>
      </c>
      <c r="L22" s="25">
        <f>'06 - 2020'!I28-'06 - 2020'!I27</f>
        <v>0</v>
      </c>
      <c r="M22" s="24">
        <v>4.3936294247669103</v>
      </c>
      <c r="N22" s="50"/>
    </row>
    <row r="23" spans="1:16" x14ac:dyDescent="0.25">
      <c r="A23" t="s">
        <v>27</v>
      </c>
      <c r="B23">
        <f t="shared" si="0"/>
        <v>22</v>
      </c>
      <c r="C23" s="23">
        <v>6</v>
      </c>
      <c r="D23" s="23">
        <v>2020</v>
      </c>
      <c r="E23" s="25">
        <f>'06 - 2020'!B29-'06 - 2020'!B28+'06 - 2020'!C29-'06 - 2020'!C28</f>
        <v>0</v>
      </c>
      <c r="F23" s="23">
        <v>0.11799999999999999</v>
      </c>
      <c r="G23" s="25">
        <f>(('06 - 2020'!E29-'06 - 2020'!E28)+('06 - 2020'!F29-'06 - 2020'!F28)+('06 - 2020'!G29-'06 - 2020'!G28))*1.81</f>
        <v>0</v>
      </c>
      <c r="H23" s="23">
        <v>0.99</v>
      </c>
      <c r="I23" s="25">
        <f>'06 - 2020'!J29-'06 - 2020'!J28</f>
        <v>0</v>
      </c>
      <c r="J23" s="23">
        <v>8.1000000000000003E-2</v>
      </c>
      <c r="K23" s="57">
        <f>'06 - 2020'!H29-'06 - 2020'!H28</f>
        <v>0</v>
      </c>
      <c r="L23" s="25">
        <f>'06 - 2020'!I29-'06 - 2020'!I28</f>
        <v>0</v>
      </c>
      <c r="M23" s="24">
        <v>4.3936294247669103</v>
      </c>
      <c r="N23" s="50"/>
    </row>
    <row r="24" spans="1:16" x14ac:dyDescent="0.25">
      <c r="A24" t="s">
        <v>27</v>
      </c>
      <c r="B24">
        <f t="shared" si="0"/>
        <v>23</v>
      </c>
      <c r="C24" s="23">
        <v>6</v>
      </c>
      <c r="D24" s="23">
        <v>2020</v>
      </c>
      <c r="E24" s="25">
        <f>'06 - 2020'!B30-'06 - 2020'!B29+'06 - 2020'!C30-'06 - 2020'!C29</f>
        <v>0</v>
      </c>
      <c r="F24" s="23">
        <v>0.11799999999999999</v>
      </c>
      <c r="G24" s="25">
        <f>(('06 - 2020'!E30-'06 - 2020'!E29)+('06 - 2020'!F30-'06 - 2020'!F29)+('06 - 2020'!G30-'06 - 2020'!G29))*1.81</f>
        <v>0</v>
      </c>
      <c r="H24" s="23">
        <v>0.99</v>
      </c>
      <c r="I24" s="25">
        <f>'06 - 2020'!J30-'06 - 2020'!J29</f>
        <v>0</v>
      </c>
      <c r="J24" s="23">
        <v>8.1000000000000003E-2</v>
      </c>
      <c r="K24" s="57">
        <f>'06 - 2020'!H30-'06 - 2020'!H29</f>
        <v>0</v>
      </c>
      <c r="L24" s="25">
        <f>'06 - 2020'!I30-'06 - 2020'!I29</f>
        <v>0</v>
      </c>
      <c r="M24" s="24">
        <v>4.3936294247669103</v>
      </c>
      <c r="N24" s="50"/>
    </row>
    <row r="25" spans="1:16" x14ac:dyDescent="0.25">
      <c r="A25" t="s">
        <v>27</v>
      </c>
      <c r="B25">
        <f t="shared" si="0"/>
        <v>24</v>
      </c>
      <c r="C25" s="23">
        <v>6</v>
      </c>
      <c r="D25" s="23">
        <v>2020</v>
      </c>
      <c r="E25" s="25">
        <f>'06 - 2020'!B31-'06 - 2020'!B30+'06 - 2020'!C31-'06 - 2020'!C30</f>
        <v>0</v>
      </c>
      <c r="F25" s="23">
        <v>0.11799999999999999</v>
      </c>
      <c r="G25" s="25">
        <f>(('06 - 2020'!E31-'06 - 2020'!E30)+('06 - 2020'!F31-'06 - 2020'!F30)+('06 - 2020'!G31-'06 - 2020'!G30))*1.81</f>
        <v>0</v>
      </c>
      <c r="H25" s="23">
        <v>0.99</v>
      </c>
      <c r="I25" s="25">
        <f>'06 - 2020'!J31-'06 - 2020'!J30</f>
        <v>0</v>
      </c>
      <c r="J25" s="23">
        <v>8.1000000000000003E-2</v>
      </c>
      <c r="K25" s="57">
        <f>'06 - 2020'!H31-'06 - 2020'!H30</f>
        <v>0</v>
      </c>
      <c r="L25" s="25">
        <f>'06 - 2020'!I31-'06 - 2020'!I30</f>
        <v>0</v>
      </c>
      <c r="M25" s="24">
        <v>4.3936294247669103</v>
      </c>
      <c r="N25" s="50"/>
      <c r="P25" s="14"/>
    </row>
    <row r="26" spans="1:16" x14ac:dyDescent="0.25">
      <c r="A26" t="s">
        <v>27</v>
      </c>
      <c r="B26">
        <f>B25+1</f>
        <v>25</v>
      </c>
      <c r="C26" s="23">
        <v>6</v>
      </c>
      <c r="D26" s="23">
        <v>2020</v>
      </c>
      <c r="E26" s="25">
        <f>'06 - 2020'!B32-'06 - 2020'!B31+'06 - 2020'!C32-'06 - 2020'!C31</f>
        <v>0</v>
      </c>
      <c r="F26" s="23">
        <v>0.11799999999999999</v>
      </c>
      <c r="G26" s="25">
        <f>(('06 - 2020'!E32-'06 - 2020'!E31)+('06 - 2020'!F32-'06 - 2020'!F31)+('06 - 2020'!G32-'06 - 2020'!G31))*1.81</f>
        <v>0</v>
      </c>
      <c r="H26" s="23">
        <v>0.99</v>
      </c>
      <c r="I26" s="25">
        <f>'06 - 2020'!J32-'06 - 2020'!J31</f>
        <v>0</v>
      </c>
      <c r="J26" s="23">
        <v>8.1000000000000003E-2</v>
      </c>
      <c r="K26" s="57">
        <f>'06 - 2020'!H32-'06 - 2020'!H31</f>
        <v>0</v>
      </c>
      <c r="L26" s="25">
        <f>'06 - 2020'!I32-'06 - 2020'!I31</f>
        <v>0</v>
      </c>
      <c r="M26" s="24">
        <v>4.3936294247669103</v>
      </c>
      <c r="N26" s="50"/>
    </row>
    <row r="27" spans="1:16" x14ac:dyDescent="0.25">
      <c r="A27" t="s">
        <v>27</v>
      </c>
      <c r="B27">
        <f t="shared" si="0"/>
        <v>26</v>
      </c>
      <c r="C27" s="23">
        <v>6</v>
      </c>
      <c r="D27" s="23">
        <v>2020</v>
      </c>
      <c r="E27" s="25">
        <f>'06 - 2020'!B33-'06 - 2020'!B32+'06 - 2020'!C33-'06 - 2020'!C32</f>
        <v>0</v>
      </c>
      <c r="F27" s="23">
        <v>0.11799999999999999</v>
      </c>
      <c r="G27" s="25">
        <f>(('06 - 2020'!E33-'06 - 2020'!E32)+('06 - 2020'!F33-'06 - 2020'!F32)+('06 - 2020'!G33-'06 - 2020'!G32))*1.81</f>
        <v>0</v>
      </c>
      <c r="H27" s="23">
        <v>0.99</v>
      </c>
      <c r="I27" s="25">
        <f>'06 - 2020'!J33-'06 - 2020'!J32</f>
        <v>0</v>
      </c>
      <c r="J27" s="23">
        <v>8.1000000000000003E-2</v>
      </c>
      <c r="K27" s="57">
        <f>'06 - 2020'!H33-'06 - 2020'!H32</f>
        <v>0</v>
      </c>
      <c r="L27" s="25">
        <f>'06 - 2020'!I33-'06 - 2020'!I32</f>
        <v>0</v>
      </c>
      <c r="M27" s="24">
        <v>4.3936294247669103</v>
      </c>
      <c r="N27" s="50"/>
    </row>
    <row r="28" spans="1:16" x14ac:dyDescent="0.25">
      <c r="A28" t="s">
        <v>27</v>
      </c>
      <c r="B28">
        <f t="shared" si="0"/>
        <v>27</v>
      </c>
      <c r="C28" s="23">
        <v>6</v>
      </c>
      <c r="D28" s="23">
        <v>2020</v>
      </c>
      <c r="E28" s="25">
        <f>'06 - 2020'!B34-'06 - 2020'!B33+'06 - 2020'!C34-'06 - 2020'!C33</f>
        <v>0</v>
      </c>
      <c r="F28" s="23">
        <v>0.11799999999999999</v>
      </c>
      <c r="G28" s="25">
        <f>(('06 - 2020'!E34-'06 - 2020'!E33)+('06 - 2020'!F34-'06 - 2020'!F33)+('06 - 2020'!G34-'06 - 2020'!G33))*1.81</f>
        <v>0</v>
      </c>
      <c r="H28" s="23">
        <v>0.99</v>
      </c>
      <c r="I28" s="25">
        <f>'06 - 2020'!J34-'06 - 2020'!J33</f>
        <v>0</v>
      </c>
      <c r="J28" s="23">
        <v>8.1000000000000003E-2</v>
      </c>
      <c r="K28" s="57">
        <f>'06 - 2020'!H34-'06 - 2020'!H33</f>
        <v>0</v>
      </c>
      <c r="L28" s="25">
        <f>'06 - 2020'!I34-'06 - 2020'!I33</f>
        <v>0</v>
      </c>
      <c r="M28" s="24">
        <v>4.3936294247669103</v>
      </c>
      <c r="N28" s="50"/>
    </row>
    <row r="29" spans="1:16" x14ac:dyDescent="0.25">
      <c r="A29" t="s">
        <v>27</v>
      </c>
      <c r="B29">
        <f t="shared" si="0"/>
        <v>28</v>
      </c>
      <c r="C29" s="23">
        <v>6</v>
      </c>
      <c r="D29" s="23">
        <v>2020</v>
      </c>
      <c r="E29" s="25">
        <f>'06 - 2020'!B35-'06 - 2020'!B34+'06 - 2020'!C35-'06 - 2020'!C34</f>
        <v>0</v>
      </c>
      <c r="F29" s="23">
        <v>0.11799999999999999</v>
      </c>
      <c r="G29" s="25">
        <f>(('06 - 2020'!E35-'06 - 2020'!E34)+('06 - 2020'!F35-'06 - 2020'!F34)+('06 - 2020'!G35-'06 - 2020'!G34))*1.81</f>
        <v>0</v>
      </c>
      <c r="H29" s="23">
        <v>0.99</v>
      </c>
      <c r="I29" s="25">
        <f>'06 - 2020'!J35-'06 - 2020'!J34</f>
        <v>0</v>
      </c>
      <c r="J29" s="23">
        <v>8.1000000000000003E-2</v>
      </c>
      <c r="K29" s="57">
        <f>'06 - 2020'!H35-'06 - 2020'!H34</f>
        <v>0</v>
      </c>
      <c r="L29" s="25">
        <f>'06 - 2020'!I35-'06 - 2020'!I34</f>
        <v>0</v>
      </c>
      <c r="M29" s="24">
        <v>4.3936294247669103</v>
      </c>
      <c r="N29" s="50"/>
    </row>
    <row r="30" spans="1:16" x14ac:dyDescent="0.25">
      <c r="A30" t="s">
        <v>27</v>
      </c>
      <c r="B30">
        <f t="shared" si="0"/>
        <v>29</v>
      </c>
      <c r="C30" s="23">
        <v>6</v>
      </c>
      <c r="D30" s="23">
        <v>2020</v>
      </c>
      <c r="E30" s="25">
        <f>'06 - 2020'!B36-'06 - 2020'!B35+'06 - 2020'!C36-'06 - 2020'!C35</f>
        <v>0</v>
      </c>
      <c r="F30" s="23">
        <v>0.11799999999999999</v>
      </c>
      <c r="G30" s="25">
        <f>(('06 - 2020'!E36-'06 - 2020'!E35)+('06 - 2020'!F36-'06 - 2020'!F35)+('06 - 2020'!G36-'06 - 2020'!G35))*1.81</f>
        <v>0</v>
      </c>
      <c r="H30" s="23">
        <v>0.99</v>
      </c>
      <c r="I30" s="25">
        <f>'06 - 2020'!J36-'06 - 2020'!J35</f>
        <v>0</v>
      </c>
      <c r="J30" s="23">
        <v>8.1000000000000003E-2</v>
      </c>
      <c r="K30" s="57">
        <f>'06 - 2020'!H36-'06 - 2020'!H35</f>
        <v>0</v>
      </c>
      <c r="L30" s="25">
        <f>'06 - 2020'!I36-'06 - 2020'!I35</f>
        <v>0</v>
      </c>
      <c r="M30" s="24">
        <v>4.3936294247669103</v>
      </c>
      <c r="N30" s="50"/>
    </row>
    <row r="31" spans="1:16" x14ac:dyDescent="0.25">
      <c r="A31" s="23" t="s">
        <v>27</v>
      </c>
      <c r="B31" s="23">
        <f t="shared" si="0"/>
        <v>30</v>
      </c>
      <c r="C31" s="23">
        <v>6</v>
      </c>
      <c r="D31" s="23">
        <v>2020</v>
      </c>
      <c r="E31" s="25">
        <f>'06 - 2020'!B37-'06 - 2020'!B36+'06 - 2020'!C37-'06 - 2020'!C36</f>
        <v>0</v>
      </c>
      <c r="F31" s="23">
        <v>0.11799999999999999</v>
      </c>
      <c r="G31" s="25">
        <f>(('06 - 2020'!E37-'06 - 2020'!E36)+('06 - 2020'!F37-'06 - 2020'!F36)+('06 - 2020'!G37-'06 - 2020'!G36))*1.81</f>
        <v>0</v>
      </c>
      <c r="H31" s="23">
        <v>0.99</v>
      </c>
      <c r="I31" s="25">
        <f>'06 - 2020'!J37-'06 - 2020'!J36</f>
        <v>0</v>
      </c>
      <c r="J31" s="23">
        <v>8.1000000000000003E-2</v>
      </c>
      <c r="K31" s="57">
        <f>'06 - 2020'!H37-'06 - 2020'!H36</f>
        <v>0</v>
      </c>
      <c r="L31" s="25">
        <f>'06 - 2020'!I37-'06 - 2020'!I36</f>
        <v>0</v>
      </c>
      <c r="M31" s="24">
        <v>4.3936294247669103</v>
      </c>
    </row>
    <row r="32" spans="1:16" x14ac:dyDescent="0.25">
      <c r="A32" s="23"/>
      <c r="B32" s="23"/>
      <c r="C32" s="23"/>
      <c r="D32" s="23"/>
      <c r="E32" s="25"/>
      <c r="F32" s="23"/>
      <c r="G32" s="25"/>
      <c r="H32" s="23"/>
      <c r="I32" s="25"/>
      <c r="J32" s="23"/>
      <c r="K32" s="57"/>
      <c r="L32" s="25"/>
      <c r="M32" s="2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18" sqref="J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6</v>
      </c>
      <c r="D2">
        <v>2020</v>
      </c>
      <c r="E2" s="25">
        <f>'06 - 2020'!B8-'06 - 2020'!B7</f>
        <v>346</v>
      </c>
      <c r="F2" s="25">
        <f>'06 - 2020'!C8-'06 - 2020'!C7</f>
        <v>2643</v>
      </c>
      <c r="G2" s="23">
        <v>0.11799999999999999</v>
      </c>
      <c r="H2" s="25">
        <f>'06 - 2020'!E8-'06 - 2020'!E7</f>
        <v>0.2999999999992724</v>
      </c>
      <c r="I2" s="25">
        <f>'06 - 2020'!F8-'06 - 2020'!F7</f>
        <v>0</v>
      </c>
      <c r="J2" s="25">
        <f>'06 - 2020'!G8-'06 - 2020'!G7</f>
        <v>9.9900000000016007</v>
      </c>
      <c r="K2" s="23">
        <v>0.74</v>
      </c>
      <c r="L2" s="25">
        <v>0</v>
      </c>
      <c r="M2" s="12"/>
    </row>
    <row r="3" spans="1:13" x14ac:dyDescent="0.25">
      <c r="A3" t="s">
        <v>27</v>
      </c>
      <c r="B3">
        <f>B2+1</f>
        <v>2</v>
      </c>
      <c r="C3" s="23">
        <v>6</v>
      </c>
      <c r="D3" s="23">
        <v>2020</v>
      </c>
      <c r="E3" s="25">
        <f>'06 - 2020'!B9-'06 - 2020'!B8</f>
        <v>281</v>
      </c>
      <c r="F3" s="25">
        <f>'06 - 2020'!C9-'06 - 2020'!C8</f>
        <v>2545</v>
      </c>
      <c r="G3" s="23">
        <v>0.11799999999999999</v>
      </c>
      <c r="H3" s="25">
        <f>'06 - 2020'!E9-'06 - 2020'!E8</f>
        <v>0.44000000000050932</v>
      </c>
      <c r="I3" s="25">
        <f>'06 - 2020'!F9-'06 - 2020'!F8</f>
        <v>0</v>
      </c>
      <c r="J3" s="25">
        <f>'06 - 2020'!G9-'06 - 2020'!G8</f>
        <v>9.7000000000007276</v>
      </c>
      <c r="K3" s="23">
        <v>0.74</v>
      </c>
      <c r="L3" s="49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3">
        <v>6</v>
      </c>
      <c r="D4" s="23">
        <v>2020</v>
      </c>
      <c r="E4" s="25">
        <f>'06 - 2020'!B10-'06 - 2020'!B9</f>
        <v>337</v>
      </c>
      <c r="F4" s="25">
        <f>'06 - 2020'!C10-'06 - 2020'!C9</f>
        <v>2545</v>
      </c>
      <c r="G4" s="23">
        <v>0.11799999999999999</v>
      </c>
      <c r="H4" s="25">
        <f>'06 - 2020'!E10-'06 - 2020'!E9</f>
        <v>0.52000000000043656</v>
      </c>
      <c r="I4" s="25">
        <f>'06 - 2020'!F10-'06 - 2020'!F9</f>
        <v>0</v>
      </c>
      <c r="J4" s="25">
        <f>'06 - 2020'!G10-'06 - 2020'!G9</f>
        <v>10.129999999997381</v>
      </c>
      <c r="K4" s="23">
        <v>0.74</v>
      </c>
      <c r="L4" s="49">
        <v>0</v>
      </c>
      <c r="M4" s="12"/>
    </row>
    <row r="5" spans="1:13" x14ac:dyDescent="0.25">
      <c r="A5" t="s">
        <v>27</v>
      </c>
      <c r="B5">
        <f t="shared" si="0"/>
        <v>4</v>
      </c>
      <c r="C5" s="23">
        <v>6</v>
      </c>
      <c r="D5" s="23">
        <v>2020</v>
      </c>
      <c r="E5" s="25">
        <f>'06 - 2020'!B11-'06 - 2020'!B10</f>
        <v>343</v>
      </c>
      <c r="F5" s="25">
        <f>'06 - 2020'!C11-'06 - 2020'!C10</f>
        <v>2519</v>
      </c>
      <c r="G5" s="23">
        <v>0.11799999999999999</v>
      </c>
      <c r="H5" s="25">
        <f>'06 - 2020'!E11-'06 - 2020'!E10</f>
        <v>0.43999999999869033</v>
      </c>
      <c r="I5" s="25">
        <f>'06 - 2020'!F11-'06 - 2020'!F10</f>
        <v>0</v>
      </c>
      <c r="J5" s="25">
        <f>'06 - 2020'!G11-'06 - 2020'!G10</f>
        <v>10.220000000001164</v>
      </c>
      <c r="K5" s="23">
        <v>0.74</v>
      </c>
      <c r="L5" s="49">
        <v>0</v>
      </c>
      <c r="M5" s="12"/>
    </row>
    <row r="6" spans="1:13" x14ac:dyDescent="0.25">
      <c r="A6" t="s">
        <v>27</v>
      </c>
      <c r="B6">
        <f t="shared" si="0"/>
        <v>5</v>
      </c>
      <c r="C6" s="23">
        <v>6</v>
      </c>
      <c r="D6" s="23">
        <v>2020</v>
      </c>
      <c r="E6" s="25">
        <f>'06 - 2020'!B12-'06 - 2020'!B11</f>
        <v>407</v>
      </c>
      <c r="F6" s="25">
        <f>'06 - 2020'!C12-'06 - 2020'!C11</f>
        <v>2781</v>
      </c>
      <c r="G6" s="23">
        <v>0.11799999999999999</v>
      </c>
      <c r="H6" s="25">
        <f>'06 - 2020'!E12-'06 - 2020'!E11</f>
        <v>0.56000000000130967</v>
      </c>
      <c r="I6" s="25">
        <f>'06 - 2020'!F12-'06 - 2020'!F11</f>
        <v>0</v>
      </c>
      <c r="J6" s="25">
        <f>'06 - 2020'!G12-'06 - 2020'!G11</f>
        <v>10.549999999999272</v>
      </c>
      <c r="K6" s="23">
        <v>0.74</v>
      </c>
      <c r="L6" s="49">
        <v>0</v>
      </c>
      <c r="M6" s="13"/>
    </row>
    <row r="7" spans="1:13" x14ac:dyDescent="0.25">
      <c r="A7" t="s">
        <v>27</v>
      </c>
      <c r="B7">
        <f t="shared" si="0"/>
        <v>6</v>
      </c>
      <c r="C7" s="23">
        <v>6</v>
      </c>
      <c r="D7" s="23">
        <v>2020</v>
      </c>
      <c r="E7" s="25">
        <f>'06 - 2020'!B13-'06 - 2020'!B12</f>
        <v>399</v>
      </c>
      <c r="F7" s="25">
        <f>'06 - 2020'!C13-'06 - 2020'!C12</f>
        <v>2336</v>
      </c>
      <c r="G7" s="23">
        <v>0.11799999999999999</v>
      </c>
      <c r="H7" s="25">
        <f>'06 - 2020'!E13-'06 - 2020'!E12</f>
        <v>0.43999999999869033</v>
      </c>
      <c r="I7" s="25">
        <f>'06 - 2020'!F13-'06 - 2020'!F12</f>
        <v>0</v>
      </c>
      <c r="J7" s="25">
        <f>'06 - 2020'!G13-'06 - 2020'!G12</f>
        <v>8.4900000000016007</v>
      </c>
      <c r="K7" s="23">
        <v>0.74</v>
      </c>
      <c r="L7" s="49">
        <v>0</v>
      </c>
      <c r="M7" s="13"/>
    </row>
    <row r="8" spans="1:13" x14ac:dyDescent="0.25">
      <c r="A8" t="s">
        <v>27</v>
      </c>
      <c r="B8">
        <f t="shared" si="0"/>
        <v>7</v>
      </c>
      <c r="C8" s="23">
        <v>6</v>
      </c>
      <c r="D8" s="23">
        <v>2020</v>
      </c>
      <c r="E8" s="25">
        <f>'06 - 2020'!B14-'06 - 2020'!B13</f>
        <v>416</v>
      </c>
      <c r="F8" s="25">
        <f>'06 - 2020'!C14-'06 - 2020'!C13</f>
        <v>3366</v>
      </c>
      <c r="G8" s="23">
        <v>0.11799999999999999</v>
      </c>
      <c r="H8" s="25">
        <f>'06 - 2020'!E14-'06 - 2020'!E13</f>
        <v>0.52000000000043656</v>
      </c>
      <c r="I8" s="25">
        <f>'06 - 2020'!F14-'06 - 2020'!F13</f>
        <v>0</v>
      </c>
      <c r="J8" s="25">
        <f>'06 - 2020'!G14-'06 - 2020'!G13</f>
        <v>12.489999999997963</v>
      </c>
      <c r="K8" s="23">
        <v>0.74</v>
      </c>
      <c r="L8" s="49">
        <v>0</v>
      </c>
      <c r="M8" s="13"/>
    </row>
    <row r="9" spans="1:13" x14ac:dyDescent="0.25">
      <c r="A9" t="s">
        <v>27</v>
      </c>
      <c r="B9">
        <f t="shared" si="0"/>
        <v>8</v>
      </c>
      <c r="C9" s="23">
        <v>6</v>
      </c>
      <c r="D9" s="23">
        <v>2020</v>
      </c>
      <c r="E9" s="25">
        <f>'06 - 2020'!B15-'06 - 2020'!B14</f>
        <v>469</v>
      </c>
      <c r="F9" s="25">
        <f>'06 - 2020'!C15-'06 - 2020'!C14</f>
        <v>2893</v>
      </c>
      <c r="G9" s="23">
        <v>0.11799999999999999</v>
      </c>
      <c r="H9" s="25">
        <f>'06 - 2020'!E15-'06 - 2020'!E14</f>
        <v>0.37000000000080036</v>
      </c>
      <c r="I9" s="25">
        <f>'06 - 2020'!F15-'06 - 2020'!F14</f>
        <v>0</v>
      </c>
      <c r="J9" s="25">
        <f>'06 - 2020'!G15-'06 - 2020'!G14</f>
        <v>10.479999999999563</v>
      </c>
      <c r="K9" s="23">
        <v>0.74</v>
      </c>
      <c r="L9" s="49">
        <v>0</v>
      </c>
      <c r="M9" s="13"/>
    </row>
    <row r="10" spans="1:13" x14ac:dyDescent="0.25">
      <c r="A10" t="s">
        <v>27</v>
      </c>
      <c r="B10">
        <f t="shared" si="0"/>
        <v>9</v>
      </c>
      <c r="C10" s="23">
        <v>6</v>
      </c>
      <c r="D10" s="23">
        <v>2020</v>
      </c>
      <c r="E10" s="25">
        <f>'06 - 2020'!B16-'06 - 2020'!B15</f>
        <v>450</v>
      </c>
      <c r="F10" s="25">
        <f>'06 - 2020'!C16-'06 - 2020'!C15</f>
        <v>2827</v>
      </c>
      <c r="G10" s="23">
        <v>0.11799999999999999</v>
      </c>
      <c r="H10" s="25">
        <f>'06 - 2020'!E16-'06 - 2020'!E15</f>
        <v>0.45999999999912689</v>
      </c>
      <c r="I10" s="25">
        <f>'06 - 2020'!F16-'06 - 2020'!F15</f>
        <v>0</v>
      </c>
      <c r="J10" s="25">
        <f>'06 - 2020'!G16-'06 - 2020'!G15</f>
        <v>10.700000000000728</v>
      </c>
      <c r="K10" s="23">
        <v>0.74</v>
      </c>
      <c r="L10" s="49">
        <v>0</v>
      </c>
      <c r="M10" s="13"/>
    </row>
    <row r="11" spans="1:13" x14ac:dyDescent="0.25">
      <c r="A11" t="s">
        <v>27</v>
      </c>
      <c r="B11">
        <f t="shared" si="0"/>
        <v>10</v>
      </c>
      <c r="C11" s="23">
        <v>6</v>
      </c>
      <c r="D11" s="23">
        <v>2020</v>
      </c>
      <c r="E11" s="25">
        <f>'06 - 2020'!B17-'06 - 2020'!B16</f>
        <v>432</v>
      </c>
      <c r="F11" s="25">
        <f>'06 - 2020'!C17-'06 - 2020'!C16</f>
        <v>2992</v>
      </c>
      <c r="G11" s="23">
        <v>0.11799999999999999</v>
      </c>
      <c r="H11" s="25">
        <f>'06 - 2020'!E17-'06 - 2020'!E16</f>
        <v>0.48000000000138243</v>
      </c>
      <c r="I11" s="25">
        <f>'06 - 2020'!F17-'06 - 2020'!F16</f>
        <v>0</v>
      </c>
      <c r="J11" s="25">
        <f>'06 - 2020'!G17-'06 - 2020'!G16</f>
        <v>10.770000000000437</v>
      </c>
      <c r="K11" s="23">
        <v>0.74</v>
      </c>
      <c r="L11" s="49">
        <v>0</v>
      </c>
      <c r="M11" s="13"/>
    </row>
    <row r="12" spans="1:13" x14ac:dyDescent="0.25">
      <c r="A12" t="s">
        <v>27</v>
      </c>
      <c r="B12">
        <f t="shared" si="0"/>
        <v>11</v>
      </c>
      <c r="C12" s="23">
        <v>6</v>
      </c>
      <c r="D12" s="23">
        <v>2020</v>
      </c>
      <c r="E12" s="25">
        <v>0</v>
      </c>
      <c r="F12" s="25">
        <v>0</v>
      </c>
      <c r="G12" s="23">
        <v>0.11799999999999999</v>
      </c>
      <c r="H12" s="25">
        <v>0</v>
      </c>
      <c r="I12" s="25">
        <v>0</v>
      </c>
      <c r="J12" s="25">
        <v>0</v>
      </c>
      <c r="K12" s="23">
        <v>0.74</v>
      </c>
      <c r="L12" s="25"/>
      <c r="M12" s="13"/>
    </row>
    <row r="13" spans="1:13" x14ac:dyDescent="0.25">
      <c r="A13" t="s">
        <v>27</v>
      </c>
      <c r="B13">
        <f t="shared" si="0"/>
        <v>12</v>
      </c>
      <c r="C13" s="23">
        <v>6</v>
      </c>
      <c r="D13" s="23">
        <v>2020</v>
      </c>
      <c r="E13" s="25">
        <f>'06 - 2020'!B19-'06 - 2020'!B18</f>
        <v>0</v>
      </c>
      <c r="F13" s="25">
        <f>'06 - 2020'!C19-'06 - 2020'!C18</f>
        <v>0</v>
      </c>
      <c r="G13" s="23">
        <v>0.11799999999999999</v>
      </c>
      <c r="H13" s="25">
        <f>'06 - 2020'!E19-'06 - 2020'!E18</f>
        <v>0</v>
      </c>
      <c r="I13" s="25">
        <f>'06 - 2020'!F19-'06 - 2020'!F18</f>
        <v>0</v>
      </c>
      <c r="J13" s="25">
        <f>'06 - 2020'!G19-'06 - 2020'!G18</f>
        <v>0</v>
      </c>
      <c r="K13" s="23">
        <v>0.74</v>
      </c>
      <c r="L13" s="25"/>
      <c r="M13" s="13"/>
    </row>
    <row r="14" spans="1:13" x14ac:dyDescent="0.25">
      <c r="A14" t="s">
        <v>27</v>
      </c>
      <c r="B14">
        <f t="shared" si="0"/>
        <v>13</v>
      </c>
      <c r="C14" s="23">
        <v>6</v>
      </c>
      <c r="D14" s="23">
        <v>2020</v>
      </c>
      <c r="E14" s="25">
        <f>'06 - 2020'!B20-'06 - 2020'!B19</f>
        <v>0</v>
      </c>
      <c r="F14" s="25">
        <f>'06 - 2020'!C20-'06 - 2020'!C19</f>
        <v>0</v>
      </c>
      <c r="G14" s="23">
        <v>0.11799999999999999</v>
      </c>
      <c r="H14" s="25">
        <f>'06 - 2020'!E20-'06 - 2020'!E19</f>
        <v>0</v>
      </c>
      <c r="I14" s="25">
        <f>'06 - 2020'!F20-'06 - 2020'!F19</f>
        <v>0</v>
      </c>
      <c r="J14" s="25">
        <f>'06 - 2020'!G20-'06 - 2020'!G19</f>
        <v>0</v>
      </c>
      <c r="K14" s="23">
        <v>0.74</v>
      </c>
      <c r="L14" s="25"/>
      <c r="M14" s="13"/>
    </row>
    <row r="15" spans="1:13" x14ac:dyDescent="0.25">
      <c r="A15" t="s">
        <v>27</v>
      </c>
      <c r="B15">
        <f t="shared" si="0"/>
        <v>14</v>
      </c>
      <c r="C15" s="23">
        <v>6</v>
      </c>
      <c r="D15" s="23">
        <v>2020</v>
      </c>
      <c r="E15" s="25">
        <f>'06 - 2020'!B21-'06 - 2020'!B20</f>
        <v>0</v>
      </c>
      <c r="F15" s="25">
        <f>'06 - 2020'!C21-'06 - 2020'!C20</f>
        <v>0</v>
      </c>
      <c r="G15" s="23">
        <v>0.11799999999999999</v>
      </c>
      <c r="H15" s="25">
        <f>'06 - 2020'!E21-'06 - 2020'!E20</f>
        <v>0</v>
      </c>
      <c r="I15" s="25">
        <f>'06 - 2020'!F21-'06 - 2020'!F20</f>
        <v>0</v>
      </c>
      <c r="J15" s="25">
        <f>'06 - 2020'!G21-'06 - 2020'!G20</f>
        <v>0</v>
      </c>
      <c r="K15" s="23">
        <v>0.74</v>
      </c>
      <c r="L15" s="25"/>
      <c r="M15" s="13"/>
    </row>
    <row r="16" spans="1:13" x14ac:dyDescent="0.25">
      <c r="A16" t="s">
        <v>27</v>
      </c>
      <c r="B16">
        <f t="shared" si="0"/>
        <v>15</v>
      </c>
      <c r="C16" s="23">
        <v>6</v>
      </c>
      <c r="D16" s="23">
        <v>2020</v>
      </c>
      <c r="E16" s="25">
        <f>'06 - 2020'!B22-'06 - 2020'!B21</f>
        <v>0</v>
      </c>
      <c r="F16" s="25">
        <f>'06 - 2020'!C22-'06 - 2020'!C21</f>
        <v>0</v>
      </c>
      <c r="G16" s="23">
        <v>0.11799999999999999</v>
      </c>
      <c r="H16" s="25">
        <f>'06 - 2020'!E22-'06 - 2020'!E21</f>
        <v>0</v>
      </c>
      <c r="I16" s="25">
        <f>'06 - 2020'!F22-'06 - 2020'!F21</f>
        <v>0</v>
      </c>
      <c r="J16" s="25">
        <f>'06 - 2020'!G22-'06 - 2020'!G21</f>
        <v>0</v>
      </c>
      <c r="K16" s="23">
        <v>0.74</v>
      </c>
      <c r="L16" s="25"/>
      <c r="M16" s="13"/>
    </row>
    <row r="17" spans="1:13" x14ac:dyDescent="0.25">
      <c r="A17" t="s">
        <v>27</v>
      </c>
      <c r="B17">
        <f t="shared" si="0"/>
        <v>16</v>
      </c>
      <c r="C17" s="23">
        <v>6</v>
      </c>
      <c r="D17" s="23">
        <v>2020</v>
      </c>
      <c r="E17" s="25">
        <f>'06 - 2020'!B23-'06 - 2020'!B22</f>
        <v>0</v>
      </c>
      <c r="F17" s="25">
        <f>'06 - 2020'!C23-'06 - 2020'!C22</f>
        <v>0</v>
      </c>
      <c r="G17" s="23">
        <v>0.11799999999999999</v>
      </c>
      <c r="H17" s="25">
        <f>'06 - 2020'!E23-'06 - 2020'!E22</f>
        <v>0</v>
      </c>
      <c r="I17" s="25">
        <f>'06 - 2020'!F23-'06 - 2020'!F22</f>
        <v>0</v>
      </c>
      <c r="J17" s="25">
        <f>'06 - 2020'!G23-'06 - 2020'!G22</f>
        <v>0</v>
      </c>
      <c r="K17" s="23">
        <v>0.74</v>
      </c>
      <c r="L17" s="25"/>
      <c r="M17" s="13"/>
    </row>
    <row r="18" spans="1:13" x14ac:dyDescent="0.25">
      <c r="A18" t="s">
        <v>27</v>
      </c>
      <c r="B18">
        <f t="shared" si="0"/>
        <v>17</v>
      </c>
      <c r="C18" s="23">
        <v>6</v>
      </c>
      <c r="D18" s="23">
        <v>2020</v>
      </c>
      <c r="E18" s="25">
        <f>'06 - 2020'!B24-'06 - 2020'!B23</f>
        <v>0</v>
      </c>
      <c r="F18" s="25">
        <f>'06 - 2020'!C24-'06 - 2020'!C23</f>
        <v>0</v>
      </c>
      <c r="G18" s="23">
        <v>0.11799999999999999</v>
      </c>
      <c r="H18" s="25">
        <f>'06 - 2020'!E24-'06 - 2020'!E23</f>
        <v>0</v>
      </c>
      <c r="I18" s="25">
        <f>'06 - 2020'!F24-'06 - 2020'!F23</f>
        <v>0</v>
      </c>
      <c r="J18" s="25">
        <f>'06 - 2020'!G24-'06 - 2020'!G23</f>
        <v>0</v>
      </c>
      <c r="K18" s="23">
        <v>0.74</v>
      </c>
      <c r="L18" s="25"/>
      <c r="M18" s="13"/>
    </row>
    <row r="19" spans="1:13" x14ac:dyDescent="0.25">
      <c r="A19" t="s">
        <v>27</v>
      </c>
      <c r="B19">
        <f>B18+1</f>
        <v>18</v>
      </c>
      <c r="C19" s="23">
        <v>6</v>
      </c>
      <c r="D19" s="23">
        <v>2020</v>
      </c>
      <c r="E19" s="25">
        <f>'06 - 2020'!B25-'06 - 2020'!B24</f>
        <v>0</v>
      </c>
      <c r="F19" s="25">
        <f>'06 - 2020'!C25-'06 - 2020'!C24</f>
        <v>0</v>
      </c>
      <c r="G19" s="23">
        <v>0.11799999999999999</v>
      </c>
      <c r="H19" s="25">
        <f>'06 - 2020'!E25-'06 - 2020'!E24</f>
        <v>0</v>
      </c>
      <c r="I19" s="25">
        <f>'06 - 2020'!F25-'06 - 2020'!F24</f>
        <v>0</v>
      </c>
      <c r="J19" s="25">
        <f>'06 - 2020'!G25-'06 - 2020'!G24</f>
        <v>0</v>
      </c>
      <c r="K19" s="23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3">
        <v>6</v>
      </c>
      <c r="D20" s="23">
        <v>2020</v>
      </c>
      <c r="E20" s="25">
        <f>'06 - 2020'!B26-'06 - 2020'!B25</f>
        <v>0</v>
      </c>
      <c r="F20" s="25">
        <f>'06 - 2020'!C26-'06 - 2020'!C25</f>
        <v>0</v>
      </c>
      <c r="G20" s="23">
        <v>0.11799999999999999</v>
      </c>
      <c r="H20" s="25">
        <f>'06 - 2020'!E26-'06 - 2020'!E25</f>
        <v>0</v>
      </c>
      <c r="I20" s="25">
        <f>'06 - 2020'!F26-'06 - 2020'!F25</f>
        <v>0</v>
      </c>
      <c r="J20" s="25">
        <f>'06 - 2020'!G26-'06 - 2020'!G25</f>
        <v>0</v>
      </c>
      <c r="K20" s="23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3">
        <v>6</v>
      </c>
      <c r="D21" s="23">
        <v>2020</v>
      </c>
      <c r="E21" s="25">
        <f>'06 - 2020'!B27-'06 - 2020'!B26</f>
        <v>0</v>
      </c>
      <c r="F21" s="25">
        <f>'06 - 2020'!C27-'06 - 2020'!C26</f>
        <v>0</v>
      </c>
      <c r="G21" s="23">
        <v>0.11799999999999999</v>
      </c>
      <c r="H21" s="25">
        <f>'06 - 2020'!E27-'06 - 2020'!E26</f>
        <v>0</v>
      </c>
      <c r="I21" s="25">
        <f>'06 - 2020'!F27-'06 - 2020'!F26</f>
        <v>0</v>
      </c>
      <c r="J21" s="25">
        <f>'06 - 2020'!G27-'06 - 2020'!G26</f>
        <v>0</v>
      </c>
      <c r="K21" s="23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3">
        <v>6</v>
      </c>
      <c r="D22" s="23">
        <v>2020</v>
      </c>
      <c r="E22" s="25">
        <f>'06 - 2020'!B28-'06 - 2020'!B27</f>
        <v>0</v>
      </c>
      <c r="F22" s="25">
        <f>'06 - 2020'!C28-'06 - 2020'!C27</f>
        <v>0</v>
      </c>
      <c r="G22" s="23">
        <v>0.11799999999999999</v>
      </c>
      <c r="H22" s="25">
        <f>'06 - 2020'!E28-'06 - 2020'!E27</f>
        <v>0</v>
      </c>
      <c r="I22" s="25">
        <f>'06 - 2020'!F28-'06 - 2020'!F27</f>
        <v>0</v>
      </c>
      <c r="J22" s="25">
        <f>'06 - 2020'!G28-'06 - 2020'!G27</f>
        <v>0</v>
      </c>
      <c r="K22" s="23">
        <v>0.74</v>
      </c>
      <c r="L22" s="25"/>
      <c r="M22" s="13"/>
    </row>
    <row r="23" spans="1:13" x14ac:dyDescent="0.25">
      <c r="A23" t="s">
        <v>27</v>
      </c>
      <c r="B23">
        <f t="shared" si="0"/>
        <v>22</v>
      </c>
      <c r="C23" s="23">
        <v>6</v>
      </c>
      <c r="D23" s="23">
        <v>2020</v>
      </c>
      <c r="E23" s="25">
        <f>'06 - 2020'!B29-'06 - 2020'!B28</f>
        <v>0</v>
      </c>
      <c r="F23" s="25">
        <f>'06 - 2020'!C29-'06 - 2020'!C28</f>
        <v>0</v>
      </c>
      <c r="G23" s="23">
        <v>0.11799999999999999</v>
      </c>
      <c r="H23" s="25">
        <f>'06 - 2020'!E29-'06 - 2020'!E28</f>
        <v>0</v>
      </c>
      <c r="I23" s="25">
        <f>'06 - 2020'!F29-'06 - 2020'!F28</f>
        <v>0</v>
      </c>
      <c r="J23" s="25">
        <f>'06 - 2020'!G29-'06 - 2020'!G28</f>
        <v>0</v>
      </c>
      <c r="K23" s="23">
        <v>0.74</v>
      </c>
      <c r="L23" s="25"/>
      <c r="M23" s="13"/>
    </row>
    <row r="24" spans="1:13" x14ac:dyDescent="0.25">
      <c r="A24" t="s">
        <v>27</v>
      </c>
      <c r="B24">
        <f t="shared" si="0"/>
        <v>23</v>
      </c>
      <c r="C24" s="23">
        <v>6</v>
      </c>
      <c r="D24" s="23">
        <v>2020</v>
      </c>
      <c r="E24" s="25">
        <f>'06 - 2020'!B30-'06 - 2020'!B29</f>
        <v>0</v>
      </c>
      <c r="F24" s="25">
        <f>'06 - 2020'!C30-'06 - 2020'!C29</f>
        <v>0</v>
      </c>
      <c r="G24" s="23">
        <v>0.11799999999999999</v>
      </c>
      <c r="H24" s="25">
        <f>'06 - 2020'!E30-'06 - 2020'!E29</f>
        <v>0</v>
      </c>
      <c r="I24" s="25">
        <f>'06 - 2020'!F30-'06 - 2020'!F29</f>
        <v>0</v>
      </c>
      <c r="J24" s="25">
        <f>'06 - 2020'!G30-'06 - 2020'!G29</f>
        <v>0</v>
      </c>
      <c r="K24" s="23">
        <v>0.74</v>
      </c>
      <c r="L24" s="25"/>
      <c r="M24" s="13"/>
    </row>
    <row r="25" spans="1:13" x14ac:dyDescent="0.25">
      <c r="A25" t="s">
        <v>27</v>
      </c>
      <c r="B25">
        <f t="shared" si="0"/>
        <v>24</v>
      </c>
      <c r="C25" s="23">
        <v>6</v>
      </c>
      <c r="D25" s="23">
        <v>2020</v>
      </c>
      <c r="E25" s="25">
        <f>'06 - 2020'!B31-'06 - 2020'!B30</f>
        <v>0</v>
      </c>
      <c r="F25" s="25">
        <f>'06 - 2020'!C31-'06 - 2020'!C30</f>
        <v>0</v>
      </c>
      <c r="G25" s="23">
        <v>0.11799999999999999</v>
      </c>
      <c r="H25" s="25">
        <f>'06 - 2020'!E31-'06 - 2020'!E30</f>
        <v>0</v>
      </c>
      <c r="I25" s="25">
        <f>'06 - 2020'!F31-'06 - 2020'!F30</f>
        <v>0</v>
      </c>
      <c r="J25" s="25">
        <f>'06 - 2020'!G31-'06 - 2020'!G30</f>
        <v>0</v>
      </c>
      <c r="K25" s="23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3">
        <v>6</v>
      </c>
      <c r="D26" s="23">
        <v>2020</v>
      </c>
      <c r="E26" s="25">
        <f>'06 - 2020'!B32-'06 - 2020'!B31</f>
        <v>0</v>
      </c>
      <c r="F26" s="25">
        <f>'06 - 2020'!C32-'06 - 2020'!C31</f>
        <v>0</v>
      </c>
      <c r="G26" s="23">
        <v>0.11799999999999999</v>
      </c>
      <c r="H26" s="25">
        <f>'06 - 2020'!E32-'06 - 2020'!E31</f>
        <v>0</v>
      </c>
      <c r="I26" s="25">
        <f>'06 - 2020'!F32-'06 - 2020'!F31</f>
        <v>0</v>
      </c>
      <c r="J26" s="25">
        <f>'06 - 2020'!G32-'06 - 2020'!G31</f>
        <v>0</v>
      </c>
      <c r="K26" s="23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3">
        <v>6</v>
      </c>
      <c r="D27" s="23">
        <v>2020</v>
      </c>
      <c r="E27" s="25">
        <f>'06 - 2020'!B33-'06 - 2020'!B32</f>
        <v>0</v>
      </c>
      <c r="F27" s="25">
        <f>'06 - 2020'!C33-'06 - 2020'!C32</f>
        <v>0</v>
      </c>
      <c r="G27" s="23">
        <v>0.11799999999999999</v>
      </c>
      <c r="H27" s="25">
        <f>'06 - 2020'!E33-'06 - 2020'!E32</f>
        <v>0</v>
      </c>
      <c r="I27" s="25">
        <f>'06 - 2020'!F33-'06 - 2020'!F32</f>
        <v>0</v>
      </c>
      <c r="J27" s="25">
        <f>'06 - 2020'!G33-'06 - 2020'!G32</f>
        <v>0</v>
      </c>
      <c r="K27" s="23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3">
        <v>6</v>
      </c>
      <c r="D28" s="23">
        <v>2020</v>
      </c>
      <c r="E28" s="25">
        <f>'06 - 2020'!B34-'06 - 2020'!B33</f>
        <v>0</v>
      </c>
      <c r="F28" s="25">
        <f>'06 - 2020'!C34-'06 - 2020'!C33</f>
        <v>0</v>
      </c>
      <c r="G28" s="23">
        <v>0.11799999999999999</v>
      </c>
      <c r="H28" s="25">
        <f>'06 - 2020'!E34-'06 - 2020'!E33</f>
        <v>0</v>
      </c>
      <c r="I28" s="25">
        <f>'06 - 2020'!F34-'06 - 2020'!F33</f>
        <v>0</v>
      </c>
      <c r="J28" s="25">
        <f>'06 - 2020'!G34-'06 - 2020'!G33</f>
        <v>0</v>
      </c>
      <c r="K28" s="23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3">
        <v>6</v>
      </c>
      <c r="D29" s="23">
        <v>2020</v>
      </c>
      <c r="E29" s="25">
        <f>'06 - 2020'!B35-'06 - 2020'!B34</f>
        <v>0</v>
      </c>
      <c r="F29" s="25">
        <f>'06 - 2020'!C35-'06 - 2020'!C34</f>
        <v>0</v>
      </c>
      <c r="G29" s="23">
        <v>0.11799999999999999</v>
      </c>
      <c r="H29" s="25">
        <f>'06 - 2020'!E35-'06 - 2020'!E34</f>
        <v>0</v>
      </c>
      <c r="I29" s="25">
        <f>'06 - 2020'!F35-'06 - 2020'!F34</f>
        <v>0</v>
      </c>
      <c r="J29" s="25">
        <f>'06 - 2020'!G35-'06 - 2020'!G34</f>
        <v>0</v>
      </c>
      <c r="K29" s="23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3">
        <v>6</v>
      </c>
      <c r="D30" s="23">
        <v>2020</v>
      </c>
      <c r="E30" s="25">
        <f>'06 - 2020'!B36-'06 - 2020'!B35</f>
        <v>0</v>
      </c>
      <c r="F30" s="25">
        <f>'06 - 2020'!C36-'06 - 2020'!C35</f>
        <v>0</v>
      </c>
      <c r="G30" s="23">
        <v>0.11799999999999999</v>
      </c>
      <c r="H30" s="25">
        <f>'06 - 2020'!E36-'06 - 2020'!E35</f>
        <v>0</v>
      </c>
      <c r="I30" s="25">
        <f>'06 - 2020'!F36-'06 - 2020'!F35</f>
        <v>0</v>
      </c>
      <c r="J30" s="25">
        <f>'06 - 2020'!G36-'06 - 2020'!G35</f>
        <v>0</v>
      </c>
      <c r="K30" s="23">
        <v>0.74</v>
      </c>
      <c r="L30" s="6"/>
    </row>
    <row r="31" spans="1:13" x14ac:dyDescent="0.25">
      <c r="A31" s="23" t="s">
        <v>27</v>
      </c>
      <c r="B31" s="23">
        <v>30</v>
      </c>
      <c r="C31" s="23">
        <v>6</v>
      </c>
      <c r="D31" s="23">
        <v>2020</v>
      </c>
      <c r="E31" s="25">
        <f>'06 - 2020'!B37-'06 - 2020'!B36</f>
        <v>0</v>
      </c>
      <c r="F31" s="25">
        <f>'06 - 2020'!C37-'06 - 2020'!C36</f>
        <v>0</v>
      </c>
      <c r="G31" s="23">
        <v>0.11799999999999999</v>
      </c>
      <c r="H31" s="25">
        <f>'06 - 2020'!E37-'06 - 2020'!E36</f>
        <v>0</v>
      </c>
      <c r="I31" s="25">
        <f>'06 - 2020'!F37-'06 - 2020'!F36</f>
        <v>0</v>
      </c>
      <c r="J31" s="25">
        <f>'06 - 2020'!G37-'06 - 2020'!G36</f>
        <v>0</v>
      </c>
      <c r="K31" s="23">
        <v>0.74</v>
      </c>
      <c r="L31" s="25"/>
    </row>
    <row r="32" spans="1:13" x14ac:dyDescent="0.25">
      <c r="A32" s="23"/>
      <c r="B32" s="23"/>
      <c r="C32" s="23"/>
      <c r="D32" s="23"/>
      <c r="E32" s="25"/>
      <c r="F32" s="25"/>
      <c r="G32" s="23"/>
      <c r="H32" s="25"/>
      <c r="I32" s="25"/>
      <c r="J32" s="25"/>
      <c r="K32" s="23"/>
      <c r="L32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abSelected="1" zoomScaleNormal="100" workbookViewId="0">
      <selection activeCell="G44" sqref="G44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3" customFormat="1" x14ac:dyDescent="0.25">
      <c r="B2" s="25"/>
      <c r="H2" s="24"/>
    </row>
    <row r="3" spans="1:15" ht="18.75" x14ac:dyDescent="0.3">
      <c r="A3" s="66" t="s">
        <v>30</v>
      </c>
      <c r="B3" s="66"/>
      <c r="C3" s="66"/>
      <c r="D3" s="66"/>
      <c r="E3" s="66"/>
      <c r="F3" s="66"/>
      <c r="G3" s="66"/>
      <c r="H3" s="66"/>
      <c r="I3" s="66"/>
      <c r="J3" s="66"/>
      <c r="K3" s="23"/>
      <c r="L3" s="23"/>
      <c r="M3" s="23"/>
    </row>
    <row r="4" spans="1:15" ht="16.5" thickBot="1" x14ac:dyDescent="0.3">
      <c r="A4" s="59" t="s">
        <v>36</v>
      </c>
      <c r="B4" s="59"/>
      <c r="C4" s="59"/>
      <c r="D4" s="59"/>
      <c r="E4" s="59"/>
      <c r="F4" s="59"/>
      <c r="G4" s="59"/>
      <c r="H4" s="59"/>
      <c r="I4" s="59"/>
      <c r="J4" s="59"/>
      <c r="K4" s="23"/>
      <c r="L4" s="23"/>
      <c r="M4" s="23"/>
    </row>
    <row r="5" spans="1:15" ht="16.5" thickBot="1" x14ac:dyDescent="0.3">
      <c r="A5" s="2"/>
      <c r="B5" s="60">
        <v>19</v>
      </c>
      <c r="C5" s="61"/>
      <c r="D5" s="60" t="s">
        <v>0</v>
      </c>
      <c r="E5" s="62"/>
      <c r="F5" s="62"/>
      <c r="G5" s="63"/>
      <c r="H5" s="64" t="s">
        <v>1</v>
      </c>
      <c r="I5" s="65"/>
      <c r="J5" s="28" t="s">
        <v>2</v>
      </c>
      <c r="K5" s="3"/>
      <c r="L5" s="23"/>
      <c r="M5" s="23"/>
    </row>
    <row r="6" spans="1:15" ht="30" x14ac:dyDescent="0.25">
      <c r="A6" s="42" t="s">
        <v>3</v>
      </c>
      <c r="B6" s="43" t="s">
        <v>33</v>
      </c>
      <c r="C6" s="44" t="s">
        <v>34</v>
      </c>
      <c r="D6" s="44" t="s">
        <v>4</v>
      </c>
      <c r="E6" s="44" t="s">
        <v>5</v>
      </c>
      <c r="F6" s="44" t="s">
        <v>6</v>
      </c>
      <c r="G6" s="45" t="s">
        <v>7</v>
      </c>
      <c r="H6" s="44" t="s">
        <v>28</v>
      </c>
      <c r="I6" s="44" t="s">
        <v>29</v>
      </c>
      <c r="J6" s="44" t="s">
        <v>8</v>
      </c>
      <c r="K6" s="29" t="s">
        <v>31</v>
      </c>
      <c r="L6" s="30" t="s">
        <v>32</v>
      </c>
      <c r="M6" s="23"/>
    </row>
    <row r="7" spans="1:15" s="55" customFormat="1" ht="12.75" customHeight="1" x14ac:dyDescent="0.25">
      <c r="A7" s="46">
        <v>43982</v>
      </c>
      <c r="B7" s="15">
        <v>691571</v>
      </c>
      <c r="C7" s="15">
        <v>883528</v>
      </c>
      <c r="D7" s="16">
        <v>0.79</v>
      </c>
      <c r="E7" s="22">
        <v>10847.76</v>
      </c>
      <c r="F7" s="22">
        <v>2069</v>
      </c>
      <c r="G7" s="17">
        <v>19260.55</v>
      </c>
      <c r="H7" s="15">
        <v>14528</v>
      </c>
      <c r="I7" s="15">
        <v>93740</v>
      </c>
      <c r="J7" s="15">
        <v>38651838</v>
      </c>
      <c r="K7" s="53"/>
      <c r="L7" s="54"/>
      <c r="M7" s="47"/>
    </row>
    <row r="8" spans="1:15" ht="12.75" customHeight="1" x14ac:dyDescent="0.25">
      <c r="A8" s="46">
        <v>43983</v>
      </c>
      <c r="B8" s="35">
        <v>691917</v>
      </c>
      <c r="C8" s="36">
        <v>886171</v>
      </c>
      <c r="D8" s="37">
        <v>0.76</v>
      </c>
      <c r="E8" s="38">
        <v>10848.06</v>
      </c>
      <c r="F8" s="38">
        <v>2069</v>
      </c>
      <c r="G8" s="38">
        <v>19270.54</v>
      </c>
      <c r="H8" s="39">
        <v>14528</v>
      </c>
      <c r="I8" s="39">
        <v>93761</v>
      </c>
      <c r="J8" s="39">
        <v>38662577</v>
      </c>
      <c r="K8" s="40"/>
      <c r="L8" s="41"/>
      <c r="M8" s="47"/>
    </row>
    <row r="9" spans="1:15" ht="12.75" customHeight="1" x14ac:dyDescent="0.25">
      <c r="A9" s="46">
        <v>43984</v>
      </c>
      <c r="B9" s="26">
        <v>692198</v>
      </c>
      <c r="C9" s="19">
        <v>888716</v>
      </c>
      <c r="D9" s="37">
        <v>0.74</v>
      </c>
      <c r="E9" s="22">
        <v>10848.5</v>
      </c>
      <c r="F9" s="22">
        <v>2069</v>
      </c>
      <c r="G9" s="22">
        <v>19280.240000000002</v>
      </c>
      <c r="H9" s="19">
        <v>14528</v>
      </c>
      <c r="I9" s="15">
        <v>93777</v>
      </c>
      <c r="J9" s="15">
        <v>38672898</v>
      </c>
      <c r="K9" s="18"/>
      <c r="L9" s="31"/>
      <c r="M9" s="47"/>
    </row>
    <row r="10" spans="1:15" ht="12.75" customHeight="1" x14ac:dyDescent="0.25">
      <c r="A10" s="46">
        <v>43985</v>
      </c>
      <c r="B10" s="15">
        <v>692535</v>
      </c>
      <c r="C10" s="15">
        <v>891261</v>
      </c>
      <c r="D10" s="16">
        <v>0.73</v>
      </c>
      <c r="E10" s="22">
        <v>10849.02</v>
      </c>
      <c r="F10" s="22">
        <v>2069</v>
      </c>
      <c r="G10" s="22">
        <v>19290.37</v>
      </c>
      <c r="H10" s="19">
        <v>14528</v>
      </c>
      <c r="I10" s="15">
        <v>93795</v>
      </c>
      <c r="J10" s="15">
        <v>38682765</v>
      </c>
      <c r="K10" s="18"/>
      <c r="L10" s="31"/>
      <c r="M10" s="47"/>
    </row>
    <row r="11" spans="1:15" ht="12.75" customHeight="1" x14ac:dyDescent="0.25">
      <c r="A11" s="46">
        <v>43986</v>
      </c>
      <c r="B11" s="15">
        <v>692878</v>
      </c>
      <c r="C11" s="15">
        <v>893780</v>
      </c>
      <c r="D11" s="16">
        <v>0.71</v>
      </c>
      <c r="E11" s="22">
        <v>10849.46</v>
      </c>
      <c r="F11" s="22">
        <v>2069</v>
      </c>
      <c r="G11" s="22">
        <v>19300.59</v>
      </c>
      <c r="H11" s="19">
        <v>14528</v>
      </c>
      <c r="I11" s="15">
        <v>93814</v>
      </c>
      <c r="J11" s="15">
        <v>38692703</v>
      </c>
      <c r="K11" s="18"/>
      <c r="L11" s="31"/>
      <c r="M11" s="47"/>
    </row>
    <row r="12" spans="1:15" ht="12.75" customHeight="1" x14ac:dyDescent="0.25">
      <c r="A12" s="46">
        <v>43987</v>
      </c>
      <c r="B12" s="15">
        <v>693285</v>
      </c>
      <c r="C12" s="15">
        <v>896561</v>
      </c>
      <c r="D12" s="16">
        <v>0.69</v>
      </c>
      <c r="E12" s="22">
        <v>10850.02</v>
      </c>
      <c r="F12" s="22">
        <v>2069</v>
      </c>
      <c r="G12" s="22">
        <v>19311.14</v>
      </c>
      <c r="H12" s="15">
        <v>14528</v>
      </c>
      <c r="I12" s="15">
        <v>93834</v>
      </c>
      <c r="J12" s="15">
        <v>38706520</v>
      </c>
      <c r="K12" s="18"/>
      <c r="L12" s="31"/>
      <c r="M12" s="47"/>
    </row>
    <row r="13" spans="1:15" ht="12.75" customHeight="1" x14ac:dyDescent="0.25">
      <c r="A13" s="46">
        <v>43988</v>
      </c>
      <c r="B13" s="15">
        <v>693684</v>
      </c>
      <c r="C13" s="15">
        <v>898897</v>
      </c>
      <c r="D13" s="16">
        <v>0.67</v>
      </c>
      <c r="E13" s="22">
        <v>10850.46</v>
      </c>
      <c r="F13" s="22">
        <v>2069</v>
      </c>
      <c r="G13" s="22">
        <v>19319.63</v>
      </c>
      <c r="H13" s="15">
        <v>14528</v>
      </c>
      <c r="I13" s="17">
        <v>93851</v>
      </c>
      <c r="J13" s="17">
        <v>38721163</v>
      </c>
      <c r="K13" s="18"/>
      <c r="L13" s="31"/>
      <c r="M13" s="47"/>
    </row>
    <row r="14" spans="1:15" ht="12.75" customHeight="1" x14ac:dyDescent="0.25">
      <c r="A14" s="46">
        <v>43989</v>
      </c>
      <c r="B14" s="15">
        <v>694100</v>
      </c>
      <c r="C14" s="15">
        <v>902263</v>
      </c>
      <c r="D14" s="16">
        <v>0.64</v>
      </c>
      <c r="E14" s="22">
        <v>10850.98</v>
      </c>
      <c r="F14" s="22">
        <v>2069</v>
      </c>
      <c r="G14" s="17">
        <v>19332.12</v>
      </c>
      <c r="H14" s="15">
        <v>14528</v>
      </c>
      <c r="I14" s="15">
        <v>93874</v>
      </c>
      <c r="J14" s="15">
        <v>38736006</v>
      </c>
      <c r="K14" s="26"/>
      <c r="L14" s="31"/>
      <c r="M14" s="47"/>
      <c r="O14" s="25"/>
    </row>
    <row r="15" spans="1:15" ht="12.75" customHeight="1" x14ac:dyDescent="0.25">
      <c r="A15" s="46">
        <v>43990</v>
      </c>
      <c r="B15" s="19">
        <v>694569</v>
      </c>
      <c r="C15" s="15">
        <v>905156</v>
      </c>
      <c r="D15" s="16">
        <v>0.61</v>
      </c>
      <c r="E15" s="22">
        <v>10851.35</v>
      </c>
      <c r="F15" s="22">
        <v>2069</v>
      </c>
      <c r="G15" s="17">
        <v>19342.599999999999</v>
      </c>
      <c r="H15" s="15">
        <v>14528</v>
      </c>
      <c r="I15" s="15">
        <v>93898</v>
      </c>
      <c r="J15" s="15">
        <v>38752353</v>
      </c>
      <c r="K15" s="18"/>
      <c r="L15" s="31"/>
      <c r="M15" s="47"/>
      <c r="O15" s="25"/>
    </row>
    <row r="16" spans="1:15" ht="12.75" customHeight="1" x14ac:dyDescent="0.25">
      <c r="A16" s="46">
        <v>43991</v>
      </c>
      <c r="B16" s="47">
        <v>695019</v>
      </c>
      <c r="C16" s="15">
        <v>907983</v>
      </c>
      <c r="D16" s="16">
        <v>0.6</v>
      </c>
      <c r="E16" s="22">
        <v>10851.81</v>
      </c>
      <c r="F16" s="22">
        <v>2069</v>
      </c>
      <c r="G16" s="17">
        <v>19353.3</v>
      </c>
      <c r="H16" s="15">
        <v>14528</v>
      </c>
      <c r="I16" s="15">
        <v>93917</v>
      </c>
      <c r="J16" s="15">
        <v>38767379</v>
      </c>
      <c r="K16" s="18"/>
      <c r="L16" s="31"/>
      <c r="M16" s="47"/>
    </row>
    <row r="17" spans="1:16" ht="12.75" customHeight="1" x14ac:dyDescent="0.25">
      <c r="A17" s="46">
        <v>43992</v>
      </c>
      <c r="B17" s="17">
        <v>695451</v>
      </c>
      <c r="C17" s="17">
        <v>910975</v>
      </c>
      <c r="D17" s="27">
        <v>0.59</v>
      </c>
      <c r="E17" s="22">
        <v>10852.29</v>
      </c>
      <c r="F17" s="22">
        <v>2069</v>
      </c>
      <c r="G17" s="17">
        <v>19364.07</v>
      </c>
      <c r="H17" s="15">
        <v>14528</v>
      </c>
      <c r="I17" s="17">
        <v>93930</v>
      </c>
      <c r="J17" s="17">
        <v>38783984</v>
      </c>
      <c r="K17" s="18"/>
      <c r="L17" s="31"/>
      <c r="M17" s="47"/>
    </row>
    <row r="18" spans="1:16" ht="12.75" customHeight="1" x14ac:dyDescent="0.25">
      <c r="A18" s="46">
        <v>43993</v>
      </c>
      <c r="B18" s="15"/>
      <c r="C18" s="15"/>
      <c r="D18" s="16"/>
      <c r="E18" s="22"/>
      <c r="F18" s="22"/>
      <c r="G18" s="17"/>
      <c r="H18" s="15"/>
      <c r="I18" s="15"/>
      <c r="J18" s="15"/>
      <c r="K18" s="18"/>
      <c r="L18" s="31"/>
      <c r="M18" s="47"/>
      <c r="P18" s="25"/>
    </row>
    <row r="19" spans="1:16" ht="12.75" customHeight="1" x14ac:dyDescent="0.25">
      <c r="A19" s="46">
        <v>43994</v>
      </c>
      <c r="B19" s="15"/>
      <c r="C19" s="15"/>
      <c r="D19" s="16"/>
      <c r="E19" s="22"/>
      <c r="F19" s="22"/>
      <c r="G19" s="17"/>
      <c r="H19" s="15"/>
      <c r="I19" s="15"/>
      <c r="J19" s="15"/>
      <c r="K19" s="18"/>
      <c r="L19" s="31"/>
      <c r="M19" s="47"/>
      <c r="P19" s="25"/>
    </row>
    <row r="20" spans="1:16" ht="12.75" customHeight="1" x14ac:dyDescent="0.25">
      <c r="A20" s="46">
        <v>43995</v>
      </c>
      <c r="B20" s="15"/>
      <c r="C20" s="15"/>
      <c r="D20" s="16"/>
      <c r="E20" s="22"/>
      <c r="F20" s="22"/>
      <c r="G20" s="17"/>
      <c r="H20" s="15"/>
      <c r="I20" s="15"/>
      <c r="J20" s="15"/>
      <c r="K20" s="18"/>
      <c r="L20" s="31"/>
      <c r="M20" s="47"/>
    </row>
    <row r="21" spans="1:16" ht="12.75" customHeight="1" x14ac:dyDescent="0.25">
      <c r="A21" s="46">
        <v>43996</v>
      </c>
      <c r="B21" s="15"/>
      <c r="C21" s="15"/>
      <c r="D21" s="16"/>
      <c r="E21" s="22"/>
      <c r="F21" s="22"/>
      <c r="G21" s="17"/>
      <c r="H21" s="15"/>
      <c r="I21" s="15"/>
      <c r="J21" s="15"/>
      <c r="K21" s="18"/>
      <c r="L21" s="31"/>
      <c r="M21" s="47"/>
    </row>
    <row r="22" spans="1:16" ht="12.75" customHeight="1" x14ac:dyDescent="0.25">
      <c r="A22" s="46">
        <v>43997</v>
      </c>
      <c r="B22" s="15"/>
      <c r="C22" s="15"/>
      <c r="D22" s="16"/>
      <c r="E22" s="22"/>
      <c r="F22" s="22"/>
      <c r="G22" s="17"/>
      <c r="H22" s="15"/>
      <c r="I22" s="17"/>
      <c r="J22" s="15"/>
      <c r="K22" s="26"/>
      <c r="L22" s="31"/>
      <c r="M22" s="47"/>
    </row>
    <row r="23" spans="1:16" ht="12.75" customHeight="1" x14ac:dyDescent="0.25">
      <c r="A23" s="46">
        <v>43998</v>
      </c>
      <c r="B23" s="58"/>
      <c r="C23" s="58"/>
      <c r="D23" s="16"/>
      <c r="E23" s="22"/>
      <c r="F23" s="22"/>
      <c r="G23" s="17"/>
      <c r="H23" s="15"/>
      <c r="I23" s="15"/>
      <c r="J23" s="15"/>
      <c r="K23" s="26"/>
      <c r="L23" s="31"/>
      <c r="M23" s="47"/>
    </row>
    <row r="24" spans="1:16" ht="12.75" customHeight="1" x14ac:dyDescent="0.25">
      <c r="A24" s="46">
        <v>43999</v>
      </c>
      <c r="B24" s="58"/>
      <c r="C24" s="58"/>
      <c r="D24" s="16"/>
      <c r="E24" s="17"/>
      <c r="F24" s="17"/>
      <c r="G24" s="17"/>
      <c r="H24" s="15"/>
      <c r="I24" s="15"/>
      <c r="J24" s="15"/>
      <c r="K24" s="18"/>
      <c r="L24" s="32"/>
      <c r="M24" s="47"/>
    </row>
    <row r="25" spans="1:16" ht="12.75" customHeight="1" x14ac:dyDescent="0.25">
      <c r="A25" s="46">
        <v>44000</v>
      </c>
      <c r="B25" s="17"/>
      <c r="C25" s="17"/>
      <c r="D25" s="27"/>
      <c r="E25" s="17"/>
      <c r="F25" s="17"/>
      <c r="G25" s="17"/>
      <c r="H25" s="15"/>
      <c r="I25" s="15"/>
      <c r="J25" s="15"/>
      <c r="K25" s="26"/>
      <c r="L25" s="32"/>
      <c r="M25" s="47"/>
    </row>
    <row r="26" spans="1:16" ht="12.75" customHeight="1" x14ac:dyDescent="0.25">
      <c r="A26" s="46">
        <v>44001</v>
      </c>
      <c r="B26" s="17"/>
      <c r="C26" s="17"/>
      <c r="D26" s="27"/>
      <c r="E26" s="17"/>
      <c r="F26" s="17"/>
      <c r="G26" s="17"/>
      <c r="H26" s="15"/>
      <c r="I26" s="15"/>
      <c r="J26" s="15"/>
      <c r="K26" s="26"/>
      <c r="L26" s="32"/>
      <c r="M26" s="47"/>
    </row>
    <row r="27" spans="1:16" ht="12.75" customHeight="1" x14ac:dyDescent="0.25">
      <c r="A27" s="46">
        <v>44002</v>
      </c>
      <c r="B27" s="15"/>
      <c r="C27" s="15"/>
      <c r="D27" s="16"/>
      <c r="E27" s="17"/>
      <c r="F27" s="17"/>
      <c r="G27" s="17"/>
      <c r="H27" s="15"/>
      <c r="I27" s="15"/>
      <c r="J27" s="15"/>
      <c r="K27" s="18"/>
      <c r="L27" s="31"/>
      <c r="M27" s="47"/>
    </row>
    <row r="28" spans="1:16" ht="12.75" customHeight="1" x14ac:dyDescent="0.25">
      <c r="A28" s="46">
        <v>44003</v>
      </c>
      <c r="B28" s="14"/>
      <c r="C28" s="15"/>
      <c r="D28" s="16"/>
      <c r="E28" s="17"/>
      <c r="F28" s="17"/>
      <c r="G28" s="17"/>
      <c r="H28" s="15"/>
      <c r="I28" s="15"/>
      <c r="J28" s="15"/>
      <c r="K28" s="18"/>
      <c r="L28" s="31"/>
      <c r="M28" s="47"/>
    </row>
    <row r="29" spans="1:16" ht="12.75" customHeight="1" x14ac:dyDescent="0.25">
      <c r="A29" s="46">
        <v>44004</v>
      </c>
      <c r="B29" s="15"/>
      <c r="C29" s="15"/>
      <c r="D29" s="16"/>
      <c r="E29" s="17"/>
      <c r="F29" s="17"/>
      <c r="G29" s="17"/>
      <c r="H29" s="15"/>
      <c r="I29" s="15"/>
      <c r="J29" s="15"/>
      <c r="K29" s="18"/>
      <c r="L29" s="31"/>
      <c r="M29" s="47"/>
      <c r="P29" s="6"/>
    </row>
    <row r="30" spans="1:16" ht="12.75" customHeight="1" x14ac:dyDescent="0.25">
      <c r="A30" s="46">
        <v>44005</v>
      </c>
      <c r="B30" s="15"/>
      <c r="C30" s="15"/>
      <c r="D30" s="16"/>
      <c r="E30" s="17"/>
      <c r="F30" s="17"/>
      <c r="G30" s="17"/>
      <c r="H30" s="15"/>
      <c r="I30" s="15"/>
      <c r="J30" s="15"/>
      <c r="K30" s="18"/>
      <c r="L30" s="31"/>
      <c r="M30" s="47"/>
      <c r="P30" s="6"/>
    </row>
    <row r="31" spans="1:16" ht="12.75" customHeight="1" x14ac:dyDescent="0.25">
      <c r="A31" s="46">
        <v>44006</v>
      </c>
      <c r="B31" s="15"/>
      <c r="C31" s="15"/>
      <c r="D31" s="16"/>
      <c r="E31" s="17"/>
      <c r="F31" s="17"/>
      <c r="G31" s="17"/>
      <c r="H31" s="15"/>
      <c r="I31" s="15"/>
      <c r="J31" s="15"/>
      <c r="K31" s="18"/>
      <c r="L31" s="33"/>
      <c r="M31" s="47"/>
      <c r="P31" s="6"/>
    </row>
    <row r="32" spans="1:16" ht="12.75" customHeight="1" x14ac:dyDescent="0.25">
      <c r="A32" s="46">
        <v>44007</v>
      </c>
      <c r="B32" s="15"/>
      <c r="C32" s="15"/>
      <c r="D32" s="16"/>
      <c r="E32" s="17"/>
      <c r="F32" s="17"/>
      <c r="G32" s="17"/>
      <c r="H32" s="15"/>
      <c r="I32" s="15"/>
      <c r="J32" s="15"/>
      <c r="K32" s="18"/>
      <c r="L32" s="33"/>
      <c r="M32" s="47"/>
      <c r="P32" s="6"/>
    </row>
    <row r="33" spans="1:16" ht="12.75" customHeight="1" x14ac:dyDescent="0.25">
      <c r="A33" s="46">
        <v>44008</v>
      </c>
      <c r="B33" s="15"/>
      <c r="C33" s="15"/>
      <c r="D33" s="16"/>
      <c r="E33" s="17"/>
      <c r="F33" s="17"/>
      <c r="G33" s="17"/>
      <c r="H33" s="15"/>
      <c r="I33" s="15"/>
      <c r="J33" s="15"/>
      <c r="K33" s="18"/>
      <c r="L33" s="31"/>
      <c r="M33" s="47"/>
      <c r="P33" s="6"/>
    </row>
    <row r="34" spans="1:16" ht="12.75" customHeight="1" x14ac:dyDescent="0.25">
      <c r="A34" s="46">
        <v>44009</v>
      </c>
      <c r="B34" s="17"/>
      <c r="C34" s="20"/>
      <c r="D34" s="27"/>
      <c r="E34" s="17"/>
      <c r="F34" s="17"/>
      <c r="G34" s="17"/>
      <c r="H34" s="15"/>
      <c r="I34" s="17"/>
      <c r="J34" s="17"/>
      <c r="K34" s="18">
        <v>3400</v>
      </c>
      <c r="L34" s="31"/>
      <c r="M34" s="47"/>
    </row>
    <row r="35" spans="1:16" ht="12.75" customHeight="1" x14ac:dyDescent="0.25">
      <c r="A35" s="46">
        <v>44010</v>
      </c>
      <c r="B35" s="15"/>
      <c r="C35" s="20"/>
      <c r="D35" s="16"/>
      <c r="E35" s="17"/>
      <c r="F35" s="17"/>
      <c r="G35" s="17"/>
      <c r="H35" s="15"/>
      <c r="I35" s="15"/>
      <c r="J35" s="15"/>
      <c r="K35" s="18"/>
      <c r="L35" s="31"/>
      <c r="M35" s="47"/>
    </row>
    <row r="36" spans="1:16" ht="12.75" customHeight="1" x14ac:dyDescent="0.25">
      <c r="A36" s="46">
        <v>44011</v>
      </c>
      <c r="B36" s="15"/>
      <c r="C36" s="20"/>
      <c r="D36" s="16"/>
      <c r="E36" s="17"/>
      <c r="F36" s="17"/>
      <c r="G36" s="17"/>
      <c r="H36" s="15"/>
      <c r="I36" s="15"/>
      <c r="J36" s="15"/>
      <c r="K36" s="18"/>
      <c r="L36" s="31"/>
      <c r="M36" s="47"/>
    </row>
    <row r="37" spans="1:16" s="23" customFormat="1" x14ac:dyDescent="0.25">
      <c r="A37" s="46">
        <v>44012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1"/>
      <c r="M37" s="47"/>
    </row>
    <row r="38" spans="1:16" x14ac:dyDescent="0.25">
      <c r="A38" s="48" t="s">
        <v>35</v>
      </c>
      <c r="B38" s="34">
        <f t="shared" ref="B38:J38" si="0">B37-B7</f>
        <v>-691571</v>
      </c>
      <c r="C38" s="34">
        <f t="shared" si="0"/>
        <v>-883528</v>
      </c>
      <c r="D38" s="34">
        <f t="shared" si="0"/>
        <v>-0.79</v>
      </c>
      <c r="E38" s="34">
        <f t="shared" si="0"/>
        <v>-10847.76</v>
      </c>
      <c r="F38" s="34">
        <f t="shared" si="0"/>
        <v>-2069</v>
      </c>
      <c r="G38" s="34">
        <f t="shared" si="0"/>
        <v>-19260.55</v>
      </c>
      <c r="H38" s="34">
        <f t="shared" si="0"/>
        <v>-14528</v>
      </c>
      <c r="I38" s="34">
        <f t="shared" si="0"/>
        <v>-93740</v>
      </c>
      <c r="J38" s="34">
        <f t="shared" si="0"/>
        <v>-38651838</v>
      </c>
      <c r="K38" s="23"/>
      <c r="L38" s="23"/>
      <c r="M38" s="23"/>
    </row>
    <row r="39" spans="1:16" x14ac:dyDescent="0.25">
      <c r="A39" s="23"/>
      <c r="B39" s="23"/>
      <c r="C39" s="34"/>
      <c r="D39" s="23"/>
      <c r="E39" s="25"/>
      <c r="F39" s="25"/>
      <c r="G39" s="25"/>
      <c r="H39" s="21">
        <f>H38*219.969</f>
        <v>-3195709.6319999998</v>
      </c>
      <c r="I39" s="34">
        <f>I38*219.969</f>
        <v>-20619894.059999999</v>
      </c>
      <c r="J39" s="25"/>
    </row>
    <row r="40" spans="1:16" x14ac:dyDescent="0.25">
      <c r="F40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06 - 2020</vt:lpstr>
      <vt:lpstr>'06 - 2020'!Print_Area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cp:lastPrinted>2020-05-02T15:33:01Z</cp:lastPrinted>
  <dcterms:created xsi:type="dcterms:W3CDTF">2017-04-26T09:20:12Z</dcterms:created>
  <dcterms:modified xsi:type="dcterms:W3CDTF">2020-06-10T02:53:55Z</dcterms:modified>
</cp:coreProperties>
</file>