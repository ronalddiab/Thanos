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8800" windowHeight="12440" tabRatio="762"/>
  </bookViews>
  <sheets>
    <sheet name="TOTAL" sheetId="11" r:id="rId1"/>
    <sheet name="FS Jimbaran March 2021" sheetId="14" r:id="rId2"/>
    <sheet name="RNs &amp; Covers March 2021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14" l="1"/>
  <c r="Q47" i="14"/>
  <c r="C38" i="10"/>
  <c r="B38" i="10"/>
  <c r="AG33" i="14"/>
  <c r="AG34" i="14"/>
  <c r="AG35" i="14"/>
  <c r="AG36" i="14"/>
  <c r="AG37" i="14"/>
  <c r="AG38" i="14"/>
  <c r="AG39" i="14"/>
  <c r="AG40" i="14"/>
  <c r="AH40" i="14" s="1"/>
  <c r="AI40" i="14" s="1"/>
  <c r="AG41" i="14"/>
  <c r="AH41" i="14" s="1"/>
  <c r="AI41" i="14" s="1"/>
  <c r="AG42" i="14"/>
  <c r="AH42" i="14" s="1"/>
  <c r="AI42" i="14" s="1"/>
  <c r="AL40" i="14"/>
  <c r="AL41" i="14"/>
  <c r="AL42" i="14"/>
  <c r="AA40" i="14"/>
  <c r="AB40" i="14" s="1"/>
  <c r="AA41" i="14"/>
  <c r="AB41" i="14" s="1"/>
  <c r="AA42" i="14"/>
  <c r="AB42" i="14" s="1"/>
  <c r="V40" i="14"/>
  <c r="V41" i="14"/>
  <c r="V42" i="14"/>
  <c r="N40" i="14"/>
  <c r="P40" i="14"/>
  <c r="N41" i="14"/>
  <c r="P41" i="14"/>
  <c r="N42" i="14"/>
  <c r="P42" i="14"/>
  <c r="I40" i="14"/>
  <c r="I41" i="14"/>
  <c r="I42" i="14"/>
  <c r="O42" i="14" l="1"/>
  <c r="O41" i="14"/>
  <c r="O40" i="14"/>
  <c r="E30" i="11"/>
  <c r="F30" i="11"/>
  <c r="G30" i="11"/>
  <c r="H30" i="11"/>
  <c r="I30" i="11"/>
  <c r="J30" i="11"/>
  <c r="K30" i="11"/>
  <c r="L30" i="11"/>
  <c r="E31" i="11"/>
  <c r="F31" i="11"/>
  <c r="G31" i="11"/>
  <c r="H31" i="11"/>
  <c r="I31" i="11"/>
  <c r="J31" i="11"/>
  <c r="K31" i="11"/>
  <c r="L31" i="11"/>
  <c r="E32" i="11"/>
  <c r="F32" i="11"/>
  <c r="G32" i="11"/>
  <c r="H32" i="11"/>
  <c r="I32" i="11"/>
  <c r="J32" i="11"/>
  <c r="K32" i="11"/>
  <c r="L32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H31" i="14" s="1"/>
  <c r="AI31" i="14" s="1"/>
  <c r="AG32" i="14"/>
  <c r="AH32" i="14" s="1"/>
  <c r="AI32" i="14" s="1"/>
  <c r="AH33" i="14"/>
  <c r="AI33" i="14" s="1"/>
  <c r="AH34" i="14"/>
  <c r="AI34" i="14" s="1"/>
  <c r="AH35" i="14"/>
  <c r="AI35" i="14" s="1"/>
  <c r="AH36" i="14"/>
  <c r="AI36" i="14" s="1"/>
  <c r="AH37" i="14"/>
  <c r="AI37" i="14" s="1"/>
  <c r="AH38" i="14"/>
  <c r="AI38" i="14" s="1"/>
  <c r="AH39" i="14"/>
  <c r="AI39" i="14" s="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AH30" i="14" s="1"/>
  <c r="N30" i="14"/>
  <c r="I30" i="14"/>
  <c r="AL29" i="14"/>
  <c r="AG29" i="14"/>
  <c r="AH29" i="14" s="1"/>
  <c r="N29" i="14"/>
  <c r="I29" i="14"/>
  <c r="AL28" i="14"/>
  <c r="AG28" i="14"/>
  <c r="AH28" i="14" s="1"/>
  <c r="N28" i="14"/>
  <c r="I28" i="14"/>
  <c r="AG27" i="14"/>
  <c r="AH27" i="14" s="1"/>
  <c r="N27" i="14"/>
  <c r="I27" i="14"/>
  <c r="AL26" i="14"/>
  <c r="AG26" i="14"/>
  <c r="AH26" i="14" s="1"/>
  <c r="AI26" i="14" s="1"/>
  <c r="I26" i="14"/>
  <c r="AL25" i="14"/>
  <c r="I15" i="11"/>
  <c r="AG25" i="14"/>
  <c r="AH25" i="14" s="1"/>
  <c r="N25" i="14"/>
  <c r="P25" i="14"/>
  <c r="AL24" i="14"/>
  <c r="AG24" i="14"/>
  <c r="AH24" i="14" s="1"/>
  <c r="K14" i="11"/>
  <c r="N24" i="14"/>
  <c r="I24" i="14"/>
  <c r="AL23" i="14"/>
  <c r="AG23" i="14"/>
  <c r="P23" i="14"/>
  <c r="N23" i="14"/>
  <c r="AG22" i="14"/>
  <c r="AH22" i="14" s="1"/>
  <c r="N22" i="14"/>
  <c r="I22" i="14"/>
  <c r="AG21" i="14"/>
  <c r="P21" i="14"/>
  <c r="N21" i="14"/>
  <c r="AL20" i="14"/>
  <c r="AG20" i="14"/>
  <c r="AH20" i="14" s="1"/>
  <c r="AA20" i="14"/>
  <c r="AB20" i="14" s="1"/>
  <c r="N20" i="14"/>
  <c r="I20" i="14"/>
  <c r="I9" i="11"/>
  <c r="AG19" i="14"/>
  <c r="AH19" i="14" s="1"/>
  <c r="AA19" i="14"/>
  <c r="AB19" i="14" s="1"/>
  <c r="N19" i="14"/>
  <c r="AL18" i="14"/>
  <c r="AG18" i="14"/>
  <c r="AH18" i="14" s="1"/>
  <c r="P18" i="14"/>
  <c r="I18" i="14"/>
  <c r="AL17" i="14"/>
  <c r="I7" i="11"/>
  <c r="AG17" i="14"/>
  <c r="P17" i="14"/>
  <c r="N17" i="14"/>
  <c r="AL16" i="14"/>
  <c r="AG16" i="14"/>
  <c r="AH16" i="14" s="1"/>
  <c r="K6" i="11"/>
  <c r="N16" i="14"/>
  <c r="I16" i="14"/>
  <c r="AL15" i="14"/>
  <c r="AG15" i="14"/>
  <c r="P15" i="14"/>
  <c r="N15" i="14"/>
  <c r="AG14" i="14"/>
  <c r="AH14" i="14" s="1"/>
  <c r="N14" i="14"/>
  <c r="AL13" i="14"/>
  <c r="AG13" i="14"/>
  <c r="N13" i="14"/>
  <c r="AG12" i="14"/>
  <c r="K2" i="11"/>
  <c r="I12" i="14"/>
  <c r="AH21" i="14" l="1"/>
  <c r="H11" i="11" s="1"/>
  <c r="AH15" i="14"/>
  <c r="H5" i="11" s="1"/>
  <c r="G2" i="11"/>
  <c r="AH12" i="14"/>
  <c r="AH17" i="14"/>
  <c r="H7" i="11" s="1"/>
  <c r="AH23" i="14"/>
  <c r="H13" i="11" s="1"/>
  <c r="AH13" i="14"/>
  <c r="H3" i="11" s="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I25" i="14"/>
  <c r="O25" i="14" s="1"/>
  <c r="N26" i="14"/>
  <c r="O26" i="14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AA28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<sst xmlns="http://schemas.openxmlformats.org/spreadsheetml/2006/main" count="100" uniqueCount="54">
  <si>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</si>
  <si>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</si>
  <si>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</si>
  <si>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</si>
  <si>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</si>
  <si>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</si>
  <si>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</si>
  <si>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</si>
  <si>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</si>
  <si>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</si>
  <si>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</si>
  <si>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</si>
  <si>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</si>
  <si>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</si>
  <si>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</si>
  <si>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</si>
  <si>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MARCH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</si>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</sst>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</cellStyleXfs>
  <cellXfs count="281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4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4" xfId="2" applyNumberFormat="1" applyFont="1" applyFill="1" applyBorder="1" applyProtection="1">
      <protection locked="0"/>
    </xf>
    <xf numFmtId="165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Font="1" applyFill="1" applyBorder="1"/>
    <xf numFmtId="165" fontId="4" fillId="3" borderId="0" xfId="0" applyNumberFormat="1" applyFont="1" applyFill="1"/>
    <xf numFmtId="165" fontId="4" fillId="0" borderId="0" xfId="0" applyNumberFormat="1" applyFont="1"/>
    <xf numFmtId="44" fontId="4" fillId="0" borderId="0" xfId="1" applyFont="1" applyBorder="1"/>
    <xf numFmtId="169" fontId="4" fillId="0" borderId="0" xfId="5" applyNumberFormat="1" applyFont="1" applyBorder="1"/>
    <xf numFmtId="167" fontId="4" fillId="0" borderId="0" xfId="0" applyNumberFormat="1" applyFont="1"/>
    <xf numFmtId="0" fontId="4" fillId="0" borderId="0" xfId="0" applyFont="1"/>
    <xf numFmtId="0" fontId="0" fillId="3" borderId="61" xfId="0" applyFill="1" applyBorder="1" applyAlignment="1">
      <alignment wrapText="1"/>
    </xf>
    <xf numFmtId="164" fontId="0" fillId="3" borderId="39" xfId="2" applyFont="1" applyFill="1" applyBorder="1"/>
    <xf numFmtId="164" fontId="0" fillId="3" borderId="40" xfId="2" applyFont="1" applyFill="1" applyBorder="1"/>
    <xf numFmtId="0" fontId="7" fillId="3" borderId="61" xfId="4" quotePrefix="1" applyFill="1" applyBorder="1" applyAlignment="1"/>
    <xf numFmtId="165" fontId="19" fillId="3" borderId="0" xfId="2" applyNumberFormat="1" applyFont="1" applyFill="1" applyBorder="1"/>
    <xf numFmtId="165" fontId="19" fillId="0" borderId="0" xfId="2" applyNumberFormat="1" applyFont="1" applyBorder="1"/>
    <xf numFmtId="3" fontId="19" fillId="0" borderId="0" xfId="0" applyNumberFormat="1" applyFont="1"/>
    <xf numFmtId="170" fontId="19" fillId="0" borderId="0" xfId="2" applyNumberFormat="1" applyFont="1"/>
    <xf numFmtId="10" fontId="19" fillId="0" borderId="0" xfId="5" applyNumberFormat="1" applyFont="1"/>
    <xf numFmtId="44" fontId="19" fillId="0" borderId="0" xfId="1" applyFont="1" applyBorder="1"/>
    <xf numFmtId="165" fontId="20" fillId="0" borderId="0" xfId="2" applyNumberFormat="1" applyFont="1" applyBorder="1"/>
    <xf numFmtId="168" fontId="19" fillId="0" borderId="0" xfId="2" applyNumberFormat="1" applyFont="1" applyBorder="1"/>
    <xf numFmtId="165" fontId="19" fillId="0" borderId="0" xfId="2" applyNumberFormat="1" applyFont="1" applyBorder="1" applyAlignment="1">
      <alignment horizontal="right"/>
    </xf>
    <xf numFmtId="169" fontId="19" fillId="0" borderId="0" xfId="5" applyNumberFormat="1" applyFont="1" applyBorder="1"/>
    <xf numFmtId="165" fontId="21" fillId="0" borderId="0" xfId="2" applyNumberFormat="1" applyFont="1" applyBorder="1"/>
    <xf numFmtId="0" fontId="19" fillId="0" borderId="0" xfId="0" applyFont="1"/>
    <xf numFmtId="167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70" xfId="2" applyFont="1" applyFill="1" applyBorder="1"/>
    <xf numFmtId="164" fontId="0" fillId="3" borderId="7" xfId="2" applyFont="1" applyFill="1" applyBorder="1"/>
    <xf numFmtId="164" fontId="0" fillId="3" borderId="71" xfId="2" applyFont="1" applyFill="1" applyBorder="1"/>
    <xf numFmtId="164" fontId="0" fillId="3" borderId="11" xfId="2" applyFont="1" applyFill="1" applyBorder="1"/>
    <xf numFmtId="164" fontId="0" fillId="3" borderId="72" xfId="2" applyFont="1" applyFill="1" applyBorder="1"/>
    <xf numFmtId="164" fontId="0" fillId="3" borderId="47" xfId="2" applyFont="1" applyFill="1" applyBorder="1"/>
    <xf numFmtId="164" fontId="17" fillId="0" borderId="0" xfId="0" applyNumberFormat="1" applyFont="1"/>
    <xf numFmtId="164" fontId="17" fillId="0" borderId="0" xfId="2" applyFont="1"/>
    <xf numFmtId="9" fontId="17" fillId="0" borderId="0" xfId="5" applyFont="1"/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3"/>
  <sheetViews>
    <sheetView tabSelected="1" workbookViewId="0">
      <selection activeCell="I1" sqref="I1"/>
    </sheetView>
  </sheetViews>
  <sheetFormatPr defaultColWidth="11.54296875" defaultRowHeight="14.5" x14ac:dyDescent="0.35"/>
  <cols>
    <col min="1" max="1" width="18.453125" style="168" customWidth="1"/>
    <col min="2" max="2" width="11.54296875" style="169"/>
    <col min="3" max="3" width="11.54296875" style="170"/>
    <col min="4" max="4" width="13.453125" style="169" customWidth="1"/>
    <col min="5" max="5" width="12.54296875" style="167" customWidth="1"/>
    <col min="6" max="6" width="12.54296875" style="171" customWidth="1"/>
    <col min="7" max="7" width="11.54296875" style="167"/>
    <col min="8" max="8" width="11.54296875" style="171"/>
    <col min="9" max="9" width="11.54296875" style="172"/>
    <col min="10" max="10" width="11.54296875" style="173"/>
    <col min="11" max="11" width="11.54296875" style="167"/>
    <col min="12" max="12" width="11.54296875" style="173"/>
    <col min="13" max="26" width="11.54296875" style="167"/>
  </cols>
  <sheetData>
    <row r="1" spans="1:15" s="161" customFormat="1" ht="43.5" x14ac:dyDescent="0.35">
      <c r="A1" s="157" t="s">
        <v>0</v>
      </c>
      <c r="B1" s="157" t="s">
        <v>1</v>
      </c>
      <c r="C1" s="158" t="s">
        <v>2</v>
      </c>
      <c r="D1" s="157" t="s">
        <v>3</v>
      </c>
      <c r="E1" s="156" t="s">
        <v>4</v>
      </c>
      <c r="F1" s="159" t="s">
        <v>5</v>
      </c>
      <c r="G1" s="156" t="s">
        <v>6</v>
      </c>
      <c r="H1" s="159" t="s">
        <v>7</v>
      </c>
      <c r="I1" s="156" t="s">
        <v>53</v>
      </c>
      <c r="J1" s="159" t="s">
        <v>8</v>
      </c>
      <c r="K1" s="156" t="s">
        <v>9</v>
      </c>
      <c r="L1" s="160" t="s">
        <v>10</v>
      </c>
      <c r="M1" s="156" t="s">
        <v>11</v>
      </c>
      <c r="N1" s="156" t="s">
        <v>12</v>
      </c>
    </row>
    <row r="2" spans="1:15" x14ac:dyDescent="0.35">
      <c r="A2" s="162" t="s">
        <v>13</v>
      </c>
      <c r="B2" s="163">
        <v>1</v>
      </c>
      <c r="C2" s="164">
        <v>3</v>
      </c>
      <c r="D2" s="163">
        <v>2021</v>
      </c>
      <c r="E2" s="165">
        <f>'FS Jimbaran March 2021'!P12</f>
        <v>12980.000000000015</v>
      </c>
      <c r="F2" s="174">
        <f>'FS Jimbaran March 2021'!O12/'FS Jimbaran March 2021'!P12</f>
        <v>1147.8964021571753</v>
      </c>
      <c r="G2" s="165">
        <f>'FS Jimbaran March 2021'!AG12</f>
        <v>150</v>
      </c>
      <c r="H2" s="174">
        <f>'FS Jimbaran March 2021'!AH12/'FS Jimbaran March 2021'!AG12</f>
        <v>11094.54</v>
      </c>
      <c r="I2" s="165">
        <f>'FS Jimbaran March 2021'!AJ12</f>
        <v>287</v>
      </c>
      <c r="J2" s="166">
        <f>'FS Jimbaran March 2021'!AK12/'FS Jimbaran March 2021'!AJ12</f>
        <v>8600</v>
      </c>
      <c r="K2" s="165">
        <f>'FS Jimbaran March 2021'!V12</f>
        <v>815.89</v>
      </c>
      <c r="L2" s="174">
        <f>'FS Jimbaran March 2021'!AA12/'FS Jimbaran March 2021'!V12</f>
        <v>11595.817937178083</v>
      </c>
      <c r="M2" s="165">
        <v>1</v>
      </c>
      <c r="N2" s="165">
        <v>42</v>
      </c>
    </row>
    <row r="3" spans="1:15" x14ac:dyDescent="0.35">
      <c r="A3" s="162" t="s">
        <v>13</v>
      </c>
      <c r="B3" s="163">
        <f>B2+1</f>
        <v>2</v>
      </c>
      <c r="C3" s="164">
        <v>3</v>
      </c>
      <c r="D3" s="163">
        <v>2021</v>
      </c>
      <c r="E3" s="165">
        <f>'FS Jimbaran March 2021'!P13</f>
        <v>13160.000000000033</v>
      </c>
      <c r="F3" s="174">
        <f>'FS Jimbaran March 2021'!O13/'FS Jimbaran March 2021'!P13</f>
        <v>1180.1280638297853</v>
      </c>
      <c r="G3" s="165">
        <f>'FS Jimbaran March 2021'!AG13</f>
        <v>100</v>
      </c>
      <c r="H3" s="174">
        <f>'FS Jimbaran March 2021'!AH13/'FS Jimbaran March 2021'!AG13</f>
        <v>11094.54</v>
      </c>
      <c r="I3" s="165">
        <f>'FS Jimbaran March 2021'!AJ13</f>
        <v>224</v>
      </c>
      <c r="J3" s="166">
        <f>'FS Jimbaran March 2021'!AK13/'FS Jimbaran March 2021'!AJ13</f>
        <v>8600</v>
      </c>
      <c r="K3" s="165">
        <f>'FS Jimbaran March 2021'!V13</f>
        <v>962.39</v>
      </c>
      <c r="L3" s="174">
        <f>'FS Jimbaran March 2021'!AA13/'FS Jimbaran March 2021'!V13</f>
        <v>10696.062440265998</v>
      </c>
      <c r="M3" s="165">
        <v>1</v>
      </c>
      <c r="N3" s="165">
        <v>30</v>
      </c>
    </row>
    <row r="4" spans="1:15" x14ac:dyDescent="0.35">
      <c r="A4" s="162" t="s">
        <v>13</v>
      </c>
      <c r="B4" s="163">
        <f t="shared" ref="B4:B32" si="0">B3+1</f>
        <v>3</v>
      </c>
      <c r="C4" s="164">
        <v>3</v>
      </c>
      <c r="D4" s="163">
        <v>2021</v>
      </c>
      <c r="E4" s="165">
        <f>'FS Jimbaran March 2021'!P14</f>
        <v>12959.999999999891</v>
      </c>
      <c r="F4" s="174">
        <f>'FS Jimbaran March 2021'!O14/'FS Jimbaran March 2021'!P14</f>
        <v>1184.0739652777802</v>
      </c>
      <c r="G4" s="165">
        <f>'FS Jimbaran March 2021'!AG14</f>
        <v>112</v>
      </c>
      <c r="H4" s="174">
        <f>'FS Jimbaran March 2021'!AH14/'FS Jimbaran March 2021'!AG14</f>
        <v>11094.539999999999</v>
      </c>
      <c r="I4" s="165">
        <f>'FS Jimbaran March 2021'!AJ14</f>
        <v>225.7</v>
      </c>
      <c r="J4" s="166">
        <f>'FS Jimbaran March 2021'!AK14/'FS Jimbaran March 2021'!AJ14</f>
        <v>8600</v>
      </c>
      <c r="K4" s="165">
        <f>'FS Jimbaran March 2021'!V14</f>
        <v>962.72</v>
      </c>
      <c r="L4" s="174">
        <f>'FS Jimbaran March 2021'!AA14/'FS Jimbaran March 2021'!V14</f>
        <v>10595.677185123679</v>
      </c>
      <c r="M4" s="165">
        <v>1</v>
      </c>
      <c r="N4" s="165">
        <v>17</v>
      </c>
    </row>
    <row r="5" spans="1:15" x14ac:dyDescent="0.35">
      <c r="A5" s="162" t="s">
        <v>13</v>
      </c>
      <c r="B5" s="163">
        <f t="shared" si="0"/>
        <v>4</v>
      </c>
      <c r="C5" s="164">
        <v>3</v>
      </c>
      <c r="D5" s="163">
        <v>2021</v>
      </c>
      <c r="E5" s="165">
        <f>'FS Jimbaran March 2021'!P15</f>
        <v>13240.000000000073</v>
      </c>
      <c r="F5" s="174">
        <f>'FS Jimbaran March 2021'!O15/'FS Jimbaran March 2021'!P15</f>
        <v>1182.8545015105735</v>
      </c>
      <c r="G5" s="165">
        <f>'FS Jimbaran March 2021'!AG15</f>
        <v>100</v>
      </c>
      <c r="H5" s="174">
        <f>'FS Jimbaran March 2021'!AH15/'FS Jimbaran March 2021'!AG15</f>
        <v>11094.54</v>
      </c>
      <c r="I5" s="165">
        <f>'FS Jimbaran March 2021'!AJ15</f>
        <v>276.5</v>
      </c>
      <c r="J5" s="166">
        <f>'FS Jimbaran March 2021'!AK15/'FS Jimbaran March 2021'!AJ15</f>
        <v>8600</v>
      </c>
      <c r="K5" s="165">
        <f>'FS Jimbaran March 2021'!V15</f>
        <v>869.85</v>
      </c>
      <c r="L5" s="174">
        <f>'FS Jimbaran March 2021'!AA15/'FS Jimbaran March 2021'!V15</f>
        <v>8270.3091984711791</v>
      </c>
      <c r="M5" s="165">
        <v>2</v>
      </c>
      <c r="N5" s="165">
        <v>28</v>
      </c>
    </row>
    <row r="6" spans="1:15" x14ac:dyDescent="0.35">
      <c r="A6" s="162" t="s">
        <v>13</v>
      </c>
      <c r="B6" s="163">
        <f t="shared" si="0"/>
        <v>5</v>
      </c>
      <c r="C6" s="164">
        <v>3</v>
      </c>
      <c r="D6" s="163">
        <v>2021</v>
      </c>
      <c r="E6" s="165">
        <f>'FS Jimbaran March 2021'!P16</f>
        <v>13080.000000000047</v>
      </c>
      <c r="F6" s="174">
        <f>'FS Jimbaran March 2021'!O16/'FS Jimbaran March 2021'!P16</f>
        <v>1184.0200733944953</v>
      </c>
      <c r="G6" s="165">
        <f>'FS Jimbaran March 2021'!AG16</f>
        <v>150</v>
      </c>
      <c r="H6" s="174">
        <f>'FS Jimbaran March 2021'!AH16/'FS Jimbaran March 2021'!AG16</f>
        <v>11094.54</v>
      </c>
      <c r="I6" s="165">
        <f>'FS Jimbaran March 2021'!AJ16</f>
        <v>297.3</v>
      </c>
      <c r="J6" s="166">
        <f>'FS Jimbaran March 2021'!AK16/'FS Jimbaran March 2021'!AJ16</f>
        <v>8600</v>
      </c>
      <c r="K6" s="165">
        <f>'FS Jimbaran March 2021'!V16</f>
        <v>1025.8899999999999</v>
      </c>
      <c r="L6" s="174">
        <f>'FS Jimbaran March 2021'!AA16/'FS Jimbaran March 2021'!V16</f>
        <v>10497.784133282068</v>
      </c>
      <c r="M6" s="165">
        <v>3</v>
      </c>
      <c r="N6" s="165">
        <v>44</v>
      </c>
    </row>
    <row r="7" spans="1:15" x14ac:dyDescent="0.35">
      <c r="A7" s="162" t="s">
        <v>13</v>
      </c>
      <c r="B7" s="163">
        <f t="shared" si="0"/>
        <v>6</v>
      </c>
      <c r="C7" s="164">
        <v>3</v>
      </c>
      <c r="D7" s="163">
        <v>2021</v>
      </c>
      <c r="E7" s="165">
        <f>'FS Jimbaran March 2021'!P17</f>
        <v>13579.999999999894</v>
      </c>
      <c r="F7" s="174">
        <f>'FS Jimbaran March 2021'!O17/'FS Jimbaran March 2021'!P17</f>
        <v>1184.4731597938146</v>
      </c>
      <c r="G7" s="165">
        <f>'FS Jimbaran March 2021'!AG17</f>
        <v>162</v>
      </c>
      <c r="H7" s="174">
        <f>'FS Jimbaran March 2021'!AH17/'FS Jimbaran March 2021'!AG17</f>
        <v>11094.539999999999</v>
      </c>
      <c r="I7" s="165">
        <f>'FS Jimbaran March 2021'!AJ17</f>
        <v>292</v>
      </c>
      <c r="J7" s="166">
        <f>'FS Jimbaran March 2021'!AK17/'FS Jimbaran March 2021'!AJ17</f>
        <v>8600</v>
      </c>
      <c r="K7" s="165">
        <f>'FS Jimbaran March 2021'!V17</f>
        <v>1177.53</v>
      </c>
      <c r="L7" s="174">
        <f>'FS Jimbaran March 2021'!AA17/'FS Jimbaran March 2021'!V17</f>
        <v>8993.9655076817689</v>
      </c>
      <c r="M7" s="165">
        <v>3</v>
      </c>
      <c r="N7" s="165">
        <v>44</v>
      </c>
    </row>
    <row r="8" spans="1:15" x14ac:dyDescent="0.35">
      <c r="A8" s="162" t="s">
        <v>13</v>
      </c>
      <c r="B8" s="163">
        <f t="shared" si="0"/>
        <v>7</v>
      </c>
      <c r="C8" s="164">
        <v>3</v>
      </c>
      <c r="D8" s="163">
        <v>2021</v>
      </c>
      <c r="E8" s="165">
        <f>'FS Jimbaran March 2021'!P18</f>
        <v>14759.999999999905</v>
      </c>
      <c r="F8" s="174">
        <f>'FS Jimbaran March 2021'!O18/'FS Jimbaran March 2021'!P18</f>
        <v>1179.6734207317077</v>
      </c>
      <c r="G8" s="165">
        <f>'FS Jimbaran March 2021'!AG18</f>
        <v>150</v>
      </c>
      <c r="H8" s="174">
        <f>'FS Jimbaran March 2021'!AH18/'FS Jimbaran March 2021'!AG18</f>
        <v>11094.54</v>
      </c>
      <c r="I8" s="165">
        <f>'FS Jimbaran March 2021'!AJ18</f>
        <v>307.60000000000002</v>
      </c>
      <c r="J8" s="166">
        <f>'FS Jimbaran March 2021'!AK18/'FS Jimbaran March 2021'!AJ18</f>
        <v>8600</v>
      </c>
      <c r="K8" s="165">
        <f>'FS Jimbaran March 2021'!V18</f>
        <v>795.95</v>
      </c>
      <c r="L8" s="174">
        <f>'FS Jimbaran March 2021'!AA18/'FS Jimbaran March 2021'!V18</f>
        <v>10213.038092899151</v>
      </c>
      <c r="M8" s="165">
        <v>1</v>
      </c>
      <c r="N8" s="165">
        <v>69</v>
      </c>
    </row>
    <row r="9" spans="1:15" x14ac:dyDescent="0.35">
      <c r="A9" s="162" t="s">
        <v>13</v>
      </c>
      <c r="B9" s="163">
        <f t="shared" si="0"/>
        <v>8</v>
      </c>
      <c r="C9" s="164">
        <v>3</v>
      </c>
      <c r="D9" s="163">
        <v>2021</v>
      </c>
      <c r="E9" s="165">
        <f>'FS Jimbaran March 2021'!P19</f>
        <v>13870.000000000029</v>
      </c>
      <c r="F9" s="174">
        <f>'FS Jimbaran March 2021'!O19/'FS Jimbaran March 2021'!P19</f>
        <v>1113.4448305695789</v>
      </c>
      <c r="G9" s="165">
        <f>'FS Jimbaran March 2021'!AG19</f>
        <v>112</v>
      </c>
      <c r="H9" s="174">
        <f>'FS Jimbaran March 2021'!AH19/'FS Jimbaran March 2021'!AG19</f>
        <v>11094.539999999999</v>
      </c>
      <c r="I9" s="165">
        <f>'FS Jimbaran March 2021'!AJ19</f>
        <v>349.1</v>
      </c>
      <c r="J9" s="166">
        <f>'FS Jimbaran March 2021'!AK19/'FS Jimbaran March 2021'!AJ19</f>
        <v>8600</v>
      </c>
      <c r="K9" s="165">
        <f>'FS Jimbaran March 2021'!V19</f>
        <v>1117.73</v>
      </c>
      <c r="L9" s="174">
        <f>'FS Jimbaran March 2021'!AA19/'FS Jimbaran March 2021'!V19</f>
        <v>7780.7318163940372</v>
      </c>
      <c r="M9" s="165">
        <v>1</v>
      </c>
      <c r="N9" s="165">
        <v>23</v>
      </c>
      <c r="O9" s="167" t="s">
        <v>14</v>
      </c>
    </row>
    <row r="10" spans="1:15" x14ac:dyDescent="0.35">
      <c r="A10" s="162" t="s">
        <v>13</v>
      </c>
      <c r="B10" s="163">
        <f t="shared" si="0"/>
        <v>9</v>
      </c>
      <c r="C10" s="164">
        <v>3</v>
      </c>
      <c r="D10" s="163">
        <v>2021</v>
      </c>
      <c r="E10" s="165">
        <f>'FS Jimbaran March 2021'!P20</f>
        <v>13330.000000000004</v>
      </c>
      <c r="F10" s="174">
        <f>'FS Jimbaran March 2021'!O20/'FS Jimbaran March 2021'!P20</f>
        <v>1170.7888334583704</v>
      </c>
      <c r="G10" s="165">
        <f>'FS Jimbaran March 2021'!AG20</f>
        <v>50</v>
      </c>
      <c r="H10" s="174">
        <f>'FS Jimbaran March 2021'!AH20/'FS Jimbaran March 2021'!AG20</f>
        <v>11094.54</v>
      </c>
      <c r="I10" s="165">
        <f>'FS Jimbaran March 2021'!AJ20</f>
        <v>287</v>
      </c>
      <c r="J10" s="166">
        <f>'FS Jimbaran March 2021'!AK20/'FS Jimbaran March 2021'!AJ20</f>
        <v>8600</v>
      </c>
      <c r="K10" s="165">
        <f>'FS Jimbaran March 2021'!V20</f>
        <v>817.35</v>
      </c>
      <c r="L10" s="174">
        <f>'FS Jimbaran March 2021'!AA20/'FS Jimbaran March 2021'!V20</f>
        <v>12281.592992170405</v>
      </c>
      <c r="M10" s="165">
        <v>1</v>
      </c>
      <c r="N10" s="165">
        <v>19</v>
      </c>
    </row>
    <row r="11" spans="1:15" x14ac:dyDescent="0.35">
      <c r="A11" s="162" t="s">
        <v>13</v>
      </c>
      <c r="B11" s="163">
        <f t="shared" si="0"/>
        <v>10</v>
      </c>
      <c r="C11" s="164">
        <v>3</v>
      </c>
      <c r="D11" s="163">
        <v>2021</v>
      </c>
      <c r="E11" s="165">
        <f>'FS Jimbaran March 2021'!P21</f>
        <v>13739.999999999987</v>
      </c>
      <c r="F11" s="174">
        <f>'FS Jimbaran March 2021'!O21/'FS Jimbaran March 2021'!P21</f>
        <v>1183.344727074237</v>
      </c>
      <c r="G11" s="165">
        <f>'FS Jimbaran March 2021'!AG21</f>
        <v>100</v>
      </c>
      <c r="H11" s="174">
        <f>'FS Jimbaran March 2021'!AH21/'FS Jimbaran March 2021'!AG21</f>
        <v>11094.54</v>
      </c>
      <c r="I11" s="165">
        <f>'FS Jimbaran March 2021'!AJ21</f>
        <v>347</v>
      </c>
      <c r="J11" s="166">
        <f>'FS Jimbaran March 2021'!AK21/'FS Jimbaran March 2021'!AJ21</f>
        <v>8600</v>
      </c>
      <c r="K11" s="165">
        <f>'FS Jimbaran March 2021'!V21</f>
        <v>925.97900000000004</v>
      </c>
      <c r="L11" s="174">
        <f>'FS Jimbaran March 2021'!AA21/'FS Jimbaran March 2021'!V21</f>
        <v>9389.7870740992021</v>
      </c>
      <c r="M11" s="165">
        <v>1</v>
      </c>
      <c r="N11" s="165">
        <v>43</v>
      </c>
    </row>
    <row r="12" spans="1:15" x14ac:dyDescent="0.35">
      <c r="A12" s="162" t="s">
        <v>13</v>
      </c>
      <c r="B12" s="163">
        <f t="shared" si="0"/>
        <v>11</v>
      </c>
      <c r="C12" s="164">
        <v>3</v>
      </c>
      <c r="D12" s="163">
        <v>2021</v>
      </c>
      <c r="E12" s="165">
        <f>'FS Jimbaran March 2021'!P22</f>
        <v>14239.999999999909</v>
      </c>
      <c r="F12" s="174">
        <f>'FS Jimbaran March 2021'!O22/'FS Jimbaran March 2021'!P22</f>
        <v>1183.800526685395</v>
      </c>
      <c r="G12" s="165">
        <f>'FS Jimbaran March 2021'!AG22</f>
        <v>112</v>
      </c>
      <c r="H12" s="174">
        <f>'FS Jimbaran March 2021'!AH22/'FS Jimbaran March 2021'!AG22</f>
        <v>11094.539999999999</v>
      </c>
      <c r="I12" s="165">
        <f>'FS Jimbaran March 2021'!AJ22</f>
        <v>222.8</v>
      </c>
      <c r="J12" s="166">
        <f>'FS Jimbaran March 2021'!AK22/'FS Jimbaran March 2021'!AJ22</f>
        <v>8600</v>
      </c>
      <c r="K12" s="165">
        <f>'FS Jimbaran March 2021'!V22</f>
        <v>957.81600000000003</v>
      </c>
      <c r="L12" s="174">
        <f>'FS Jimbaran March 2021'!AA22/'FS Jimbaran March 2021'!V22</f>
        <v>9351.5832353877158</v>
      </c>
      <c r="M12" s="165">
        <v>4</v>
      </c>
      <c r="N12" s="165">
        <v>29</v>
      </c>
    </row>
    <row r="13" spans="1:15" x14ac:dyDescent="0.35">
      <c r="A13" s="162" t="s">
        <v>13</v>
      </c>
      <c r="B13" s="163">
        <f t="shared" si="0"/>
        <v>12</v>
      </c>
      <c r="C13" s="164">
        <v>3</v>
      </c>
      <c r="D13" s="163">
        <v>2021</v>
      </c>
      <c r="E13" s="165">
        <f>'FS Jimbaran March 2021'!P23</f>
        <v>14280.000000000107</v>
      </c>
      <c r="F13" s="174">
        <f>'FS Jimbaran March 2021'!O23/'FS Jimbaran March 2021'!P23</f>
        <v>1181.2461617647032</v>
      </c>
      <c r="G13" s="165">
        <f>'FS Jimbaran March 2021'!AG23</f>
        <v>100</v>
      </c>
      <c r="H13" s="174">
        <f>'FS Jimbaran March 2021'!AH23/'FS Jimbaran March 2021'!AG23</f>
        <v>11094.54</v>
      </c>
      <c r="I13" s="165">
        <f>'FS Jimbaran March 2021'!AJ23</f>
        <v>350.9</v>
      </c>
      <c r="J13" s="166">
        <f>'FS Jimbaran March 2021'!AK23/'FS Jimbaran March 2021'!AJ23</f>
        <v>8600</v>
      </c>
      <c r="K13" s="165">
        <f>'FS Jimbaran March 2021'!V23</f>
        <v>932.08699999999988</v>
      </c>
      <c r="L13" s="174">
        <f>'FS Jimbaran March 2021'!AA23/'FS Jimbaran March 2021'!V23</f>
        <v>9586.2033637376571</v>
      </c>
      <c r="M13" s="165">
        <v>6</v>
      </c>
      <c r="N13" s="165">
        <v>46</v>
      </c>
    </row>
    <row r="14" spans="1:15" x14ac:dyDescent="0.35">
      <c r="A14" s="162" t="s">
        <v>13</v>
      </c>
      <c r="B14" s="163">
        <f t="shared" si="0"/>
        <v>13</v>
      </c>
      <c r="C14" s="164">
        <v>3</v>
      </c>
      <c r="D14" s="163">
        <v>2021</v>
      </c>
      <c r="E14" s="165">
        <f>'FS Jimbaran March 2021'!P24</f>
        <v>14119.999999999996</v>
      </c>
      <c r="F14" s="174">
        <f>'FS Jimbaran March 2021'!O24/'FS Jimbaran March 2021'!P24</f>
        <v>1186.9290573654405</v>
      </c>
      <c r="G14" s="165">
        <f>'FS Jimbaran March 2021'!AG24</f>
        <v>150</v>
      </c>
      <c r="H14" s="174">
        <f>'FS Jimbaran March 2021'!AH24/'FS Jimbaran March 2021'!AG24</f>
        <v>11094.54</v>
      </c>
      <c r="I14" s="165">
        <f>'FS Jimbaran March 2021'!AJ24</f>
        <v>267.89999999999998</v>
      </c>
      <c r="J14" s="166">
        <f>'FS Jimbaran March 2021'!AK24/'FS Jimbaran March 2021'!AJ24</f>
        <v>8600</v>
      </c>
      <c r="K14" s="165">
        <f>'FS Jimbaran March 2021'!V24</f>
        <v>1040.7310000000002</v>
      </c>
      <c r="L14" s="174">
        <f>'FS Jimbaran March 2021'!AA24/'FS Jimbaran March 2021'!V24</f>
        <v>10473.518174524272</v>
      </c>
      <c r="M14" s="165">
        <v>13</v>
      </c>
      <c r="N14" s="165">
        <v>81</v>
      </c>
    </row>
    <row r="15" spans="1:15" x14ac:dyDescent="0.35">
      <c r="A15" s="162" t="s">
        <v>13</v>
      </c>
      <c r="B15" s="163">
        <f t="shared" si="0"/>
        <v>14</v>
      </c>
      <c r="C15" s="164">
        <v>3</v>
      </c>
      <c r="D15" s="163">
        <v>2021</v>
      </c>
      <c r="E15" s="165">
        <f>'FS Jimbaran March 2021'!P25</f>
        <v>14680.000000000036</v>
      </c>
      <c r="F15" s="174">
        <f>'FS Jimbaran March 2021'!O25/'FS Jimbaran March 2021'!P25</f>
        <v>1184.6204570844684</v>
      </c>
      <c r="G15" s="165">
        <f>'FS Jimbaran March 2021'!AG25</f>
        <v>150</v>
      </c>
      <c r="H15" s="174">
        <f>'FS Jimbaran March 2021'!AH25/'FS Jimbaran March 2021'!AG25</f>
        <v>11094.54</v>
      </c>
      <c r="I15" s="165">
        <f>'FS Jimbaran March 2021'!AJ25</f>
        <v>298.7</v>
      </c>
      <c r="J15" s="166">
        <f>'FS Jimbaran March 2021'!AK25/'FS Jimbaran March 2021'!AJ25</f>
        <v>8600</v>
      </c>
      <c r="K15" s="165">
        <f>'FS Jimbaran March 2021'!V25</f>
        <v>1008.393</v>
      </c>
      <c r="L15" s="174">
        <f>'FS Jimbaran March 2021'!AA25/'FS Jimbaran March 2021'!V25</f>
        <v>10743.824621084686</v>
      </c>
      <c r="M15" s="165">
        <v>15</v>
      </c>
      <c r="N15" s="165">
        <v>84</v>
      </c>
    </row>
    <row r="16" spans="1:15" x14ac:dyDescent="0.35">
      <c r="A16" s="162" t="s">
        <v>13</v>
      </c>
      <c r="B16" s="163">
        <f t="shared" si="0"/>
        <v>15</v>
      </c>
      <c r="C16" s="164">
        <v>3</v>
      </c>
      <c r="D16" s="163">
        <v>2021</v>
      </c>
      <c r="E16" s="165">
        <f>'FS Jimbaran March 2021'!P26</f>
        <v>14499.999999999836</v>
      </c>
      <c r="F16" s="174">
        <f>'FS Jimbaran March 2021'!O26/'FS Jimbaran March 2021'!P26</f>
        <v>1179.0748055172426</v>
      </c>
      <c r="G16" s="165">
        <f>'FS Jimbaran March 2021'!AG26</f>
        <v>150</v>
      </c>
      <c r="H16" s="174">
        <f>'FS Jimbaran March 2021'!AH26/'FS Jimbaran March 2021'!AG26</f>
        <v>11094.54</v>
      </c>
      <c r="I16" s="165">
        <f>'FS Jimbaran March 2021'!AJ26</f>
        <v>261.2</v>
      </c>
      <c r="J16" s="166">
        <f>'FS Jimbaran March 2021'!AK26/'FS Jimbaran March 2021'!AJ26</f>
        <v>8600</v>
      </c>
      <c r="K16" s="165">
        <f>'FS Jimbaran March 2021'!V26</f>
        <v>1142.9229999999998</v>
      </c>
      <c r="L16" s="174">
        <f>'FS Jimbaran March 2021'!AA26/'FS Jimbaran March 2021'!V26</f>
        <v>9236.1022829620015</v>
      </c>
      <c r="M16" s="165">
        <v>3</v>
      </c>
      <c r="N16" s="165">
        <v>54</v>
      </c>
    </row>
    <row r="17" spans="1:14" x14ac:dyDescent="0.35">
      <c r="A17" s="162" t="s">
        <v>13</v>
      </c>
      <c r="B17" s="163">
        <f t="shared" si="0"/>
        <v>16</v>
      </c>
      <c r="C17" s="164">
        <v>3</v>
      </c>
      <c r="D17" s="163">
        <v>2021</v>
      </c>
      <c r="E17" s="165">
        <f>'FS Jimbaran March 2021'!P27</f>
        <v>14380.000000000004</v>
      </c>
      <c r="F17" s="174">
        <f>'FS Jimbaran March 2021'!O27/'FS Jimbaran March 2021'!P27</f>
        <v>1175.300574408901</v>
      </c>
      <c r="G17" s="165">
        <f>'FS Jimbaran March 2021'!AG27</f>
        <v>112</v>
      </c>
      <c r="H17" s="174">
        <f>'FS Jimbaran March 2021'!AH27/'FS Jimbaran March 2021'!AG27</f>
        <v>11094.539999999999</v>
      </c>
      <c r="I17" s="165">
        <f>'FS Jimbaran March 2021'!AJ27</f>
        <v>285</v>
      </c>
      <c r="J17" s="166">
        <f>'FS Jimbaran March 2021'!AK27/'FS Jimbaran March 2021'!AJ27</f>
        <v>8600</v>
      </c>
      <c r="K17" s="165">
        <f>'FS Jimbaran March 2021'!V27</f>
        <v>1183.8658</v>
      </c>
      <c r="L17" s="174">
        <f>'FS Jimbaran March 2021'!AA27/'FS Jimbaran March 2021'!V27</f>
        <v>9059.424519424163</v>
      </c>
      <c r="M17" s="165">
        <v>3</v>
      </c>
      <c r="N17" s="165">
        <v>35</v>
      </c>
    </row>
    <row r="18" spans="1:14" x14ac:dyDescent="0.35">
      <c r="A18" s="162" t="s">
        <v>13</v>
      </c>
      <c r="B18" s="163">
        <f t="shared" si="0"/>
        <v>17</v>
      </c>
      <c r="C18" s="164">
        <v>3</v>
      </c>
      <c r="D18" s="163">
        <v>2021</v>
      </c>
      <c r="E18" s="165">
        <f>'FS Jimbaran March 2021'!P28</f>
        <v>13719.999999999967</v>
      </c>
      <c r="F18" s="174">
        <f>'FS Jimbaran March 2021'!O28/'FS Jimbaran March 2021'!P28</f>
        <v>1166.0451887755128</v>
      </c>
      <c r="G18" s="165">
        <f>'FS Jimbaran March 2021'!AG28</f>
        <v>150</v>
      </c>
      <c r="H18" s="174">
        <f>'FS Jimbaran March 2021'!AH28/'FS Jimbaran March 2021'!AG28</f>
        <v>11094.54</v>
      </c>
      <c r="I18" s="165">
        <f>'FS Jimbaran March 2021'!AJ28</f>
        <v>354.5</v>
      </c>
      <c r="J18" s="166">
        <f>'FS Jimbaran March 2021'!AK28/'FS Jimbaran March 2021'!AJ28</f>
        <v>8600</v>
      </c>
      <c r="K18" s="165">
        <f>'FS Jimbaran March 2021'!V28</f>
        <v>1233.6922000000002</v>
      </c>
      <c r="L18" s="174">
        <f>'FS Jimbaran March 2021'!AA28/'FS Jimbaran March 2021'!V28</f>
        <v>8000.1242676242082</v>
      </c>
      <c r="M18" s="165">
        <v>6</v>
      </c>
      <c r="N18" s="165">
        <v>68</v>
      </c>
    </row>
    <row r="19" spans="1:14" x14ac:dyDescent="0.35">
      <c r="A19" s="162" t="s">
        <v>13</v>
      </c>
      <c r="B19" s="163">
        <f t="shared" si="0"/>
        <v>18</v>
      </c>
      <c r="C19" s="164">
        <v>3</v>
      </c>
      <c r="D19" s="163">
        <v>2021</v>
      </c>
      <c r="E19" s="165">
        <f>'FS Jimbaran March 2021'!P29</f>
        <v>14160.000000000182</v>
      </c>
      <c r="F19" s="174">
        <f>'FS Jimbaran March 2021'!O29/'FS Jimbaran March 2021'!P29</f>
        <v>1184.3442076271185</v>
      </c>
      <c r="G19" s="165">
        <f>'FS Jimbaran March 2021'!AG29</f>
        <v>100</v>
      </c>
      <c r="H19" s="174">
        <f>'FS Jimbaran March 2021'!AH29/'FS Jimbaran March 2021'!AG29</f>
        <v>11094.54</v>
      </c>
      <c r="I19" s="165">
        <f>'FS Jimbaran March 2021'!AJ29</f>
        <v>257.7</v>
      </c>
      <c r="J19" s="166">
        <f>'FS Jimbaran March 2021'!AK29/'FS Jimbaran March 2021'!AJ29</f>
        <v>8600</v>
      </c>
      <c r="K19" s="165">
        <f>'FS Jimbaran March 2021'!V29</f>
        <v>1067.9779999999998</v>
      </c>
      <c r="L19" s="174">
        <f>'FS Jimbaran March 2021'!AA29/'FS Jimbaran March 2021'!V29</f>
        <v>7144.4646215657922</v>
      </c>
      <c r="M19" s="165">
        <v>4</v>
      </c>
      <c r="N19" s="165">
        <v>33</v>
      </c>
    </row>
    <row r="20" spans="1:14" x14ac:dyDescent="0.35">
      <c r="A20" s="162" t="s">
        <v>13</v>
      </c>
      <c r="B20" s="163">
        <f t="shared" si="0"/>
        <v>19</v>
      </c>
      <c r="C20" s="164">
        <v>3</v>
      </c>
      <c r="D20" s="163">
        <v>2021</v>
      </c>
      <c r="E20" s="165">
        <f>'FS Jimbaran March 2021'!P30</f>
        <v>14779.999999999789</v>
      </c>
      <c r="F20" s="174">
        <f>'FS Jimbaran March 2021'!O30/'FS Jimbaran March 2021'!P30</f>
        <v>1186.1713315290945</v>
      </c>
      <c r="G20" s="165">
        <f>'FS Jimbaran March 2021'!AG30</f>
        <v>150</v>
      </c>
      <c r="H20" s="174">
        <f>'FS Jimbaran March 2021'!AH30/'FS Jimbaran March 2021'!AG30</f>
        <v>11094.54</v>
      </c>
      <c r="I20" s="165">
        <f>'FS Jimbaran March 2021'!AJ30</f>
        <v>310.08999999998741</v>
      </c>
      <c r="J20" s="166">
        <f>'FS Jimbaran March 2021'!AK30/'FS Jimbaran March 2021'!AJ30</f>
        <v>8600</v>
      </c>
      <c r="K20" s="165">
        <f>'FS Jimbaran March 2021'!V30</f>
        <v>1273.5479999999998</v>
      </c>
      <c r="L20" s="174">
        <f>'FS Jimbaran March 2021'!AA30/'FS Jimbaran March 2021'!V30</f>
        <v>8230.8051854451242</v>
      </c>
      <c r="M20" s="165">
        <v>5</v>
      </c>
      <c r="N20" s="165">
        <v>59</v>
      </c>
    </row>
    <row r="21" spans="1:14" x14ac:dyDescent="0.35">
      <c r="A21" s="162" t="s">
        <v>13</v>
      </c>
      <c r="B21" s="163">
        <f t="shared" si="0"/>
        <v>20</v>
      </c>
      <c r="C21" s="164">
        <v>3</v>
      </c>
      <c r="D21" s="163">
        <v>2021</v>
      </c>
      <c r="E21" s="165">
        <f>'FS Jimbaran March 2021'!P31</f>
        <v>14360.000000000056</v>
      </c>
      <c r="F21" s="174">
        <f>'FS Jimbaran March 2021'!O31/'FS Jimbaran March 2021'!P31</f>
        <v>1181.4816434540389</v>
      </c>
      <c r="G21" s="165">
        <f>'FS Jimbaran March 2021'!AG31</f>
        <v>150</v>
      </c>
      <c r="H21" s="174">
        <f>'FS Jimbaran March 2021'!AH31/'FS Jimbaran March 2021'!AG31</f>
        <v>11094.54</v>
      </c>
      <c r="I21" s="165">
        <f>'FS Jimbaran March 2021'!AJ31</f>
        <v>397</v>
      </c>
      <c r="J21" s="166">
        <f>'FS Jimbaran March 2021'!AK31/'FS Jimbaran March 2021'!AJ31</f>
        <v>8600</v>
      </c>
      <c r="K21" s="165">
        <f>'FS Jimbaran March 2021'!V31</f>
        <v>1044.595</v>
      </c>
      <c r="L21" s="174">
        <f>'FS Jimbaran March 2021'!AA31/'FS Jimbaran March 2021'!V31</f>
        <v>7164.9990956817301</v>
      </c>
      <c r="M21" s="165">
        <v>6</v>
      </c>
      <c r="N21" s="165">
        <v>55</v>
      </c>
    </row>
    <row r="22" spans="1:14" x14ac:dyDescent="0.35">
      <c r="A22" s="162" t="s">
        <v>13</v>
      </c>
      <c r="B22" s="163">
        <f t="shared" si="0"/>
        <v>21</v>
      </c>
      <c r="C22" s="164">
        <v>3</v>
      </c>
      <c r="D22" s="163">
        <v>2021</v>
      </c>
      <c r="E22" s="165">
        <f>'FS Jimbaran March 2021'!P32</f>
        <v>15239.999999999995</v>
      </c>
      <c r="F22" s="174">
        <f>'FS Jimbaran March 2021'!O32/'FS Jimbaran March 2021'!P32</f>
        <v>1183.9087736220465</v>
      </c>
      <c r="G22" s="165">
        <f>'FS Jimbaran March 2021'!AG32</f>
        <v>162</v>
      </c>
      <c r="H22" s="174">
        <f>'FS Jimbaran March 2021'!AH32/'FS Jimbaran March 2021'!AG32</f>
        <v>11094.539999999999</v>
      </c>
      <c r="I22" s="165">
        <f>'FS Jimbaran March 2021'!AJ32</f>
        <v>304.39999999999998</v>
      </c>
      <c r="J22" s="166">
        <f>'FS Jimbaran March 2021'!AK32/'FS Jimbaran March 2021'!AJ32</f>
        <v>8600</v>
      </c>
      <c r="K22" s="165">
        <f>'FS Jimbaran March 2021'!V32</f>
        <v>1225.7990000000004</v>
      </c>
      <c r="L22" s="174">
        <f>'FS Jimbaran March 2021'!AA32/'FS Jimbaran March 2021'!V32</f>
        <v>8060.340418046635</v>
      </c>
      <c r="M22" s="165">
        <v>4</v>
      </c>
      <c r="N22" s="165">
        <v>88</v>
      </c>
    </row>
    <row r="23" spans="1:14" x14ac:dyDescent="0.35">
      <c r="A23" s="162" t="s">
        <v>13</v>
      </c>
      <c r="B23" s="163">
        <f t="shared" si="0"/>
        <v>22</v>
      </c>
      <c r="C23" s="164">
        <v>3</v>
      </c>
      <c r="D23" s="163">
        <v>2021</v>
      </c>
      <c r="E23" s="165">
        <f>'FS Jimbaran March 2021'!P33</f>
        <v>14520.000000000087</v>
      </c>
      <c r="F23" s="174">
        <f>'FS Jimbaran March 2021'!O33/'FS Jimbaran March 2021'!P33</f>
        <v>1191.6820103305797</v>
      </c>
      <c r="G23" s="165">
        <f>'FS Jimbaran March 2021'!AG33</f>
        <v>50</v>
      </c>
      <c r="H23" s="174">
        <f>'FS Jimbaran March 2021'!AH33/'FS Jimbaran March 2021'!AG33</f>
        <v>11094.54</v>
      </c>
      <c r="I23" s="165">
        <f>'FS Jimbaran March 2021'!AJ33</f>
        <v>307.39999999999998</v>
      </c>
      <c r="J23" s="166">
        <f>'FS Jimbaran March 2021'!AK33/'FS Jimbaran March 2021'!AJ33</f>
        <v>8600</v>
      </c>
      <c r="K23" s="165">
        <f>'FS Jimbaran March 2021'!V33</f>
        <v>1192.9189999999999</v>
      </c>
      <c r="L23" s="174">
        <f>'FS Jimbaran March 2021'!AA33/'FS Jimbaran March 2021'!V33</f>
        <v>7840.4024880764719</v>
      </c>
      <c r="M23" s="165">
        <v>2</v>
      </c>
      <c r="N23" s="165">
        <v>26</v>
      </c>
    </row>
    <row r="24" spans="1:14" x14ac:dyDescent="0.35">
      <c r="A24" s="162" t="s">
        <v>13</v>
      </c>
      <c r="B24" s="163">
        <f t="shared" si="0"/>
        <v>23</v>
      </c>
      <c r="C24" s="164">
        <v>3</v>
      </c>
      <c r="D24" s="163">
        <v>2021</v>
      </c>
      <c r="E24" s="165">
        <f>'FS Jimbaran March 2021'!P34</f>
        <v>15259.999999999969</v>
      </c>
      <c r="F24" s="174">
        <f>'FS Jimbaran March 2021'!O34/'FS Jimbaran March 2021'!P34</f>
        <v>1182.3571238532093</v>
      </c>
      <c r="G24" s="165">
        <f>'FS Jimbaran March 2021'!AG34</f>
        <v>112</v>
      </c>
      <c r="H24" s="174">
        <f>'FS Jimbaran March 2021'!AH34/'FS Jimbaran March 2021'!AG34</f>
        <v>11094.539999999999</v>
      </c>
      <c r="I24" s="165">
        <f>'FS Jimbaran March 2021'!AJ34</f>
        <v>213</v>
      </c>
      <c r="J24" s="166">
        <f>'FS Jimbaran March 2021'!AK34/'FS Jimbaran March 2021'!AJ34</f>
        <v>8600</v>
      </c>
      <c r="K24" s="165">
        <f>'FS Jimbaran March 2021'!V34</f>
        <v>1133.24</v>
      </c>
      <c r="L24" s="174">
        <f>'FS Jimbaran March 2021'!AA34/'FS Jimbaran March 2021'!V34</f>
        <v>7935.5391341635559</v>
      </c>
      <c r="M24" s="165">
        <v>3</v>
      </c>
      <c r="N24" s="165">
        <v>39</v>
      </c>
    </row>
    <row r="25" spans="1:14" x14ac:dyDescent="0.35">
      <c r="A25" s="162" t="s">
        <v>13</v>
      </c>
      <c r="B25" s="163">
        <f t="shared" si="0"/>
        <v>24</v>
      </c>
      <c r="C25" s="164">
        <v>3</v>
      </c>
      <c r="D25" s="163">
        <v>2021</v>
      </c>
      <c r="E25" s="165">
        <f>'FS Jimbaran March 2021'!P35</f>
        <v>14619.999999999996</v>
      </c>
      <c r="F25" s="174">
        <f>'FS Jimbaran March 2021'!O35/'FS Jimbaran March 2021'!P35</f>
        <v>1187.994318057456</v>
      </c>
      <c r="G25" s="165">
        <f>'FS Jimbaran March 2021'!AG35</f>
        <v>150</v>
      </c>
      <c r="H25" s="174">
        <f>'FS Jimbaran March 2021'!AH35/'FS Jimbaran March 2021'!AG35</f>
        <v>11094.54</v>
      </c>
      <c r="I25" s="165">
        <f>'FS Jimbaran March 2021'!AJ35</f>
        <v>268.89999999999998</v>
      </c>
      <c r="J25" s="166">
        <f>'FS Jimbaran March 2021'!AK35/'FS Jimbaran March 2021'!AJ35</f>
        <v>8600</v>
      </c>
      <c r="K25" s="165">
        <f>'FS Jimbaran March 2021'!V35</f>
        <v>1326.0919999999996</v>
      </c>
      <c r="L25" s="174">
        <f>'FS Jimbaran March 2021'!AA35/'FS Jimbaran March 2021'!V35</f>
        <v>8508.488225452089</v>
      </c>
      <c r="M25" s="165">
        <v>8</v>
      </c>
      <c r="N25" s="165">
        <v>62</v>
      </c>
    </row>
    <row r="26" spans="1:14" x14ac:dyDescent="0.35">
      <c r="A26" s="162" t="s">
        <v>13</v>
      </c>
      <c r="B26" s="163">
        <f>B25+1</f>
        <v>25</v>
      </c>
      <c r="C26" s="164">
        <v>3</v>
      </c>
      <c r="D26" s="163">
        <v>2021</v>
      </c>
      <c r="E26" s="165">
        <f>'FS Jimbaran March 2021'!P36</f>
        <v>15040.000000000049</v>
      </c>
      <c r="F26" s="174">
        <f>'FS Jimbaran March 2021'!O36/'FS Jimbaran March 2021'!P36</f>
        <v>1180.8511815159577</v>
      </c>
      <c r="G26" s="165">
        <f>'FS Jimbaran March 2021'!AG36</f>
        <v>112</v>
      </c>
      <c r="H26" s="174">
        <f>'FS Jimbaran March 2021'!AH36/'FS Jimbaran March 2021'!AG36</f>
        <v>11094.539999999999</v>
      </c>
      <c r="I26" s="165">
        <f>'FS Jimbaran March 2021'!AJ36</f>
        <v>312.7</v>
      </c>
      <c r="J26" s="166">
        <f>'FS Jimbaran March 2021'!AK36/'FS Jimbaran March 2021'!AJ36</f>
        <v>8600</v>
      </c>
      <c r="K26" s="165">
        <f>'FS Jimbaran March 2021'!V36</f>
        <v>1163.2440000000004</v>
      </c>
      <c r="L26" s="174">
        <f>'FS Jimbaran March 2021'!AA36/'FS Jimbaran March 2021'!V36</f>
        <v>7934.4219465249398</v>
      </c>
      <c r="M26" s="165">
        <v>11</v>
      </c>
      <c r="N26" s="165">
        <v>43</v>
      </c>
    </row>
    <row r="27" spans="1:14" x14ac:dyDescent="0.35">
      <c r="A27" s="162" t="s">
        <v>13</v>
      </c>
      <c r="B27" s="163">
        <f t="shared" si="0"/>
        <v>26</v>
      </c>
      <c r="C27" s="164">
        <v>3</v>
      </c>
      <c r="D27" s="163">
        <v>2021</v>
      </c>
      <c r="E27" s="165">
        <f>'FS Jimbaran March 2021'!P37</f>
        <v>15379.999999999996</v>
      </c>
      <c r="F27" s="174">
        <f>'FS Jimbaran March 2021'!O37/'FS Jimbaran March 2021'!P37</f>
        <v>1187.2746105331596</v>
      </c>
      <c r="G27" s="165">
        <f>'FS Jimbaran March 2021'!AG37</f>
        <v>200</v>
      </c>
      <c r="H27" s="174">
        <f>'FS Jimbaran March 2021'!AH37/'FS Jimbaran March 2021'!AG37</f>
        <v>11094.54</v>
      </c>
      <c r="I27" s="165">
        <f>'FS Jimbaran March 2021'!AJ37</f>
        <v>346.3</v>
      </c>
      <c r="J27" s="166">
        <f>'FS Jimbaran March 2021'!AK37/'FS Jimbaran March 2021'!AJ37</f>
        <v>8600</v>
      </c>
      <c r="K27" s="165">
        <f>'FS Jimbaran March 2021'!V37</f>
        <v>1308.4639999999999</v>
      </c>
      <c r="L27" s="174">
        <f>'FS Jimbaran March 2021'!AA37/'FS Jimbaran March 2021'!V37</f>
        <v>8516.0130183482088</v>
      </c>
      <c r="M27" s="165">
        <v>9</v>
      </c>
      <c r="N27" s="165">
        <v>114</v>
      </c>
    </row>
    <row r="28" spans="1:14" x14ac:dyDescent="0.35">
      <c r="A28" s="162" t="s">
        <v>13</v>
      </c>
      <c r="B28" s="163">
        <f t="shared" si="0"/>
        <v>27</v>
      </c>
      <c r="C28" s="164">
        <v>3</v>
      </c>
      <c r="D28" s="163">
        <v>2021</v>
      </c>
      <c r="E28" s="165">
        <f>'FS Jimbaran March 2021'!P38</f>
        <v>15399.999999999913</v>
      </c>
      <c r="F28" s="174">
        <f>'FS Jimbaran March 2021'!O38/'FS Jimbaran March 2021'!P38</f>
        <v>1187.1451227272739</v>
      </c>
      <c r="G28" s="165">
        <f>'FS Jimbaran March 2021'!AG38</f>
        <v>212</v>
      </c>
      <c r="H28" s="174">
        <f>'FS Jimbaran March 2021'!AH38/'FS Jimbaran March 2021'!AG38</f>
        <v>11094.539999999999</v>
      </c>
      <c r="I28" s="165">
        <f>'FS Jimbaran March 2021'!AJ38</f>
        <v>353</v>
      </c>
      <c r="J28" s="166">
        <f>'FS Jimbaran March 2021'!AK38/'FS Jimbaran March 2021'!AJ38</f>
        <v>8600</v>
      </c>
      <c r="K28" s="165">
        <f>'FS Jimbaran March 2021'!V38</f>
        <v>1321.7619999999997</v>
      </c>
      <c r="L28" s="174">
        <f>'FS Jimbaran March 2021'!AA38/'FS Jimbaran March 2021'!V38</f>
        <v>8511.9766644563952</v>
      </c>
      <c r="M28" s="165">
        <v>7</v>
      </c>
      <c r="N28" s="165">
        <v>114</v>
      </c>
    </row>
    <row r="29" spans="1:14" x14ac:dyDescent="0.35">
      <c r="A29" s="162" t="s">
        <v>13</v>
      </c>
      <c r="B29" s="163">
        <f t="shared" si="0"/>
        <v>28</v>
      </c>
      <c r="C29" s="164">
        <v>3</v>
      </c>
      <c r="D29" s="163">
        <v>2021</v>
      </c>
      <c r="E29" s="165">
        <f>'FS Jimbaran March 2021'!P39</f>
        <v>14980.00000000016</v>
      </c>
      <c r="F29" s="174">
        <f>'FS Jimbaran March 2021'!O39/'FS Jimbaran March 2021'!P39</f>
        <v>1181.9508224299063</v>
      </c>
      <c r="G29" s="165">
        <f>'FS Jimbaran March 2021'!AG39</f>
        <v>200</v>
      </c>
      <c r="H29" s="174">
        <f>'FS Jimbaran March 2021'!AH39/'FS Jimbaran March 2021'!AG39</f>
        <v>11094.54</v>
      </c>
      <c r="I29" s="165">
        <f>'FS Jimbaran March 2021'!AJ39</f>
        <v>208.5</v>
      </c>
      <c r="J29" s="166">
        <f>'FS Jimbaran March 2021'!AK39/'FS Jimbaran March 2021'!AJ39</f>
        <v>8600</v>
      </c>
      <c r="K29" s="165">
        <f>'FS Jimbaran March 2021'!V39</f>
        <v>1312.605</v>
      </c>
      <c r="L29" s="174">
        <f>'FS Jimbaran March 2021'!AA39/'FS Jimbaran March 2021'!V39</f>
        <v>8336.8661762634401</v>
      </c>
      <c r="M29" s="165">
        <v>4</v>
      </c>
      <c r="N29" s="165">
        <v>130</v>
      </c>
    </row>
    <row r="30" spans="1:14" x14ac:dyDescent="0.35">
      <c r="A30" s="162" t="s">
        <v>13</v>
      </c>
      <c r="B30" s="163">
        <f t="shared" si="0"/>
        <v>29</v>
      </c>
      <c r="C30" s="164">
        <v>3</v>
      </c>
      <c r="D30" s="163">
        <v>2021</v>
      </c>
      <c r="E30" s="165">
        <f>'FS Jimbaran March 2021'!P40</f>
        <v>14579.999999999778</v>
      </c>
      <c r="F30" s="174">
        <f>'FS Jimbaran March 2021'!O40/'FS Jimbaran March 2021'!P40</f>
        <v>1184.5401728395072</v>
      </c>
      <c r="G30" s="165">
        <f>'FS Jimbaran March 2021'!AG40</f>
        <v>100</v>
      </c>
      <c r="H30" s="174">
        <f>'FS Jimbaran March 2021'!AH40/'FS Jimbaran March 2021'!AG40</f>
        <v>11094.54</v>
      </c>
      <c r="I30" s="165">
        <f>'FS Jimbaran March 2021'!AJ40</f>
        <v>359.5</v>
      </c>
      <c r="J30" s="166">
        <f>'FS Jimbaran March 2021'!AK40/'FS Jimbaran March 2021'!AJ40</f>
        <v>8600</v>
      </c>
      <c r="K30" s="165">
        <f>'FS Jimbaran March 2021'!V40</f>
        <v>1100.58</v>
      </c>
      <c r="L30" s="174">
        <f>'FS Jimbaran March 2021'!AA40/'FS Jimbaran March 2021'!V40</f>
        <v>7345.7983624798226</v>
      </c>
      <c r="M30" s="165">
        <v>4</v>
      </c>
      <c r="N30" s="165">
        <v>25</v>
      </c>
    </row>
    <row r="31" spans="1:14" x14ac:dyDescent="0.35">
      <c r="A31" s="162" t="s">
        <v>13</v>
      </c>
      <c r="B31" s="163">
        <f t="shared" si="0"/>
        <v>30</v>
      </c>
      <c r="C31" s="164">
        <v>3</v>
      </c>
      <c r="D31" s="163">
        <v>2021</v>
      </c>
      <c r="E31" s="165">
        <f>'FS Jimbaran March 2021'!P41</f>
        <v>15180.000000000113</v>
      </c>
      <c r="F31" s="174">
        <f>'FS Jimbaran March 2021'!O41/'FS Jimbaran March 2021'!P41</f>
        <v>1186.4389090909069</v>
      </c>
      <c r="G31" s="165">
        <f>'FS Jimbaran March 2021'!AG41</f>
        <v>150</v>
      </c>
      <c r="H31" s="174">
        <f>'FS Jimbaran March 2021'!AH41/'FS Jimbaran March 2021'!AG41</f>
        <v>11094.54</v>
      </c>
      <c r="I31" s="165">
        <f>'FS Jimbaran March 2021'!AJ41</f>
        <v>306</v>
      </c>
      <c r="J31" s="166">
        <f>'FS Jimbaran March 2021'!AK41/'FS Jimbaran March 2021'!AJ41</f>
        <v>8600</v>
      </c>
      <c r="K31" s="165">
        <f>'FS Jimbaran March 2021'!V41</f>
        <v>1100.7260000000006</v>
      </c>
      <c r="L31" s="174">
        <f>'FS Jimbaran March 2021'!AA41/'FS Jimbaran March 2021'!V41</f>
        <v>7449.4764989256309</v>
      </c>
      <c r="M31" s="165">
        <v>6</v>
      </c>
      <c r="N31" s="165">
        <v>50</v>
      </c>
    </row>
    <row r="32" spans="1:14" x14ac:dyDescent="0.35">
      <c r="A32" s="162" t="s">
        <v>13</v>
      </c>
      <c r="B32" s="163">
        <f t="shared" si="0"/>
        <v>31</v>
      </c>
      <c r="C32" s="164">
        <v>3</v>
      </c>
      <c r="D32" s="163">
        <v>2021</v>
      </c>
      <c r="E32" s="165">
        <f>'FS Jimbaran March 2021'!P42</f>
        <v>14959.999999999909</v>
      </c>
      <c r="F32" s="174">
        <f>'FS Jimbaran March 2021'!O42/'FS Jimbaran March 2021'!P42</f>
        <v>1183.5309705882371</v>
      </c>
      <c r="G32" s="165">
        <f>'FS Jimbaran March 2021'!AG42</f>
        <v>162</v>
      </c>
      <c r="H32" s="174">
        <f>'FS Jimbaran March 2021'!AH42/'FS Jimbaran March 2021'!AG42</f>
        <v>11094.539999999999</v>
      </c>
      <c r="I32" s="165">
        <f>'FS Jimbaran March 2021'!AJ42</f>
        <v>378.7</v>
      </c>
      <c r="J32" s="166">
        <f>'FS Jimbaran March 2021'!AK42/'FS Jimbaran March 2021'!AJ42</f>
        <v>8600</v>
      </c>
      <c r="K32" s="165">
        <f>'FS Jimbaran March 2021'!V42</f>
        <v>1326.8459999999995</v>
      </c>
      <c r="L32" s="174">
        <f>'FS Jimbaran March 2021'!AA42/'FS Jimbaran March 2021'!V42</f>
        <v>8417.8150784309382</v>
      </c>
      <c r="M32" s="165">
        <v>8</v>
      </c>
      <c r="N32" s="165">
        <v>56</v>
      </c>
    </row>
    <row r="33" spans="5:14" x14ac:dyDescent="0.35">
      <c r="E33" s="172"/>
      <c r="G33" s="172"/>
      <c r="K33" s="172"/>
      <c r="M33" s="172"/>
      <c r="N33" s="17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zoomScale="62" zoomScaleNormal="62" workbookViewId="0">
      <pane xSplit="4" ySplit="10" topLeftCell="P11" activePane="bottomRight" state="frozen"/>
      <selection pane="topRight" activeCell="E1" sqref="E1"/>
      <selection pane="bottomLeft" activeCell="A11" sqref="A11"/>
      <selection pane="bottomRight" activeCell="Y12" sqref="Y12:Y42"/>
    </sheetView>
  </sheetViews>
  <sheetFormatPr defaultRowHeight="15.5" x14ac:dyDescent="0.35"/>
  <cols>
    <col min="1" max="1" width="3.7265625" style="7" customWidth="1"/>
    <col min="2" max="2" width="8.7265625" style="7" customWidth="1"/>
    <col min="3" max="3" width="8.7265625" style="3" customWidth="1"/>
    <col min="4" max="4" width="9.1796875" customWidth="1"/>
    <col min="5" max="5" width="14.7265625" style="3" customWidth="1"/>
    <col min="6" max="6" width="17.7265625" style="3" customWidth="1"/>
    <col min="7" max="7" width="14.81640625" customWidth="1"/>
    <col min="8" max="8" width="17.1796875" style="3" customWidth="1"/>
    <col min="9" max="9" width="17" customWidth="1"/>
    <col min="10" max="10" width="14" customWidth="1"/>
    <col min="11" max="11" width="17.453125" customWidth="1"/>
    <col min="12" max="12" width="14.1796875" style="3" customWidth="1"/>
    <col min="13" max="13" width="18.26953125" style="64" bestFit="1" customWidth="1"/>
    <col min="14" max="14" width="20.453125" style="68" customWidth="1"/>
    <col min="15" max="15" width="18.81640625" customWidth="1"/>
    <col min="16" max="16" width="15.1796875" style="68" customWidth="1"/>
    <col min="17" max="17" width="19.7265625" customWidth="1"/>
    <col min="18" max="18" width="18.1796875" style="89" customWidth="1"/>
    <col min="19" max="19" width="22.81640625" customWidth="1"/>
    <col min="20" max="20" width="21.1796875" bestFit="1" customWidth="1"/>
    <col min="21" max="21" width="18.81640625" customWidth="1"/>
    <col min="22" max="22" width="17.453125" bestFit="1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3" bestFit="1" customWidth="1"/>
    <col min="31" max="31" width="14.81640625" customWidth="1"/>
    <col min="32" max="32" width="12.26953125" bestFit="1" customWidth="1"/>
    <col min="33" max="33" width="10.7265625" bestFit="1" customWidth="1"/>
    <col min="34" max="34" width="19" style="3" customWidth="1"/>
    <col min="35" max="35" width="10.54296875" customWidth="1"/>
    <col min="36" max="36" width="13.26953125" style="89" bestFit="1" customWidth="1"/>
    <col min="37" max="37" width="20.7265625" bestFit="1" customWidth="1"/>
    <col min="38" max="38" width="9.453125" style="41" bestFit="1" customWidth="1"/>
    <col min="39" max="39" width="2.26953125" style="7" customWidth="1"/>
  </cols>
  <sheetData>
    <row r="5" spans="1:39" x14ac:dyDescent="0.35">
      <c r="N5" s="175"/>
      <c r="X5" s="176"/>
    </row>
    <row r="6" spans="1:39" s="26" customFormat="1" ht="19" thickBot="1" x14ac:dyDescent="0.5">
      <c r="B6" s="26" t="s">
        <v>15</v>
      </c>
      <c r="C6" s="34"/>
      <c r="E6" s="34"/>
      <c r="F6" s="34"/>
      <c r="H6" s="34"/>
      <c r="L6" s="34"/>
      <c r="M6" s="59"/>
      <c r="N6" s="65"/>
      <c r="P6" s="65"/>
      <c r="R6" s="85"/>
      <c r="AD6" s="34"/>
      <c r="AH6" s="34"/>
      <c r="AJ6" s="85"/>
      <c r="AL6" s="37"/>
    </row>
    <row r="7" spans="1:39" s="11" customFormat="1" ht="16" thickBot="1" x14ac:dyDescent="0.4">
      <c r="A7" s="30"/>
      <c r="B7" s="247" t="s">
        <v>16</v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48"/>
      <c r="AL7" s="249"/>
      <c r="AM7" s="30"/>
    </row>
    <row r="8" spans="1:39" s="7" customFormat="1" ht="15.75" customHeight="1" thickBot="1" x14ac:dyDescent="0.4">
      <c r="A8" s="27"/>
      <c r="B8" s="250" t="s">
        <v>17</v>
      </c>
      <c r="C8" s="253" t="s">
        <v>18</v>
      </c>
      <c r="D8" s="256" t="s">
        <v>12</v>
      </c>
      <c r="E8" s="259" t="s">
        <v>19</v>
      </c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60"/>
      <c r="V8" s="261" t="s">
        <v>20</v>
      </c>
      <c r="W8" s="262"/>
      <c r="X8" s="262"/>
      <c r="Y8" s="262"/>
      <c r="Z8" s="262"/>
      <c r="AA8" s="262"/>
      <c r="AB8" s="263"/>
      <c r="AC8" s="264" t="s">
        <v>21</v>
      </c>
      <c r="AD8" s="264"/>
      <c r="AE8" s="264"/>
      <c r="AF8" s="264"/>
      <c r="AG8" s="264"/>
      <c r="AH8" s="264"/>
      <c r="AI8" s="264"/>
      <c r="AJ8" s="264"/>
      <c r="AK8" s="264"/>
      <c r="AL8" s="265"/>
      <c r="AM8" s="29"/>
    </row>
    <row r="9" spans="1:39" ht="15" customHeight="1" thickBot="1" x14ac:dyDescent="0.4">
      <c r="B9" s="251"/>
      <c r="C9" s="254"/>
      <c r="D9" s="257"/>
      <c r="E9" s="266" t="s">
        <v>22</v>
      </c>
      <c r="F9" s="267"/>
      <c r="G9" s="267"/>
      <c r="H9" s="267"/>
      <c r="I9" s="268"/>
      <c r="J9" s="269" t="s">
        <v>23</v>
      </c>
      <c r="K9" s="269"/>
      <c r="L9" s="269"/>
      <c r="M9" s="269"/>
      <c r="N9" s="270"/>
      <c r="O9" s="256" t="s">
        <v>24</v>
      </c>
      <c r="P9" s="271" t="s">
        <v>25</v>
      </c>
      <c r="Q9" s="273" t="s">
        <v>26</v>
      </c>
      <c r="R9" s="275" t="s">
        <v>27</v>
      </c>
      <c r="S9" s="241" t="s">
        <v>28</v>
      </c>
      <c r="T9" s="243" t="s">
        <v>29</v>
      </c>
      <c r="U9" s="244"/>
      <c r="V9" s="53"/>
      <c r="W9" s="53" t="s">
        <v>30</v>
      </c>
      <c r="X9" s="53"/>
      <c r="Y9" s="54"/>
      <c r="Z9" s="181"/>
      <c r="AA9" s="245" t="s">
        <v>31</v>
      </c>
      <c r="AB9" s="246"/>
      <c r="AC9" s="264" t="s">
        <v>32</v>
      </c>
      <c r="AD9" s="264"/>
      <c r="AE9" s="264"/>
      <c r="AF9" s="264"/>
      <c r="AG9" s="264"/>
      <c r="AH9" s="264"/>
      <c r="AI9" s="265"/>
      <c r="AJ9" s="140" t="s">
        <v>33</v>
      </c>
      <c r="AK9" s="36"/>
      <c r="AL9" s="38"/>
    </row>
    <row r="10" spans="1:39" ht="61.5" customHeight="1" thickBot="1" x14ac:dyDescent="0.4">
      <c r="A10" s="28"/>
      <c r="B10" s="252"/>
      <c r="C10" s="255"/>
      <c r="D10" s="258"/>
      <c r="E10" s="99" t="s">
        <v>34</v>
      </c>
      <c r="F10" s="83" t="s">
        <v>35</v>
      </c>
      <c r="G10" s="133" t="s">
        <v>36</v>
      </c>
      <c r="H10" s="17" t="s">
        <v>35</v>
      </c>
      <c r="I10" s="100" t="s">
        <v>37</v>
      </c>
      <c r="J10" s="99" t="s">
        <v>34</v>
      </c>
      <c r="K10" s="84" t="s">
        <v>35</v>
      </c>
      <c r="L10" s="133" t="s">
        <v>36</v>
      </c>
      <c r="M10" s="60" t="s">
        <v>35</v>
      </c>
      <c r="N10" s="92" t="s">
        <v>38</v>
      </c>
      <c r="O10" s="258"/>
      <c r="P10" s="272"/>
      <c r="Q10" s="274"/>
      <c r="R10" s="276"/>
      <c r="S10" s="242"/>
      <c r="T10" s="182" t="s">
        <v>39</v>
      </c>
      <c r="U10" s="23" t="s">
        <v>40</v>
      </c>
      <c r="V10" s="183" t="s">
        <v>41</v>
      </c>
      <c r="W10" s="55" t="s">
        <v>42</v>
      </c>
      <c r="X10" s="55" t="s">
        <v>43</v>
      </c>
      <c r="Y10" s="22" t="s">
        <v>44</v>
      </c>
      <c r="Z10" s="22" t="s">
        <v>45</v>
      </c>
      <c r="AA10" s="22" t="s">
        <v>39</v>
      </c>
      <c r="AB10" s="12" t="s">
        <v>40</v>
      </c>
      <c r="AC10" s="125" t="s">
        <v>46</v>
      </c>
      <c r="AD10" s="48" t="s">
        <v>47</v>
      </c>
      <c r="AE10" s="47" t="s">
        <v>48</v>
      </c>
      <c r="AF10" s="47" t="s">
        <v>49</v>
      </c>
      <c r="AG10" s="47" t="s">
        <v>50</v>
      </c>
      <c r="AH10" s="48" t="s">
        <v>39</v>
      </c>
      <c r="AI10" s="49" t="s">
        <v>40</v>
      </c>
      <c r="AJ10" s="141" t="s">
        <v>51</v>
      </c>
      <c r="AK10" s="47" t="s">
        <v>39</v>
      </c>
      <c r="AL10" s="51" t="s">
        <v>40</v>
      </c>
      <c r="AM10" s="28"/>
    </row>
    <row r="11" spans="1:39" x14ac:dyDescent="0.35">
      <c r="A11" s="28"/>
      <c r="B11" s="57"/>
      <c r="C11" s="101"/>
      <c r="D11" s="184"/>
      <c r="E11" s="185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6"/>
      <c r="R11" s="113"/>
      <c r="S11" s="187"/>
      <c r="T11" s="21"/>
      <c r="U11" s="24"/>
      <c r="V11" s="91"/>
      <c r="W11" s="18"/>
      <c r="X11" s="18"/>
      <c r="Y11" s="20"/>
      <c r="Z11" s="20"/>
      <c r="AA11" s="20"/>
      <c r="AB11" s="102"/>
      <c r="AC11" s="126"/>
      <c r="AD11" s="45"/>
      <c r="AE11" s="42"/>
      <c r="AF11" s="42"/>
      <c r="AG11" s="42"/>
      <c r="AH11" s="45"/>
      <c r="AI11" s="46"/>
      <c r="AJ11" s="142"/>
      <c r="AK11" s="42"/>
      <c r="AL11" s="50"/>
      <c r="AM11" s="28"/>
    </row>
    <row r="12" spans="1:39" x14ac:dyDescent="0.35">
      <c r="A12" s="33"/>
      <c r="B12" s="58">
        <v>1</v>
      </c>
      <c r="C12" s="151">
        <v>1</v>
      </c>
      <c r="D12" s="153">
        <v>42</v>
      </c>
      <c r="E12" s="106">
        <v>9500</v>
      </c>
      <c r="F12" s="2">
        <v>9918629.2800001297</v>
      </c>
      <c r="G12" s="35">
        <v>1920.0000000000159</v>
      </c>
      <c r="H12" s="2">
        <v>3132198.7200000263</v>
      </c>
      <c r="I12" s="103">
        <f>F12+H12</f>
        <v>13050828.000000156</v>
      </c>
      <c r="J12" s="106">
        <v>1280.0000000000011</v>
      </c>
      <c r="K12" s="2">
        <v>1392088.3200000012</v>
      </c>
      <c r="L12" s="188">
        <v>279.99999999999761</v>
      </c>
      <c r="M12" s="189">
        <v>456778.97999999608</v>
      </c>
      <c r="N12" s="94">
        <f>K12+M12</f>
        <v>1848867.2999999973</v>
      </c>
      <c r="O12" s="108">
        <f>N12+I12</f>
        <v>14899695.300000153</v>
      </c>
      <c r="P12" s="111">
        <f>L12+J12+G12+E12</f>
        <v>12980.000000000015</v>
      </c>
      <c r="Q12" s="135"/>
      <c r="R12" s="223"/>
      <c r="S12" s="237"/>
      <c r="T12" s="234"/>
      <c r="U12" s="232">
        <v>0</v>
      </c>
      <c r="V12" s="190">
        <f>Y12+W12</f>
        <v>815.89</v>
      </c>
      <c r="W12" s="2">
        <v>381</v>
      </c>
      <c r="X12" s="2">
        <v>6852338.462252791</v>
      </c>
      <c r="Y12" s="31">
        <v>434.89</v>
      </c>
      <c r="Z12" s="31">
        <v>2608573.4345114343</v>
      </c>
      <c r="AA12" s="31">
        <f t="shared" ref="AA12:AA39" si="0">Z12+X12</f>
        <v>9460911.8967642263</v>
      </c>
      <c r="AB12" s="128">
        <f t="shared" ref="AB12:AB39" si="1">AA12/$AL$48</f>
        <v>729.10344308371987</v>
      </c>
      <c r="AC12" s="134">
        <v>0</v>
      </c>
      <c r="AD12" s="2">
        <v>0</v>
      </c>
      <c r="AE12" s="2">
        <v>150</v>
      </c>
      <c r="AF12" s="2">
        <v>0</v>
      </c>
      <c r="AG12" s="2">
        <f>SUM(AC12:AF12)</f>
        <v>150</v>
      </c>
      <c r="AH12" s="2">
        <f>(AG12*10877)*1.02</f>
        <v>1664181</v>
      </c>
      <c r="AI12" s="43">
        <f t="shared" ref="AI12:AI39" si="2">AH12/$AL$48</f>
        <v>128.24980406270302</v>
      </c>
      <c r="AJ12" s="143">
        <v>287</v>
      </c>
      <c r="AK12" s="2">
        <v>2468200</v>
      </c>
      <c r="AL12" s="39">
        <f t="shared" ref="AL12:AL42" si="3">AK12/$AL$48</f>
        <v>190.21138108629023</v>
      </c>
      <c r="AM12" s="6"/>
    </row>
    <row r="13" spans="1:39" x14ac:dyDescent="0.35">
      <c r="A13" s="33"/>
      <c r="B13" s="58">
        <v>2</v>
      </c>
      <c r="C13" s="151">
        <v>1</v>
      </c>
      <c r="D13" s="153">
        <v>30</v>
      </c>
      <c r="E13" s="106">
        <v>9680.0000000000637</v>
      </c>
      <c r="F13" s="2">
        <v>10527667.920000069</v>
      </c>
      <c r="G13" s="35">
        <v>1919.9999999999591</v>
      </c>
      <c r="H13" s="2">
        <v>3132198.7199999336</v>
      </c>
      <c r="I13" s="103">
        <f t="shared" ref="I13:I42" si="4">F13+H13</f>
        <v>13659866.640000002</v>
      </c>
      <c r="J13" s="106">
        <v>1240.0000000000091</v>
      </c>
      <c r="K13" s="2">
        <v>1348585.5600000101</v>
      </c>
      <c r="L13" s="188">
        <v>320.00000000000028</v>
      </c>
      <c r="M13" s="189">
        <v>522033.1200000004</v>
      </c>
      <c r="N13" s="94">
        <f t="shared" ref="N13:N39" si="5">K13+M13</f>
        <v>1870618.6800000104</v>
      </c>
      <c r="O13" s="108">
        <f t="shared" ref="O13:O39" si="6">N13+I13</f>
        <v>15530485.320000013</v>
      </c>
      <c r="P13" s="111">
        <f t="shared" ref="P13:P39" si="7">L13+J13+G13+E13</f>
        <v>13160.000000000033</v>
      </c>
      <c r="Q13" s="199"/>
      <c r="R13" s="224"/>
      <c r="S13" s="200"/>
      <c r="T13" s="235"/>
      <c r="U13" s="232">
        <v>0</v>
      </c>
      <c r="V13" s="190">
        <f t="shared" ref="V13:V42" si="8">Y13+W13</f>
        <v>962.39</v>
      </c>
      <c r="W13" s="2">
        <v>382</v>
      </c>
      <c r="X13" s="2">
        <v>6870323.6025736639</v>
      </c>
      <c r="Y13" s="31">
        <v>580.39</v>
      </c>
      <c r="Z13" s="31">
        <v>3423459.9293139293</v>
      </c>
      <c r="AA13" s="31">
        <f t="shared" si="0"/>
        <v>10293783.531887593</v>
      </c>
      <c r="AB13" s="128">
        <f t="shared" si="1"/>
        <v>793.28854315033209</v>
      </c>
      <c r="AC13" s="134">
        <v>0</v>
      </c>
      <c r="AD13" s="2">
        <v>0</v>
      </c>
      <c r="AE13" s="2">
        <v>100</v>
      </c>
      <c r="AF13" s="2">
        <v>0</v>
      </c>
      <c r="AG13" s="2">
        <f t="shared" ref="AG13:AG42" si="9">SUM(AC13:AF13)</f>
        <v>100</v>
      </c>
      <c r="AH13" s="2">
        <f t="shared" ref="AH13:AH33" si="10">(AG13*10877)*1.02</f>
        <v>1109454</v>
      </c>
      <c r="AI13" s="43">
        <f t="shared" si="2"/>
        <v>85.499869375135347</v>
      </c>
      <c r="AJ13" s="143">
        <v>224</v>
      </c>
      <c r="AK13" s="2">
        <v>1926400</v>
      </c>
      <c r="AL13" s="39">
        <f t="shared" si="3"/>
        <v>148.45766328686068</v>
      </c>
      <c r="AM13" s="6"/>
    </row>
    <row r="14" spans="1:39" x14ac:dyDescent="0.35">
      <c r="A14" s="33"/>
      <c r="B14" s="58">
        <v>3</v>
      </c>
      <c r="C14" s="151">
        <v>1</v>
      </c>
      <c r="D14" s="153">
        <v>17</v>
      </c>
      <c r="E14" s="106">
        <v>9399.9999999998636</v>
      </c>
      <c r="F14" s="2">
        <v>10223148.599999852</v>
      </c>
      <c r="G14" s="35">
        <v>1960.0000000000364</v>
      </c>
      <c r="H14" s="2">
        <v>3197452.8600000595</v>
      </c>
      <c r="I14" s="103">
        <f t="shared" si="4"/>
        <v>13420601.459999911</v>
      </c>
      <c r="J14" s="106">
        <v>1259.9999999999909</v>
      </c>
      <c r="K14" s="2">
        <v>1370336.9399999902</v>
      </c>
      <c r="L14" s="188">
        <v>339.99999999999989</v>
      </c>
      <c r="M14" s="189">
        <v>554660.18999999983</v>
      </c>
      <c r="N14" s="94">
        <f t="shared" si="5"/>
        <v>1924997.1299999901</v>
      </c>
      <c r="O14" s="108">
        <f t="shared" si="6"/>
        <v>15345598.589999901</v>
      </c>
      <c r="P14" s="111">
        <f t="shared" si="7"/>
        <v>12959.999999999891</v>
      </c>
      <c r="Q14" s="199"/>
      <c r="R14" s="224"/>
      <c r="S14" s="200"/>
      <c r="T14" s="235"/>
      <c r="U14" s="232">
        <v>0</v>
      </c>
      <c r="V14" s="190">
        <f t="shared" si="8"/>
        <v>962.72</v>
      </c>
      <c r="W14" s="2">
        <v>375</v>
      </c>
      <c r="X14" s="2">
        <v>6744427.62032755</v>
      </c>
      <c r="Y14" s="31">
        <v>587.72</v>
      </c>
      <c r="Z14" s="31">
        <v>3456242.7193347192</v>
      </c>
      <c r="AA14" s="31">
        <f t="shared" si="0"/>
        <v>10200670.339662269</v>
      </c>
      <c r="AB14" s="128">
        <f t="shared" si="1"/>
        <v>786.11279203999572</v>
      </c>
      <c r="AC14" s="134">
        <v>0</v>
      </c>
      <c r="AD14" s="2">
        <v>0</v>
      </c>
      <c r="AE14" s="2">
        <v>100</v>
      </c>
      <c r="AF14" s="2">
        <v>12</v>
      </c>
      <c r="AG14" s="2">
        <f t="shared" si="9"/>
        <v>112</v>
      </c>
      <c r="AH14" s="2">
        <f t="shared" si="10"/>
        <v>1242588.48</v>
      </c>
      <c r="AI14" s="43">
        <f t="shared" si="2"/>
        <v>95.759853700151581</v>
      </c>
      <c r="AJ14" s="143">
        <v>225.7</v>
      </c>
      <c r="AK14" s="2">
        <v>1941020</v>
      </c>
      <c r="AL14" s="39">
        <f t="shared" si="3"/>
        <v>149.58435091001988</v>
      </c>
      <c r="AM14" s="6"/>
    </row>
    <row r="15" spans="1:39" x14ac:dyDescent="0.35">
      <c r="A15" s="33"/>
      <c r="B15" s="58">
        <v>4</v>
      </c>
      <c r="C15" s="151">
        <v>2</v>
      </c>
      <c r="D15" s="153">
        <v>28</v>
      </c>
      <c r="E15" s="106">
        <v>9680.0000000000637</v>
      </c>
      <c r="F15" s="2">
        <v>10527667.920000069</v>
      </c>
      <c r="G15" s="35">
        <v>2000</v>
      </c>
      <c r="H15" s="2">
        <v>3262707</v>
      </c>
      <c r="I15" s="103">
        <f t="shared" si="4"/>
        <v>13790374.920000069</v>
      </c>
      <c r="J15" s="106">
        <v>1240.0000000000091</v>
      </c>
      <c r="K15" s="2">
        <v>1348585.5600000101</v>
      </c>
      <c r="L15" s="188">
        <v>320.00000000000028</v>
      </c>
      <c r="M15" s="189">
        <v>522033.1200000004</v>
      </c>
      <c r="N15" s="94">
        <f t="shared" si="5"/>
        <v>1870618.6800000104</v>
      </c>
      <c r="O15" s="108">
        <f t="shared" si="6"/>
        <v>15660993.60000008</v>
      </c>
      <c r="P15" s="111">
        <f t="shared" si="7"/>
        <v>13240.000000000073</v>
      </c>
      <c r="Q15" s="199"/>
      <c r="R15" s="224"/>
      <c r="S15" s="200"/>
      <c r="T15" s="235"/>
      <c r="U15" s="232">
        <v>0</v>
      </c>
      <c r="V15" s="190">
        <f t="shared" si="8"/>
        <v>869.85</v>
      </c>
      <c r="W15" s="2">
        <v>181</v>
      </c>
      <c r="X15" s="2">
        <v>3255310.3980780975</v>
      </c>
      <c r="Y15" s="31">
        <v>688.85</v>
      </c>
      <c r="Z15" s="31">
        <v>3938618.0582120582</v>
      </c>
      <c r="AA15" s="31">
        <f t="shared" si="0"/>
        <v>7193928.4562901556</v>
      </c>
      <c r="AB15" s="128">
        <f t="shared" si="1"/>
        <v>554.39877931566105</v>
      </c>
      <c r="AC15" s="134">
        <v>0</v>
      </c>
      <c r="AD15" s="2">
        <v>0</v>
      </c>
      <c r="AE15" s="2">
        <v>100</v>
      </c>
      <c r="AF15" s="2">
        <v>0</v>
      </c>
      <c r="AG15" s="2">
        <f t="shared" si="9"/>
        <v>100</v>
      </c>
      <c r="AH15" s="2">
        <f t="shared" si="10"/>
        <v>1109454</v>
      </c>
      <c r="AI15" s="43">
        <f t="shared" si="2"/>
        <v>85.499869375135347</v>
      </c>
      <c r="AJ15" s="143">
        <v>276.5</v>
      </c>
      <c r="AK15" s="2">
        <v>2377900</v>
      </c>
      <c r="AL15" s="39">
        <f t="shared" si="3"/>
        <v>183.25242811971864</v>
      </c>
      <c r="AM15" s="6"/>
    </row>
    <row r="16" spans="1:39" x14ac:dyDescent="0.35">
      <c r="A16" s="33"/>
      <c r="B16" s="58">
        <v>5</v>
      </c>
      <c r="C16" s="151">
        <v>3</v>
      </c>
      <c r="D16" s="153">
        <v>44</v>
      </c>
      <c r="E16" s="106">
        <v>9440.0000000000546</v>
      </c>
      <c r="F16" s="2">
        <v>10266651.360000061</v>
      </c>
      <c r="G16" s="35">
        <v>2000</v>
      </c>
      <c r="H16" s="2">
        <v>3262707</v>
      </c>
      <c r="I16" s="103">
        <f t="shared" si="4"/>
        <v>13529358.360000061</v>
      </c>
      <c r="J16" s="106">
        <v>1319.9999999999932</v>
      </c>
      <c r="K16" s="2">
        <v>1435591.0799999926</v>
      </c>
      <c r="L16" s="188">
        <v>320.00000000000028</v>
      </c>
      <c r="M16" s="189">
        <v>522033.1200000004</v>
      </c>
      <c r="N16" s="94">
        <f t="shared" si="5"/>
        <v>1957624.199999993</v>
      </c>
      <c r="O16" s="108">
        <f t="shared" si="6"/>
        <v>15486982.560000055</v>
      </c>
      <c r="P16" s="111">
        <f t="shared" si="7"/>
        <v>13080.000000000047</v>
      </c>
      <c r="Q16" s="199"/>
      <c r="R16" s="224"/>
      <c r="S16" s="200"/>
      <c r="T16" s="235"/>
      <c r="U16" s="232">
        <v>0</v>
      </c>
      <c r="V16" s="190">
        <f t="shared" si="8"/>
        <v>1025.8899999999999</v>
      </c>
      <c r="W16" s="2">
        <v>491</v>
      </c>
      <c r="X16" s="2">
        <v>8830703.8975488711</v>
      </c>
      <c r="Y16" s="31">
        <v>534.89</v>
      </c>
      <c r="Z16" s="31">
        <v>1938867.8669438669</v>
      </c>
      <c r="AA16" s="31">
        <f t="shared" si="0"/>
        <v>10769571.764492739</v>
      </c>
      <c r="AB16" s="128">
        <f t="shared" si="1"/>
        <v>829.95507618186514</v>
      </c>
      <c r="AC16" s="134">
        <v>0</v>
      </c>
      <c r="AD16" s="2">
        <v>0</v>
      </c>
      <c r="AE16" s="2">
        <v>150</v>
      </c>
      <c r="AF16" s="2">
        <v>0</v>
      </c>
      <c r="AG16" s="2">
        <f t="shared" si="9"/>
        <v>150</v>
      </c>
      <c r="AH16" s="2">
        <f t="shared" si="10"/>
        <v>1664181</v>
      </c>
      <c r="AI16" s="43">
        <f t="shared" si="2"/>
        <v>128.24980406270302</v>
      </c>
      <c r="AJ16" s="143">
        <v>297.3</v>
      </c>
      <c r="AK16" s="2">
        <v>2556780</v>
      </c>
      <c r="AL16" s="39">
        <f t="shared" si="3"/>
        <v>197.03778256778429</v>
      </c>
      <c r="AM16" s="6"/>
    </row>
    <row r="17" spans="1:39" x14ac:dyDescent="0.35">
      <c r="A17" s="33"/>
      <c r="B17" s="58">
        <v>6</v>
      </c>
      <c r="C17" s="151">
        <v>3</v>
      </c>
      <c r="D17" s="153">
        <v>44</v>
      </c>
      <c r="E17" s="106">
        <v>9839.9999999999181</v>
      </c>
      <c r="F17" s="2">
        <v>10701678.959999911</v>
      </c>
      <c r="G17" s="35">
        <v>2079.9999999999841</v>
      </c>
      <c r="H17" s="2">
        <v>3393215.2799999742</v>
      </c>
      <c r="I17" s="103">
        <f t="shared" si="4"/>
        <v>14094894.239999887</v>
      </c>
      <c r="J17" s="106">
        <v>1319.9999999999932</v>
      </c>
      <c r="K17" s="2">
        <v>1435591.0799999926</v>
      </c>
      <c r="L17" s="188">
        <v>339.99999999999989</v>
      </c>
      <c r="M17" s="189">
        <v>554660.18999999983</v>
      </c>
      <c r="N17" s="94">
        <f t="shared" si="5"/>
        <v>1990251.2699999926</v>
      </c>
      <c r="O17" s="108">
        <f t="shared" si="6"/>
        <v>16085145.509999879</v>
      </c>
      <c r="P17" s="111">
        <f t="shared" si="7"/>
        <v>13579.999999999894</v>
      </c>
      <c r="Q17" s="199"/>
      <c r="R17" s="224"/>
      <c r="S17" s="200"/>
      <c r="T17" s="200"/>
      <c r="U17" s="232">
        <v>0</v>
      </c>
      <c r="V17" s="190">
        <f t="shared" si="8"/>
        <v>1177.53</v>
      </c>
      <c r="W17" s="2">
        <v>486</v>
      </c>
      <c r="X17" s="2">
        <v>8740778.1959445048</v>
      </c>
      <c r="Y17" s="31">
        <v>691.53</v>
      </c>
      <c r="Z17" s="31">
        <v>1849886.0083160084</v>
      </c>
      <c r="AA17" s="31">
        <f t="shared" si="0"/>
        <v>10590664.204260513</v>
      </c>
      <c r="AB17" s="128">
        <f t="shared" si="1"/>
        <v>816.16759780954919</v>
      </c>
      <c r="AC17" s="134">
        <v>0</v>
      </c>
      <c r="AD17" s="2">
        <v>0</v>
      </c>
      <c r="AE17" s="2">
        <v>150</v>
      </c>
      <c r="AF17" s="2">
        <v>12</v>
      </c>
      <c r="AG17" s="2">
        <f t="shared" si="9"/>
        <v>162</v>
      </c>
      <c r="AH17" s="2">
        <f t="shared" si="10"/>
        <v>1797315.48</v>
      </c>
      <c r="AI17" s="43">
        <f t="shared" si="2"/>
        <v>138.50978838771925</v>
      </c>
      <c r="AJ17" s="143">
        <v>292</v>
      </c>
      <c r="AK17" s="2">
        <v>2511200</v>
      </c>
      <c r="AL17" s="39">
        <f t="shared" si="3"/>
        <v>193.52516821322911</v>
      </c>
      <c r="AM17" s="6"/>
    </row>
    <row r="18" spans="1:39" x14ac:dyDescent="0.35">
      <c r="A18" s="33"/>
      <c r="B18" s="58">
        <v>7</v>
      </c>
      <c r="C18" s="151">
        <v>1</v>
      </c>
      <c r="D18" s="153">
        <v>69</v>
      </c>
      <c r="E18" s="106">
        <v>10839.999999999918</v>
      </c>
      <c r="F18" s="2">
        <v>11789247.959999911</v>
      </c>
      <c r="G18" s="35">
        <v>2079.9999999999841</v>
      </c>
      <c r="H18" s="2">
        <v>3393215.2799999742</v>
      </c>
      <c r="I18" s="103">
        <f t="shared" si="4"/>
        <v>15182463.239999887</v>
      </c>
      <c r="J18" s="106">
        <v>1420.0000000000018</v>
      </c>
      <c r="K18" s="2">
        <v>1544347.9800000021</v>
      </c>
      <c r="L18" s="188">
        <v>420.00000000000171</v>
      </c>
      <c r="M18" s="189">
        <v>685168.47000000288</v>
      </c>
      <c r="N18" s="94">
        <f t="shared" si="5"/>
        <v>2229516.4500000048</v>
      </c>
      <c r="O18" s="108">
        <f t="shared" si="6"/>
        <v>17411979.689999893</v>
      </c>
      <c r="P18" s="111">
        <f t="shared" si="7"/>
        <v>14759.999999999905</v>
      </c>
      <c r="Q18" s="199"/>
      <c r="R18" s="224"/>
      <c r="S18" s="200"/>
      <c r="T18" s="200"/>
      <c r="U18" s="232">
        <v>0</v>
      </c>
      <c r="V18" s="190">
        <f t="shared" si="8"/>
        <v>795.95</v>
      </c>
      <c r="W18" s="2">
        <v>302</v>
      </c>
      <c r="X18" s="2">
        <v>5431512.3769037873</v>
      </c>
      <c r="Y18" s="31">
        <v>493.95</v>
      </c>
      <c r="Z18" s="31">
        <v>2697555.2931392929</v>
      </c>
      <c r="AA18" s="31">
        <f t="shared" si="0"/>
        <v>8129067.6700430801</v>
      </c>
      <c r="AB18" s="128">
        <f t="shared" si="1"/>
        <v>626.4651116047346</v>
      </c>
      <c r="AC18" s="134">
        <v>0</v>
      </c>
      <c r="AD18" s="2">
        <v>0</v>
      </c>
      <c r="AE18" s="2">
        <v>150</v>
      </c>
      <c r="AF18" s="2">
        <v>0</v>
      </c>
      <c r="AG18" s="2">
        <f t="shared" si="9"/>
        <v>150</v>
      </c>
      <c r="AH18" s="2">
        <f t="shared" si="10"/>
        <v>1664181</v>
      </c>
      <c r="AI18" s="43">
        <f t="shared" si="2"/>
        <v>128.24980406270302</v>
      </c>
      <c r="AJ18" s="143">
        <v>307.60000000000002</v>
      </c>
      <c r="AK18" s="2">
        <v>2645360</v>
      </c>
      <c r="AL18" s="39">
        <f t="shared" si="3"/>
        <v>203.86418404927832</v>
      </c>
      <c r="AM18" s="6"/>
    </row>
    <row r="19" spans="1:39" x14ac:dyDescent="0.35">
      <c r="A19" s="33"/>
      <c r="B19" s="58">
        <v>8</v>
      </c>
      <c r="C19" s="151">
        <v>1</v>
      </c>
      <c r="D19" s="153">
        <v>23</v>
      </c>
      <c r="E19" s="106">
        <v>10050</v>
      </c>
      <c r="F19" s="2">
        <v>10005634.800000049</v>
      </c>
      <c r="G19" s="35">
        <v>2040.0000000000205</v>
      </c>
      <c r="H19" s="2">
        <v>3327961.1400000337</v>
      </c>
      <c r="I19" s="103">
        <f t="shared" si="4"/>
        <v>13333595.940000083</v>
      </c>
      <c r="J19" s="106">
        <v>1460.000000000008</v>
      </c>
      <c r="K19" s="2">
        <v>1587850.7400000086</v>
      </c>
      <c r="L19" s="188">
        <v>320.00000000000028</v>
      </c>
      <c r="M19" s="189">
        <v>522033.1200000004</v>
      </c>
      <c r="N19" s="94">
        <f t="shared" si="5"/>
        <v>2109883.8600000092</v>
      </c>
      <c r="O19" s="108">
        <f t="shared" si="6"/>
        <v>15443479.800000092</v>
      </c>
      <c r="P19" s="111">
        <f t="shared" si="7"/>
        <v>13870.000000000029</v>
      </c>
      <c r="Q19" s="199"/>
      <c r="R19" s="224"/>
      <c r="S19" s="200"/>
      <c r="T19" s="200"/>
      <c r="U19" s="232">
        <v>0</v>
      </c>
      <c r="V19" s="190">
        <f t="shared" si="8"/>
        <v>1117.73</v>
      </c>
      <c r="W19" s="2">
        <v>357</v>
      </c>
      <c r="X19" s="2">
        <v>6420695.0945518278</v>
      </c>
      <c r="Y19" s="31">
        <v>760.73</v>
      </c>
      <c r="Z19" s="31">
        <v>2276062.2785862787</v>
      </c>
      <c r="AA19" s="31">
        <f t="shared" si="0"/>
        <v>8696757.3731381074</v>
      </c>
      <c r="AB19" s="128">
        <f t="shared" si="1"/>
        <v>670.21401463292159</v>
      </c>
      <c r="AC19" s="134">
        <v>0</v>
      </c>
      <c r="AD19" s="2">
        <v>0</v>
      </c>
      <c r="AE19" s="2">
        <v>100</v>
      </c>
      <c r="AF19" s="2">
        <v>12</v>
      </c>
      <c r="AG19" s="2">
        <f t="shared" si="9"/>
        <v>112</v>
      </c>
      <c r="AH19" s="2">
        <f t="shared" si="10"/>
        <v>1242588.48</v>
      </c>
      <c r="AI19" s="43">
        <f t="shared" si="2"/>
        <v>95.759853700151581</v>
      </c>
      <c r="AJ19" s="143">
        <v>349.1</v>
      </c>
      <c r="AK19" s="2">
        <v>3002260</v>
      </c>
      <c r="AL19" s="39">
        <f t="shared" si="3"/>
        <v>231.36861720287081</v>
      </c>
      <c r="AM19" s="6"/>
    </row>
    <row r="20" spans="1:39" x14ac:dyDescent="0.35">
      <c r="A20" s="33"/>
      <c r="B20" s="58">
        <v>9</v>
      </c>
      <c r="C20" s="151">
        <v>1</v>
      </c>
      <c r="D20" s="153">
        <v>19</v>
      </c>
      <c r="E20" s="106">
        <v>9670</v>
      </c>
      <c r="F20" s="2">
        <v>10484165.16000011</v>
      </c>
      <c r="G20" s="35">
        <v>2040</v>
      </c>
      <c r="H20" s="2">
        <v>3197452.8599999673</v>
      </c>
      <c r="I20" s="103">
        <f t="shared" si="4"/>
        <v>13681618.020000078</v>
      </c>
      <c r="J20" s="106">
        <v>1320.0000000000073</v>
      </c>
      <c r="K20" s="2">
        <v>1435591.080000008</v>
      </c>
      <c r="L20" s="188">
        <v>299.99999999999716</v>
      </c>
      <c r="M20" s="189">
        <v>489406.04999999539</v>
      </c>
      <c r="N20" s="94">
        <f t="shared" si="5"/>
        <v>1924997.1300000034</v>
      </c>
      <c r="O20" s="108">
        <f t="shared" si="6"/>
        <v>15606615.15000008</v>
      </c>
      <c r="P20" s="111">
        <f t="shared" si="7"/>
        <v>13330.000000000004</v>
      </c>
      <c r="Q20" s="199"/>
      <c r="R20" s="224"/>
      <c r="S20" s="200"/>
      <c r="T20" s="200"/>
      <c r="U20" s="232">
        <v>0</v>
      </c>
      <c r="V20" s="190">
        <f t="shared" si="8"/>
        <v>817.35</v>
      </c>
      <c r="W20" s="2">
        <v>448</v>
      </c>
      <c r="X20" s="2">
        <v>8057342.8637513127</v>
      </c>
      <c r="Y20" s="31">
        <v>369.35</v>
      </c>
      <c r="Z20" s="31">
        <v>1981017.1683991684</v>
      </c>
      <c r="AA20" s="31">
        <f t="shared" si="0"/>
        <v>10038360.032150481</v>
      </c>
      <c r="AB20" s="128">
        <f t="shared" si="1"/>
        <v>773.60437790971559</v>
      </c>
      <c r="AC20" s="134">
        <v>0</v>
      </c>
      <c r="AD20" s="2">
        <v>0</v>
      </c>
      <c r="AE20" s="2">
        <v>50</v>
      </c>
      <c r="AF20" s="2">
        <v>0</v>
      </c>
      <c r="AG20" s="2">
        <f t="shared" si="9"/>
        <v>50</v>
      </c>
      <c r="AH20" s="2">
        <f t="shared" si="10"/>
        <v>554727</v>
      </c>
      <c r="AI20" s="43">
        <f t="shared" si="2"/>
        <v>42.749934687567674</v>
      </c>
      <c r="AJ20" s="143">
        <v>287</v>
      </c>
      <c r="AK20" s="2">
        <v>2468200</v>
      </c>
      <c r="AL20" s="39">
        <f t="shared" si="3"/>
        <v>190.21138108629023</v>
      </c>
      <c r="AM20" s="6"/>
    </row>
    <row r="21" spans="1:39" x14ac:dyDescent="0.35">
      <c r="A21" s="33"/>
      <c r="B21" s="58">
        <v>10</v>
      </c>
      <c r="C21" s="151">
        <v>1</v>
      </c>
      <c r="D21" s="153">
        <v>43</v>
      </c>
      <c r="E21" s="106">
        <v>10039.999999999964</v>
      </c>
      <c r="F21" s="2">
        <v>10919192.759999961</v>
      </c>
      <c r="G21" s="35">
        <v>2040.0000000000205</v>
      </c>
      <c r="H21" s="2">
        <v>3327961.1400000337</v>
      </c>
      <c r="I21" s="103">
        <f t="shared" si="4"/>
        <v>14247153.899999995</v>
      </c>
      <c r="J21" s="106">
        <v>1280.0000000000011</v>
      </c>
      <c r="K21" s="2">
        <v>1392088.3200000012</v>
      </c>
      <c r="L21" s="188">
        <v>380.00000000000256</v>
      </c>
      <c r="M21" s="189">
        <v>619914.33000000415</v>
      </c>
      <c r="N21" s="94">
        <f t="shared" si="5"/>
        <v>2012002.6500000055</v>
      </c>
      <c r="O21" s="108">
        <f t="shared" si="6"/>
        <v>16259156.550000001</v>
      </c>
      <c r="P21" s="111">
        <f t="shared" si="7"/>
        <v>13739.999999999987</v>
      </c>
      <c r="Q21" s="199"/>
      <c r="R21" s="224"/>
      <c r="S21" s="200"/>
      <c r="T21" s="235"/>
      <c r="U21" s="232">
        <v>0</v>
      </c>
      <c r="V21" s="190">
        <f t="shared" si="8"/>
        <v>925.97900000000004</v>
      </c>
      <c r="W21" s="2">
        <v>391</v>
      </c>
      <c r="X21" s="2">
        <v>7032189.8654615255</v>
      </c>
      <c r="Y21" s="31">
        <v>534.97900000000004</v>
      </c>
      <c r="Z21" s="31">
        <v>1662555.7796257795</v>
      </c>
      <c r="AA21" s="31">
        <f t="shared" si="0"/>
        <v>8694745.6450873055</v>
      </c>
      <c r="AB21" s="128">
        <f t="shared" si="1"/>
        <v>670.05898117902279</v>
      </c>
      <c r="AC21" s="134">
        <v>0</v>
      </c>
      <c r="AD21" s="2">
        <v>0</v>
      </c>
      <c r="AE21" s="2">
        <v>100</v>
      </c>
      <c r="AF21" s="2">
        <v>0</v>
      </c>
      <c r="AG21" s="2">
        <f t="shared" si="9"/>
        <v>100</v>
      </c>
      <c r="AH21" s="2">
        <f t="shared" si="10"/>
        <v>1109454</v>
      </c>
      <c r="AI21" s="43">
        <f t="shared" si="2"/>
        <v>85.499869375135347</v>
      </c>
      <c r="AJ21" s="143">
        <v>347</v>
      </c>
      <c r="AK21" s="2">
        <v>2984200</v>
      </c>
      <c r="AL21" s="39">
        <f t="shared" si="3"/>
        <v>229.9768266095565</v>
      </c>
      <c r="AM21" s="6"/>
    </row>
    <row r="22" spans="1:39" x14ac:dyDescent="0.35">
      <c r="A22" s="33"/>
      <c r="B22" s="58">
        <v>11</v>
      </c>
      <c r="C22" s="151">
        <v>4</v>
      </c>
      <c r="D22" s="153">
        <v>29</v>
      </c>
      <c r="E22" s="106">
        <v>10359.9999999999</v>
      </c>
      <c r="F22" s="2">
        <v>11267214.839999892</v>
      </c>
      <c r="G22" s="35">
        <v>2160.000000000025</v>
      </c>
      <c r="H22" s="2">
        <v>3523723.560000041</v>
      </c>
      <c r="I22" s="103">
        <f t="shared" si="4"/>
        <v>14790938.399999933</v>
      </c>
      <c r="J22" s="106">
        <v>1359.9999999999852</v>
      </c>
      <c r="K22" s="2">
        <v>1479093.839999984</v>
      </c>
      <c r="L22" s="188">
        <v>359.99999999999943</v>
      </c>
      <c r="M22" s="189">
        <v>587287.25999999908</v>
      </c>
      <c r="N22" s="94">
        <f t="shared" si="5"/>
        <v>2066381.0999999831</v>
      </c>
      <c r="O22" s="108">
        <f t="shared" si="6"/>
        <v>16857319.499999918</v>
      </c>
      <c r="P22" s="111">
        <f t="shared" si="7"/>
        <v>14239.999999999909</v>
      </c>
      <c r="Q22" s="199"/>
      <c r="R22" s="224"/>
      <c r="S22" s="200"/>
      <c r="T22" s="235"/>
      <c r="U22" s="232">
        <v>0</v>
      </c>
      <c r="V22" s="190">
        <f t="shared" si="8"/>
        <v>957.81600000000003</v>
      </c>
      <c r="W22" s="2">
        <v>322</v>
      </c>
      <c r="X22" s="2">
        <v>5791215.1833212562</v>
      </c>
      <c r="Y22" s="31">
        <v>635.81600000000003</v>
      </c>
      <c r="Z22" s="31">
        <v>3165880.8648648649</v>
      </c>
      <c r="AA22" s="31">
        <f t="shared" si="0"/>
        <v>8957096.0481861215</v>
      </c>
      <c r="AB22" s="128">
        <f t="shared" si="1"/>
        <v>690.27696695893155</v>
      </c>
      <c r="AC22" s="134">
        <v>0</v>
      </c>
      <c r="AD22" s="2">
        <v>0</v>
      </c>
      <c r="AE22" s="2">
        <v>100</v>
      </c>
      <c r="AF22" s="2">
        <v>12</v>
      </c>
      <c r="AG22" s="2">
        <f t="shared" si="9"/>
        <v>112</v>
      </c>
      <c r="AH22" s="2">
        <f t="shared" si="10"/>
        <v>1242588.48</v>
      </c>
      <c r="AI22" s="43">
        <f t="shared" si="2"/>
        <v>95.759853700151581</v>
      </c>
      <c r="AJ22" s="143">
        <v>222.8</v>
      </c>
      <c r="AK22" s="2">
        <v>1916080</v>
      </c>
      <c r="AL22" s="39">
        <f t="shared" si="3"/>
        <v>147.66235437639534</v>
      </c>
      <c r="AM22" s="6"/>
    </row>
    <row r="23" spans="1:39" x14ac:dyDescent="0.35">
      <c r="A23" s="33"/>
      <c r="B23" s="58">
        <v>12</v>
      </c>
      <c r="C23" s="151">
        <v>6</v>
      </c>
      <c r="D23" s="153">
        <v>46</v>
      </c>
      <c r="E23" s="106">
        <v>10320.000000000164</v>
      </c>
      <c r="F23" s="2">
        <v>11223712.080000179</v>
      </c>
      <c r="G23" s="35">
        <v>2119.9999999999477</v>
      </c>
      <c r="H23" s="2">
        <v>3458469.4199999152</v>
      </c>
      <c r="I23" s="103">
        <f t="shared" si="4"/>
        <v>14682181.500000093</v>
      </c>
      <c r="J23" s="106">
        <v>1500</v>
      </c>
      <c r="K23" s="2">
        <v>1631353.5</v>
      </c>
      <c r="L23" s="188">
        <v>339.99999999999631</v>
      </c>
      <c r="M23" s="189">
        <v>554660.18999999401</v>
      </c>
      <c r="N23" s="94">
        <f t="shared" si="5"/>
        <v>2186013.6899999939</v>
      </c>
      <c r="O23" s="108">
        <f t="shared" si="6"/>
        <v>16868195.190000087</v>
      </c>
      <c r="P23" s="111">
        <f t="shared" si="7"/>
        <v>14280.000000000107</v>
      </c>
      <c r="Q23" s="199"/>
      <c r="R23" s="224"/>
      <c r="S23" s="200"/>
      <c r="T23" s="235"/>
      <c r="U23" s="232">
        <v>0</v>
      </c>
      <c r="V23" s="190">
        <f t="shared" si="8"/>
        <v>932.08699999999988</v>
      </c>
      <c r="W23" s="2">
        <v>320</v>
      </c>
      <c r="X23" s="2">
        <v>5755244.9026795095</v>
      </c>
      <c r="Y23" s="31">
        <v>612.08699999999988</v>
      </c>
      <c r="Z23" s="31">
        <v>3179930.6320166318</v>
      </c>
      <c r="AA23" s="31">
        <f t="shared" si="0"/>
        <v>8935175.5346961413</v>
      </c>
      <c r="AB23" s="128">
        <f t="shared" si="1"/>
        <v>688.58766660035042</v>
      </c>
      <c r="AC23" s="134">
        <v>0</v>
      </c>
      <c r="AD23" s="2">
        <v>0</v>
      </c>
      <c r="AE23" s="2">
        <v>100</v>
      </c>
      <c r="AF23" s="2">
        <v>0</v>
      </c>
      <c r="AG23" s="2">
        <f t="shared" si="9"/>
        <v>100</v>
      </c>
      <c r="AH23" s="2">
        <f t="shared" si="10"/>
        <v>1109454</v>
      </c>
      <c r="AI23" s="43">
        <f t="shared" si="2"/>
        <v>85.499869375135347</v>
      </c>
      <c r="AJ23" s="143">
        <v>350.9</v>
      </c>
      <c r="AK23" s="2">
        <v>3017740</v>
      </c>
      <c r="AL23" s="39">
        <f t="shared" si="3"/>
        <v>232.56158056856881</v>
      </c>
      <c r="AM23" s="6"/>
    </row>
    <row r="24" spans="1:39" x14ac:dyDescent="0.35">
      <c r="A24" s="33"/>
      <c r="B24" s="58">
        <v>13</v>
      </c>
      <c r="C24" s="151">
        <v>13</v>
      </c>
      <c r="D24" s="153">
        <v>81</v>
      </c>
      <c r="E24" s="106">
        <v>10279.999999999973</v>
      </c>
      <c r="F24" s="2">
        <v>11180209.31999997</v>
      </c>
      <c r="G24" s="35">
        <v>2280.0000000000296</v>
      </c>
      <c r="H24" s="2">
        <v>3719485.9800000489</v>
      </c>
      <c r="I24" s="103">
        <f t="shared" si="4"/>
        <v>14899695.300000019</v>
      </c>
      <c r="J24" s="106">
        <v>1259.9999999999909</v>
      </c>
      <c r="K24" s="2">
        <v>1370336.9399999902</v>
      </c>
      <c r="L24" s="188">
        <v>300.00000000000426</v>
      </c>
      <c r="M24" s="189">
        <v>489406.05000000697</v>
      </c>
      <c r="N24" s="94">
        <f t="shared" si="5"/>
        <v>1859742.9899999972</v>
      </c>
      <c r="O24" s="108">
        <f t="shared" si="6"/>
        <v>16759438.290000016</v>
      </c>
      <c r="P24" s="111">
        <f t="shared" si="7"/>
        <v>14119.999999999996</v>
      </c>
      <c r="Q24" s="199"/>
      <c r="R24" s="224"/>
      <c r="S24" s="200"/>
      <c r="T24" s="235"/>
      <c r="U24" s="232">
        <v>0</v>
      </c>
      <c r="V24" s="190">
        <f>Y24+W24</f>
        <v>1040.7310000000002</v>
      </c>
      <c r="W24" s="2">
        <v>473</v>
      </c>
      <c r="X24" s="2">
        <v>8506971.3717731498</v>
      </c>
      <c r="Y24" s="31">
        <v>567.73100000000011</v>
      </c>
      <c r="Z24" s="31">
        <v>2393143.6715176716</v>
      </c>
      <c r="AA24" s="31">
        <f t="shared" si="0"/>
        <v>10900115.043290822</v>
      </c>
      <c r="AB24" s="128">
        <f t="shared" si="1"/>
        <v>840.0153700606902</v>
      </c>
      <c r="AC24" s="134">
        <v>0</v>
      </c>
      <c r="AD24" s="2">
        <v>0</v>
      </c>
      <c r="AE24" s="2">
        <v>150</v>
      </c>
      <c r="AF24" s="2">
        <v>0</v>
      </c>
      <c r="AG24" s="2">
        <f t="shared" si="9"/>
        <v>150</v>
      </c>
      <c r="AH24" s="2">
        <f t="shared" si="10"/>
        <v>1664181</v>
      </c>
      <c r="AI24" s="43">
        <f t="shared" si="2"/>
        <v>128.24980406270302</v>
      </c>
      <c r="AJ24" s="143">
        <v>267.89999999999998</v>
      </c>
      <c r="AK24" s="2">
        <v>2303940</v>
      </c>
      <c r="AL24" s="39">
        <f t="shared" si="3"/>
        <v>177.55271426138381</v>
      </c>
      <c r="AM24" s="6"/>
    </row>
    <row r="25" spans="1:39" x14ac:dyDescent="0.35">
      <c r="A25" s="33"/>
      <c r="B25" s="58">
        <v>14</v>
      </c>
      <c r="C25" s="151">
        <v>15</v>
      </c>
      <c r="D25" s="153">
        <v>84</v>
      </c>
      <c r="E25" s="106">
        <v>10720.000000000027</v>
      </c>
      <c r="F25" s="2">
        <v>11658739.68000003</v>
      </c>
      <c r="G25" s="35">
        <v>2240.0000000000091</v>
      </c>
      <c r="H25" s="2">
        <v>3654231.8400000152</v>
      </c>
      <c r="I25" s="103">
        <f t="shared" si="4"/>
        <v>15312971.520000044</v>
      </c>
      <c r="J25" s="106">
        <v>1340.0000000000034</v>
      </c>
      <c r="K25" s="2">
        <v>1457342.4600000037</v>
      </c>
      <c r="L25" s="188">
        <v>379.99999999999545</v>
      </c>
      <c r="M25" s="189">
        <v>619914.32999999262</v>
      </c>
      <c r="N25" s="94">
        <f t="shared" si="5"/>
        <v>2077256.7899999963</v>
      </c>
      <c r="O25" s="108">
        <f t="shared" si="6"/>
        <v>17390228.31000004</v>
      </c>
      <c r="P25" s="111">
        <f t="shared" si="7"/>
        <v>14680.000000000036</v>
      </c>
      <c r="Q25" s="199"/>
      <c r="R25" s="224"/>
      <c r="S25" s="200"/>
      <c r="T25" s="235"/>
      <c r="U25" s="232">
        <v>0</v>
      </c>
      <c r="V25" s="190">
        <f t="shared" si="8"/>
        <v>1008.393</v>
      </c>
      <c r="W25" s="2">
        <v>480</v>
      </c>
      <c r="X25" s="2">
        <v>8632867.3540192638</v>
      </c>
      <c r="Y25" s="31">
        <v>528.39300000000003</v>
      </c>
      <c r="Z25" s="31">
        <v>2201130.187110187</v>
      </c>
      <c r="AA25" s="31">
        <f t="shared" si="0"/>
        <v>10833997.541129451</v>
      </c>
      <c r="AB25" s="128">
        <f t="shared" si="1"/>
        <v>834.9200368623716</v>
      </c>
      <c r="AC25" s="134">
        <v>0</v>
      </c>
      <c r="AD25" s="2">
        <v>0</v>
      </c>
      <c r="AE25" s="2">
        <v>150</v>
      </c>
      <c r="AF25" s="2">
        <v>0</v>
      </c>
      <c r="AG25" s="2">
        <f t="shared" si="9"/>
        <v>150</v>
      </c>
      <c r="AH25" s="2">
        <f t="shared" si="10"/>
        <v>1664181</v>
      </c>
      <c r="AI25" s="43">
        <f t="shared" si="2"/>
        <v>128.24980406270302</v>
      </c>
      <c r="AJ25" s="143">
        <v>298.7</v>
      </c>
      <c r="AK25" s="2">
        <v>2568820</v>
      </c>
      <c r="AL25" s="39">
        <f t="shared" si="3"/>
        <v>197.96564296332716</v>
      </c>
      <c r="AM25" s="6"/>
    </row>
    <row r="26" spans="1:39" x14ac:dyDescent="0.35">
      <c r="A26" s="33"/>
      <c r="B26" s="58">
        <v>15</v>
      </c>
      <c r="C26" s="151">
        <v>3</v>
      </c>
      <c r="D26" s="153">
        <v>54</v>
      </c>
      <c r="E26" s="106">
        <v>10679.999999999836</v>
      </c>
      <c r="F26" s="2">
        <v>11615236.919999823</v>
      </c>
      <c r="G26" s="35">
        <v>2120.0000000000045</v>
      </c>
      <c r="H26" s="2">
        <v>3458469.4200000078</v>
      </c>
      <c r="I26" s="103">
        <f t="shared" si="4"/>
        <v>15073706.33999983</v>
      </c>
      <c r="J26" s="106">
        <v>1379.9999999999955</v>
      </c>
      <c r="K26" s="2">
        <v>1500845.2199999951</v>
      </c>
      <c r="L26" s="188">
        <v>320.00000000000028</v>
      </c>
      <c r="M26" s="189">
        <v>522033.1200000004</v>
      </c>
      <c r="N26" s="94">
        <f t="shared" si="5"/>
        <v>2022878.3399999954</v>
      </c>
      <c r="O26" s="108">
        <f t="shared" si="6"/>
        <v>17096584.679999825</v>
      </c>
      <c r="P26" s="111">
        <f t="shared" si="7"/>
        <v>14499.999999999836</v>
      </c>
      <c r="Q26" s="199"/>
      <c r="R26" s="224"/>
      <c r="S26" s="200"/>
      <c r="T26" s="235"/>
      <c r="U26" s="232">
        <v>0</v>
      </c>
      <c r="V26" s="190">
        <f t="shared" si="8"/>
        <v>1142.9229999999998</v>
      </c>
      <c r="W26" s="2">
        <v>457</v>
      </c>
      <c r="X26" s="2">
        <v>8219209.1266391743</v>
      </c>
      <c r="Y26" s="31">
        <v>685.92299999999989</v>
      </c>
      <c r="Z26" s="31">
        <v>2336944.6029106029</v>
      </c>
      <c r="AA26" s="31">
        <f t="shared" si="0"/>
        <v>10556153.729549777</v>
      </c>
      <c r="AB26" s="128">
        <f t="shared" si="1"/>
        <v>813.5080543946425</v>
      </c>
      <c r="AC26" s="134">
        <v>0</v>
      </c>
      <c r="AD26" s="2">
        <v>0</v>
      </c>
      <c r="AE26" s="2">
        <v>150</v>
      </c>
      <c r="AF26" s="2">
        <v>0</v>
      </c>
      <c r="AG26" s="2">
        <f t="shared" si="9"/>
        <v>150</v>
      </c>
      <c r="AH26" s="2">
        <f t="shared" si="10"/>
        <v>1664181</v>
      </c>
      <c r="AI26" s="43">
        <f t="shared" si="2"/>
        <v>128.24980406270302</v>
      </c>
      <c r="AJ26" s="143">
        <v>261.2</v>
      </c>
      <c r="AK26" s="2">
        <v>2246320</v>
      </c>
      <c r="AL26" s="39">
        <f t="shared" si="3"/>
        <v>173.11223951128576</v>
      </c>
      <c r="AM26" s="6"/>
    </row>
    <row r="27" spans="1:39" x14ac:dyDescent="0.35">
      <c r="A27" s="33"/>
      <c r="B27" s="58">
        <v>16</v>
      </c>
      <c r="C27" s="151">
        <v>3</v>
      </c>
      <c r="D27" s="153">
        <v>35</v>
      </c>
      <c r="E27" s="106">
        <v>10759.999999999991</v>
      </c>
      <c r="F27" s="2">
        <v>11702242.43999999</v>
      </c>
      <c r="G27" s="35">
        <v>2000</v>
      </c>
      <c r="H27" s="2">
        <v>3262707</v>
      </c>
      <c r="I27" s="103">
        <f t="shared" si="4"/>
        <v>14964949.43999999</v>
      </c>
      <c r="J27" s="106">
        <v>1300.0000000000114</v>
      </c>
      <c r="K27" s="2">
        <v>1413839.7000000123</v>
      </c>
      <c r="L27" s="188">
        <v>320.00000000000028</v>
      </c>
      <c r="M27" s="189">
        <v>522033.1200000004</v>
      </c>
      <c r="N27" s="94">
        <f t="shared" si="5"/>
        <v>1935872.8200000126</v>
      </c>
      <c r="O27" s="108">
        <f t="shared" si="6"/>
        <v>16900822.260000002</v>
      </c>
      <c r="P27" s="111">
        <f t="shared" si="7"/>
        <v>14380.000000000004</v>
      </c>
      <c r="Q27" s="199"/>
      <c r="R27" s="224"/>
      <c r="S27" s="200"/>
      <c r="T27" s="235"/>
      <c r="U27" s="232">
        <v>0</v>
      </c>
      <c r="V27" s="190">
        <f t="shared" si="8"/>
        <v>1183.8658</v>
      </c>
      <c r="W27" s="2">
        <v>469</v>
      </c>
      <c r="X27" s="2">
        <v>8435030.8104896564</v>
      </c>
      <c r="Y27" s="31">
        <v>714.86580000000004</v>
      </c>
      <c r="Z27" s="31">
        <v>2290112.0457380456</v>
      </c>
      <c r="AA27" s="31">
        <f t="shared" si="0"/>
        <v>10725142.856227702</v>
      </c>
      <c r="AB27" s="128">
        <f t="shared" si="1"/>
        <v>826.53117050110643</v>
      </c>
      <c r="AC27" s="134">
        <v>0</v>
      </c>
      <c r="AD27" s="2">
        <v>0</v>
      </c>
      <c r="AE27" s="2">
        <v>100</v>
      </c>
      <c r="AF27" s="2">
        <v>12</v>
      </c>
      <c r="AG27" s="2">
        <f t="shared" si="9"/>
        <v>112</v>
      </c>
      <c r="AH27" s="2">
        <f t="shared" si="10"/>
        <v>1242588.48</v>
      </c>
      <c r="AI27" s="43">
        <f t="shared" si="2"/>
        <v>95.759853700151581</v>
      </c>
      <c r="AJ27" s="143">
        <v>285</v>
      </c>
      <c r="AK27" s="2">
        <v>2451000</v>
      </c>
      <c r="AL27" s="39">
        <f t="shared" si="3"/>
        <v>188.8858662355147</v>
      </c>
      <c r="AM27" s="6"/>
    </row>
    <row r="28" spans="1:39" x14ac:dyDescent="0.35">
      <c r="A28" s="33"/>
      <c r="B28" s="58">
        <v>17</v>
      </c>
      <c r="C28" s="151">
        <v>6</v>
      </c>
      <c r="D28" s="153">
        <v>68</v>
      </c>
      <c r="E28" s="106">
        <v>10060</v>
      </c>
      <c r="F28" s="2">
        <v>10832187.240000041</v>
      </c>
      <c r="G28" s="35">
        <v>2039.9999999999636</v>
      </c>
      <c r="H28" s="2">
        <v>3327961.139999941</v>
      </c>
      <c r="I28" s="103">
        <f t="shared" si="4"/>
        <v>14160148.379999982</v>
      </c>
      <c r="J28" s="106">
        <v>1320</v>
      </c>
      <c r="K28" s="2">
        <v>1348585.5600000101</v>
      </c>
      <c r="L28" s="188">
        <v>300.00000000000426</v>
      </c>
      <c r="M28" s="189">
        <v>489406.05000000697</v>
      </c>
      <c r="N28" s="94">
        <f t="shared" si="5"/>
        <v>1837991.6100000171</v>
      </c>
      <c r="O28" s="108">
        <f t="shared" si="6"/>
        <v>15998139.989999998</v>
      </c>
      <c r="P28" s="111">
        <f t="shared" si="7"/>
        <v>13719.999999999967</v>
      </c>
      <c r="Q28" s="199"/>
      <c r="R28" s="224"/>
      <c r="S28" s="200"/>
      <c r="T28" s="235"/>
      <c r="U28" s="232">
        <v>0</v>
      </c>
      <c r="V28" s="190">
        <f t="shared" si="8"/>
        <v>1233.6922000000002</v>
      </c>
      <c r="W28" s="2">
        <v>398</v>
      </c>
      <c r="X28" s="2">
        <v>7158085.8477076394</v>
      </c>
      <c r="Y28" s="31">
        <v>835.69220000000018</v>
      </c>
      <c r="Z28" s="31">
        <v>2711605.0602910602</v>
      </c>
      <c r="AA28" s="31">
        <f t="shared" si="0"/>
        <v>9869690.9079986997</v>
      </c>
      <c r="AB28" s="128">
        <f t="shared" si="1"/>
        <v>760.60592273933821</v>
      </c>
      <c r="AC28" s="134">
        <v>0</v>
      </c>
      <c r="AD28" s="2">
        <v>0</v>
      </c>
      <c r="AE28" s="2">
        <v>150</v>
      </c>
      <c r="AF28" s="2">
        <v>0</v>
      </c>
      <c r="AG28" s="2">
        <f t="shared" si="9"/>
        <v>150</v>
      </c>
      <c r="AH28" s="2">
        <f t="shared" si="10"/>
        <v>1664181</v>
      </c>
      <c r="AI28" s="43">
        <f t="shared" si="2"/>
        <v>128.24980406270302</v>
      </c>
      <c r="AJ28" s="143">
        <v>354.5</v>
      </c>
      <c r="AK28" s="2">
        <v>3048700</v>
      </c>
      <c r="AL28" s="39">
        <f t="shared" si="3"/>
        <v>234.94750729996477</v>
      </c>
      <c r="AM28" s="6"/>
    </row>
    <row r="29" spans="1:39" x14ac:dyDescent="0.35">
      <c r="A29" s="33"/>
      <c r="B29" s="58">
        <v>18</v>
      </c>
      <c r="C29" s="151">
        <v>4</v>
      </c>
      <c r="D29" s="153">
        <v>33</v>
      </c>
      <c r="E29" s="106">
        <v>10320.000000000164</v>
      </c>
      <c r="F29" s="2">
        <v>11223712.080000179</v>
      </c>
      <c r="G29" s="35">
        <v>2160.000000000025</v>
      </c>
      <c r="H29" s="2">
        <v>3523723.560000041</v>
      </c>
      <c r="I29" s="103">
        <f t="shared" si="4"/>
        <v>14747435.64000022</v>
      </c>
      <c r="J29" s="106">
        <v>1319.9999999999932</v>
      </c>
      <c r="K29" s="2">
        <v>1435591.0799999926</v>
      </c>
      <c r="L29" s="188">
        <v>359.99999999999943</v>
      </c>
      <c r="M29" s="189">
        <v>587287.25999999908</v>
      </c>
      <c r="N29" s="94">
        <f t="shared" si="5"/>
        <v>2022878.3399999917</v>
      </c>
      <c r="O29" s="108">
        <f t="shared" si="6"/>
        <v>16770313.980000213</v>
      </c>
      <c r="P29" s="111">
        <f t="shared" si="7"/>
        <v>14160.000000000182</v>
      </c>
      <c r="Q29" s="199"/>
      <c r="R29" s="224"/>
      <c r="S29" s="200"/>
      <c r="T29" s="235"/>
      <c r="U29" s="232">
        <v>0</v>
      </c>
      <c r="V29" s="190">
        <f t="shared" si="8"/>
        <v>1067.9779999999998</v>
      </c>
      <c r="W29" s="2">
        <v>249</v>
      </c>
      <c r="X29" s="2">
        <v>4478299.9398974935</v>
      </c>
      <c r="Y29" s="31">
        <v>818.97799999999984</v>
      </c>
      <c r="Z29" s="31">
        <v>3151831.0977130975</v>
      </c>
      <c r="AA29" s="31">
        <f t="shared" si="0"/>
        <v>7630131.0376105905</v>
      </c>
      <c r="AB29" s="128">
        <f t="shared" si="1"/>
        <v>588.01465137885066</v>
      </c>
      <c r="AC29" s="134">
        <v>0</v>
      </c>
      <c r="AD29" s="2">
        <v>0</v>
      </c>
      <c r="AE29" s="2">
        <v>100</v>
      </c>
      <c r="AF29" s="2">
        <v>0</v>
      </c>
      <c r="AG29" s="2">
        <f t="shared" si="9"/>
        <v>100</v>
      </c>
      <c r="AH29" s="2">
        <f t="shared" si="10"/>
        <v>1109454</v>
      </c>
      <c r="AI29" s="43">
        <f t="shared" si="2"/>
        <v>85.499869375135347</v>
      </c>
      <c r="AJ29" s="143">
        <v>257.7</v>
      </c>
      <c r="AK29" s="2">
        <v>2216220</v>
      </c>
      <c r="AL29" s="39">
        <f t="shared" si="3"/>
        <v>170.79258852242856</v>
      </c>
      <c r="AM29" s="6"/>
    </row>
    <row r="30" spans="1:39" x14ac:dyDescent="0.35">
      <c r="A30" s="33"/>
      <c r="B30" s="58">
        <v>19</v>
      </c>
      <c r="C30" s="151">
        <v>5</v>
      </c>
      <c r="D30" s="153">
        <v>59</v>
      </c>
      <c r="E30" s="106">
        <v>10719.9999999998</v>
      </c>
      <c r="F30" s="2">
        <v>11658739.679999784</v>
      </c>
      <c r="G30" s="35">
        <v>2319.9999999999932</v>
      </c>
      <c r="H30" s="2">
        <v>3784740.1199999894</v>
      </c>
      <c r="I30" s="103">
        <f t="shared" si="4"/>
        <v>15443479.799999774</v>
      </c>
      <c r="J30" s="106">
        <v>1379.9999999999955</v>
      </c>
      <c r="K30" s="2">
        <v>1500845.2199999951</v>
      </c>
      <c r="L30" s="188">
        <v>359.99999999999943</v>
      </c>
      <c r="M30" s="189">
        <v>587287.25999999908</v>
      </c>
      <c r="N30" s="94">
        <f t="shared" si="5"/>
        <v>2088132.4799999942</v>
      </c>
      <c r="O30" s="108">
        <f t="shared" si="6"/>
        <v>17531612.279999766</v>
      </c>
      <c r="P30" s="111">
        <f t="shared" si="7"/>
        <v>14779.999999999789</v>
      </c>
      <c r="Q30" s="199"/>
      <c r="R30" s="199"/>
      <c r="S30" s="200"/>
      <c r="T30" s="235"/>
      <c r="U30" s="232">
        <v>0</v>
      </c>
      <c r="V30" s="190">
        <f t="shared" si="8"/>
        <v>1273.5479999999998</v>
      </c>
      <c r="W30" s="2">
        <v>443</v>
      </c>
      <c r="X30" s="2">
        <v>7967417.1621469455</v>
      </c>
      <c r="Y30" s="31">
        <v>830.54799999999989</v>
      </c>
      <c r="Z30" s="31">
        <v>2514908.3201663201</v>
      </c>
      <c r="AA30" s="31">
        <f t="shared" si="0"/>
        <v>10482325.482313266</v>
      </c>
      <c r="AB30" s="128">
        <f t="shared" si="1"/>
        <v>807.81849403890283</v>
      </c>
      <c r="AC30" s="134">
        <v>0</v>
      </c>
      <c r="AD30" s="2">
        <v>0</v>
      </c>
      <c r="AE30" s="2">
        <v>150</v>
      </c>
      <c r="AF30" s="2">
        <v>0</v>
      </c>
      <c r="AG30" s="2">
        <f t="shared" si="9"/>
        <v>150</v>
      </c>
      <c r="AH30" s="2">
        <f t="shared" si="10"/>
        <v>1664181</v>
      </c>
      <c r="AI30" s="43">
        <f t="shared" si="2"/>
        <v>128.24980406270302</v>
      </c>
      <c r="AJ30" s="143">
        <v>310.08999999998741</v>
      </c>
      <c r="AK30" s="2">
        <v>2666773.999999892</v>
      </c>
      <c r="AL30" s="39">
        <f t="shared" si="3"/>
        <v>205.51445003848553</v>
      </c>
      <c r="AM30" s="6"/>
    </row>
    <row r="31" spans="1:39" x14ac:dyDescent="0.35">
      <c r="A31" s="33"/>
      <c r="B31" s="58">
        <v>20</v>
      </c>
      <c r="C31" s="151">
        <v>6</v>
      </c>
      <c r="D31" s="153">
        <v>55</v>
      </c>
      <c r="E31" s="106">
        <v>10440.000000000055</v>
      </c>
      <c r="F31" s="2">
        <v>11354220.360000061</v>
      </c>
      <c r="G31" s="35">
        <v>2120.0000000000045</v>
      </c>
      <c r="H31" s="2">
        <v>3458469.4200000078</v>
      </c>
      <c r="I31" s="103">
        <f t="shared" si="4"/>
        <v>14812689.780000068</v>
      </c>
      <c r="J31" s="106">
        <v>1439.9999999999977</v>
      </c>
      <c r="K31" s="2">
        <v>1566099.3599999975</v>
      </c>
      <c r="L31" s="188">
        <v>359.99999999999943</v>
      </c>
      <c r="M31" s="189">
        <v>587287.25999999908</v>
      </c>
      <c r="N31" s="94">
        <f t="shared" si="5"/>
        <v>2153386.6199999964</v>
      </c>
      <c r="O31" s="108">
        <f t="shared" si="6"/>
        <v>16966076.400000066</v>
      </c>
      <c r="P31" s="111">
        <f t="shared" si="7"/>
        <v>14360.000000000056</v>
      </c>
      <c r="Q31" s="202"/>
      <c r="R31" s="202"/>
      <c r="S31" s="200"/>
      <c r="T31" s="235"/>
      <c r="U31" s="232">
        <v>0</v>
      </c>
      <c r="V31" s="190">
        <f t="shared" si="8"/>
        <v>1044.595</v>
      </c>
      <c r="W31" s="2">
        <v>212</v>
      </c>
      <c r="X31" s="2">
        <v>3812849.7480251747</v>
      </c>
      <c r="Y31" s="31">
        <v>832.59500000000003</v>
      </c>
      <c r="Z31" s="31">
        <v>3671672.4823284824</v>
      </c>
      <c r="AA31" s="31">
        <f t="shared" si="0"/>
        <v>7484522.2303536572</v>
      </c>
      <c r="AB31" s="128">
        <f t="shared" si="1"/>
        <v>576.79333530775887</v>
      </c>
      <c r="AC31" s="134">
        <v>0</v>
      </c>
      <c r="AD31" s="2">
        <v>0</v>
      </c>
      <c r="AE31" s="2">
        <v>150</v>
      </c>
      <c r="AF31" s="2">
        <v>0</v>
      </c>
      <c r="AG31" s="2">
        <f t="shared" si="9"/>
        <v>150</v>
      </c>
      <c r="AH31" s="2">
        <f t="shared" si="10"/>
        <v>1664181</v>
      </c>
      <c r="AI31" s="43">
        <f t="shared" si="2"/>
        <v>128.24980406270302</v>
      </c>
      <c r="AJ31" s="143">
        <v>397</v>
      </c>
      <c r="AK31" s="2">
        <v>3414200</v>
      </c>
      <c r="AL31" s="39">
        <f t="shared" si="3"/>
        <v>263.11469787894504</v>
      </c>
      <c r="AM31" s="6"/>
    </row>
    <row r="32" spans="1:39" x14ac:dyDescent="0.35">
      <c r="A32" s="33"/>
      <c r="B32" s="58">
        <v>21</v>
      </c>
      <c r="C32" s="151">
        <v>4</v>
      </c>
      <c r="D32" s="153">
        <v>88</v>
      </c>
      <c r="E32" s="106">
        <v>11000</v>
      </c>
      <c r="F32" s="2">
        <v>11963259</v>
      </c>
      <c r="G32" s="35">
        <v>2279.9999999999727</v>
      </c>
      <c r="H32" s="2">
        <v>3719485.9799999557</v>
      </c>
      <c r="I32" s="103">
        <f t="shared" si="4"/>
        <v>15682744.979999956</v>
      </c>
      <c r="J32" s="106">
        <v>1540.0000000000205</v>
      </c>
      <c r="K32" s="2">
        <v>1674856.2600000224</v>
      </c>
      <c r="L32" s="188">
        <v>420.00000000000171</v>
      </c>
      <c r="M32" s="189">
        <v>685168.47000000288</v>
      </c>
      <c r="N32" s="94">
        <f t="shared" si="5"/>
        <v>2360024.7300000251</v>
      </c>
      <c r="O32" s="108">
        <f t="shared" si="6"/>
        <v>18042769.709999982</v>
      </c>
      <c r="P32" s="111">
        <f t="shared" si="7"/>
        <v>15239.999999999995</v>
      </c>
      <c r="Q32" s="199"/>
      <c r="R32" s="225"/>
      <c r="S32" s="200"/>
      <c r="T32" s="235"/>
      <c r="U32" s="232">
        <v>0</v>
      </c>
      <c r="V32" s="190">
        <f t="shared" si="8"/>
        <v>1225.7990000000004</v>
      </c>
      <c r="W32" s="2">
        <v>390</v>
      </c>
      <c r="X32" s="2">
        <v>7014204.7251406517</v>
      </c>
      <c r="Y32" s="31">
        <v>835.79900000000032</v>
      </c>
      <c r="Z32" s="31">
        <v>2866152.4989604987</v>
      </c>
      <c r="AA32" s="31">
        <f t="shared" si="0"/>
        <v>9880357.2241011504</v>
      </c>
      <c r="AB32" s="128">
        <f t="shared" si="1"/>
        <v>761.42792043683039</v>
      </c>
      <c r="AC32" s="134">
        <v>0</v>
      </c>
      <c r="AD32" s="2">
        <v>0</v>
      </c>
      <c r="AE32" s="2">
        <v>150</v>
      </c>
      <c r="AF32" s="2">
        <v>12</v>
      </c>
      <c r="AG32" s="2">
        <f t="shared" si="9"/>
        <v>162</v>
      </c>
      <c r="AH32" s="2">
        <f t="shared" si="10"/>
        <v>1797315.48</v>
      </c>
      <c r="AI32" s="43">
        <f t="shared" si="2"/>
        <v>138.50978838771925</v>
      </c>
      <c r="AJ32" s="143">
        <v>304.39999999999998</v>
      </c>
      <c r="AK32" s="2">
        <v>2617840</v>
      </c>
      <c r="AL32" s="39">
        <f t="shared" si="3"/>
        <v>201.74336028803745</v>
      </c>
      <c r="AM32" s="6"/>
    </row>
    <row r="33" spans="1:39" x14ac:dyDescent="0.35">
      <c r="A33" s="33"/>
      <c r="B33" s="58">
        <v>22</v>
      </c>
      <c r="C33" s="151">
        <v>2</v>
      </c>
      <c r="D33" s="153">
        <v>26</v>
      </c>
      <c r="E33" s="106">
        <v>10200.000000000045</v>
      </c>
      <c r="F33" s="2">
        <v>11093203.800000049</v>
      </c>
      <c r="G33" s="35">
        <v>2320.00000000005</v>
      </c>
      <c r="H33" s="2">
        <v>3784740.1200000816</v>
      </c>
      <c r="I33" s="103">
        <f t="shared" si="4"/>
        <v>14877943.92000013</v>
      </c>
      <c r="J33" s="106">
        <v>1539.999999999992</v>
      </c>
      <c r="K33" s="2">
        <v>1674856.2599999914</v>
      </c>
      <c r="L33" s="188">
        <v>460.00000000000085</v>
      </c>
      <c r="M33" s="189">
        <v>750422.6100000015</v>
      </c>
      <c r="N33" s="94">
        <f t="shared" si="5"/>
        <v>2425278.8699999927</v>
      </c>
      <c r="O33" s="108">
        <f t="shared" si="6"/>
        <v>17303222.790000122</v>
      </c>
      <c r="P33" s="111">
        <f t="shared" si="7"/>
        <v>14520.000000000087</v>
      </c>
      <c r="Q33" s="199"/>
      <c r="R33" s="226"/>
      <c r="S33" s="200"/>
      <c r="T33" s="235"/>
      <c r="U33" s="232">
        <v>0</v>
      </c>
      <c r="V33" s="190">
        <f t="shared" si="8"/>
        <v>1192.9189999999999</v>
      </c>
      <c r="W33" s="2">
        <v>350</v>
      </c>
      <c r="X33" s="2">
        <v>6294799.1123057129</v>
      </c>
      <c r="Y33" s="31">
        <v>842.91899999999998</v>
      </c>
      <c r="Z33" s="31">
        <v>3058165.9833679833</v>
      </c>
      <c r="AA33" s="31">
        <f t="shared" si="0"/>
        <v>9352965.0956736952</v>
      </c>
      <c r="AB33" s="128">
        <f t="shared" si="1"/>
        <v>720.78454262213768</v>
      </c>
      <c r="AC33" s="134">
        <v>0</v>
      </c>
      <c r="AD33" s="2">
        <v>0</v>
      </c>
      <c r="AE33" s="2">
        <v>50</v>
      </c>
      <c r="AF33" s="2">
        <v>0</v>
      </c>
      <c r="AG33" s="2">
        <f t="shared" si="9"/>
        <v>50</v>
      </c>
      <c r="AH33" s="2">
        <f t="shared" si="10"/>
        <v>554727</v>
      </c>
      <c r="AI33" s="43">
        <f t="shared" si="2"/>
        <v>42.749934687567674</v>
      </c>
      <c r="AJ33" s="143">
        <v>307.39999999999998</v>
      </c>
      <c r="AK33" s="2">
        <v>2643640</v>
      </c>
      <c r="AL33" s="39">
        <f t="shared" si="3"/>
        <v>203.73163256420077</v>
      </c>
      <c r="AM33" s="6"/>
    </row>
    <row r="34" spans="1:39" x14ac:dyDescent="0.35">
      <c r="A34" s="33"/>
      <c r="B34" s="58">
        <v>23</v>
      </c>
      <c r="C34" s="151">
        <v>3</v>
      </c>
      <c r="D34" s="153">
        <v>39</v>
      </c>
      <c r="E34" s="106">
        <v>10960.000000000036</v>
      </c>
      <c r="F34" s="2">
        <v>11919756.240000041</v>
      </c>
      <c r="G34" s="35">
        <v>2239.9999999999523</v>
      </c>
      <c r="H34" s="2">
        <v>3654231.8399999221</v>
      </c>
      <c r="I34" s="103">
        <f t="shared" si="4"/>
        <v>15573988.079999963</v>
      </c>
      <c r="J34" s="106">
        <v>1639.9999999999864</v>
      </c>
      <c r="K34" s="2">
        <v>1783613.159999985</v>
      </c>
      <c r="L34" s="188">
        <v>419.9999999999946</v>
      </c>
      <c r="M34" s="189">
        <v>685168.46999999112</v>
      </c>
      <c r="N34" s="94">
        <f t="shared" si="5"/>
        <v>2468781.6299999761</v>
      </c>
      <c r="O34" s="108">
        <f t="shared" si="6"/>
        <v>18042769.709999938</v>
      </c>
      <c r="P34" s="111">
        <f t="shared" si="7"/>
        <v>15259.999999999969</v>
      </c>
      <c r="Q34" s="202"/>
      <c r="R34" s="227"/>
      <c r="S34" s="200"/>
      <c r="T34" s="235"/>
      <c r="U34" s="232">
        <v>0</v>
      </c>
      <c r="V34" s="190">
        <f t="shared" si="8"/>
        <v>1133.24</v>
      </c>
      <c r="W34" s="2">
        <v>318</v>
      </c>
      <c r="X34" s="2">
        <v>5719274.6220377628</v>
      </c>
      <c r="Y34" s="31">
        <v>815.24</v>
      </c>
      <c r="Z34" s="31">
        <v>3273595.7463617465</v>
      </c>
      <c r="AA34" s="31">
        <f t="shared" si="0"/>
        <v>8992870.3683995083</v>
      </c>
      <c r="AB34" s="128">
        <f t="shared" si="1"/>
        <v>693.03390839609688</v>
      </c>
      <c r="AC34" s="134">
        <v>0</v>
      </c>
      <c r="AD34" s="2">
        <v>0</v>
      </c>
      <c r="AE34" s="2">
        <v>100</v>
      </c>
      <c r="AF34" s="2">
        <v>12</v>
      </c>
      <c r="AG34" s="2">
        <f t="shared" si="9"/>
        <v>112</v>
      </c>
      <c r="AH34" s="2">
        <f t="shared" ref="AH34:AH39" si="11">(AG34*10877)*1.02</f>
        <v>1242588.48</v>
      </c>
      <c r="AI34" s="43">
        <f t="shared" si="2"/>
        <v>95.759853700151581</v>
      </c>
      <c r="AJ34" s="143">
        <v>213</v>
      </c>
      <c r="AK34" s="2">
        <v>1831800</v>
      </c>
      <c r="AL34" s="39">
        <f t="shared" si="3"/>
        <v>141.1673316075952</v>
      </c>
      <c r="AM34" s="6"/>
    </row>
    <row r="35" spans="1:39" x14ac:dyDescent="0.35">
      <c r="A35" s="33"/>
      <c r="B35" s="58">
        <v>24</v>
      </c>
      <c r="C35" s="151">
        <v>8</v>
      </c>
      <c r="D35" s="153">
        <v>62</v>
      </c>
      <c r="E35" s="106">
        <v>10279.999999999973</v>
      </c>
      <c r="F35" s="2">
        <v>11180209.31999997</v>
      </c>
      <c r="G35" s="35">
        <v>2240.0000000000091</v>
      </c>
      <c r="H35" s="2">
        <v>3654231.8400000152</v>
      </c>
      <c r="I35" s="103">
        <f t="shared" si="4"/>
        <v>14834441.159999985</v>
      </c>
      <c r="J35" s="106">
        <v>1640.0000000000148</v>
      </c>
      <c r="K35" s="2">
        <v>1783613.1600000162</v>
      </c>
      <c r="L35" s="188">
        <v>460.00000000000085</v>
      </c>
      <c r="M35" s="189">
        <v>750422.6100000015</v>
      </c>
      <c r="N35" s="94">
        <f t="shared" si="5"/>
        <v>2534035.7700000177</v>
      </c>
      <c r="O35" s="108">
        <f t="shared" si="6"/>
        <v>17368476.930000003</v>
      </c>
      <c r="P35" s="111">
        <f t="shared" si="7"/>
        <v>14619.999999999996</v>
      </c>
      <c r="Q35" s="199"/>
      <c r="R35" s="225"/>
      <c r="S35" s="200"/>
      <c r="T35" s="235"/>
      <c r="U35" s="232">
        <v>0</v>
      </c>
      <c r="V35" s="190">
        <f t="shared" si="8"/>
        <v>1326.0919999999996</v>
      </c>
      <c r="W35" s="2">
        <v>487</v>
      </c>
      <c r="X35" s="2">
        <v>8758763.3362653777</v>
      </c>
      <c r="Y35" s="31">
        <v>839.09199999999976</v>
      </c>
      <c r="Z35" s="31">
        <v>2524274.8316008314</v>
      </c>
      <c r="AA35" s="31">
        <f t="shared" si="0"/>
        <v>11283038.16786621</v>
      </c>
      <c r="AB35" s="128">
        <f t="shared" si="1"/>
        <v>869.52527054499535</v>
      </c>
      <c r="AC35" s="134">
        <v>0</v>
      </c>
      <c r="AD35" s="2">
        <v>0</v>
      </c>
      <c r="AE35" s="2">
        <v>150</v>
      </c>
      <c r="AF35" s="2">
        <v>0</v>
      </c>
      <c r="AG35" s="2">
        <f t="shared" si="9"/>
        <v>150</v>
      </c>
      <c r="AH35" s="2">
        <f t="shared" si="11"/>
        <v>1664181</v>
      </c>
      <c r="AI35" s="43">
        <f t="shared" si="2"/>
        <v>128.24980406270302</v>
      </c>
      <c r="AJ35" s="143">
        <v>268.89999999999998</v>
      </c>
      <c r="AK35" s="2">
        <v>2312540</v>
      </c>
      <c r="AL35" s="39">
        <f t="shared" si="3"/>
        <v>178.21547168677159</v>
      </c>
      <c r="AM35" s="6"/>
    </row>
    <row r="36" spans="1:39" x14ac:dyDescent="0.35">
      <c r="A36" s="33"/>
      <c r="B36" s="58">
        <v>25</v>
      </c>
      <c r="C36" s="151">
        <v>11</v>
      </c>
      <c r="D36" s="153">
        <v>43</v>
      </c>
      <c r="E36" s="106">
        <v>10960.000000000036</v>
      </c>
      <c r="F36" s="2">
        <v>11919756.240000041</v>
      </c>
      <c r="G36" s="35">
        <v>2240.0000000000091</v>
      </c>
      <c r="H36" s="2">
        <v>3654231.8400000152</v>
      </c>
      <c r="I36" s="103">
        <f t="shared" si="4"/>
        <v>15573988.080000056</v>
      </c>
      <c r="J36" s="106">
        <v>1500</v>
      </c>
      <c r="K36" s="2">
        <v>1631353.5</v>
      </c>
      <c r="L36" s="188">
        <v>340.00000000000341</v>
      </c>
      <c r="M36" s="189">
        <v>554660.19000000553</v>
      </c>
      <c r="N36" s="94">
        <f t="shared" si="5"/>
        <v>2186013.6900000055</v>
      </c>
      <c r="O36" s="108">
        <f t="shared" si="6"/>
        <v>17760001.770000063</v>
      </c>
      <c r="P36" s="111">
        <f t="shared" si="7"/>
        <v>15040.000000000049</v>
      </c>
      <c r="Q36" s="199"/>
      <c r="R36" s="225"/>
      <c r="S36" s="200"/>
      <c r="T36" s="235"/>
      <c r="U36" s="232">
        <v>0</v>
      </c>
      <c r="V36" s="190">
        <f t="shared" si="8"/>
        <v>1163.2440000000004</v>
      </c>
      <c r="W36" s="2">
        <v>327</v>
      </c>
      <c r="X36" s="2">
        <v>5881140.8849256234</v>
      </c>
      <c r="Y36" s="31">
        <v>836.24400000000037</v>
      </c>
      <c r="Z36" s="31">
        <v>3348527.8378378376</v>
      </c>
      <c r="AA36" s="31">
        <f t="shared" si="0"/>
        <v>9229668.7227634601</v>
      </c>
      <c r="AB36" s="128">
        <f t="shared" si="1"/>
        <v>711.28273021869143</v>
      </c>
      <c r="AC36" s="134">
        <v>0</v>
      </c>
      <c r="AD36" s="2">
        <v>0</v>
      </c>
      <c r="AE36" s="2">
        <v>100</v>
      </c>
      <c r="AF36" s="2">
        <v>12</v>
      </c>
      <c r="AG36" s="2">
        <f t="shared" si="9"/>
        <v>112</v>
      </c>
      <c r="AH36" s="2">
        <f t="shared" si="11"/>
        <v>1242588.48</v>
      </c>
      <c r="AI36" s="43">
        <f t="shared" si="2"/>
        <v>95.759853700151581</v>
      </c>
      <c r="AJ36" s="143">
        <v>312.7</v>
      </c>
      <c r="AK36" s="2">
        <v>2689220</v>
      </c>
      <c r="AL36" s="39">
        <f t="shared" si="3"/>
        <v>207.24424691875595</v>
      </c>
      <c r="AM36" s="6"/>
    </row>
    <row r="37" spans="1:39" x14ac:dyDescent="0.35">
      <c r="A37" s="33"/>
      <c r="B37" s="58">
        <v>26</v>
      </c>
      <c r="C37" s="151">
        <v>9</v>
      </c>
      <c r="D37" s="153">
        <v>114</v>
      </c>
      <c r="E37" s="106">
        <v>11000</v>
      </c>
      <c r="F37" s="2">
        <v>11963259</v>
      </c>
      <c r="G37" s="35">
        <v>2319.9999999999932</v>
      </c>
      <c r="H37" s="2">
        <v>3784740.1199999894</v>
      </c>
      <c r="I37" s="103">
        <f t="shared" si="4"/>
        <v>15747999.11999999</v>
      </c>
      <c r="J37" s="106">
        <v>1560.0000000000023</v>
      </c>
      <c r="K37" s="2">
        <v>1696607.6400000025</v>
      </c>
      <c r="L37" s="188">
        <v>500</v>
      </c>
      <c r="M37" s="189">
        <v>815676.75</v>
      </c>
      <c r="N37" s="94">
        <f t="shared" si="5"/>
        <v>2512284.3900000025</v>
      </c>
      <c r="O37" s="108">
        <f t="shared" si="6"/>
        <v>18260283.50999999</v>
      </c>
      <c r="P37" s="111">
        <f t="shared" si="7"/>
        <v>15379.999999999996</v>
      </c>
      <c r="Q37" s="199"/>
      <c r="R37" s="225"/>
      <c r="S37" s="200"/>
      <c r="T37" s="235"/>
      <c r="U37" s="232">
        <v>0</v>
      </c>
      <c r="V37" s="190">
        <f t="shared" si="8"/>
        <v>1308.4639999999999</v>
      </c>
      <c r="W37" s="2">
        <v>474</v>
      </c>
      <c r="X37" s="2">
        <v>8524956.5120940227</v>
      </c>
      <c r="Y37" s="31">
        <v>834.46399999999994</v>
      </c>
      <c r="Z37" s="31">
        <v>2617939.945945946</v>
      </c>
      <c r="AA37" s="31">
        <f t="shared" si="0"/>
        <v>11142896.458039969</v>
      </c>
      <c r="AB37" s="128">
        <f t="shared" si="1"/>
        <v>858.72527533640482</v>
      </c>
      <c r="AC37" s="134">
        <v>0</v>
      </c>
      <c r="AD37" s="2">
        <v>0</v>
      </c>
      <c r="AE37" s="2">
        <v>200</v>
      </c>
      <c r="AF37" s="2">
        <v>0</v>
      </c>
      <c r="AG37" s="2">
        <f t="shared" si="9"/>
        <v>200</v>
      </c>
      <c r="AH37" s="2">
        <f t="shared" si="11"/>
        <v>2218908</v>
      </c>
      <c r="AI37" s="43">
        <f t="shared" si="2"/>
        <v>170.99973875027069</v>
      </c>
      <c r="AJ37" s="143">
        <v>346.3</v>
      </c>
      <c r="AK37" s="2">
        <v>2978180</v>
      </c>
      <c r="AL37" s="39">
        <f t="shared" si="3"/>
        <v>229.51289641178505</v>
      </c>
      <c r="AM37" s="6"/>
    </row>
    <row r="38" spans="1:39" x14ac:dyDescent="0.35">
      <c r="A38" s="33"/>
      <c r="B38" s="58">
        <v>27</v>
      </c>
      <c r="C38" s="151">
        <v>7</v>
      </c>
      <c r="D38" s="153">
        <v>114</v>
      </c>
      <c r="E38" s="106">
        <v>10839.999999999918</v>
      </c>
      <c r="F38" s="2">
        <v>11789247.959999911</v>
      </c>
      <c r="G38" s="35">
        <v>2360.0000000000136</v>
      </c>
      <c r="H38" s="2">
        <v>3849994.2600000221</v>
      </c>
      <c r="I38" s="103">
        <f t="shared" si="4"/>
        <v>15639242.219999934</v>
      </c>
      <c r="J38" s="106">
        <v>1739.9999999999807</v>
      </c>
      <c r="K38" s="2">
        <v>1892370.0599999791</v>
      </c>
      <c r="L38" s="188">
        <v>460.00000000000085</v>
      </c>
      <c r="M38" s="189">
        <v>750422.6100000015</v>
      </c>
      <c r="N38" s="94">
        <f t="shared" si="5"/>
        <v>2642792.6699999804</v>
      </c>
      <c r="O38" s="108">
        <f t="shared" si="6"/>
        <v>18282034.889999915</v>
      </c>
      <c r="P38" s="111">
        <f t="shared" si="7"/>
        <v>15399.999999999913</v>
      </c>
      <c r="Q38" s="199"/>
      <c r="R38" s="225"/>
      <c r="S38" s="200"/>
      <c r="T38" s="235"/>
      <c r="U38" s="232">
        <v>0</v>
      </c>
      <c r="V38" s="190">
        <f t="shared" si="8"/>
        <v>1321.7619999999997</v>
      </c>
      <c r="W38" s="2">
        <v>480</v>
      </c>
      <c r="X38" s="2">
        <v>8632867.3540192638</v>
      </c>
      <c r="Y38" s="31">
        <v>841.76199999999972</v>
      </c>
      <c r="Z38" s="31">
        <v>2617939.945945946</v>
      </c>
      <c r="AA38" s="31">
        <f t="shared" si="0"/>
        <v>11250807.29996521</v>
      </c>
      <c r="AB38" s="128">
        <f t="shared" si="1"/>
        <v>867.0414046114978</v>
      </c>
      <c r="AC38" s="134">
        <v>0</v>
      </c>
      <c r="AD38" s="2">
        <v>0</v>
      </c>
      <c r="AE38" s="2">
        <v>200</v>
      </c>
      <c r="AF38" s="2">
        <v>12</v>
      </c>
      <c r="AG38" s="2">
        <f t="shared" si="9"/>
        <v>212</v>
      </c>
      <c r="AH38" s="2">
        <f t="shared" si="11"/>
        <v>2352042.48</v>
      </c>
      <c r="AI38" s="43">
        <f t="shared" si="2"/>
        <v>181.25972307528693</v>
      </c>
      <c r="AJ38" s="143">
        <v>353</v>
      </c>
      <c r="AK38" s="2">
        <v>3035800</v>
      </c>
      <c r="AL38" s="39">
        <f t="shared" si="3"/>
        <v>233.95337116188313</v>
      </c>
      <c r="AM38" s="6"/>
    </row>
    <row r="39" spans="1:39" x14ac:dyDescent="0.35">
      <c r="A39" s="33"/>
      <c r="B39" s="58">
        <v>28</v>
      </c>
      <c r="C39" s="151">
        <v>4</v>
      </c>
      <c r="D39" s="153">
        <v>130</v>
      </c>
      <c r="E39" s="106">
        <v>10600.000000000136</v>
      </c>
      <c r="F39" s="2">
        <v>11528231.400000149</v>
      </c>
      <c r="G39" s="35">
        <v>2160.000000000025</v>
      </c>
      <c r="H39" s="2">
        <v>3523723.560000041</v>
      </c>
      <c r="I39" s="103">
        <f t="shared" si="4"/>
        <v>15051954.960000191</v>
      </c>
      <c r="J39" s="106">
        <v>1780.0000000000011</v>
      </c>
      <c r="K39" s="2">
        <v>1935872.8200000012</v>
      </c>
      <c r="L39" s="188">
        <v>439.99999999999773</v>
      </c>
      <c r="M39" s="189">
        <v>717795.53999999631</v>
      </c>
      <c r="N39" s="94">
        <f t="shared" si="5"/>
        <v>2653668.3599999975</v>
      </c>
      <c r="O39" s="108">
        <f t="shared" si="6"/>
        <v>17705623.320000187</v>
      </c>
      <c r="P39" s="111">
        <f t="shared" si="7"/>
        <v>14980.00000000016</v>
      </c>
      <c r="Q39" s="199"/>
      <c r="R39" s="228"/>
      <c r="S39" s="200"/>
      <c r="T39" s="235"/>
      <c r="U39" s="232">
        <v>0</v>
      </c>
      <c r="V39" s="190">
        <f t="shared" si="8"/>
        <v>1312.605</v>
      </c>
      <c r="W39" s="2">
        <v>472</v>
      </c>
      <c r="X39" s="2">
        <v>8488986.2314522769</v>
      </c>
      <c r="Y39" s="31">
        <v>840.60500000000002</v>
      </c>
      <c r="Z39" s="31">
        <v>2454025.9958419958</v>
      </c>
      <c r="AA39" s="31">
        <f t="shared" si="0"/>
        <v>10943012.227294274</v>
      </c>
      <c r="AB39" s="128">
        <f t="shared" si="1"/>
        <v>843.32123369168016</v>
      </c>
      <c r="AC39" s="134">
        <v>0</v>
      </c>
      <c r="AD39" s="2">
        <v>0</v>
      </c>
      <c r="AE39" s="2">
        <v>200</v>
      </c>
      <c r="AF39" s="2">
        <v>0</v>
      </c>
      <c r="AG39" s="2">
        <f t="shared" si="9"/>
        <v>200</v>
      </c>
      <c r="AH39" s="2">
        <f t="shared" si="11"/>
        <v>2218908</v>
      </c>
      <c r="AI39" s="43">
        <f t="shared" si="2"/>
        <v>170.99973875027069</v>
      </c>
      <c r="AJ39" s="143">
        <v>208.5</v>
      </c>
      <c r="AK39" s="2">
        <v>1793100</v>
      </c>
      <c r="AL39" s="39">
        <f t="shared" si="3"/>
        <v>138.18492319335022</v>
      </c>
      <c r="AM39" s="6"/>
    </row>
    <row r="40" spans="1:39" x14ac:dyDescent="0.35">
      <c r="A40" s="33"/>
      <c r="B40" s="58">
        <v>29</v>
      </c>
      <c r="C40" s="151">
        <v>4</v>
      </c>
      <c r="D40" s="153">
        <v>25</v>
      </c>
      <c r="E40" s="106">
        <v>10479.999999999791</v>
      </c>
      <c r="F40" s="2">
        <v>11397723.119999772</v>
      </c>
      <c r="G40" s="35">
        <v>2199.9999999999886</v>
      </c>
      <c r="H40" s="2">
        <v>3588977.6999999816</v>
      </c>
      <c r="I40" s="103">
        <f t="shared" si="4"/>
        <v>14986700.819999754</v>
      </c>
      <c r="J40" s="106">
        <v>1500</v>
      </c>
      <c r="K40" s="2">
        <v>1631353.5</v>
      </c>
      <c r="L40" s="188">
        <v>399.99999999999858</v>
      </c>
      <c r="M40" s="189">
        <v>652541.39999999769</v>
      </c>
      <c r="N40" s="94">
        <f t="shared" ref="N40:N42" si="12">K40+M40</f>
        <v>2283894.8999999976</v>
      </c>
      <c r="O40" s="108">
        <f t="shared" ref="O40:O42" si="13">N40+I40</f>
        <v>17270595.719999753</v>
      </c>
      <c r="P40" s="111">
        <f t="shared" ref="P40:P42" si="14">L40+J40+G40+E40</f>
        <v>14579.999999999778</v>
      </c>
      <c r="Q40" s="202"/>
      <c r="R40" s="229"/>
      <c r="S40" s="200"/>
      <c r="T40" s="235"/>
      <c r="U40" s="232">
        <v>0</v>
      </c>
      <c r="V40" s="190">
        <f t="shared" si="8"/>
        <v>1100.58</v>
      </c>
      <c r="W40" s="2">
        <v>280</v>
      </c>
      <c r="X40" s="2">
        <v>5035839.2898445707</v>
      </c>
      <c r="Y40" s="31">
        <v>820.58</v>
      </c>
      <c r="Z40" s="31">
        <v>3048799.471933472</v>
      </c>
      <c r="AA40" s="31">
        <f t="shared" ref="AA40:AA42" si="15">Z40+X40</f>
        <v>8084638.7617780427</v>
      </c>
      <c r="AB40" s="128">
        <f t="shared" ref="AB40:AB42" si="16">AA40/$AL$48</f>
        <v>623.04120592397578</v>
      </c>
      <c r="AC40" s="134">
        <v>0</v>
      </c>
      <c r="AD40" s="2">
        <v>0</v>
      </c>
      <c r="AE40" s="2">
        <v>100</v>
      </c>
      <c r="AF40" s="2">
        <v>0</v>
      </c>
      <c r="AG40" s="2">
        <f t="shared" si="9"/>
        <v>100</v>
      </c>
      <c r="AH40" s="2">
        <f t="shared" ref="AH40:AH42" si="17">(AG40*10877)*1.02</f>
        <v>1109454</v>
      </c>
      <c r="AI40" s="43">
        <f t="shared" ref="AI40:AI42" si="18">AH40/$AL$48</f>
        <v>85.499869375135347</v>
      </c>
      <c r="AJ40" s="143">
        <v>359.5</v>
      </c>
      <c r="AK40" s="2">
        <v>3091700</v>
      </c>
      <c r="AL40" s="39">
        <f t="shared" si="3"/>
        <v>238.26129442690365</v>
      </c>
      <c r="AM40" s="6"/>
    </row>
    <row r="41" spans="1:39" x14ac:dyDescent="0.35">
      <c r="A41" s="33"/>
      <c r="B41" s="58">
        <v>30</v>
      </c>
      <c r="C41" s="151">
        <v>6</v>
      </c>
      <c r="D41" s="153">
        <v>50</v>
      </c>
      <c r="E41" s="106">
        <v>10840.000000000146</v>
      </c>
      <c r="F41" s="2">
        <v>11789247.960000157</v>
      </c>
      <c r="G41" s="35">
        <v>2359.9999999999568</v>
      </c>
      <c r="H41" s="2">
        <v>3849994.2599999299</v>
      </c>
      <c r="I41" s="103">
        <f t="shared" si="4"/>
        <v>15639242.220000088</v>
      </c>
      <c r="J41" s="106">
        <v>1580.0000000000125</v>
      </c>
      <c r="K41" s="2">
        <v>1718359.0200000138</v>
      </c>
      <c r="L41" s="188">
        <v>399.99999999999858</v>
      </c>
      <c r="M41" s="189">
        <v>652541.39999999769</v>
      </c>
      <c r="N41" s="94">
        <f t="shared" si="12"/>
        <v>2370900.4200000116</v>
      </c>
      <c r="O41" s="108">
        <f t="shared" si="13"/>
        <v>18010142.640000101</v>
      </c>
      <c r="P41" s="111">
        <f t="shared" si="14"/>
        <v>15180.000000000113</v>
      </c>
      <c r="Q41" s="199"/>
      <c r="R41" s="230"/>
      <c r="S41" s="200"/>
      <c r="T41" s="235"/>
      <c r="U41" s="232">
        <v>0</v>
      </c>
      <c r="V41" s="190">
        <f t="shared" si="8"/>
        <v>1100.7260000000006</v>
      </c>
      <c r="W41" s="2">
        <v>270</v>
      </c>
      <c r="X41" s="2">
        <v>4855987.8866358362</v>
      </c>
      <c r="Y41" s="31">
        <v>830.72600000000045</v>
      </c>
      <c r="Z41" s="31">
        <v>3343844.582120582</v>
      </c>
      <c r="AA41" s="31">
        <f t="shared" si="15"/>
        <v>8199832.4687564187</v>
      </c>
      <c r="AB41" s="128">
        <f t="shared" si="16"/>
        <v>631.91858786093644</v>
      </c>
      <c r="AC41" s="134">
        <v>0</v>
      </c>
      <c r="AD41" s="2">
        <v>0</v>
      </c>
      <c r="AE41" s="2">
        <v>150</v>
      </c>
      <c r="AF41" s="2">
        <v>0</v>
      </c>
      <c r="AG41" s="2">
        <f t="shared" si="9"/>
        <v>150</v>
      </c>
      <c r="AH41" s="2">
        <f t="shared" si="17"/>
        <v>1664181</v>
      </c>
      <c r="AI41" s="43">
        <f t="shared" si="18"/>
        <v>128.24980406270302</v>
      </c>
      <c r="AJ41" s="143">
        <v>306</v>
      </c>
      <c r="AK41" s="2">
        <v>2631600</v>
      </c>
      <c r="AL41" s="39">
        <f t="shared" si="3"/>
        <v>202.8037721686579</v>
      </c>
      <c r="AM41" s="6"/>
    </row>
    <row r="42" spans="1:39" x14ac:dyDescent="0.35">
      <c r="A42" s="33"/>
      <c r="B42" s="58">
        <v>31</v>
      </c>
      <c r="C42" s="177">
        <v>8</v>
      </c>
      <c r="D42" s="178">
        <v>56</v>
      </c>
      <c r="E42" s="106">
        <v>10879.999999999882</v>
      </c>
      <c r="F42" s="2">
        <v>11832750.719999872</v>
      </c>
      <c r="G42" s="35">
        <v>2280.0000000000296</v>
      </c>
      <c r="H42" s="2">
        <v>3719485.9800000489</v>
      </c>
      <c r="I42" s="103">
        <f t="shared" si="4"/>
        <v>15552236.699999921</v>
      </c>
      <c r="J42" s="106">
        <v>1439.9999999999977</v>
      </c>
      <c r="K42" s="2">
        <v>1566099.3599999975</v>
      </c>
      <c r="L42" s="188">
        <v>359.99999999999943</v>
      </c>
      <c r="M42" s="189">
        <v>587287.25999999908</v>
      </c>
      <c r="N42" s="94">
        <f t="shared" si="12"/>
        <v>2153386.6199999964</v>
      </c>
      <c r="O42" s="108">
        <f t="shared" si="13"/>
        <v>17705623.319999918</v>
      </c>
      <c r="P42" s="111">
        <f t="shared" si="14"/>
        <v>14959.999999999909</v>
      </c>
      <c r="Q42" s="199"/>
      <c r="R42" s="230"/>
      <c r="S42" s="200"/>
      <c r="T42" s="235"/>
      <c r="U42" s="232">
        <v>0</v>
      </c>
      <c r="V42" s="190">
        <f t="shared" si="8"/>
        <v>1326.8459999999995</v>
      </c>
      <c r="W42" s="2">
        <v>489</v>
      </c>
      <c r="X42" s="2">
        <v>8794733.6169071253</v>
      </c>
      <c r="Y42" s="31">
        <v>837.84599999999966</v>
      </c>
      <c r="Z42" s="31">
        <v>2374410.6486486485</v>
      </c>
      <c r="AA42" s="31">
        <f t="shared" si="15"/>
        <v>11169144.265555773</v>
      </c>
      <c r="AB42" s="128">
        <f t="shared" si="16"/>
        <v>860.74805781678242</v>
      </c>
      <c r="AC42" s="134">
        <v>0</v>
      </c>
      <c r="AD42" s="2">
        <v>0</v>
      </c>
      <c r="AE42" s="2">
        <v>150</v>
      </c>
      <c r="AF42" s="2">
        <v>12</v>
      </c>
      <c r="AG42" s="2">
        <f t="shared" si="9"/>
        <v>162</v>
      </c>
      <c r="AH42" s="2">
        <f t="shared" si="17"/>
        <v>1797315.48</v>
      </c>
      <c r="AI42" s="43">
        <f t="shared" si="18"/>
        <v>138.50978838771925</v>
      </c>
      <c r="AJ42" s="143">
        <v>378.7</v>
      </c>
      <c r="AK42" s="2">
        <v>3256820</v>
      </c>
      <c r="AL42" s="39">
        <f t="shared" si="3"/>
        <v>250.98623699434884</v>
      </c>
      <c r="AM42" s="6"/>
    </row>
    <row r="43" spans="1:39" ht="16" thickBot="1" x14ac:dyDescent="0.4">
      <c r="A43" s="33"/>
      <c r="B43" s="122"/>
      <c r="C43" s="152"/>
      <c r="D43" s="154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9"/>
      <c r="R43" s="231"/>
      <c r="S43" s="201"/>
      <c r="T43" s="236"/>
      <c r="U43" s="233"/>
      <c r="V43" s="190"/>
      <c r="W43" s="2"/>
      <c r="X43" s="2"/>
      <c r="Y43" s="31"/>
      <c r="Z43" s="31"/>
      <c r="AA43" s="16"/>
      <c r="AB43" s="129"/>
      <c r="AC43" s="127"/>
      <c r="AD43" s="2"/>
      <c r="AE43" s="1"/>
      <c r="AF43" s="1"/>
      <c r="AG43" s="1"/>
      <c r="AH43" s="2"/>
      <c r="AI43" s="43"/>
      <c r="AJ43" s="143"/>
      <c r="AK43" s="2"/>
      <c r="AL43" s="39"/>
      <c r="AM43" s="6"/>
    </row>
    <row r="44" spans="1:39" s="7" customFormat="1" ht="4.5" customHeight="1" x14ac:dyDescent="0.35">
      <c r="B44" s="117"/>
      <c r="C44" s="118"/>
      <c r="D44" s="118"/>
      <c r="E44" s="116"/>
      <c r="F44" s="6"/>
      <c r="H44" s="6"/>
      <c r="L44" s="6"/>
      <c r="M44" s="62"/>
      <c r="N44" s="66"/>
      <c r="P44" s="66"/>
      <c r="R44" s="86"/>
      <c r="S44" s="6"/>
      <c r="U44" s="32"/>
      <c r="V44" s="130"/>
      <c r="AB44" s="32"/>
      <c r="AD44" s="6"/>
      <c r="AJ44" s="86"/>
      <c r="AL44" s="32"/>
    </row>
    <row r="45" spans="1:39" s="7" customFormat="1" ht="6" customHeight="1" x14ac:dyDescent="0.35">
      <c r="B45" s="117"/>
      <c r="C45" s="118"/>
      <c r="D45" s="118"/>
      <c r="E45" s="116"/>
      <c r="F45" s="6"/>
      <c r="H45" s="6"/>
      <c r="L45" s="6"/>
      <c r="M45" s="62"/>
      <c r="N45" s="66"/>
      <c r="P45" s="66"/>
      <c r="R45" s="86"/>
      <c r="S45" s="14"/>
      <c r="T45" s="14"/>
      <c r="U45" s="32"/>
      <c r="V45" s="130"/>
      <c r="AB45" s="131"/>
      <c r="AD45" s="6"/>
      <c r="AH45" s="6"/>
      <c r="AJ45" s="88"/>
      <c r="AK45" s="4"/>
      <c r="AL45" s="40"/>
    </row>
    <row r="46" spans="1:39" s="7" customFormat="1" ht="16" thickBot="1" x14ac:dyDescent="0.4"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91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4"/>
      <c r="AK46" s="79"/>
      <c r="AL46" s="80"/>
    </row>
    <row r="47" spans="1:39" ht="16.5" thickTop="1" thickBot="1" x14ac:dyDescent="0.4">
      <c r="A47" s="25"/>
      <c r="B47" s="69"/>
      <c r="C47" s="70">
        <f>SUM(C12:C43)</f>
        <v>146</v>
      </c>
      <c r="D47" s="70">
        <f>SUM(D12:D43)</f>
        <v>1650</v>
      </c>
      <c r="E47" s="70">
        <f>SUM(E12:E43)</f>
        <v>320839.99999999977</v>
      </c>
      <c r="F47" s="70">
        <f>SUM(F12:F43)</f>
        <v>347456544.12</v>
      </c>
      <c r="G47" s="70">
        <f>SUM(G12:G43)</f>
        <v>66640.000000000015</v>
      </c>
      <c r="H47" s="70">
        <f t="shared" ref="H47:O47" si="19">SUM(H12:H43)</f>
        <v>108582888.96000004</v>
      </c>
      <c r="I47" s="70">
        <f t="shared" si="19"/>
        <v>456039433.08000016</v>
      </c>
      <c r="J47" s="70">
        <f t="shared" si="19"/>
        <v>44200</v>
      </c>
      <c r="K47" s="70">
        <f t="shared" si="19"/>
        <v>47983544.280000001</v>
      </c>
      <c r="L47" s="70">
        <f t="shared" si="19"/>
        <v>11399.999999999995</v>
      </c>
      <c r="M47" s="70">
        <f t="shared" si="19"/>
        <v>18597429.899999991</v>
      </c>
      <c r="N47" s="70">
        <f t="shared" si="19"/>
        <v>66580974.179999992</v>
      </c>
      <c r="O47" s="70">
        <f t="shared" si="19"/>
        <v>522620407.25999999</v>
      </c>
      <c r="P47" s="82">
        <f>SUM(P12:P43)</f>
        <v>443079.99999999971</v>
      </c>
      <c r="Q47" s="192" t="e">
        <f>#REF!</f>
        <v>#REF!</v>
      </c>
      <c r="R47" s="123" t="e">
        <f>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80">
        <f>SUM(V12:V42)</f>
        <v>33869.184999999998</v>
      </c>
      <c r="W47" s="52">
        <f>SUM(W12:W42)</f>
        <v>11954</v>
      </c>
      <c r="X47" s="52">
        <f t="shared" ref="X47:Z47" si="20">SUM(X12:X42)</f>
        <v>214994367.39572144</v>
      </c>
      <c r="Y47" s="52">
        <f t="shared" si="20"/>
        <v>21915.184999999998</v>
      </c>
      <c r="Z47" s="52">
        <f t="shared" si="20"/>
        <v>84977674.989604995</v>
      </c>
      <c r="AA47" s="136">
        <f>SUM(AA12:AA42)</f>
        <v>299972042.38532645</v>
      </c>
      <c r="AB47" s="124">
        <f>AA47/$AL$48</f>
        <v>23117.290523210493</v>
      </c>
      <c r="AC47" s="44">
        <f>SUM(AC12:AC41)</f>
        <v>0</v>
      </c>
      <c r="AD47" s="138">
        <f>SUM(AD12:AD41)</f>
        <v>0</v>
      </c>
      <c r="AE47" s="44">
        <f>SUM(AE12:AE42)</f>
        <v>4000</v>
      </c>
      <c r="AF47" s="44">
        <f>SUM(AF12:AF42)</f>
        <v>120</v>
      </c>
      <c r="AG47" s="44">
        <f>SUM(AG12:AG42)</f>
        <v>4120</v>
      </c>
      <c r="AH47" s="148">
        <f>SUM(AH12:AH43)</f>
        <v>45709504.799999997</v>
      </c>
      <c r="AI47" s="149">
        <f>AH47/$AL$48</f>
        <v>3522.5946182555758</v>
      </c>
      <c r="AJ47" s="145">
        <f>SUM(AJ12:AJ43)</f>
        <v>9257.3899999999867</v>
      </c>
      <c r="AK47" s="146">
        <f>SUM(AK12:AK43)</f>
        <v>79613553.999999896</v>
      </c>
      <c r="AL47" s="147">
        <f>AK47/AL48</f>
        <v>6135.4039622104883</v>
      </c>
      <c r="AM47" s="25"/>
    </row>
    <row r="48" spans="1:39" x14ac:dyDescent="0.35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4"/>
      <c r="S48" s="13"/>
      <c r="T48" s="81" t="s">
        <v>52</v>
      </c>
      <c r="U48" s="155" t="e">
        <f>U47/S47</f>
        <v>#REF!</v>
      </c>
      <c r="V48" s="10"/>
      <c r="W48" s="10"/>
      <c r="X48" s="10"/>
      <c r="Y48" s="139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8"/>
      <c r="AK48" s="10"/>
      <c r="AL48" s="150">
        <v>12976.09</v>
      </c>
      <c r="AM48" s="25"/>
    </row>
    <row r="49" spans="1:39" s="198" customFormat="1" x14ac:dyDescent="0.35">
      <c r="A49" s="193"/>
      <c r="B49" s="193"/>
      <c r="C49" s="15"/>
      <c r="D49" s="194"/>
      <c r="E49" s="15"/>
      <c r="F49" s="15"/>
      <c r="G49" s="194"/>
      <c r="H49" s="15"/>
      <c r="I49" s="8"/>
      <c r="J49" s="8"/>
      <c r="K49" s="8"/>
      <c r="L49" s="15"/>
      <c r="M49" s="67"/>
      <c r="N49" s="67"/>
      <c r="O49" s="9"/>
      <c r="P49" s="67"/>
      <c r="Q49" s="9"/>
      <c r="R49" s="114"/>
      <c r="S49" s="13"/>
      <c r="T49" s="15"/>
      <c r="U49" s="195"/>
      <c r="V49" s="194"/>
      <c r="W49" s="194"/>
      <c r="X49" s="194"/>
      <c r="Y49" s="196"/>
      <c r="Z49" s="15"/>
      <c r="AA49" s="194"/>
      <c r="AB49" s="194"/>
      <c r="AC49" s="194"/>
      <c r="AD49" s="15"/>
      <c r="AE49" s="194"/>
      <c r="AF49" s="194"/>
      <c r="AG49" s="15"/>
      <c r="AH49" s="15"/>
      <c r="AI49" s="194"/>
      <c r="AJ49" s="114"/>
      <c r="AK49" s="194"/>
      <c r="AL49" s="197"/>
      <c r="AM49" s="193"/>
    </row>
    <row r="50" spans="1:39" s="204" customFormat="1" x14ac:dyDescent="0.35">
      <c r="A50" s="203"/>
      <c r="B50" s="203"/>
      <c r="E50" s="205"/>
      <c r="F50" s="206"/>
      <c r="G50" s="205"/>
      <c r="I50" s="205"/>
      <c r="J50" s="205"/>
      <c r="K50" s="205"/>
      <c r="L50" s="205"/>
      <c r="M50" s="205"/>
      <c r="N50" s="207"/>
      <c r="O50" s="208"/>
      <c r="P50" s="209"/>
      <c r="R50" s="210"/>
      <c r="S50" s="211"/>
      <c r="Y50" s="212"/>
      <c r="Z50" s="213"/>
      <c r="AB50" s="214"/>
      <c r="AJ50" s="210"/>
      <c r="AL50" s="215"/>
      <c r="AM50" s="203"/>
    </row>
    <row r="51" spans="1:39" s="218" customFormat="1" x14ac:dyDescent="0.35">
      <c r="A51" s="216"/>
      <c r="B51" s="216"/>
      <c r="C51" s="217"/>
      <c r="E51" s="217"/>
      <c r="F51" s="217"/>
      <c r="H51" s="217"/>
      <c r="L51" s="217"/>
      <c r="M51" s="219"/>
      <c r="N51" s="220"/>
      <c r="P51" s="220"/>
      <c r="R51" s="221"/>
      <c r="W51" s="240"/>
      <c r="Z51" s="238"/>
      <c r="AD51" s="217"/>
      <c r="AH51" s="217"/>
      <c r="AJ51" s="221"/>
      <c r="AK51" s="238"/>
      <c r="AL51" s="222"/>
      <c r="AM51" s="216"/>
    </row>
    <row r="52" spans="1:39" s="218" customFormat="1" x14ac:dyDescent="0.35">
      <c r="A52" s="216"/>
      <c r="B52" s="216"/>
      <c r="C52" s="217"/>
      <c r="E52" s="217"/>
      <c r="F52" s="217"/>
      <c r="H52" s="217"/>
      <c r="L52" s="217"/>
      <c r="M52" s="219"/>
      <c r="N52" s="220"/>
      <c r="P52" s="220"/>
      <c r="R52" s="221"/>
      <c r="V52" s="239"/>
      <c r="W52" s="239"/>
      <c r="AD52" s="217"/>
      <c r="AH52" s="217"/>
      <c r="AJ52" s="221"/>
      <c r="AL52" s="222"/>
      <c r="AM52" s="216"/>
    </row>
    <row r="53" spans="1:39" s="218" customFormat="1" x14ac:dyDescent="0.35">
      <c r="A53" s="216"/>
      <c r="B53" s="216"/>
      <c r="C53" s="217"/>
      <c r="E53" s="217"/>
      <c r="F53" s="217"/>
      <c r="H53" s="217"/>
      <c r="L53" s="217"/>
      <c r="M53" s="219"/>
      <c r="N53" s="220"/>
      <c r="P53" s="220"/>
      <c r="R53" s="221"/>
      <c r="AD53" s="217"/>
      <c r="AH53" s="217"/>
      <c r="AJ53" s="221"/>
      <c r="AL53" s="222"/>
      <c r="AM53" s="216"/>
    </row>
    <row r="54" spans="1:39" s="218" customFormat="1" x14ac:dyDescent="0.35">
      <c r="A54" s="216"/>
      <c r="B54" s="216"/>
      <c r="C54" s="217"/>
      <c r="E54" s="217"/>
      <c r="F54" s="217"/>
      <c r="H54" s="217"/>
      <c r="L54" s="217"/>
      <c r="M54" s="219"/>
      <c r="N54" s="220"/>
      <c r="P54" s="220"/>
      <c r="R54" s="221"/>
      <c r="AD54" s="217"/>
      <c r="AH54" s="217"/>
      <c r="AJ54" s="221"/>
      <c r="AL54" s="222"/>
      <c r="AM54" s="216"/>
    </row>
    <row r="55" spans="1:39" s="218" customFormat="1" x14ac:dyDescent="0.35">
      <c r="A55" s="216"/>
      <c r="B55" s="216"/>
      <c r="C55" s="217"/>
      <c r="E55" s="217"/>
      <c r="F55" s="217"/>
      <c r="H55" s="217"/>
      <c r="L55" s="217"/>
      <c r="M55" s="219"/>
      <c r="N55" s="220"/>
      <c r="P55" s="220"/>
      <c r="R55" s="221"/>
      <c r="AD55" s="217"/>
      <c r="AH55" s="217"/>
      <c r="AJ55" s="221"/>
      <c r="AL55" s="222"/>
      <c r="AM55" s="216"/>
    </row>
    <row r="56" spans="1:39" s="218" customFormat="1" x14ac:dyDescent="0.35">
      <c r="A56" s="216"/>
      <c r="B56" s="216"/>
      <c r="C56" s="217"/>
      <c r="E56" s="217"/>
      <c r="F56" s="217"/>
      <c r="H56" s="217"/>
      <c r="L56" s="217"/>
      <c r="M56" s="219"/>
      <c r="N56" s="220"/>
      <c r="P56" s="220"/>
      <c r="R56" s="221"/>
      <c r="AD56" s="217"/>
      <c r="AH56" s="217"/>
      <c r="AJ56" s="221"/>
      <c r="AL56" s="222"/>
      <c r="AM56" s="216"/>
    </row>
    <row r="57" spans="1:39" s="218" customFormat="1" x14ac:dyDescent="0.35">
      <c r="A57" s="216"/>
      <c r="B57" s="216"/>
      <c r="C57" s="217"/>
      <c r="E57" s="217"/>
      <c r="F57" s="217"/>
      <c r="H57" s="217"/>
      <c r="L57" s="217"/>
      <c r="M57" s="219"/>
      <c r="N57" s="220"/>
      <c r="P57" s="220"/>
      <c r="R57" s="221"/>
      <c r="AD57" s="217"/>
      <c r="AH57" s="217"/>
      <c r="AJ57" s="221"/>
      <c r="AL57" s="222"/>
      <c r="AM57" s="216"/>
    </row>
    <row r="58" spans="1:39" s="218" customFormat="1" x14ac:dyDescent="0.35">
      <c r="A58" s="216"/>
      <c r="B58" s="216"/>
      <c r="C58" s="217"/>
      <c r="E58" s="217"/>
      <c r="F58" s="217"/>
      <c r="H58" s="217"/>
      <c r="L58" s="217"/>
      <c r="M58" s="219"/>
      <c r="N58" s="220"/>
      <c r="P58" s="220"/>
      <c r="R58" s="221"/>
      <c r="AD58" s="217"/>
      <c r="AH58" s="217"/>
      <c r="AJ58" s="221"/>
      <c r="AL58" s="222"/>
      <c r="AM58" s="216"/>
    </row>
    <row r="59" spans="1:39" s="218" customFormat="1" x14ac:dyDescent="0.35">
      <c r="A59" s="216"/>
      <c r="B59" s="216"/>
      <c r="C59" s="217"/>
      <c r="E59" s="217"/>
      <c r="F59" s="217"/>
      <c r="H59" s="217"/>
      <c r="L59" s="217"/>
      <c r="M59" s="219"/>
      <c r="N59" s="220"/>
      <c r="P59" s="220"/>
      <c r="R59" s="221"/>
      <c r="AD59" s="217"/>
      <c r="AH59" s="217"/>
      <c r="AJ59" s="221"/>
      <c r="AL59" s="222"/>
      <c r="AM59" s="216"/>
    </row>
    <row r="60" spans="1:39" s="218" customFormat="1" x14ac:dyDescent="0.35">
      <c r="A60" s="216"/>
      <c r="B60" s="216"/>
      <c r="C60" s="217"/>
      <c r="E60" s="217"/>
      <c r="F60" s="217"/>
      <c r="H60" s="217"/>
      <c r="L60" s="217"/>
      <c r="M60" s="219"/>
      <c r="N60" s="220"/>
      <c r="P60" s="220"/>
      <c r="R60" s="221"/>
      <c r="AD60" s="217"/>
      <c r="AH60" s="217"/>
      <c r="AJ60" s="221"/>
      <c r="AL60" s="222"/>
      <c r="AM60" s="216"/>
    </row>
    <row r="61" spans="1:39" s="218" customFormat="1" x14ac:dyDescent="0.35">
      <c r="A61" s="216"/>
      <c r="B61" s="216"/>
      <c r="C61" s="217"/>
      <c r="E61" s="217"/>
      <c r="F61" s="217"/>
      <c r="H61" s="217"/>
      <c r="L61" s="217"/>
      <c r="M61" s="219"/>
      <c r="N61" s="220"/>
      <c r="P61" s="220"/>
      <c r="R61" s="221"/>
      <c r="AD61" s="217"/>
      <c r="AH61" s="217"/>
      <c r="AJ61" s="221"/>
      <c r="AL61" s="222"/>
      <c r="AM61" s="216"/>
    </row>
    <row r="62" spans="1:39" s="218" customFormat="1" x14ac:dyDescent="0.35">
      <c r="A62" s="216"/>
      <c r="B62" s="216"/>
      <c r="C62" s="217"/>
      <c r="E62" s="217"/>
      <c r="F62" s="217"/>
      <c r="H62" s="217"/>
      <c r="L62" s="217"/>
      <c r="M62" s="219"/>
      <c r="N62" s="220"/>
      <c r="P62" s="220"/>
      <c r="R62" s="221"/>
      <c r="AD62" s="217"/>
      <c r="AH62" s="217"/>
      <c r="AJ62" s="221"/>
      <c r="AL62" s="222"/>
      <c r="AM62" s="216"/>
    </row>
    <row r="63" spans="1:39" s="218" customFormat="1" x14ac:dyDescent="0.35">
      <c r="A63" s="216"/>
      <c r="B63" s="216"/>
      <c r="C63" s="217"/>
      <c r="E63" s="217"/>
      <c r="F63" s="217"/>
      <c r="H63" s="217"/>
      <c r="L63" s="217"/>
      <c r="M63" s="219"/>
      <c r="N63" s="220"/>
      <c r="P63" s="220"/>
      <c r="R63" s="221"/>
      <c r="AD63" s="217"/>
      <c r="AH63" s="217"/>
      <c r="AJ63" s="221"/>
      <c r="AL63" s="222"/>
      <c r="AM63" s="216"/>
    </row>
    <row r="64" spans="1:39" s="218" customFormat="1" x14ac:dyDescent="0.35">
      <c r="A64" s="216"/>
      <c r="B64" s="216"/>
      <c r="C64" s="217"/>
      <c r="E64" s="217"/>
      <c r="F64" s="217"/>
      <c r="H64" s="217"/>
      <c r="L64" s="217"/>
      <c r="M64" s="219"/>
      <c r="N64" s="220"/>
      <c r="P64" s="220"/>
      <c r="R64" s="221"/>
      <c r="AD64" s="217"/>
      <c r="AH64" s="217"/>
      <c r="AJ64" s="221"/>
      <c r="AL64" s="222"/>
      <c r="AM64" s="216"/>
    </row>
    <row r="65" spans="1:39" s="218" customFormat="1" x14ac:dyDescent="0.35">
      <c r="A65" s="216"/>
      <c r="B65" s="216"/>
      <c r="C65" s="217"/>
      <c r="E65" s="217"/>
      <c r="F65" s="217"/>
      <c r="H65" s="217"/>
      <c r="L65" s="217"/>
      <c r="M65" s="219"/>
      <c r="N65" s="220"/>
      <c r="P65" s="220"/>
      <c r="R65" s="221"/>
      <c r="AD65" s="217"/>
      <c r="AH65" s="217"/>
      <c r="AJ65" s="221"/>
      <c r="AL65" s="222"/>
      <c r="AM65" s="216"/>
    </row>
    <row r="66" spans="1:39" s="218" customFormat="1" x14ac:dyDescent="0.35">
      <c r="A66" s="216"/>
      <c r="B66" s="216"/>
      <c r="C66" s="217"/>
      <c r="E66" s="217"/>
      <c r="F66" s="217"/>
      <c r="H66" s="217"/>
      <c r="L66" s="217"/>
      <c r="M66" s="219"/>
      <c r="N66" s="220"/>
      <c r="P66" s="220"/>
      <c r="R66" s="221"/>
      <c r="AD66" s="217"/>
      <c r="AH66" s="217"/>
      <c r="AJ66" s="221"/>
      <c r="AL66" s="222"/>
      <c r="AM66" s="216"/>
    </row>
    <row r="67" spans="1:39" s="218" customFormat="1" x14ac:dyDescent="0.35">
      <c r="A67" s="216"/>
      <c r="B67" s="216"/>
      <c r="C67" s="217"/>
      <c r="E67" s="217"/>
      <c r="F67" s="217"/>
      <c r="H67" s="217"/>
      <c r="L67" s="217"/>
      <c r="M67" s="219"/>
      <c r="N67" s="220"/>
      <c r="P67" s="220"/>
      <c r="R67" s="221"/>
      <c r="AD67" s="217"/>
      <c r="AH67" s="217"/>
      <c r="AJ67" s="221"/>
      <c r="AL67" s="222"/>
      <c r="AM67" s="216"/>
    </row>
    <row r="68" spans="1:39" s="218" customFormat="1" x14ac:dyDescent="0.35">
      <c r="A68" s="216"/>
      <c r="B68" s="216"/>
      <c r="C68" s="217"/>
      <c r="E68" s="217"/>
      <c r="F68" s="217"/>
      <c r="H68" s="217"/>
      <c r="L68" s="217"/>
      <c r="M68" s="219"/>
      <c r="N68" s="220"/>
      <c r="P68" s="220"/>
      <c r="R68" s="221"/>
      <c r="AD68" s="217"/>
      <c r="AH68" s="217"/>
      <c r="AJ68" s="221"/>
      <c r="AL68" s="222"/>
      <c r="AM68" s="216"/>
    </row>
    <row r="69" spans="1:39" s="218" customFormat="1" x14ac:dyDescent="0.35">
      <c r="A69" s="216"/>
      <c r="B69" s="216"/>
      <c r="C69" s="217"/>
      <c r="E69" s="217"/>
      <c r="F69" s="217"/>
      <c r="H69" s="217"/>
      <c r="L69" s="217"/>
      <c r="M69" s="219"/>
      <c r="N69" s="220"/>
      <c r="P69" s="220"/>
      <c r="R69" s="221"/>
      <c r="AD69" s="217"/>
      <c r="AH69" s="217"/>
      <c r="AJ69" s="221"/>
      <c r="AL69" s="222"/>
      <c r="AM69" s="216"/>
    </row>
    <row r="70" spans="1:39" s="218" customFormat="1" x14ac:dyDescent="0.35">
      <c r="A70" s="216"/>
      <c r="B70" s="216"/>
      <c r="C70" s="217"/>
      <c r="E70" s="217"/>
      <c r="F70" s="217"/>
      <c r="H70" s="217"/>
      <c r="L70" s="217"/>
      <c r="M70" s="219"/>
      <c r="N70" s="220"/>
      <c r="P70" s="220"/>
      <c r="R70" s="221"/>
      <c r="AD70" s="217"/>
      <c r="AH70" s="217"/>
      <c r="AJ70" s="221"/>
      <c r="AL70" s="222"/>
      <c r="AM70" s="216"/>
    </row>
    <row r="71" spans="1:39" s="218" customFormat="1" x14ac:dyDescent="0.35">
      <c r="A71" s="216"/>
      <c r="B71" s="216"/>
      <c r="C71" s="217"/>
      <c r="E71" s="217"/>
      <c r="F71" s="217"/>
      <c r="H71" s="217"/>
      <c r="L71" s="217"/>
      <c r="M71" s="219"/>
      <c r="N71" s="220"/>
      <c r="P71" s="220"/>
      <c r="R71" s="221"/>
      <c r="AD71" s="217"/>
      <c r="AH71" s="217"/>
      <c r="AJ71" s="221"/>
      <c r="AL71" s="222"/>
      <c r="AM71" s="216"/>
    </row>
    <row r="72" spans="1:39" s="218" customFormat="1" x14ac:dyDescent="0.35">
      <c r="A72" s="216"/>
      <c r="B72" s="216"/>
      <c r="C72" s="217"/>
      <c r="E72" s="217"/>
      <c r="F72" s="217"/>
      <c r="H72" s="217"/>
      <c r="L72" s="217"/>
      <c r="M72" s="219"/>
      <c r="N72" s="220"/>
      <c r="P72" s="220"/>
      <c r="R72" s="221"/>
      <c r="AD72" s="217"/>
      <c r="AH72" s="217"/>
      <c r="AJ72" s="221"/>
      <c r="AL72" s="222"/>
      <c r="AM72" s="216"/>
    </row>
    <row r="73" spans="1:39" s="218" customFormat="1" x14ac:dyDescent="0.35">
      <c r="A73" s="216"/>
      <c r="B73" s="216"/>
      <c r="C73" s="217"/>
      <c r="E73" s="217"/>
      <c r="F73" s="217"/>
      <c r="H73" s="217"/>
      <c r="L73" s="217"/>
      <c r="M73" s="219"/>
      <c r="N73" s="220"/>
      <c r="P73" s="220"/>
      <c r="R73" s="221"/>
      <c r="AD73" s="217"/>
      <c r="AH73" s="217"/>
      <c r="AJ73" s="221"/>
      <c r="AL73" s="222"/>
      <c r="AM73" s="216"/>
    </row>
    <row r="74" spans="1:39" s="218" customFormat="1" x14ac:dyDescent="0.35">
      <c r="A74" s="216"/>
      <c r="B74" s="216"/>
      <c r="C74" s="217"/>
      <c r="E74" s="217"/>
      <c r="F74" s="217"/>
      <c r="H74" s="217"/>
      <c r="L74" s="217"/>
      <c r="M74" s="219"/>
      <c r="N74" s="220"/>
      <c r="P74" s="220"/>
      <c r="R74" s="221"/>
      <c r="AD74" s="217"/>
      <c r="AH74" s="217"/>
      <c r="AJ74" s="221"/>
      <c r="AL74" s="222"/>
      <c r="AM74" s="216"/>
    </row>
    <row r="75" spans="1:39" s="218" customFormat="1" x14ac:dyDescent="0.35">
      <c r="A75" s="216"/>
      <c r="B75" s="216"/>
      <c r="C75" s="217"/>
      <c r="E75" s="217"/>
      <c r="F75" s="217"/>
      <c r="H75" s="217"/>
      <c r="L75" s="217"/>
      <c r="M75" s="219"/>
      <c r="N75" s="220"/>
      <c r="P75" s="220"/>
      <c r="R75" s="221"/>
      <c r="AD75" s="217"/>
      <c r="AH75" s="217"/>
      <c r="AJ75" s="221"/>
      <c r="AL75" s="222"/>
      <c r="AM75" s="216"/>
    </row>
    <row r="76" spans="1:39" s="218" customFormat="1" x14ac:dyDescent="0.35">
      <c r="A76" s="216"/>
      <c r="B76" s="216"/>
      <c r="C76" s="217"/>
      <c r="E76" s="217"/>
      <c r="F76" s="217"/>
      <c r="H76" s="217"/>
      <c r="L76" s="217"/>
      <c r="M76" s="219"/>
      <c r="N76" s="220"/>
      <c r="P76" s="220"/>
      <c r="R76" s="221"/>
      <c r="AD76" s="217"/>
      <c r="AH76" s="217"/>
      <c r="AJ76" s="221"/>
      <c r="AL76" s="222"/>
      <c r="AM76" s="216"/>
    </row>
    <row r="77" spans="1:39" s="218" customFormat="1" x14ac:dyDescent="0.35">
      <c r="A77" s="216"/>
      <c r="B77" s="216"/>
      <c r="C77" s="217"/>
      <c r="E77" s="217"/>
      <c r="F77" s="217"/>
      <c r="H77" s="217"/>
      <c r="L77" s="217"/>
      <c r="M77" s="219"/>
      <c r="N77" s="220"/>
      <c r="P77" s="220"/>
      <c r="R77" s="221"/>
      <c r="AD77" s="217"/>
      <c r="AH77" s="217"/>
      <c r="AJ77" s="221"/>
      <c r="AL77" s="222"/>
      <c r="AM77" s="216"/>
    </row>
    <row r="78" spans="1:39" s="218" customFormat="1" x14ac:dyDescent="0.35">
      <c r="A78" s="216"/>
      <c r="B78" s="216"/>
      <c r="C78" s="217"/>
      <c r="E78" s="217"/>
      <c r="F78" s="217"/>
      <c r="H78" s="217"/>
      <c r="L78" s="217"/>
      <c r="M78" s="219"/>
      <c r="N78" s="220"/>
      <c r="P78" s="220"/>
      <c r="R78" s="221"/>
      <c r="AD78" s="217"/>
      <c r="AH78" s="217"/>
      <c r="AJ78" s="221"/>
      <c r="AL78" s="222"/>
      <c r="AM78" s="216"/>
    </row>
    <row r="79" spans="1:39" s="218" customFormat="1" x14ac:dyDescent="0.35">
      <c r="A79" s="216"/>
      <c r="B79" s="216"/>
      <c r="C79" s="217"/>
      <c r="E79" s="217"/>
      <c r="F79" s="217"/>
      <c r="H79" s="217"/>
      <c r="L79" s="217"/>
      <c r="M79" s="219"/>
      <c r="N79" s="220"/>
      <c r="P79" s="220"/>
      <c r="R79" s="221"/>
      <c r="AD79" s="217"/>
      <c r="AH79" s="217"/>
      <c r="AJ79" s="221"/>
      <c r="AL79" s="222"/>
      <c r="AM79" s="216"/>
    </row>
    <row r="80" spans="1:39" s="218" customFormat="1" x14ac:dyDescent="0.35">
      <c r="A80" s="216"/>
      <c r="B80" s="216"/>
      <c r="C80" s="217"/>
      <c r="E80" s="217"/>
      <c r="F80" s="217"/>
      <c r="H80" s="217"/>
      <c r="L80" s="217"/>
      <c r="M80" s="219"/>
      <c r="N80" s="220"/>
      <c r="P80" s="220"/>
      <c r="R80" s="221"/>
      <c r="AD80" s="217"/>
      <c r="AH80" s="217"/>
      <c r="AJ80" s="221"/>
      <c r="AL80" s="222"/>
      <c r="AM80" s="216"/>
    </row>
    <row r="81" spans="1:39" s="218" customFormat="1" x14ac:dyDescent="0.35">
      <c r="A81" s="216"/>
      <c r="B81" s="216"/>
      <c r="C81" s="217"/>
      <c r="E81" s="217"/>
      <c r="F81" s="217"/>
      <c r="H81" s="217"/>
      <c r="L81" s="217"/>
      <c r="M81" s="219"/>
      <c r="N81" s="220"/>
      <c r="P81" s="220"/>
      <c r="R81" s="221"/>
      <c r="AD81" s="217"/>
      <c r="AH81" s="217"/>
      <c r="AJ81" s="221"/>
      <c r="AL81" s="222"/>
      <c r="AM81" s="216"/>
    </row>
    <row r="82" spans="1:39" s="218" customFormat="1" x14ac:dyDescent="0.35">
      <c r="A82" s="216"/>
      <c r="B82" s="216"/>
      <c r="C82" s="217"/>
      <c r="E82" s="217"/>
      <c r="F82" s="217"/>
      <c r="H82" s="217"/>
      <c r="L82" s="217"/>
      <c r="M82" s="219"/>
      <c r="N82" s="220"/>
      <c r="P82" s="220"/>
      <c r="R82" s="221"/>
      <c r="AD82" s="217"/>
      <c r="AH82" s="217"/>
      <c r="AJ82" s="221"/>
      <c r="AL82" s="222"/>
      <c r="AM82" s="216"/>
    </row>
    <row r="83" spans="1:39" s="218" customFormat="1" x14ac:dyDescent="0.35">
      <c r="A83" s="216"/>
      <c r="B83" s="216"/>
      <c r="C83" s="217"/>
      <c r="E83" s="217"/>
      <c r="F83" s="217"/>
      <c r="H83" s="217"/>
      <c r="L83" s="217"/>
      <c r="M83" s="219"/>
      <c r="N83" s="220"/>
      <c r="P83" s="220"/>
      <c r="R83" s="221"/>
      <c r="AD83" s="217"/>
      <c r="AH83" s="217"/>
      <c r="AJ83" s="221"/>
      <c r="AL83" s="222"/>
      <c r="AM83" s="216"/>
    </row>
    <row r="84" spans="1:39" s="218" customFormat="1" x14ac:dyDescent="0.35">
      <c r="A84" s="216"/>
      <c r="B84" s="216"/>
      <c r="C84" s="217"/>
      <c r="E84" s="217"/>
      <c r="F84" s="217"/>
      <c r="H84" s="217"/>
      <c r="L84" s="217"/>
      <c r="M84" s="219"/>
      <c r="N84" s="220"/>
      <c r="P84" s="220"/>
      <c r="R84" s="221"/>
      <c r="AD84" s="217"/>
      <c r="AH84" s="217"/>
      <c r="AJ84" s="221"/>
      <c r="AL84" s="222"/>
      <c r="AM84" s="216"/>
    </row>
    <row r="85" spans="1:39" s="218" customFormat="1" x14ac:dyDescent="0.35">
      <c r="A85" s="216"/>
      <c r="B85" s="216"/>
      <c r="C85" s="217"/>
      <c r="E85" s="217"/>
      <c r="F85" s="217"/>
      <c r="H85" s="217"/>
      <c r="L85" s="217"/>
      <c r="M85" s="219"/>
      <c r="N85" s="220"/>
      <c r="P85" s="220"/>
      <c r="R85" s="221"/>
      <c r="AD85" s="217"/>
      <c r="AH85" s="217"/>
      <c r="AJ85" s="221"/>
      <c r="AL85" s="222"/>
      <c r="AM85" s="216"/>
    </row>
    <row r="86" spans="1:39" s="218" customFormat="1" x14ac:dyDescent="0.35">
      <c r="A86" s="216"/>
      <c r="B86" s="216"/>
      <c r="C86" s="217"/>
      <c r="E86" s="217"/>
      <c r="F86" s="217"/>
      <c r="H86" s="217"/>
      <c r="L86" s="217"/>
      <c r="M86" s="219"/>
      <c r="N86" s="220"/>
      <c r="P86" s="220"/>
      <c r="R86" s="221"/>
      <c r="AD86" s="217"/>
      <c r="AH86" s="217"/>
      <c r="AJ86" s="221"/>
      <c r="AL86" s="222"/>
      <c r="AM86" s="216"/>
    </row>
    <row r="87" spans="1:39" s="218" customFormat="1" x14ac:dyDescent="0.35">
      <c r="A87" s="216"/>
      <c r="B87" s="216"/>
      <c r="C87" s="217"/>
      <c r="E87" s="217"/>
      <c r="F87" s="217"/>
      <c r="H87" s="217"/>
      <c r="L87" s="217"/>
      <c r="M87" s="219"/>
      <c r="N87" s="220"/>
      <c r="P87" s="220"/>
      <c r="R87" s="221"/>
      <c r="AD87" s="217"/>
      <c r="AH87" s="217"/>
      <c r="AJ87" s="221"/>
      <c r="AL87" s="222"/>
      <c r="AM87" s="216"/>
    </row>
    <row r="88" spans="1:39" s="218" customFormat="1" x14ac:dyDescent="0.35">
      <c r="A88" s="216"/>
      <c r="B88" s="216"/>
      <c r="C88" s="217"/>
      <c r="E88" s="217"/>
      <c r="F88" s="217"/>
      <c r="H88" s="217"/>
      <c r="L88" s="217"/>
      <c r="M88" s="219"/>
      <c r="N88" s="220"/>
      <c r="P88" s="220"/>
      <c r="R88" s="221"/>
      <c r="AD88" s="217"/>
      <c r="AH88" s="217"/>
      <c r="AJ88" s="221"/>
      <c r="AL88" s="222"/>
      <c r="AM88" s="216"/>
    </row>
    <row r="89" spans="1:39" s="218" customFormat="1" x14ac:dyDescent="0.35">
      <c r="A89" s="216"/>
      <c r="B89" s="216"/>
      <c r="C89" s="217"/>
      <c r="E89" s="217"/>
      <c r="F89" s="217"/>
      <c r="H89" s="217"/>
      <c r="L89" s="217"/>
      <c r="M89" s="219"/>
      <c r="N89" s="220"/>
      <c r="P89" s="220"/>
      <c r="R89" s="221"/>
      <c r="AD89" s="217"/>
      <c r="AH89" s="217"/>
      <c r="AJ89" s="221"/>
      <c r="AL89" s="222"/>
      <c r="AM89" s="216"/>
    </row>
    <row r="90" spans="1:39" s="218" customFormat="1" x14ac:dyDescent="0.35">
      <c r="A90" s="216"/>
      <c r="B90" s="216"/>
      <c r="C90" s="217"/>
      <c r="E90" s="217"/>
      <c r="F90" s="217"/>
      <c r="H90" s="217"/>
      <c r="L90" s="217"/>
      <c r="M90" s="219"/>
      <c r="N90" s="220"/>
      <c r="P90" s="220"/>
      <c r="R90" s="221"/>
      <c r="AD90" s="217"/>
      <c r="AH90" s="217"/>
      <c r="AJ90" s="221"/>
      <c r="AL90" s="222"/>
      <c r="AM90" s="216"/>
    </row>
    <row r="91" spans="1:39" s="218" customFormat="1" x14ac:dyDescent="0.35">
      <c r="A91" s="216"/>
      <c r="B91" s="216"/>
      <c r="C91" s="217"/>
      <c r="E91" s="217"/>
      <c r="F91" s="217"/>
      <c r="H91" s="217"/>
      <c r="L91" s="217"/>
      <c r="M91" s="219"/>
      <c r="N91" s="220"/>
      <c r="P91" s="220"/>
      <c r="R91" s="221"/>
      <c r="AD91" s="217"/>
      <c r="AH91" s="217"/>
      <c r="AJ91" s="221"/>
      <c r="AL91" s="222"/>
      <c r="AM91" s="216"/>
    </row>
    <row r="92" spans="1:39" s="218" customFormat="1" x14ac:dyDescent="0.35">
      <c r="A92" s="216"/>
      <c r="B92" s="216"/>
      <c r="C92" s="217"/>
      <c r="E92" s="217"/>
      <c r="F92" s="217"/>
      <c r="H92" s="217"/>
      <c r="L92" s="217"/>
      <c r="M92" s="219"/>
      <c r="N92" s="220"/>
      <c r="P92" s="220"/>
      <c r="R92" s="221"/>
      <c r="AD92" s="217"/>
      <c r="AH92" s="217"/>
      <c r="AJ92" s="221"/>
      <c r="AL92" s="222"/>
      <c r="AM92" s="216"/>
    </row>
    <row r="93" spans="1:39" s="218" customFormat="1" x14ac:dyDescent="0.35">
      <c r="A93" s="216"/>
      <c r="B93" s="216"/>
      <c r="C93" s="217"/>
      <c r="E93" s="217"/>
      <c r="F93" s="217"/>
      <c r="H93" s="217"/>
      <c r="L93" s="217"/>
      <c r="M93" s="219"/>
      <c r="N93" s="220"/>
      <c r="P93" s="220"/>
      <c r="R93" s="221"/>
      <c r="AD93" s="217"/>
      <c r="AH93" s="217"/>
      <c r="AJ93" s="221"/>
      <c r="AL93" s="222"/>
      <c r="AM93" s="216"/>
    </row>
    <row r="94" spans="1:39" s="218" customFormat="1" x14ac:dyDescent="0.35">
      <c r="A94" s="216"/>
      <c r="B94" s="216"/>
      <c r="C94" s="217"/>
      <c r="E94" s="217"/>
      <c r="F94" s="217"/>
      <c r="H94" s="217"/>
      <c r="L94" s="217"/>
      <c r="M94" s="219"/>
      <c r="N94" s="220"/>
      <c r="P94" s="220"/>
      <c r="R94" s="221"/>
      <c r="AD94" s="217"/>
      <c r="AH94" s="217"/>
      <c r="AJ94" s="221"/>
      <c r="AL94" s="222"/>
      <c r="AM94" s="216"/>
    </row>
    <row r="95" spans="1:39" s="218" customFormat="1" x14ac:dyDescent="0.35">
      <c r="A95" s="216"/>
      <c r="B95" s="216"/>
      <c r="C95" s="217"/>
      <c r="E95" s="217"/>
      <c r="F95" s="217"/>
      <c r="H95" s="217"/>
      <c r="L95" s="217"/>
      <c r="M95" s="219"/>
      <c r="N95" s="220"/>
      <c r="P95" s="220"/>
      <c r="R95" s="221"/>
      <c r="AD95" s="217"/>
      <c r="AH95" s="217"/>
      <c r="AJ95" s="221"/>
      <c r="AL95" s="222"/>
      <c r="AM95" s="216"/>
    </row>
    <row r="96" spans="1:39" s="218" customFormat="1" x14ac:dyDescent="0.35">
      <c r="A96" s="216"/>
      <c r="B96" s="216"/>
      <c r="C96" s="217"/>
      <c r="E96" s="217"/>
      <c r="F96" s="217"/>
      <c r="H96" s="217"/>
      <c r="L96" s="217"/>
      <c r="M96" s="219"/>
      <c r="N96" s="220"/>
      <c r="P96" s="220"/>
      <c r="R96" s="221"/>
      <c r="AD96" s="217"/>
      <c r="AH96" s="217"/>
      <c r="AJ96" s="221"/>
      <c r="AL96" s="222"/>
      <c r="AM96" s="216"/>
    </row>
    <row r="97" spans="1:39" s="218" customFormat="1" x14ac:dyDescent="0.35">
      <c r="A97" s="216"/>
      <c r="B97" s="216"/>
      <c r="C97" s="217"/>
      <c r="E97" s="217"/>
      <c r="F97" s="217"/>
      <c r="H97" s="217"/>
      <c r="L97" s="217"/>
      <c r="M97" s="219"/>
      <c r="N97" s="220"/>
      <c r="P97" s="220"/>
      <c r="R97" s="221"/>
      <c r="AD97" s="217"/>
      <c r="AH97" s="217"/>
      <c r="AJ97" s="221"/>
      <c r="AL97" s="222"/>
      <c r="AM97" s="216"/>
    </row>
    <row r="98" spans="1:39" s="218" customFormat="1" x14ac:dyDescent="0.35">
      <c r="A98" s="216"/>
      <c r="B98" s="216"/>
      <c r="C98" s="217"/>
      <c r="E98" s="217"/>
      <c r="F98" s="217"/>
      <c r="H98" s="217"/>
      <c r="L98" s="217"/>
      <c r="M98" s="219"/>
      <c r="N98" s="220"/>
      <c r="P98" s="220"/>
      <c r="R98" s="221"/>
      <c r="AD98" s="217"/>
      <c r="AH98" s="217"/>
      <c r="AJ98" s="221"/>
      <c r="AL98" s="222"/>
      <c r="AM98" s="216"/>
    </row>
    <row r="99" spans="1:39" s="218" customFormat="1" x14ac:dyDescent="0.35">
      <c r="A99" s="216"/>
      <c r="B99" s="216"/>
      <c r="C99" s="217"/>
      <c r="E99" s="217"/>
      <c r="F99" s="217"/>
      <c r="H99" s="217"/>
      <c r="L99" s="217"/>
      <c r="M99" s="219"/>
      <c r="N99" s="220"/>
      <c r="P99" s="220"/>
      <c r="R99" s="221"/>
      <c r="AD99" s="217"/>
      <c r="AH99" s="217"/>
      <c r="AJ99" s="221"/>
      <c r="AL99" s="222"/>
      <c r="AM99" s="216"/>
    </row>
    <row r="100" spans="1:39" s="218" customFormat="1" x14ac:dyDescent="0.35">
      <c r="A100" s="216"/>
      <c r="B100" s="216"/>
      <c r="C100" s="217"/>
      <c r="E100" s="217"/>
      <c r="F100" s="217"/>
      <c r="H100" s="217"/>
      <c r="L100" s="217"/>
      <c r="M100" s="219"/>
      <c r="N100" s="220"/>
      <c r="P100" s="220"/>
      <c r="R100" s="221"/>
      <c r="AD100" s="217"/>
      <c r="AH100" s="217"/>
      <c r="AJ100" s="221"/>
      <c r="AL100" s="222"/>
      <c r="AM100" s="216"/>
    </row>
    <row r="101" spans="1:39" s="218" customFormat="1" x14ac:dyDescent="0.35">
      <c r="A101" s="216"/>
      <c r="B101" s="216"/>
      <c r="C101" s="217"/>
      <c r="E101" s="217"/>
      <c r="F101" s="217"/>
      <c r="H101" s="217"/>
      <c r="L101" s="217"/>
      <c r="M101" s="219"/>
      <c r="N101" s="220"/>
      <c r="P101" s="220"/>
      <c r="R101" s="221"/>
      <c r="AD101" s="217"/>
      <c r="AH101" s="217"/>
      <c r="AJ101" s="221"/>
      <c r="AL101" s="222"/>
      <c r="AM101" s="216"/>
    </row>
    <row r="102" spans="1:39" s="218" customFormat="1" x14ac:dyDescent="0.35">
      <c r="A102" s="216"/>
      <c r="B102" s="216"/>
      <c r="C102" s="217"/>
      <c r="E102" s="217"/>
      <c r="F102" s="217"/>
      <c r="H102" s="217"/>
      <c r="L102" s="217"/>
      <c r="M102" s="219"/>
      <c r="N102" s="220"/>
      <c r="P102" s="220"/>
      <c r="R102" s="221"/>
      <c r="AD102" s="217"/>
      <c r="AH102" s="217"/>
      <c r="AJ102" s="221"/>
      <c r="AL102" s="222"/>
      <c r="AM102" s="216"/>
    </row>
    <row r="103" spans="1:39" s="218" customFormat="1" x14ac:dyDescent="0.35">
      <c r="A103" s="216"/>
      <c r="B103" s="216"/>
      <c r="C103" s="217"/>
      <c r="E103" s="217"/>
      <c r="F103" s="217"/>
      <c r="H103" s="217"/>
      <c r="L103" s="217"/>
      <c r="M103" s="219"/>
      <c r="N103" s="220"/>
      <c r="P103" s="220"/>
      <c r="R103" s="221"/>
      <c r="AD103" s="217"/>
      <c r="AH103" s="217"/>
      <c r="AJ103" s="221"/>
      <c r="AL103" s="222"/>
      <c r="AM103" s="216"/>
    </row>
    <row r="104" spans="1:39" s="218" customFormat="1" x14ac:dyDescent="0.35">
      <c r="A104" s="216"/>
      <c r="B104" s="216"/>
      <c r="C104" s="217"/>
      <c r="E104" s="217"/>
      <c r="F104" s="217"/>
      <c r="H104" s="217"/>
      <c r="L104" s="217"/>
      <c r="M104" s="219"/>
      <c r="N104" s="220"/>
      <c r="P104" s="220"/>
      <c r="R104" s="221"/>
      <c r="AD104" s="217"/>
      <c r="AH104" s="217"/>
      <c r="AJ104" s="221"/>
      <c r="AL104" s="222"/>
      <c r="AM104" s="216"/>
    </row>
    <row r="105" spans="1:39" s="218" customFormat="1" x14ac:dyDescent="0.35">
      <c r="A105" s="216"/>
      <c r="B105" s="216"/>
      <c r="C105" s="217"/>
      <c r="E105" s="217"/>
      <c r="F105" s="217"/>
      <c r="H105" s="217"/>
      <c r="L105" s="217"/>
      <c r="M105" s="219"/>
      <c r="N105" s="220"/>
      <c r="P105" s="220"/>
      <c r="R105" s="221"/>
      <c r="AD105" s="217"/>
      <c r="AH105" s="217"/>
      <c r="AJ105" s="221"/>
      <c r="AL105" s="222"/>
      <c r="AM105" s="216"/>
    </row>
    <row r="106" spans="1:39" s="218" customFormat="1" x14ac:dyDescent="0.35">
      <c r="A106" s="216"/>
      <c r="B106" s="216"/>
      <c r="C106" s="217"/>
      <c r="E106" s="217"/>
      <c r="F106" s="217"/>
      <c r="H106" s="217"/>
      <c r="L106" s="217"/>
      <c r="M106" s="219"/>
      <c r="N106" s="220"/>
      <c r="P106" s="220"/>
      <c r="R106" s="221"/>
      <c r="AD106" s="217"/>
      <c r="AH106" s="217"/>
      <c r="AJ106" s="221"/>
      <c r="AL106" s="222"/>
      <c r="AM106" s="216"/>
    </row>
    <row r="107" spans="1:39" s="218" customFormat="1" x14ac:dyDescent="0.35">
      <c r="A107" s="216"/>
      <c r="B107" s="216"/>
      <c r="C107" s="217"/>
      <c r="E107" s="217"/>
      <c r="F107" s="217"/>
      <c r="H107" s="217"/>
      <c r="L107" s="217"/>
      <c r="M107" s="219"/>
      <c r="N107" s="220"/>
      <c r="P107" s="220"/>
      <c r="R107" s="221"/>
      <c r="AD107" s="217"/>
      <c r="AH107" s="217"/>
      <c r="AJ107" s="221"/>
      <c r="AL107" s="222"/>
      <c r="AM107" s="216"/>
    </row>
    <row r="108" spans="1:39" s="218" customFormat="1" x14ac:dyDescent="0.35">
      <c r="A108" s="216"/>
      <c r="B108" s="216"/>
      <c r="C108" s="217"/>
      <c r="E108" s="217"/>
      <c r="F108" s="217"/>
      <c r="H108" s="217"/>
      <c r="L108" s="217"/>
      <c r="M108" s="219"/>
      <c r="N108" s="220"/>
      <c r="P108" s="220"/>
      <c r="R108" s="221"/>
      <c r="AD108" s="217"/>
      <c r="AH108" s="217"/>
      <c r="AJ108" s="221"/>
      <c r="AL108" s="222"/>
      <c r="AM108" s="216"/>
    </row>
    <row r="109" spans="1:39" s="218" customFormat="1" x14ac:dyDescent="0.35">
      <c r="A109" s="216"/>
      <c r="B109" s="216"/>
      <c r="C109" s="217"/>
      <c r="E109" s="217"/>
      <c r="F109" s="217"/>
      <c r="H109" s="217"/>
      <c r="L109" s="217"/>
      <c r="M109" s="219"/>
      <c r="N109" s="220"/>
      <c r="P109" s="220"/>
      <c r="R109" s="221"/>
      <c r="AD109" s="217"/>
      <c r="AH109" s="217"/>
      <c r="AJ109" s="221"/>
      <c r="AL109" s="222"/>
      <c r="AM109" s="216"/>
    </row>
    <row r="110" spans="1:39" s="218" customFormat="1" x14ac:dyDescent="0.35">
      <c r="A110" s="216"/>
      <c r="B110" s="216"/>
      <c r="C110" s="217"/>
      <c r="E110" s="217"/>
      <c r="F110" s="217"/>
      <c r="H110" s="217"/>
      <c r="L110" s="217"/>
      <c r="M110" s="219"/>
      <c r="N110" s="220"/>
      <c r="P110" s="220"/>
      <c r="R110" s="221"/>
      <c r="AD110" s="217"/>
      <c r="AH110" s="217"/>
      <c r="AJ110" s="221"/>
      <c r="AL110" s="222"/>
      <c r="AM110" s="216"/>
    </row>
    <row r="111" spans="1:39" s="218" customFormat="1" x14ac:dyDescent="0.35">
      <c r="A111" s="216"/>
      <c r="B111" s="216"/>
      <c r="C111" s="217"/>
      <c r="E111" s="217"/>
      <c r="F111" s="217"/>
      <c r="H111" s="217"/>
      <c r="L111" s="217"/>
      <c r="M111" s="219"/>
      <c r="N111" s="220"/>
      <c r="P111" s="220"/>
      <c r="R111" s="221"/>
      <c r="AD111" s="217"/>
      <c r="AH111" s="217"/>
      <c r="AJ111" s="221"/>
      <c r="AL111" s="222"/>
      <c r="AM111" s="216"/>
    </row>
    <row r="112" spans="1:39" s="218" customFormat="1" x14ac:dyDescent="0.35">
      <c r="A112" s="216"/>
      <c r="B112" s="216"/>
      <c r="C112" s="217"/>
      <c r="E112" s="217"/>
      <c r="F112" s="217"/>
      <c r="H112" s="217"/>
      <c r="L112" s="217"/>
      <c r="M112" s="219"/>
      <c r="N112" s="220"/>
      <c r="P112" s="220"/>
      <c r="R112" s="221"/>
      <c r="AD112" s="217"/>
      <c r="AH112" s="217"/>
      <c r="AJ112" s="221"/>
      <c r="AL112" s="222"/>
      <c r="AM112" s="216"/>
    </row>
    <row r="113" spans="1:39" s="218" customFormat="1" x14ac:dyDescent="0.35">
      <c r="A113" s="216"/>
      <c r="B113" s="216"/>
      <c r="C113" s="217"/>
      <c r="E113" s="217"/>
      <c r="F113" s="217"/>
      <c r="H113" s="217"/>
      <c r="L113" s="217"/>
      <c r="M113" s="219"/>
      <c r="N113" s="220"/>
      <c r="P113" s="220"/>
      <c r="R113" s="221"/>
      <c r="AD113" s="217"/>
      <c r="AH113" s="217"/>
      <c r="AJ113" s="221"/>
      <c r="AL113" s="222"/>
      <c r="AM113" s="216"/>
    </row>
  </sheetData>
  <mergeCells count="17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1" sqref="F31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6" t="s">
        <v>15</v>
      </c>
    </row>
    <row r="2" spans="1:3" ht="18.5" x14ac:dyDescent="0.45">
      <c r="A2" s="277">
        <v>44256</v>
      </c>
      <c r="B2" s="278"/>
      <c r="C2" s="278"/>
    </row>
    <row r="3" spans="1:3" x14ac:dyDescent="0.35">
      <c r="A3" s="280" t="s">
        <v>17</v>
      </c>
      <c r="B3" s="279" t="s">
        <v>18</v>
      </c>
      <c r="C3" s="279" t="s">
        <v>12</v>
      </c>
    </row>
    <row r="4" spans="1:3" x14ac:dyDescent="0.35">
      <c r="A4" s="280"/>
      <c r="B4" s="279"/>
      <c r="C4" s="279"/>
    </row>
    <row r="5" spans="1:3" x14ac:dyDescent="0.35">
      <c r="A5" s="280"/>
      <c r="B5" s="279"/>
      <c r="C5" s="279"/>
    </row>
    <row r="6" spans="1:3" x14ac:dyDescent="0.35">
      <c r="A6" s="1">
        <v>1</v>
      </c>
      <c r="B6" s="1">
        <v>1</v>
      </c>
      <c r="C6" s="1">
        <v>42</v>
      </c>
    </row>
    <row r="7" spans="1:3" x14ac:dyDescent="0.35">
      <c r="A7" s="1">
        <v>2</v>
      </c>
      <c r="B7" s="1">
        <v>1</v>
      </c>
      <c r="C7" s="1">
        <v>30</v>
      </c>
    </row>
    <row r="8" spans="1:3" x14ac:dyDescent="0.35">
      <c r="A8" s="1">
        <f>A7+1</f>
        <v>3</v>
      </c>
      <c r="B8" s="1">
        <v>1</v>
      </c>
      <c r="C8" s="1">
        <v>17</v>
      </c>
    </row>
    <row r="9" spans="1:3" x14ac:dyDescent="0.35">
      <c r="A9" s="1">
        <f>A8+1</f>
        <v>4</v>
      </c>
      <c r="B9" s="1">
        <v>2</v>
      </c>
      <c r="C9" s="1">
        <v>28</v>
      </c>
    </row>
    <row r="10" spans="1:3" x14ac:dyDescent="0.35">
      <c r="A10" s="1">
        <f t="shared" ref="A10:A36" si="0">A9+1</f>
        <v>5</v>
      </c>
      <c r="B10" s="1">
        <v>3</v>
      </c>
      <c r="C10" s="1">
        <v>44</v>
      </c>
    </row>
    <row r="11" spans="1:3" x14ac:dyDescent="0.35">
      <c r="A11" s="1">
        <f t="shared" si="0"/>
        <v>6</v>
      </c>
      <c r="B11" s="1">
        <v>3</v>
      </c>
      <c r="C11" s="1">
        <v>44</v>
      </c>
    </row>
    <row r="12" spans="1:3" x14ac:dyDescent="0.35">
      <c r="A12" s="1">
        <f t="shared" si="0"/>
        <v>7</v>
      </c>
      <c r="B12" s="1">
        <v>1</v>
      </c>
      <c r="C12" s="1">
        <v>69</v>
      </c>
    </row>
    <row r="13" spans="1:3" x14ac:dyDescent="0.35">
      <c r="A13" s="1">
        <f t="shared" si="0"/>
        <v>8</v>
      </c>
      <c r="B13" s="1">
        <v>1</v>
      </c>
      <c r="C13" s="1">
        <v>23</v>
      </c>
    </row>
    <row r="14" spans="1:3" x14ac:dyDescent="0.35">
      <c r="A14" s="1">
        <f t="shared" si="0"/>
        <v>9</v>
      </c>
      <c r="B14" s="1">
        <v>1</v>
      </c>
      <c r="C14" s="1">
        <v>19</v>
      </c>
    </row>
    <row r="15" spans="1:3" x14ac:dyDescent="0.35">
      <c r="A15" s="1">
        <f t="shared" si="0"/>
        <v>10</v>
      </c>
      <c r="B15" s="1">
        <v>1</v>
      </c>
      <c r="C15" s="1">
        <v>43</v>
      </c>
    </row>
    <row r="16" spans="1:3" x14ac:dyDescent="0.35">
      <c r="A16" s="1">
        <f t="shared" si="0"/>
        <v>11</v>
      </c>
      <c r="B16" s="1">
        <v>4</v>
      </c>
      <c r="C16" s="1">
        <v>29</v>
      </c>
    </row>
    <row r="17" spans="1:3" x14ac:dyDescent="0.35">
      <c r="A17" s="1">
        <f t="shared" si="0"/>
        <v>12</v>
      </c>
      <c r="B17" s="1">
        <v>6</v>
      </c>
      <c r="C17" s="1">
        <v>46</v>
      </c>
    </row>
    <row r="18" spans="1:3" x14ac:dyDescent="0.35">
      <c r="A18" s="1">
        <f t="shared" si="0"/>
        <v>13</v>
      </c>
      <c r="B18" s="1">
        <v>13</v>
      </c>
      <c r="C18" s="1">
        <v>81</v>
      </c>
    </row>
    <row r="19" spans="1:3" x14ac:dyDescent="0.35">
      <c r="A19" s="1">
        <f t="shared" si="0"/>
        <v>14</v>
      </c>
      <c r="B19" s="1">
        <v>15</v>
      </c>
      <c r="C19" s="1">
        <v>84</v>
      </c>
    </row>
    <row r="20" spans="1:3" x14ac:dyDescent="0.35">
      <c r="A20" s="1">
        <f t="shared" si="0"/>
        <v>15</v>
      </c>
      <c r="B20" s="1">
        <v>3</v>
      </c>
      <c r="C20" s="1">
        <v>54</v>
      </c>
    </row>
    <row r="21" spans="1:3" x14ac:dyDescent="0.35">
      <c r="A21" s="1">
        <f t="shared" si="0"/>
        <v>16</v>
      </c>
      <c r="B21" s="1">
        <v>3</v>
      </c>
      <c r="C21" s="1">
        <v>35</v>
      </c>
    </row>
    <row r="22" spans="1:3" x14ac:dyDescent="0.35">
      <c r="A22" s="1">
        <f t="shared" si="0"/>
        <v>17</v>
      </c>
      <c r="B22" s="1">
        <v>6</v>
      </c>
      <c r="C22" s="1">
        <v>68</v>
      </c>
    </row>
    <row r="23" spans="1:3" x14ac:dyDescent="0.35">
      <c r="A23" s="1">
        <f t="shared" si="0"/>
        <v>18</v>
      </c>
      <c r="B23" s="1">
        <v>4</v>
      </c>
      <c r="C23" s="1">
        <v>33</v>
      </c>
    </row>
    <row r="24" spans="1:3" x14ac:dyDescent="0.35">
      <c r="A24" s="1">
        <f t="shared" si="0"/>
        <v>19</v>
      </c>
      <c r="B24" s="1">
        <v>5</v>
      </c>
      <c r="C24" s="1">
        <v>59</v>
      </c>
    </row>
    <row r="25" spans="1:3" x14ac:dyDescent="0.35">
      <c r="A25" s="1">
        <f t="shared" si="0"/>
        <v>20</v>
      </c>
      <c r="B25" s="1">
        <v>6</v>
      </c>
      <c r="C25" s="1">
        <v>55</v>
      </c>
    </row>
    <row r="26" spans="1:3" x14ac:dyDescent="0.35">
      <c r="A26" s="1">
        <f t="shared" si="0"/>
        <v>21</v>
      </c>
      <c r="B26" s="1">
        <v>4</v>
      </c>
      <c r="C26" s="1">
        <v>88</v>
      </c>
    </row>
    <row r="27" spans="1:3" x14ac:dyDescent="0.35">
      <c r="A27" s="1">
        <f t="shared" si="0"/>
        <v>22</v>
      </c>
      <c r="B27" s="1">
        <v>2</v>
      </c>
      <c r="C27" s="1">
        <v>26</v>
      </c>
    </row>
    <row r="28" spans="1:3" x14ac:dyDescent="0.35">
      <c r="A28" s="1">
        <f t="shared" si="0"/>
        <v>23</v>
      </c>
      <c r="B28" s="1">
        <v>3</v>
      </c>
      <c r="C28" s="1">
        <v>39</v>
      </c>
    </row>
    <row r="29" spans="1:3" x14ac:dyDescent="0.35">
      <c r="A29" s="1">
        <f t="shared" si="0"/>
        <v>24</v>
      </c>
      <c r="B29" s="1">
        <v>8</v>
      </c>
      <c r="C29" s="1">
        <v>62</v>
      </c>
    </row>
    <row r="30" spans="1:3" x14ac:dyDescent="0.35">
      <c r="A30" s="1">
        <f t="shared" si="0"/>
        <v>25</v>
      </c>
      <c r="B30" s="1">
        <v>11</v>
      </c>
      <c r="C30" s="1">
        <v>43</v>
      </c>
    </row>
    <row r="31" spans="1:3" x14ac:dyDescent="0.35">
      <c r="A31" s="1">
        <f t="shared" si="0"/>
        <v>26</v>
      </c>
      <c r="B31" s="1">
        <v>9</v>
      </c>
      <c r="C31" s="1">
        <v>114</v>
      </c>
    </row>
    <row r="32" spans="1:3" x14ac:dyDescent="0.35">
      <c r="A32" s="1">
        <f t="shared" si="0"/>
        <v>27</v>
      </c>
      <c r="B32" s="1">
        <v>7</v>
      </c>
      <c r="C32" s="1">
        <v>114</v>
      </c>
    </row>
    <row r="33" spans="1:3" x14ac:dyDescent="0.35">
      <c r="A33" s="1">
        <f t="shared" si="0"/>
        <v>28</v>
      </c>
      <c r="B33" s="1">
        <v>4</v>
      </c>
      <c r="C33" s="1">
        <v>130</v>
      </c>
    </row>
    <row r="34" spans="1:3" x14ac:dyDescent="0.35">
      <c r="A34" s="1">
        <f t="shared" si="0"/>
        <v>29</v>
      </c>
      <c r="B34" s="1">
        <v>4</v>
      </c>
      <c r="C34" s="1">
        <v>25</v>
      </c>
    </row>
    <row r="35" spans="1:3" x14ac:dyDescent="0.35">
      <c r="A35" s="1">
        <f t="shared" si="0"/>
        <v>30</v>
      </c>
      <c r="B35" s="1">
        <v>6</v>
      </c>
      <c r="C35" s="1">
        <v>50</v>
      </c>
    </row>
    <row r="36" spans="1:3" x14ac:dyDescent="0.35">
      <c r="A36" s="1">
        <f t="shared" si="0"/>
        <v>31</v>
      </c>
      <c r="B36" s="1">
        <v>8</v>
      </c>
      <c r="C36" s="1">
        <v>56</v>
      </c>
    </row>
    <row r="38" spans="1:3" x14ac:dyDescent="0.35">
      <c r="B38" s="5">
        <f>SUM(B6:B36)</f>
        <v>146</v>
      </c>
      <c r="C38" s="5">
        <f>SUM(C6:C36)</f>
        <v>1650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5908171C-2872-434F-B4C3-1309BE9D2D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March 2021</vt:lpstr>
      <vt:lpstr>RNs &amp; Covers March 2021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ASUS</cp:lastModifiedBy>
  <cp:revision/>
  <dcterms:created xsi:type="dcterms:W3CDTF">2020-09-16T08:52:25Z</dcterms:created>
  <dcterms:modified xsi:type="dcterms:W3CDTF">2023-02-18T04:21:09Z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1894900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