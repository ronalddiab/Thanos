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5" documentId="8_{025F3B7B-2040-4A32-8128-9BDCE617109B}" xr6:coauthVersionLast="47" xr6:coauthVersionMax="47" xr10:uidLastSave="{A4E8FD57-0587-4941-96F4-B1310A21F74F}"/>
  <bookViews>
    <workbookView xWindow="-96" yWindow="-96" windowWidth="18192" windowHeight="11472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M2" i="2"/>
  <c r="K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D49" i="36" s="1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F8" i="35"/>
  <c r="F9" i="35" s="1"/>
  <c r="F11" i="35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L30" i="2"/>
  <c r="K30" i="2"/>
  <c r="J30" i="2"/>
  <c r="I30" i="2"/>
  <c r="H30" i="2"/>
  <c r="G30" i="2"/>
  <c r="F30" i="2"/>
  <c r="E30" i="2"/>
  <c r="M29" i="2"/>
  <c r="L29" i="2"/>
  <c r="K29" i="2"/>
  <c r="J29" i="2"/>
  <c r="I29" i="2"/>
  <c r="H29" i="2"/>
  <c r="G29" i="2"/>
  <c r="F29" i="2"/>
  <c r="E29" i="2"/>
  <c r="M28" i="2"/>
  <c r="L28" i="2"/>
  <c r="K28" i="2"/>
  <c r="J28" i="2"/>
  <c r="I28" i="2"/>
  <c r="H28" i="2"/>
  <c r="G28" i="2"/>
  <c r="F28" i="2"/>
  <c r="E28" i="2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I25" i="1" s="1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E17" i="1" s="1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I7" i="1" s="1"/>
  <c r="K7" i="2"/>
  <c r="K7" i="1" s="1"/>
  <c r="J7" i="2"/>
  <c r="I7" i="2"/>
  <c r="H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G2" i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I18" i="1"/>
  <c r="N17" i="2"/>
  <c r="N16" i="2"/>
  <c r="N15" i="2"/>
  <c r="N14" i="2"/>
  <c r="N13" i="2"/>
  <c r="N12" i="2"/>
  <c r="N11" i="2"/>
  <c r="N10" i="2"/>
  <c r="N9" i="2"/>
  <c r="N8" i="2"/>
  <c r="N7" i="2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13" l="1"/>
  <c r="F23" i="13" s="1"/>
  <c r="G23" i="13" s="1"/>
  <c r="G31" i="13" s="1"/>
  <c r="F17" i="24"/>
  <c r="F16" i="18"/>
  <c r="F16" i="23"/>
  <c r="F7" i="15"/>
  <c r="F8" i="15" s="1"/>
  <c r="H25" i="36"/>
  <c r="K25" i="36" s="1"/>
  <c r="K28" i="36" s="1"/>
  <c r="F17" i="8"/>
  <c r="F13" i="16"/>
  <c r="F41" i="36"/>
  <c r="F42" i="36" s="1"/>
  <c r="E49" i="36" s="1"/>
  <c r="F7" i="13"/>
  <c r="F8" i="13" s="1"/>
  <c r="G8" i="13" s="1"/>
  <c r="G28" i="13" s="1"/>
  <c r="F10" i="28"/>
  <c r="F11" i="28" s="1"/>
  <c r="G11" i="28" s="1"/>
  <c r="G29" i="28" s="1"/>
  <c r="F15" i="32"/>
  <c r="F18" i="18"/>
  <c r="F17" i="30"/>
  <c r="G14" i="35"/>
  <c r="F10" i="21"/>
  <c r="F11" i="21" s="1"/>
  <c r="F29" i="21" s="1"/>
  <c r="E23" i="1"/>
  <c r="E24" i="1"/>
  <c r="E25" i="1"/>
  <c r="F13" i="24"/>
  <c r="E18" i="1"/>
  <c r="E26" i="1"/>
  <c r="F15" i="26"/>
  <c r="E19" i="1"/>
  <c r="E27" i="1"/>
  <c r="F14" i="29"/>
  <c r="E20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F23" i="10" s="1"/>
  <c r="G23" i="10" s="1"/>
  <c r="G31" i="10" s="1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2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5"/>
  <c r="F31" i="8"/>
  <c r="F28" i="13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D16" i="11"/>
  <c r="F16" i="11" s="1"/>
  <c r="D16" i="15"/>
  <c r="F16" i="15" s="1"/>
  <c r="F16" i="14"/>
  <c r="F15" i="22"/>
  <c r="D15" i="23"/>
  <c r="F15" i="2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5"/>
  <c r="F31" i="36"/>
  <c r="D18" i="11"/>
  <c r="F18" i="11" s="1"/>
  <c r="F10" i="12"/>
  <c r="F11" i="12" s="1"/>
  <c r="F14" i="16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33" l="1"/>
  <c r="G23" i="33" s="1"/>
  <c r="G31" i="33" s="1"/>
  <c r="G11" i="21"/>
  <c r="G29" i="21" s="1"/>
  <c r="F19" i="30"/>
  <c r="F30" i="30" s="1"/>
  <c r="F29" i="28"/>
  <c r="F19" i="25"/>
  <c r="F31" i="10"/>
  <c r="F12" i="36"/>
  <c r="G8" i="34"/>
  <c r="G28" i="34" s="1"/>
  <c r="F29" i="14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G19" i="34" s="1"/>
  <c r="G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G19" i="30"/>
  <c r="G30" i="30" s="1"/>
  <c r="F23" i="21"/>
  <c r="G23" i="21" s="1"/>
  <c r="G31" i="21" s="1"/>
  <c r="F31" i="21"/>
  <c r="F30" i="34"/>
  <c r="G19" i="18"/>
  <c r="G30" i="18" s="1"/>
  <c r="F30" i="18"/>
  <c r="G19" i="29"/>
  <c r="G30" i="29" s="1"/>
  <c r="F30" i="29"/>
  <c r="G32" i="33"/>
  <c r="F30" i="28"/>
  <c r="G19" i="21"/>
  <c r="G30" i="21" s="1"/>
  <c r="F19" i="11"/>
  <c r="F29" i="25"/>
  <c r="G11" i="25"/>
  <c r="G29" i="25" s="1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F30" i="24" l="1"/>
  <c r="G32" i="27"/>
  <c r="F30" i="27"/>
  <c r="G32" i="24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<sst xmlns="http://schemas.openxmlformats.org/spreadsheetml/2006/main" count="2367" uniqueCount="181">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</sst>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7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abSelected="1" zoomScaleNormal="100" workbookViewId="0">
      <selection activeCell="M32" sqref="M3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5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4.6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527.25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434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16943.999999999651</v>
      </c>
      <c r="F22" s="5">
        <v>0.44</v>
      </c>
      <c r="G22" s="6">
        <f>Submetering!M22</f>
        <v>564.25</v>
      </c>
      <c r="H22" s="12">
        <v>2.5</v>
      </c>
      <c r="I22" s="6">
        <f>Submetering!L22</f>
        <v>39814.388999999996</v>
      </c>
      <c r="J22" s="5">
        <v>0.06</v>
      </c>
      <c r="K22" s="275">
        <f>Submetering!K22</f>
        <v>5828.9699999999993</v>
      </c>
      <c r="L22" s="5">
        <v>1.1399999999999999</v>
      </c>
      <c r="M22" s="6">
        <f>INT('Daily Meter'!O26*434/100)</f>
        <v>434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16943.999999999651</v>
      </c>
      <c r="F23" s="5">
        <v>0.44</v>
      </c>
      <c r="G23" s="6">
        <f>Submetering!M23</f>
        <v>584.6</v>
      </c>
      <c r="H23" s="12">
        <v>2.5</v>
      </c>
      <c r="I23" s="6">
        <f>Submetering!L23</f>
        <v>51692.714999999997</v>
      </c>
      <c r="J23" s="5">
        <v>0.06</v>
      </c>
      <c r="K23" s="275">
        <f>Submetering!K23</f>
        <v>5942.706000000413</v>
      </c>
      <c r="L23" s="5">
        <v>1.1399999999999999</v>
      </c>
      <c r="M23" s="6">
        <f>INT('Daily Meter'!O27*434/100)</f>
        <v>426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16992.000000000698</v>
      </c>
      <c r="F24" s="5">
        <v>0.44</v>
      </c>
      <c r="G24" s="6">
        <f>Submetering!M24</f>
        <v>593.11000000001081</v>
      </c>
      <c r="H24" s="12">
        <v>2.5</v>
      </c>
      <c r="I24" s="6">
        <f>Submetering!L24</f>
        <v>49712.993999999999</v>
      </c>
      <c r="J24" s="5">
        <v>0.06</v>
      </c>
      <c r="K24" s="275">
        <f>Submetering!K24</f>
        <v>5743.667999999172</v>
      </c>
      <c r="L24" s="5">
        <v>1.1399999999999999</v>
      </c>
      <c r="M24" s="6">
        <f>INT('Daily Meter'!O28*434/100)</f>
        <v>417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Submetering!E25+Submetering!F25+Submetering!G25+Submetering!H25+Submetering!I25+Submetering!J25</f>
        <v>17279.999999999782</v>
      </c>
      <c r="F25" s="5">
        <v>0.44</v>
      </c>
      <c r="G25" s="6">
        <f>Submetering!M25</f>
        <v>610.5</v>
      </c>
      <c r="H25" s="12">
        <v>2.5</v>
      </c>
      <c r="I25" s="6">
        <f>Submetering!L25</f>
        <v>62471.195999999996</v>
      </c>
      <c r="J25" s="5">
        <v>0.06</v>
      </c>
      <c r="K25" s="275">
        <f>Submetering!K25</f>
        <v>6170.1779999991722</v>
      </c>
      <c r="L25" s="5">
        <v>1.1399999999999999</v>
      </c>
      <c r="M25" s="6">
        <f>INT('Daily Meter'!O29*434/100)</f>
        <v>410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Submetering!E26+Submetering!F26+Submetering!G26+Submetering!H26+Submetering!I26+Submetering!J26</f>
        <v>16895.999999999694</v>
      </c>
      <c r="F26" s="5">
        <v>0.44</v>
      </c>
      <c r="G26" s="6">
        <f>Submetering!M26</f>
        <v>599.02999999997849</v>
      </c>
      <c r="H26" s="12">
        <v>2.5</v>
      </c>
      <c r="I26" s="6">
        <f>Submetering!L26</f>
        <v>39374.451000000001</v>
      </c>
      <c r="J26" s="5">
        <v>0.06</v>
      </c>
      <c r="K26" s="275">
        <f>Submetering!K26</f>
        <v>6881.0280000012408</v>
      </c>
      <c r="L26" s="5">
        <v>1.1399999999999999</v>
      </c>
      <c r="M26" s="6">
        <f>INT('Daily Meter'!O30*434/100)</f>
        <v>332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Submetering!E27+Submetering!F27+Submetering!G27+Submetering!H27+Submetering!I27+Submetering!J27</f>
        <v>16655.999999999913</v>
      </c>
      <c r="F27" s="5">
        <v>0.44</v>
      </c>
      <c r="G27" s="6">
        <f>Submetering!M27</f>
        <v>458.0600000000108</v>
      </c>
      <c r="H27" s="12">
        <v>2.5</v>
      </c>
      <c r="I27" s="6">
        <f>Submetering!L27</f>
        <v>58731.722999999998</v>
      </c>
      <c r="J27" s="5">
        <v>0.06</v>
      </c>
      <c r="K27" s="275">
        <f>Submetering!K27</f>
        <v>6881.0279999991717</v>
      </c>
      <c r="L27" s="5">
        <v>1.1399999999999999</v>
      </c>
      <c r="M27" s="6">
        <v>350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>
        <v>17279.999999999782</v>
      </c>
      <c r="F28" s="5">
        <v>0.44</v>
      </c>
      <c r="G28" s="6">
        <v>610.5</v>
      </c>
      <c r="H28" s="12">
        <v>2.5</v>
      </c>
      <c r="I28" s="6">
        <v>62471.195999999996</v>
      </c>
      <c r="J28" s="5">
        <v>0.06</v>
      </c>
      <c r="K28" s="275">
        <v>6170.1779999991722</v>
      </c>
      <c r="L28" s="5">
        <v>1.1399999999999999</v>
      </c>
      <c r="M28" s="6">
        <v>410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>
        <v>16895.999999999694</v>
      </c>
      <c r="F29" s="5">
        <v>0.44</v>
      </c>
      <c r="G29" s="6">
        <v>599.02999999997849</v>
      </c>
      <c r="H29" s="12">
        <v>2.5</v>
      </c>
      <c r="I29" s="6">
        <v>39374.451000000001</v>
      </c>
      <c r="J29" s="5">
        <v>0.06</v>
      </c>
      <c r="K29" s="275">
        <v>6881.0280000012408</v>
      </c>
      <c r="L29" s="5">
        <v>1.1399999999999999</v>
      </c>
      <c r="M29" s="6">
        <v>332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>
        <v>16655.999999999913</v>
      </c>
      <c r="F30" s="5">
        <v>0.44</v>
      </c>
      <c r="G30" s="6">
        <v>458.0600000000108</v>
      </c>
      <c r="H30" s="12">
        <v>2.5</v>
      </c>
      <c r="I30" s="6">
        <v>58731.722999999998</v>
      </c>
      <c r="J30" s="5">
        <v>0.06</v>
      </c>
      <c r="K30" s="275">
        <v>6881.0279999991717</v>
      </c>
      <c r="L30" s="5">
        <v>1.1399999999999999</v>
      </c>
      <c r="M30" s="6">
        <v>350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G3" sqref="G3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527.25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434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IF(('Daily Meter'!H26-'Daily Meter'!H25)&lt;0,"0",'Daily Meter'!H26-'Daily Meter'!H25)*480</f>
        <v>3311.9999999998254</v>
      </c>
      <c r="F22" s="6">
        <f>IF(('Daily Meter'!I26-'Daily Meter'!I25)&lt;0,"0",'Daily Meter'!I26-'Daily Meter'!I25)*480</f>
        <v>2208.0000000001746</v>
      </c>
      <c r="G22" s="6">
        <f>IF(('Daily Meter'!J26-'Daily Meter'!J25)&lt;0,"0",'Daily Meter'!J26-'Daily Meter'!J25)*480</f>
        <v>2207.9999999997381</v>
      </c>
      <c r="H22" s="6">
        <f>IF(('Daily Meter'!K26-'Daily Meter'!K25)&lt;0,"0",'Daily Meter'!K26-'Daily Meter'!K25)*480</f>
        <v>1440</v>
      </c>
      <c r="I22" s="6">
        <f>IF(('Daily Meter'!L26-'Daily Meter'!L25)&lt;0,"0",'Daily Meter'!L26-'Daily Meter'!L25)*480</f>
        <v>2207.9999999997381</v>
      </c>
      <c r="J22" s="6">
        <f>IF(('Daily Meter'!M26-'Daily Meter'!M25)&lt;0,"0",'Daily Meter'!M26-'Daily Meter'!M25)*480</f>
        <v>5568.0000000001746</v>
      </c>
      <c r="K22" s="6">
        <f>IF(('Daily Meter'!B26-'Daily Meter'!B25)&lt;0,"0",'Daily Meter'!B26-'Daily Meter'!B25)*284.34</f>
        <v>5828.9699999999993</v>
      </c>
      <c r="L22" s="6">
        <f>IF(('Daily Meter'!C26-'Daily Meter'!C25)&lt;0,"0",'Daily Meter'!C26-'Daily Meter'!C25)*219.969</f>
        <v>39814.388999999996</v>
      </c>
      <c r="M22" s="6">
        <f>IF(('Daily Meter'!N26-'Daily Meter'!N25)&lt;0,"0",'Daily Meter'!N26-'Daily Meter'!N25)*3.7</f>
        <v>564.25</v>
      </c>
      <c r="N22" s="6">
        <f>Total!M22</f>
        <v>434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2111.9999999998254</v>
      </c>
      <c r="G23" s="6">
        <f>IF(('Daily Meter'!J27-'Daily Meter'!J26)&lt;0,"0",'Daily Meter'!J27-'Daily Meter'!J26)*480</f>
        <v>2255.9999999999127</v>
      </c>
      <c r="H23" s="6">
        <f>IF(('Daily Meter'!K27-'Daily Meter'!K26)&lt;0,"0",'Daily Meter'!K27-'Daily Meter'!K26)*480</f>
        <v>1344.0000000000873</v>
      </c>
      <c r="I23" s="6">
        <f>IF(('Daily Meter'!L27-'Daily Meter'!L26)&lt;0,"0",'Daily Meter'!L27-'Daily Meter'!L26)*480</f>
        <v>2112.0000000002619</v>
      </c>
      <c r="J23" s="6">
        <f>IF(('Daily Meter'!M27-'Daily Meter'!M26)&lt;0,"0",'Daily Meter'!M27-'Daily Meter'!M26)*480</f>
        <v>5663.9999999996508</v>
      </c>
      <c r="K23" s="6">
        <f>IF(('Daily Meter'!B27-'Daily Meter'!B26)&lt;0,"0",'Daily Meter'!B27-'Daily Meter'!B26)*284.34</f>
        <v>5942.706000000413</v>
      </c>
      <c r="L23" s="6">
        <f>IF(('Daily Meter'!C27-'Daily Meter'!C26)&lt;0,"0",'Daily Meter'!C27-'Daily Meter'!C26)*219.969</f>
        <v>51692.714999999997</v>
      </c>
      <c r="M23" s="6">
        <f>IF(('Daily Meter'!N27-'Daily Meter'!N26)&lt;0,"0",'Daily Meter'!N27-'Daily Meter'!N26)*3.7</f>
        <v>584.6</v>
      </c>
      <c r="N23" s="6">
        <f>Total!M23</f>
        <v>426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2112.0000000002619</v>
      </c>
      <c r="G24" s="6">
        <f>IF(('Daily Meter'!J28-'Daily Meter'!J27)&lt;0,"0",'Daily Meter'!J28-'Daily Meter'!J27)*480</f>
        <v>2256.0000000003492</v>
      </c>
      <c r="H24" s="6">
        <f>IF(('Daily Meter'!K28-'Daily Meter'!K27)&lt;0,"0",'Daily Meter'!K28-'Daily Meter'!K27)*480</f>
        <v>1391.9999999998254</v>
      </c>
      <c r="I24" s="6">
        <f>IF(('Daily Meter'!L28-'Daily Meter'!L27)&lt;0,"0",'Daily Meter'!L28-'Daily Meter'!L27)*480</f>
        <v>2255.9999999999127</v>
      </c>
      <c r="J24" s="6">
        <f>IF(('Daily Meter'!M28-'Daily Meter'!M27)&lt;0,"0",'Daily Meter'!M28-'Daily Meter'!M27)*480</f>
        <v>5616.0000000003492</v>
      </c>
      <c r="K24" s="6">
        <f>IF(('Daily Meter'!B28-'Daily Meter'!B27)&lt;0,"0",'Daily Meter'!B28-'Daily Meter'!B27)*284.34</f>
        <v>5743.667999999172</v>
      </c>
      <c r="L24" s="6">
        <f>IF(('Daily Meter'!C28-'Daily Meter'!C27)&lt;0,"0",'Daily Meter'!C28-'Daily Meter'!C27)*219.969</f>
        <v>49712.993999999999</v>
      </c>
      <c r="M24" s="6">
        <f>IF(('Daily Meter'!N28-'Daily Meter'!N27)&lt;0,"0",'Daily Meter'!N28-'Daily Meter'!N27)*3.7</f>
        <v>593.11000000001081</v>
      </c>
      <c r="N24" s="6">
        <f>Total!M24</f>
        <v>417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IF(('Daily Meter'!H29-'Daily Meter'!H28)&lt;0,"0",'Daily Meter'!H29-'Daily Meter'!H28)*480</f>
        <v>3504.0000000000873</v>
      </c>
      <c r="F25" s="6">
        <f>IF(('Daily Meter'!I29-'Daily Meter'!I28)&lt;0,"0",'Daily Meter'!I29-'Daily Meter'!I28)*480</f>
        <v>2111.9999999998254</v>
      </c>
      <c r="G25" s="6">
        <f>IF(('Daily Meter'!J29-'Daily Meter'!J28)&lt;0,"0",'Daily Meter'!J29-'Daily Meter'!J28)*480</f>
        <v>2255.9999999999127</v>
      </c>
      <c r="H25" s="6">
        <f>IF(('Daily Meter'!K29-'Daily Meter'!K28)&lt;0,"0",'Daily Meter'!K29-'Daily Meter'!K28)*480</f>
        <v>1392.0000000000437</v>
      </c>
      <c r="I25" s="6">
        <f>IF(('Daily Meter'!L29-'Daily Meter'!L28)&lt;0,"0",'Daily Meter'!L29-'Daily Meter'!L28)*480</f>
        <v>2255.9999999999127</v>
      </c>
      <c r="J25" s="6">
        <f>IF(('Daily Meter'!M29-'Daily Meter'!M28)&lt;0,"0",'Daily Meter'!M29-'Daily Meter'!M28)*480</f>
        <v>5760</v>
      </c>
      <c r="K25" s="6">
        <f>IF(('Daily Meter'!B29-'Daily Meter'!B28)&lt;0,"0",'Daily Meter'!B29-'Daily Meter'!B28)*284.34</f>
        <v>6170.1779999991722</v>
      </c>
      <c r="L25" s="6">
        <f>IF(('Daily Meter'!C29-'Daily Meter'!C28)&lt;0,"0",'Daily Meter'!C29-'Daily Meter'!C28)*219.969</f>
        <v>62471.195999999996</v>
      </c>
      <c r="M25" s="6">
        <f>IF(('Daily Meter'!N29-'Daily Meter'!N28)&lt;0,"0",'Daily Meter'!N29-'Daily Meter'!N28)*3.7</f>
        <v>610.5</v>
      </c>
      <c r="N25" s="6">
        <f>Total!M25</f>
        <v>410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IF(('Daily Meter'!H30-'Daily Meter'!H29)&lt;0,"0",'Daily Meter'!H30-'Daily Meter'!H29)*480</f>
        <v>3455.9999999999127</v>
      </c>
      <c r="F26" s="6">
        <f>IF(('Daily Meter'!I30-'Daily Meter'!I29)&lt;0,"0",'Daily Meter'!I30-'Daily Meter'!I29)*480</f>
        <v>2064.0000000000873</v>
      </c>
      <c r="G26" s="6">
        <f>IF(('Daily Meter'!J30-'Daily Meter'!J29)&lt;0,"0",'Daily Meter'!J30-'Daily Meter'!J29)*480</f>
        <v>2160</v>
      </c>
      <c r="H26" s="6">
        <f>IF(('Daily Meter'!K30-'Daily Meter'!K29)&lt;0,"0",'Daily Meter'!K30-'Daily Meter'!K29)*480</f>
        <v>1392.0000000000437</v>
      </c>
      <c r="I26" s="6">
        <f>IF(('Daily Meter'!L30-'Daily Meter'!L29)&lt;0,"0",'Daily Meter'!L30-'Daily Meter'!L29)*480</f>
        <v>2208.0000000001746</v>
      </c>
      <c r="J26" s="6">
        <f>IF(('Daily Meter'!M30-'Daily Meter'!M29)&lt;0,"0",'Daily Meter'!M30-'Daily Meter'!M29)*480</f>
        <v>5615.9999999994761</v>
      </c>
      <c r="K26" s="6">
        <f>IF(('Daily Meter'!B30-'Daily Meter'!B29)&lt;0,"0",'Daily Meter'!B30-'Daily Meter'!B29)*284.34</f>
        <v>6881.0280000012408</v>
      </c>
      <c r="L26" s="6">
        <f>IF(('Daily Meter'!C30-'Daily Meter'!C29)&lt;0,"0",'Daily Meter'!C30-'Daily Meter'!C29)*219.969</f>
        <v>39374.451000000001</v>
      </c>
      <c r="M26" s="6">
        <f>IF(('Daily Meter'!N30-'Daily Meter'!N29)&lt;0,"0",'Daily Meter'!N30-'Daily Meter'!N29)*3.7</f>
        <v>599.02999999997849</v>
      </c>
      <c r="N26" s="6">
        <f>Total!M26</f>
        <v>332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IF(('Daily Meter'!H31-'Daily Meter'!H30)&lt;0,"0",'Daily Meter'!H31-'Daily Meter'!H30)*480</f>
        <v>3408.0000000001746</v>
      </c>
      <c r="F27" s="6">
        <f>IF(('Daily Meter'!I31-'Daily Meter'!I30)&lt;0,"0",'Daily Meter'!I31-'Daily Meter'!I30)*480</f>
        <v>2111.9999999998254</v>
      </c>
      <c r="G27" s="6">
        <f>IF(('Daily Meter'!J31-'Daily Meter'!J30)&lt;0,"0",'Daily Meter'!J31-'Daily Meter'!J30)*480</f>
        <v>1967.9999999997381</v>
      </c>
      <c r="H27" s="6">
        <f>IF(('Daily Meter'!K31-'Daily Meter'!K30)&lt;0,"0",'Daily Meter'!K31-'Daily Meter'!K30)*480</f>
        <v>1295.9999999999127</v>
      </c>
      <c r="I27" s="6">
        <f>IF(('Daily Meter'!L31-'Daily Meter'!L30)&lt;0,"0",'Daily Meter'!L31-'Daily Meter'!L30)*480</f>
        <v>2207.9999999997381</v>
      </c>
      <c r="J27" s="6">
        <f>IF(('Daily Meter'!M31-'Daily Meter'!M30)&lt;0,"0",'Daily Meter'!M31-'Daily Meter'!M30)*480</f>
        <v>5664.0000000005239</v>
      </c>
      <c r="K27" s="6">
        <f>IF(('Daily Meter'!B31-'Daily Meter'!B30)&lt;0,"0",'Daily Meter'!B31-'Daily Meter'!B30)*284.34</f>
        <v>6881.0279999991717</v>
      </c>
      <c r="L27" s="6">
        <f>IF(('Daily Meter'!C31-'Daily Meter'!C30)&lt;0,"0",'Daily Meter'!C31-'Daily Meter'!C30)*219.969</f>
        <v>58731.722999999998</v>
      </c>
      <c r="M27" s="6">
        <f>IF(('Daily Meter'!N31-'Daily Meter'!N30)&lt;0,"0",'Daily Meter'!N31-'Daily Meter'!N30)*3.7</f>
        <v>458.0600000000108</v>
      </c>
      <c r="N27" s="6">
        <f>Total!M27</f>
        <v>350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>
        <f>Total!M28</f>
        <v>410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>
        <f>Total!M29</f>
        <v>332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>
        <f>Total!M30</f>
        <v>350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6" sqref="N6"/>
    </sheetView>
  </sheetViews>
  <sheetFormatPr defaultColWidth="8.59765625" defaultRowHeight="14.25"/>
  <cols>
    <col min="1" max="1" width="9.1328125" style="14" customWidth="1"/>
    <col min="2" max="2" width="17.265625" style="14" customWidth="1"/>
    <col min="3" max="3" width="14.6640625" style="15" customWidth="1"/>
    <col min="4" max="4" width="8.6640625" style="14" hidden="1" customWidth="1"/>
    <col min="5" max="5" width="5.3984375" style="14" hidden="1" customWidth="1"/>
    <col min="6" max="6" width="6.59765625" style="14" hidden="1" customWidth="1"/>
    <col min="7" max="7" width="6.86328125" style="14" hidden="1" customWidth="1"/>
    <col min="8" max="13" width="12.6640625" customWidth="1"/>
    <col min="14" max="14" width="17.1328125" style="2" customWidth="1"/>
    <col min="15" max="15" width="10.86328125" style="2" customWidth="1"/>
  </cols>
  <sheetData>
    <row r="1" spans="1:17" ht="25.5" customHeight="1">
      <c r="A1" s="295" t="s">
        <v>180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Q1" s="16" t="s">
        <v>22</v>
      </c>
    </row>
    <row r="2" spans="1:17" s="13" customFormat="1">
      <c r="A2" s="17"/>
      <c r="B2" s="18" t="s">
        <v>23</v>
      </c>
      <c r="C2" s="296" t="s">
        <v>24</v>
      </c>
      <c r="D2" s="296"/>
      <c r="E2" s="296"/>
      <c r="F2" s="296"/>
      <c r="G2" s="296"/>
      <c r="H2" s="297" t="s">
        <v>25</v>
      </c>
      <c r="I2" s="297"/>
      <c r="J2" s="297"/>
      <c r="K2" s="297"/>
      <c r="L2" s="297"/>
      <c r="M2" s="297"/>
      <c r="N2" s="298" t="s">
        <v>26</v>
      </c>
      <c r="O2" s="299" t="s">
        <v>27</v>
      </c>
    </row>
    <row r="3" spans="1:17" s="13" customFormat="1">
      <c r="A3" s="300" t="s">
        <v>28</v>
      </c>
      <c r="B3" s="19" t="s">
        <v>29</v>
      </c>
      <c r="C3" s="20" t="s">
        <v>30</v>
      </c>
      <c r="D3" s="301" t="s">
        <v>31</v>
      </c>
      <c r="E3" s="301"/>
      <c r="F3" s="302" t="s">
        <v>32</v>
      </c>
      <c r="G3" s="30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8"/>
      <c r="O3" s="299"/>
    </row>
    <row r="4" spans="1:17" s="13" customFormat="1">
      <c r="A4" s="300"/>
      <c r="B4" s="19" t="s">
        <v>36</v>
      </c>
      <c r="C4" s="22" t="s">
        <v>37</v>
      </c>
      <c r="D4" s="303" t="s">
        <v>38</v>
      </c>
      <c r="E4" s="303"/>
      <c r="F4" s="304" t="s">
        <v>39</v>
      </c>
      <c r="G4" s="30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30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94">
        <v>94.24</v>
      </c>
    </row>
    <row r="14" spans="1:17">
      <c r="A14" s="28">
        <v>9</v>
      </c>
      <c r="B14" s="27">
        <v>54285.8</v>
      </c>
      <c r="C14" s="281">
        <v>210865</v>
      </c>
      <c r="D14" s="27" t="s">
        <v>12</v>
      </c>
      <c r="E14" s="27" t="s">
        <v>12</v>
      </c>
      <c r="F14" s="27" t="s">
        <v>12</v>
      </c>
      <c r="G14" s="27" t="s">
        <v>12</v>
      </c>
      <c r="H14" s="27">
        <v>6835.3</v>
      </c>
      <c r="I14" s="27">
        <v>4126.1000000000004</v>
      </c>
      <c r="J14" s="27">
        <v>4410.7</v>
      </c>
      <c r="K14" s="27">
        <v>2471.9</v>
      </c>
      <c r="L14" s="27">
        <v>5749</v>
      </c>
      <c r="M14" s="27">
        <v>15463.4</v>
      </c>
      <c r="N14" s="27">
        <v>95345.3</v>
      </c>
      <c r="O14" s="284">
        <v>90.32</v>
      </c>
    </row>
    <row r="15" spans="1:17">
      <c r="A15" s="28">
        <v>10</v>
      </c>
      <c r="B15" s="27">
        <v>54303.6</v>
      </c>
      <c r="C15" s="281">
        <v>211142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>
        <v>6842.6</v>
      </c>
      <c r="I15" s="27">
        <v>4130.6000000000004</v>
      </c>
      <c r="J15" s="27">
        <v>4415.6000000000004</v>
      </c>
      <c r="K15" s="27">
        <v>2474.6999999999998</v>
      </c>
      <c r="L15" s="27">
        <v>5753.7</v>
      </c>
      <c r="M15" s="27">
        <v>15474.9</v>
      </c>
      <c r="N15" s="27">
        <v>95497.7</v>
      </c>
      <c r="O15" s="284">
        <v>81.34</v>
      </c>
    </row>
    <row r="16" spans="1:17">
      <c r="A16" s="28">
        <v>11</v>
      </c>
      <c r="B16" s="27">
        <v>54322.5</v>
      </c>
      <c r="C16" s="281">
        <v>211397</v>
      </c>
      <c r="D16" s="27" t="s">
        <v>12</v>
      </c>
      <c r="E16" s="27" t="s">
        <v>12</v>
      </c>
      <c r="F16" s="27" t="s">
        <v>12</v>
      </c>
      <c r="G16" s="27" t="s">
        <v>12</v>
      </c>
      <c r="H16" s="27">
        <v>6850</v>
      </c>
      <c r="I16" s="27">
        <v>4135</v>
      </c>
      <c r="J16" s="27">
        <v>4420.3999999999996</v>
      </c>
      <c r="K16" s="27">
        <v>2477.9</v>
      </c>
      <c r="L16" s="27">
        <v>5758.4</v>
      </c>
      <c r="M16" s="27">
        <v>15486.6</v>
      </c>
      <c r="N16" s="27">
        <v>95634.8</v>
      </c>
      <c r="O16" s="284">
        <v>88.48</v>
      </c>
    </row>
    <row r="17" spans="1:17">
      <c r="A17" s="28">
        <v>12</v>
      </c>
      <c r="B17" s="27">
        <v>54338.9</v>
      </c>
      <c r="C17" s="281">
        <v>211607</v>
      </c>
      <c r="D17" s="27" t="s">
        <v>12</v>
      </c>
      <c r="E17" s="27" t="s">
        <v>12</v>
      </c>
      <c r="F17" s="27" t="s">
        <v>12</v>
      </c>
      <c r="G17" s="27" t="s">
        <v>12</v>
      </c>
      <c r="H17" s="27">
        <v>6857.1</v>
      </c>
      <c r="I17" s="27">
        <v>4139</v>
      </c>
      <c r="J17" s="27">
        <v>4424.8999999999996</v>
      </c>
      <c r="K17" s="27">
        <v>2480.6</v>
      </c>
      <c r="L17" s="27">
        <v>5763</v>
      </c>
      <c r="M17" s="27">
        <v>15498.3</v>
      </c>
      <c r="N17" s="27">
        <v>95776</v>
      </c>
      <c r="O17" s="284">
        <v>79.72</v>
      </c>
    </row>
    <row r="18" spans="1:17">
      <c r="A18" s="28">
        <v>13</v>
      </c>
      <c r="B18" s="27">
        <v>54356.6</v>
      </c>
      <c r="C18" s="281">
        <v>211780</v>
      </c>
      <c r="D18" s="27" t="s">
        <v>12</v>
      </c>
      <c r="E18" s="27" t="s">
        <v>12</v>
      </c>
      <c r="F18" s="27" t="s">
        <v>12</v>
      </c>
      <c r="G18" s="27" t="s">
        <v>12</v>
      </c>
      <c r="H18" s="27">
        <v>6864.2</v>
      </c>
      <c r="I18" s="27">
        <v>4143.3</v>
      </c>
      <c r="J18" s="27">
        <v>4429.3</v>
      </c>
      <c r="K18" s="27">
        <v>2483.3000000000002</v>
      </c>
      <c r="L18" s="27">
        <v>5767.5</v>
      </c>
      <c r="M18" s="27">
        <v>15510.1</v>
      </c>
      <c r="N18" s="27">
        <v>95924.9</v>
      </c>
      <c r="O18" s="284">
        <v>75.81</v>
      </c>
    </row>
    <row r="19" spans="1:17">
      <c r="A19" s="28">
        <v>14</v>
      </c>
      <c r="B19" s="27">
        <v>54375.9</v>
      </c>
      <c r="C19" s="281">
        <v>211967</v>
      </c>
      <c r="D19" s="282"/>
      <c r="E19" s="282"/>
      <c r="F19" s="282"/>
      <c r="G19" s="283"/>
      <c r="H19" s="27">
        <v>6871.3</v>
      </c>
      <c r="I19" s="27">
        <v>4147.7</v>
      </c>
      <c r="J19" s="27">
        <v>4433.5</v>
      </c>
      <c r="K19" s="27">
        <v>2486</v>
      </c>
      <c r="L19" s="27">
        <v>5772</v>
      </c>
      <c r="M19" s="27">
        <v>15521.7</v>
      </c>
      <c r="N19" s="27">
        <v>96067.3</v>
      </c>
      <c r="O19" s="284">
        <v>75.349999999999994</v>
      </c>
    </row>
    <row r="20" spans="1:17">
      <c r="A20" s="28">
        <v>15</v>
      </c>
      <c r="B20" s="27">
        <v>54397.599999999999</v>
      </c>
      <c r="C20" s="281">
        <v>212121</v>
      </c>
      <c r="D20" s="282"/>
      <c r="E20" s="282"/>
      <c r="F20" s="282"/>
      <c r="G20" s="283"/>
      <c r="H20" s="27">
        <v>6878.4</v>
      </c>
      <c r="I20" s="27">
        <v>4152</v>
      </c>
      <c r="J20" s="27">
        <v>4437.8</v>
      </c>
      <c r="K20" s="27">
        <v>2488.9</v>
      </c>
      <c r="L20" s="27">
        <v>5776.5</v>
      </c>
      <c r="M20" s="27">
        <v>15533.5</v>
      </c>
      <c r="N20" s="27">
        <v>96190.5</v>
      </c>
      <c r="O20" s="284">
        <v>76.73</v>
      </c>
    </row>
    <row r="21" spans="1:17">
      <c r="A21" s="28">
        <v>16</v>
      </c>
      <c r="B21" s="27">
        <v>54422.3</v>
      </c>
      <c r="C21" s="27">
        <v>212308</v>
      </c>
      <c r="D21" s="27"/>
      <c r="E21" s="27"/>
      <c r="F21" s="27"/>
      <c r="G21" s="27"/>
      <c r="H21" s="27">
        <v>6885.4</v>
      </c>
      <c r="I21" s="27">
        <v>4156.3999999999996</v>
      </c>
      <c r="J21" s="27">
        <v>4442</v>
      </c>
      <c r="K21" s="27">
        <v>2491.8000000000002</v>
      </c>
      <c r="L21" s="27">
        <v>5781</v>
      </c>
      <c r="M21" s="27">
        <v>15545.7</v>
      </c>
      <c r="N21" s="27">
        <v>96320.6</v>
      </c>
      <c r="O21" s="294">
        <v>77.650000000000006</v>
      </c>
    </row>
    <row r="22" spans="1:17">
      <c r="A22" s="28">
        <v>17</v>
      </c>
      <c r="B22" s="27">
        <v>54449.599999999999</v>
      </c>
      <c r="C22" s="281">
        <v>212465</v>
      </c>
      <c r="D22" s="282"/>
      <c r="E22" s="282"/>
      <c r="F22" s="282"/>
      <c r="G22" s="283"/>
      <c r="H22" s="27">
        <v>6892.7</v>
      </c>
      <c r="I22" s="27">
        <v>4160.8</v>
      </c>
      <c r="J22" s="27">
        <v>4446.3999999999996</v>
      </c>
      <c r="K22" s="27">
        <v>2494.9</v>
      </c>
      <c r="L22" s="27">
        <v>5785.6</v>
      </c>
      <c r="M22" s="27">
        <v>15557.9</v>
      </c>
      <c r="N22" s="27">
        <v>96439.2</v>
      </c>
      <c r="O22" s="284">
        <v>70.739999999999995</v>
      </c>
    </row>
    <row r="23" spans="1:17">
      <c r="A23" s="28">
        <v>18</v>
      </c>
      <c r="B23" s="27">
        <v>54476.6</v>
      </c>
      <c r="C23" s="281">
        <v>212684</v>
      </c>
      <c r="D23" s="282"/>
      <c r="E23" s="282"/>
      <c r="F23" s="282"/>
      <c r="G23" s="283"/>
      <c r="H23" s="27">
        <v>6899.9</v>
      </c>
      <c r="I23" s="27">
        <v>4164.8999999999996</v>
      </c>
      <c r="J23" s="27">
        <v>4450.8</v>
      </c>
      <c r="K23" s="27">
        <v>2497.9</v>
      </c>
      <c r="L23" s="27">
        <v>5790.2</v>
      </c>
      <c r="M23" s="27">
        <v>15569.9</v>
      </c>
      <c r="N23" s="27">
        <v>96592.3</v>
      </c>
      <c r="O23" s="284">
        <v>68.89</v>
      </c>
      <c r="P23" s="29"/>
      <c r="Q23" s="29"/>
    </row>
    <row r="24" spans="1:17">
      <c r="A24" s="28">
        <v>19</v>
      </c>
      <c r="B24" s="27">
        <v>54499.6</v>
      </c>
      <c r="C24" s="281">
        <v>212869</v>
      </c>
      <c r="D24" s="282"/>
      <c r="E24" s="282"/>
      <c r="F24" s="282"/>
      <c r="G24" s="283"/>
      <c r="H24" s="27">
        <v>6907.1</v>
      </c>
      <c r="I24" s="27">
        <v>4169.1000000000004</v>
      </c>
      <c r="J24" s="27">
        <v>4455.3999999999996</v>
      </c>
      <c r="K24" s="27">
        <v>2500.8000000000002</v>
      </c>
      <c r="L24" s="27">
        <v>5794.7</v>
      </c>
      <c r="M24" s="27">
        <v>15581.8</v>
      </c>
      <c r="N24" s="27">
        <v>96740.2</v>
      </c>
      <c r="O24" s="284">
        <v>86.18</v>
      </c>
    </row>
    <row r="25" spans="1:17">
      <c r="A25" s="28">
        <v>20</v>
      </c>
      <c r="B25" s="27">
        <v>54520.4</v>
      </c>
      <c r="C25" s="281">
        <v>213101</v>
      </c>
      <c r="D25" s="282"/>
      <c r="E25" s="282"/>
      <c r="F25" s="282"/>
      <c r="G25" s="283"/>
      <c r="H25" s="27">
        <v>6914.1</v>
      </c>
      <c r="I25" s="27">
        <v>4173.3999999999996</v>
      </c>
      <c r="J25" s="27">
        <v>4460.1000000000004</v>
      </c>
      <c r="K25" s="27">
        <v>2503.5</v>
      </c>
      <c r="L25" s="27">
        <v>5799.3</v>
      </c>
      <c r="M25" s="27">
        <v>15593.6</v>
      </c>
      <c r="N25" s="27">
        <v>96881.7</v>
      </c>
      <c r="O25" s="284">
        <v>100</v>
      </c>
    </row>
    <row r="26" spans="1:17">
      <c r="A26" s="28">
        <v>21</v>
      </c>
      <c r="B26" s="27">
        <v>54540.9</v>
      </c>
      <c r="C26" s="281">
        <v>213282</v>
      </c>
      <c r="D26" s="282"/>
      <c r="E26" s="282"/>
      <c r="F26" s="282"/>
      <c r="G26" s="283"/>
      <c r="H26" s="27">
        <v>6921</v>
      </c>
      <c r="I26" s="27">
        <v>4178</v>
      </c>
      <c r="J26" s="27">
        <v>4464.7</v>
      </c>
      <c r="K26" s="27">
        <v>2506.5</v>
      </c>
      <c r="L26" s="27">
        <v>5803.9</v>
      </c>
      <c r="M26" s="27">
        <v>15605.2</v>
      </c>
      <c r="N26" s="27">
        <v>97034.2</v>
      </c>
      <c r="O26" s="284">
        <v>100</v>
      </c>
    </row>
    <row r="27" spans="1:17">
      <c r="A27" s="28">
        <v>22</v>
      </c>
      <c r="B27" s="27">
        <v>54561.8</v>
      </c>
      <c r="C27" s="281">
        <v>213517</v>
      </c>
      <c r="D27" s="282"/>
      <c r="E27" s="282"/>
      <c r="F27" s="282"/>
      <c r="G27" s="283"/>
      <c r="H27" s="27">
        <v>6928.2</v>
      </c>
      <c r="I27" s="27">
        <v>4182.3999999999996</v>
      </c>
      <c r="J27" s="27">
        <v>4469.3999999999996</v>
      </c>
      <c r="K27" s="27">
        <v>2509.3000000000002</v>
      </c>
      <c r="L27" s="27">
        <v>5808.3</v>
      </c>
      <c r="M27" s="27">
        <v>15617</v>
      </c>
      <c r="N27" s="27">
        <v>97192.2</v>
      </c>
      <c r="O27" s="284">
        <v>98.16</v>
      </c>
    </row>
    <row r="28" spans="1:17">
      <c r="A28" s="28">
        <v>23</v>
      </c>
      <c r="B28" s="27">
        <v>54582</v>
      </c>
      <c r="C28" s="281">
        <v>213743</v>
      </c>
      <c r="D28" s="282"/>
      <c r="E28" s="282"/>
      <c r="F28" s="282"/>
      <c r="G28" s="283"/>
      <c r="H28" s="27">
        <v>6935.2</v>
      </c>
      <c r="I28" s="27">
        <v>4186.8</v>
      </c>
      <c r="J28" s="27">
        <v>4474.1000000000004</v>
      </c>
      <c r="K28" s="27">
        <v>2512.1999999999998</v>
      </c>
      <c r="L28" s="27">
        <v>5813</v>
      </c>
      <c r="M28" s="27">
        <v>15628.7</v>
      </c>
      <c r="N28" s="27">
        <v>97352.5</v>
      </c>
      <c r="O28" s="284">
        <v>96.31</v>
      </c>
    </row>
    <row r="29" spans="1:17">
      <c r="A29" s="28">
        <v>24</v>
      </c>
      <c r="B29" s="27">
        <v>54603.7</v>
      </c>
      <c r="C29" s="281">
        <v>214027</v>
      </c>
      <c r="D29" s="282"/>
      <c r="E29" s="282"/>
      <c r="F29" s="282"/>
      <c r="G29" s="283"/>
      <c r="H29" s="27">
        <v>6942.5</v>
      </c>
      <c r="I29" s="27">
        <v>4191.2</v>
      </c>
      <c r="J29" s="27">
        <v>4478.8</v>
      </c>
      <c r="K29" s="27">
        <v>2515.1</v>
      </c>
      <c r="L29" s="27">
        <v>5817.7</v>
      </c>
      <c r="M29" s="27">
        <v>15640.7</v>
      </c>
      <c r="N29" s="27">
        <v>97517.5</v>
      </c>
      <c r="O29" s="284">
        <v>94.7</v>
      </c>
      <c r="P29" s="30"/>
    </row>
    <row r="30" spans="1:17">
      <c r="A30" s="28">
        <v>25</v>
      </c>
      <c r="B30" s="27">
        <v>54627.9</v>
      </c>
      <c r="C30" s="281">
        <v>214206</v>
      </c>
      <c r="D30" s="27"/>
      <c r="E30" s="27"/>
      <c r="F30" s="27"/>
      <c r="G30" s="27"/>
      <c r="H30" s="27">
        <v>6949.7</v>
      </c>
      <c r="I30" s="27">
        <v>4195.5</v>
      </c>
      <c r="J30" s="27">
        <v>4483.3</v>
      </c>
      <c r="K30" s="27">
        <v>2518</v>
      </c>
      <c r="L30" s="27">
        <v>5822.3</v>
      </c>
      <c r="M30" s="27">
        <v>15652.4</v>
      </c>
      <c r="N30" s="27">
        <v>97679.4</v>
      </c>
      <c r="O30" s="284">
        <v>76.5</v>
      </c>
      <c r="P30" s="31"/>
      <c r="Q30" s="31"/>
    </row>
    <row r="31" spans="1:17">
      <c r="A31" s="28">
        <v>26</v>
      </c>
      <c r="B31" s="27">
        <v>54652.1</v>
      </c>
      <c r="C31" s="281">
        <v>214473</v>
      </c>
      <c r="D31" s="27"/>
      <c r="E31" s="27"/>
      <c r="F31" s="27"/>
      <c r="G31" s="27"/>
      <c r="H31" s="27">
        <v>6956.8</v>
      </c>
      <c r="I31" s="27">
        <v>4199.8999999999996</v>
      </c>
      <c r="J31" s="27">
        <v>4487.3999999999996</v>
      </c>
      <c r="K31" s="27">
        <v>2520.6999999999998</v>
      </c>
      <c r="L31" s="27">
        <v>5826.9</v>
      </c>
      <c r="M31" s="27">
        <v>15664.2</v>
      </c>
      <c r="N31" s="27">
        <v>97803.199999999997</v>
      </c>
      <c r="O31" s="284"/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82.003200000000021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5" sqref="D15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94132.3</v>
      </c>
      <c r="E22" s="61">
        <f>'Daily Meter'!N6</f>
        <v>94274.8</v>
      </c>
      <c r="F22" s="85">
        <f>E22-D22</f>
        <v>142.5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527.25</v>
      </c>
      <c r="G23" s="89">
        <f>F23*2.5</f>
        <v>1318.125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142.5</v>
      </c>
      <c r="G31" s="99">
        <f>G23</f>
        <v>1318.125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15155.922179998881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5061.2520000008271</v>
      </c>
      <c r="G8" s="66">
        <f>F8*0.63</f>
        <v>3188.5887600005212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34975.070999999996</v>
      </c>
      <c r="G11" s="74">
        <f>F11*0.06</f>
        <v>2098.5042599999997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5061.251999998758</v>
      </c>
      <c r="G8" s="66">
        <f>F8*0.63</f>
        <v>3188.5887599992175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60931.413</v>
      </c>
      <c r="G11" s="74">
        <f>F11*0.06</f>
        <v>3655.8847799999999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5374.0260000004137</v>
      </c>
      <c r="G8" s="66">
        <f>F8*0.63</f>
        <v>3385.6363800002605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56092.095000000001</v>
      </c>
      <c r="G11" s="74">
        <f>F11*0.06</f>
        <v>3365.5257000000001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4663.1760000004133</v>
      </c>
      <c r="G8" s="66">
        <f>F8*0.63</f>
        <v>2937.8008800002603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46193.49</v>
      </c>
      <c r="G11" s="74">
        <f>F11*0.06</f>
        <v>2771.6093999999998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5032.8179999991717</v>
      </c>
      <c r="G8" s="66">
        <f>F8*0.63</f>
        <v>3170.6753399994782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5487.7620000008274</v>
      </c>
      <c r="G8" s="66">
        <f>F8*0.63</f>
        <v>3457.2900600005214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33875.226000000002</v>
      </c>
      <c r="G11" s="74">
        <f>F11*0.06</f>
        <v>2032.5135600000001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7023.1980000012409</v>
      </c>
      <c r="G8" s="66">
        <f>F8*0.63</f>
        <v>4424.6147400007821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7762.4819999987576</v>
      </c>
      <c r="G8" s="66">
        <f>F8*0.63</f>
        <v>4890.3636599992169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34535.133000000002</v>
      </c>
      <c r="G11" s="74">
        <f>F11*0.06</f>
        <v>2072.1079800000002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7677.1799999999994</v>
      </c>
      <c r="G8" s="66">
        <f>F8*0.63</f>
        <v>4836.6233999999995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48173.210999999996</v>
      </c>
      <c r="G11" s="74">
        <f>F11*0.06</f>
        <v>2890.3926599999995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6539.82</v>
      </c>
      <c r="G8" s="66">
        <f>F8*0.63</f>
        <v>4120.0865999999996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40694.264999999999</v>
      </c>
      <c r="G11" s="74">
        <f>F11*0.06</f>
        <v>2441.6558999999997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5914.2720000008267</v>
      </c>
      <c r="G8" s="66">
        <f>F8*0.63</f>
        <v>3725.9913600005207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51032.807999999997</v>
      </c>
      <c r="G11" s="74">
        <f>F11*0.06</f>
        <v>3061.9684799999995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21</v>
      </c>
      <c r="D3" s="42" t="s">
        <v>48</v>
      </c>
      <c r="E3" s="43">
        <f>'Daily Meter'!O26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'20'!E7</f>
        <v>54520.4</v>
      </c>
      <c r="E7" s="61">
        <f>'Daily Meter'!B26</f>
        <v>54540.9</v>
      </c>
      <c r="F7" s="62">
        <f>E7-D7</f>
        <v>20.5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5828.9699999999993</v>
      </c>
      <c r="G8" s="66">
        <f>F8*0.63</f>
        <v>3672.2510999999995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'20'!E10</f>
        <v>213101</v>
      </c>
      <c r="E10" s="61">
        <f>'Daily Meter'!C26</f>
        <v>213282</v>
      </c>
      <c r="F10" s="62">
        <f>E10-D10</f>
        <v>181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39814.388999999996</v>
      </c>
      <c r="G11" s="74">
        <f>F11*0.06</f>
        <v>2388.8633399999994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>
        <f>'Daily Meter'!H26</f>
        <v>6921</v>
      </c>
      <c r="F13" s="62">
        <f t="shared" ref="F13:F18" si="0">(E13-D13)*480</f>
        <v>3311.9999999998254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>
        <f>'Daily Meter'!I26</f>
        <v>4178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>
        <f>'Daily Meter'!J26</f>
        <v>4464.7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>
        <f>'Daily Meter'!K26</f>
        <v>2506.5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>
        <f>'Daily Meter'!L26</f>
        <v>5803.9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>
        <f>'Daily Meter'!M26</f>
        <v>15605.2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>
        <f>'Daily Meter'!N26</f>
        <v>97034.2</v>
      </c>
      <c r="F22" s="85">
        <f>E22-D22</f>
        <v>152.5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564.25</v>
      </c>
      <c r="G23" s="89">
        <f>F23*2.5</f>
        <v>1410.625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39814.388999999996</v>
      </c>
      <c r="G29" s="99">
        <f>G11</f>
        <v>2388.8633399999994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152.5</v>
      </c>
      <c r="G31" s="99">
        <f>G23</f>
        <v>1410.625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14757.65943999985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22</v>
      </c>
      <c r="D3" s="42" t="s">
        <v>48</v>
      </c>
      <c r="E3" s="43">
        <f>'Daily Meter'!O27</f>
        <v>98.16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'21'!E7</f>
        <v>54540.9</v>
      </c>
      <c r="E7" s="61">
        <f>'Daily Meter'!B27</f>
        <v>54561.8</v>
      </c>
      <c r="F7" s="62">
        <f>E7-D7</f>
        <v>20.900000000001455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5942.706000000413</v>
      </c>
      <c r="G8" s="66">
        <f>F8*0.63</f>
        <v>3743.9047800002604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'21'!E10</f>
        <v>213282</v>
      </c>
      <c r="E10" s="61">
        <f>'Daily Meter'!C27</f>
        <v>213517</v>
      </c>
      <c r="F10" s="62">
        <f>E10-D10</f>
        <v>235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51692.714999999997</v>
      </c>
      <c r="G11" s="74">
        <f>F11*0.06</f>
        <v>3101.5628999999999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'21'!E13</f>
        <v>6921</v>
      </c>
      <c r="E13" s="61">
        <f>'Daily Meter'!H27</f>
        <v>6928.2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'21'!E14</f>
        <v>4178</v>
      </c>
      <c r="E14" s="61">
        <f>'Daily Meter'!I27</f>
        <v>4182.3999999999996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'21'!E15</f>
        <v>4464.7</v>
      </c>
      <c r="E15" s="61">
        <f>'Daily Meter'!J27</f>
        <v>4469.3999999999996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'21'!E16</f>
        <v>2506.5</v>
      </c>
      <c r="E16" s="61">
        <f>'Daily Meter'!K27</f>
        <v>2509.3000000000002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'21'!E17</f>
        <v>5803.9</v>
      </c>
      <c r="E17" s="61">
        <f>'Daily Meter'!L27</f>
        <v>5808.3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'21'!E18</f>
        <v>15605.2</v>
      </c>
      <c r="E18" s="61">
        <f>'Daily Meter'!M27</f>
        <v>15617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'21'!E22</f>
        <v>97034.2</v>
      </c>
      <c r="E22" s="61">
        <f>'Daily Meter'!N27</f>
        <v>97192.2</v>
      </c>
      <c r="F22" s="85">
        <f>E22-D22</f>
        <v>158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584.6</v>
      </c>
      <c r="G23" s="89">
        <f>F23*2.5</f>
        <v>1461.5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5942.706000000413</v>
      </c>
      <c r="G28" s="99">
        <f>G8</f>
        <v>3743.9047800002604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51692.714999999997</v>
      </c>
      <c r="G29" s="99">
        <f>G11</f>
        <v>3101.5628999999999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158</v>
      </c>
      <c r="G31" s="99">
        <f>G23</f>
        <v>1461.5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15592.887680000109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23</v>
      </c>
      <c r="D3" s="42" t="s">
        <v>48</v>
      </c>
      <c r="E3" s="43">
        <f>'Daily Meter'!O28</f>
        <v>96.31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'22'!E7</f>
        <v>54561.8</v>
      </c>
      <c r="E7" s="61">
        <f>'Daily Meter'!B28</f>
        <v>54582</v>
      </c>
      <c r="F7" s="62">
        <f>E7-D7</f>
        <v>20.19999999999709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5743.667999999172</v>
      </c>
      <c r="G8" s="66">
        <f>F8*0.63</f>
        <v>3618.5108399994783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'22'!E10</f>
        <v>213517</v>
      </c>
      <c r="E10" s="61">
        <f>'Daily Meter'!C28</f>
        <v>213743</v>
      </c>
      <c r="F10" s="62">
        <f>E10-D10</f>
        <v>226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49712.993999999999</v>
      </c>
      <c r="G11" s="74">
        <f>F11*0.06</f>
        <v>2982.7796399999997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'22'!E13</f>
        <v>6928.2</v>
      </c>
      <c r="E13" s="61">
        <f>'Daily Meter'!H28</f>
        <v>6935.2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'22'!E14</f>
        <v>4182.3999999999996</v>
      </c>
      <c r="E14" s="61">
        <f>'Daily Meter'!I28</f>
        <v>4186.8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'22'!E15</f>
        <v>4469.3999999999996</v>
      </c>
      <c r="E15" s="61">
        <f>'Daily Meter'!J28</f>
        <v>4474.1000000000004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'22'!E16</f>
        <v>2509.3000000000002</v>
      </c>
      <c r="E16" s="61">
        <f>'Daily Meter'!K28</f>
        <v>2512.1999999999998</v>
      </c>
      <c r="F16" s="62">
        <f t="shared" si="0"/>
        <v>1391.9999999998254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'22'!E17</f>
        <v>5808.3</v>
      </c>
      <c r="E17" s="61">
        <f>'Daily Meter'!L28</f>
        <v>5813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'22'!E18</f>
        <v>15617</v>
      </c>
      <c r="E18" s="61">
        <f>'Daily Meter'!M28</f>
        <v>15628.7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16992.000000000698</v>
      </c>
      <c r="G19" s="66">
        <f>F19*0.43</f>
        <v>7306.5600000003005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'22'!E22</f>
        <v>97192.2</v>
      </c>
      <c r="E22" s="61">
        <f>'Daily Meter'!N28</f>
        <v>97352.5</v>
      </c>
      <c r="F22" s="85">
        <f>E22-D22</f>
        <v>160.30000000000291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593.11000000001081</v>
      </c>
      <c r="G23" s="89">
        <f>F23*2.5</f>
        <v>1482.7750000000269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5743.667999999172</v>
      </c>
      <c r="G28" s="99">
        <f>G8</f>
        <v>3618.5108399994783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49712.993999999999</v>
      </c>
      <c r="G29" s="99">
        <f>G11</f>
        <v>2982.7796399999997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16992.000000000698</v>
      </c>
      <c r="G30" s="99">
        <f>G19</f>
        <v>7306.5600000003005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160.30000000000291</v>
      </c>
      <c r="G31" s="99">
        <f>G23</f>
        <v>1482.7750000000269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15390.625479999806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41" t="str">
        <f>'1'!B3</f>
        <v>February 2024</v>
      </c>
      <c r="C3" s="40">
        <v>24</v>
      </c>
      <c r="D3" s="42" t="s">
        <v>48</v>
      </c>
      <c r="E3" s="43">
        <f>'Daily Meter'!O29</f>
        <v>94.7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'23'!E7</f>
        <v>54582</v>
      </c>
      <c r="E7" s="61">
        <f>'Daily Meter'!B29</f>
        <v>54603.7</v>
      </c>
      <c r="F7" s="62">
        <f>E7-D7</f>
        <v>21.69999999999709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'23'!E10</f>
        <v>213743</v>
      </c>
      <c r="E10" s="61">
        <f>'Daily Meter'!C29</f>
        <v>214027</v>
      </c>
      <c r="F10" s="62">
        <f>E10-D10</f>
        <v>284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62471.195999999996</v>
      </c>
      <c r="G11" s="74">
        <f>F11*0.06</f>
        <v>3748.2717599999996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'23'!E13</f>
        <v>6935.2</v>
      </c>
      <c r="E13" s="61">
        <f>'Daily Meter'!H29</f>
        <v>6942.5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'23'!E14</f>
        <v>4186.8</v>
      </c>
      <c r="E14" s="61">
        <f>'Daily Meter'!I29</f>
        <v>4191.2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'23'!E15</f>
        <v>4474.1000000000004</v>
      </c>
      <c r="E15" s="61">
        <f>'Daily Meter'!J29</f>
        <v>4478.8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'23'!E16</f>
        <v>2512.1999999999998</v>
      </c>
      <c r="E16" s="61">
        <f>'Daily Meter'!K29</f>
        <v>2515.1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'23'!E17</f>
        <v>5813</v>
      </c>
      <c r="E17" s="61">
        <f>'Daily Meter'!L29</f>
        <v>5817.7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'23'!E18</f>
        <v>15628.7</v>
      </c>
      <c r="E18" s="61">
        <f>'Daily Meter'!M29</f>
        <v>15640.7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'23'!E22</f>
        <v>97352.5</v>
      </c>
      <c r="E22" s="61">
        <f>'Daily Meter'!N29</f>
        <v>97517.5</v>
      </c>
      <c r="F22" s="85">
        <f>E22-D22</f>
        <v>165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610.5</v>
      </c>
      <c r="G23" s="89">
        <f>F23*2.5</f>
        <v>1526.25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62471.195999999996</v>
      </c>
      <c r="G29" s="99">
        <f>G11</f>
        <v>3748.2717599999996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165</v>
      </c>
      <c r="G31" s="99">
        <f>G23</f>
        <v>1526.25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16592.133899999382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25</v>
      </c>
      <c r="D3" s="42" t="s">
        <v>48</v>
      </c>
      <c r="E3" s="43">
        <f>'Daily Meter'!O30</f>
        <v>76.5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'24'!E7</f>
        <v>54603.7</v>
      </c>
      <c r="E7" s="104">
        <f>'Daily Meter'!B30</f>
        <v>54627.9</v>
      </c>
      <c r="F7" s="62">
        <f>E7-D7</f>
        <v>24.200000000004366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6881.0280000012408</v>
      </c>
      <c r="G8" s="66">
        <f>F8*0.63</f>
        <v>4335.0476400007819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'24'!E10</f>
        <v>214027</v>
      </c>
      <c r="E10" s="104">
        <f>'Daily Meter'!C30</f>
        <v>214206</v>
      </c>
      <c r="F10" s="62">
        <f>E10-D10</f>
        <v>179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39374.451000000001</v>
      </c>
      <c r="G11" s="74">
        <f>F11*0.06</f>
        <v>2362.4670599999999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'24'!E13</f>
        <v>6942.5</v>
      </c>
      <c r="E13" s="104">
        <f>'Daily Meter'!H30</f>
        <v>6949.7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'24'!E14</f>
        <v>4191.2</v>
      </c>
      <c r="E14" s="104">
        <f>'Daily Meter'!I30</f>
        <v>4195.5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'24'!E15</f>
        <v>4478.8</v>
      </c>
      <c r="E15" s="104">
        <f>'Daily Meter'!J30</f>
        <v>4483.3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'24'!E16</f>
        <v>2515.1</v>
      </c>
      <c r="E16" s="104">
        <f>'Daily Meter'!K30</f>
        <v>2518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'24'!E17</f>
        <v>5817.7</v>
      </c>
      <c r="E17" s="104">
        <f>'Daily Meter'!L30</f>
        <v>5822.3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'24'!E18</f>
        <v>15640.7</v>
      </c>
      <c r="E18" s="104">
        <f>'Daily Meter'!M30</f>
        <v>15652.4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16895.999999999694</v>
      </c>
      <c r="G19" s="66">
        <f>F19*0.43</f>
        <v>7265.2799999998688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'24'!E22</f>
        <v>97517.5</v>
      </c>
      <c r="E22" s="104">
        <f>'Daily Meter'!N30</f>
        <v>97679.4</v>
      </c>
      <c r="F22" s="85">
        <f>E22-D22</f>
        <v>161.89999999999418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599.02999999997849</v>
      </c>
      <c r="G23" s="89">
        <f>F23*2.5</f>
        <v>1497.5749999999462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07" t="s">
        <v>75</v>
      </c>
      <c r="E26" s="307"/>
      <c r="F26" s="307"/>
      <c r="G26" s="307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>
        <f>F8</f>
        <v>6881.0280000012408</v>
      </c>
      <c r="G28" s="99">
        <f>G8</f>
        <v>4335.0476400007819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>
        <f>F11</f>
        <v>39374.451000000001</v>
      </c>
      <c r="G29" s="99">
        <f>G11</f>
        <v>2362.4670599999999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>
        <f>F19</f>
        <v>16895.999999999694</v>
      </c>
      <c r="G30" s="99">
        <f>G19</f>
        <v>7265.2799999998688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>
        <f>F22</f>
        <v>161.89999999999418</v>
      </c>
      <c r="G31" s="99">
        <f>G23</f>
        <v>1497.5749999999462</v>
      </c>
      <c r="H31" s="91"/>
    </row>
    <row r="32" spans="1:11">
      <c r="D32" s="91"/>
      <c r="E32" s="91"/>
      <c r="F32" s="100" t="s">
        <v>86</v>
      </c>
      <c r="G32" s="101">
        <f>SUM(G28:G31)</f>
        <v>15460.369700000596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26</v>
      </c>
      <c r="D3" s="42" t="s">
        <v>48</v>
      </c>
      <c r="E3" s="43">
        <f>'Daily Meter'!O31</f>
        <v>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'25'!E7:E7</f>
        <v>54627.9</v>
      </c>
      <c r="E7" s="61">
        <f>'Daily Meter'!B31</f>
        <v>54652.1</v>
      </c>
      <c r="F7" s="106">
        <f>E7-D7</f>
        <v>24.19999999999709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6881.0279999991717</v>
      </c>
      <c r="G8" s="66">
        <f>F8*0.63</f>
        <v>4335.0476399994786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'25'!E10</f>
        <v>214206</v>
      </c>
      <c r="E10" s="61">
        <f>'Daily Meter'!C31</f>
        <v>214473</v>
      </c>
      <c r="F10" s="62">
        <f>E10-D10</f>
        <v>267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58731.722999999998</v>
      </c>
      <c r="G11" s="74">
        <f>F11*0.06</f>
        <v>3523.9033799999997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'25'!E13</f>
        <v>6949.7</v>
      </c>
      <c r="E13" s="61">
        <f>'Daily Meter'!H31</f>
        <v>6956.8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'25'!E14</f>
        <v>4195.5</v>
      </c>
      <c r="E14" s="61">
        <f>'Daily Meter'!I31</f>
        <v>4199.8999999999996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'25'!E15</f>
        <v>4483.3</v>
      </c>
      <c r="E15" s="61">
        <f>'Daily Meter'!J31</f>
        <v>4487.3999999999996</v>
      </c>
      <c r="F15" s="62">
        <f t="shared" si="0"/>
        <v>1967.9999999997381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'25'!E16</f>
        <v>2518</v>
      </c>
      <c r="E16" s="61">
        <f>'Daily Meter'!K31</f>
        <v>2520.6999999999998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'25'!E17</f>
        <v>5822.3</v>
      </c>
      <c r="E17" s="61">
        <f>'Daily Meter'!L31</f>
        <v>5826.9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'25'!E18</f>
        <v>15652.4</v>
      </c>
      <c r="E18" s="61">
        <f>'Daily Meter'!M31</f>
        <v>15664.2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16655.999999999913</v>
      </c>
      <c r="G19" s="66">
        <f>F19*0.43</f>
        <v>7162.0799999999626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'25'!E22</f>
        <v>97679.4</v>
      </c>
      <c r="E22" s="61">
        <f>'Daily Meter'!N31</f>
        <v>97803.199999999997</v>
      </c>
      <c r="F22" s="85">
        <f>E22-D22</f>
        <v>123.80000000000291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458.0600000000108</v>
      </c>
      <c r="G23" s="89">
        <f>F23*2.5</f>
        <v>1145.1500000000269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6881.0279999991717</v>
      </c>
      <c r="G28" s="99">
        <f>G8</f>
        <v>4335.0476399994786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58731.722999999998</v>
      </c>
      <c r="G29" s="99">
        <f>G11</f>
        <v>3523.9033799999997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16655.999999999913</v>
      </c>
      <c r="G30" s="99">
        <f>G19</f>
        <v>7162.0799999999626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123.80000000000291</v>
      </c>
      <c r="G31" s="99">
        <f>G23</f>
        <v>1145.1500000000269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16166.181019999469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'26'!E7</f>
        <v>54652.1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'26'!E10</f>
        <v>214473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'26'!E13</f>
        <v>6956.8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'26'!E14</f>
        <v>4199.8999999999996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'26'!E15</f>
        <v>4487.3999999999996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'26'!E16</f>
        <v>2520.6999999999998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'26'!E17</f>
        <v>5826.9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'26'!E18</f>
        <v>15664.2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'26'!E22</f>
        <v>97803.199999999997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6640625" customWidth="1"/>
    <col min="4" max="5" width="22.265625" customWidth="1"/>
    <col min="6" max="6" width="20.6640625" style="13" customWidth="1"/>
    <col min="7" max="7" width="20.664062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5" t="s">
        <v>45</v>
      </c>
      <c r="B1" s="305"/>
      <c r="C1" s="305"/>
      <c r="D1" s="305"/>
      <c r="E1" s="305"/>
      <c r="F1" s="305"/>
      <c r="G1" s="305"/>
      <c r="H1" s="16" t="s">
        <v>46</v>
      </c>
    </row>
    <row r="2" spans="1:8" ht="17.649999999999999">
      <c r="A2" s="306" t="s">
        <v>47</v>
      </c>
      <c r="B2" s="306"/>
      <c r="C2" s="306"/>
      <c r="D2" s="306"/>
      <c r="E2" s="306"/>
      <c r="F2" s="306"/>
      <c r="G2" s="306"/>
    </row>
    <row r="3" spans="1:8" s="44" customFormat="1" ht="17.649999999999999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82.003200000000021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8"/>
      <c r="E5" s="308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7" t="s">
        <v>75</v>
      </c>
      <c r="E26" s="307"/>
      <c r="F26" s="307"/>
      <c r="G26" s="307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44" customWidth="1"/>
    <col min="2" max="2" width="37.59765625" style="44" customWidth="1"/>
    <col min="3" max="3" width="21.59765625" style="44" customWidth="1"/>
    <col min="4" max="4" width="21.1328125" style="44" customWidth="1"/>
    <col min="5" max="5" width="21.59765625" style="44" customWidth="1"/>
    <col min="6" max="6" width="20.86328125" style="107" customWidth="1"/>
    <col min="7" max="8" width="20" style="107" customWidth="1"/>
    <col min="9" max="16384" width="9.1328125" style="44"/>
  </cols>
  <sheetData>
    <row r="1" spans="1:16" ht="15" customHeight="1">
      <c r="A1" s="318" t="s">
        <v>45</v>
      </c>
      <c r="B1" s="318"/>
      <c r="C1" s="318"/>
      <c r="D1" s="318"/>
      <c r="E1" s="318"/>
      <c r="F1" s="318"/>
      <c r="G1" s="318"/>
      <c r="H1" s="108"/>
      <c r="P1" s="16" t="s">
        <v>22</v>
      </c>
    </row>
    <row r="2" spans="1:16" ht="12" customHeight="1">
      <c r="A2" s="318"/>
      <c r="B2" s="318"/>
      <c r="C2" s="318"/>
      <c r="D2" s="318"/>
      <c r="E2" s="318"/>
      <c r="F2" s="318"/>
      <c r="G2" s="318"/>
      <c r="H2" s="108"/>
    </row>
    <row r="3" spans="1:16" ht="17.649999999999999">
      <c r="A3" s="319" t="s">
        <v>47</v>
      </c>
      <c r="B3" s="319"/>
      <c r="C3" s="319"/>
      <c r="D3" s="319"/>
      <c r="E3" s="319"/>
      <c r="F3" s="319"/>
      <c r="G3" s="319"/>
      <c r="H3" s="108"/>
      <c r="P3" s="16" t="s">
        <v>46</v>
      </c>
    </row>
    <row r="4" spans="1:16" ht="17.649999999999999">
      <c r="A4" s="320" t="s">
        <v>87</v>
      </c>
      <c r="B4" s="320"/>
      <c r="C4" s="320"/>
      <c r="D4" s="109" t="s">
        <v>88</v>
      </c>
      <c r="E4" s="110"/>
      <c r="F4" s="111" t="s">
        <v>89</v>
      </c>
      <c r="G4" s="321"/>
      <c r="H4" s="321"/>
    </row>
    <row r="5" spans="1:16" ht="27.75" customHeight="1">
      <c r="A5" s="322" t="s">
        <v>49</v>
      </c>
      <c r="B5" s="323" t="s">
        <v>50</v>
      </c>
      <c r="C5" s="113"/>
      <c r="D5" s="115" t="s">
        <v>90</v>
      </c>
      <c r="E5" s="115" t="s">
        <v>91</v>
      </c>
      <c r="F5" s="324" t="s">
        <v>92</v>
      </c>
      <c r="G5" s="324" t="s">
        <v>93</v>
      </c>
      <c r="H5" s="324" t="s">
        <v>94</v>
      </c>
    </row>
    <row r="6" spans="1:16" ht="24" customHeight="1">
      <c r="A6" s="322"/>
      <c r="B6" s="323"/>
      <c r="C6" s="116"/>
      <c r="D6" s="117" t="s">
        <v>95</v>
      </c>
      <c r="E6" s="117" t="s">
        <v>96</v>
      </c>
      <c r="F6" s="324"/>
      <c r="G6" s="324"/>
      <c r="H6" s="324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2"/>
      <c r="D10" s="312"/>
      <c r="E10" s="312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2"/>
      <c r="D11" s="312"/>
      <c r="E11" s="312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6"/>
      <c r="D12" s="316"/>
      <c r="E12" s="316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6"/>
      <c r="D13" s="316"/>
      <c r="E13" s="316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7"/>
      <c r="C14" s="317"/>
      <c r="D14" s="317"/>
      <c r="E14" s="317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4"/>
      <c r="D15" s="314"/>
      <c r="E15" s="314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5" t="s">
        <v>103</v>
      </c>
      <c r="H16" s="315"/>
    </row>
    <row r="17" spans="1:8" ht="27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2"/>
      <c r="D18" s="312"/>
      <c r="E18" s="312"/>
      <c r="F18" s="142">
        <v>350</v>
      </c>
      <c r="G18" s="143"/>
      <c r="H18" s="137"/>
    </row>
    <row r="19" spans="1:8">
      <c r="A19" s="68"/>
      <c r="B19" s="126" t="s">
        <v>106</v>
      </c>
      <c r="C19" s="312"/>
      <c r="D19" s="312"/>
      <c r="E19" s="312"/>
      <c r="F19" s="142">
        <v>400</v>
      </c>
      <c r="G19" s="143"/>
      <c r="H19" s="137"/>
    </row>
    <row r="20" spans="1:8">
      <c r="A20" s="68"/>
      <c r="B20" s="126" t="s">
        <v>107</v>
      </c>
      <c r="C20" s="312"/>
      <c r="D20" s="312"/>
      <c r="E20" s="312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2"/>
      <c r="D21" s="312"/>
      <c r="E21" s="312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2"/>
      <c r="D22" s="312"/>
      <c r="E22" s="312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3"/>
      <c r="D23" s="313"/>
      <c r="E23" s="313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4"/>
      <c r="D24" s="314"/>
      <c r="E24" s="314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4"/>
      <c r="D31" s="314"/>
      <c r="E31" s="314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2"/>
      <c r="D32" s="312"/>
      <c r="E32" s="312"/>
      <c r="F32" s="128">
        <v>460</v>
      </c>
      <c r="G32" s="153"/>
      <c r="H32" s="137"/>
    </row>
    <row r="33" spans="1:8">
      <c r="A33" s="56"/>
      <c r="B33" s="126" t="s">
        <v>112</v>
      </c>
      <c r="C33" s="312"/>
      <c r="D33" s="312"/>
      <c r="E33" s="312"/>
      <c r="F33" s="128">
        <v>560</v>
      </c>
      <c r="G33" s="153"/>
      <c r="H33" s="137"/>
    </row>
    <row r="34" spans="1:8">
      <c r="A34" s="56"/>
      <c r="B34" s="126" t="s">
        <v>113</v>
      </c>
      <c r="C34" s="312"/>
      <c r="D34" s="312"/>
      <c r="E34" s="312"/>
      <c r="F34" s="128">
        <v>640</v>
      </c>
      <c r="G34" s="153"/>
      <c r="H34" s="137"/>
    </row>
    <row r="35" spans="1:8">
      <c r="A35" s="56"/>
      <c r="B35" s="126" t="s">
        <v>114</v>
      </c>
      <c r="C35" s="312"/>
      <c r="D35" s="312"/>
      <c r="E35" s="312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2"/>
      <c r="D36" s="312"/>
      <c r="E36" s="312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09"/>
      <c r="D37" s="309"/>
      <c r="E37" s="309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10"/>
      <c r="D39" s="310"/>
      <c r="E39" s="310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09"/>
      <c r="D42" s="309"/>
      <c r="E42" s="309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11" t="s">
        <v>75</v>
      </c>
      <c r="C44" s="311"/>
      <c r="D44" s="311"/>
      <c r="E44" s="311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44" customWidth="1"/>
    <col min="2" max="2" width="38.265625" style="44" customWidth="1"/>
    <col min="3" max="3" width="21.59765625" style="44" customWidth="1"/>
    <col min="4" max="4" width="20.1328125" style="44" customWidth="1"/>
    <col min="5" max="5" width="20.265625" style="44" customWidth="1"/>
    <col min="6" max="6" width="21.265625" style="107" customWidth="1"/>
    <col min="7" max="7" width="20" style="107" customWidth="1"/>
    <col min="8" max="10" width="9.1328125" style="44"/>
    <col min="11" max="16" width="10.59765625" style="44" customWidth="1"/>
    <col min="17" max="16384" width="9.1328125" style="44"/>
  </cols>
  <sheetData>
    <row r="1" spans="1:14" ht="15" customHeight="1">
      <c r="A1" s="326" t="s">
        <v>45</v>
      </c>
      <c r="B1" s="326"/>
      <c r="C1" s="326"/>
      <c r="D1" s="326"/>
      <c r="E1" s="326"/>
      <c r="F1" s="326"/>
      <c r="G1" s="326"/>
    </row>
    <row r="2" spans="1:14" ht="10.5" customHeight="1">
      <c r="A2" s="326"/>
      <c r="B2" s="326"/>
      <c r="C2" s="326"/>
      <c r="D2" s="326"/>
      <c r="E2" s="326"/>
      <c r="F2" s="326"/>
      <c r="G2" s="326"/>
    </row>
    <row r="3" spans="1:14" ht="21.75" customHeight="1">
      <c r="A3" s="327" t="s">
        <v>47</v>
      </c>
      <c r="B3" s="327"/>
      <c r="C3" s="327"/>
      <c r="D3" s="327"/>
      <c r="E3" s="327"/>
      <c r="F3" s="327"/>
      <c r="G3" s="327"/>
    </row>
    <row r="4" spans="1:14" ht="35.25">
      <c r="A4" s="328" t="s">
        <v>123</v>
      </c>
      <c r="B4" s="328"/>
      <c r="C4" s="168" t="s">
        <v>124</v>
      </c>
      <c r="D4" s="112"/>
      <c r="E4" s="169" t="s">
        <v>88</v>
      </c>
      <c r="F4" s="329"/>
      <c r="G4" s="329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30" t="s">
        <v>125</v>
      </c>
      <c r="G5" s="331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30"/>
      <c r="G6" s="331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5" t="s">
        <v>75</v>
      </c>
      <c r="C44" s="325"/>
      <c r="D44" s="325"/>
      <c r="E44" s="325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7" customWidth="1"/>
    <col min="2" max="32" width="16.6640625" style="218" customWidth="1"/>
    <col min="33" max="35" width="9.1328125" style="218"/>
    <col min="36" max="36" width="24.6640625" style="218" customWidth="1"/>
    <col min="37" max="16384" width="9.13281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32"/>
      <c r="B4" s="332"/>
      <c r="C4" s="332"/>
      <c r="D4" s="332"/>
      <c r="E4" s="332"/>
      <c r="F4" s="332"/>
      <c r="G4" s="332"/>
      <c r="H4" s="332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32"/>
      <c r="B15" s="332"/>
      <c r="C15" s="332"/>
      <c r="D15" s="332"/>
      <c r="E15" s="332"/>
      <c r="F15" s="332"/>
      <c r="G15" s="332"/>
      <c r="H15" s="332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32"/>
      <c r="B18" s="332"/>
      <c r="C18" s="332"/>
      <c r="D18" s="332"/>
      <c r="E18" s="332"/>
      <c r="F18" s="332"/>
      <c r="G18" s="332"/>
      <c r="H18" s="332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640625" defaultRowHeight="52.5"/>
  <cols>
    <col min="1" max="1" width="35.86328125" style="236" customWidth="1"/>
    <col min="2" max="16384" width="35.664062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640625" defaultRowHeight="52.5"/>
  <cols>
    <col min="1" max="4" width="35.6640625" style="236"/>
    <col min="5" max="5" width="32.86328125" style="236" customWidth="1"/>
    <col min="6" max="6" width="35.6640625" style="236"/>
    <col min="7" max="7" width="6.6640625" style="236" customWidth="1"/>
    <col min="8" max="16384" width="35.664062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4"/>
      <c r="G1" s="334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5" t="s">
        <v>158</v>
      </c>
      <c r="G2" s="335"/>
      <c r="H2" s="266"/>
    </row>
    <row r="3" spans="1:12" ht="69.75" customHeight="1">
      <c r="A3" s="265"/>
      <c r="B3" s="249"/>
      <c r="C3" s="244"/>
      <c r="E3" s="267" t="s">
        <v>159</v>
      </c>
      <c r="F3" s="336">
        <v>1292977.78</v>
      </c>
      <c r="G3" s="336"/>
      <c r="H3" s="268"/>
    </row>
    <row r="4" spans="1:12" ht="69.75" customHeight="1">
      <c r="A4" s="265"/>
      <c r="B4" s="269"/>
      <c r="C4" s="244"/>
      <c r="E4" s="270" t="s">
        <v>160</v>
      </c>
      <c r="F4" s="333">
        <v>553296</v>
      </c>
      <c r="G4" s="333"/>
      <c r="H4" s="268"/>
    </row>
    <row r="5" spans="1:12" ht="69.75" customHeight="1">
      <c r="A5" s="265"/>
      <c r="B5" s="271"/>
      <c r="C5" s="244"/>
      <c r="E5" s="270" t="s">
        <v>161</v>
      </c>
      <c r="F5" s="333">
        <v>528379</v>
      </c>
      <c r="G5" s="333"/>
      <c r="H5" s="268"/>
    </row>
    <row r="6" spans="1:12" ht="69.75" customHeight="1">
      <c r="A6" s="265"/>
      <c r="B6" s="271"/>
      <c r="C6" s="244"/>
      <c r="E6" s="270" t="s">
        <v>162</v>
      </c>
      <c r="F6" s="333">
        <v>13436.55</v>
      </c>
      <c r="G6" s="333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4CDDA-042B-4180-AA44-3DF18CCC8F85}">
  <ds:schemaRefs>
    <ds:schemaRef ds:uri="http://purl.org/dc/elements/1.1/"/>
    <ds:schemaRef ds:uri="401fae36-edd3-4788-a18a-50cdc6e6776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ab6f10ed-c627-4ef3-be43-403188ac181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2024-03-05T06:16:26Z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