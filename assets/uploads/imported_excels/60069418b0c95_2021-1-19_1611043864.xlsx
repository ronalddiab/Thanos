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7" activeTab="1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I23" i="1"/>
  <c r="I24"/>
  <c r="I25"/>
  <c r="I26"/>
  <c r="I27"/>
  <c r="I28"/>
  <c r="I29"/>
  <c r="I30"/>
  <c r="I31"/>
  <c r="I32"/>
  <c r="I33"/>
  <c r="I34"/>
  <c r="I35"/>
  <c r="I22"/>
  <c r="E18" i="3"/>
  <c r="E19"/>
  <c r="AO21" i="1"/>
  <c r="G17" i="5"/>
  <c r="O16" i="1"/>
  <c r="G9" i="5"/>
  <c r="G10" s="1"/>
  <c r="G11" s="1"/>
  <c r="G12" s="1"/>
  <c r="G14" s="1"/>
  <c r="G15" s="1"/>
  <c r="G16" s="1"/>
  <c r="G8"/>
  <c r="C19" i="77"/>
  <c r="C18"/>
  <c r="C17"/>
  <c r="C16"/>
  <c r="C15"/>
  <c r="C14"/>
  <c r="G18" i="5" l="1"/>
  <c r="G19" s="1"/>
  <c r="G20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I9" i="77"/>
  <c r="I7"/>
  <c r="H9"/>
  <c r="H7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AB13" i="76"/>
  <c r="AC13"/>
  <c r="AB14"/>
  <c r="AC14"/>
  <c r="AB15"/>
  <c r="AC15"/>
  <c r="AB16"/>
  <c r="AC16"/>
  <c r="AB17"/>
  <c r="AC17"/>
  <c r="AB18"/>
  <c r="AC18"/>
  <c r="AB19"/>
  <c r="AC19"/>
  <c r="AA10"/>
  <c r="AB10"/>
  <c r="AC10"/>
  <c r="AD10"/>
  <c r="AA11"/>
  <c r="AB11"/>
  <c r="AC11"/>
  <c r="AD11"/>
  <c r="AA12"/>
  <c r="AB12"/>
  <c r="AC12"/>
  <c r="AD12"/>
  <c r="AB9"/>
  <c r="AC9"/>
  <c r="AD9"/>
  <c r="W15"/>
  <c r="W16"/>
  <c r="X14"/>
  <c r="Y14"/>
  <c r="W14"/>
  <c r="Y10"/>
  <c r="Z10"/>
  <c r="Y11"/>
  <c r="Z11"/>
  <c r="Z9"/>
  <c r="AA9"/>
  <c r="Y9"/>
  <c r="V10"/>
  <c r="W10"/>
  <c r="V11"/>
  <c r="W11"/>
  <c r="W9"/>
  <c r="V9"/>
  <c r="J22"/>
  <c r="J23" s="1"/>
  <c r="J24" s="1"/>
  <c r="J25" s="1"/>
  <c r="J26" s="1"/>
  <c r="J27" s="1"/>
  <c r="J28" s="1"/>
  <c r="J29" s="1"/>
  <c r="J30" s="1"/>
  <c r="J31" s="1"/>
  <c r="J32" s="1"/>
  <c r="J33" s="1"/>
  <c r="J34" s="1"/>
  <c r="H22"/>
  <c r="H23" s="1"/>
  <c r="H24" s="1"/>
  <c r="H25" s="1"/>
  <c r="H26" s="1"/>
  <c r="H27" s="1"/>
  <c r="H28" s="1"/>
  <c r="H29" s="1"/>
  <c r="H30" s="1"/>
  <c r="H31" s="1"/>
  <c r="H32" s="1"/>
  <c r="H33" s="1"/>
  <c r="H34" s="1"/>
  <c r="F22"/>
  <c r="F23" s="1"/>
  <c r="F24" s="1"/>
  <c r="F25" s="1"/>
  <c r="F26" s="1"/>
  <c r="F27" s="1"/>
  <c r="F28" s="1"/>
  <c r="F29" s="1"/>
  <c r="F30" s="1"/>
  <c r="F31" s="1"/>
  <c r="F32" s="1"/>
  <c r="F33" s="1"/>
  <c r="F34" s="1"/>
  <c r="B22"/>
  <c r="B23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G3"/>
  <c r="I3"/>
  <c r="K3"/>
  <c r="L3"/>
  <c r="M3"/>
  <c r="N3"/>
  <c r="O3"/>
  <c r="P3"/>
  <c r="Q3"/>
  <c r="R3"/>
  <c r="S3"/>
  <c r="T3"/>
  <c r="R4" i="3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R3"/>
  <c r="B21"/>
  <c r="B22" s="1"/>
  <c r="B23" s="1"/>
  <c r="B24" s="1"/>
  <c r="B25" s="1"/>
  <c r="B26" s="1"/>
  <c r="B27" s="1"/>
  <c r="B28" s="1"/>
  <c r="B29" s="1"/>
  <c r="B30" s="1"/>
  <c r="B31" s="1"/>
  <c r="B32" s="1"/>
  <c r="B33" s="1"/>
  <c r="J3"/>
  <c r="J4" s="1"/>
  <c r="J5" s="1"/>
  <c r="J6" s="1"/>
  <c r="J7" s="1"/>
  <c r="J8" s="1"/>
  <c r="J9" s="1"/>
  <c r="J10" s="1"/>
  <c r="J11" s="1"/>
  <c r="J12" s="1"/>
  <c r="J13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E2"/>
  <c r="F2"/>
  <c r="G2"/>
  <c r="H2"/>
  <c r="I2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S2"/>
  <c r="T2"/>
  <c r="T3" s="1"/>
  <c r="T4" s="1"/>
  <c r="T5" s="1"/>
  <c r="T6" s="1"/>
  <c r="T7" s="1"/>
  <c r="T8" s="1"/>
  <c r="T9" s="1"/>
  <c r="T10" s="1"/>
  <c r="U2"/>
  <c r="V2"/>
  <c r="W2"/>
  <c r="X2"/>
  <c r="Y2"/>
  <c r="Z2"/>
  <c r="AA2"/>
  <c r="AB2"/>
  <c r="AC2"/>
  <c r="AD2"/>
  <c r="AE2"/>
  <c r="AF2"/>
  <c r="AG2"/>
  <c r="AH2"/>
  <c r="AI2"/>
  <c r="AJ2"/>
  <c r="AK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5" i="73"/>
  <c r="E5"/>
  <c r="F5"/>
  <c r="G5"/>
  <c r="H5"/>
  <c r="I5"/>
  <c r="J5"/>
  <c r="K5"/>
  <c r="L5"/>
  <c r="M5"/>
  <c r="N5"/>
  <c r="O5"/>
  <c r="D5" i="79"/>
  <c r="G5"/>
  <c r="H5"/>
  <c r="H6" s="1"/>
  <c r="AT8" i="5"/>
  <c r="AT9" s="1"/>
  <c r="AT13" s="1"/>
  <c r="AT14" s="1"/>
  <c r="AT15" s="1"/>
  <c r="AT17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X24"/>
  <c r="AX25" s="1"/>
  <c r="AX26" s="1"/>
  <c r="AX27" s="1"/>
  <c r="AX28" s="1"/>
  <c r="AX29" s="1"/>
  <c r="AX30" s="1"/>
  <c r="AX31" s="1"/>
  <c r="AX32" s="1"/>
  <c r="AX33" s="1"/>
  <c r="AX34" s="1"/>
  <c r="AX35" s="1"/>
  <c r="AX36" s="1"/>
  <c r="AV24"/>
  <c r="AV25" s="1"/>
  <c r="AV26" s="1"/>
  <c r="AV27" s="1"/>
  <c r="AV28" s="1"/>
  <c r="AV29" s="1"/>
  <c r="AV30" s="1"/>
  <c r="AV31" s="1"/>
  <c r="AV32" s="1"/>
  <c r="AV33" s="1"/>
  <c r="AV34" s="1"/>
  <c r="AV35" s="1"/>
  <c r="AV36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T7"/>
  <c r="T8" s="1"/>
  <c r="T9" s="1"/>
  <c r="T10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8" s="1"/>
  <c r="X19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7"/>
  <c r="C5"/>
  <c r="D5"/>
  <c r="E5"/>
  <c r="F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P5"/>
  <c r="Q5"/>
  <c r="R5"/>
  <c r="S5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Y5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S5"/>
  <c r="AU5"/>
  <c r="AW5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8"/>
  <c r="Q11" s="1"/>
  <c r="Q13" s="1"/>
  <c r="Q14" s="1"/>
  <c r="Q17" s="1"/>
  <c r="Q18" s="1"/>
  <c r="Q19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5"/>
  <c r="P5"/>
  <c r="P8" s="1"/>
  <c r="P11" s="1"/>
  <c r="P13" s="1"/>
  <c r="P14" s="1"/>
  <c r="P17" s="1"/>
  <c r="P18" s="1"/>
  <c r="P19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7"/>
  <c r="M10" s="1"/>
  <c r="M13" s="1"/>
  <c r="M15" s="1"/>
  <c r="M16" s="1"/>
  <c r="M21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H6"/>
  <c r="H9" s="1"/>
  <c r="H12" s="1"/>
  <c r="H13" s="1"/>
  <c r="H14" s="1"/>
  <c r="H15" s="1"/>
  <c r="H20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9" s="1"/>
  <c r="F15" s="1"/>
  <c r="F20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23"/>
  <c r="C24" s="1"/>
  <c r="C25" s="1"/>
  <c r="C26" s="1"/>
  <c r="C27" s="1"/>
  <c r="C28" s="1"/>
  <c r="C29" s="1"/>
  <c r="C30" s="1"/>
  <c r="C31" s="1"/>
  <c r="C32" s="1"/>
  <c r="C33" s="1"/>
  <c r="C34" s="1"/>
  <c r="C35" s="1"/>
  <c r="B23"/>
  <c r="B24" s="1"/>
  <c r="B25" s="1"/>
  <c r="B26" s="1"/>
  <c r="B27" s="1"/>
  <c r="B28" s="1"/>
  <c r="B29" s="1"/>
  <c r="B30" s="1"/>
  <c r="B31" s="1"/>
  <c r="B32" s="1"/>
  <c r="B33" s="1"/>
  <c r="B34" s="1"/>
  <c r="B35" s="1"/>
  <c r="D4"/>
  <c r="E4"/>
  <c r="G4"/>
  <c r="I4"/>
  <c r="J4"/>
  <c r="L4"/>
  <c r="N4"/>
  <c r="O4"/>
  <c r="R4"/>
  <c r="S4"/>
  <c r="T4"/>
  <c r="U4"/>
  <c r="V4"/>
  <c r="W4"/>
  <c r="X4"/>
  <c r="X5" s="1"/>
  <c r="Y4"/>
  <c r="Z4"/>
  <c r="Z5" s="1"/>
  <c r="AA4"/>
  <c r="AB4"/>
  <c r="AC4"/>
  <c r="AD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Y4" i="2"/>
  <c r="Y5" s="1"/>
  <c r="Y6" s="1"/>
  <c r="Y7" s="1"/>
  <c r="Y8" s="1"/>
  <c r="Y9" s="1"/>
  <c r="Y10" s="1"/>
  <c r="Y11" s="1"/>
  <c r="Y12" s="1"/>
  <c r="Y13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/>
  <c r="W6" s="1"/>
  <c r="W7" s="1"/>
  <c r="W8" s="1"/>
  <c r="W9" s="1"/>
  <c r="W10" s="1"/>
  <c r="W11" s="1"/>
  <c r="W12" s="1"/>
  <c r="W13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11"/>
  <c r="U12" s="1"/>
  <c r="U13" s="1"/>
  <c r="U14" s="1"/>
  <c r="U15" s="1"/>
  <c r="U16" s="1"/>
  <c r="U17" s="1"/>
  <c r="U18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10"/>
  <c r="S11" s="1"/>
  <c r="S12" s="1"/>
  <c r="S13" s="1"/>
  <c r="S14" s="1"/>
  <c r="S16" s="1"/>
  <c r="S17" s="1"/>
  <c r="S18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21"/>
  <c r="P22" s="1"/>
  <c r="P23" s="1"/>
  <c r="P24" s="1"/>
  <c r="P25" s="1"/>
  <c r="P26" s="1"/>
  <c r="P27" s="1"/>
  <c r="P28" s="1"/>
  <c r="P29" s="1"/>
  <c r="P30" s="1"/>
  <c r="P31" s="1"/>
  <c r="P32" s="1"/>
  <c r="P33" s="1"/>
  <c r="L21"/>
  <c r="L22" s="1"/>
  <c r="L23" s="1"/>
  <c r="L24" s="1"/>
  <c r="L25" s="1"/>
  <c r="L26" s="1"/>
  <c r="L27" s="1"/>
  <c r="L28" s="1"/>
  <c r="L29" s="1"/>
  <c r="L30" s="1"/>
  <c r="L31" s="1"/>
  <c r="L32" s="1"/>
  <c r="L33" s="1"/>
  <c r="J21"/>
  <c r="J22" s="1"/>
  <c r="J23" s="1"/>
  <c r="J24" s="1"/>
  <c r="J25" s="1"/>
  <c r="J26" s="1"/>
  <c r="J27" s="1"/>
  <c r="J28" s="1"/>
  <c r="J29" s="1"/>
  <c r="J30" s="1"/>
  <c r="J31" s="1"/>
  <c r="J32" s="1"/>
  <c r="J33" s="1"/>
  <c r="H21"/>
  <c r="H22" s="1"/>
  <c r="H23" s="1"/>
  <c r="H24" s="1"/>
  <c r="H25" s="1"/>
  <c r="H26" s="1"/>
  <c r="H27" s="1"/>
  <c r="H28" s="1"/>
  <c r="H29" s="1"/>
  <c r="H30" s="1"/>
  <c r="H31" s="1"/>
  <c r="H32" s="1"/>
  <c r="H33" s="1"/>
  <c r="F21"/>
  <c r="F22" s="1"/>
  <c r="F23" s="1"/>
  <c r="F24" s="1"/>
  <c r="F25" s="1"/>
  <c r="F26" s="1"/>
  <c r="F27" s="1"/>
  <c r="F28" s="1"/>
  <c r="F29" s="1"/>
  <c r="F30" s="1"/>
  <c r="F31" s="1"/>
  <c r="F32" s="1"/>
  <c r="F33" s="1"/>
  <c r="D21"/>
  <c r="D22" s="1"/>
  <c r="D23" s="1"/>
  <c r="D24" s="1"/>
  <c r="D25" s="1"/>
  <c r="D26" s="1"/>
  <c r="D27" s="1"/>
  <c r="D28" s="1"/>
  <c r="D29" s="1"/>
  <c r="D30" s="1"/>
  <c r="D31" s="1"/>
  <c r="D32" s="1"/>
  <c r="D33" s="1"/>
  <c r="G2"/>
  <c r="I2"/>
  <c r="K2"/>
  <c r="M2"/>
  <c r="Q2"/>
  <c r="S2"/>
  <c r="T2"/>
  <c r="U2"/>
  <c r="V2"/>
  <c r="W2"/>
  <c r="X2"/>
  <c r="Y2"/>
  <c r="Z2"/>
  <c r="AB2"/>
  <c r="AD2"/>
  <c r="AE2"/>
  <c r="AF2"/>
  <c r="AG2"/>
  <c r="AH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A33"/>
  <c r="B33" s="1"/>
  <c r="D21" i="3" l="1"/>
  <c r="D22" s="1"/>
  <c r="D23" s="1"/>
  <c r="D24" s="1"/>
  <c r="D25" s="1"/>
  <c r="D26" s="1"/>
  <c r="D27" s="1"/>
  <c r="D28" s="1"/>
  <c r="D29" s="1"/>
  <c r="D30" s="1"/>
  <c r="D31" s="1"/>
  <c r="D32" s="1"/>
  <c r="D33" s="1"/>
  <c r="E20"/>
  <c r="K7" i="5"/>
  <c r="H8" i="79"/>
  <c r="T11" i="3"/>
  <c r="U10"/>
  <c r="K8" i="5" l="1"/>
  <c r="T12" i="3"/>
  <c r="U11"/>
  <c r="H10" i="79" l="1"/>
  <c r="K9" i="5"/>
  <c r="T13" i="3"/>
  <c r="U12"/>
  <c r="K10" i="5" l="1"/>
  <c r="T14" i="3"/>
  <c r="U13"/>
  <c r="H12" i="79" l="1"/>
  <c r="K11" i="5"/>
  <c r="T15" i="3"/>
  <c r="U14"/>
  <c r="H13" i="79" l="1"/>
  <c r="K12" i="5"/>
  <c r="T16" i="3"/>
  <c r="U15"/>
  <c r="T17" l="1"/>
  <c r="U16"/>
  <c r="H14" i="79"/>
  <c r="K13" i="5"/>
  <c r="T18" i="3" l="1"/>
  <c r="U17"/>
  <c r="K14" i="5"/>
  <c r="T19" i="3" l="1"/>
  <c r="U18"/>
  <c r="H16" i="79"/>
  <c r="K15" i="5"/>
  <c r="T20" i="3" l="1"/>
  <c r="U19"/>
  <c r="H17" i="79"/>
  <c r="K16" i="5"/>
  <c r="E2" i="2"/>
  <c r="N2"/>
  <c r="T21" i="3" l="1"/>
  <c r="T22" s="1"/>
  <c r="T23" s="1"/>
  <c r="T24" s="1"/>
  <c r="T25" s="1"/>
  <c r="T26" s="1"/>
  <c r="T27" s="1"/>
  <c r="T28" s="1"/>
  <c r="T29" s="1"/>
  <c r="T30" s="1"/>
  <c r="T31" s="1"/>
  <c r="T32" s="1"/>
  <c r="T33" s="1"/>
  <c r="U20"/>
  <c r="H18" i="79"/>
  <c r="K17" i="5"/>
  <c r="R2" i="2"/>
  <c r="H19" i="79" l="1"/>
  <c r="K18" i="5"/>
  <c r="AI2" i="2"/>
  <c r="H20" i="79" l="1"/>
  <c r="K19" i="5"/>
  <c r="O2" i="2"/>
  <c r="K20" i="5" l="1"/>
  <c r="A5"/>
  <c r="K21" l="1"/>
  <c r="K19" i="73"/>
  <c r="G19"/>
  <c r="K15" i="76"/>
  <c r="H23" i="79" l="1"/>
  <c r="K22" i="5"/>
  <c r="D14" i="73"/>
  <c r="H24" i="79" l="1"/>
  <c r="K23" i="5"/>
  <c r="D18" i="77"/>
  <c r="D17"/>
  <c r="H25" i="79" l="1"/>
  <c r="K24" i="5"/>
  <c r="X78" i="74"/>
  <c r="Z12" i="76"/>
  <c r="P34" i="3"/>
  <c r="AK38" i="5"/>
  <c r="F37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N5" i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A4" i="2"/>
  <c r="AA5" s="1"/>
  <c r="AA6" s="1"/>
  <c r="AA7" s="1"/>
  <c r="AA8" s="1"/>
  <c r="AA9" s="1"/>
  <c r="AA14" s="1"/>
  <c r="AA15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3"/>
  <c r="AC4" s="1"/>
  <c r="AC5" s="1"/>
  <c r="AC6" s="1"/>
  <c r="AC7" s="1"/>
  <c r="AC8" s="1"/>
  <c r="AC9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H26" i="79" l="1"/>
  <c r="K25" i="5"/>
  <c r="AZ19"/>
  <c r="BA19"/>
  <c r="N6" i="1"/>
  <c r="K7"/>
  <c r="K10" s="1"/>
  <c r="K13" s="1"/>
  <c r="K15" s="1"/>
  <c r="K16" s="1"/>
  <c r="K21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5"/>
  <c r="H27" i="79" l="1"/>
  <c r="K26" i="5"/>
  <c r="AZ20"/>
  <c r="BC20" s="1"/>
  <c r="BA20"/>
  <c r="BD20" s="1"/>
  <c r="N7" i="1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H28" i="79" l="1"/>
  <c r="K27" i="5"/>
  <c r="L7" i="1"/>
  <c r="AZ21" i="5"/>
  <c r="BA21"/>
  <c r="N8" i="1"/>
  <c r="D34" i="76"/>
  <c r="E34" s="1"/>
  <c r="L34"/>
  <c r="L35" s="1"/>
  <c r="AS37" i="7"/>
  <c r="AU37" s="1"/>
  <c r="AT37"/>
  <c r="H29" i="79" l="1"/>
  <c r="K28" i="5"/>
  <c r="L8" i="1"/>
  <c r="N9"/>
  <c r="K6" i="5"/>
  <c r="H30" i="79" l="1"/>
  <c r="K29" i="5"/>
  <c r="N10" i="1"/>
  <c r="L9"/>
  <c r="H31" i="79" l="1"/>
  <c r="K30" i="5"/>
  <c r="N11" i="1"/>
  <c r="L10"/>
  <c r="H32" i="79" l="1"/>
  <c r="K31" i="5"/>
  <c r="N12" i="1"/>
  <c r="L11"/>
  <c r="W13" i="76"/>
  <c r="X9"/>
  <c r="H33" i="79" l="1"/>
  <c r="K32" i="5"/>
  <c r="L12" i="1"/>
  <c r="N13"/>
  <c r="A21"/>
  <c r="A22"/>
  <c r="A23"/>
  <c r="A24"/>
  <c r="A25"/>
  <c r="A26"/>
  <c r="Q14" i="2"/>
  <c r="Q13"/>
  <c r="H34" i="79" l="1"/>
  <c r="K33" i="5"/>
  <c r="N14" i="1"/>
  <c r="L13"/>
  <c r="S5" i="3"/>
  <c r="S6"/>
  <c r="K11" i="73"/>
  <c r="Y7" i="5"/>
  <c r="Y8"/>
  <c r="H35" i="79" l="1"/>
  <c r="K34" i="5"/>
  <c r="N15" i="1"/>
  <c r="L14"/>
  <c r="H36" i="79" l="1"/>
  <c r="K36" i="5" s="1"/>
  <c r="K35"/>
  <c r="N16" i="1"/>
  <c r="L15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"/>
  <c r="B3" s="1"/>
  <c r="N17" i="1" l="1"/>
  <c r="L16"/>
  <c r="L32" i="82"/>
  <c r="O32" i="81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X11"/>
  <c r="X10"/>
  <c r="BH5" i="7"/>
  <c r="L20" i="1" l="1"/>
  <c r="N21"/>
  <c r="Q19" i="2"/>
  <c r="L21" i="1" l="1"/>
  <c r="N22"/>
  <c r="Q20" i="2"/>
  <c r="N23" i="1" l="1"/>
  <c r="L22"/>
  <c r="Q21" i="2"/>
  <c r="N24" i="1" l="1"/>
  <c r="L23"/>
  <c r="Q22" i="2"/>
  <c r="C13" i="76"/>
  <c r="N25" i="1" l="1"/>
  <c r="L24"/>
  <c r="Q23" i="2"/>
  <c r="C14" i="76"/>
  <c r="N26" i="1" l="1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N32" l="1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Z33" l="1"/>
  <c r="AK33" s="1"/>
  <c r="N33" i="1"/>
  <c r="L32"/>
  <c r="Q31" i="2"/>
  <c r="C22" i="76"/>
  <c r="AB33" i="2"/>
  <c r="AB10"/>
  <c r="D14" i="76"/>
  <c r="E14" s="1"/>
  <c r="G16"/>
  <c r="L16" s="1"/>
  <c r="I16"/>
  <c r="M16" s="1"/>
  <c r="AB33" i="3"/>
  <c r="N34" i="1" l="1"/>
  <c r="N35"/>
  <c r="L33"/>
  <c r="Q32" i="2"/>
  <c r="C23" i="76"/>
  <c r="AC33" i="3"/>
  <c r="G17" i="76"/>
  <c r="L17" s="1"/>
  <c r="I17"/>
  <c r="M17" s="1"/>
  <c r="D15"/>
  <c r="E15" s="1"/>
  <c r="L35" i="1" l="1"/>
  <c r="L34"/>
  <c r="Q33" i="2"/>
  <c r="C24" i="76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Q3" i="2"/>
  <c r="M33" i="76" l="1"/>
  <c r="D33"/>
  <c r="E33" s="1"/>
  <c r="V36" i="7"/>
  <c r="W36" s="1"/>
  <c r="U36"/>
  <c r="M11" i="79"/>
  <c r="O10"/>
  <c r="I9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F4" i="3" l="1"/>
  <c r="Z4"/>
  <c r="F4" i="63" s="1"/>
  <c r="A35" i="76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V13" s="1"/>
  <c r="S14"/>
  <c r="V14" s="1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AL16" i="5"/>
  <c r="Y18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C9"/>
  <c r="Z9" s="1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Y22" i="5"/>
  <c r="AO22" i="1"/>
  <c r="AT21"/>
  <c r="AU21" s="1"/>
  <c r="I18" i="81" s="1"/>
  <c r="Y22" i="1"/>
  <c r="AB22" s="1"/>
  <c r="V20" i="2"/>
  <c r="T21"/>
  <c r="S21" i="3"/>
  <c r="K18"/>
  <c r="Z18" s="1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S23" i="3"/>
  <c r="K20"/>
  <c r="Z20" s="1"/>
  <c r="F18" i="63"/>
  <c r="AK18" i="3"/>
  <c r="N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Y32" i="5"/>
  <c r="Y32" i="1"/>
  <c r="AB32" s="1"/>
  <c r="V30" i="2"/>
  <c r="T31"/>
  <c r="U28" i="3"/>
  <c r="S31"/>
  <c r="F26" i="63"/>
  <c r="AK26" i="3"/>
  <c r="N27"/>
  <c r="K28"/>
  <c r="Z28" s="1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Y33" i="5"/>
  <c r="AO33" i="1"/>
  <c r="Y33"/>
  <c r="AB33" s="1"/>
  <c r="X21" i="7"/>
  <c r="V31" i="2"/>
  <c r="T32"/>
  <c r="U29" i="3"/>
  <c r="S32"/>
  <c r="S35" s="1"/>
  <c r="F27" i="63"/>
  <c r="AK27" i="3"/>
  <c r="N28"/>
  <c r="K29"/>
  <c r="Z29" s="1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F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Z30" s="1"/>
  <c r="F28" i="63"/>
  <c r="AK28" i="3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N30"/>
  <c r="K31"/>
  <c r="Z31" s="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N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K35" i="3" l="1"/>
  <c r="U34" s="1"/>
  <c r="Z32"/>
  <c r="U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N32" i="3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T39" i="74" l="1"/>
  <c r="T38"/>
  <c r="T35"/>
  <c r="T31"/>
  <c r="T30"/>
  <c r="T28"/>
  <c r="T27"/>
  <c r="T23"/>
  <c r="T22"/>
  <c r="T20"/>
  <c r="T19"/>
  <c r="T15"/>
  <c r="T14"/>
  <c r="T12"/>
  <c r="T11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L10"/>
  <c r="L13"/>
  <c r="L15"/>
  <c r="L17"/>
  <c r="L19"/>
  <c r="L23"/>
  <c r="P11"/>
  <c r="P20"/>
  <c r="P27"/>
  <c r="P37"/>
  <c r="H37"/>
  <c r="H38"/>
  <c r="P12"/>
  <c r="P19"/>
  <c r="P23"/>
  <c r="P29"/>
  <c r="P33"/>
  <c r="P39"/>
  <c r="P14"/>
  <c r="P16"/>
  <c r="P21"/>
  <c r="P25"/>
  <c r="P30"/>
  <c r="P38"/>
  <c r="D40"/>
  <c r="G43" l="1"/>
  <c r="J43"/>
  <c r="K43"/>
  <c r="C43"/>
  <c r="AB10" s="1"/>
  <c r="N43"/>
  <c r="O43"/>
  <c r="B43"/>
  <c r="AA10" s="1"/>
  <c r="F43"/>
  <c r="O86" l="1"/>
  <c r="N86"/>
  <c r="F5" i="65" l="1"/>
  <c r="H2" i="63"/>
  <c r="AB23" i="74" l="1"/>
  <c r="AA23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X10" s="1"/>
  <c r="Y8"/>
  <c r="X11" l="1"/>
  <c r="Y10"/>
  <c r="Y9"/>
  <c r="Y11" l="1"/>
  <c r="X12"/>
  <c r="Y12" l="1"/>
  <c r="X13"/>
  <c r="X14" l="1"/>
  <c r="Y13"/>
  <c r="Y14" l="1"/>
  <c r="X15"/>
  <c r="X16" l="1"/>
  <c r="Y15"/>
  <c r="Y16" l="1"/>
  <c r="X17"/>
  <c r="X18" l="1"/>
  <c r="Y17"/>
  <c r="Y18" l="1"/>
  <c r="X19"/>
  <c r="X20" l="1"/>
  <c r="Y19"/>
  <c r="Y20" l="1"/>
  <c r="Y21" s="1"/>
  <c r="X21"/>
  <c r="X22" s="1"/>
  <c r="X23" l="1"/>
  <c r="Y22"/>
  <c r="Y23" l="1"/>
  <c r="X24"/>
  <c r="X25" l="1"/>
  <c r="Y24"/>
  <c r="AD26" i="5"/>
  <c r="AD5" i="1"/>
  <c r="I5"/>
  <c r="V5" s="1"/>
  <c r="AA5"/>
  <c r="AH5" s="1"/>
  <c r="W6" i="5"/>
  <c r="AL6" s="1"/>
  <c r="Y25" i="3" l="1"/>
  <c r="X26"/>
  <c r="AD27" i="5"/>
  <c r="W26"/>
  <c r="AL26" s="1"/>
  <c r="AD17" i="1"/>
  <c r="AA17"/>
  <c r="AH17" s="1"/>
  <c r="W5"/>
  <c r="B5" i="65"/>
  <c r="V36" i="1"/>
  <c r="AG5"/>
  <c r="AM5"/>
  <c r="C5" i="65"/>
  <c r="AI5" i="1"/>
  <c r="Y26" i="3" l="1"/>
  <c r="X27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X28" i="3" l="1"/>
  <c r="Y27"/>
  <c r="AD29" i="5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X29" i="3" l="1"/>
  <c r="Y28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X30" i="3" l="1"/>
  <c r="Y29"/>
  <c r="AD31" i="5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X31" i="3" l="1"/>
  <c r="Y30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Y31" i="3" l="1"/>
  <c r="X32"/>
  <c r="AD33" i="5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X33" i="3" l="1"/>
  <c r="Y33" s="1"/>
  <c r="Y32"/>
  <c r="AD34" i="5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9" l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E11" i="76" l="1"/>
  <c r="AF11" s="1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N6" i="5"/>
  <c r="P6"/>
  <c r="H11" i="81" l="1"/>
  <c r="AV16" i="7"/>
  <c r="P7" i="5"/>
  <c r="N7"/>
  <c r="Q6"/>
  <c r="M2" i="81" s="1"/>
  <c r="AV17" i="7" l="1"/>
  <c r="H12" i="81"/>
  <c r="Q7" i="5"/>
  <c r="M3" i="81" s="1"/>
  <c r="N8" i="5"/>
  <c r="P8"/>
  <c r="H13" i="81" l="1"/>
  <c r="AV18" i="7"/>
  <c r="N9" i="5"/>
  <c r="P9"/>
  <c r="Q8"/>
  <c r="AV19" i="7" l="1"/>
  <c r="H14" i="81"/>
  <c r="N10" i="5"/>
  <c r="M4" i="81"/>
  <c r="P10" i="5"/>
  <c r="Q9"/>
  <c r="M5" i="81" s="1"/>
  <c r="H15" l="1"/>
  <c r="AV20" i="7"/>
  <c r="N11" i="5"/>
  <c r="P11"/>
  <c r="Q10"/>
  <c r="AV21" i="7" l="1"/>
  <c r="H16" i="81"/>
  <c r="N12" i="5"/>
  <c r="P12"/>
  <c r="Q11"/>
  <c r="M7" i="81" s="1"/>
  <c r="M6"/>
  <c r="H17" l="1"/>
  <c r="AV22" i="7"/>
  <c r="N13" i="5"/>
  <c r="P13"/>
  <c r="Q12"/>
  <c r="M8" i="81" s="1"/>
  <c r="H18" l="1"/>
  <c r="AV23" i="7"/>
  <c r="P14" i="5"/>
  <c r="Q14" s="1"/>
  <c r="M10" i="81" s="1"/>
  <c r="Q13" i="5"/>
  <c r="M9" i="81" s="1"/>
  <c r="N14" i="5"/>
  <c r="H19" i="81" l="1"/>
  <c r="AV24" i="7"/>
  <c r="N15" i="5"/>
  <c r="P15"/>
  <c r="H20" i="81" l="1"/>
  <c r="AV25" i="7"/>
  <c r="N16" i="5"/>
  <c r="P16"/>
  <c r="Q15"/>
  <c r="M11" i="81" s="1"/>
  <c r="H21" l="1"/>
  <c r="AV26" i="7"/>
  <c r="P17" i="5"/>
  <c r="Q17" s="1"/>
  <c r="M13" i="81" s="1"/>
  <c r="N17" i="5"/>
  <c r="Q16"/>
  <c r="M12" i="81" s="1"/>
  <c r="H22" l="1"/>
  <c r="AV27" i="7"/>
  <c r="P18" i="5"/>
  <c r="Q18" s="1"/>
  <c r="M14" i="81" s="1"/>
  <c r="N18" i="5"/>
  <c r="AV28" i="7" l="1"/>
  <c r="H23" i="81"/>
  <c r="P19" i="5"/>
  <c r="Q19" s="1"/>
  <c r="M15" i="81" s="1"/>
  <c r="N19" i="5"/>
  <c r="AV29" i="7" l="1"/>
  <c r="H24" i="81"/>
  <c r="P20" i="5"/>
  <c r="Q20" s="1"/>
  <c r="M16" i="81" s="1"/>
  <c r="N20" i="5"/>
  <c r="AV30" i="7" l="1"/>
  <c r="H25" i="81"/>
  <c r="P21" i="5"/>
  <c r="Q21" s="1"/>
  <c r="M17" i="81" s="1"/>
  <c r="N21" i="5"/>
  <c r="H26" i="81" l="1"/>
  <c r="AV31" i="7"/>
  <c r="P22" i="5"/>
  <c r="Q22" s="1"/>
  <c r="M18" i="81" s="1"/>
  <c r="N22" i="5"/>
  <c r="AV32" i="7" l="1"/>
  <c r="H27" i="81"/>
  <c r="P23" i="5"/>
  <c r="Q23" s="1"/>
  <c r="M19" i="81" s="1"/>
  <c r="N23" i="5"/>
  <c r="AV33" i="7" l="1"/>
  <c r="H28" i="81"/>
  <c r="P24" i="5"/>
  <c r="Q24" s="1"/>
  <c r="M20" i="81" s="1"/>
  <c r="N24" i="5"/>
  <c r="AV34" i="7" l="1"/>
  <c r="H29" i="81"/>
  <c r="P25" i="5"/>
  <c r="Q25" s="1"/>
  <c r="M21" i="81" s="1"/>
  <c r="N25" i="5"/>
  <c r="H30" i="81" l="1"/>
  <c r="AV35" i="7"/>
  <c r="P26" i="5"/>
  <c r="Q26" s="1"/>
  <c r="M22" i="81" s="1"/>
  <c r="N26" i="5"/>
  <c r="H31" i="81" l="1"/>
  <c r="AV36" i="7"/>
  <c r="H32" i="81" s="1"/>
  <c r="P27" i="5"/>
  <c r="Q27" s="1"/>
  <c r="M23" i="81" s="1"/>
  <c r="N27" i="5"/>
  <c r="AC28" i="76"/>
  <c r="AC27"/>
  <c r="AC26"/>
  <c r="AC30" l="1"/>
  <c r="W38" s="1"/>
  <c r="W40" s="1"/>
  <c r="W42" s="1"/>
  <c r="P28" i="5"/>
  <c r="Q28" s="1"/>
  <c r="M24" i="81" s="1"/>
  <c r="N28" i="5"/>
  <c r="AC31" i="76" l="1"/>
  <c r="O28" s="1"/>
  <c r="P28" s="1"/>
  <c r="R28" s="1"/>
  <c r="T28" s="1"/>
  <c r="F26" i="81" s="1"/>
  <c r="P29" i="5"/>
  <c r="N29"/>
  <c r="O24" i="76" l="1"/>
  <c r="P24" s="1"/>
  <c r="R24" s="1"/>
  <c r="T24" s="1"/>
  <c r="F22" i="81" s="1"/>
  <c r="O32" i="76"/>
  <c r="P32" s="1"/>
  <c r="R32" s="1"/>
  <c r="T32" s="1"/>
  <c r="F30" i="81" s="1"/>
  <c r="O9" i="76"/>
  <c r="P9" s="1"/>
  <c r="R9" s="1"/>
  <c r="T9" s="1"/>
  <c r="F7" i="81" s="1"/>
  <c r="O18" i="76"/>
  <c r="P18" s="1"/>
  <c r="R18" s="1"/>
  <c r="T18" s="1"/>
  <c r="F16" i="81" s="1"/>
  <c r="O20" i="76"/>
  <c r="P20" s="1"/>
  <c r="R20" s="1"/>
  <c r="T20" s="1"/>
  <c r="F18" i="81" s="1"/>
  <c r="O34" i="76"/>
  <c r="P34" s="1"/>
  <c r="R34" s="1"/>
  <c r="O10"/>
  <c r="P10" s="1"/>
  <c r="R10" s="1"/>
  <c r="T10" s="1"/>
  <c r="F8" i="81" s="1"/>
  <c r="O29" i="76"/>
  <c r="P29" s="1"/>
  <c r="R29" s="1"/>
  <c r="T29" s="1"/>
  <c r="F27" i="81" s="1"/>
  <c r="O21" i="76"/>
  <c r="P21" s="1"/>
  <c r="R21" s="1"/>
  <c r="T21" s="1"/>
  <c r="F19" i="81" s="1"/>
  <c r="O4" i="76"/>
  <c r="P4" s="1"/>
  <c r="R4" s="1"/>
  <c r="O25"/>
  <c r="P25" s="1"/>
  <c r="R25" s="1"/>
  <c r="T25" s="1"/>
  <c r="F23" i="81" s="1"/>
  <c r="O5" i="76"/>
  <c r="P5" s="1"/>
  <c r="R5" s="1"/>
  <c r="T5" s="1"/>
  <c r="F3" i="81" s="1"/>
  <c r="O26" i="76"/>
  <c r="P26" s="1"/>
  <c r="R26" s="1"/>
  <c r="T26" s="1"/>
  <c r="F24" i="81" s="1"/>
  <c r="O14" i="76"/>
  <c r="P14" s="1"/>
  <c r="R14" s="1"/>
  <c r="T14" s="1"/>
  <c r="F12" i="81" s="1"/>
  <c r="O31" i="76"/>
  <c r="P31" s="1"/>
  <c r="R31" s="1"/>
  <c r="T31" s="1"/>
  <c r="F29" i="81" s="1"/>
  <c r="O6" i="76"/>
  <c r="P6" s="1"/>
  <c r="R6" s="1"/>
  <c r="T6" s="1"/>
  <c r="F4" i="81" s="1"/>
  <c r="O30" i="76"/>
  <c r="P30" s="1"/>
  <c r="R30" s="1"/>
  <c r="T30" s="1"/>
  <c r="F28" i="81" s="1"/>
  <c r="O12" i="76"/>
  <c r="P12" s="1"/>
  <c r="R12" s="1"/>
  <c r="T12" s="1"/>
  <c r="F10" i="81" s="1"/>
  <c r="O15" i="76"/>
  <c r="P15" s="1"/>
  <c r="R15" s="1"/>
  <c r="T15" s="1"/>
  <c r="F13" i="81" s="1"/>
  <c r="O13" i="76"/>
  <c r="P13" s="1"/>
  <c r="R13" s="1"/>
  <c r="T13" s="1"/>
  <c r="F11" i="81" s="1"/>
  <c r="O27" i="76"/>
  <c r="P27" s="1"/>
  <c r="R27" s="1"/>
  <c r="T27" s="1"/>
  <c r="F25" i="81" s="1"/>
  <c r="O33" i="76"/>
  <c r="P33" s="1"/>
  <c r="R33" s="1"/>
  <c r="O22"/>
  <c r="P22" s="1"/>
  <c r="R22" s="1"/>
  <c r="T22" s="1"/>
  <c r="F20" i="81" s="1"/>
  <c r="O11" i="76"/>
  <c r="P11" s="1"/>
  <c r="R11" s="1"/>
  <c r="T11" s="1"/>
  <c r="F9" i="81" s="1"/>
  <c r="O19" i="76"/>
  <c r="P19" s="1"/>
  <c r="R19" s="1"/>
  <c r="T19" s="1"/>
  <c r="F17" i="81" s="1"/>
  <c r="O8" i="76"/>
  <c r="P8" s="1"/>
  <c r="R8" s="1"/>
  <c r="T8" s="1"/>
  <c r="F6" i="81" s="1"/>
  <c r="O16" i="76"/>
  <c r="P16" s="1"/>
  <c r="R16" s="1"/>
  <c r="T16" s="1"/>
  <c r="F14" i="81" s="1"/>
  <c r="O23" i="76"/>
  <c r="P23" s="1"/>
  <c r="R23" s="1"/>
  <c r="T23" s="1"/>
  <c r="F21" i="81" s="1"/>
  <c r="O17" i="76"/>
  <c r="P17" s="1"/>
  <c r="R17" s="1"/>
  <c r="T17" s="1"/>
  <c r="F15" i="81" s="1"/>
  <c r="O7" i="76"/>
  <c r="P7" s="1"/>
  <c r="R7" s="1"/>
  <c r="T7" s="1"/>
  <c r="F5" i="81" s="1"/>
  <c r="AB31" i="76"/>
  <c r="AB34" s="1"/>
  <c r="AB35" s="1"/>
  <c r="P30" i="5"/>
  <c r="Q29"/>
  <c r="M25" i="81" s="1"/>
  <c r="O35" i="76"/>
  <c r="N30" i="5"/>
  <c r="D10" i="77" l="1"/>
  <c r="E10" s="1"/>
  <c r="F10" s="1"/>
  <c r="F12" s="1"/>
  <c r="AB36" i="76"/>
  <c r="AB38" s="1"/>
  <c r="Z39" s="1"/>
  <c r="Z41" s="1"/>
  <c r="Z43" s="1"/>
  <c r="T4"/>
  <c r="F2" i="81" s="1"/>
  <c r="AA40" i="76"/>
  <c r="AA41" s="1"/>
  <c r="Q30" i="5"/>
  <c r="M26" i="81" s="1"/>
  <c r="P31" i="5"/>
  <c r="Q31" s="1"/>
  <c r="M27" i="81" s="1"/>
  <c r="N31" i="5"/>
  <c r="E12" i="77" l="1"/>
  <c r="G10"/>
  <c r="G12" s="1"/>
  <c r="AB40" i="76"/>
  <c r="AB41" s="1"/>
  <c r="P32" i="5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Q35" s="1"/>
  <c r="M31" i="81" s="1"/>
  <c r="N36" i="5"/>
  <c r="N35"/>
  <c r="M32" i="81" l="1"/>
  <c r="Q37" i="5"/>
  <c r="O38" s="1"/>
  <c r="AX5" i="1" l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6" i="5" l="1"/>
  <c r="AS7" l="1"/>
  <c r="AY6"/>
  <c r="BB6" s="1"/>
  <c r="BE6" s="1"/>
  <c r="I2" i="63" l="1"/>
  <c r="BF6" i="5"/>
  <c r="BG6" s="1"/>
  <c r="G6" i="65" s="1"/>
  <c r="AY7" i="5"/>
  <c r="BB7" s="1"/>
  <c r="BE7" s="1"/>
  <c r="AS8"/>
  <c r="I3" i="63" l="1"/>
  <c r="BF7" i="5"/>
  <c r="BG7" s="1"/>
  <c r="G7" i="65" s="1"/>
  <c r="AS9" i="5"/>
  <c r="AY8"/>
  <c r="BB8" s="1"/>
  <c r="BE8" s="1"/>
  <c r="AY9" l="1"/>
  <c r="BB9" s="1"/>
  <c r="BE9" s="1"/>
  <c r="AS10"/>
  <c r="BF8"/>
  <c r="BG8" s="1"/>
  <c r="G8" i="65" s="1"/>
  <c r="I4" i="63"/>
  <c r="AS11" i="5" l="1"/>
  <c r="AY10"/>
  <c r="BB10" s="1"/>
  <c r="BE10" s="1"/>
  <c r="I5" i="63"/>
  <c r="BF9" i="5"/>
  <c r="BG9" s="1"/>
  <c r="G9" i="65" s="1"/>
  <c r="G5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AS24"/>
  <c r="BF23" l="1"/>
  <c r="BG23" s="1"/>
  <c r="G23" i="65" s="1"/>
  <c r="I19" i="63"/>
  <c r="AS25" i="5"/>
  <c r="AY24"/>
  <c r="BB24" s="1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  <c r="H8" i="77" l="1"/>
  <c r="I8" l="1"/>
  <c r="H10" l="1"/>
  <c r="I10" l="1"/>
  <c r="I12" s="1"/>
  <c r="I14" s="1"/>
  <c r="H12"/>
  <c r="H14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<sst xmlns="http://schemas.openxmlformats.org/spreadsheetml/2006/main" count="653" uniqueCount="418">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</sst>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7" xfId="1" applyNumberFormat="1" applyFont="1" applyFill="1" applyBorder="1" applyAlignment="1">
      <alignment horizontal="left"/>
    </xf>
    <xf numFmtId="173" fontId="18" fillId="0" borderId="1" xfId="4" applyNumberFormat="1" applyFont="1" applyBorder="1" applyAlignment="1">
      <alignment horizontal="left" wrapText="1"/>
    </xf>
    <xf numFmtId="0" fontId="23" fillId="24" borderId="1" xfId="0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right" vertical="top"/>
    </xf>
    <xf numFmtId="0" fontId="0" fillId="0" borderId="15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5935.6000000000931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060992"/>
        <c:axId val="167062528"/>
      </c:lineChart>
      <c:catAx>
        <c:axId val="16706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62528"/>
        <c:crosses val="autoZero"/>
        <c:auto val="1"/>
        <c:lblAlgn val="ctr"/>
        <c:lblOffset val="100"/>
      </c:catAx>
      <c:valAx>
        <c:axId val="167062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6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1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095296"/>
        <c:axId val="167097088"/>
      </c:lineChart>
      <c:catAx>
        <c:axId val="16709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97088"/>
        <c:crosses val="autoZero"/>
        <c:auto val="1"/>
        <c:lblAlgn val="ctr"/>
        <c:lblOffset val="100"/>
      </c:catAx>
      <c:valAx>
        <c:axId val="16709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9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53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1959552"/>
        <c:axId val="141961088"/>
      </c:lineChart>
      <c:catAx>
        <c:axId val="14195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61088"/>
        <c:crosses val="autoZero"/>
        <c:auto val="1"/>
        <c:lblAlgn val="ctr"/>
        <c:lblOffset val="100"/>
      </c:catAx>
      <c:valAx>
        <c:axId val="1419610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5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102"/>
          <c:y val="0.62975887529635965"/>
          <c:w val="7.9124755870162669E-2"/>
          <c:h val="4.49826989619491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001664"/>
        <c:axId val="142003200"/>
      </c:lineChart>
      <c:catAx>
        <c:axId val="14200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03200"/>
        <c:crosses val="autoZero"/>
        <c:auto val="1"/>
        <c:lblAlgn val="ctr"/>
        <c:lblOffset val="100"/>
      </c:catAx>
      <c:valAx>
        <c:axId val="142003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0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4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131.66666666666666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011008"/>
        <c:axId val="167326080"/>
      </c:lineChart>
      <c:catAx>
        <c:axId val="14201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26080"/>
        <c:crosses val="autoZero"/>
        <c:auto val="1"/>
        <c:lblAlgn val="ctr"/>
        <c:lblOffset val="100"/>
      </c:catAx>
      <c:valAx>
        <c:axId val="1673260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1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90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584128"/>
        <c:axId val="167585664"/>
      </c:lineChart>
      <c:catAx>
        <c:axId val="16758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85664"/>
        <c:crosses val="autoZero"/>
        <c:auto val="1"/>
        <c:lblAlgn val="ctr"/>
        <c:lblOffset val="100"/>
      </c:catAx>
      <c:valAx>
        <c:axId val="16758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8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618048"/>
        <c:axId val="167619584"/>
      </c:lineChart>
      <c:catAx>
        <c:axId val="16761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19584"/>
        <c:crosses val="autoZero"/>
        <c:auto val="1"/>
        <c:lblAlgn val="ctr"/>
        <c:lblOffset val="100"/>
      </c:catAx>
      <c:valAx>
        <c:axId val="16761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1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170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639296"/>
        <c:axId val="167649280"/>
      </c:lineChart>
      <c:catAx>
        <c:axId val="16763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49280"/>
        <c:crosses val="autoZero"/>
        <c:auto val="1"/>
        <c:lblAlgn val="ctr"/>
        <c:lblOffset val="100"/>
      </c:catAx>
      <c:valAx>
        <c:axId val="16764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3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665024"/>
        <c:axId val="167675008"/>
      </c:lineChart>
      <c:catAx>
        <c:axId val="16766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75008"/>
        <c:crosses val="autoZero"/>
        <c:auto val="1"/>
        <c:lblAlgn val="ctr"/>
        <c:lblOffset val="100"/>
      </c:catAx>
      <c:valAx>
        <c:axId val="167675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6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25"/>
          <c:w val="0.1272403315177356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719680"/>
        <c:axId val="167721216"/>
      </c:lineChart>
      <c:catAx>
        <c:axId val="16771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21216"/>
        <c:crosses val="autoZero"/>
        <c:auto val="1"/>
        <c:lblAlgn val="ctr"/>
        <c:lblOffset val="100"/>
      </c:catAx>
      <c:valAx>
        <c:axId val="16772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1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279</c:v>
                </c:pt>
                <c:pt idx="1">
                  <c:v>287</c:v>
                </c:pt>
                <c:pt idx="2">
                  <c:v>281.5</c:v>
                </c:pt>
                <c:pt idx="3">
                  <c:v>226</c:v>
                </c:pt>
                <c:pt idx="4">
                  <c:v>157</c:v>
                </c:pt>
                <c:pt idx="5">
                  <c:v>281</c:v>
                </c:pt>
                <c:pt idx="6">
                  <c:v>172</c:v>
                </c:pt>
                <c:pt idx="7">
                  <c:v>211</c:v>
                </c:pt>
                <c:pt idx="8">
                  <c:v>209</c:v>
                </c:pt>
                <c:pt idx="9">
                  <c:v>0</c:v>
                </c:pt>
                <c:pt idx="10">
                  <c:v>161</c:v>
                </c:pt>
                <c:pt idx="11">
                  <c:v>231</c:v>
                </c:pt>
                <c:pt idx="12">
                  <c:v>496</c:v>
                </c:pt>
                <c:pt idx="13">
                  <c:v>325</c:v>
                </c:pt>
                <c:pt idx="14">
                  <c:v>168</c:v>
                </c:pt>
                <c:pt idx="15">
                  <c:v>192</c:v>
                </c:pt>
                <c:pt idx="16">
                  <c:v>275</c:v>
                </c:pt>
                <c:pt idx="17">
                  <c:v>238</c:v>
                </c:pt>
                <c:pt idx="18">
                  <c:v>260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757696"/>
        <c:axId val="167759232"/>
      </c:lineChart>
      <c:catAx>
        <c:axId val="16775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9232"/>
        <c:crosses val="autoZero"/>
        <c:auto val="1"/>
        <c:lblAlgn val="ctr"/>
        <c:lblOffset val="100"/>
      </c:catAx>
      <c:valAx>
        <c:axId val="167759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25"/>
          <c:w val="0.135416885389354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771136"/>
        <c:axId val="167277312"/>
      </c:lineChart>
      <c:catAx>
        <c:axId val="16777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77312"/>
        <c:crosses val="autoZero"/>
        <c:auto val="1"/>
        <c:lblAlgn val="ctr"/>
        <c:lblOffset val="100"/>
      </c:catAx>
      <c:valAx>
        <c:axId val="167277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7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2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5935.6000000000931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310080"/>
        <c:axId val="167311616"/>
      </c:lineChart>
      <c:catAx>
        <c:axId val="16731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11616"/>
        <c:crosses val="autoZero"/>
        <c:auto val="1"/>
        <c:lblAlgn val="ctr"/>
        <c:lblOffset val="100"/>
      </c:catAx>
      <c:valAx>
        <c:axId val="167311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1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806848"/>
        <c:axId val="167808384"/>
      </c:lineChart>
      <c:catAx>
        <c:axId val="16780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08384"/>
        <c:crosses val="autoZero"/>
        <c:auto val="1"/>
        <c:lblAlgn val="ctr"/>
        <c:lblOffset val="100"/>
      </c:catAx>
      <c:valAx>
        <c:axId val="16780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0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25"/>
          <c:w val="0.135416885389354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2.5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824384"/>
        <c:axId val="167830272"/>
      </c:lineChart>
      <c:catAx>
        <c:axId val="16782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30272"/>
        <c:crosses val="autoZero"/>
        <c:auto val="1"/>
        <c:lblAlgn val="ctr"/>
        <c:lblOffset val="100"/>
      </c:catAx>
      <c:valAx>
        <c:axId val="167830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2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769"/>
          <c:y val="0.54325368498487869"/>
          <c:w val="0.11458355205599259"/>
          <c:h val="4.498269896194865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-200.67419354841695</c:v>
                </c:pt>
                <c:pt idx="1">
                  <c:v>-1534.3903225806425</c:v>
                </c:pt>
                <c:pt idx="2">
                  <c:v>-885.03225806451519</c:v>
                </c:pt>
                <c:pt idx="3">
                  <c:v>-1603.3870967741823</c:v>
                </c:pt>
                <c:pt idx="4">
                  <c:v>-906.03225806451519</c:v>
                </c:pt>
                <c:pt idx="5">
                  <c:v>-1382.7161290322692</c:v>
                </c:pt>
                <c:pt idx="6">
                  <c:v>-1016.3677419354935</c:v>
                </c:pt>
                <c:pt idx="7">
                  <c:v>-1496.7225806451461</c:v>
                </c:pt>
                <c:pt idx="8">
                  <c:v>-718.35483870967437</c:v>
                </c:pt>
                <c:pt idx="9">
                  <c:v>-779.02903225806949</c:v>
                </c:pt>
                <c:pt idx="10">
                  <c:v>-754.35806451613462</c:v>
                </c:pt>
                <c:pt idx="11">
                  <c:v>-1226.7096774193487</c:v>
                </c:pt>
                <c:pt idx="12">
                  <c:v>1438.5483870967582</c:v>
                </c:pt>
                <c:pt idx="13">
                  <c:v>-376.67741935483355</c:v>
                </c:pt>
                <c:pt idx="14">
                  <c:v>-920.03225806451519</c:v>
                </c:pt>
                <c:pt idx="15">
                  <c:v>-306.67741935483355</c:v>
                </c:pt>
                <c:pt idx="16">
                  <c:v>-1840.0645161290158</c:v>
                </c:pt>
                <c:pt idx="17">
                  <c:v>-613.35483870968164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862656"/>
        <c:axId val="167864192"/>
      </c:lineChart>
      <c:catAx>
        <c:axId val="16786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64192"/>
        <c:crosses val="autoZero"/>
        <c:auto val="1"/>
        <c:lblAlgn val="ctr"/>
        <c:lblOffset val="100"/>
      </c:catAx>
      <c:valAx>
        <c:axId val="167864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6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884672"/>
        <c:axId val="167886208"/>
      </c:lineChart>
      <c:catAx>
        <c:axId val="16788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86208"/>
        <c:crosses val="autoZero"/>
        <c:auto val="1"/>
        <c:lblAlgn val="ctr"/>
        <c:lblOffset val="100"/>
      </c:catAx>
      <c:valAx>
        <c:axId val="167886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8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431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8057856"/>
        <c:axId val="168076032"/>
      </c:lineChart>
      <c:catAx>
        <c:axId val="16805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76032"/>
        <c:crosses val="autoZero"/>
        <c:auto val="1"/>
        <c:lblAlgn val="ctr"/>
        <c:lblOffset val="100"/>
      </c:catAx>
      <c:valAx>
        <c:axId val="1680760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09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8116608"/>
        <c:axId val="168118144"/>
      </c:lineChart>
      <c:catAx>
        <c:axId val="16811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18144"/>
        <c:crosses val="autoZero"/>
        <c:auto val="1"/>
        <c:lblAlgn val="ctr"/>
        <c:lblOffset val="100"/>
      </c:catAx>
      <c:valAx>
        <c:axId val="1681181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1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8146432"/>
        <c:axId val="168147968"/>
      </c:lineChart>
      <c:catAx>
        <c:axId val="16814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47968"/>
        <c:crosses val="autoZero"/>
        <c:auto val="1"/>
        <c:lblAlgn val="ctr"/>
        <c:lblOffset val="100"/>
      </c:catAx>
      <c:valAx>
        <c:axId val="16814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4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643"/>
          <c:y val="0.62975887529635965"/>
          <c:w val="0.13250539334757044"/>
          <c:h val="4.49826989619491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170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918208"/>
        <c:axId val="167924096"/>
      </c:lineChart>
      <c:catAx>
        <c:axId val="16791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24096"/>
        <c:crosses val="autoZero"/>
        <c:auto val="1"/>
        <c:lblAlgn val="ctr"/>
        <c:lblOffset val="100"/>
      </c:catAx>
      <c:valAx>
        <c:axId val="167924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1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2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956480"/>
        <c:axId val="167958016"/>
      </c:lineChart>
      <c:catAx>
        <c:axId val="16795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58016"/>
        <c:crosses val="autoZero"/>
        <c:auto val="1"/>
        <c:lblAlgn val="ctr"/>
        <c:lblOffset val="100"/>
      </c:catAx>
      <c:valAx>
        <c:axId val="16795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5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476"/>
          <c:w val="0.1234311819809293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-268.90000000000009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68191872"/>
        <c:axId val="168193408"/>
      </c:lineChart>
      <c:catAx>
        <c:axId val="1681918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93408"/>
        <c:crosses val="autoZero"/>
        <c:auto val="1"/>
        <c:lblAlgn val="ctr"/>
        <c:lblOffset val="100"/>
      </c:catAx>
      <c:valAx>
        <c:axId val="1681934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9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966"/>
          <c:w val="0.1569039853282183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131.66666666666666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8204928"/>
        <c:axId val="168227200"/>
      </c:lineChart>
      <c:catAx>
        <c:axId val="16820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27200"/>
        <c:crosses val="autoZero"/>
        <c:auto val="1"/>
        <c:lblAlgn val="ctr"/>
        <c:lblOffset val="100"/>
      </c:catAx>
      <c:valAx>
        <c:axId val="168227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0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77"/>
          <c:h val="4.49826989619493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8313216"/>
        <c:axId val="168314752"/>
      </c:lineChart>
      <c:catAx>
        <c:axId val="1683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14752"/>
        <c:crosses val="autoZero"/>
        <c:auto val="1"/>
        <c:lblAlgn val="ctr"/>
        <c:lblOffset val="100"/>
      </c:catAx>
      <c:valAx>
        <c:axId val="16831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9737"/>
          <c:y val="0.62975887529635965"/>
          <c:w val="0.12164948453608219"/>
          <c:h val="4.49826989619493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2.5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8745216"/>
        <c:axId val="168820736"/>
      </c:lineChart>
      <c:catAx>
        <c:axId val="16874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0736"/>
        <c:crosses val="autoZero"/>
        <c:auto val="1"/>
        <c:lblAlgn val="ctr"/>
        <c:lblOffset val="100"/>
      </c:catAx>
      <c:valAx>
        <c:axId val="1688207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4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828288"/>
        <c:axId val="168993920"/>
      </c:lineChart>
      <c:catAx>
        <c:axId val="16882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93920"/>
        <c:crosses val="autoZero"/>
        <c:auto val="1"/>
        <c:lblAlgn val="ctr"/>
        <c:lblOffset val="100"/>
      </c:catAx>
      <c:valAx>
        <c:axId val="16899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70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-268.90000000000009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69150336"/>
        <c:axId val="169151872"/>
      </c:lineChart>
      <c:catAx>
        <c:axId val="1691503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51872"/>
        <c:crosses val="autoZero"/>
        <c:auto val="1"/>
        <c:lblAlgn val="ctr"/>
        <c:lblOffset val="100"/>
      </c:catAx>
      <c:valAx>
        <c:axId val="1691518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5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96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E33">
            <v>2512</v>
          </cell>
          <cell r="G33">
            <v>596</v>
          </cell>
          <cell r="I33">
            <v>898</v>
          </cell>
          <cell r="K33">
            <v>1144</v>
          </cell>
          <cell r="M33">
            <v>1542</v>
          </cell>
          <cell r="N33">
            <v>6692</v>
          </cell>
          <cell r="O33">
            <v>0</v>
          </cell>
          <cell r="Q33">
            <v>2088.9999999999418</v>
          </cell>
          <cell r="R33">
            <v>4603.0000000000582</v>
          </cell>
          <cell r="S33">
            <v>10065</v>
          </cell>
          <cell r="T33">
            <v>0</v>
          </cell>
          <cell r="U33">
            <v>412003</v>
          </cell>
          <cell r="V33">
            <v>0</v>
          </cell>
          <cell r="W33">
            <v>32149</v>
          </cell>
          <cell r="X33">
            <v>0</v>
          </cell>
          <cell r="Y33">
            <v>693368</v>
          </cell>
          <cell r="Z33">
            <v>0</v>
          </cell>
          <cell r="AB33">
            <v>3</v>
          </cell>
          <cell r="AD33">
            <v>441</v>
          </cell>
          <cell r="AE33">
            <v>3</v>
          </cell>
          <cell r="AF33">
            <v>441</v>
          </cell>
          <cell r="AG33">
            <v>147</v>
          </cell>
          <cell r="AI33">
            <v>-770946</v>
          </cell>
        </row>
      </sheetData>
      <sheetData sheetId="3">
        <row r="35">
          <cell r="D35">
            <v>3</v>
          </cell>
          <cell r="E35">
            <v>25.14</v>
          </cell>
          <cell r="G35">
            <v>2</v>
          </cell>
          <cell r="I35">
            <v>140</v>
          </cell>
          <cell r="J35">
            <v>70</v>
          </cell>
          <cell r="L35">
            <v>0</v>
          </cell>
          <cell r="N35">
            <v>0</v>
          </cell>
          <cell r="O35">
            <v>1869</v>
          </cell>
          <cell r="R35">
            <v>139</v>
          </cell>
          <cell r="S35">
            <v>2</v>
          </cell>
          <cell r="T35">
            <v>0</v>
          </cell>
          <cell r="U35">
            <v>4</v>
          </cell>
          <cell r="V35">
            <v>279</v>
          </cell>
          <cell r="X35">
            <v>2451</v>
          </cell>
          <cell r="Y35">
            <v>0</v>
          </cell>
          <cell r="Z35">
            <v>137771.6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279</v>
          </cell>
          <cell r="AJ35">
            <v>279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55</v>
          </cell>
          <cell r="AQ35">
            <v>1650.0000000000002</v>
          </cell>
          <cell r="AR35">
            <v>62</v>
          </cell>
          <cell r="AS35">
            <v>1860</v>
          </cell>
          <cell r="AT35">
            <v>5550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H36">
            <v>0</v>
          </cell>
          <cell r="I36">
            <v>0</v>
          </cell>
          <cell r="J36">
            <v>0</v>
          </cell>
          <cell r="K36">
            <v>6709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U36">
            <v>0</v>
          </cell>
          <cell r="V36">
            <v>459</v>
          </cell>
          <cell r="W36">
            <v>0</v>
          </cell>
          <cell r="Y36">
            <v>0</v>
          </cell>
          <cell r="AA36">
            <v>19</v>
          </cell>
          <cell r="AB36">
            <v>265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19</v>
          </cell>
          <cell r="AK36">
            <v>0</v>
          </cell>
          <cell r="AL36">
            <v>19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123.3</v>
          </cell>
          <cell r="AZ36">
            <v>146.30000000000001</v>
          </cell>
          <cell r="BA36">
            <v>394.4</v>
          </cell>
          <cell r="BB36">
            <v>-11.700000000000003</v>
          </cell>
          <cell r="BC36">
            <v>15.400000000000006</v>
          </cell>
          <cell r="BD36">
            <v>23.199999999999989</v>
          </cell>
          <cell r="BE36">
            <v>26.899999999999991</v>
          </cell>
          <cell r="BF36">
            <v>-26.899999999999991</v>
          </cell>
          <cell r="BG36">
            <v>26.899999999999991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0.80864031754953924</v>
          </cell>
          <cell r="AR36">
            <v>75179.290322580666</v>
          </cell>
          <cell r="AS36">
            <v>-920.03225806448609</v>
          </cell>
          <cell r="AV36">
            <v>0.61</v>
          </cell>
          <cell r="AW36">
            <v>-279</v>
          </cell>
          <cell r="AX36">
            <v>-641.03225806448609</v>
          </cell>
          <cell r="AY36">
            <v>-920.03225806448609</v>
          </cell>
          <cell r="AZ36">
            <v>0</v>
          </cell>
          <cell r="BA36">
            <v>18</v>
          </cell>
          <cell r="BB36">
            <v>0.55000000000000004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  <cell r="E33">
            <v>513</v>
          </cell>
          <cell r="F33">
            <v>171</v>
          </cell>
          <cell r="H33">
            <v>94679</v>
          </cell>
          <cell r="I33" t="str">
            <v>ok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373729</v>
          </cell>
          <cell r="U33">
            <v>750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1263</v>
          </cell>
          <cell r="AB33">
            <v>171</v>
          </cell>
          <cell r="AC33">
            <v>421</v>
          </cell>
          <cell r="AD33">
            <v>2088.9999999999418</v>
          </cell>
          <cell r="AE33">
            <v>696.33333333331393</v>
          </cell>
          <cell r="AF33">
            <v>0.43520833333332121</v>
          </cell>
          <cell r="AG33">
            <v>139.26666666666279</v>
          </cell>
          <cell r="AH33">
            <v>281.73333333333721</v>
          </cell>
          <cell r="AI33">
            <v>537.67510548521716</v>
          </cell>
          <cell r="AJ33">
            <v>0.25738396624472576</v>
          </cell>
          <cell r="AK33">
            <v>179.22503516173904</v>
          </cell>
        </row>
      </sheetData>
      <sheetData sheetId="12">
        <row r="26">
          <cell r="V26">
            <v>244359</v>
          </cell>
          <cell r="W26">
            <v>271580</v>
          </cell>
          <cell r="Y26">
            <v>80</v>
          </cell>
          <cell r="Z26">
            <v>1</v>
          </cell>
          <cell r="AA26">
            <v>27221</v>
          </cell>
          <cell r="AB26">
            <v>2177680</v>
          </cell>
          <cell r="AC26">
            <v>1033333</v>
          </cell>
          <cell r="AD26">
            <v>0.3525886924909114</v>
          </cell>
        </row>
        <row r="27">
          <cell r="V27">
            <v>356272</v>
          </cell>
          <cell r="W27">
            <v>393641</v>
          </cell>
          <cell r="Y27">
            <v>112</v>
          </cell>
          <cell r="Z27">
            <v>1</v>
          </cell>
          <cell r="AA27">
            <v>37369</v>
          </cell>
          <cell r="AB27">
            <v>4185328</v>
          </cell>
          <cell r="AC27">
            <v>6200000</v>
          </cell>
          <cell r="AD27">
            <v>0.48092014541807698</v>
          </cell>
        </row>
        <row r="28">
          <cell r="V28">
            <v>102312</v>
          </cell>
          <cell r="W28">
            <v>115015</v>
          </cell>
          <cell r="Y28">
            <v>320</v>
          </cell>
          <cell r="Z28">
            <v>1</v>
          </cell>
          <cell r="AA28">
            <v>12703</v>
          </cell>
          <cell r="AB28">
            <v>4064960</v>
          </cell>
          <cell r="AC28">
            <v>1000</v>
          </cell>
          <cell r="AD28">
            <v>0.16649116209101167</v>
          </cell>
        </row>
        <row r="29">
          <cell r="AA29">
            <v>77293</v>
          </cell>
        </row>
        <row r="30">
          <cell r="AB30">
            <v>10427968</v>
          </cell>
          <cell r="AC30">
            <v>7234333</v>
          </cell>
        </row>
        <row r="31">
          <cell r="W31">
            <v>116</v>
          </cell>
          <cell r="X31">
            <v>3.7419354838709675</v>
          </cell>
          <cell r="Y31">
            <v>1.8709677419354838</v>
          </cell>
          <cell r="AB31">
            <v>17662301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C34">
            <v>2478</v>
          </cell>
          <cell r="D34">
            <v>2477</v>
          </cell>
          <cell r="E34">
            <v>782713</v>
          </cell>
          <cell r="G34">
            <v>578</v>
          </cell>
          <cell r="I34">
            <v>994</v>
          </cell>
          <cell r="K34">
            <v>905</v>
          </cell>
          <cell r="L34">
            <v>122.69320066334991</v>
          </cell>
          <cell r="M34">
            <v>73.849419568822555</v>
          </cell>
          <cell r="N34">
            <v>48.026533996683249</v>
          </cell>
          <cell r="O34">
            <v>154.80303857058792</v>
          </cell>
          <cell r="P34">
            <v>399.37219279944361</v>
          </cell>
          <cell r="Q34">
            <v>373.93548387095024</v>
          </cell>
          <cell r="R34">
            <v>773.3076766703939</v>
          </cell>
          <cell r="S34">
            <v>6692</v>
          </cell>
          <cell r="T34">
            <v>0.11555703476843902</v>
          </cell>
          <cell r="AB34">
            <v>1942853.11</v>
          </cell>
        </row>
        <row r="35">
          <cell r="AB35">
            <v>19605154.109999999</v>
          </cell>
        </row>
        <row r="36">
          <cell r="AB36">
            <v>11716.285903814261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</row>
      </sheetData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E38">
            <v>29</v>
          </cell>
          <cell r="M38">
            <v>29</v>
          </cell>
        </row>
        <row r="39">
          <cell r="M39">
            <v>30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3">
          <cell r="B13">
            <v>0</v>
          </cell>
        </row>
        <row r="14">
          <cell r="B14">
            <v>30108.75223010753</v>
          </cell>
        </row>
        <row r="15">
          <cell r="B15">
            <v>8200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AC13">
            <v>7234333</v>
          </cell>
        </row>
      </sheetData>
      <sheetData sheetId="13"/>
      <sheetData sheetId="14">
        <row r="10">
          <cell r="D10">
            <v>28292605</v>
          </cell>
        </row>
        <row r="14">
          <cell r="C14">
            <v>0</v>
          </cell>
        </row>
        <row r="15">
          <cell r="C15">
            <v>-116.79999999999994</v>
          </cell>
        </row>
        <row r="16">
          <cell r="C16">
            <v>14.53225806451613</v>
          </cell>
        </row>
        <row r="17">
          <cell r="C17">
            <v>0.54777741935483859</v>
          </cell>
        </row>
        <row r="18">
          <cell r="C18">
            <v>116</v>
          </cell>
        </row>
        <row r="19">
          <cell r="C19">
            <v>3.7419354838709675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10" workbookViewId="0">
      <selection activeCell="K3" sqref="K3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6" bestFit="1" customWidth="1"/>
    <col min="13" max="13" width="12.1796875" style="296" customWidth="1"/>
    <col min="14" max="14" width="12.1796875" style="506" customWidth="1"/>
    <col min="15" max="15" width="11.7265625" bestFit="1" customWidth="1"/>
  </cols>
  <sheetData>
    <row r="1" spans="1:15" ht="43.5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</v>
      </c>
      <c r="D2">
        <v>2021</v>
      </c>
      <c r="E2" s="204">
        <f>ELEC!N3</f>
        <v>5839</v>
      </c>
      <c r="F2" s="333">
        <f>SUM('EDl log'!T4)</f>
        <v>5.4183095727485996E-2</v>
      </c>
      <c r="G2" s="204">
        <f>-tanks!AW6</f>
        <v>287</v>
      </c>
      <c r="H2" s="333">
        <f>SUM(tanks!AV6)</f>
        <v>0.61</v>
      </c>
      <c r="I2" s="10">
        <f>('B5'!AU5)*0.51</f>
        <v>0</v>
      </c>
      <c r="J2" s="312">
        <f>'B5'!AX5/0.51</f>
        <v>1.5686274509803921</v>
      </c>
      <c r="K2" s="204">
        <f>WATER!I6</f>
        <v>249</v>
      </c>
      <c r="L2" s="334">
        <f>SUM(WATER!J6)</f>
        <v>0.97162844928099501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</v>
      </c>
      <c r="D3">
        <v>2021</v>
      </c>
      <c r="E3" s="204">
        <f>ELEC!N4</f>
        <v>7390</v>
      </c>
      <c r="F3" s="333">
        <f>SUM('EDl log'!T5)</f>
        <v>0.156112103302982</v>
      </c>
      <c r="G3" s="204">
        <f>-tanks!AW7</f>
        <v>281.5</v>
      </c>
      <c r="H3" s="333">
        <f>SUM(tanks!AV7)</f>
        <v>0.61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ELEC!N5</f>
        <v>6121</v>
      </c>
      <c r="F4" s="333">
        <f>SUM('EDl log'!T6)</f>
        <v>0.11712855618373456</v>
      </c>
      <c r="G4" s="204">
        <f>-tanks!AW8</f>
        <v>226</v>
      </c>
      <c r="H4" s="333">
        <f>SUM(tanks!AV8)</f>
        <v>0.61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</v>
      </c>
      <c r="D5">
        <v>2021</v>
      </c>
      <c r="E5" s="204">
        <f>ELEC!N6</f>
        <v>8086</v>
      </c>
      <c r="F5" s="333">
        <f>SUM('EDl log'!T7)</f>
        <v>0.14886609627934616</v>
      </c>
      <c r="G5" s="204">
        <f>-tanks!AW9</f>
        <v>157</v>
      </c>
      <c r="H5" s="333">
        <f>SUM(tanks!AV9)</f>
        <v>0.61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</v>
      </c>
      <c r="D6">
        <v>2021</v>
      </c>
      <c r="E6" s="204">
        <f>ELEC!N7</f>
        <v>7278</v>
      </c>
      <c r="F6" s="333">
        <f>SUM('EDl log'!T8)</f>
        <v>0.10740232316424325</v>
      </c>
      <c r="G6" s="204">
        <f>-tanks!AW10</f>
        <v>281</v>
      </c>
      <c r="H6" s="333">
        <f>SUM(tanks!AV10)</f>
        <v>0.61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</v>
      </c>
      <c r="D7">
        <v>2021</v>
      </c>
      <c r="E7" s="204">
        <f>ELEC!N8</f>
        <v>7508</v>
      </c>
      <c r="F7" s="333">
        <f>SUM('EDl log'!T9)</f>
        <v>0.14369084399558352</v>
      </c>
      <c r="G7" s="204">
        <f>-tanks!AW11</f>
        <v>172</v>
      </c>
      <c r="H7" s="333">
        <f>SUM(tanks!AV11)</f>
        <v>0.61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</v>
      </c>
      <c r="D8">
        <v>2021</v>
      </c>
      <c r="E8" s="204">
        <f>ELEC!N9</f>
        <v>7042</v>
      </c>
      <c r="F8" s="333">
        <f>SUM('EDl log'!T10)</f>
        <v>0.11596824102837923</v>
      </c>
      <c r="G8" s="204">
        <f>-tanks!AW12</f>
        <v>211</v>
      </c>
      <c r="H8" s="333">
        <f>SUM(tanks!AV12)</f>
        <v>0.61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</v>
      </c>
      <c r="D9">
        <v>2021</v>
      </c>
      <c r="E9" s="204">
        <f>ELEC!N10</f>
        <v>6041.2000000001863</v>
      </c>
      <c r="F9" s="333">
        <f>SUM('EDl log'!T11)</f>
        <v>0.18203200829370828</v>
      </c>
      <c r="G9" s="204">
        <f>-tanks!AW13</f>
        <v>209</v>
      </c>
      <c r="H9" s="333">
        <f>SUM(tanks!AV13)</f>
        <v>0.61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</v>
      </c>
      <c r="D10">
        <v>2021</v>
      </c>
      <c r="E10" s="204">
        <f>ELEC!N11</f>
        <v>7534.7999999998137</v>
      </c>
      <c r="F10" s="333">
        <f>SUM('EDl log'!T12)</f>
        <v>0.10288732089410869</v>
      </c>
      <c r="G10" s="204">
        <f>-tanks!AW14</f>
        <v>0</v>
      </c>
      <c r="H10" s="333">
        <f>SUM(tanks!AV14)</f>
        <v>0.61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</v>
      </c>
      <c r="D11">
        <v>2021</v>
      </c>
      <c r="E11" s="204">
        <f>ELEC!N12</f>
        <v>5811</v>
      </c>
      <c r="F11" s="333">
        <f>SUM('EDl log'!T13)</f>
        <v>0.11977250277447786</v>
      </c>
      <c r="G11" s="204">
        <f>-tanks!AW15</f>
        <v>161</v>
      </c>
      <c r="H11" s="333">
        <f>SUM(tanks!AV15)</f>
        <v>0.61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</v>
      </c>
      <c r="D12">
        <v>2021</v>
      </c>
      <c r="E12" s="204">
        <f>ELEC!N13</f>
        <v>6505</v>
      </c>
      <c r="F12" s="333">
        <f>SUM('EDl log'!T14)</f>
        <v>9.9296951660706081E-2</v>
      </c>
      <c r="G12" s="204">
        <f>-tanks!AW16</f>
        <v>231</v>
      </c>
      <c r="H12" s="333">
        <f>SUM(tanks!AV16)</f>
        <v>0.61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</v>
      </c>
      <c r="D13">
        <v>2021</v>
      </c>
      <c r="E13" s="204">
        <f>ELEC!N14</f>
        <v>6511</v>
      </c>
      <c r="F13" s="333">
        <f>SUM('EDl log'!T15)</f>
        <v>0.12077871961928006</v>
      </c>
      <c r="G13" s="204">
        <f>-tanks!AW17</f>
        <v>496</v>
      </c>
      <c r="H13" s="333">
        <f>SUM(tanks!AV17)</f>
        <v>0.61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</v>
      </c>
      <c r="D14">
        <v>2021</v>
      </c>
      <c r="E14" s="204">
        <f>ELEC!N15</f>
        <v>6339</v>
      </c>
      <c r="F14" s="333">
        <f>SUM('EDl log'!T16)</f>
        <v>-0.12667345176181802</v>
      </c>
      <c r="G14" s="204">
        <f>-tanks!AW18</f>
        <v>325</v>
      </c>
      <c r="H14" s="333">
        <f>SUM(tanks!AV18)</f>
        <v>0.64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</v>
      </c>
      <c r="D15">
        <v>2021</v>
      </c>
      <c r="E15" s="204">
        <f>ELEC!N16</f>
        <v>6922.3999999999069</v>
      </c>
      <c r="F15" s="333">
        <f>SUM('EDl log'!T17)</f>
        <v>6.7173912153366253E-2</v>
      </c>
      <c r="G15" s="204">
        <f>-tanks!AW19</f>
        <v>168</v>
      </c>
      <c r="H15" s="333">
        <f>SUM(tanks!AV19)</f>
        <v>0.64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</v>
      </c>
      <c r="D16">
        <v>2021</v>
      </c>
      <c r="E16" s="204">
        <f>ELEC!N17</f>
        <v>6517.6000000000931</v>
      </c>
      <c r="F16" s="333">
        <f>SUM('EDl log'!T18)</f>
        <v>0.11978283348955754</v>
      </c>
      <c r="G16" s="204">
        <f>-tanks!AW20</f>
        <v>192</v>
      </c>
      <c r="H16" s="333">
        <f>SUM(tanks!AV20)</f>
        <v>0.64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</v>
      </c>
      <c r="D17">
        <v>2021</v>
      </c>
      <c r="E17" s="204">
        <f>ELEC!N18</f>
        <v>7053</v>
      </c>
      <c r="F17" s="333">
        <f>SUM('EDl log'!T19)</f>
        <v>4.1969929115880295E-2</v>
      </c>
      <c r="G17" s="204">
        <f>-tanks!AW21</f>
        <v>275</v>
      </c>
      <c r="H17" s="333">
        <f>SUM(tanks!AV21)</f>
        <v>0.64</v>
      </c>
      <c r="I17" s="10">
        <f>('B5'!AU20)*0.51</f>
        <v>15.3</v>
      </c>
      <c r="J17" s="312">
        <f>'B5'!AX20/0.51</f>
        <v>1.5686274509803921</v>
      </c>
      <c r="K17" s="204">
        <f>WATER!I21</f>
        <v>298</v>
      </c>
      <c r="L17" s="334">
        <f>SUM(WATER!J21)</f>
        <v>0.81186403983546218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</v>
      </c>
      <c r="D18">
        <v>2021</v>
      </c>
      <c r="E18" s="204">
        <f>ELEC!N19</f>
        <v>5078.6000000000931</v>
      </c>
      <c r="F18" s="333">
        <f>SUM('EDl log'!T20)</f>
        <v>0.26120078147632741</v>
      </c>
      <c r="G18" s="204">
        <f>-tanks!AW22</f>
        <v>238</v>
      </c>
      <c r="H18" s="333">
        <f>SUM(tanks!AV22)</f>
        <v>0.64</v>
      </c>
      <c r="I18" s="10">
        <f>('B5'!AU21)*0.51</f>
        <v>15.3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</v>
      </c>
      <c r="D19">
        <v>2021</v>
      </c>
      <c r="E19" s="204">
        <f>ELEC!N20</f>
        <v>5935.6000000000931</v>
      </c>
      <c r="F19" s="333">
        <f>SUM('EDl log'!T21)</f>
        <v>7.4291630510252823E-2</v>
      </c>
      <c r="G19" s="204">
        <f>-tanks!AW23</f>
        <v>260</v>
      </c>
      <c r="H19" s="333">
        <f>SUM(tanks!AV23)</f>
        <v>0.64</v>
      </c>
      <c r="I19" s="10">
        <f>('B5'!AU22)*0.51</f>
        <v>0</v>
      </c>
      <c r="J19" s="312">
        <f>'B5'!AX22/0.51</f>
        <v>1.5686274509803921</v>
      </c>
      <c r="K19" s="204">
        <f>WATER!I23</f>
        <v>170</v>
      </c>
      <c r="L19" s="334">
        <f>SUM(WATER!J23)</f>
        <v>1.4231499051233396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</v>
      </c>
      <c r="D20">
        <v>2021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0.64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</v>
      </c>
      <c r="D21">
        <v>2021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0.64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</v>
      </c>
      <c r="D22">
        <v>2021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0.64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</v>
      </c>
      <c r="D23">
        <v>2021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0.64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</v>
      </c>
      <c r="D24">
        <v>2021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0.64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</v>
      </c>
      <c r="D25">
        <v>2021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0.64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</v>
      </c>
      <c r="D26">
        <v>2021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0.64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</v>
      </c>
      <c r="D27">
        <v>2021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0.64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</v>
      </c>
      <c r="D28">
        <v>2021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0.64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</v>
      </c>
      <c r="D29">
        <v>2021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0.64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</v>
      </c>
      <c r="D30">
        <v>2021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0.64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</v>
      </c>
      <c r="D31">
        <v>2021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0.64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</v>
      </c>
      <c r="D32">
        <v>2021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0.64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4" workbookViewId="0">
      <selection activeCell="C3" sqref="C3: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</v>
      </c>
      <c r="D2">
        <v>2021</v>
      </c>
      <c r="E2" s="204">
        <f>ELEC!M3</f>
        <v>1556</v>
      </c>
      <c r="F2" s="204">
        <f>ELEC!K3</f>
        <v>1130</v>
      </c>
      <c r="G2" s="204">
        <f>ELEC!I3</f>
        <v>748</v>
      </c>
      <c r="H2" s="204">
        <f>ELEC!E3</f>
        <v>1820</v>
      </c>
      <c r="I2" s="204">
        <f>ELEC!G3</f>
        <v>585</v>
      </c>
      <c r="J2" s="204">
        <f>WATER!Y6</f>
        <v>0</v>
      </c>
      <c r="K2" s="204">
        <f>WATER!AJ6</f>
        <v>22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</v>
      </c>
      <c r="D3">
        <v>2021</v>
      </c>
      <c r="E3" s="204">
        <f>ELEC!M4</f>
        <v>2646</v>
      </c>
      <c r="F3" s="204">
        <f>ELEC!K4</f>
        <v>1118</v>
      </c>
      <c r="G3" s="204">
        <f>ELEC!I4</f>
        <v>910</v>
      </c>
      <c r="H3" s="204">
        <f>ELEC!E4</f>
        <v>2092</v>
      </c>
      <c r="I3" s="204">
        <f>ELEC!G4</f>
        <v>624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ELEC!M5</f>
        <v>2042</v>
      </c>
      <c r="F4" s="204">
        <f>ELEC!K5</f>
        <v>924</v>
      </c>
      <c r="G4" s="204">
        <f>ELEC!I5</f>
        <v>814</v>
      </c>
      <c r="H4" s="204">
        <f>ELEC!E5</f>
        <v>1744</v>
      </c>
      <c r="I4" s="204">
        <f>ELEC!G5</f>
        <v>597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</v>
      </c>
      <c r="D5">
        <v>2021</v>
      </c>
      <c r="E5" s="204">
        <f>ELEC!M6</f>
        <v>2914</v>
      </c>
      <c r="F5" s="204">
        <f>ELEC!K6</f>
        <v>1278</v>
      </c>
      <c r="G5" s="204">
        <f>ELEC!I6</f>
        <v>946</v>
      </c>
      <c r="H5" s="204">
        <f>ELEC!E6</f>
        <v>2320</v>
      </c>
      <c r="I5" s="204">
        <f>ELEC!G6</f>
        <v>628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</v>
      </c>
      <c r="D6">
        <v>2021</v>
      </c>
      <c r="E6" s="204">
        <f>ELEC!M7</f>
        <v>2564</v>
      </c>
      <c r="F6" s="204">
        <f>ELEC!K7</f>
        <v>1244</v>
      </c>
      <c r="G6" s="204">
        <f>ELEC!I7</f>
        <v>986</v>
      </c>
      <c r="H6" s="204">
        <f>ELEC!E7</f>
        <v>1856</v>
      </c>
      <c r="I6" s="204">
        <f>ELEC!G7</f>
        <v>628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</v>
      </c>
      <c r="D7">
        <v>2021</v>
      </c>
      <c r="E7" s="204">
        <f>ELEC!M8</f>
        <v>2792</v>
      </c>
      <c r="F7" s="204">
        <f>ELEC!K8</f>
        <v>1174</v>
      </c>
      <c r="G7" s="204">
        <f>ELEC!I8</f>
        <v>952</v>
      </c>
      <c r="H7" s="204">
        <f>ELEC!E8</f>
        <v>1992</v>
      </c>
      <c r="I7" s="204">
        <f>ELEC!G8</f>
        <v>598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</v>
      </c>
      <c r="D8">
        <v>2021</v>
      </c>
      <c r="E8" s="204">
        <f>ELEC!M9</f>
        <v>2554</v>
      </c>
      <c r="F8" s="204">
        <f>ELEC!K9</f>
        <v>1052</v>
      </c>
      <c r="G8" s="204">
        <f>ELEC!I9</f>
        <v>948</v>
      </c>
      <c r="H8" s="204">
        <f>ELEC!E9</f>
        <v>1894</v>
      </c>
      <c r="I8" s="204">
        <f>ELEC!G9</f>
        <v>594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</v>
      </c>
      <c r="D9">
        <v>2021</v>
      </c>
      <c r="E9" s="204">
        <f>ELEC!M10</f>
        <v>1786</v>
      </c>
      <c r="F9" s="204">
        <f>ELEC!K10</f>
        <v>982</v>
      </c>
      <c r="G9" s="204">
        <f>ELEC!I10</f>
        <v>948</v>
      </c>
      <c r="H9" s="204">
        <f>ELEC!E10</f>
        <v>1740</v>
      </c>
      <c r="I9" s="204">
        <f>ELEC!G10</f>
        <v>585.20000000018626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</v>
      </c>
      <c r="D10">
        <v>2021</v>
      </c>
      <c r="E10" s="204">
        <f>ELEC!M11</f>
        <v>1772</v>
      </c>
      <c r="F10" s="204">
        <f>ELEC!K11</f>
        <v>928</v>
      </c>
      <c r="G10" s="204">
        <f>ELEC!I11</f>
        <v>886</v>
      </c>
      <c r="H10" s="204">
        <f>ELEC!E11</f>
        <v>3408</v>
      </c>
      <c r="I10" s="204">
        <f>ELEC!G11</f>
        <v>540.79999999981374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</v>
      </c>
      <c r="D11">
        <v>2021</v>
      </c>
      <c r="E11" s="204">
        <f>ELEC!M12</f>
        <v>1980</v>
      </c>
      <c r="F11" s="204">
        <f>ELEC!K12</f>
        <v>770</v>
      </c>
      <c r="G11" s="204">
        <f>ELEC!I12</f>
        <v>728</v>
      </c>
      <c r="H11" s="204">
        <f>ELEC!E12</f>
        <v>1832</v>
      </c>
      <c r="I11" s="204">
        <f>ELEC!G12</f>
        <v>501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</v>
      </c>
      <c r="D12">
        <v>2021</v>
      </c>
      <c r="E12" s="204">
        <f>ELEC!M13</f>
        <v>1850</v>
      </c>
      <c r="F12" s="204">
        <f>ELEC!K13</f>
        <v>994</v>
      </c>
      <c r="G12" s="204">
        <f>ELEC!I13</f>
        <v>898</v>
      </c>
      <c r="H12" s="204">
        <f>ELEC!E13</f>
        <v>2202</v>
      </c>
      <c r="I12" s="204">
        <f>ELEC!G13</f>
        <v>561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</v>
      </c>
      <c r="D13">
        <v>2021</v>
      </c>
      <c r="E13" s="204">
        <f>ELEC!M14</f>
        <v>1996</v>
      </c>
      <c r="F13" s="204">
        <f>ELEC!K14</f>
        <v>1402</v>
      </c>
      <c r="G13" s="204">
        <f>ELEC!I14</f>
        <v>870</v>
      </c>
      <c r="H13" s="204">
        <f>ELEC!E14</f>
        <v>1654</v>
      </c>
      <c r="I13" s="204">
        <f>ELEC!G14</f>
        <v>589</v>
      </c>
      <c r="J13" s="204">
        <f>WATER!Y17</f>
        <v>2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</v>
      </c>
      <c r="D14">
        <v>2021</v>
      </c>
      <c r="E14" s="204">
        <f>ELEC!M15</f>
        <v>1998</v>
      </c>
      <c r="F14" s="204">
        <f>ELEC!K15</f>
        <v>1278</v>
      </c>
      <c r="G14" s="204">
        <f>ELEC!I15</f>
        <v>854</v>
      </c>
      <c r="H14" s="204">
        <f>ELEC!E15</f>
        <v>1580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</v>
      </c>
      <c r="D15">
        <v>2021</v>
      </c>
      <c r="E15" s="204">
        <f>ELEC!M16</f>
        <v>2286</v>
      </c>
      <c r="F15" s="204">
        <f>ELEC!K16</f>
        <v>1146</v>
      </c>
      <c r="G15" s="204">
        <f>ELEC!I16</f>
        <v>884</v>
      </c>
      <c r="H15" s="204">
        <f>ELEC!E16</f>
        <v>1998</v>
      </c>
      <c r="I15" s="204">
        <f>ELEC!G16</f>
        <v>608.39999999990687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</v>
      </c>
      <c r="D16">
        <v>2021</v>
      </c>
      <c r="E16" s="204">
        <f>ELEC!M17</f>
        <v>2014</v>
      </c>
      <c r="F16" s="204">
        <f>ELEC!K17</f>
        <v>1416</v>
      </c>
      <c r="G16" s="204">
        <f>ELEC!I17</f>
        <v>844</v>
      </c>
      <c r="H16" s="204">
        <f>ELEC!E17</f>
        <v>1612</v>
      </c>
      <c r="I16" s="204">
        <f>ELEC!G17</f>
        <v>631.60000000009313</v>
      </c>
      <c r="J16" s="204">
        <f>WATER!Y20</f>
        <v>33</v>
      </c>
      <c r="K16" s="204">
        <f>WATER!AJ20</f>
        <v>72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</v>
      </c>
      <c r="D17">
        <v>2021</v>
      </c>
      <c r="E17" s="204">
        <f>ELEC!M18</f>
        <v>1748</v>
      </c>
      <c r="F17" s="204">
        <f>ELEC!K18</f>
        <v>1842</v>
      </c>
      <c r="G17" s="204">
        <f>ELEC!I18</f>
        <v>864</v>
      </c>
      <c r="H17" s="204">
        <f>ELEC!E18</f>
        <v>1964</v>
      </c>
      <c r="I17" s="204">
        <f>ELEC!G18</f>
        <v>635</v>
      </c>
      <c r="J17" s="204">
        <f>WATER!Y21</f>
        <v>63</v>
      </c>
      <c r="K17" s="204">
        <f>WATER!AJ21</f>
        <v>33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</v>
      </c>
      <c r="D18">
        <v>2021</v>
      </c>
      <c r="E18" s="204">
        <f>ELEC!M19</f>
        <v>1608</v>
      </c>
      <c r="F18" s="204">
        <f>ELEC!K19</f>
        <v>772</v>
      </c>
      <c r="G18" s="204">
        <f>ELEC!I19</f>
        <v>752</v>
      </c>
      <c r="H18" s="204">
        <f>ELEC!E19</f>
        <v>1396</v>
      </c>
      <c r="I18" s="204">
        <f>ELEC!G19</f>
        <v>550.60000000009313</v>
      </c>
      <c r="J18" s="204">
        <f>WATER!Y22</f>
        <v>5</v>
      </c>
      <c r="K18" s="204">
        <f>WATER!AJ22</f>
        <v>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</v>
      </c>
      <c r="D19">
        <v>2021</v>
      </c>
      <c r="E19" s="204">
        <f>ELEC!M20</f>
        <v>2048</v>
      </c>
      <c r="F19" s="204">
        <f>ELEC!K20</f>
        <v>886</v>
      </c>
      <c r="G19" s="204">
        <f>ELEC!I20</f>
        <v>772</v>
      </c>
      <c r="H19" s="204">
        <f>ELEC!E20</f>
        <v>1668</v>
      </c>
      <c r="I19" s="204">
        <f>ELEC!G20</f>
        <v>561.60000000009313</v>
      </c>
      <c r="J19" s="204">
        <f>WATER!Y23</f>
        <v>84</v>
      </c>
      <c r="K19" s="204">
        <f>WATER!AJ23</f>
        <v>35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</v>
      </c>
      <c r="D20">
        <v>2021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</v>
      </c>
      <c r="D21">
        <v>2021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</v>
      </c>
      <c r="D22">
        <v>2021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</v>
      </c>
      <c r="D23">
        <v>2021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</v>
      </c>
      <c r="D24">
        <v>2021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</v>
      </c>
      <c r="D25">
        <v>2021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</v>
      </c>
      <c r="D26">
        <v>2021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</v>
      </c>
      <c r="D27">
        <v>2021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</v>
      </c>
      <c r="D28">
        <v>2021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</v>
      </c>
      <c r="D29">
        <v>2021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</v>
      </c>
      <c r="D30">
        <v>2021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</v>
      </c>
      <c r="D31">
        <v>2021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</v>
      </c>
      <c r="D32">
        <v>2021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W1" zoomScale="85" zoomScaleNormal="85" zoomScaleSheetLayoutView="100" workbookViewId="0">
      <pane ySplit="1" topLeftCell="A2" activePane="bottomLeft" state="frozen"/>
      <selection activeCell="C1" sqref="C1"/>
      <selection pane="bottomLeft" activeCell="AM20" sqref="AM20"/>
    </sheetView>
  </sheetViews>
  <sheetFormatPr defaultColWidth="9.1796875" defaultRowHeight="14.5"/>
  <cols>
    <col min="1" max="1" width="7.7265625" style="472" bestFit="1" customWidth="1"/>
    <col min="2" max="2" width="10.26953125" style="480" bestFit="1" customWidth="1"/>
    <col min="3" max="3" width="11.54296875" style="472" customWidth="1"/>
    <col min="4" max="4" width="18" style="481" bestFit="1" customWidth="1"/>
    <col min="5" max="5" width="14.453125" style="481" bestFit="1" customWidth="1"/>
    <col min="6" max="6" width="15.269531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265625" style="481" customWidth="1"/>
    <col min="12" max="12" width="18" style="481" bestFit="1" customWidth="1"/>
    <col min="13" max="13" width="12.54296875" style="481" bestFit="1" customWidth="1"/>
    <col min="14" max="14" width="15.453125" style="472" bestFit="1" customWidth="1"/>
    <col min="15" max="15" width="13.1796875" style="482" bestFit="1" customWidth="1"/>
    <col min="16" max="16" width="14.26953125" style="472" bestFit="1" customWidth="1"/>
    <col min="17" max="17" width="13.7265625" style="472" bestFit="1" customWidth="1"/>
    <col min="18" max="18" width="12.453125" style="472" bestFit="1" customWidth="1"/>
    <col min="19" max="21" width="11.54296875" style="472" bestFit="1" customWidth="1"/>
    <col min="22" max="22" width="13.1796875" style="472" bestFit="1" customWidth="1"/>
    <col min="23" max="25" width="11.54296875" style="472" bestFit="1" customWidth="1"/>
    <col min="26" max="26" width="13.1796875" style="472" bestFit="1" customWidth="1"/>
    <col min="27" max="29" width="11.54296875" style="472" bestFit="1" customWidth="1"/>
    <col min="30" max="30" width="13.1796875" style="472" bestFit="1" customWidth="1"/>
    <col min="31" max="32" width="11.54296875" style="472" bestFit="1" customWidth="1"/>
    <col min="33" max="33" width="14.453125" style="472" bestFit="1" customWidth="1"/>
    <col min="34" max="34" width="9.1796875" style="472"/>
    <col min="35" max="35" width="9.7265625" style="472" bestFit="1" customWidth="1"/>
    <col min="36" max="16384" width="9.179687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[1]ELEC!A33</f>
        <v>0</v>
      </c>
      <c r="B2" s="542">
        <f>[1]ELEC!B33</f>
        <v>0</v>
      </c>
      <c r="C2" s="464">
        <v>44196</v>
      </c>
      <c r="D2" s="543">
        <v>32526258</v>
      </c>
      <c r="E2" s="543">
        <f>[1]ELEC!E33</f>
        <v>2512</v>
      </c>
      <c r="F2" s="543">
        <v>3935950</v>
      </c>
      <c r="G2" s="543">
        <f>[1]ELEC!G33</f>
        <v>596</v>
      </c>
      <c r="H2" s="543">
        <v>17753362</v>
      </c>
      <c r="I2" s="543">
        <f>[1]ELEC!I33</f>
        <v>898</v>
      </c>
      <c r="J2" s="543">
        <v>28844588</v>
      </c>
      <c r="K2" s="543">
        <f>[1]ELEC!K33</f>
        <v>1144</v>
      </c>
      <c r="L2" s="543">
        <v>23934256</v>
      </c>
      <c r="M2" s="543">
        <f>[1]ELEC!M33</f>
        <v>1542</v>
      </c>
      <c r="N2" s="543">
        <f>[1]ELEC!N33</f>
        <v>6692</v>
      </c>
      <c r="O2" s="543">
        <f>[1]ELEC!O33</f>
        <v>0</v>
      </c>
      <c r="P2" s="607">
        <v>16509.61</v>
      </c>
      <c r="Q2" s="543">
        <f>[1]ELEC!Q33</f>
        <v>2088.9999999999418</v>
      </c>
      <c r="R2" s="543">
        <f>[1]ELEC!R33</f>
        <v>4603.0000000000582</v>
      </c>
      <c r="S2" s="543">
        <f>[1]ELEC!S33</f>
        <v>10065</v>
      </c>
      <c r="T2" s="543">
        <f>[1]ELEC!T33</f>
        <v>0</v>
      </c>
      <c r="U2" s="543">
        <f>[1]ELEC!U33</f>
        <v>412003</v>
      </c>
      <c r="V2" s="543">
        <f>[1]ELEC!V33</f>
        <v>0</v>
      </c>
      <c r="W2" s="543">
        <f>[1]ELEC!W33</f>
        <v>32149</v>
      </c>
      <c r="X2" s="543">
        <f>[1]ELEC!X33</f>
        <v>0</v>
      </c>
      <c r="Y2" s="543">
        <f>[1]ELEC!Y33</f>
        <v>693368</v>
      </c>
      <c r="Z2" s="543">
        <f>[1]ELEC!Z33</f>
        <v>0</v>
      </c>
      <c r="AA2" s="543">
        <v>35654</v>
      </c>
      <c r="AB2" s="543">
        <f>[1]ELEC!AB33</f>
        <v>3</v>
      </c>
      <c r="AC2" s="543">
        <v>909229</v>
      </c>
      <c r="AD2" s="543">
        <f>[1]ELEC!AD33</f>
        <v>441</v>
      </c>
      <c r="AE2" s="543">
        <f>[1]ELEC!AE33</f>
        <v>3</v>
      </c>
      <c r="AF2" s="543">
        <f>[1]ELEC!AF33</f>
        <v>441</v>
      </c>
      <c r="AG2" s="543">
        <f>[1]ELEC!AG33</f>
        <v>147</v>
      </c>
      <c r="AH2" s="543">
        <f>[1]ELEC!AH33</f>
        <v>0</v>
      </c>
      <c r="AI2" s="543">
        <f>[1]ELEC!AI33</f>
        <v>-770946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543">
        <f>[1]ELEC!AM33</f>
        <v>0</v>
      </c>
      <c r="AN2" s="543">
        <f>[1]ELEC!AN33</f>
        <v>0</v>
      </c>
      <c r="AO2" s="543">
        <f>[1]ELEC!AO33</f>
        <v>0</v>
      </c>
      <c r="AP2" s="543">
        <f>[1]ELEC!AP33</f>
        <v>0</v>
      </c>
      <c r="AQ2" s="543">
        <f>[1]ELEC!AQ33</f>
        <v>0</v>
      </c>
      <c r="AR2" s="543">
        <f>[1]ELEC!AR33</f>
        <v>0</v>
      </c>
      <c r="AS2" s="543">
        <f>[1]ELEC!AS33</f>
        <v>0</v>
      </c>
      <c r="AT2" s="543">
        <f>[1]ELEC!AT33</f>
        <v>0</v>
      </c>
      <c r="AU2" s="543">
        <f>[1]ELEC!AU33</f>
        <v>0</v>
      </c>
      <c r="AV2" s="543">
        <f>[1]ELEC!AV33</f>
        <v>0</v>
      </c>
      <c r="AW2" s="543">
        <f>[1]ELEC!AW33</f>
        <v>0</v>
      </c>
      <c r="AX2" s="543">
        <f>[1]ELEC!AX33</f>
        <v>0</v>
      </c>
      <c r="AY2" s="543">
        <f>[1]ELEC!AY33</f>
        <v>0</v>
      </c>
      <c r="AZ2" s="543">
        <f>[1]ELEC!AZ33</f>
        <v>0</v>
      </c>
      <c r="BA2" s="543">
        <f>[1]ELEC!BA33</f>
        <v>0</v>
      </c>
      <c r="BB2" s="543">
        <f>[1]ELEC!BB33</f>
        <v>0</v>
      </c>
      <c r="BC2" s="543">
        <f>[1]ELEC!BC33</f>
        <v>0</v>
      </c>
      <c r="BD2" s="543">
        <f>[1]ELEC!BD33</f>
        <v>0</v>
      </c>
      <c r="BE2" s="543">
        <f>[1]ELEC!BE33</f>
        <v>0</v>
      </c>
      <c r="BF2" s="543">
        <f>[1]ELEC!BF33</f>
        <v>0</v>
      </c>
      <c r="BG2" s="543">
        <f>[1]ELEC!BG33</f>
        <v>0</v>
      </c>
      <c r="BH2" s="543">
        <f>[1]ELEC!BH33</f>
        <v>0</v>
      </c>
      <c r="BI2" s="543">
        <f>[1]ELEC!BI33</f>
        <v>0</v>
      </c>
      <c r="BJ2" s="543">
        <f>[1]ELEC!BJ33</f>
        <v>0</v>
      </c>
      <c r="BK2" s="543">
        <f>[1]ELEC!BK33</f>
        <v>0</v>
      </c>
      <c r="BL2" s="543">
        <f>[1]ELEC!BL33</f>
        <v>0</v>
      </c>
      <c r="BM2" s="543">
        <f>[1]ELEC!BM33</f>
        <v>0</v>
      </c>
      <c r="BN2" s="543">
        <f>[1]ELEC!BN33</f>
        <v>0</v>
      </c>
      <c r="BO2" s="543">
        <f>[1]ELEC!BO33</f>
        <v>0</v>
      </c>
      <c r="BP2" s="543">
        <f>[1]ELEC!BP33</f>
        <v>0</v>
      </c>
      <c r="BQ2" s="543">
        <f>[1]ELEC!BQ33</f>
        <v>0</v>
      </c>
      <c r="BR2" s="543">
        <f>[1]ELEC!BR33</f>
        <v>0</v>
      </c>
      <c r="BS2" s="543">
        <f>[1]ELEC!BS33</f>
        <v>0</v>
      </c>
      <c r="BT2" s="543">
        <f>[1]ELEC!BT33</f>
        <v>0</v>
      </c>
      <c r="BU2" s="543">
        <f>[1]ELEC!BU33</f>
        <v>0</v>
      </c>
      <c r="BV2" s="543">
        <f>[1]ELEC!BV33</f>
        <v>0</v>
      </c>
      <c r="BW2" s="543">
        <f>[1]ELEC!BW33</f>
        <v>0</v>
      </c>
      <c r="BX2" s="543">
        <f>[1]ELEC!BX33</f>
        <v>0</v>
      </c>
      <c r="BY2" s="543">
        <f>[1]ELEC!BY33</f>
        <v>0</v>
      </c>
      <c r="BZ2" s="543">
        <f>[1]ELEC!BZ33</f>
        <v>0</v>
      </c>
      <c r="CA2" s="543">
        <f>[1]ELEC!CA33</f>
        <v>0</v>
      </c>
      <c r="CB2" s="543">
        <f>[1]ELEC!CB33</f>
        <v>0</v>
      </c>
      <c r="CC2" s="543">
        <f>[1]ELEC!CC33</f>
        <v>0</v>
      </c>
      <c r="CD2" s="543">
        <f>[1]ELEC!CD33</f>
        <v>0</v>
      </c>
      <c r="CE2" s="543">
        <f>[1]ELEC!CE33</f>
        <v>0</v>
      </c>
      <c r="CF2" s="543">
        <f>[1]ELEC!CF33</f>
        <v>0</v>
      </c>
      <c r="CG2" s="543">
        <f>[1]ELEC!CG33</f>
        <v>0</v>
      </c>
      <c r="CH2" s="543">
        <f>[1]ELEC!CH33</f>
        <v>0</v>
      </c>
      <c r="CI2" s="543">
        <f>[1]ELEC!CI33</f>
        <v>0</v>
      </c>
      <c r="CJ2" s="543">
        <f>[1]ELEC!CJ33</f>
        <v>0</v>
      </c>
      <c r="CK2" s="543">
        <f>[1]ELEC!CK33</f>
        <v>0</v>
      </c>
      <c r="CL2" s="543">
        <f>[1]ELEC!CL33</f>
        <v>0</v>
      </c>
      <c r="CM2" s="543">
        <f>[1]ELEC!CM33</f>
        <v>0</v>
      </c>
      <c r="CN2" s="543">
        <f>[1]ELEC!CN33</f>
        <v>0</v>
      </c>
      <c r="CO2" s="543">
        <f>[1]ELEC!CO33</f>
        <v>0</v>
      </c>
      <c r="CP2" s="543">
        <f>[1]ELEC!CP33</f>
        <v>0</v>
      </c>
      <c r="CQ2" s="543">
        <f>[1]ELEC!CQ33</f>
        <v>0</v>
      </c>
      <c r="CR2" s="543">
        <f>[1]ELEC!CR33</f>
        <v>0</v>
      </c>
      <c r="CS2" s="543">
        <f>[1]ELEC!CS33</f>
        <v>0</v>
      </c>
      <c r="CT2" s="543">
        <f>[1]ELEC!CT33</f>
        <v>0</v>
      </c>
      <c r="CU2" s="543">
        <f>[1]ELEC!CU33</f>
        <v>0</v>
      </c>
      <c r="CV2" s="543">
        <f>[1]ELEC!CV33</f>
        <v>0</v>
      </c>
      <c r="CW2" s="543">
        <f>[1]ELEC!CW33</f>
        <v>0</v>
      </c>
      <c r="CX2" s="543">
        <f>[1]ELEC!CX33</f>
        <v>0</v>
      </c>
      <c r="CY2" s="543">
        <f>[1]ELEC!CY33</f>
        <v>0</v>
      </c>
      <c r="CZ2" s="543">
        <f>[1]ELEC!CZ33</f>
        <v>0</v>
      </c>
      <c r="DA2" s="543">
        <f>[1]ELEC!DA33</f>
        <v>0</v>
      </c>
      <c r="DB2" s="543">
        <f>[1]ELEC!DB33</f>
        <v>0</v>
      </c>
      <c r="DC2" s="543">
        <f>[1]ELEC!DC33</f>
        <v>0</v>
      </c>
      <c r="DD2" s="543">
        <f>[1]ELEC!DD33</f>
        <v>0</v>
      </c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44197</v>
      </c>
      <c r="D3" s="451">
        <v>32528078</v>
      </c>
      <c r="E3" s="452">
        <f>D3-D2</f>
        <v>1820</v>
      </c>
      <c r="F3" s="451">
        <v>3936535</v>
      </c>
      <c r="G3" s="453">
        <f t="shared" ref="G3:G31" si="0">F3-F2</f>
        <v>585</v>
      </c>
      <c r="H3" s="451">
        <v>17754110</v>
      </c>
      <c r="I3" s="453">
        <f>H3-H2</f>
        <v>748</v>
      </c>
      <c r="J3" s="451">
        <v>28845718</v>
      </c>
      <c r="K3" s="453">
        <f>J3-J2</f>
        <v>1130</v>
      </c>
      <c r="L3" s="451">
        <v>23935812</v>
      </c>
      <c r="M3" s="453">
        <f>L3-L2</f>
        <v>1556</v>
      </c>
      <c r="N3" s="454">
        <f>M3+K3+I3+G3+E3</f>
        <v>5839</v>
      </c>
      <c r="O3" s="465">
        <f t="shared" ref="O3:O9" si="1">IF(B3&gt;0,N3/B3,0)</f>
        <v>0</v>
      </c>
      <c r="P3" s="606">
        <v>16510.109</v>
      </c>
      <c r="Q3" s="474">
        <f t="shared" ref="Q3:Q12" si="2">(P3-P2)*1000</f>
        <v>498.99999999979627</v>
      </c>
      <c r="R3" s="467">
        <f>+N3-Q3</f>
        <v>5340.0000000002037</v>
      </c>
      <c r="S3" s="451">
        <v>10066</v>
      </c>
      <c r="T3" s="468">
        <f t="shared" ref="T3:T32" si="3">S3-S2</f>
        <v>1</v>
      </c>
      <c r="U3" s="451">
        <v>412112</v>
      </c>
      <c r="V3" s="466">
        <f>U3-U2</f>
        <v>109</v>
      </c>
      <c r="W3" s="451">
        <v>32152</v>
      </c>
      <c r="X3" s="466">
        <f t="shared" ref="X3:X8" si="4">W3-W2</f>
        <v>3</v>
      </c>
      <c r="Y3" s="451">
        <v>693927</v>
      </c>
      <c r="Z3" s="466">
        <f>Y3-Y2</f>
        <v>559</v>
      </c>
      <c r="AA3" s="451">
        <v>35654</v>
      </c>
      <c r="AB3" s="466">
        <f>AA3-AA2</f>
        <v>0</v>
      </c>
      <c r="AC3" s="451">
        <f>AC2</f>
        <v>909229</v>
      </c>
      <c r="AD3" s="469">
        <f>AC3-AC2</f>
        <v>0</v>
      </c>
      <c r="AE3" s="470">
        <f>AB3+X3+T3</f>
        <v>4</v>
      </c>
      <c r="AF3" s="451">
        <f>V3+Z3+AD3</f>
        <v>668</v>
      </c>
      <c r="AG3" s="471">
        <f t="shared" ref="AG3:AG9" si="5">IF(AE3&gt;0,AF3/AE3,0)</f>
        <v>167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44198</v>
      </c>
      <c r="D4" s="451">
        <v>32530170</v>
      </c>
      <c r="E4" s="314">
        <f>D4-D3</f>
        <v>2092</v>
      </c>
      <c r="F4" s="451">
        <v>3937159</v>
      </c>
      <c r="G4" s="315">
        <f t="shared" si="0"/>
        <v>624</v>
      </c>
      <c r="H4" s="451">
        <v>17755020</v>
      </c>
      <c r="I4" s="315">
        <f>H4-H3</f>
        <v>910</v>
      </c>
      <c r="J4" s="451">
        <v>28846836</v>
      </c>
      <c r="K4" s="315">
        <f>J4-J3</f>
        <v>1118</v>
      </c>
      <c r="L4" s="451">
        <v>23938458</v>
      </c>
      <c r="M4" s="315">
        <f>L4-L3</f>
        <v>2646</v>
      </c>
      <c r="N4" s="313">
        <f>M4+K4+I4+G4+E4</f>
        <v>7390</v>
      </c>
      <c r="O4" s="473">
        <f t="shared" si="1"/>
        <v>0</v>
      </c>
      <c r="P4" s="606">
        <v>16512.098000000002</v>
      </c>
      <c r="Q4" s="474">
        <f t="shared" si="2"/>
        <v>1989.000000001397</v>
      </c>
      <c r="R4" s="455">
        <f>N4-Q4</f>
        <v>5400.999999998603</v>
      </c>
      <c r="S4" s="451">
        <v>10069</v>
      </c>
      <c r="T4" s="475">
        <f t="shared" si="3"/>
        <v>3</v>
      </c>
      <c r="U4" s="451">
        <v>412764</v>
      </c>
      <c r="V4" s="455">
        <f>U4-U3</f>
        <v>652</v>
      </c>
      <c r="W4" s="451">
        <f t="shared" ref="W4:W33" si="7">W3</f>
        <v>32152</v>
      </c>
      <c r="X4" s="455">
        <f t="shared" si="4"/>
        <v>0</v>
      </c>
      <c r="Y4" s="451">
        <f t="shared" ref="Y4:Y33" si="8">Y3</f>
        <v>693927</v>
      </c>
      <c r="Z4" s="455">
        <f>Y4-Y3</f>
        <v>0</v>
      </c>
      <c r="AA4" s="451">
        <f t="shared" ref="AA4:AA33" si="9">AA3</f>
        <v>35654</v>
      </c>
      <c r="AB4" s="476">
        <f>AA4-AA3</f>
        <v>0</v>
      </c>
      <c r="AC4" s="451">
        <f t="shared" ref="AC4:AC33" si="10">AC3</f>
        <v>909229</v>
      </c>
      <c r="AD4" s="477">
        <f>AC4-AC3</f>
        <v>0</v>
      </c>
      <c r="AE4" s="478">
        <f t="shared" ref="AE4:AE32" si="11">AB4+X4+T4</f>
        <v>3</v>
      </c>
      <c r="AF4" s="479">
        <f t="shared" ref="AF4:AF31" si="12">V4+Z4+AD4</f>
        <v>652</v>
      </c>
      <c r="AG4" s="471">
        <f t="shared" si="5"/>
        <v>217.33333333333334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44199</v>
      </c>
      <c r="D5" s="451">
        <v>32531914</v>
      </c>
      <c r="E5" s="314">
        <f t="shared" ref="E5:E32" si="13">D5-D4</f>
        <v>1744</v>
      </c>
      <c r="F5" s="451">
        <v>3937756</v>
      </c>
      <c r="G5" s="315">
        <f t="shared" si="0"/>
        <v>597</v>
      </c>
      <c r="H5" s="451">
        <v>17755834</v>
      </c>
      <c r="I5" s="315">
        <f t="shared" ref="I5:I31" si="14">H5-H4</f>
        <v>814</v>
      </c>
      <c r="J5" s="451">
        <v>28847760</v>
      </c>
      <c r="K5" s="315">
        <f t="shared" ref="K5:K31" si="15">J5-J4</f>
        <v>924</v>
      </c>
      <c r="L5" s="451">
        <v>23940500</v>
      </c>
      <c r="M5" s="315">
        <f t="shared" ref="M5:M31" si="16">L5-L4</f>
        <v>2042</v>
      </c>
      <c r="N5" s="313">
        <f t="shared" ref="N5:N31" si="17">M5+K5+I5+G5+E5</f>
        <v>6121</v>
      </c>
      <c r="O5" s="473">
        <f t="shared" si="1"/>
        <v>0</v>
      </c>
      <c r="P5" s="606">
        <v>16514.251</v>
      </c>
      <c r="Q5" s="474">
        <f>(P5-P4)*1000</f>
        <v>2152.9999999984284</v>
      </c>
      <c r="R5" s="455">
        <f>N5-Q5</f>
        <v>3968.0000000015716</v>
      </c>
      <c r="S5" s="451">
        <v>10072</v>
      </c>
      <c r="T5" s="475">
        <f t="shared" si="3"/>
        <v>3</v>
      </c>
      <c r="U5" s="451">
        <v>413291</v>
      </c>
      <c r="V5" s="455">
        <f t="shared" ref="V5:V32" si="18">U5-U4</f>
        <v>527</v>
      </c>
      <c r="W5" s="451">
        <f t="shared" si="7"/>
        <v>32152</v>
      </c>
      <c r="X5" s="455">
        <f t="shared" si="4"/>
        <v>0</v>
      </c>
      <c r="Y5" s="451">
        <f t="shared" si="8"/>
        <v>693927</v>
      </c>
      <c r="Z5" s="455">
        <f>Y5-Y4</f>
        <v>0</v>
      </c>
      <c r="AA5" s="451">
        <f t="shared" si="9"/>
        <v>35654</v>
      </c>
      <c r="AB5" s="455">
        <f t="shared" ref="AB5:AB32" si="19">AA5-AA4</f>
        <v>0</v>
      </c>
      <c r="AC5" s="451">
        <f t="shared" si="10"/>
        <v>909229</v>
      </c>
      <c r="AD5" s="455">
        <f t="shared" ref="AD5:AD16" si="20">AC5-AC4</f>
        <v>0</v>
      </c>
      <c r="AE5" s="478">
        <f t="shared" si="11"/>
        <v>3</v>
      </c>
      <c r="AF5" s="479">
        <f t="shared" si="12"/>
        <v>527</v>
      </c>
      <c r="AG5" s="471">
        <f t="shared" si="5"/>
        <v>175.66666666666666</v>
      </c>
      <c r="AI5" s="472">
        <f>R5-'EDl log'!B3</f>
        <v>-778745.99999999837</v>
      </c>
    </row>
    <row r="6" spans="1:115">
      <c r="A6" s="463">
        <f>'General information '!F9</f>
        <v>0</v>
      </c>
      <c r="B6" s="457">
        <f t="shared" si="6"/>
        <v>0</v>
      </c>
      <c r="C6" s="464">
        <v>44200</v>
      </c>
      <c r="D6" s="451">
        <v>32534234</v>
      </c>
      <c r="E6" s="314">
        <f t="shared" si="13"/>
        <v>2320</v>
      </c>
      <c r="F6" s="620">
        <v>3938384</v>
      </c>
      <c r="G6" s="315">
        <f t="shared" si="0"/>
        <v>628</v>
      </c>
      <c r="H6" s="451">
        <v>17756780</v>
      </c>
      <c r="I6" s="315">
        <f t="shared" si="14"/>
        <v>946</v>
      </c>
      <c r="J6" s="620">
        <v>28849038</v>
      </c>
      <c r="K6" s="315">
        <f t="shared" si="15"/>
        <v>1278</v>
      </c>
      <c r="L6" s="451">
        <v>23943414</v>
      </c>
      <c r="M6" s="315">
        <f t="shared" si="16"/>
        <v>2914</v>
      </c>
      <c r="N6" s="313">
        <f t="shared" si="17"/>
        <v>8086</v>
      </c>
      <c r="O6" s="473">
        <f t="shared" si="1"/>
        <v>0</v>
      </c>
      <c r="P6" s="621">
        <v>16518.88</v>
      </c>
      <c r="Q6" s="455">
        <f t="shared" si="2"/>
        <v>4629.0000000008149</v>
      </c>
      <c r="R6" s="455">
        <f t="shared" ref="R6:R12" si="21">N6-Q6</f>
        <v>3456.9999999991851</v>
      </c>
      <c r="S6" s="451">
        <v>10078</v>
      </c>
      <c r="T6" s="475">
        <f t="shared" si="3"/>
        <v>6</v>
      </c>
      <c r="U6" s="620">
        <v>414366</v>
      </c>
      <c r="V6" s="455">
        <f t="shared" si="18"/>
        <v>1075</v>
      </c>
      <c r="W6" s="451">
        <f t="shared" si="7"/>
        <v>32152</v>
      </c>
      <c r="X6" s="455">
        <f t="shared" si="4"/>
        <v>0</v>
      </c>
      <c r="Y6" s="451">
        <f t="shared" si="8"/>
        <v>693927</v>
      </c>
      <c r="Z6" s="455">
        <f t="shared" ref="Z6:Z30" si="22">Y6-Y5</f>
        <v>0</v>
      </c>
      <c r="AA6" s="451">
        <f t="shared" si="9"/>
        <v>35654</v>
      </c>
      <c r="AB6" s="455">
        <f t="shared" si="19"/>
        <v>0</v>
      </c>
      <c r="AC6" s="451">
        <f t="shared" si="10"/>
        <v>909229</v>
      </c>
      <c r="AD6" s="455">
        <f t="shared" si="20"/>
        <v>0</v>
      </c>
      <c r="AE6" s="478">
        <f t="shared" si="11"/>
        <v>6</v>
      </c>
      <c r="AF6" s="479">
        <f t="shared" si="12"/>
        <v>1075</v>
      </c>
      <c r="AG6" s="471">
        <f t="shared" si="5"/>
        <v>179.16666666666666</v>
      </c>
      <c r="AI6" s="472">
        <f>R6-'EDl log'!B4</f>
        <v>-782090.00000000081</v>
      </c>
    </row>
    <row r="7" spans="1:115">
      <c r="A7" s="463">
        <f>'General information '!F10</f>
        <v>0</v>
      </c>
      <c r="B7" s="457">
        <f t="shared" si="6"/>
        <v>0</v>
      </c>
      <c r="C7" s="464">
        <v>44201</v>
      </c>
      <c r="D7" s="451">
        <v>32536090</v>
      </c>
      <c r="E7" s="314">
        <f t="shared" si="13"/>
        <v>1856</v>
      </c>
      <c r="F7" s="451">
        <v>3939012</v>
      </c>
      <c r="G7" s="315">
        <f t="shared" si="0"/>
        <v>628</v>
      </c>
      <c r="H7" s="451">
        <v>17757766</v>
      </c>
      <c r="I7" s="315">
        <f t="shared" si="14"/>
        <v>986</v>
      </c>
      <c r="J7" s="451">
        <v>28850282</v>
      </c>
      <c r="K7" s="315">
        <f t="shared" si="15"/>
        <v>1244</v>
      </c>
      <c r="L7" s="451">
        <v>23945978</v>
      </c>
      <c r="M7" s="315">
        <f t="shared" si="16"/>
        <v>2564</v>
      </c>
      <c r="N7" s="313">
        <f t="shared" si="17"/>
        <v>7278</v>
      </c>
      <c r="O7" s="473">
        <v>16520.882000000001</v>
      </c>
      <c r="P7" s="606">
        <v>16520.882000000001</v>
      </c>
      <c r="Q7" s="455">
        <f t="shared" si="2"/>
        <v>2002.0000000004075</v>
      </c>
      <c r="R7" s="455">
        <f t="shared" si="21"/>
        <v>5275.9999999995925</v>
      </c>
      <c r="S7" s="451">
        <v>10080</v>
      </c>
      <c r="T7" s="475">
        <f t="shared" si="3"/>
        <v>2</v>
      </c>
      <c r="U7" s="451">
        <v>414786</v>
      </c>
      <c r="V7" s="455">
        <f t="shared" si="18"/>
        <v>420</v>
      </c>
      <c r="W7" s="451">
        <f t="shared" si="7"/>
        <v>32152</v>
      </c>
      <c r="X7" s="455">
        <f t="shared" si="4"/>
        <v>0</v>
      </c>
      <c r="Y7" s="451">
        <f t="shared" si="8"/>
        <v>693927</v>
      </c>
      <c r="Z7" s="455">
        <f t="shared" si="22"/>
        <v>0</v>
      </c>
      <c r="AA7" s="451">
        <f t="shared" si="9"/>
        <v>35654</v>
      </c>
      <c r="AB7" s="455">
        <f t="shared" si="19"/>
        <v>0</v>
      </c>
      <c r="AC7" s="451">
        <f t="shared" si="10"/>
        <v>909229</v>
      </c>
      <c r="AD7" s="455">
        <f t="shared" si="20"/>
        <v>0</v>
      </c>
      <c r="AE7" s="478">
        <f t="shared" si="11"/>
        <v>2</v>
      </c>
      <c r="AF7" s="479">
        <f t="shared" si="12"/>
        <v>420</v>
      </c>
      <c r="AG7" s="471">
        <f t="shared" si="5"/>
        <v>210</v>
      </c>
      <c r="AI7" s="472">
        <f>R7-'EDl log'!B5</f>
        <v>-783154.00000000047</v>
      </c>
    </row>
    <row r="8" spans="1:115">
      <c r="A8" s="463">
        <f>'General information '!F11</f>
        <v>0</v>
      </c>
      <c r="B8" s="457">
        <f t="shared" si="6"/>
        <v>0</v>
      </c>
      <c r="C8" s="464">
        <v>44202</v>
      </c>
      <c r="D8" s="451">
        <v>32538082</v>
      </c>
      <c r="E8" s="314">
        <f t="shared" si="13"/>
        <v>1992</v>
      </c>
      <c r="F8" s="451">
        <v>3939610</v>
      </c>
      <c r="G8" s="315">
        <f t="shared" si="0"/>
        <v>598</v>
      </c>
      <c r="H8" s="451">
        <v>17758718</v>
      </c>
      <c r="I8" s="315">
        <f t="shared" si="14"/>
        <v>952</v>
      </c>
      <c r="J8" s="451">
        <v>28851456</v>
      </c>
      <c r="K8" s="315">
        <f t="shared" si="15"/>
        <v>1174</v>
      </c>
      <c r="L8" s="451">
        <v>23948770</v>
      </c>
      <c r="M8" s="315">
        <f t="shared" si="16"/>
        <v>2792</v>
      </c>
      <c r="N8" s="313">
        <f t="shared" si="17"/>
        <v>7508</v>
      </c>
      <c r="O8" s="473">
        <f t="shared" si="1"/>
        <v>0</v>
      </c>
      <c r="P8" s="606">
        <v>16524.142</v>
      </c>
      <c r="Q8" s="455">
        <f t="shared" si="2"/>
        <v>3259.9999999983993</v>
      </c>
      <c r="R8" s="455">
        <f t="shared" si="21"/>
        <v>4248.0000000016007</v>
      </c>
      <c r="S8" s="451">
        <v>10084</v>
      </c>
      <c r="T8" s="475">
        <f t="shared" si="3"/>
        <v>4</v>
      </c>
      <c r="U8" s="451">
        <v>415549</v>
      </c>
      <c r="V8" s="455">
        <f t="shared" si="18"/>
        <v>763</v>
      </c>
      <c r="W8" s="451">
        <f t="shared" si="7"/>
        <v>32152</v>
      </c>
      <c r="X8" s="455">
        <f t="shared" si="4"/>
        <v>0</v>
      </c>
      <c r="Y8" s="451">
        <f t="shared" si="8"/>
        <v>693927</v>
      </c>
      <c r="Z8" s="455">
        <f t="shared" si="22"/>
        <v>0</v>
      </c>
      <c r="AA8" s="451">
        <f t="shared" si="9"/>
        <v>35654</v>
      </c>
      <c r="AB8" s="455">
        <f t="shared" si="19"/>
        <v>0</v>
      </c>
      <c r="AC8" s="451">
        <f t="shared" si="10"/>
        <v>909229</v>
      </c>
      <c r="AD8" s="455">
        <f t="shared" si="20"/>
        <v>0</v>
      </c>
      <c r="AE8" s="478">
        <f t="shared" si="11"/>
        <v>4</v>
      </c>
      <c r="AF8" s="479">
        <f t="shared" si="12"/>
        <v>763</v>
      </c>
      <c r="AG8" s="471">
        <f t="shared" si="5"/>
        <v>190.75</v>
      </c>
      <c r="AI8" s="472">
        <f>R8-'EDl log'!B6</f>
        <v>-786329.99999999837</v>
      </c>
    </row>
    <row r="9" spans="1:115">
      <c r="A9" s="463">
        <f>'General information '!F12</f>
        <v>0</v>
      </c>
      <c r="B9" s="457">
        <f t="shared" si="6"/>
        <v>0</v>
      </c>
      <c r="C9" s="464">
        <v>44203</v>
      </c>
      <c r="D9" s="451">
        <v>32539976</v>
      </c>
      <c r="E9" s="314">
        <f t="shared" si="13"/>
        <v>1894</v>
      </c>
      <c r="F9" s="451">
        <v>3940204</v>
      </c>
      <c r="G9" s="315">
        <f t="shared" si="0"/>
        <v>594</v>
      </c>
      <c r="H9" s="451">
        <v>17759666</v>
      </c>
      <c r="I9" s="315">
        <f t="shared" si="14"/>
        <v>948</v>
      </c>
      <c r="J9" s="451">
        <v>28852508</v>
      </c>
      <c r="K9" s="315">
        <f t="shared" si="15"/>
        <v>1052</v>
      </c>
      <c r="L9" s="451">
        <v>23951324</v>
      </c>
      <c r="M9" s="315">
        <f t="shared" si="16"/>
        <v>2554</v>
      </c>
      <c r="N9" s="313">
        <f t="shared" si="17"/>
        <v>7042</v>
      </c>
      <c r="O9" s="473">
        <f t="shared" si="1"/>
        <v>0</v>
      </c>
      <c r="P9" s="606">
        <v>16526.966</v>
      </c>
      <c r="Q9" s="455">
        <f t="shared" si="2"/>
        <v>2824.0000000005239</v>
      </c>
      <c r="R9" s="455">
        <f t="shared" si="21"/>
        <v>4217.9999999994761</v>
      </c>
      <c r="S9" s="451">
        <v>10088</v>
      </c>
      <c r="T9" s="475">
        <f t="shared" si="3"/>
        <v>4</v>
      </c>
      <c r="U9" s="451">
        <v>416283</v>
      </c>
      <c r="V9" s="455">
        <f t="shared" si="18"/>
        <v>734</v>
      </c>
      <c r="W9" s="451">
        <f t="shared" si="7"/>
        <v>32152</v>
      </c>
      <c r="X9" s="455">
        <f t="shared" ref="X9:X32" si="23">W9-W8</f>
        <v>0</v>
      </c>
      <c r="Y9" s="451">
        <f t="shared" si="8"/>
        <v>693927</v>
      </c>
      <c r="Z9" s="455">
        <f t="shared" si="22"/>
        <v>0</v>
      </c>
      <c r="AA9" s="451">
        <f t="shared" si="9"/>
        <v>35654</v>
      </c>
      <c r="AB9" s="455">
        <f t="shared" si="19"/>
        <v>0</v>
      </c>
      <c r="AC9" s="451">
        <f t="shared" si="10"/>
        <v>909229</v>
      </c>
      <c r="AD9" s="455">
        <f t="shared" si="20"/>
        <v>0</v>
      </c>
      <c r="AE9" s="478">
        <f t="shared" si="11"/>
        <v>4</v>
      </c>
      <c r="AF9" s="479">
        <f t="shared" si="12"/>
        <v>734</v>
      </c>
      <c r="AG9" s="471">
        <f t="shared" si="5"/>
        <v>183.5</v>
      </c>
      <c r="AI9" s="472">
        <f>R9-'EDl log'!B7</f>
        <v>-788258.00000000047</v>
      </c>
    </row>
    <row r="10" spans="1:115">
      <c r="A10" s="463">
        <f>'General information '!F13</f>
        <v>0</v>
      </c>
      <c r="B10" s="457">
        <f t="shared" si="6"/>
        <v>0</v>
      </c>
      <c r="C10" s="464">
        <v>44204</v>
      </c>
      <c r="D10" s="451">
        <v>32541716</v>
      </c>
      <c r="E10" s="314">
        <f t="shared" si="13"/>
        <v>1740</v>
      </c>
      <c r="F10" s="451">
        <v>3940789.2</v>
      </c>
      <c r="G10" s="315">
        <f t="shared" si="0"/>
        <v>585.20000000018626</v>
      </c>
      <c r="H10" s="451">
        <v>17760614</v>
      </c>
      <c r="I10" s="315">
        <f t="shared" si="14"/>
        <v>948</v>
      </c>
      <c r="J10" s="451">
        <v>28853490</v>
      </c>
      <c r="K10" s="315">
        <f t="shared" si="15"/>
        <v>982</v>
      </c>
      <c r="L10" s="451">
        <v>23953110</v>
      </c>
      <c r="M10" s="315">
        <f t="shared" si="16"/>
        <v>1786</v>
      </c>
      <c r="N10" s="313">
        <f t="shared" si="17"/>
        <v>6041.2000000001863</v>
      </c>
      <c r="O10" s="473">
        <f t="shared" ref="O10:O32" si="24">IF(B10&gt;0,N10/B10,0)</f>
        <v>0</v>
      </c>
      <c r="P10" s="606">
        <v>16529.838</v>
      </c>
      <c r="Q10" s="455">
        <f t="shared" si="2"/>
        <v>2871.9999999993888</v>
      </c>
      <c r="R10" s="455">
        <f t="shared" si="21"/>
        <v>3169.2000000007974</v>
      </c>
      <c r="S10" s="451">
        <f t="shared" ref="S10:S33" si="25">S9</f>
        <v>10088</v>
      </c>
      <c r="T10" s="475">
        <f t="shared" si="3"/>
        <v>0</v>
      </c>
      <c r="U10" s="451">
        <v>416283</v>
      </c>
      <c r="V10" s="455">
        <f t="shared" si="18"/>
        <v>0</v>
      </c>
      <c r="W10" s="451">
        <f t="shared" si="7"/>
        <v>32152</v>
      </c>
      <c r="X10" s="455">
        <f t="shared" si="23"/>
        <v>0</v>
      </c>
      <c r="Y10" s="451">
        <f t="shared" si="8"/>
        <v>693927</v>
      </c>
      <c r="Z10" s="455">
        <f t="shared" si="22"/>
        <v>0</v>
      </c>
      <c r="AA10" s="451">
        <v>35657</v>
      </c>
      <c r="AB10" s="455">
        <f t="shared" si="19"/>
        <v>3</v>
      </c>
      <c r="AC10" s="451">
        <v>909981</v>
      </c>
      <c r="AD10" s="455">
        <f t="shared" si="20"/>
        <v>752</v>
      </c>
      <c r="AE10" s="478">
        <f t="shared" si="11"/>
        <v>3</v>
      </c>
      <c r="AF10" s="479">
        <f t="shared" si="12"/>
        <v>752</v>
      </c>
      <c r="AG10" s="471">
        <f t="shared" ref="AG10:AG32" si="26">IF(AE10&gt;0,AF10/AE10,0)</f>
        <v>250.66666666666666</v>
      </c>
      <c r="AI10" s="472">
        <f>R10-'EDl log'!B8</f>
        <v>-792193.79999999923</v>
      </c>
    </row>
    <row r="11" spans="1:115">
      <c r="A11" s="463">
        <f>'General information '!F14</f>
        <v>0</v>
      </c>
      <c r="B11" s="457">
        <f>SUM(230*A11)</f>
        <v>0</v>
      </c>
      <c r="C11" s="464">
        <v>44205</v>
      </c>
      <c r="D11" s="451">
        <v>32545124</v>
      </c>
      <c r="E11" s="314">
        <f t="shared" si="13"/>
        <v>3408</v>
      </c>
      <c r="F11" s="451">
        <v>3941330</v>
      </c>
      <c r="G11" s="315">
        <f t="shared" si="0"/>
        <v>540.79999999981374</v>
      </c>
      <c r="H11" s="451">
        <v>17761500</v>
      </c>
      <c r="I11" s="315">
        <f t="shared" si="14"/>
        <v>886</v>
      </c>
      <c r="J11" s="451">
        <v>28854418</v>
      </c>
      <c r="K11" s="315">
        <f t="shared" si="15"/>
        <v>928</v>
      </c>
      <c r="L11" s="451">
        <v>23954882</v>
      </c>
      <c r="M11" s="315">
        <f t="shared" si="16"/>
        <v>1772</v>
      </c>
      <c r="N11" s="313">
        <f>M11+K11+I11+G11+E11</f>
        <v>7534.7999999998137</v>
      </c>
      <c r="O11" s="473">
        <f t="shared" si="24"/>
        <v>0</v>
      </c>
      <c r="P11" s="606">
        <v>16531.835999999999</v>
      </c>
      <c r="Q11" s="455">
        <f t="shared" si="2"/>
        <v>1997.9999999995925</v>
      </c>
      <c r="R11" s="455">
        <f t="shared" si="21"/>
        <v>5536.8000000002212</v>
      </c>
      <c r="S11" s="451">
        <f t="shared" si="25"/>
        <v>10088</v>
      </c>
      <c r="T11" s="475">
        <f t="shared" si="3"/>
        <v>0</v>
      </c>
      <c r="U11" s="451">
        <f t="shared" ref="U11:U33" si="27">U10</f>
        <v>416283</v>
      </c>
      <c r="V11" s="455">
        <f t="shared" si="18"/>
        <v>0</v>
      </c>
      <c r="W11" s="451">
        <f t="shared" si="7"/>
        <v>32152</v>
      </c>
      <c r="X11" s="455">
        <f t="shared" si="23"/>
        <v>0</v>
      </c>
      <c r="Y11" s="451">
        <f t="shared" si="8"/>
        <v>693927</v>
      </c>
      <c r="Z11" s="455">
        <f t="shared" si="22"/>
        <v>0</v>
      </c>
      <c r="AA11" s="451">
        <v>35660</v>
      </c>
      <c r="AB11" s="455">
        <f t="shared" si="19"/>
        <v>3</v>
      </c>
      <c r="AC11" s="451">
        <v>910464</v>
      </c>
      <c r="AD11" s="455">
        <f t="shared" si="20"/>
        <v>483</v>
      </c>
      <c r="AE11" s="478">
        <f t="shared" si="11"/>
        <v>3</v>
      </c>
      <c r="AF11" s="479">
        <f t="shared" si="12"/>
        <v>483</v>
      </c>
      <c r="AG11" s="471">
        <f t="shared" si="26"/>
        <v>161</v>
      </c>
      <c r="AI11" s="472">
        <f>R11-'EDl log'!B9</f>
        <v>-792124.19999999972</v>
      </c>
    </row>
    <row r="12" spans="1:115">
      <c r="A12" s="463">
        <f>'General information '!F15</f>
        <v>0</v>
      </c>
      <c r="B12" s="457">
        <f t="shared" si="6"/>
        <v>0</v>
      </c>
      <c r="C12" s="464">
        <v>44206</v>
      </c>
      <c r="D12" s="451">
        <v>32546956</v>
      </c>
      <c r="E12" s="314">
        <f t="shared" si="13"/>
        <v>1832</v>
      </c>
      <c r="F12" s="451">
        <v>3941831</v>
      </c>
      <c r="G12" s="315">
        <f t="shared" si="0"/>
        <v>501</v>
      </c>
      <c r="H12" s="451">
        <v>17762228</v>
      </c>
      <c r="I12" s="315">
        <f t="shared" si="14"/>
        <v>728</v>
      </c>
      <c r="J12" s="451">
        <v>28855188</v>
      </c>
      <c r="K12" s="315">
        <f t="shared" si="15"/>
        <v>770</v>
      </c>
      <c r="L12" s="451">
        <v>23956862</v>
      </c>
      <c r="M12" s="315">
        <f t="shared" si="16"/>
        <v>1980</v>
      </c>
      <c r="N12" s="313">
        <f>M12+K12+I12+G12+E12</f>
        <v>5811</v>
      </c>
      <c r="O12" s="473">
        <f t="shared" si="24"/>
        <v>0</v>
      </c>
      <c r="P12" s="606">
        <v>16533.275000000001</v>
      </c>
      <c r="Q12" s="455">
        <f t="shared" si="2"/>
        <v>1439.0000000021246</v>
      </c>
      <c r="R12" s="455">
        <f t="shared" si="21"/>
        <v>4371.9999999978754</v>
      </c>
      <c r="S12" s="451">
        <f t="shared" si="25"/>
        <v>10088</v>
      </c>
      <c r="T12" s="475">
        <f t="shared" si="3"/>
        <v>0</v>
      </c>
      <c r="U12" s="451">
        <f t="shared" si="27"/>
        <v>416283</v>
      </c>
      <c r="V12" s="455">
        <f t="shared" si="18"/>
        <v>0</v>
      </c>
      <c r="W12" s="451">
        <f t="shared" si="7"/>
        <v>32152</v>
      </c>
      <c r="X12" s="455">
        <f t="shared" si="23"/>
        <v>0</v>
      </c>
      <c r="Y12" s="451">
        <f t="shared" si="8"/>
        <v>693927</v>
      </c>
      <c r="Z12" s="455">
        <f t="shared" si="22"/>
        <v>0</v>
      </c>
      <c r="AA12" s="451">
        <v>35661</v>
      </c>
      <c r="AB12" s="455">
        <f t="shared" si="19"/>
        <v>1</v>
      </c>
      <c r="AC12" s="451">
        <v>910797</v>
      </c>
      <c r="AD12" s="455">
        <f t="shared" si="20"/>
        <v>333</v>
      </c>
      <c r="AE12" s="478">
        <f t="shared" si="11"/>
        <v>1</v>
      </c>
      <c r="AF12" s="479">
        <f t="shared" si="12"/>
        <v>333</v>
      </c>
      <c r="AG12" s="471">
        <f t="shared" si="26"/>
        <v>333</v>
      </c>
      <c r="AI12" s="472">
        <f>R12-'EDl log'!B10</f>
        <v>-795575.0000000021</v>
      </c>
    </row>
    <row r="13" spans="1:115">
      <c r="A13" s="463">
        <f>'General information '!F16</f>
        <v>0</v>
      </c>
      <c r="B13" s="457">
        <f t="shared" si="6"/>
        <v>0</v>
      </c>
      <c r="C13" s="464">
        <v>44207</v>
      </c>
      <c r="D13" s="451">
        <v>32549158</v>
      </c>
      <c r="E13" s="314">
        <f t="shared" si="13"/>
        <v>2202</v>
      </c>
      <c r="F13" s="451">
        <v>3942392</v>
      </c>
      <c r="G13" s="315">
        <f t="shared" si="0"/>
        <v>561</v>
      </c>
      <c r="H13" s="451">
        <v>17763126</v>
      </c>
      <c r="I13" s="315">
        <f t="shared" si="14"/>
        <v>898</v>
      </c>
      <c r="J13" s="451">
        <v>28856182</v>
      </c>
      <c r="K13" s="315">
        <f t="shared" si="15"/>
        <v>994</v>
      </c>
      <c r="L13" s="451">
        <v>23958712</v>
      </c>
      <c r="M13" s="315">
        <f t="shared" si="16"/>
        <v>1850</v>
      </c>
      <c r="N13" s="313">
        <f t="shared" si="17"/>
        <v>6505</v>
      </c>
      <c r="O13" s="473">
        <f t="shared" si="24"/>
        <v>0</v>
      </c>
      <c r="P13" s="606">
        <v>16535.309000000001</v>
      </c>
      <c r="Q13" s="455">
        <f>(P13-P12)*1000</f>
        <v>2033.9999999996508</v>
      </c>
      <c r="R13" s="455">
        <f t="shared" ref="R13" si="28">N13-Q13</f>
        <v>4471.0000000003492</v>
      </c>
      <c r="S13" s="451">
        <f t="shared" si="25"/>
        <v>10088</v>
      </c>
      <c r="T13" s="475">
        <f t="shared" si="3"/>
        <v>0</v>
      </c>
      <c r="U13" s="451">
        <f t="shared" si="27"/>
        <v>416283</v>
      </c>
      <c r="V13" s="455">
        <f t="shared" si="18"/>
        <v>0</v>
      </c>
      <c r="W13" s="451">
        <f t="shared" si="7"/>
        <v>32152</v>
      </c>
      <c r="X13" s="455">
        <f t="shared" si="23"/>
        <v>0</v>
      </c>
      <c r="Y13" s="451">
        <f t="shared" si="8"/>
        <v>693927</v>
      </c>
      <c r="Z13" s="455">
        <f t="shared" si="22"/>
        <v>0</v>
      </c>
      <c r="AA13" s="451">
        <v>35664</v>
      </c>
      <c r="AB13" s="455">
        <f t="shared" si="19"/>
        <v>3</v>
      </c>
      <c r="AC13" s="451">
        <v>911261</v>
      </c>
      <c r="AD13" s="455">
        <f t="shared" si="20"/>
        <v>464</v>
      </c>
      <c r="AE13" s="478">
        <f t="shared" si="11"/>
        <v>3</v>
      </c>
      <c r="AF13" s="479">
        <f t="shared" si="12"/>
        <v>464</v>
      </c>
      <c r="AG13" s="471">
        <f t="shared" si="26"/>
        <v>154.66666666666666</v>
      </c>
      <c r="AI13" s="472">
        <f>R13-'EDl log'!B11</f>
        <v>-797738.99999999965</v>
      </c>
    </row>
    <row r="14" spans="1:115">
      <c r="A14" s="463">
        <f>'General information '!F17</f>
        <v>0</v>
      </c>
      <c r="B14" s="457">
        <f t="shared" si="6"/>
        <v>0</v>
      </c>
      <c r="C14" s="464">
        <v>44208</v>
      </c>
      <c r="D14" s="451">
        <v>32550812</v>
      </c>
      <c r="E14" s="314">
        <f t="shared" si="13"/>
        <v>1654</v>
      </c>
      <c r="F14" s="451">
        <v>3942981</v>
      </c>
      <c r="G14" s="315">
        <f t="shared" si="0"/>
        <v>589</v>
      </c>
      <c r="H14" s="451">
        <v>17763996</v>
      </c>
      <c r="I14" s="315">
        <f t="shared" si="14"/>
        <v>870</v>
      </c>
      <c r="J14" s="451">
        <v>28857584</v>
      </c>
      <c r="K14" s="315">
        <f t="shared" si="15"/>
        <v>1402</v>
      </c>
      <c r="L14" s="451">
        <v>23960708</v>
      </c>
      <c r="M14" s="315">
        <f t="shared" si="16"/>
        <v>1996</v>
      </c>
      <c r="N14" s="313">
        <f t="shared" si="17"/>
        <v>6511</v>
      </c>
      <c r="O14" s="473">
        <f t="shared" si="24"/>
        <v>0</v>
      </c>
      <c r="P14" s="606">
        <v>16537.288</v>
      </c>
      <c r="Q14" s="455">
        <f t="shared" ref="Q14:Q33" si="29">(P14-P13)*1000</f>
        <v>1978.9999999993597</v>
      </c>
      <c r="R14" s="455">
        <f t="shared" ref="R14:R33" si="30">N14-Q14</f>
        <v>4532.0000000006403</v>
      </c>
      <c r="S14" s="451">
        <f t="shared" si="25"/>
        <v>10088</v>
      </c>
      <c r="T14" s="475">
        <f t="shared" si="3"/>
        <v>0</v>
      </c>
      <c r="U14" s="451">
        <f t="shared" si="27"/>
        <v>416283</v>
      </c>
      <c r="V14" s="455">
        <f t="shared" si="18"/>
        <v>0</v>
      </c>
      <c r="W14" s="451">
        <v>32155</v>
      </c>
      <c r="X14" s="455">
        <f t="shared" si="23"/>
        <v>3</v>
      </c>
      <c r="Y14" s="451">
        <v>694394</v>
      </c>
      <c r="Z14" s="455">
        <f t="shared" si="22"/>
        <v>467</v>
      </c>
      <c r="AA14" s="451">
        <f t="shared" si="9"/>
        <v>35664</v>
      </c>
      <c r="AB14" s="455">
        <f t="shared" si="19"/>
        <v>0</v>
      </c>
      <c r="AC14" s="451">
        <v>911261</v>
      </c>
      <c r="AD14" s="455">
        <f t="shared" si="20"/>
        <v>0</v>
      </c>
      <c r="AE14" s="478">
        <f t="shared" si="11"/>
        <v>3</v>
      </c>
      <c r="AF14" s="479">
        <f t="shared" si="12"/>
        <v>467</v>
      </c>
      <c r="AG14" s="471">
        <f t="shared" si="26"/>
        <v>155.66666666666666</v>
      </c>
      <c r="AI14" s="472">
        <f>R14-'EDl log'!B12</f>
        <v>-800110.9999999993</v>
      </c>
    </row>
    <row r="15" spans="1:115">
      <c r="A15" s="463">
        <f>'General information '!F18</f>
        <v>0</v>
      </c>
      <c r="B15" s="457">
        <f t="shared" si="6"/>
        <v>0</v>
      </c>
      <c r="C15" s="464">
        <v>44209</v>
      </c>
      <c r="D15" s="451">
        <v>32552392</v>
      </c>
      <c r="E15" s="314">
        <f t="shared" si="13"/>
        <v>1580</v>
      </c>
      <c r="F15" s="451">
        <v>3943610</v>
      </c>
      <c r="G15" s="315">
        <f t="shared" si="0"/>
        <v>629</v>
      </c>
      <c r="H15" s="451">
        <v>17764850</v>
      </c>
      <c r="I15" s="315">
        <f t="shared" si="14"/>
        <v>854</v>
      </c>
      <c r="J15" s="451">
        <v>28858862</v>
      </c>
      <c r="K15" s="315">
        <f t="shared" si="15"/>
        <v>1278</v>
      </c>
      <c r="L15" s="451">
        <v>23962706</v>
      </c>
      <c r="M15" s="315">
        <f t="shared" si="16"/>
        <v>1998</v>
      </c>
      <c r="N15" s="313">
        <f t="shared" si="17"/>
        <v>6339</v>
      </c>
      <c r="O15" s="473">
        <f t="shared" si="24"/>
        <v>0</v>
      </c>
      <c r="P15" s="606">
        <v>16538.830999999998</v>
      </c>
      <c r="Q15" s="455">
        <f t="shared" si="29"/>
        <v>1542.9999999978463</v>
      </c>
      <c r="R15" s="455">
        <f t="shared" si="30"/>
        <v>4796.0000000021537</v>
      </c>
      <c r="S15" s="451">
        <v>10088</v>
      </c>
      <c r="T15" s="475">
        <f t="shared" si="3"/>
        <v>0</v>
      </c>
      <c r="U15" s="451">
        <f t="shared" si="27"/>
        <v>416283</v>
      </c>
      <c r="V15" s="455">
        <f t="shared" si="18"/>
        <v>0</v>
      </c>
      <c r="W15" s="451">
        <v>32156</v>
      </c>
      <c r="X15" s="455">
        <f t="shared" si="23"/>
        <v>1</v>
      </c>
      <c r="Y15" s="451">
        <v>694828</v>
      </c>
      <c r="Z15" s="455">
        <f t="shared" si="22"/>
        <v>434</v>
      </c>
      <c r="AA15" s="451">
        <f t="shared" si="9"/>
        <v>35664</v>
      </c>
      <c r="AB15" s="455">
        <f t="shared" si="19"/>
        <v>0</v>
      </c>
      <c r="AC15" s="451">
        <f t="shared" si="10"/>
        <v>911261</v>
      </c>
      <c r="AD15" s="455">
        <f t="shared" si="20"/>
        <v>0</v>
      </c>
      <c r="AE15" s="478">
        <f t="shared" si="11"/>
        <v>1</v>
      </c>
      <c r="AF15" s="479">
        <f t="shared" si="12"/>
        <v>434</v>
      </c>
      <c r="AG15" s="471">
        <f t="shared" si="26"/>
        <v>434</v>
      </c>
      <c r="AI15" s="472">
        <f>R15-'EDl log'!B13</f>
        <v>-802188.9999999979</v>
      </c>
    </row>
    <row r="16" spans="1:115">
      <c r="A16" s="463">
        <f>'General information '!F19</f>
        <v>0</v>
      </c>
      <c r="B16" s="457">
        <f t="shared" si="6"/>
        <v>0</v>
      </c>
      <c r="C16" s="464">
        <v>44210</v>
      </c>
      <c r="D16" s="451">
        <v>32554390</v>
      </c>
      <c r="E16" s="314">
        <f t="shared" si="13"/>
        <v>1998</v>
      </c>
      <c r="F16" s="451">
        <v>3944218.4</v>
      </c>
      <c r="G16" s="315">
        <f t="shared" si="0"/>
        <v>608.39999999990687</v>
      </c>
      <c r="H16" s="451">
        <v>17765734</v>
      </c>
      <c r="I16" s="315">
        <f t="shared" si="14"/>
        <v>884</v>
      </c>
      <c r="J16" s="451">
        <v>28860008</v>
      </c>
      <c r="K16" s="315">
        <f t="shared" si="15"/>
        <v>1146</v>
      </c>
      <c r="L16" s="451">
        <v>23964992</v>
      </c>
      <c r="M16" s="315">
        <f t="shared" si="16"/>
        <v>2286</v>
      </c>
      <c r="N16" s="313">
        <f t="shared" si="17"/>
        <v>6922.3999999999069</v>
      </c>
      <c r="O16" s="473">
        <f t="shared" si="24"/>
        <v>0</v>
      </c>
      <c r="P16" s="606">
        <v>16540.633000000002</v>
      </c>
      <c r="Q16" s="455">
        <f t="shared" si="29"/>
        <v>1802.0000000033178</v>
      </c>
      <c r="R16" s="455">
        <f t="shared" si="30"/>
        <v>5120.399999996589</v>
      </c>
      <c r="S16" s="451">
        <f t="shared" si="25"/>
        <v>10088</v>
      </c>
      <c r="T16" s="475">
        <f t="shared" si="3"/>
        <v>0</v>
      </c>
      <c r="U16" s="451">
        <f t="shared" si="27"/>
        <v>416283</v>
      </c>
      <c r="V16" s="455">
        <f t="shared" si="18"/>
        <v>0</v>
      </c>
      <c r="W16" s="451">
        <v>32157</v>
      </c>
      <c r="X16" s="455">
        <f>W16-W15</f>
        <v>1</v>
      </c>
      <c r="Y16" s="451">
        <v>695046</v>
      </c>
      <c r="Z16" s="455">
        <f>Y16-Y15</f>
        <v>218</v>
      </c>
      <c r="AA16" s="451">
        <v>35665</v>
      </c>
      <c r="AB16" s="455">
        <f>AA16-AA15</f>
        <v>1</v>
      </c>
      <c r="AC16" s="451">
        <v>911429</v>
      </c>
      <c r="AD16" s="455">
        <f t="shared" si="20"/>
        <v>168</v>
      </c>
      <c r="AE16" s="478">
        <f t="shared" si="11"/>
        <v>2</v>
      </c>
      <c r="AF16" s="479">
        <f t="shared" si="12"/>
        <v>386</v>
      </c>
      <c r="AG16" s="471">
        <f t="shared" si="26"/>
        <v>193</v>
      </c>
      <c r="AI16" s="472">
        <f>R16-'EDl log'!B14</f>
        <v>-804253.60000000335</v>
      </c>
    </row>
    <row r="17" spans="1:35">
      <c r="A17" s="463">
        <f>'General information '!F20</f>
        <v>0</v>
      </c>
      <c r="B17" s="457">
        <f t="shared" si="6"/>
        <v>0</v>
      </c>
      <c r="C17" s="464">
        <v>44211</v>
      </c>
      <c r="D17" s="451">
        <v>32556002</v>
      </c>
      <c r="E17" s="314">
        <f t="shared" si="13"/>
        <v>1612</v>
      </c>
      <c r="F17" s="451">
        <v>3944850</v>
      </c>
      <c r="G17" s="315">
        <f t="shared" si="0"/>
        <v>631.60000000009313</v>
      </c>
      <c r="H17" s="451">
        <v>17766578</v>
      </c>
      <c r="I17" s="315">
        <f t="shared" si="14"/>
        <v>844</v>
      </c>
      <c r="J17" s="451">
        <v>28861424</v>
      </c>
      <c r="K17" s="315">
        <f t="shared" si="15"/>
        <v>1416</v>
      </c>
      <c r="L17" s="451">
        <v>23967006</v>
      </c>
      <c r="M17" s="315">
        <f t="shared" si="16"/>
        <v>2014</v>
      </c>
      <c r="N17" s="313">
        <f t="shared" si="17"/>
        <v>6517.6000000000931</v>
      </c>
      <c r="O17" s="473">
        <f t="shared" si="24"/>
        <v>0</v>
      </c>
      <c r="P17" s="606">
        <v>16542.667000000001</v>
      </c>
      <c r="Q17" s="455">
        <f t="shared" si="29"/>
        <v>2033.9999999996508</v>
      </c>
      <c r="R17" s="455">
        <f t="shared" si="30"/>
        <v>4483.6000000004424</v>
      </c>
      <c r="S17" s="451">
        <f t="shared" si="25"/>
        <v>10088</v>
      </c>
      <c r="T17" s="475">
        <f t="shared" si="3"/>
        <v>0</v>
      </c>
      <c r="U17" s="451">
        <f t="shared" si="27"/>
        <v>416283</v>
      </c>
      <c r="V17" s="455">
        <f t="shared" si="18"/>
        <v>0</v>
      </c>
      <c r="W17" s="451">
        <v>32160</v>
      </c>
      <c r="X17" s="455">
        <f t="shared" si="23"/>
        <v>3</v>
      </c>
      <c r="Y17" s="451">
        <v>695468</v>
      </c>
      <c r="Z17" s="455">
        <f t="shared" si="22"/>
        <v>422</v>
      </c>
      <c r="AA17" s="451">
        <f t="shared" si="9"/>
        <v>35665</v>
      </c>
      <c r="AB17" s="455">
        <f t="shared" si="19"/>
        <v>0</v>
      </c>
      <c r="AC17" s="451">
        <f t="shared" si="10"/>
        <v>911429</v>
      </c>
      <c r="AD17" s="455">
        <f t="shared" ref="AD17:AD32" si="31">AC17-AC16</f>
        <v>0</v>
      </c>
      <c r="AE17" s="478">
        <f t="shared" si="11"/>
        <v>3</v>
      </c>
      <c r="AF17" s="479">
        <f t="shared" si="12"/>
        <v>422</v>
      </c>
      <c r="AG17" s="471">
        <f t="shared" si="26"/>
        <v>140.66666666666666</v>
      </c>
      <c r="AI17" s="472">
        <f>R17-'EDl log'!B15</f>
        <v>-807340.39999999956</v>
      </c>
    </row>
    <row r="18" spans="1:35">
      <c r="A18" s="463">
        <f>'General information '!F21</f>
        <v>0</v>
      </c>
      <c r="B18" s="457">
        <f t="shared" si="6"/>
        <v>0</v>
      </c>
      <c r="C18" s="464">
        <v>44212</v>
      </c>
      <c r="D18" s="451">
        <v>32557966</v>
      </c>
      <c r="E18" s="314">
        <f t="shared" si="13"/>
        <v>1964</v>
      </c>
      <c r="F18" s="451">
        <v>3945485</v>
      </c>
      <c r="G18" s="315">
        <f t="shared" si="0"/>
        <v>635</v>
      </c>
      <c r="H18" s="451">
        <v>17767442</v>
      </c>
      <c r="I18" s="315">
        <f t="shared" si="14"/>
        <v>864</v>
      </c>
      <c r="J18" s="451">
        <v>28863266</v>
      </c>
      <c r="K18" s="315">
        <f t="shared" si="15"/>
        <v>1842</v>
      </c>
      <c r="L18" s="451">
        <v>23968754</v>
      </c>
      <c r="M18" s="315">
        <f t="shared" si="16"/>
        <v>1748</v>
      </c>
      <c r="N18" s="313">
        <f t="shared" si="17"/>
        <v>7053</v>
      </c>
      <c r="O18" s="473">
        <f t="shared" si="24"/>
        <v>0</v>
      </c>
      <c r="P18" s="606">
        <v>16545.800999999999</v>
      </c>
      <c r="Q18" s="455">
        <f t="shared" si="29"/>
        <v>3133.9999999981956</v>
      </c>
      <c r="R18" s="455">
        <f t="shared" si="30"/>
        <v>3919.0000000018044</v>
      </c>
      <c r="S18" s="451">
        <f t="shared" si="25"/>
        <v>10088</v>
      </c>
      <c r="T18" s="475">
        <f t="shared" si="3"/>
        <v>0</v>
      </c>
      <c r="U18" s="451">
        <f t="shared" si="27"/>
        <v>416283</v>
      </c>
      <c r="V18" s="455">
        <f t="shared" si="18"/>
        <v>0</v>
      </c>
      <c r="W18" s="451">
        <v>32165</v>
      </c>
      <c r="X18" s="455">
        <f t="shared" si="23"/>
        <v>5</v>
      </c>
      <c r="Y18" s="451">
        <v>696178</v>
      </c>
      <c r="Z18" s="455">
        <f t="shared" si="22"/>
        <v>710</v>
      </c>
      <c r="AA18" s="451">
        <f t="shared" si="9"/>
        <v>35665</v>
      </c>
      <c r="AB18" s="455">
        <f t="shared" si="19"/>
        <v>0</v>
      </c>
      <c r="AC18" s="451">
        <f t="shared" si="10"/>
        <v>911429</v>
      </c>
      <c r="AD18" s="455">
        <f t="shared" si="31"/>
        <v>0</v>
      </c>
      <c r="AE18" s="478">
        <f t="shared" si="11"/>
        <v>5</v>
      </c>
      <c r="AF18" s="479">
        <f t="shared" si="12"/>
        <v>710</v>
      </c>
      <c r="AG18" s="471">
        <f t="shared" si="26"/>
        <v>142</v>
      </c>
      <c r="AI18" s="472">
        <f>R18-'EDl log'!B16</f>
        <v>-810468.99999999814</v>
      </c>
    </row>
    <row r="19" spans="1:35">
      <c r="A19" s="463">
        <f>'General information '!F22</f>
        <v>0</v>
      </c>
      <c r="B19" s="457">
        <f t="shared" si="6"/>
        <v>0</v>
      </c>
      <c r="C19" s="464">
        <v>44213</v>
      </c>
      <c r="D19" s="451">
        <v>32559362</v>
      </c>
      <c r="E19" s="314">
        <f t="shared" si="13"/>
        <v>1396</v>
      </c>
      <c r="F19" s="451">
        <v>3946035.6</v>
      </c>
      <c r="G19" s="315">
        <f t="shared" si="0"/>
        <v>550.60000000009313</v>
      </c>
      <c r="H19" s="451">
        <v>17768194</v>
      </c>
      <c r="I19" s="315">
        <f t="shared" si="14"/>
        <v>752</v>
      </c>
      <c r="J19" s="451">
        <v>28864038</v>
      </c>
      <c r="K19" s="315">
        <f t="shared" si="15"/>
        <v>772</v>
      </c>
      <c r="L19" s="451">
        <v>23970362</v>
      </c>
      <c r="M19" s="315">
        <f t="shared" si="16"/>
        <v>1608</v>
      </c>
      <c r="N19" s="313">
        <f t="shared" si="17"/>
        <v>5078.6000000000931</v>
      </c>
      <c r="O19" s="473">
        <f t="shared" si="24"/>
        <v>0</v>
      </c>
      <c r="P19" s="606">
        <v>16546.762999999999</v>
      </c>
      <c r="Q19" s="455">
        <f t="shared" si="29"/>
        <v>961.99999999953434</v>
      </c>
      <c r="R19" s="455">
        <f t="shared" si="30"/>
        <v>4116.6000000005588</v>
      </c>
      <c r="S19" s="451">
        <v>10089</v>
      </c>
      <c r="T19" s="475">
        <f t="shared" si="3"/>
        <v>1</v>
      </c>
      <c r="U19" s="451">
        <v>416576</v>
      </c>
      <c r="V19" s="455">
        <f t="shared" si="18"/>
        <v>293</v>
      </c>
      <c r="W19" s="451">
        <f t="shared" si="7"/>
        <v>32165</v>
      </c>
      <c r="X19" s="455">
        <f t="shared" si="23"/>
        <v>0</v>
      </c>
      <c r="Y19" s="451">
        <f t="shared" si="8"/>
        <v>696178</v>
      </c>
      <c r="Z19" s="455">
        <f t="shared" si="22"/>
        <v>0</v>
      </c>
      <c r="AA19" s="451">
        <f t="shared" si="9"/>
        <v>35665</v>
      </c>
      <c r="AB19" s="455">
        <f t="shared" si="19"/>
        <v>0</v>
      </c>
      <c r="AC19" s="451">
        <f t="shared" si="10"/>
        <v>911429</v>
      </c>
      <c r="AD19" s="455">
        <f t="shared" si="31"/>
        <v>0</v>
      </c>
      <c r="AE19" s="478">
        <f t="shared" si="11"/>
        <v>1</v>
      </c>
      <c r="AF19" s="479">
        <f t="shared" si="12"/>
        <v>293</v>
      </c>
      <c r="AG19" s="471">
        <f t="shared" si="26"/>
        <v>293</v>
      </c>
      <c r="AI19" s="472">
        <f>R19-'EDl log'!B17</f>
        <v>-813003.39999999944</v>
      </c>
    </row>
    <row r="20" spans="1:35">
      <c r="A20" s="463">
        <f>'General information '!F23</f>
        <v>0</v>
      </c>
      <c r="B20" s="457">
        <f t="shared" si="6"/>
        <v>0</v>
      </c>
      <c r="C20" s="464">
        <v>44214</v>
      </c>
      <c r="D20" s="451">
        <v>32561030</v>
      </c>
      <c r="E20" s="314">
        <f t="shared" si="13"/>
        <v>1668</v>
      </c>
      <c r="F20" s="451">
        <v>3946597.2</v>
      </c>
      <c r="G20" s="315">
        <f t="shared" si="0"/>
        <v>561.60000000009313</v>
      </c>
      <c r="H20" s="451">
        <v>17768966</v>
      </c>
      <c r="I20" s="315">
        <f t="shared" si="14"/>
        <v>772</v>
      </c>
      <c r="J20" s="451">
        <v>28864924</v>
      </c>
      <c r="K20" s="315">
        <f t="shared" si="15"/>
        <v>886</v>
      </c>
      <c r="L20" s="451">
        <v>23972410</v>
      </c>
      <c r="M20" s="315">
        <f t="shared" si="16"/>
        <v>2048</v>
      </c>
      <c r="N20" s="313">
        <f t="shared" si="17"/>
        <v>5935.6000000000931</v>
      </c>
      <c r="O20" s="473">
        <f t="shared" si="24"/>
        <v>0</v>
      </c>
      <c r="P20" s="606">
        <v>16548.592000000001</v>
      </c>
      <c r="Q20" s="455">
        <f t="shared" si="29"/>
        <v>1829.0000000015425</v>
      </c>
      <c r="R20" s="455">
        <f t="shared" si="30"/>
        <v>4106.5999999985506</v>
      </c>
      <c r="S20" s="451">
        <v>10092</v>
      </c>
      <c r="T20" s="475">
        <f t="shared" si="3"/>
        <v>3</v>
      </c>
      <c r="U20" s="451">
        <v>416971</v>
      </c>
      <c r="V20" s="455">
        <f t="shared" si="18"/>
        <v>395</v>
      </c>
      <c r="W20" s="451">
        <f t="shared" si="7"/>
        <v>32165</v>
      </c>
      <c r="X20" s="455">
        <f t="shared" si="23"/>
        <v>0</v>
      </c>
      <c r="Y20" s="451">
        <f t="shared" si="8"/>
        <v>696178</v>
      </c>
      <c r="Z20" s="455">
        <f t="shared" si="22"/>
        <v>0</v>
      </c>
      <c r="AA20" s="451">
        <f t="shared" si="9"/>
        <v>35665</v>
      </c>
      <c r="AB20" s="455">
        <f t="shared" si="19"/>
        <v>0</v>
      </c>
      <c r="AC20" s="451">
        <f t="shared" si="10"/>
        <v>911429</v>
      </c>
      <c r="AD20" s="455">
        <f t="shared" si="31"/>
        <v>0</v>
      </c>
      <c r="AE20" s="478">
        <f t="shared" si="11"/>
        <v>3</v>
      </c>
      <c r="AF20" s="479">
        <f t="shared" si="12"/>
        <v>395</v>
      </c>
      <c r="AG20" s="471">
        <f t="shared" si="26"/>
        <v>131.66666666666666</v>
      </c>
      <c r="AI20" s="472">
        <f>R20-'EDl log'!B18</f>
        <v>-815421.40000000142</v>
      </c>
    </row>
    <row r="21" spans="1:35">
      <c r="A21" s="463">
        <f>'General information '!F24</f>
        <v>0</v>
      </c>
      <c r="B21" s="457">
        <f t="shared" si="6"/>
        <v>0</v>
      </c>
      <c r="C21" s="464">
        <v>44215</v>
      </c>
      <c r="D21" s="451">
        <f t="shared" ref="D20:D33" si="32">D20</f>
        <v>32561030</v>
      </c>
      <c r="E21" s="314">
        <f t="shared" si="13"/>
        <v>0</v>
      </c>
      <c r="F21" s="451">
        <f t="shared" ref="F20:F33" si="33">F20</f>
        <v>3946597.2</v>
      </c>
      <c r="G21" s="315">
        <f t="shared" si="0"/>
        <v>0</v>
      </c>
      <c r="H21" s="451">
        <f t="shared" ref="H20:H33" si="34">H20</f>
        <v>17768966</v>
      </c>
      <c r="I21" s="315">
        <f t="shared" si="14"/>
        <v>0</v>
      </c>
      <c r="J21" s="451">
        <f t="shared" ref="J20:J33" si="35">J20</f>
        <v>28864924</v>
      </c>
      <c r="K21" s="315">
        <f t="shared" si="15"/>
        <v>0</v>
      </c>
      <c r="L21" s="451">
        <f t="shared" ref="L20:L33" si="36">L20</f>
        <v>23972410</v>
      </c>
      <c r="M21" s="315">
        <f t="shared" si="16"/>
        <v>0</v>
      </c>
      <c r="N21" s="313">
        <f t="shared" si="17"/>
        <v>0</v>
      </c>
      <c r="O21" s="473">
        <f t="shared" si="24"/>
        <v>0</v>
      </c>
      <c r="P21" s="606">
        <f t="shared" ref="P20:P33" si="37">P20</f>
        <v>16548.592000000001</v>
      </c>
      <c r="Q21" s="455">
        <f t="shared" si="29"/>
        <v>0</v>
      </c>
      <c r="R21" s="455">
        <f t="shared" si="30"/>
        <v>0</v>
      </c>
      <c r="S21" s="451">
        <f t="shared" si="25"/>
        <v>10092</v>
      </c>
      <c r="T21" s="475">
        <f t="shared" si="3"/>
        <v>0</v>
      </c>
      <c r="U21" s="451">
        <f t="shared" si="27"/>
        <v>416971</v>
      </c>
      <c r="V21" s="455">
        <f t="shared" si="18"/>
        <v>0</v>
      </c>
      <c r="W21" s="451">
        <f t="shared" si="7"/>
        <v>32165</v>
      </c>
      <c r="X21" s="455">
        <f t="shared" si="23"/>
        <v>0</v>
      </c>
      <c r="Y21" s="451">
        <f t="shared" si="8"/>
        <v>696178</v>
      </c>
      <c r="Z21" s="455">
        <f t="shared" si="22"/>
        <v>0</v>
      </c>
      <c r="AA21" s="451">
        <f t="shared" si="9"/>
        <v>35665</v>
      </c>
      <c r="AB21" s="455">
        <f t="shared" si="19"/>
        <v>0</v>
      </c>
      <c r="AC21" s="451">
        <f t="shared" si="10"/>
        <v>911429</v>
      </c>
      <c r="AD21" s="455">
        <f t="shared" si="31"/>
        <v>0</v>
      </c>
      <c r="AE21" s="478">
        <f t="shared" si="11"/>
        <v>0</v>
      </c>
      <c r="AF21" s="479">
        <f t="shared" si="12"/>
        <v>0</v>
      </c>
      <c r="AG21" s="471">
        <f t="shared" si="26"/>
        <v>0</v>
      </c>
      <c r="AI21" s="472">
        <f>R21-'EDl log'!B19</f>
        <v>-821652</v>
      </c>
    </row>
    <row r="22" spans="1:35">
      <c r="A22" s="463">
        <f>'General information '!F25</f>
        <v>0</v>
      </c>
      <c r="B22" s="457">
        <f t="shared" si="6"/>
        <v>0</v>
      </c>
      <c r="C22" s="464">
        <v>44216</v>
      </c>
      <c r="D22" s="451">
        <f t="shared" si="32"/>
        <v>32561030</v>
      </c>
      <c r="E22" s="314">
        <f t="shared" si="13"/>
        <v>0</v>
      </c>
      <c r="F22" s="451">
        <f t="shared" si="33"/>
        <v>3946597.2</v>
      </c>
      <c r="G22" s="315">
        <f t="shared" si="0"/>
        <v>0</v>
      </c>
      <c r="H22" s="451">
        <f t="shared" si="34"/>
        <v>17768966</v>
      </c>
      <c r="I22" s="315">
        <f t="shared" si="14"/>
        <v>0</v>
      </c>
      <c r="J22" s="451">
        <f t="shared" si="35"/>
        <v>28864924</v>
      </c>
      <c r="K22" s="315">
        <f t="shared" si="15"/>
        <v>0</v>
      </c>
      <c r="L22" s="451">
        <f t="shared" si="36"/>
        <v>23972410</v>
      </c>
      <c r="M22" s="315">
        <f t="shared" si="16"/>
        <v>0</v>
      </c>
      <c r="N22" s="313">
        <f t="shared" si="17"/>
        <v>0</v>
      </c>
      <c r="O22" s="473">
        <f t="shared" si="24"/>
        <v>0</v>
      </c>
      <c r="P22" s="606">
        <f t="shared" si="37"/>
        <v>16548.592000000001</v>
      </c>
      <c r="Q22" s="455">
        <f t="shared" si="29"/>
        <v>0</v>
      </c>
      <c r="R22" s="455">
        <f t="shared" si="30"/>
        <v>0</v>
      </c>
      <c r="S22" s="451">
        <f t="shared" si="25"/>
        <v>10092</v>
      </c>
      <c r="T22" s="475">
        <f t="shared" si="3"/>
        <v>0</v>
      </c>
      <c r="U22" s="451">
        <f t="shared" si="27"/>
        <v>416971</v>
      </c>
      <c r="V22" s="455">
        <f t="shared" si="18"/>
        <v>0</v>
      </c>
      <c r="W22" s="451">
        <f t="shared" si="7"/>
        <v>32165</v>
      </c>
      <c r="X22" s="455">
        <f t="shared" si="23"/>
        <v>0</v>
      </c>
      <c r="Y22" s="451">
        <f t="shared" si="8"/>
        <v>696178</v>
      </c>
      <c r="Z22" s="455">
        <f t="shared" si="22"/>
        <v>0</v>
      </c>
      <c r="AA22" s="451">
        <f t="shared" si="9"/>
        <v>35665</v>
      </c>
      <c r="AB22" s="455">
        <f t="shared" si="19"/>
        <v>0</v>
      </c>
      <c r="AC22" s="451">
        <f t="shared" si="10"/>
        <v>911429</v>
      </c>
      <c r="AD22" s="455">
        <f t="shared" si="31"/>
        <v>0</v>
      </c>
      <c r="AE22" s="478">
        <f t="shared" si="11"/>
        <v>0</v>
      </c>
      <c r="AF22" s="479">
        <f t="shared" si="12"/>
        <v>0</v>
      </c>
      <c r="AG22" s="471">
        <f t="shared" si="26"/>
        <v>0</v>
      </c>
      <c r="AI22" s="472">
        <f>R22-'EDl log'!B20</f>
        <v>-823890</v>
      </c>
    </row>
    <row r="23" spans="1:35">
      <c r="A23" s="463">
        <f>'General information '!F26</f>
        <v>0</v>
      </c>
      <c r="B23" s="457">
        <f t="shared" si="6"/>
        <v>0</v>
      </c>
      <c r="C23" s="464">
        <v>44217</v>
      </c>
      <c r="D23" s="451">
        <f t="shared" si="32"/>
        <v>32561030</v>
      </c>
      <c r="E23" s="314">
        <f t="shared" si="13"/>
        <v>0</v>
      </c>
      <c r="F23" s="451">
        <f t="shared" si="33"/>
        <v>3946597.2</v>
      </c>
      <c r="G23" s="315">
        <f t="shared" si="0"/>
        <v>0</v>
      </c>
      <c r="H23" s="451">
        <f t="shared" si="34"/>
        <v>17768966</v>
      </c>
      <c r="I23" s="444">
        <f t="shared" si="14"/>
        <v>0</v>
      </c>
      <c r="J23" s="451">
        <f t="shared" si="35"/>
        <v>28864924</v>
      </c>
      <c r="K23" s="315">
        <f t="shared" si="15"/>
        <v>0</v>
      </c>
      <c r="L23" s="451">
        <f t="shared" si="36"/>
        <v>23972410</v>
      </c>
      <c r="M23" s="315">
        <f t="shared" si="16"/>
        <v>0</v>
      </c>
      <c r="N23" s="313">
        <f t="shared" si="17"/>
        <v>0</v>
      </c>
      <c r="O23" s="473">
        <f t="shared" si="24"/>
        <v>0</v>
      </c>
      <c r="P23" s="606">
        <f t="shared" si="37"/>
        <v>16548.592000000001</v>
      </c>
      <c r="Q23" s="455">
        <f t="shared" si="29"/>
        <v>0</v>
      </c>
      <c r="R23" s="455">
        <f t="shared" si="30"/>
        <v>0</v>
      </c>
      <c r="S23" s="451">
        <f t="shared" si="25"/>
        <v>10092</v>
      </c>
      <c r="T23" s="475">
        <f t="shared" si="3"/>
        <v>0</v>
      </c>
      <c r="U23" s="451">
        <f t="shared" si="27"/>
        <v>416971</v>
      </c>
      <c r="V23" s="455">
        <f t="shared" si="18"/>
        <v>0</v>
      </c>
      <c r="W23" s="451">
        <f t="shared" si="7"/>
        <v>32165</v>
      </c>
      <c r="X23" s="455">
        <f t="shared" si="23"/>
        <v>0</v>
      </c>
      <c r="Y23" s="451">
        <f t="shared" si="8"/>
        <v>696178</v>
      </c>
      <c r="Z23" s="455">
        <f t="shared" si="22"/>
        <v>0</v>
      </c>
      <c r="AA23" s="451">
        <f t="shared" si="9"/>
        <v>35665</v>
      </c>
      <c r="AB23" s="455">
        <f t="shared" si="19"/>
        <v>0</v>
      </c>
      <c r="AC23" s="451">
        <f t="shared" si="10"/>
        <v>911429</v>
      </c>
      <c r="AD23" s="455">
        <f t="shared" si="31"/>
        <v>0</v>
      </c>
      <c r="AE23" s="478">
        <f t="shared" si="11"/>
        <v>0</v>
      </c>
      <c r="AF23" s="479">
        <f t="shared" si="12"/>
        <v>0</v>
      </c>
      <c r="AG23" s="471">
        <f t="shared" si="26"/>
        <v>0</v>
      </c>
      <c r="AI23" s="472">
        <f>R23-'EDl log'!B21</f>
        <v>-826089</v>
      </c>
    </row>
    <row r="24" spans="1:35">
      <c r="A24" s="463">
        <f>'General information '!F27</f>
        <v>0</v>
      </c>
      <c r="B24" s="457">
        <f t="shared" si="6"/>
        <v>0</v>
      </c>
      <c r="C24" s="464">
        <v>44218</v>
      </c>
      <c r="D24" s="451">
        <f t="shared" si="32"/>
        <v>32561030</v>
      </c>
      <c r="E24" s="314">
        <f t="shared" si="13"/>
        <v>0</v>
      </c>
      <c r="F24" s="451">
        <f t="shared" si="33"/>
        <v>3946597.2</v>
      </c>
      <c r="G24" s="315">
        <f t="shared" si="0"/>
        <v>0</v>
      </c>
      <c r="H24" s="451">
        <f t="shared" si="34"/>
        <v>17768966</v>
      </c>
      <c r="I24" s="315">
        <f t="shared" si="14"/>
        <v>0</v>
      </c>
      <c r="J24" s="451">
        <f t="shared" si="35"/>
        <v>28864924</v>
      </c>
      <c r="K24" s="315">
        <f t="shared" si="15"/>
        <v>0</v>
      </c>
      <c r="L24" s="451">
        <f t="shared" si="36"/>
        <v>23972410</v>
      </c>
      <c r="M24" s="315">
        <f t="shared" si="16"/>
        <v>0</v>
      </c>
      <c r="N24" s="313">
        <f t="shared" si="17"/>
        <v>0</v>
      </c>
      <c r="O24" s="473">
        <f t="shared" si="24"/>
        <v>0</v>
      </c>
      <c r="P24" s="606">
        <f t="shared" si="37"/>
        <v>16548.592000000001</v>
      </c>
      <c r="Q24" s="455">
        <f t="shared" si="29"/>
        <v>0</v>
      </c>
      <c r="R24" s="455">
        <f t="shared" si="30"/>
        <v>0</v>
      </c>
      <c r="S24" s="451">
        <f t="shared" si="25"/>
        <v>10092</v>
      </c>
      <c r="T24" s="475">
        <f t="shared" si="3"/>
        <v>0</v>
      </c>
      <c r="U24" s="451">
        <f t="shared" si="27"/>
        <v>416971</v>
      </c>
      <c r="V24" s="455">
        <f t="shared" si="18"/>
        <v>0</v>
      </c>
      <c r="W24" s="451">
        <f t="shared" si="7"/>
        <v>32165</v>
      </c>
      <c r="X24" s="455">
        <f t="shared" si="23"/>
        <v>0</v>
      </c>
      <c r="Y24" s="451">
        <f t="shared" si="8"/>
        <v>696178</v>
      </c>
      <c r="Z24" s="455">
        <f t="shared" si="22"/>
        <v>0</v>
      </c>
      <c r="AA24" s="451">
        <f t="shared" si="9"/>
        <v>35665</v>
      </c>
      <c r="AB24" s="455">
        <f t="shared" si="19"/>
        <v>0</v>
      </c>
      <c r="AC24" s="451">
        <f t="shared" si="10"/>
        <v>911429</v>
      </c>
      <c r="AD24" s="455">
        <f t="shared" si="31"/>
        <v>0</v>
      </c>
      <c r="AE24" s="478">
        <f t="shared" si="11"/>
        <v>0</v>
      </c>
      <c r="AF24" s="479">
        <f t="shared" si="12"/>
        <v>0</v>
      </c>
      <c r="AG24" s="471">
        <f t="shared" si="26"/>
        <v>0</v>
      </c>
      <c r="AI24" s="472">
        <f>R24-'EDl log'!B22</f>
        <v>-826089</v>
      </c>
    </row>
    <row r="25" spans="1:35">
      <c r="A25" s="463">
        <f>'General information '!F28</f>
        <v>0</v>
      </c>
      <c r="B25" s="457">
        <f t="shared" si="6"/>
        <v>0</v>
      </c>
      <c r="C25" s="464">
        <v>44219</v>
      </c>
      <c r="D25" s="451">
        <f t="shared" si="32"/>
        <v>32561030</v>
      </c>
      <c r="E25" s="314">
        <f t="shared" si="13"/>
        <v>0</v>
      </c>
      <c r="F25" s="451">
        <f t="shared" si="33"/>
        <v>3946597.2</v>
      </c>
      <c r="G25" s="315">
        <f t="shared" si="0"/>
        <v>0</v>
      </c>
      <c r="H25" s="451">
        <f t="shared" si="34"/>
        <v>17768966</v>
      </c>
      <c r="I25" s="315">
        <f t="shared" si="14"/>
        <v>0</v>
      </c>
      <c r="J25" s="451">
        <f t="shared" si="35"/>
        <v>28864924</v>
      </c>
      <c r="K25" s="315">
        <f t="shared" si="15"/>
        <v>0</v>
      </c>
      <c r="L25" s="451">
        <f t="shared" si="36"/>
        <v>23972410</v>
      </c>
      <c r="M25" s="315">
        <f t="shared" si="16"/>
        <v>0</v>
      </c>
      <c r="N25" s="313">
        <f t="shared" si="17"/>
        <v>0</v>
      </c>
      <c r="O25" s="473">
        <f t="shared" si="24"/>
        <v>0</v>
      </c>
      <c r="P25" s="606">
        <f t="shared" si="37"/>
        <v>16548.592000000001</v>
      </c>
      <c r="Q25" s="455">
        <f t="shared" si="29"/>
        <v>0</v>
      </c>
      <c r="R25" s="455">
        <f t="shared" si="30"/>
        <v>0</v>
      </c>
      <c r="S25" s="451">
        <f t="shared" si="25"/>
        <v>10092</v>
      </c>
      <c r="T25" s="475">
        <f t="shared" si="3"/>
        <v>0</v>
      </c>
      <c r="U25" s="451">
        <f t="shared" si="27"/>
        <v>416971</v>
      </c>
      <c r="V25" s="455">
        <f t="shared" si="18"/>
        <v>0</v>
      </c>
      <c r="W25" s="451">
        <f t="shared" si="7"/>
        <v>32165</v>
      </c>
      <c r="X25" s="455">
        <f t="shared" si="23"/>
        <v>0</v>
      </c>
      <c r="Y25" s="451">
        <f t="shared" si="8"/>
        <v>696178</v>
      </c>
      <c r="Z25" s="455">
        <f t="shared" si="22"/>
        <v>0</v>
      </c>
      <c r="AA25" s="451">
        <f t="shared" si="9"/>
        <v>35665</v>
      </c>
      <c r="AB25" s="455">
        <f t="shared" si="19"/>
        <v>0</v>
      </c>
      <c r="AC25" s="451">
        <f t="shared" si="10"/>
        <v>911429</v>
      </c>
      <c r="AD25" s="455">
        <f t="shared" si="31"/>
        <v>0</v>
      </c>
      <c r="AE25" s="478">
        <f t="shared" si="11"/>
        <v>0</v>
      </c>
      <c r="AF25" s="479">
        <f t="shared" si="12"/>
        <v>0</v>
      </c>
      <c r="AG25" s="471">
        <f t="shared" si="26"/>
        <v>0</v>
      </c>
      <c r="AI25" s="472">
        <f>R25-'EDl log'!B23</f>
        <v>-826089</v>
      </c>
    </row>
    <row r="26" spans="1:35">
      <c r="A26" s="463">
        <f>'General information '!F29</f>
        <v>0</v>
      </c>
      <c r="B26" s="457">
        <f t="shared" si="6"/>
        <v>0</v>
      </c>
      <c r="C26" s="464">
        <v>44220</v>
      </c>
      <c r="D26" s="451">
        <f t="shared" si="32"/>
        <v>32561030</v>
      </c>
      <c r="E26" s="314">
        <f t="shared" si="13"/>
        <v>0</v>
      </c>
      <c r="F26" s="451">
        <f t="shared" si="33"/>
        <v>3946597.2</v>
      </c>
      <c r="G26" s="315">
        <f t="shared" si="0"/>
        <v>0</v>
      </c>
      <c r="H26" s="451">
        <f t="shared" si="34"/>
        <v>17768966</v>
      </c>
      <c r="I26" s="315">
        <f t="shared" si="14"/>
        <v>0</v>
      </c>
      <c r="J26" s="451">
        <f t="shared" si="35"/>
        <v>28864924</v>
      </c>
      <c r="K26" s="315">
        <f t="shared" si="15"/>
        <v>0</v>
      </c>
      <c r="L26" s="451">
        <f t="shared" si="36"/>
        <v>23972410</v>
      </c>
      <c r="M26" s="315">
        <f t="shared" si="16"/>
        <v>0</v>
      </c>
      <c r="N26" s="313">
        <f t="shared" si="17"/>
        <v>0</v>
      </c>
      <c r="O26" s="473">
        <f t="shared" si="24"/>
        <v>0</v>
      </c>
      <c r="P26" s="606">
        <f t="shared" si="37"/>
        <v>16548.592000000001</v>
      </c>
      <c r="Q26" s="455">
        <f t="shared" si="29"/>
        <v>0</v>
      </c>
      <c r="R26" s="455">
        <f t="shared" si="30"/>
        <v>0</v>
      </c>
      <c r="S26" s="451">
        <f t="shared" si="25"/>
        <v>10092</v>
      </c>
      <c r="T26" s="475">
        <f t="shared" si="3"/>
        <v>0</v>
      </c>
      <c r="U26" s="451">
        <f t="shared" si="27"/>
        <v>416971</v>
      </c>
      <c r="V26" s="455">
        <f t="shared" si="18"/>
        <v>0</v>
      </c>
      <c r="W26" s="451">
        <f t="shared" si="7"/>
        <v>32165</v>
      </c>
      <c r="X26" s="455">
        <f t="shared" si="23"/>
        <v>0</v>
      </c>
      <c r="Y26" s="451">
        <f t="shared" si="8"/>
        <v>696178</v>
      </c>
      <c r="Z26" s="455">
        <f t="shared" si="22"/>
        <v>0</v>
      </c>
      <c r="AA26" s="451">
        <f t="shared" si="9"/>
        <v>35665</v>
      </c>
      <c r="AB26" s="455">
        <f t="shared" si="19"/>
        <v>0</v>
      </c>
      <c r="AC26" s="451">
        <f t="shared" si="10"/>
        <v>911429</v>
      </c>
      <c r="AD26" s="455">
        <f t="shared" si="31"/>
        <v>0</v>
      </c>
      <c r="AE26" s="478">
        <f t="shared" si="11"/>
        <v>0</v>
      </c>
      <c r="AF26" s="479">
        <f t="shared" si="12"/>
        <v>0</v>
      </c>
      <c r="AG26" s="471">
        <f t="shared" si="26"/>
        <v>0</v>
      </c>
      <c r="AI26" s="472">
        <f>R26-'EDl log'!B24</f>
        <v>-826089</v>
      </c>
    </row>
    <row r="27" spans="1:35">
      <c r="A27" s="463">
        <f>'General information '!F30</f>
        <v>0</v>
      </c>
      <c r="B27" s="457">
        <f t="shared" si="6"/>
        <v>0</v>
      </c>
      <c r="C27" s="464">
        <v>44221</v>
      </c>
      <c r="D27" s="451">
        <f t="shared" si="32"/>
        <v>32561030</v>
      </c>
      <c r="E27" s="314">
        <f t="shared" si="13"/>
        <v>0</v>
      </c>
      <c r="F27" s="451">
        <f t="shared" si="33"/>
        <v>3946597.2</v>
      </c>
      <c r="G27" s="315">
        <f>F27-F26</f>
        <v>0</v>
      </c>
      <c r="H27" s="451">
        <f t="shared" si="34"/>
        <v>17768966</v>
      </c>
      <c r="I27" s="315">
        <f t="shared" si="14"/>
        <v>0</v>
      </c>
      <c r="J27" s="451">
        <f t="shared" si="35"/>
        <v>28864924</v>
      </c>
      <c r="K27" s="315">
        <f t="shared" si="15"/>
        <v>0</v>
      </c>
      <c r="L27" s="451">
        <f t="shared" si="36"/>
        <v>23972410</v>
      </c>
      <c r="M27" s="315">
        <f t="shared" si="16"/>
        <v>0</v>
      </c>
      <c r="N27" s="313">
        <f t="shared" si="17"/>
        <v>0</v>
      </c>
      <c r="O27" s="473">
        <f t="shared" si="24"/>
        <v>0</v>
      </c>
      <c r="P27" s="606">
        <f t="shared" si="37"/>
        <v>16548.592000000001</v>
      </c>
      <c r="Q27" s="455">
        <f t="shared" si="29"/>
        <v>0</v>
      </c>
      <c r="R27" s="455">
        <f t="shared" si="30"/>
        <v>0</v>
      </c>
      <c r="S27" s="451">
        <f t="shared" si="25"/>
        <v>10092</v>
      </c>
      <c r="T27" s="475">
        <f t="shared" si="3"/>
        <v>0</v>
      </c>
      <c r="U27" s="451">
        <f t="shared" si="27"/>
        <v>416971</v>
      </c>
      <c r="V27" s="455">
        <f t="shared" si="18"/>
        <v>0</v>
      </c>
      <c r="W27" s="451">
        <f t="shared" si="7"/>
        <v>32165</v>
      </c>
      <c r="X27" s="455">
        <f t="shared" si="23"/>
        <v>0</v>
      </c>
      <c r="Y27" s="451">
        <f t="shared" si="8"/>
        <v>696178</v>
      </c>
      <c r="Z27" s="455">
        <f t="shared" si="22"/>
        <v>0</v>
      </c>
      <c r="AA27" s="451">
        <f t="shared" si="9"/>
        <v>35665</v>
      </c>
      <c r="AB27" s="455">
        <f t="shared" si="19"/>
        <v>0</v>
      </c>
      <c r="AC27" s="451">
        <f t="shared" si="10"/>
        <v>911429</v>
      </c>
      <c r="AD27" s="455">
        <f t="shared" si="31"/>
        <v>0</v>
      </c>
      <c r="AE27" s="478">
        <f t="shared" si="11"/>
        <v>0</v>
      </c>
      <c r="AF27" s="479">
        <f t="shared" si="12"/>
        <v>0</v>
      </c>
      <c r="AG27" s="471">
        <f t="shared" si="26"/>
        <v>0</v>
      </c>
      <c r="AI27" s="472">
        <f>R27-'EDl log'!B25</f>
        <v>-826089</v>
      </c>
    </row>
    <row r="28" spans="1:35">
      <c r="A28" s="463">
        <f>'General information '!F31</f>
        <v>0</v>
      </c>
      <c r="B28" s="457">
        <f t="shared" si="6"/>
        <v>0</v>
      </c>
      <c r="C28" s="464">
        <v>44222</v>
      </c>
      <c r="D28" s="451">
        <f t="shared" si="32"/>
        <v>32561030</v>
      </c>
      <c r="E28" s="314">
        <f t="shared" si="13"/>
        <v>0</v>
      </c>
      <c r="F28" s="451">
        <f t="shared" si="33"/>
        <v>3946597.2</v>
      </c>
      <c r="G28" s="315">
        <f t="shared" si="0"/>
        <v>0</v>
      </c>
      <c r="H28" s="451">
        <f t="shared" si="34"/>
        <v>17768966</v>
      </c>
      <c r="I28" s="315">
        <f t="shared" si="14"/>
        <v>0</v>
      </c>
      <c r="J28" s="451">
        <f t="shared" si="35"/>
        <v>28864924</v>
      </c>
      <c r="K28" s="315">
        <f t="shared" si="15"/>
        <v>0</v>
      </c>
      <c r="L28" s="451">
        <f t="shared" si="36"/>
        <v>23972410</v>
      </c>
      <c r="M28" s="315">
        <f t="shared" si="16"/>
        <v>0</v>
      </c>
      <c r="N28" s="313">
        <f t="shared" si="17"/>
        <v>0</v>
      </c>
      <c r="O28" s="473">
        <f t="shared" si="24"/>
        <v>0</v>
      </c>
      <c r="P28" s="606">
        <f t="shared" si="37"/>
        <v>16548.592000000001</v>
      </c>
      <c r="Q28" s="455">
        <f t="shared" si="29"/>
        <v>0</v>
      </c>
      <c r="R28" s="455">
        <f t="shared" si="30"/>
        <v>0</v>
      </c>
      <c r="S28" s="451">
        <f t="shared" si="25"/>
        <v>10092</v>
      </c>
      <c r="T28" s="475">
        <f t="shared" si="3"/>
        <v>0</v>
      </c>
      <c r="U28" s="451">
        <f t="shared" si="27"/>
        <v>416971</v>
      </c>
      <c r="V28" s="455">
        <f t="shared" si="18"/>
        <v>0</v>
      </c>
      <c r="W28" s="451">
        <f t="shared" si="7"/>
        <v>32165</v>
      </c>
      <c r="X28" s="455">
        <f t="shared" si="23"/>
        <v>0</v>
      </c>
      <c r="Y28" s="451">
        <f t="shared" si="8"/>
        <v>696178</v>
      </c>
      <c r="Z28" s="455">
        <f t="shared" si="22"/>
        <v>0</v>
      </c>
      <c r="AA28" s="451">
        <f t="shared" si="9"/>
        <v>35665</v>
      </c>
      <c r="AB28" s="455">
        <f t="shared" si="19"/>
        <v>0</v>
      </c>
      <c r="AC28" s="451">
        <f t="shared" si="10"/>
        <v>911429</v>
      </c>
      <c r="AD28" s="455">
        <f t="shared" si="31"/>
        <v>0</v>
      </c>
      <c r="AE28" s="478">
        <f t="shared" si="11"/>
        <v>0</v>
      </c>
      <c r="AF28" s="479">
        <f t="shared" si="12"/>
        <v>0</v>
      </c>
      <c r="AG28" s="471">
        <f t="shared" si="26"/>
        <v>0</v>
      </c>
      <c r="AI28" s="472">
        <f>R28-'EDl log'!B26</f>
        <v>-826089</v>
      </c>
    </row>
    <row r="29" spans="1:35">
      <c r="A29" s="463">
        <f>'General information '!F32</f>
        <v>0</v>
      </c>
      <c r="B29" s="457">
        <f>SUM(230*A29)</f>
        <v>0</v>
      </c>
      <c r="C29" s="464">
        <v>44223</v>
      </c>
      <c r="D29" s="451">
        <f t="shared" si="32"/>
        <v>32561030</v>
      </c>
      <c r="E29" s="314">
        <f t="shared" si="13"/>
        <v>0</v>
      </c>
      <c r="F29" s="451">
        <f t="shared" si="33"/>
        <v>3946597.2</v>
      </c>
      <c r="G29" s="315">
        <f t="shared" si="0"/>
        <v>0</v>
      </c>
      <c r="H29" s="451">
        <f t="shared" si="34"/>
        <v>17768966</v>
      </c>
      <c r="I29" s="315">
        <f t="shared" si="14"/>
        <v>0</v>
      </c>
      <c r="J29" s="451">
        <f t="shared" si="35"/>
        <v>28864924</v>
      </c>
      <c r="K29" s="315">
        <f t="shared" si="15"/>
        <v>0</v>
      </c>
      <c r="L29" s="451">
        <f t="shared" si="36"/>
        <v>23972410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6">
        <f t="shared" si="37"/>
        <v>16548.592000000001</v>
      </c>
      <c r="Q29" s="455">
        <f t="shared" si="29"/>
        <v>0</v>
      </c>
      <c r="R29" s="455">
        <f t="shared" si="30"/>
        <v>0</v>
      </c>
      <c r="S29" s="451">
        <f t="shared" si="25"/>
        <v>10092</v>
      </c>
      <c r="T29" s="475">
        <f t="shared" si="3"/>
        <v>0</v>
      </c>
      <c r="U29" s="451">
        <f t="shared" si="27"/>
        <v>416971</v>
      </c>
      <c r="V29" s="455">
        <f t="shared" si="18"/>
        <v>0</v>
      </c>
      <c r="W29" s="451">
        <f t="shared" si="7"/>
        <v>32165</v>
      </c>
      <c r="X29" s="455">
        <f t="shared" si="23"/>
        <v>0</v>
      </c>
      <c r="Y29" s="451">
        <f t="shared" si="8"/>
        <v>696178</v>
      </c>
      <c r="Z29" s="455">
        <f t="shared" si="22"/>
        <v>0</v>
      </c>
      <c r="AA29" s="451">
        <f t="shared" si="9"/>
        <v>35665</v>
      </c>
      <c r="AB29" s="455">
        <f t="shared" si="19"/>
        <v>0</v>
      </c>
      <c r="AC29" s="451">
        <f t="shared" si="10"/>
        <v>911429</v>
      </c>
      <c r="AD29" s="455">
        <f t="shared" si="31"/>
        <v>0</v>
      </c>
      <c r="AE29" s="478">
        <f t="shared" si="11"/>
        <v>0</v>
      </c>
      <c r="AF29" s="479">
        <f t="shared" si="12"/>
        <v>0</v>
      </c>
      <c r="AG29" s="471">
        <f t="shared" si="26"/>
        <v>0</v>
      </c>
      <c r="AI29" s="472">
        <f>R29-'EDl log'!B27</f>
        <v>-826089</v>
      </c>
    </row>
    <row r="30" spans="1:35">
      <c r="A30" s="463">
        <f>'General information '!F33</f>
        <v>0</v>
      </c>
      <c r="B30" s="457">
        <f t="shared" si="6"/>
        <v>0</v>
      </c>
      <c r="C30" s="464">
        <v>44224</v>
      </c>
      <c r="D30" s="451">
        <f t="shared" si="32"/>
        <v>32561030</v>
      </c>
      <c r="E30" s="314">
        <f t="shared" si="13"/>
        <v>0</v>
      </c>
      <c r="F30" s="451">
        <f t="shared" si="33"/>
        <v>3946597.2</v>
      </c>
      <c r="G30" s="315">
        <f t="shared" si="0"/>
        <v>0</v>
      </c>
      <c r="H30" s="451">
        <f t="shared" si="34"/>
        <v>17768966</v>
      </c>
      <c r="I30" s="315">
        <f t="shared" si="14"/>
        <v>0</v>
      </c>
      <c r="J30" s="451">
        <f t="shared" si="35"/>
        <v>28864924</v>
      </c>
      <c r="K30" s="315">
        <f t="shared" si="15"/>
        <v>0</v>
      </c>
      <c r="L30" s="451">
        <f t="shared" si="36"/>
        <v>23972410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6">
        <f t="shared" si="37"/>
        <v>16548.592000000001</v>
      </c>
      <c r="Q30" s="455">
        <f t="shared" si="29"/>
        <v>0</v>
      </c>
      <c r="R30" s="455">
        <f t="shared" si="30"/>
        <v>0</v>
      </c>
      <c r="S30" s="451">
        <f t="shared" si="25"/>
        <v>10092</v>
      </c>
      <c r="T30" s="475">
        <f t="shared" si="3"/>
        <v>0</v>
      </c>
      <c r="U30" s="451">
        <f t="shared" si="27"/>
        <v>416971</v>
      </c>
      <c r="V30" s="455">
        <f t="shared" si="18"/>
        <v>0</v>
      </c>
      <c r="W30" s="451">
        <f t="shared" si="7"/>
        <v>32165</v>
      </c>
      <c r="X30" s="476">
        <f t="shared" si="23"/>
        <v>0</v>
      </c>
      <c r="Y30" s="451">
        <f t="shared" si="8"/>
        <v>696178</v>
      </c>
      <c r="Z30" s="455">
        <f t="shared" si="22"/>
        <v>0</v>
      </c>
      <c r="AA30" s="451">
        <f t="shared" si="9"/>
        <v>35665</v>
      </c>
      <c r="AB30" s="455">
        <f t="shared" si="19"/>
        <v>0</v>
      </c>
      <c r="AC30" s="451">
        <f t="shared" si="10"/>
        <v>911429</v>
      </c>
      <c r="AD30" s="455">
        <f t="shared" si="31"/>
        <v>0</v>
      </c>
      <c r="AE30" s="478">
        <f t="shared" si="11"/>
        <v>0</v>
      </c>
      <c r="AF30" s="479">
        <f t="shared" si="12"/>
        <v>0</v>
      </c>
      <c r="AG30" s="471">
        <f t="shared" si="26"/>
        <v>0</v>
      </c>
      <c r="AI30" s="472">
        <f>R30-'EDl log'!B28</f>
        <v>-826089</v>
      </c>
    </row>
    <row r="31" spans="1:35">
      <c r="A31" s="463">
        <f>'General information '!F34</f>
        <v>0</v>
      </c>
      <c r="B31" s="457">
        <f t="shared" si="6"/>
        <v>0</v>
      </c>
      <c r="C31" s="464">
        <v>44225</v>
      </c>
      <c r="D31" s="451">
        <f t="shared" si="32"/>
        <v>32561030</v>
      </c>
      <c r="E31" s="314">
        <f t="shared" si="13"/>
        <v>0</v>
      </c>
      <c r="F31" s="451">
        <f t="shared" si="33"/>
        <v>3946597.2</v>
      </c>
      <c r="G31" s="315">
        <f t="shared" si="0"/>
        <v>0</v>
      </c>
      <c r="H31" s="451">
        <f t="shared" si="34"/>
        <v>17768966</v>
      </c>
      <c r="I31" s="315">
        <f t="shared" si="14"/>
        <v>0</v>
      </c>
      <c r="J31" s="451">
        <f t="shared" si="35"/>
        <v>28864924</v>
      </c>
      <c r="K31" s="315">
        <f t="shared" si="15"/>
        <v>0</v>
      </c>
      <c r="L31" s="451">
        <f t="shared" si="36"/>
        <v>23972410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6">
        <f t="shared" si="37"/>
        <v>16548.592000000001</v>
      </c>
      <c r="Q31" s="455">
        <f t="shared" si="29"/>
        <v>0</v>
      </c>
      <c r="R31" s="455">
        <f t="shared" si="30"/>
        <v>0</v>
      </c>
      <c r="S31" s="451">
        <f t="shared" si="25"/>
        <v>10092</v>
      </c>
      <c r="T31" s="475">
        <f t="shared" si="3"/>
        <v>0</v>
      </c>
      <c r="U31" s="451">
        <f t="shared" si="27"/>
        <v>416971</v>
      </c>
      <c r="V31" s="455">
        <f t="shared" si="18"/>
        <v>0</v>
      </c>
      <c r="W31" s="451">
        <f t="shared" si="7"/>
        <v>32165</v>
      </c>
      <c r="X31" s="476">
        <f t="shared" si="23"/>
        <v>0</v>
      </c>
      <c r="Y31" s="451">
        <f t="shared" si="8"/>
        <v>696178</v>
      </c>
      <c r="Z31" s="477">
        <f>Y31-Y30</f>
        <v>0</v>
      </c>
      <c r="AA31" s="451">
        <f t="shared" si="9"/>
        <v>35665</v>
      </c>
      <c r="AB31" s="455">
        <f t="shared" si="19"/>
        <v>0</v>
      </c>
      <c r="AC31" s="451">
        <f t="shared" si="10"/>
        <v>911429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6"/>
        <v>0</v>
      </c>
      <c r="AI31" s="472">
        <f>R31-'EDl log'!B29</f>
        <v>-826089</v>
      </c>
    </row>
    <row r="32" spans="1:35">
      <c r="A32" s="463">
        <f>'General information '!F35</f>
        <v>0</v>
      </c>
      <c r="B32" s="457">
        <f>SUM(230*A32)</f>
        <v>0</v>
      </c>
      <c r="C32" s="464">
        <v>44226</v>
      </c>
      <c r="D32" s="451">
        <f t="shared" si="32"/>
        <v>32561030</v>
      </c>
      <c r="E32" s="314">
        <f t="shared" si="13"/>
        <v>0</v>
      </c>
      <c r="F32" s="451">
        <f t="shared" si="33"/>
        <v>3946597.2</v>
      </c>
      <c r="G32" s="315">
        <f>F32-F31</f>
        <v>0</v>
      </c>
      <c r="H32" s="451">
        <f t="shared" si="34"/>
        <v>17768966</v>
      </c>
      <c r="I32" s="315">
        <f>H32-H31</f>
        <v>0</v>
      </c>
      <c r="J32" s="451">
        <f t="shared" si="35"/>
        <v>28864924</v>
      </c>
      <c r="K32" s="315">
        <f>J32-J31</f>
        <v>0</v>
      </c>
      <c r="L32" s="451">
        <f t="shared" si="36"/>
        <v>23972410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6">
        <f t="shared" si="37"/>
        <v>16548.592000000001</v>
      </c>
      <c r="Q32" s="455">
        <f t="shared" si="29"/>
        <v>0</v>
      </c>
      <c r="R32" s="455">
        <f t="shared" si="30"/>
        <v>0</v>
      </c>
      <c r="S32" s="451">
        <f t="shared" si="25"/>
        <v>10092</v>
      </c>
      <c r="T32" s="475">
        <f t="shared" si="3"/>
        <v>0</v>
      </c>
      <c r="U32" s="451">
        <f t="shared" si="27"/>
        <v>416971</v>
      </c>
      <c r="V32" s="455">
        <f t="shared" si="18"/>
        <v>0</v>
      </c>
      <c r="W32" s="451">
        <f t="shared" si="7"/>
        <v>32165</v>
      </c>
      <c r="X32" s="455">
        <f t="shared" si="23"/>
        <v>0</v>
      </c>
      <c r="Y32" s="451">
        <f t="shared" si="8"/>
        <v>696178</v>
      </c>
      <c r="Z32" s="477">
        <f>Y32-Y31</f>
        <v>0</v>
      </c>
      <c r="AA32" s="451">
        <f t="shared" si="9"/>
        <v>35665</v>
      </c>
      <c r="AB32" s="455">
        <f t="shared" si="19"/>
        <v>0</v>
      </c>
      <c r="AC32" s="451">
        <f t="shared" si="10"/>
        <v>911429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6"/>
        <v>0</v>
      </c>
      <c r="AI32" s="472">
        <f>R32-'EDl log'!B30</f>
        <v>-826089</v>
      </c>
    </row>
    <row r="33" spans="1:35">
      <c r="A33" s="463">
        <f>'General information '!F36</f>
        <v>0</v>
      </c>
      <c r="B33" s="457">
        <f>SUM(230*A33)</f>
        <v>0</v>
      </c>
      <c r="C33" s="464">
        <v>44227</v>
      </c>
      <c r="D33" s="451">
        <f t="shared" si="32"/>
        <v>32561030</v>
      </c>
      <c r="E33" s="314">
        <f t="shared" ref="E33" si="38">D33-D32</f>
        <v>0</v>
      </c>
      <c r="F33" s="451">
        <f t="shared" si="33"/>
        <v>3946597.2</v>
      </c>
      <c r="G33" s="315">
        <f>F33-F32</f>
        <v>0</v>
      </c>
      <c r="H33" s="451">
        <f t="shared" si="34"/>
        <v>17768966</v>
      </c>
      <c r="I33" s="315">
        <f>H33-H32</f>
        <v>0</v>
      </c>
      <c r="J33" s="451">
        <f t="shared" si="35"/>
        <v>28864924</v>
      </c>
      <c r="K33" s="315">
        <f>J33-J32</f>
        <v>0</v>
      </c>
      <c r="L33" s="451">
        <f t="shared" si="36"/>
        <v>23972410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6">
        <f t="shared" si="37"/>
        <v>16548.592000000001</v>
      </c>
      <c r="Q33" s="455">
        <f t="shared" si="29"/>
        <v>0</v>
      </c>
      <c r="R33" s="455">
        <f t="shared" si="30"/>
        <v>0</v>
      </c>
      <c r="S33" s="451">
        <f t="shared" si="25"/>
        <v>10092</v>
      </c>
      <c r="T33" s="475">
        <f t="shared" ref="T33" si="40">S33-S32</f>
        <v>0</v>
      </c>
      <c r="U33" s="451">
        <f t="shared" si="27"/>
        <v>416971</v>
      </c>
      <c r="V33" s="455">
        <f t="shared" ref="V33" si="41">U33-U32</f>
        <v>0</v>
      </c>
      <c r="W33" s="451">
        <f t="shared" si="7"/>
        <v>32165</v>
      </c>
      <c r="X33" s="455">
        <f t="shared" ref="X33" si="42">W33-W32</f>
        <v>0</v>
      </c>
      <c r="Y33" s="451">
        <f t="shared" si="8"/>
        <v>696178</v>
      </c>
      <c r="Z33" s="477">
        <f>Y33-Y32</f>
        <v>0</v>
      </c>
      <c r="AA33" s="451">
        <f t="shared" si="9"/>
        <v>35665</v>
      </c>
      <c r="AB33" s="455">
        <f t="shared" ref="AB33" si="43">AA33-AA32</f>
        <v>0</v>
      </c>
      <c r="AC33" s="451">
        <f t="shared" si="10"/>
        <v>911429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-826089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H1" zoomScale="90" zoomScaleNormal="90" workbookViewId="0">
      <pane ySplit="1" topLeftCell="A8" activePane="bottomLeft" state="frozen"/>
      <selection activeCell="K1" sqref="K1"/>
      <selection pane="bottomLeft" activeCell="AY22" sqref="AY22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4" customWidth="1"/>
    <col min="38" max="38" width="11.1796875" style="324" bestFit="1" customWidth="1"/>
    <col min="39" max="39" width="11.453125" style="324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6"/>
    <col min="51" max="16384" width="9.1796875" style="42"/>
  </cols>
  <sheetData>
    <row r="1" spans="1:52" ht="29.5" thickBot="1">
      <c r="F1" s="630" t="s">
        <v>2</v>
      </c>
      <c r="G1" s="631"/>
      <c r="H1" s="631"/>
      <c r="I1" s="632"/>
      <c r="J1" s="285">
        <f>J36</f>
        <v>93.590909090909093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400"/>
      <c r="V1" s="27" t="s">
        <v>104</v>
      </c>
      <c r="W1" s="401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44196</v>
      </c>
      <c r="B4" s="398">
        <v>244</v>
      </c>
      <c r="C4" s="398">
        <v>249</v>
      </c>
      <c r="D4" s="398">
        <f>[1]B5!D35</f>
        <v>3</v>
      </c>
      <c r="E4" s="398">
        <f>[1]B5!E35</f>
        <v>25.14</v>
      </c>
      <c r="F4" s="398">
        <v>1678</v>
      </c>
      <c r="G4" s="398">
        <f>[1]B5!G35</f>
        <v>2</v>
      </c>
      <c r="H4" s="398">
        <v>1294</v>
      </c>
      <c r="I4" s="398">
        <f>[1]B5!I35</f>
        <v>140</v>
      </c>
      <c r="J4" s="398">
        <f>[1]B5!J35</f>
        <v>70</v>
      </c>
      <c r="K4" s="398">
        <v>2181</v>
      </c>
      <c r="L4" s="398">
        <f>[1]B5!L35</f>
        <v>0</v>
      </c>
      <c r="M4" s="398">
        <v>160201</v>
      </c>
      <c r="N4" s="398">
        <f>[1]B5!N35</f>
        <v>0</v>
      </c>
      <c r="O4" s="398">
        <f>[1]B5!O35</f>
        <v>1869</v>
      </c>
      <c r="P4" s="398">
        <v>1937</v>
      </c>
      <c r="Q4" s="398">
        <v>164116</v>
      </c>
      <c r="R4" s="398">
        <f>[1]B5!R35</f>
        <v>139</v>
      </c>
      <c r="S4" s="398">
        <f>[1]B5!S35</f>
        <v>2</v>
      </c>
      <c r="T4" s="398">
        <f>[1]B5!T35</f>
        <v>0</v>
      </c>
      <c r="U4" s="398">
        <f>[1]B5!U35</f>
        <v>4</v>
      </c>
      <c r="V4" s="398">
        <f>[1]B5!V35</f>
        <v>279</v>
      </c>
      <c r="W4" s="398">
        <f>[1]B5!W35</f>
        <v>0</v>
      </c>
      <c r="X4" s="398">
        <f>[1]B5!X35</f>
        <v>2451</v>
      </c>
      <c r="Y4" s="398">
        <f>[1]B5!Y35</f>
        <v>0</v>
      </c>
      <c r="Z4" s="398">
        <f>[1]B5!Z35</f>
        <v>137771.6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608">
        <v>365265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279</v>
      </c>
      <c r="AJ4" s="398">
        <f>[1]B5!AJ35</f>
        <v>279</v>
      </c>
      <c r="AK4" s="398">
        <f>[1]B5!AK35</f>
        <v>0</v>
      </c>
      <c r="AL4" s="398">
        <f>[1]B5!AL35</f>
        <v>4</v>
      </c>
      <c r="AM4" s="398">
        <f>[1]B5!AM35</f>
        <v>0</v>
      </c>
      <c r="AN4" s="398">
        <f>[1]B5!AN35</f>
        <v>68</v>
      </c>
      <c r="AO4" s="398">
        <f>[1]B5!AO35</f>
        <v>2040.0000000000002</v>
      </c>
      <c r="AP4" s="398">
        <f>[1]B5!AP35</f>
        <v>55</v>
      </c>
      <c r="AQ4" s="398">
        <f>[1]B5!AQ35</f>
        <v>1650.0000000000002</v>
      </c>
      <c r="AR4" s="398">
        <f>[1]B5!AR35</f>
        <v>62</v>
      </c>
      <c r="AS4" s="398">
        <f>[1]B5!AS35</f>
        <v>1860</v>
      </c>
      <c r="AT4" s="398">
        <f>[1]B5!AT35</f>
        <v>5550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44197</v>
      </c>
      <c r="B5" s="599">
        <v>243.3</v>
      </c>
      <c r="C5" s="599">
        <v>248.5</v>
      </c>
      <c r="D5" s="45">
        <f>C4-C5</f>
        <v>0.5</v>
      </c>
      <c r="E5" s="45">
        <f>D5*8.38</f>
        <v>4.1900000000000004</v>
      </c>
      <c r="F5" s="64">
        <v>1679</v>
      </c>
      <c r="G5" s="52">
        <f t="shared" ref="G5:G34" si="0">F5-F4</f>
        <v>1</v>
      </c>
      <c r="H5" s="64">
        <v>1389</v>
      </c>
      <c r="I5" s="399">
        <f t="shared" ref="I5:I35" si="1">SUM(H5-H4)</f>
        <v>95</v>
      </c>
      <c r="J5" s="66">
        <v>1</v>
      </c>
      <c r="K5" s="64">
        <v>2183</v>
      </c>
      <c r="L5" s="52">
        <f>K5-K4</f>
        <v>2</v>
      </c>
      <c r="M5" s="64">
        <v>160341</v>
      </c>
      <c r="N5" s="399">
        <f t="shared" ref="N5:N35" si="2">M5-M4</f>
        <v>140</v>
      </c>
      <c r="O5" s="64">
        <f>O4</f>
        <v>1869</v>
      </c>
      <c r="P5" s="64">
        <f>P4</f>
        <v>1937</v>
      </c>
      <c r="Q5" s="64">
        <f>Q4</f>
        <v>164116</v>
      </c>
      <c r="R5" s="398">
        <f t="shared" ref="R5:R10" si="3">Q5-Q4</f>
        <v>0</v>
      </c>
      <c r="S5" s="52">
        <f t="shared" ref="S5:S34" si="4">SUM(P5-P4)</f>
        <v>0</v>
      </c>
      <c r="T5" s="67">
        <f>SUM(S5*$T$2)</f>
        <v>0</v>
      </c>
      <c r="U5" s="405">
        <f>SUM(G5+L5+S5)</f>
        <v>3</v>
      </c>
      <c r="V5" s="62">
        <f>R5+N5+I5:I5</f>
        <v>235</v>
      </c>
      <c r="W5" s="403">
        <f>SUM(V5/U5)</f>
        <v>78.333333333333329</v>
      </c>
      <c r="X5" s="64">
        <f>X4</f>
        <v>2451</v>
      </c>
      <c r="Y5" s="52">
        <f>X5-X4</f>
        <v>0</v>
      </c>
      <c r="Z5" s="64">
        <f>Z4</f>
        <v>137771.6</v>
      </c>
      <c r="AA5" s="65">
        <f t="shared" ref="AA5:AA34" si="5">Z5-Z4</f>
        <v>0</v>
      </c>
      <c r="AB5" s="287">
        <f>SUM(Y5*$AB$2)</f>
        <v>0</v>
      </c>
      <c r="AC5" s="64">
        <v>1934</v>
      </c>
      <c r="AD5" s="45">
        <f t="shared" ref="AD5:AD34" si="6">AC5-AC4</f>
        <v>1</v>
      </c>
      <c r="AE5" s="595">
        <v>365317</v>
      </c>
      <c r="AF5" s="309">
        <f>AE5-AE4</f>
        <v>52</v>
      </c>
      <c r="AG5" s="210">
        <f>IF(AD5&gt;0,AF5/AD5,0)</f>
        <v>52</v>
      </c>
      <c r="AH5" s="62">
        <f>AF5+AA5</f>
        <v>52</v>
      </c>
      <c r="AI5" s="321">
        <f>SUM(AH5+V5)</f>
        <v>287</v>
      </c>
      <c r="AJ5" s="321">
        <f>-tanks!AW6</f>
        <v>287</v>
      </c>
      <c r="AK5" s="321">
        <f>SUM(AJ5-AI5)</f>
        <v>0</v>
      </c>
      <c r="AL5" s="321">
        <f t="shared" ref="AL5:AL35" si="7">S5+L5+G5</f>
        <v>3</v>
      </c>
      <c r="AM5" s="321">
        <f>Y5+AD5</f>
        <v>1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44198</v>
      </c>
      <c r="B6" s="599">
        <v>238</v>
      </c>
      <c r="C6" s="599">
        <v>244.5</v>
      </c>
      <c r="D6" s="45">
        <f>C5-C6</f>
        <v>4</v>
      </c>
      <c r="E6" s="45">
        <f t="shared" ref="E6:E31" si="8">D6*8.38</f>
        <v>33.520000000000003</v>
      </c>
      <c r="F6" s="64">
        <f t="shared" ref="F6:F35" si="9">F5</f>
        <v>1679</v>
      </c>
      <c r="G6" s="52">
        <f t="shared" si="0"/>
        <v>0</v>
      </c>
      <c r="H6" s="64">
        <f t="shared" ref="H6:H35" si="10">H5</f>
        <v>1389</v>
      </c>
      <c r="I6" s="399">
        <f t="shared" si="1"/>
        <v>0</v>
      </c>
      <c r="J6" s="66">
        <f t="shared" ref="J6:J34" si="11">IF(G6&gt;0,I6/G6,0)</f>
        <v>0</v>
      </c>
      <c r="K6" s="64">
        <v>2184</v>
      </c>
      <c r="L6" s="52">
        <f t="shared" ref="L6:L35" si="12">K6-K5</f>
        <v>1</v>
      </c>
      <c r="M6" s="64">
        <v>160443</v>
      </c>
      <c r="N6" s="399">
        <f t="shared" si="2"/>
        <v>102</v>
      </c>
      <c r="O6" s="64">
        <f t="shared" ref="O6:Q35" si="13">O5</f>
        <v>1869</v>
      </c>
      <c r="P6" s="64">
        <v>1938</v>
      </c>
      <c r="Q6" s="64">
        <v>164236</v>
      </c>
      <c r="R6" s="398">
        <f t="shared" si="3"/>
        <v>120</v>
      </c>
      <c r="S6" s="52">
        <f t="shared" si="4"/>
        <v>1</v>
      </c>
      <c r="T6" s="67">
        <f>SUM(S6*$T$2)</f>
        <v>0</v>
      </c>
      <c r="U6" s="405">
        <f t="shared" ref="U6:U34" si="14">SUM(G6+L6+S6)</f>
        <v>2</v>
      </c>
      <c r="V6" s="62">
        <f t="shared" ref="V6:V34" si="15">R6+N6+I6:I6</f>
        <v>222</v>
      </c>
      <c r="W6" s="403">
        <f t="shared" ref="W6:W16" si="16">SUM(V6/U6)</f>
        <v>111</v>
      </c>
      <c r="X6" s="64">
        <v>2452</v>
      </c>
      <c r="Y6" s="52">
        <f t="shared" ref="Y6:Y34" si="17">X6-X5</f>
        <v>1</v>
      </c>
      <c r="Z6" s="64">
        <v>137831.1</v>
      </c>
      <c r="AA6" s="65">
        <f t="shared" si="5"/>
        <v>59.5</v>
      </c>
      <c r="AB6" s="287">
        <f>SUM(Y6*$AB$2)</f>
        <v>0</v>
      </c>
      <c r="AC6" s="64">
        <f t="shared" ref="AC6:AC35" si="18">AC5</f>
        <v>1934</v>
      </c>
      <c r="AD6" s="45">
        <f t="shared" si="6"/>
        <v>0</v>
      </c>
      <c r="AE6" s="595">
        <f t="shared" ref="AE6:AE35" si="19">AE5</f>
        <v>365317</v>
      </c>
      <c r="AF6" s="309">
        <f t="shared" ref="AF6:AF34" si="20">AE6-AE5</f>
        <v>0</v>
      </c>
      <c r="AG6" s="210">
        <f>IF(AD6&gt;0,AF6/AD6,0)</f>
        <v>0</v>
      </c>
      <c r="AH6" s="62">
        <f>AF6+AA6</f>
        <v>59.5</v>
      </c>
      <c r="AI6" s="321">
        <f t="shared" ref="AI6:AI35" si="21">SUM(AH6+V6)</f>
        <v>281.5</v>
      </c>
      <c r="AJ6" s="321">
        <f>-tanks!AW7</f>
        <v>281.5</v>
      </c>
      <c r="AK6" s="321">
        <f t="shared" ref="AK6:AK34" si="22">SUM(AJ6-AI6)</f>
        <v>0</v>
      </c>
      <c r="AL6" s="321">
        <f t="shared" si="7"/>
        <v>2</v>
      </c>
      <c r="AM6" s="321">
        <f t="shared" ref="AM6:AM33" si="23">Y6+AD6</f>
        <v>1</v>
      </c>
      <c r="AN6" s="64">
        <f t="shared" ref="AN6:AN35" si="24">AN5</f>
        <v>68</v>
      </c>
      <c r="AO6" s="323">
        <f t="shared" ref="AO6:AO26" si="25">(AN6/100)*3000</f>
        <v>2040.0000000000002</v>
      </c>
      <c r="AP6" s="64">
        <f t="shared" ref="AP6:AP35" si="26">AP5</f>
        <v>55</v>
      </c>
      <c r="AQ6" s="323">
        <f t="shared" ref="AQ6:AQ24" si="27">(AP6/100)*3000</f>
        <v>1650.0000000000002</v>
      </c>
      <c r="AR6" s="64">
        <f t="shared" ref="AR6:AR35" si="28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44199</v>
      </c>
      <c r="B7" s="599">
        <v>235</v>
      </c>
      <c r="C7" s="599">
        <v>242</v>
      </c>
      <c r="D7" s="45">
        <f t="shared" ref="D7:D34" si="30">C6-C7</f>
        <v>2.5</v>
      </c>
      <c r="E7" s="45">
        <f t="shared" si="8"/>
        <v>20.950000000000003</v>
      </c>
      <c r="F7" s="64">
        <v>1681</v>
      </c>
      <c r="G7" s="52">
        <f t="shared" si="0"/>
        <v>2</v>
      </c>
      <c r="H7" s="64">
        <v>1536</v>
      </c>
      <c r="I7" s="399">
        <f t="shared" si="1"/>
        <v>147</v>
      </c>
      <c r="J7" s="66">
        <f t="shared" si="11"/>
        <v>73.5</v>
      </c>
      <c r="K7" s="64">
        <f t="shared" ref="K7:K35" si="31">K6</f>
        <v>2184</v>
      </c>
      <c r="L7" s="52">
        <f t="shared" si="12"/>
        <v>0</v>
      </c>
      <c r="M7" s="64">
        <f t="shared" ref="M7:M35" si="32">M6</f>
        <v>160443</v>
      </c>
      <c r="N7" s="399">
        <f t="shared" si="2"/>
        <v>0</v>
      </c>
      <c r="O7" s="64">
        <f t="shared" si="13"/>
        <v>1869</v>
      </c>
      <c r="P7" s="64">
        <v>1939</v>
      </c>
      <c r="Q7" s="64">
        <v>164315</v>
      </c>
      <c r="R7" s="398">
        <f t="shared" si="3"/>
        <v>79</v>
      </c>
      <c r="S7" s="52">
        <f t="shared" si="4"/>
        <v>1</v>
      </c>
      <c r="T7" s="67">
        <f t="shared" ref="T7:T34" si="33">SUM(S7*$T$2)</f>
        <v>0</v>
      </c>
      <c r="U7" s="405">
        <f t="shared" si="14"/>
        <v>3</v>
      </c>
      <c r="V7" s="62">
        <f t="shared" si="15"/>
        <v>226</v>
      </c>
      <c r="W7" s="403">
        <f t="shared" si="16"/>
        <v>75.333333333333329</v>
      </c>
      <c r="X7" s="64">
        <f t="shared" ref="X7:X35" si="34">X6</f>
        <v>2452</v>
      </c>
      <c r="Y7" s="52">
        <f t="shared" si="17"/>
        <v>0</v>
      </c>
      <c r="Z7" s="64">
        <f t="shared" ref="Z7:Z35" si="35">Z6</f>
        <v>137831.1</v>
      </c>
      <c r="AA7" s="65">
        <f t="shared" si="5"/>
        <v>0</v>
      </c>
      <c r="AB7" s="287">
        <f t="shared" ref="AB7:AB17" si="36">SUM(Y7*$AB$2)</f>
        <v>0</v>
      </c>
      <c r="AC7" s="64">
        <f t="shared" si="18"/>
        <v>1934</v>
      </c>
      <c r="AD7" s="45">
        <f t="shared" si="6"/>
        <v>0</v>
      </c>
      <c r="AE7" s="595">
        <f t="shared" si="19"/>
        <v>365317</v>
      </c>
      <c r="AF7" s="309">
        <f t="shared" si="20"/>
        <v>0</v>
      </c>
      <c r="AG7" s="210">
        <f t="shared" ref="AG7:AG34" si="37">IF(AD7&gt;0,AF7/AD7,0)</f>
        <v>0</v>
      </c>
      <c r="AH7" s="62">
        <f t="shared" ref="AH7:AH34" si="38">AF7+AA7</f>
        <v>0</v>
      </c>
      <c r="AI7" s="321">
        <f t="shared" si="21"/>
        <v>226</v>
      </c>
      <c r="AJ7" s="321">
        <f>-tanks!AW8</f>
        <v>226</v>
      </c>
      <c r="AK7" s="321">
        <f t="shared" si="22"/>
        <v>0</v>
      </c>
      <c r="AL7" s="321">
        <f t="shared" si="7"/>
        <v>3</v>
      </c>
      <c r="AM7" s="321">
        <f t="shared" si="23"/>
        <v>0</v>
      </c>
      <c r="AN7" s="64">
        <f t="shared" si="24"/>
        <v>68</v>
      </c>
      <c r="AO7" s="323">
        <f t="shared" si="25"/>
        <v>2040.0000000000002</v>
      </c>
      <c r="AP7" s="64">
        <f t="shared" si="26"/>
        <v>55</v>
      </c>
      <c r="AQ7" s="323">
        <f t="shared" si="27"/>
        <v>1650.0000000000002</v>
      </c>
      <c r="AR7" s="64">
        <f t="shared" si="28"/>
        <v>62</v>
      </c>
      <c r="AS7" s="323">
        <f t="shared" ref="AS7:AS34" si="39">(AR7/100)*3000</f>
        <v>1860</v>
      </c>
      <c r="AT7" s="323">
        <f t="shared" ref="AT7:AT23" si="40">SUM(AO7+AQ7+AS7)</f>
        <v>5550</v>
      </c>
      <c r="AU7" s="323">
        <f t="shared" ref="AU7:AU34" si="41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44200</v>
      </c>
      <c r="B8" s="599">
        <v>230</v>
      </c>
      <c r="C8" s="599">
        <v>236</v>
      </c>
      <c r="D8" s="45">
        <f t="shared" si="30"/>
        <v>6</v>
      </c>
      <c r="E8" s="45">
        <f t="shared" si="8"/>
        <v>50.28</v>
      </c>
      <c r="F8" s="64">
        <v>1682</v>
      </c>
      <c r="G8" s="52">
        <f t="shared" si="0"/>
        <v>1</v>
      </c>
      <c r="H8" s="64">
        <v>1595</v>
      </c>
      <c r="I8" s="399">
        <f t="shared" si="1"/>
        <v>59</v>
      </c>
      <c r="J8" s="66">
        <f t="shared" si="11"/>
        <v>59</v>
      </c>
      <c r="K8" s="64">
        <v>2185</v>
      </c>
      <c r="L8" s="52">
        <f t="shared" si="12"/>
        <v>1</v>
      </c>
      <c r="M8" s="64">
        <v>160541</v>
      </c>
      <c r="N8" s="399">
        <f t="shared" si="2"/>
        <v>98</v>
      </c>
      <c r="O8" s="64">
        <f t="shared" si="13"/>
        <v>1869</v>
      </c>
      <c r="P8" s="64">
        <f t="shared" si="13"/>
        <v>1939</v>
      </c>
      <c r="Q8" s="64">
        <f t="shared" si="13"/>
        <v>164315</v>
      </c>
      <c r="R8" s="398">
        <f t="shared" si="3"/>
        <v>0</v>
      </c>
      <c r="S8" s="52">
        <f t="shared" si="4"/>
        <v>0</v>
      </c>
      <c r="T8" s="67">
        <f t="shared" si="33"/>
        <v>0</v>
      </c>
      <c r="U8" s="405">
        <f t="shared" si="14"/>
        <v>2</v>
      </c>
      <c r="V8" s="62">
        <f t="shared" si="15"/>
        <v>157</v>
      </c>
      <c r="W8" s="403">
        <f t="shared" si="16"/>
        <v>78.5</v>
      </c>
      <c r="X8" s="64">
        <f t="shared" si="34"/>
        <v>2452</v>
      </c>
      <c r="Y8" s="52">
        <f t="shared" si="17"/>
        <v>0</v>
      </c>
      <c r="Z8" s="64">
        <f t="shared" si="35"/>
        <v>137831.1</v>
      </c>
      <c r="AA8" s="65">
        <f t="shared" si="5"/>
        <v>0</v>
      </c>
      <c r="AB8" s="287">
        <f t="shared" si="36"/>
        <v>0</v>
      </c>
      <c r="AC8" s="64">
        <f t="shared" si="18"/>
        <v>1934</v>
      </c>
      <c r="AD8" s="45">
        <f t="shared" si="6"/>
        <v>0</v>
      </c>
      <c r="AE8" s="595">
        <f t="shared" si="19"/>
        <v>365317</v>
      </c>
      <c r="AF8" s="309">
        <f t="shared" si="20"/>
        <v>0</v>
      </c>
      <c r="AG8" s="210">
        <f t="shared" si="37"/>
        <v>0</v>
      </c>
      <c r="AH8" s="62">
        <f t="shared" si="38"/>
        <v>0</v>
      </c>
      <c r="AI8" s="321">
        <f t="shared" si="21"/>
        <v>157</v>
      </c>
      <c r="AJ8" s="321">
        <f>-tanks!AW9</f>
        <v>157</v>
      </c>
      <c r="AK8" s="321">
        <f t="shared" si="22"/>
        <v>0</v>
      </c>
      <c r="AL8" s="321">
        <f t="shared" si="7"/>
        <v>2</v>
      </c>
      <c r="AM8" s="321">
        <f t="shared" si="23"/>
        <v>0</v>
      </c>
      <c r="AN8" s="64">
        <v>68</v>
      </c>
      <c r="AO8" s="323">
        <f t="shared" si="25"/>
        <v>2040.0000000000002</v>
      </c>
      <c r="AP8" s="64">
        <v>55</v>
      </c>
      <c r="AQ8" s="323">
        <f t="shared" si="27"/>
        <v>1650.0000000000002</v>
      </c>
      <c r="AR8" s="64">
        <v>62</v>
      </c>
      <c r="AS8" s="323">
        <f t="shared" si="39"/>
        <v>1860</v>
      </c>
      <c r="AT8" s="323">
        <f t="shared" si="40"/>
        <v>5550</v>
      </c>
      <c r="AU8" s="323">
        <f t="shared" si="41"/>
        <v>0</v>
      </c>
      <c r="AV8" s="271"/>
      <c r="AW8" s="271"/>
      <c r="AX8" s="316">
        <f t="shared" si="29"/>
        <v>0.8</v>
      </c>
    </row>
    <row r="9" spans="1:52" ht="15.75" customHeight="1">
      <c r="A9" s="63">
        <f>ELEC!C7</f>
        <v>44201</v>
      </c>
      <c r="B9" s="599">
        <v>227</v>
      </c>
      <c r="C9" s="599">
        <v>233.2</v>
      </c>
      <c r="D9" s="45">
        <f t="shared" si="30"/>
        <v>2.8000000000000114</v>
      </c>
      <c r="E9" s="45">
        <f t="shared" si="8"/>
        <v>23.464000000000098</v>
      </c>
      <c r="F9" s="64">
        <f t="shared" si="9"/>
        <v>1682</v>
      </c>
      <c r="G9" s="52">
        <f t="shared" si="0"/>
        <v>0</v>
      </c>
      <c r="H9" s="64">
        <f t="shared" si="10"/>
        <v>1595</v>
      </c>
      <c r="I9" s="399">
        <f t="shared" si="1"/>
        <v>0</v>
      </c>
      <c r="J9" s="66">
        <f t="shared" si="11"/>
        <v>0</v>
      </c>
      <c r="K9" s="64">
        <v>2187</v>
      </c>
      <c r="L9" s="52">
        <f t="shared" si="12"/>
        <v>2</v>
      </c>
      <c r="M9" s="64">
        <v>160641</v>
      </c>
      <c r="N9" s="399">
        <f t="shared" si="2"/>
        <v>100</v>
      </c>
      <c r="O9" s="64">
        <f t="shared" si="13"/>
        <v>1869</v>
      </c>
      <c r="P9" s="64">
        <v>1942</v>
      </c>
      <c r="Q9" s="64">
        <v>164496</v>
      </c>
      <c r="R9" s="398">
        <f t="shared" si="3"/>
        <v>181</v>
      </c>
      <c r="S9" s="52">
        <f t="shared" si="4"/>
        <v>3</v>
      </c>
      <c r="T9" s="67">
        <f t="shared" si="33"/>
        <v>0</v>
      </c>
      <c r="U9" s="405">
        <f t="shared" si="14"/>
        <v>5</v>
      </c>
      <c r="V9" s="62">
        <f t="shared" si="15"/>
        <v>281</v>
      </c>
      <c r="W9" s="403">
        <f t="shared" si="16"/>
        <v>56.2</v>
      </c>
      <c r="X9" s="64">
        <f t="shared" si="34"/>
        <v>2452</v>
      </c>
      <c r="Y9" s="52">
        <f t="shared" si="17"/>
        <v>0</v>
      </c>
      <c r="Z9" s="64">
        <f t="shared" si="35"/>
        <v>137831.1</v>
      </c>
      <c r="AA9" s="65">
        <f t="shared" si="5"/>
        <v>0</v>
      </c>
      <c r="AB9" s="287">
        <f t="shared" si="36"/>
        <v>0</v>
      </c>
      <c r="AC9" s="64">
        <f t="shared" si="18"/>
        <v>1934</v>
      </c>
      <c r="AD9" s="45">
        <f t="shared" si="6"/>
        <v>0</v>
      </c>
      <c r="AE9" s="595">
        <f t="shared" si="19"/>
        <v>365317</v>
      </c>
      <c r="AF9" s="309">
        <f t="shared" si="20"/>
        <v>0</v>
      </c>
      <c r="AG9" s="210">
        <f t="shared" si="37"/>
        <v>0</v>
      </c>
      <c r="AH9" s="62">
        <f t="shared" si="38"/>
        <v>0</v>
      </c>
      <c r="AI9" s="321">
        <f t="shared" si="21"/>
        <v>281</v>
      </c>
      <c r="AJ9" s="321">
        <f>-tanks!AW10</f>
        <v>281</v>
      </c>
      <c r="AK9" s="321">
        <f t="shared" si="22"/>
        <v>0</v>
      </c>
      <c r="AL9" s="321">
        <f t="shared" si="7"/>
        <v>5</v>
      </c>
      <c r="AM9" s="321">
        <f t="shared" si="23"/>
        <v>0</v>
      </c>
      <c r="AN9" s="64">
        <f t="shared" si="24"/>
        <v>68</v>
      </c>
      <c r="AO9" s="323">
        <f t="shared" si="25"/>
        <v>2040.0000000000002</v>
      </c>
      <c r="AP9" s="64">
        <f t="shared" si="26"/>
        <v>55</v>
      </c>
      <c r="AQ9" s="323">
        <f t="shared" si="27"/>
        <v>1650.0000000000002</v>
      </c>
      <c r="AR9" s="64">
        <f t="shared" si="28"/>
        <v>62</v>
      </c>
      <c r="AS9" s="323">
        <f>(AR9/100)*3000</f>
        <v>1860</v>
      </c>
      <c r="AT9" s="323">
        <f t="shared" si="40"/>
        <v>5550</v>
      </c>
      <c r="AU9" s="323">
        <f t="shared" si="41"/>
        <v>0</v>
      </c>
      <c r="AV9" s="271"/>
      <c r="AW9" s="271"/>
      <c r="AX9" s="316">
        <f t="shared" si="29"/>
        <v>0.8</v>
      </c>
    </row>
    <row r="10" spans="1:52">
      <c r="A10" s="63">
        <f>ELEC!C8</f>
        <v>44202</v>
      </c>
      <c r="B10" s="599">
        <v>222.4</v>
      </c>
      <c r="C10" s="599">
        <v>229</v>
      </c>
      <c r="D10" s="45">
        <f t="shared" si="30"/>
        <v>4.1999999999999886</v>
      </c>
      <c r="E10" s="45">
        <f t="shared" si="8"/>
        <v>35.195999999999906</v>
      </c>
      <c r="F10" s="64">
        <v>1684</v>
      </c>
      <c r="G10" s="52">
        <f t="shared" si="0"/>
        <v>2</v>
      </c>
      <c r="H10" s="64">
        <v>1709</v>
      </c>
      <c r="I10" s="399">
        <f t="shared" si="1"/>
        <v>114</v>
      </c>
      <c r="J10" s="66">
        <f t="shared" si="11"/>
        <v>57</v>
      </c>
      <c r="K10" s="64">
        <f t="shared" si="31"/>
        <v>2187</v>
      </c>
      <c r="L10" s="52">
        <f t="shared" si="12"/>
        <v>0</v>
      </c>
      <c r="M10" s="64">
        <f t="shared" si="32"/>
        <v>160641</v>
      </c>
      <c r="N10" s="399">
        <f t="shared" si="2"/>
        <v>0</v>
      </c>
      <c r="O10" s="64">
        <f t="shared" si="13"/>
        <v>1869</v>
      </c>
      <c r="P10" s="64">
        <v>1943</v>
      </c>
      <c r="Q10" s="64">
        <v>164554</v>
      </c>
      <c r="R10" s="398">
        <f t="shared" si="3"/>
        <v>58</v>
      </c>
      <c r="S10" s="52">
        <f t="shared" si="4"/>
        <v>1</v>
      </c>
      <c r="T10" s="67">
        <f t="shared" si="33"/>
        <v>0</v>
      </c>
      <c r="U10" s="405">
        <f t="shared" si="14"/>
        <v>3</v>
      </c>
      <c r="V10" s="62">
        <f t="shared" si="15"/>
        <v>172</v>
      </c>
      <c r="W10" s="403">
        <f t="shared" si="16"/>
        <v>57.333333333333336</v>
      </c>
      <c r="X10" s="64">
        <f t="shared" si="34"/>
        <v>2452</v>
      </c>
      <c r="Y10" s="52">
        <f t="shared" si="17"/>
        <v>0</v>
      </c>
      <c r="Z10" s="64">
        <f t="shared" si="35"/>
        <v>137831.1</v>
      </c>
      <c r="AA10" s="65">
        <f t="shared" si="5"/>
        <v>0</v>
      </c>
      <c r="AB10" s="287">
        <f t="shared" si="36"/>
        <v>0</v>
      </c>
      <c r="AC10" s="64">
        <f t="shared" si="18"/>
        <v>1934</v>
      </c>
      <c r="AD10" s="45">
        <f t="shared" si="6"/>
        <v>0</v>
      </c>
      <c r="AE10" s="595">
        <f t="shared" si="19"/>
        <v>365317</v>
      </c>
      <c r="AF10" s="309">
        <f t="shared" si="20"/>
        <v>0</v>
      </c>
      <c r="AG10" s="210">
        <f t="shared" si="37"/>
        <v>0</v>
      </c>
      <c r="AH10" s="62">
        <f t="shared" si="38"/>
        <v>0</v>
      </c>
      <c r="AI10" s="321">
        <f>SUM(AH10+V10)</f>
        <v>172</v>
      </c>
      <c r="AJ10" s="321">
        <f>-tanks!AW11</f>
        <v>172</v>
      </c>
      <c r="AK10" s="321">
        <f t="shared" si="22"/>
        <v>0</v>
      </c>
      <c r="AL10" s="321">
        <f t="shared" si="7"/>
        <v>3</v>
      </c>
      <c r="AM10" s="321">
        <f t="shared" si="23"/>
        <v>0</v>
      </c>
      <c r="AN10" s="64">
        <f t="shared" si="24"/>
        <v>68</v>
      </c>
      <c r="AO10" s="323">
        <f t="shared" si="25"/>
        <v>2040.0000000000002</v>
      </c>
      <c r="AP10" s="64">
        <f t="shared" si="26"/>
        <v>55</v>
      </c>
      <c r="AQ10" s="323">
        <f t="shared" si="27"/>
        <v>1650.0000000000002</v>
      </c>
      <c r="AR10" s="64">
        <f t="shared" si="28"/>
        <v>62</v>
      </c>
      <c r="AS10" s="323">
        <f t="shared" si="39"/>
        <v>1860</v>
      </c>
      <c r="AT10" s="323">
        <f t="shared" si="40"/>
        <v>5550</v>
      </c>
      <c r="AU10" s="323">
        <f t="shared" si="41"/>
        <v>0</v>
      </c>
      <c r="AV10" s="271"/>
      <c r="AW10" s="271"/>
      <c r="AX10" s="316">
        <f t="shared" si="29"/>
        <v>0.8</v>
      </c>
    </row>
    <row r="11" spans="1:52">
      <c r="A11" s="63">
        <f>ELEC!C9</f>
        <v>44203</v>
      </c>
      <c r="B11" s="599">
        <v>219.2</v>
      </c>
      <c r="C11" s="599">
        <v>225.3</v>
      </c>
      <c r="D11" s="45">
        <f t="shared" si="30"/>
        <v>3.6999999999999886</v>
      </c>
      <c r="E11" s="45">
        <f t="shared" si="8"/>
        <v>31.005999999999908</v>
      </c>
      <c r="F11" s="64">
        <v>1685</v>
      </c>
      <c r="G11" s="52">
        <f t="shared" si="0"/>
        <v>1</v>
      </c>
      <c r="H11" s="64">
        <v>1796</v>
      </c>
      <c r="I11" s="399">
        <f t="shared" si="1"/>
        <v>87</v>
      </c>
      <c r="J11" s="66">
        <f t="shared" si="11"/>
        <v>87</v>
      </c>
      <c r="K11" s="64">
        <v>2188</v>
      </c>
      <c r="L11" s="52">
        <f t="shared" si="12"/>
        <v>1</v>
      </c>
      <c r="M11" s="64">
        <v>160765</v>
      </c>
      <c r="N11" s="399">
        <f t="shared" si="2"/>
        <v>124</v>
      </c>
      <c r="O11" s="64">
        <f t="shared" si="13"/>
        <v>1869</v>
      </c>
      <c r="P11" s="64">
        <f t="shared" si="13"/>
        <v>1943</v>
      </c>
      <c r="Q11" s="64">
        <f t="shared" si="13"/>
        <v>164554</v>
      </c>
      <c r="R11" s="398">
        <f t="shared" ref="R11:R34" si="42">Q11-Q10</f>
        <v>0</v>
      </c>
      <c r="S11" s="52">
        <f t="shared" si="4"/>
        <v>0</v>
      </c>
      <c r="T11" s="67">
        <f t="shared" si="33"/>
        <v>0</v>
      </c>
      <c r="U11" s="405">
        <f t="shared" si="14"/>
        <v>2</v>
      </c>
      <c r="V11" s="62">
        <f t="shared" si="15"/>
        <v>211</v>
      </c>
      <c r="W11" s="403">
        <f t="shared" si="16"/>
        <v>105.5</v>
      </c>
      <c r="X11" s="64">
        <f t="shared" si="34"/>
        <v>2452</v>
      </c>
      <c r="Y11" s="52">
        <f t="shared" si="17"/>
        <v>0</v>
      </c>
      <c r="Z11" s="64">
        <f t="shared" si="35"/>
        <v>137831.1</v>
      </c>
      <c r="AA11" s="65">
        <f t="shared" si="5"/>
        <v>0</v>
      </c>
      <c r="AB11" s="287">
        <f t="shared" si="36"/>
        <v>0</v>
      </c>
      <c r="AC11" s="64">
        <f t="shared" si="18"/>
        <v>1934</v>
      </c>
      <c r="AD11" s="45">
        <f t="shared" si="6"/>
        <v>0</v>
      </c>
      <c r="AE11" s="595">
        <f t="shared" si="19"/>
        <v>365317</v>
      </c>
      <c r="AF11" s="309">
        <f t="shared" si="20"/>
        <v>0</v>
      </c>
      <c r="AG11" s="210">
        <f t="shared" si="37"/>
        <v>0</v>
      </c>
      <c r="AH11" s="62">
        <f>AF11+AA11</f>
        <v>0</v>
      </c>
      <c r="AI11" s="321">
        <f>SUM(AH11+V11)</f>
        <v>211</v>
      </c>
      <c r="AJ11" s="321">
        <f>-tanks!AW12</f>
        <v>211</v>
      </c>
      <c r="AK11" s="321">
        <f t="shared" si="22"/>
        <v>0</v>
      </c>
      <c r="AL11" s="321">
        <f t="shared" si="7"/>
        <v>2</v>
      </c>
      <c r="AM11" s="321">
        <f t="shared" si="23"/>
        <v>0</v>
      </c>
      <c r="AN11" s="64">
        <f t="shared" si="24"/>
        <v>68</v>
      </c>
      <c r="AO11" s="323">
        <f t="shared" si="25"/>
        <v>2040.0000000000002</v>
      </c>
      <c r="AP11" s="64">
        <f t="shared" si="26"/>
        <v>55</v>
      </c>
      <c r="AQ11" s="323">
        <f t="shared" si="27"/>
        <v>1650.0000000000002</v>
      </c>
      <c r="AR11" s="64">
        <f t="shared" si="28"/>
        <v>62</v>
      </c>
      <c r="AS11" s="323">
        <f t="shared" si="39"/>
        <v>1860</v>
      </c>
      <c r="AT11" s="323">
        <f t="shared" si="40"/>
        <v>5550</v>
      </c>
      <c r="AU11" s="323">
        <f t="shared" si="41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44204</v>
      </c>
      <c r="B12" s="599">
        <v>214</v>
      </c>
      <c r="C12" s="599">
        <v>221.5</v>
      </c>
      <c r="D12" s="45">
        <f t="shared" si="30"/>
        <v>3.8000000000000114</v>
      </c>
      <c r="E12" s="45">
        <f t="shared" si="8"/>
        <v>31.844000000000097</v>
      </c>
      <c r="F12" s="64">
        <v>1685</v>
      </c>
      <c r="G12" s="52">
        <f t="shared" si="0"/>
        <v>0</v>
      </c>
      <c r="H12" s="64">
        <f t="shared" si="10"/>
        <v>1796</v>
      </c>
      <c r="I12" s="399">
        <f t="shared" si="1"/>
        <v>0</v>
      </c>
      <c r="J12" s="66">
        <f t="shared" si="11"/>
        <v>0</v>
      </c>
      <c r="K12" s="64">
        <v>2189</v>
      </c>
      <c r="L12" s="52">
        <f t="shared" si="12"/>
        <v>1</v>
      </c>
      <c r="M12" s="64">
        <v>160864</v>
      </c>
      <c r="N12" s="399">
        <f t="shared" si="2"/>
        <v>99</v>
      </c>
      <c r="O12" s="64">
        <f t="shared" si="13"/>
        <v>1869</v>
      </c>
      <c r="P12" s="64">
        <v>1944</v>
      </c>
      <c r="Q12" s="64">
        <v>164664</v>
      </c>
      <c r="R12" s="398">
        <f t="shared" si="42"/>
        <v>110</v>
      </c>
      <c r="S12" s="52">
        <f t="shared" si="4"/>
        <v>1</v>
      </c>
      <c r="T12" s="67">
        <f t="shared" si="33"/>
        <v>0</v>
      </c>
      <c r="U12" s="405">
        <f t="shared" si="14"/>
        <v>2</v>
      </c>
      <c r="V12" s="62">
        <f t="shared" si="15"/>
        <v>209</v>
      </c>
      <c r="W12" s="403">
        <f t="shared" si="16"/>
        <v>104.5</v>
      </c>
      <c r="X12" s="64">
        <f t="shared" si="34"/>
        <v>2452</v>
      </c>
      <c r="Y12" s="52">
        <f t="shared" si="17"/>
        <v>0</v>
      </c>
      <c r="Z12" s="64">
        <f t="shared" si="35"/>
        <v>137831.1</v>
      </c>
      <c r="AA12" s="65">
        <f t="shared" si="5"/>
        <v>0</v>
      </c>
      <c r="AB12" s="287">
        <f t="shared" si="36"/>
        <v>0</v>
      </c>
      <c r="AC12" s="64">
        <f t="shared" si="18"/>
        <v>1934</v>
      </c>
      <c r="AD12" s="45">
        <f t="shared" si="6"/>
        <v>0</v>
      </c>
      <c r="AE12" s="595">
        <f t="shared" si="19"/>
        <v>365317</v>
      </c>
      <c r="AF12" s="309">
        <f t="shared" si="20"/>
        <v>0</v>
      </c>
      <c r="AG12" s="210">
        <f t="shared" si="37"/>
        <v>0</v>
      </c>
      <c r="AH12" s="62">
        <f t="shared" si="38"/>
        <v>0</v>
      </c>
      <c r="AI12" s="321">
        <f t="shared" si="21"/>
        <v>209</v>
      </c>
      <c r="AJ12" s="321">
        <f>-tanks!AW13</f>
        <v>209</v>
      </c>
      <c r="AK12" s="321">
        <f t="shared" si="22"/>
        <v>0</v>
      </c>
      <c r="AL12" s="321">
        <f t="shared" si="7"/>
        <v>2</v>
      </c>
      <c r="AM12" s="321">
        <f t="shared" si="23"/>
        <v>0</v>
      </c>
      <c r="AN12" s="64">
        <f t="shared" si="24"/>
        <v>68</v>
      </c>
      <c r="AO12" s="323">
        <f t="shared" si="25"/>
        <v>2040.0000000000002</v>
      </c>
      <c r="AP12" s="64">
        <f t="shared" si="26"/>
        <v>55</v>
      </c>
      <c r="AQ12" s="323">
        <f t="shared" si="27"/>
        <v>1650.0000000000002</v>
      </c>
      <c r="AR12" s="64">
        <f t="shared" si="28"/>
        <v>62</v>
      </c>
      <c r="AS12" s="323">
        <f t="shared" si="39"/>
        <v>1860</v>
      </c>
      <c r="AT12" s="323">
        <f t="shared" si="40"/>
        <v>5550</v>
      </c>
      <c r="AU12" s="323">
        <f t="shared" si="41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44205</v>
      </c>
      <c r="B13" s="599">
        <v>212</v>
      </c>
      <c r="C13" s="599">
        <v>218</v>
      </c>
      <c r="D13" s="45">
        <f t="shared" si="30"/>
        <v>3.5</v>
      </c>
      <c r="E13" s="45">
        <f t="shared" si="8"/>
        <v>29.330000000000002</v>
      </c>
      <c r="F13" s="64">
        <v>1688</v>
      </c>
      <c r="G13" s="52">
        <f t="shared" si="0"/>
        <v>3</v>
      </c>
      <c r="H13" s="64">
        <f t="shared" si="10"/>
        <v>1796</v>
      </c>
      <c r="I13" s="399">
        <f t="shared" si="1"/>
        <v>0</v>
      </c>
      <c r="J13" s="66">
        <f t="shared" si="11"/>
        <v>0</v>
      </c>
      <c r="K13" s="64">
        <f t="shared" si="31"/>
        <v>2189</v>
      </c>
      <c r="L13" s="52">
        <f t="shared" si="12"/>
        <v>0</v>
      </c>
      <c r="M13" s="64">
        <f t="shared" si="32"/>
        <v>160864</v>
      </c>
      <c r="N13" s="399">
        <f t="shared" si="2"/>
        <v>0</v>
      </c>
      <c r="O13" s="64">
        <f t="shared" si="13"/>
        <v>1869</v>
      </c>
      <c r="P13" s="64">
        <f t="shared" si="13"/>
        <v>1944</v>
      </c>
      <c r="Q13" s="64">
        <f t="shared" si="13"/>
        <v>164664</v>
      </c>
      <c r="R13" s="398">
        <f t="shared" si="42"/>
        <v>0</v>
      </c>
      <c r="S13" s="52">
        <f t="shared" si="4"/>
        <v>0</v>
      </c>
      <c r="T13" s="67">
        <f t="shared" si="33"/>
        <v>0</v>
      </c>
      <c r="U13" s="405">
        <f t="shared" si="14"/>
        <v>3</v>
      </c>
      <c r="V13" s="62">
        <f>R13+N13+I13:I13</f>
        <v>0</v>
      </c>
      <c r="W13" s="403">
        <f t="shared" si="16"/>
        <v>0</v>
      </c>
      <c r="X13" s="64">
        <f t="shared" si="34"/>
        <v>2452</v>
      </c>
      <c r="Y13" s="52">
        <f t="shared" si="17"/>
        <v>0</v>
      </c>
      <c r="Z13" s="64">
        <f t="shared" si="35"/>
        <v>137831.1</v>
      </c>
      <c r="AA13" s="287">
        <f t="shared" si="5"/>
        <v>0</v>
      </c>
      <c r="AB13" s="287">
        <f t="shared" si="36"/>
        <v>0</v>
      </c>
      <c r="AC13" s="64">
        <f t="shared" si="18"/>
        <v>1934</v>
      </c>
      <c r="AD13" s="45">
        <f t="shared" si="6"/>
        <v>0</v>
      </c>
      <c r="AE13" s="595">
        <f t="shared" si="19"/>
        <v>365317</v>
      </c>
      <c r="AF13" s="309">
        <f t="shared" si="20"/>
        <v>0</v>
      </c>
      <c r="AG13" s="210">
        <f t="shared" si="37"/>
        <v>0</v>
      </c>
      <c r="AH13" s="62">
        <f t="shared" si="38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7"/>
        <v>3</v>
      </c>
      <c r="AM13" s="321">
        <f t="shared" si="23"/>
        <v>0</v>
      </c>
      <c r="AN13" s="64">
        <f t="shared" si="24"/>
        <v>68</v>
      </c>
      <c r="AO13" s="323">
        <f t="shared" si="25"/>
        <v>2040.0000000000002</v>
      </c>
      <c r="AP13" s="64">
        <f t="shared" si="26"/>
        <v>55</v>
      </c>
      <c r="AQ13" s="323">
        <f t="shared" si="27"/>
        <v>1650.0000000000002</v>
      </c>
      <c r="AR13" s="64">
        <f t="shared" si="28"/>
        <v>62</v>
      </c>
      <c r="AS13" s="323">
        <f t="shared" si="39"/>
        <v>1860</v>
      </c>
      <c r="AT13" s="323">
        <f t="shared" si="40"/>
        <v>5550</v>
      </c>
      <c r="AU13" s="323">
        <f t="shared" si="41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44206</v>
      </c>
      <c r="B14" s="599">
        <v>209.3</v>
      </c>
      <c r="C14" s="599">
        <v>216</v>
      </c>
      <c r="D14" s="45">
        <f t="shared" si="30"/>
        <v>2</v>
      </c>
      <c r="E14" s="45">
        <f t="shared" si="8"/>
        <v>16.760000000000002</v>
      </c>
      <c r="F14" s="64">
        <v>1689</v>
      </c>
      <c r="G14" s="52">
        <f t="shared" si="0"/>
        <v>1</v>
      </c>
      <c r="H14" s="64">
        <f t="shared" si="10"/>
        <v>1796</v>
      </c>
      <c r="I14" s="399">
        <f t="shared" si="1"/>
        <v>0</v>
      </c>
      <c r="J14" s="66">
        <f t="shared" si="11"/>
        <v>0</v>
      </c>
      <c r="K14" s="64">
        <v>2192</v>
      </c>
      <c r="L14" s="52">
        <f t="shared" si="12"/>
        <v>3</v>
      </c>
      <c r="M14" s="64">
        <v>161025</v>
      </c>
      <c r="N14" s="399">
        <f t="shared" si="2"/>
        <v>161</v>
      </c>
      <c r="O14" s="64">
        <f t="shared" si="13"/>
        <v>1869</v>
      </c>
      <c r="P14" s="64">
        <f t="shared" si="13"/>
        <v>1944</v>
      </c>
      <c r="Q14" s="64">
        <f t="shared" si="13"/>
        <v>164664</v>
      </c>
      <c r="R14" s="398">
        <f t="shared" si="42"/>
        <v>0</v>
      </c>
      <c r="S14" s="52">
        <f t="shared" si="4"/>
        <v>0</v>
      </c>
      <c r="T14" s="67">
        <f t="shared" si="33"/>
        <v>0</v>
      </c>
      <c r="U14" s="405">
        <f t="shared" si="14"/>
        <v>4</v>
      </c>
      <c r="V14" s="62">
        <f t="shared" si="15"/>
        <v>161</v>
      </c>
      <c r="W14" s="403">
        <f t="shared" si="16"/>
        <v>40.25</v>
      </c>
      <c r="X14" s="64">
        <f t="shared" si="34"/>
        <v>2452</v>
      </c>
      <c r="Y14" s="52">
        <f t="shared" si="17"/>
        <v>0</v>
      </c>
      <c r="Z14" s="64">
        <f t="shared" si="35"/>
        <v>137831.1</v>
      </c>
      <c r="AA14" s="65">
        <f t="shared" si="5"/>
        <v>0</v>
      </c>
      <c r="AB14" s="287">
        <f t="shared" si="36"/>
        <v>0</v>
      </c>
      <c r="AC14" s="64">
        <f t="shared" si="18"/>
        <v>1934</v>
      </c>
      <c r="AD14" s="45">
        <f t="shared" si="6"/>
        <v>0</v>
      </c>
      <c r="AE14" s="595">
        <f t="shared" si="19"/>
        <v>365317</v>
      </c>
      <c r="AF14" s="309">
        <f>AE14-AE13</f>
        <v>0</v>
      </c>
      <c r="AG14" s="210">
        <f t="shared" si="37"/>
        <v>0</v>
      </c>
      <c r="AH14" s="62">
        <f>AF14+AA14</f>
        <v>0</v>
      </c>
      <c r="AI14" s="321">
        <f>SUM(AH14+V14)</f>
        <v>161</v>
      </c>
      <c r="AJ14" s="321">
        <f>-tanks!AW15</f>
        <v>161</v>
      </c>
      <c r="AK14" s="321">
        <f t="shared" si="22"/>
        <v>0</v>
      </c>
      <c r="AL14" s="321">
        <f t="shared" si="7"/>
        <v>4</v>
      </c>
      <c r="AM14" s="321">
        <f t="shared" si="23"/>
        <v>0</v>
      </c>
      <c r="AN14" s="64">
        <f t="shared" si="24"/>
        <v>68</v>
      </c>
      <c r="AO14" s="323">
        <f t="shared" si="25"/>
        <v>2040.0000000000002</v>
      </c>
      <c r="AP14" s="64">
        <f t="shared" si="26"/>
        <v>55</v>
      </c>
      <c r="AQ14" s="323">
        <f t="shared" si="27"/>
        <v>1650.0000000000002</v>
      </c>
      <c r="AR14" s="64">
        <f t="shared" si="28"/>
        <v>62</v>
      </c>
      <c r="AS14" s="323">
        <f t="shared" si="39"/>
        <v>1860</v>
      </c>
      <c r="AT14" s="323">
        <f t="shared" si="40"/>
        <v>5550</v>
      </c>
      <c r="AU14" s="323">
        <f t="shared" si="41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44207</v>
      </c>
      <c r="B15" s="599">
        <v>207</v>
      </c>
      <c r="C15" s="599">
        <v>213</v>
      </c>
      <c r="D15" s="45">
        <f t="shared" si="30"/>
        <v>3</v>
      </c>
      <c r="E15" s="45">
        <f t="shared" si="8"/>
        <v>25.14</v>
      </c>
      <c r="F15" s="64">
        <f t="shared" si="9"/>
        <v>1689</v>
      </c>
      <c r="G15" s="52">
        <f t="shared" si="0"/>
        <v>0</v>
      </c>
      <c r="H15" s="64">
        <f t="shared" si="10"/>
        <v>1796</v>
      </c>
      <c r="I15" s="399">
        <f t="shared" si="1"/>
        <v>0</v>
      </c>
      <c r="J15" s="66">
        <f t="shared" si="11"/>
        <v>0</v>
      </c>
      <c r="K15" s="64">
        <f t="shared" si="31"/>
        <v>2192</v>
      </c>
      <c r="L15" s="52">
        <f t="shared" si="12"/>
        <v>0</v>
      </c>
      <c r="M15" s="64">
        <f t="shared" si="32"/>
        <v>161025</v>
      </c>
      <c r="N15" s="399">
        <f t="shared" si="2"/>
        <v>0</v>
      </c>
      <c r="O15" s="64">
        <f t="shared" si="13"/>
        <v>1869</v>
      </c>
      <c r="P15" s="64">
        <v>1947</v>
      </c>
      <c r="Q15" s="64">
        <v>164895</v>
      </c>
      <c r="R15" s="398">
        <f t="shared" si="42"/>
        <v>231</v>
      </c>
      <c r="S15" s="52">
        <f t="shared" si="4"/>
        <v>3</v>
      </c>
      <c r="T15" s="67">
        <f t="shared" si="33"/>
        <v>0</v>
      </c>
      <c r="U15" s="405">
        <f t="shared" si="14"/>
        <v>3</v>
      </c>
      <c r="V15" s="62">
        <f t="shared" si="15"/>
        <v>231</v>
      </c>
      <c r="W15" s="403">
        <f t="shared" si="16"/>
        <v>77</v>
      </c>
      <c r="X15" s="64">
        <f t="shared" si="34"/>
        <v>2452</v>
      </c>
      <c r="Y15" s="52">
        <f t="shared" si="17"/>
        <v>0</v>
      </c>
      <c r="Z15" s="64">
        <f t="shared" si="35"/>
        <v>137831.1</v>
      </c>
      <c r="AA15" s="65">
        <f t="shared" si="5"/>
        <v>0</v>
      </c>
      <c r="AB15" s="287">
        <f t="shared" si="36"/>
        <v>0</v>
      </c>
      <c r="AC15" s="64">
        <f t="shared" si="18"/>
        <v>1934</v>
      </c>
      <c r="AD15" s="45">
        <f t="shared" si="6"/>
        <v>0</v>
      </c>
      <c r="AE15" s="595">
        <f t="shared" si="19"/>
        <v>365317</v>
      </c>
      <c r="AF15" s="309">
        <f t="shared" si="20"/>
        <v>0</v>
      </c>
      <c r="AG15" s="210">
        <f t="shared" si="37"/>
        <v>0</v>
      </c>
      <c r="AH15" s="62">
        <f t="shared" si="38"/>
        <v>0</v>
      </c>
      <c r="AI15" s="321">
        <f t="shared" si="21"/>
        <v>231</v>
      </c>
      <c r="AJ15" s="321">
        <f>-tanks!AW16</f>
        <v>231</v>
      </c>
      <c r="AK15" s="321">
        <f t="shared" si="22"/>
        <v>0</v>
      </c>
      <c r="AL15" s="321">
        <f t="shared" si="7"/>
        <v>3</v>
      </c>
      <c r="AM15" s="321">
        <f t="shared" si="23"/>
        <v>0</v>
      </c>
      <c r="AN15" s="64">
        <f t="shared" si="24"/>
        <v>68</v>
      </c>
      <c r="AO15" s="323">
        <f t="shared" si="25"/>
        <v>2040.0000000000002</v>
      </c>
      <c r="AP15" s="64">
        <f t="shared" si="26"/>
        <v>55</v>
      </c>
      <c r="AQ15" s="323">
        <f t="shared" si="27"/>
        <v>1650.0000000000002</v>
      </c>
      <c r="AR15" s="64">
        <f t="shared" si="28"/>
        <v>62</v>
      </c>
      <c r="AS15" s="323">
        <f t="shared" si="39"/>
        <v>1860</v>
      </c>
      <c r="AT15" s="323">
        <f t="shared" si="40"/>
        <v>5550</v>
      </c>
      <c r="AU15" s="323">
        <f t="shared" si="41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44208</v>
      </c>
      <c r="B16" s="599">
        <v>203</v>
      </c>
      <c r="C16" s="599">
        <v>209</v>
      </c>
      <c r="D16" s="45">
        <f t="shared" si="30"/>
        <v>4</v>
      </c>
      <c r="E16" s="45">
        <f t="shared" si="8"/>
        <v>33.520000000000003</v>
      </c>
      <c r="F16" s="64">
        <v>1690</v>
      </c>
      <c r="G16" s="52">
        <f t="shared" si="0"/>
        <v>1</v>
      </c>
      <c r="H16" s="64">
        <v>2177</v>
      </c>
      <c r="I16" s="399">
        <f t="shared" si="1"/>
        <v>381</v>
      </c>
      <c r="J16" s="66">
        <f t="shared" si="11"/>
        <v>381</v>
      </c>
      <c r="K16" s="64">
        <f t="shared" si="31"/>
        <v>2192</v>
      </c>
      <c r="L16" s="52">
        <f t="shared" si="12"/>
        <v>0</v>
      </c>
      <c r="M16" s="64">
        <f t="shared" si="32"/>
        <v>161025</v>
      </c>
      <c r="N16" s="399">
        <f t="shared" si="2"/>
        <v>0</v>
      </c>
      <c r="O16" s="64">
        <f t="shared" si="13"/>
        <v>1869</v>
      </c>
      <c r="P16" s="64">
        <v>1949</v>
      </c>
      <c r="Q16" s="64">
        <v>165010</v>
      </c>
      <c r="R16" s="398">
        <f t="shared" si="42"/>
        <v>115</v>
      </c>
      <c r="S16" s="52">
        <f t="shared" si="4"/>
        <v>2</v>
      </c>
      <c r="T16" s="67">
        <f t="shared" si="33"/>
        <v>0</v>
      </c>
      <c r="U16" s="405">
        <f t="shared" si="14"/>
        <v>3</v>
      </c>
      <c r="V16" s="62">
        <f t="shared" si="15"/>
        <v>496</v>
      </c>
      <c r="W16" s="403">
        <f t="shared" si="16"/>
        <v>165.33333333333334</v>
      </c>
      <c r="X16" s="64">
        <f t="shared" si="34"/>
        <v>2452</v>
      </c>
      <c r="Y16" s="52">
        <f t="shared" si="17"/>
        <v>0</v>
      </c>
      <c r="Z16" s="64">
        <f t="shared" si="35"/>
        <v>137831.1</v>
      </c>
      <c r="AA16" s="65">
        <f t="shared" si="5"/>
        <v>0</v>
      </c>
      <c r="AB16" s="287">
        <f t="shared" si="36"/>
        <v>0</v>
      </c>
      <c r="AC16" s="64">
        <f t="shared" si="18"/>
        <v>1934</v>
      </c>
      <c r="AD16" s="45">
        <f t="shared" si="6"/>
        <v>0</v>
      </c>
      <c r="AE16" s="595">
        <f t="shared" si="19"/>
        <v>365317</v>
      </c>
      <c r="AF16" s="309">
        <f t="shared" si="20"/>
        <v>0</v>
      </c>
      <c r="AG16" s="210">
        <f t="shared" si="37"/>
        <v>0</v>
      </c>
      <c r="AH16" s="62">
        <f t="shared" si="38"/>
        <v>0</v>
      </c>
      <c r="AI16" s="321">
        <f t="shared" si="21"/>
        <v>496</v>
      </c>
      <c r="AJ16" s="321">
        <f>-tanks!AW17</f>
        <v>496</v>
      </c>
      <c r="AK16" s="321">
        <f t="shared" si="22"/>
        <v>0</v>
      </c>
      <c r="AL16" s="321">
        <f t="shared" si="7"/>
        <v>3</v>
      </c>
      <c r="AM16" s="321">
        <f t="shared" si="23"/>
        <v>0</v>
      </c>
      <c r="AN16" s="64">
        <f t="shared" si="24"/>
        <v>68</v>
      </c>
      <c r="AO16" s="323">
        <f t="shared" si="25"/>
        <v>2040.0000000000002</v>
      </c>
      <c r="AP16" s="64">
        <f t="shared" si="26"/>
        <v>55</v>
      </c>
      <c r="AQ16" s="323">
        <f t="shared" si="27"/>
        <v>1650.0000000000002</v>
      </c>
      <c r="AR16" s="64">
        <f t="shared" si="28"/>
        <v>62</v>
      </c>
      <c r="AS16" s="323">
        <f t="shared" si="39"/>
        <v>1860</v>
      </c>
      <c r="AT16" s="323">
        <f t="shared" si="40"/>
        <v>5550</v>
      </c>
      <c r="AU16" s="323">
        <f t="shared" si="41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44209</v>
      </c>
      <c r="B17" s="599">
        <v>254</v>
      </c>
      <c r="C17" s="599">
        <v>261</v>
      </c>
      <c r="D17" s="45">
        <f t="shared" si="30"/>
        <v>-52</v>
      </c>
      <c r="E17" s="45">
        <f t="shared" si="8"/>
        <v>-435.76000000000005</v>
      </c>
      <c r="F17" s="64">
        <v>1692</v>
      </c>
      <c r="G17" s="52">
        <f t="shared" si="0"/>
        <v>2</v>
      </c>
      <c r="H17" s="64">
        <v>2275</v>
      </c>
      <c r="I17" s="399">
        <f t="shared" si="1"/>
        <v>98</v>
      </c>
      <c r="J17" s="66">
        <f t="shared" si="11"/>
        <v>49</v>
      </c>
      <c r="K17" s="64">
        <v>2195</v>
      </c>
      <c r="L17" s="52">
        <f t="shared" si="12"/>
        <v>3</v>
      </c>
      <c r="M17" s="64">
        <v>161252</v>
      </c>
      <c r="N17" s="399">
        <f t="shared" si="2"/>
        <v>227</v>
      </c>
      <c r="O17" s="64">
        <f t="shared" si="13"/>
        <v>1869</v>
      </c>
      <c r="P17" s="64">
        <f t="shared" si="13"/>
        <v>1949</v>
      </c>
      <c r="Q17" s="64">
        <f t="shared" si="13"/>
        <v>165010</v>
      </c>
      <c r="R17" s="398">
        <f t="shared" si="42"/>
        <v>0</v>
      </c>
      <c r="S17" s="52">
        <f t="shared" si="4"/>
        <v>0</v>
      </c>
      <c r="T17" s="67">
        <f t="shared" si="33"/>
        <v>0</v>
      </c>
      <c r="U17" s="405">
        <f t="shared" si="14"/>
        <v>5</v>
      </c>
      <c r="V17" s="62">
        <f t="shared" si="15"/>
        <v>325</v>
      </c>
      <c r="W17" s="403"/>
      <c r="X17" s="64">
        <f t="shared" si="34"/>
        <v>2452</v>
      </c>
      <c r="Y17" s="52">
        <f t="shared" si="17"/>
        <v>0</v>
      </c>
      <c r="Z17" s="64">
        <f t="shared" si="35"/>
        <v>137831.1</v>
      </c>
      <c r="AA17" s="65">
        <f t="shared" si="5"/>
        <v>0</v>
      </c>
      <c r="AB17" s="287">
        <f t="shared" si="36"/>
        <v>0</v>
      </c>
      <c r="AC17" s="64">
        <f t="shared" si="18"/>
        <v>1934</v>
      </c>
      <c r="AD17" s="45">
        <f t="shared" si="6"/>
        <v>0</v>
      </c>
      <c r="AE17" s="595">
        <f t="shared" si="19"/>
        <v>365317</v>
      </c>
      <c r="AF17" s="309">
        <f t="shared" si="20"/>
        <v>0</v>
      </c>
      <c r="AG17" s="210">
        <f t="shared" si="37"/>
        <v>0</v>
      </c>
      <c r="AH17" s="62">
        <f t="shared" si="38"/>
        <v>0</v>
      </c>
      <c r="AI17" s="321">
        <f t="shared" si="21"/>
        <v>325</v>
      </c>
      <c r="AJ17" s="321">
        <f>-tanks!AW18</f>
        <v>325</v>
      </c>
      <c r="AK17" s="321">
        <f t="shared" si="22"/>
        <v>0</v>
      </c>
      <c r="AL17" s="321">
        <f t="shared" si="7"/>
        <v>5</v>
      </c>
      <c r="AM17" s="321">
        <f t="shared" si="23"/>
        <v>0</v>
      </c>
      <c r="AN17" s="64">
        <f t="shared" si="24"/>
        <v>68</v>
      </c>
      <c r="AO17" s="323">
        <f t="shared" si="25"/>
        <v>2040.0000000000002</v>
      </c>
      <c r="AP17" s="64">
        <f t="shared" si="26"/>
        <v>55</v>
      </c>
      <c r="AQ17" s="323">
        <f t="shared" si="27"/>
        <v>1650.0000000000002</v>
      </c>
      <c r="AR17" s="64">
        <f t="shared" si="28"/>
        <v>62</v>
      </c>
      <c r="AS17" s="323">
        <f t="shared" si="39"/>
        <v>1860</v>
      </c>
      <c r="AT17" s="323">
        <f t="shared" si="40"/>
        <v>5550</v>
      </c>
      <c r="AU17" s="323">
        <f t="shared" si="41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44210</v>
      </c>
      <c r="B18" s="599">
        <v>253</v>
      </c>
      <c r="C18" s="599">
        <v>259</v>
      </c>
      <c r="D18" s="45">
        <f t="shared" si="30"/>
        <v>2</v>
      </c>
      <c r="E18" s="45">
        <f t="shared" si="8"/>
        <v>16.760000000000002</v>
      </c>
      <c r="F18" s="64">
        <v>1693</v>
      </c>
      <c r="G18" s="52">
        <f t="shared" si="0"/>
        <v>1</v>
      </c>
      <c r="H18" s="64">
        <v>2372</v>
      </c>
      <c r="I18" s="399">
        <f t="shared" si="1"/>
        <v>97</v>
      </c>
      <c r="J18" s="66">
        <f t="shared" si="11"/>
        <v>97</v>
      </c>
      <c r="K18" s="64">
        <v>2196</v>
      </c>
      <c r="L18" s="52">
        <f t="shared" si="12"/>
        <v>1</v>
      </c>
      <c r="M18" s="64">
        <v>161323</v>
      </c>
      <c r="N18" s="399">
        <f t="shared" si="2"/>
        <v>71</v>
      </c>
      <c r="O18" s="64">
        <v>1869</v>
      </c>
      <c r="P18" s="64">
        <f t="shared" ref="P18:P35" si="43">P17</f>
        <v>1949</v>
      </c>
      <c r="Q18" s="64">
        <f t="shared" ref="Q18:Q35" si="44">Q17</f>
        <v>165010</v>
      </c>
      <c r="R18" s="398">
        <f t="shared" si="42"/>
        <v>0</v>
      </c>
      <c r="S18" s="52">
        <f t="shared" si="4"/>
        <v>0</v>
      </c>
      <c r="T18" s="67">
        <f t="shared" si="33"/>
        <v>0</v>
      </c>
      <c r="U18" s="405">
        <f t="shared" si="14"/>
        <v>2</v>
      </c>
      <c r="V18" s="62">
        <f t="shared" si="15"/>
        <v>168</v>
      </c>
      <c r="W18" s="403"/>
      <c r="X18" s="64">
        <f t="shared" si="34"/>
        <v>2452</v>
      </c>
      <c r="Y18" s="52">
        <f t="shared" si="17"/>
        <v>0</v>
      </c>
      <c r="Z18" s="64">
        <f t="shared" si="35"/>
        <v>137831.1</v>
      </c>
      <c r="AA18" s="65">
        <f t="shared" si="5"/>
        <v>0</v>
      </c>
      <c r="AB18" s="287">
        <f t="shared" ref="AB18:AB23" si="45">SUM(Y18*$AB$2)</f>
        <v>0</v>
      </c>
      <c r="AC18" s="64">
        <f t="shared" si="18"/>
        <v>1934</v>
      </c>
      <c r="AD18" s="45">
        <f t="shared" si="6"/>
        <v>0</v>
      </c>
      <c r="AE18" s="595">
        <f t="shared" si="19"/>
        <v>365317</v>
      </c>
      <c r="AF18" s="309">
        <f t="shared" si="20"/>
        <v>0</v>
      </c>
      <c r="AG18" s="210">
        <f t="shared" si="37"/>
        <v>0</v>
      </c>
      <c r="AH18" s="62">
        <f t="shared" si="38"/>
        <v>0</v>
      </c>
      <c r="AI18" s="321">
        <f t="shared" si="21"/>
        <v>168</v>
      </c>
      <c r="AJ18" s="321">
        <f>-tanks!AW19</f>
        <v>168</v>
      </c>
      <c r="AK18" s="321">
        <f t="shared" si="22"/>
        <v>0</v>
      </c>
      <c r="AL18" s="321">
        <f t="shared" si="7"/>
        <v>2</v>
      </c>
      <c r="AM18" s="321">
        <f t="shared" si="23"/>
        <v>0</v>
      </c>
      <c r="AN18" s="64">
        <f t="shared" si="24"/>
        <v>68</v>
      </c>
      <c r="AO18" s="323">
        <f t="shared" si="25"/>
        <v>2040.0000000000002</v>
      </c>
      <c r="AP18" s="64">
        <f t="shared" si="26"/>
        <v>55</v>
      </c>
      <c r="AQ18" s="323">
        <f t="shared" si="27"/>
        <v>1650.0000000000002</v>
      </c>
      <c r="AR18" s="64">
        <f t="shared" si="28"/>
        <v>62</v>
      </c>
      <c r="AS18" s="323">
        <f t="shared" si="39"/>
        <v>1860</v>
      </c>
      <c r="AT18" s="323">
        <f t="shared" si="40"/>
        <v>5550</v>
      </c>
      <c r="AU18" s="323">
        <f t="shared" si="41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44211</v>
      </c>
      <c r="B19" s="599">
        <v>250</v>
      </c>
      <c r="C19" s="599">
        <v>256</v>
      </c>
      <c r="D19" s="45">
        <f t="shared" si="30"/>
        <v>3</v>
      </c>
      <c r="E19" s="45">
        <f t="shared" si="8"/>
        <v>25.14</v>
      </c>
      <c r="F19" s="64">
        <v>1694</v>
      </c>
      <c r="G19" s="52">
        <f t="shared" si="0"/>
        <v>1</v>
      </c>
      <c r="H19" s="64">
        <v>2481</v>
      </c>
      <c r="I19" s="399">
        <f t="shared" si="1"/>
        <v>109</v>
      </c>
      <c r="J19" s="66">
        <f t="shared" si="11"/>
        <v>109</v>
      </c>
      <c r="K19" s="64">
        <v>2197</v>
      </c>
      <c r="L19" s="52">
        <f t="shared" si="12"/>
        <v>1</v>
      </c>
      <c r="M19" s="64">
        <v>161406</v>
      </c>
      <c r="N19" s="399">
        <f t="shared" si="2"/>
        <v>83</v>
      </c>
      <c r="O19" s="64">
        <f t="shared" si="13"/>
        <v>1869</v>
      </c>
      <c r="P19" s="64">
        <f t="shared" si="43"/>
        <v>1949</v>
      </c>
      <c r="Q19" s="64">
        <f t="shared" si="44"/>
        <v>165010</v>
      </c>
      <c r="R19" s="398">
        <f t="shared" si="42"/>
        <v>0</v>
      </c>
      <c r="S19" s="52">
        <f t="shared" si="4"/>
        <v>0</v>
      </c>
      <c r="T19" s="67">
        <f t="shared" si="33"/>
        <v>0</v>
      </c>
      <c r="U19" s="405">
        <f t="shared" si="14"/>
        <v>2</v>
      </c>
      <c r="V19" s="62">
        <f t="shared" si="15"/>
        <v>192</v>
      </c>
      <c r="W19" s="403"/>
      <c r="X19" s="64">
        <f t="shared" si="34"/>
        <v>2452</v>
      </c>
      <c r="Y19" s="52">
        <f t="shared" si="17"/>
        <v>0</v>
      </c>
      <c r="Z19" s="64">
        <f t="shared" si="35"/>
        <v>137831.1</v>
      </c>
      <c r="AA19" s="65">
        <f t="shared" si="5"/>
        <v>0</v>
      </c>
      <c r="AB19" s="287">
        <f t="shared" si="45"/>
        <v>0</v>
      </c>
      <c r="AC19" s="64">
        <f t="shared" si="18"/>
        <v>1934</v>
      </c>
      <c r="AD19" s="45">
        <f t="shared" si="6"/>
        <v>0</v>
      </c>
      <c r="AE19" s="595">
        <f t="shared" si="19"/>
        <v>365317</v>
      </c>
      <c r="AF19" s="309">
        <f t="shared" si="20"/>
        <v>0</v>
      </c>
      <c r="AG19" s="210">
        <f t="shared" si="37"/>
        <v>0</v>
      </c>
      <c r="AH19" s="62">
        <f t="shared" si="38"/>
        <v>0</v>
      </c>
      <c r="AI19" s="321">
        <f t="shared" si="21"/>
        <v>192</v>
      </c>
      <c r="AJ19" s="321">
        <f>-tanks!AW20</f>
        <v>192</v>
      </c>
      <c r="AK19" s="321">
        <f t="shared" si="22"/>
        <v>0</v>
      </c>
      <c r="AL19" s="321">
        <f t="shared" si="7"/>
        <v>2</v>
      </c>
      <c r="AM19" s="321">
        <f t="shared" si="23"/>
        <v>0</v>
      </c>
      <c r="AN19" s="64">
        <f t="shared" si="24"/>
        <v>68</v>
      </c>
      <c r="AO19" s="323">
        <f t="shared" si="25"/>
        <v>2040.0000000000002</v>
      </c>
      <c r="AP19" s="64">
        <f t="shared" si="26"/>
        <v>55</v>
      </c>
      <c r="AQ19" s="323">
        <f t="shared" si="27"/>
        <v>1650.0000000000002</v>
      </c>
      <c r="AR19" s="64">
        <f t="shared" si="28"/>
        <v>62</v>
      </c>
      <c r="AS19" s="323">
        <f t="shared" si="39"/>
        <v>1860</v>
      </c>
      <c r="AT19" s="323">
        <f t="shared" si="40"/>
        <v>5550</v>
      </c>
      <c r="AU19" s="323">
        <f t="shared" si="41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44212</v>
      </c>
      <c r="B20" s="599">
        <v>249</v>
      </c>
      <c r="C20" s="599">
        <v>255</v>
      </c>
      <c r="D20" s="45">
        <f>C19-C20</f>
        <v>1</v>
      </c>
      <c r="E20" s="45">
        <f t="shared" si="8"/>
        <v>8.3800000000000008</v>
      </c>
      <c r="F20" s="64">
        <f t="shared" si="9"/>
        <v>1694</v>
      </c>
      <c r="G20" s="52">
        <f t="shared" si="0"/>
        <v>0</v>
      </c>
      <c r="H20" s="64">
        <f t="shared" si="10"/>
        <v>2481</v>
      </c>
      <c r="I20" s="399">
        <f t="shared" si="1"/>
        <v>0</v>
      </c>
      <c r="J20" s="66">
        <f t="shared" si="11"/>
        <v>0</v>
      </c>
      <c r="K20" s="64">
        <v>2198</v>
      </c>
      <c r="L20" s="52">
        <f t="shared" si="12"/>
        <v>1</v>
      </c>
      <c r="M20" s="64">
        <v>161545</v>
      </c>
      <c r="N20" s="399">
        <f t="shared" si="2"/>
        <v>139</v>
      </c>
      <c r="O20" s="64">
        <f t="shared" si="13"/>
        <v>1869</v>
      </c>
      <c r="P20" s="64">
        <v>1950</v>
      </c>
      <c r="Q20" s="64">
        <v>165146</v>
      </c>
      <c r="R20" s="398">
        <f t="shared" si="42"/>
        <v>136</v>
      </c>
      <c r="S20" s="52">
        <f t="shared" si="4"/>
        <v>1</v>
      </c>
      <c r="T20" s="67">
        <f t="shared" si="33"/>
        <v>0</v>
      </c>
      <c r="U20" s="405">
        <f t="shared" si="14"/>
        <v>2</v>
      </c>
      <c r="V20" s="62">
        <f t="shared" si="15"/>
        <v>275</v>
      </c>
      <c r="W20" s="403"/>
      <c r="X20" s="64">
        <f t="shared" si="34"/>
        <v>2452</v>
      </c>
      <c r="Y20" s="52">
        <f t="shared" si="17"/>
        <v>0</v>
      </c>
      <c r="Z20" s="64">
        <f t="shared" si="35"/>
        <v>137831.1</v>
      </c>
      <c r="AA20" s="65">
        <f t="shared" si="5"/>
        <v>0</v>
      </c>
      <c r="AB20" s="287">
        <f t="shared" si="45"/>
        <v>0</v>
      </c>
      <c r="AC20" s="64">
        <f t="shared" si="18"/>
        <v>1934</v>
      </c>
      <c r="AD20" s="45">
        <f t="shared" si="6"/>
        <v>0</v>
      </c>
      <c r="AE20" s="595">
        <f t="shared" si="19"/>
        <v>365317</v>
      </c>
      <c r="AF20" s="309">
        <f t="shared" si="20"/>
        <v>0</v>
      </c>
      <c r="AG20" s="210">
        <f t="shared" si="37"/>
        <v>0</v>
      </c>
      <c r="AH20" s="62">
        <f t="shared" si="38"/>
        <v>0</v>
      </c>
      <c r="AI20" s="321">
        <f t="shared" si="21"/>
        <v>275</v>
      </c>
      <c r="AJ20" s="321">
        <f>-tanks!AW21</f>
        <v>275</v>
      </c>
      <c r="AK20" s="321">
        <f t="shared" si="22"/>
        <v>0</v>
      </c>
      <c r="AL20" s="321">
        <f t="shared" si="7"/>
        <v>2</v>
      </c>
      <c r="AM20" s="321">
        <f t="shared" si="23"/>
        <v>0</v>
      </c>
      <c r="AN20" s="64">
        <f t="shared" si="24"/>
        <v>68</v>
      </c>
      <c r="AO20" s="323">
        <f t="shared" si="25"/>
        <v>2040.0000000000002</v>
      </c>
      <c r="AP20" s="64">
        <f t="shared" si="26"/>
        <v>55</v>
      </c>
      <c r="AQ20" s="323">
        <f t="shared" si="27"/>
        <v>1650.0000000000002</v>
      </c>
      <c r="AR20" s="64">
        <v>61</v>
      </c>
      <c r="AS20" s="323">
        <f t="shared" si="39"/>
        <v>1830</v>
      </c>
      <c r="AT20" s="323">
        <f t="shared" si="40"/>
        <v>5520</v>
      </c>
      <c r="AU20" s="323">
        <f t="shared" si="41"/>
        <v>30</v>
      </c>
      <c r="AV20" s="271"/>
      <c r="AW20" s="271"/>
      <c r="AX20" s="316">
        <f t="shared" si="29"/>
        <v>0.8</v>
      </c>
    </row>
    <row r="21" spans="1:50">
      <c r="A21" s="63">
        <f>ELEC!C19</f>
        <v>44213</v>
      </c>
      <c r="B21" s="599">
        <v>243</v>
      </c>
      <c r="C21" s="599">
        <v>249</v>
      </c>
      <c r="D21" s="45">
        <f t="shared" ref="D21:D31" si="46">C20-C21</f>
        <v>6</v>
      </c>
      <c r="E21" s="45">
        <f t="shared" si="8"/>
        <v>50.28</v>
      </c>
      <c r="F21" s="64">
        <v>1696</v>
      </c>
      <c r="G21" s="52">
        <f t="shared" si="0"/>
        <v>2</v>
      </c>
      <c r="H21" s="64">
        <v>2579</v>
      </c>
      <c r="I21" s="399">
        <f t="shared" si="1"/>
        <v>98</v>
      </c>
      <c r="J21" s="66">
        <f t="shared" si="11"/>
        <v>49</v>
      </c>
      <c r="K21" s="64">
        <f t="shared" si="31"/>
        <v>2198</v>
      </c>
      <c r="L21" s="52">
        <f t="shared" si="12"/>
        <v>0</v>
      </c>
      <c r="M21" s="64">
        <f t="shared" si="32"/>
        <v>161545</v>
      </c>
      <c r="N21" s="399">
        <f t="shared" si="2"/>
        <v>0</v>
      </c>
      <c r="O21" s="64">
        <f t="shared" si="13"/>
        <v>1869</v>
      </c>
      <c r="P21" s="64">
        <v>1952</v>
      </c>
      <c r="Q21" s="64">
        <v>165286</v>
      </c>
      <c r="R21" s="398">
        <f t="shared" si="42"/>
        <v>140</v>
      </c>
      <c r="S21" s="52">
        <f t="shared" si="4"/>
        <v>2</v>
      </c>
      <c r="T21" s="67">
        <f t="shared" si="33"/>
        <v>0</v>
      </c>
      <c r="U21" s="405">
        <f t="shared" si="14"/>
        <v>4</v>
      </c>
      <c r="V21" s="62">
        <f t="shared" si="15"/>
        <v>238</v>
      </c>
      <c r="W21" s="403"/>
      <c r="X21" s="64">
        <f t="shared" si="34"/>
        <v>2452</v>
      </c>
      <c r="Y21" s="52">
        <f t="shared" si="17"/>
        <v>0</v>
      </c>
      <c r="Z21" s="64">
        <f t="shared" si="35"/>
        <v>137831.1</v>
      </c>
      <c r="AA21" s="65">
        <f t="shared" si="5"/>
        <v>0</v>
      </c>
      <c r="AB21" s="287">
        <f t="shared" si="45"/>
        <v>0</v>
      </c>
      <c r="AC21" s="64">
        <f t="shared" si="18"/>
        <v>1934</v>
      </c>
      <c r="AD21" s="45">
        <f t="shared" si="6"/>
        <v>0</v>
      </c>
      <c r="AE21" s="595">
        <f t="shared" si="19"/>
        <v>365317</v>
      </c>
      <c r="AF21" s="309">
        <f t="shared" si="20"/>
        <v>0</v>
      </c>
      <c r="AG21" s="210">
        <f t="shared" si="37"/>
        <v>0</v>
      </c>
      <c r="AH21" s="62">
        <f t="shared" si="38"/>
        <v>0</v>
      </c>
      <c r="AI21" s="321">
        <f t="shared" si="21"/>
        <v>238</v>
      </c>
      <c r="AJ21" s="321">
        <f>-tanks!AW22</f>
        <v>238</v>
      </c>
      <c r="AK21" s="321">
        <f t="shared" si="22"/>
        <v>0</v>
      </c>
      <c r="AL21" s="321">
        <f t="shared" si="7"/>
        <v>4</v>
      </c>
      <c r="AM21" s="321">
        <f t="shared" si="23"/>
        <v>0</v>
      </c>
      <c r="AN21" s="64">
        <v>67</v>
      </c>
      <c r="AO21" s="323">
        <f t="shared" si="25"/>
        <v>2010.0000000000002</v>
      </c>
      <c r="AP21" s="64">
        <v>55</v>
      </c>
      <c r="AQ21" s="323">
        <f t="shared" si="27"/>
        <v>1650.0000000000002</v>
      </c>
      <c r="AR21" s="64">
        <f t="shared" si="28"/>
        <v>61</v>
      </c>
      <c r="AS21" s="323">
        <f t="shared" si="39"/>
        <v>1830</v>
      </c>
      <c r="AT21" s="323">
        <f t="shared" si="40"/>
        <v>5490</v>
      </c>
      <c r="AU21" s="323">
        <f t="shared" si="41"/>
        <v>30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44214</v>
      </c>
      <c r="B22" s="599">
        <v>241</v>
      </c>
      <c r="C22" s="599">
        <v>247</v>
      </c>
      <c r="D22" s="45">
        <f t="shared" si="46"/>
        <v>2</v>
      </c>
      <c r="E22" s="45">
        <f t="shared" si="8"/>
        <v>16.760000000000002</v>
      </c>
      <c r="F22" s="64">
        <v>1698</v>
      </c>
      <c r="G22" s="52">
        <f t="shared" si="0"/>
        <v>2</v>
      </c>
      <c r="H22" s="64">
        <v>2713</v>
      </c>
      <c r="I22" s="399">
        <f t="shared" si="1"/>
        <v>134</v>
      </c>
      <c r="J22" s="66">
        <f t="shared" si="11"/>
        <v>67</v>
      </c>
      <c r="K22" s="64">
        <v>2200</v>
      </c>
      <c r="L22" s="52">
        <f t="shared" si="12"/>
        <v>2</v>
      </c>
      <c r="M22" s="64">
        <v>161671</v>
      </c>
      <c r="N22" s="399">
        <f t="shared" si="2"/>
        <v>126</v>
      </c>
      <c r="O22" s="64">
        <f t="shared" si="13"/>
        <v>1869</v>
      </c>
      <c r="P22" s="64">
        <f t="shared" si="43"/>
        <v>1952</v>
      </c>
      <c r="Q22" s="64">
        <f t="shared" si="44"/>
        <v>165286</v>
      </c>
      <c r="R22" s="398">
        <f t="shared" si="42"/>
        <v>0</v>
      </c>
      <c r="S22" s="52">
        <f t="shared" si="4"/>
        <v>0</v>
      </c>
      <c r="T22" s="67">
        <f t="shared" si="33"/>
        <v>0</v>
      </c>
      <c r="U22" s="405">
        <f t="shared" si="14"/>
        <v>4</v>
      </c>
      <c r="V22" s="62">
        <f t="shared" si="15"/>
        <v>260</v>
      </c>
      <c r="W22" s="403"/>
      <c r="X22" s="64">
        <f t="shared" si="34"/>
        <v>2452</v>
      </c>
      <c r="Y22" s="52">
        <f t="shared" si="17"/>
        <v>0</v>
      </c>
      <c r="Z22" s="64">
        <f t="shared" si="35"/>
        <v>137831.1</v>
      </c>
      <c r="AA22" s="65">
        <f t="shared" si="5"/>
        <v>0</v>
      </c>
      <c r="AB22" s="287">
        <f t="shared" si="45"/>
        <v>0</v>
      </c>
      <c r="AC22" s="64">
        <f t="shared" si="18"/>
        <v>1934</v>
      </c>
      <c r="AD22" s="45">
        <f t="shared" si="6"/>
        <v>0</v>
      </c>
      <c r="AE22" s="595">
        <f t="shared" si="19"/>
        <v>365317</v>
      </c>
      <c r="AF22" s="309">
        <f t="shared" si="20"/>
        <v>0</v>
      </c>
      <c r="AG22" s="210">
        <f t="shared" si="37"/>
        <v>0</v>
      </c>
      <c r="AH22" s="62">
        <f t="shared" si="38"/>
        <v>0</v>
      </c>
      <c r="AI22" s="321">
        <f t="shared" si="21"/>
        <v>260</v>
      </c>
      <c r="AJ22" s="321">
        <f>-tanks!AW23</f>
        <v>260</v>
      </c>
      <c r="AK22" s="321">
        <f t="shared" si="22"/>
        <v>0</v>
      </c>
      <c r="AL22" s="321">
        <f t="shared" si="7"/>
        <v>4</v>
      </c>
      <c r="AM22" s="321">
        <f t="shared" si="23"/>
        <v>0</v>
      </c>
      <c r="AN22" s="64">
        <f t="shared" si="24"/>
        <v>67</v>
      </c>
      <c r="AO22" s="323">
        <f t="shared" si="25"/>
        <v>2010.0000000000002</v>
      </c>
      <c r="AP22" s="64">
        <f t="shared" si="26"/>
        <v>55</v>
      </c>
      <c r="AQ22" s="323">
        <f t="shared" si="27"/>
        <v>1650.0000000000002</v>
      </c>
      <c r="AR22" s="64">
        <f t="shared" si="28"/>
        <v>61</v>
      </c>
      <c r="AS22" s="323">
        <f t="shared" si="39"/>
        <v>1830</v>
      </c>
      <c r="AT22" s="323">
        <f t="shared" si="40"/>
        <v>5490</v>
      </c>
      <c r="AU22" s="323">
        <f t="shared" si="41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44215</v>
      </c>
      <c r="B23" s="599">
        <f t="shared" ref="B22:B35" si="47">B22</f>
        <v>241</v>
      </c>
      <c r="C23" s="599">
        <f t="shared" ref="C22:C35" si="48">C22</f>
        <v>247</v>
      </c>
      <c r="D23" s="45">
        <f t="shared" si="46"/>
        <v>0</v>
      </c>
      <c r="E23" s="45">
        <f t="shared" si="8"/>
        <v>0</v>
      </c>
      <c r="F23" s="64">
        <f t="shared" si="9"/>
        <v>1698</v>
      </c>
      <c r="G23" s="52">
        <f t="shared" si="0"/>
        <v>0</v>
      </c>
      <c r="H23" s="64">
        <f t="shared" si="10"/>
        <v>2713</v>
      </c>
      <c r="I23" s="399">
        <f t="shared" si="1"/>
        <v>0</v>
      </c>
      <c r="J23" s="66">
        <f t="shared" si="11"/>
        <v>0</v>
      </c>
      <c r="K23" s="64">
        <f t="shared" si="31"/>
        <v>2200</v>
      </c>
      <c r="L23" s="52">
        <f t="shared" si="12"/>
        <v>0</v>
      </c>
      <c r="M23" s="64">
        <f t="shared" si="32"/>
        <v>161671</v>
      </c>
      <c r="N23" s="399">
        <f t="shared" si="2"/>
        <v>0</v>
      </c>
      <c r="O23" s="64">
        <f t="shared" si="13"/>
        <v>1869</v>
      </c>
      <c r="P23" s="64">
        <f t="shared" si="43"/>
        <v>1952</v>
      </c>
      <c r="Q23" s="64">
        <f t="shared" si="44"/>
        <v>165286</v>
      </c>
      <c r="R23" s="398">
        <f t="shared" si="42"/>
        <v>0</v>
      </c>
      <c r="S23" s="52">
        <f t="shared" si="4"/>
        <v>0</v>
      </c>
      <c r="T23" s="67">
        <f t="shared" si="33"/>
        <v>0</v>
      </c>
      <c r="U23" s="405">
        <f t="shared" si="14"/>
        <v>0</v>
      </c>
      <c r="V23" s="62">
        <f t="shared" si="15"/>
        <v>0</v>
      </c>
      <c r="W23" s="403"/>
      <c r="X23" s="64">
        <f t="shared" si="34"/>
        <v>2452</v>
      </c>
      <c r="Y23" s="52">
        <f t="shared" si="17"/>
        <v>0</v>
      </c>
      <c r="Z23" s="64">
        <f t="shared" si="35"/>
        <v>137831.1</v>
      </c>
      <c r="AA23" s="65">
        <f t="shared" si="5"/>
        <v>0</v>
      </c>
      <c r="AB23" s="287">
        <f t="shared" si="45"/>
        <v>0</v>
      </c>
      <c r="AC23" s="64">
        <f t="shared" si="18"/>
        <v>1934</v>
      </c>
      <c r="AD23" s="45">
        <f t="shared" si="6"/>
        <v>0</v>
      </c>
      <c r="AE23" s="595">
        <f t="shared" si="19"/>
        <v>365317</v>
      </c>
      <c r="AF23" s="309">
        <f t="shared" si="20"/>
        <v>0</v>
      </c>
      <c r="AG23" s="210">
        <f t="shared" si="37"/>
        <v>0</v>
      </c>
      <c r="AH23" s="62">
        <f t="shared" si="38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7"/>
        <v>0</v>
      </c>
      <c r="AM23" s="321">
        <f t="shared" si="23"/>
        <v>0</v>
      </c>
      <c r="AN23" s="64">
        <f t="shared" si="24"/>
        <v>67</v>
      </c>
      <c r="AO23" s="323">
        <f t="shared" si="25"/>
        <v>2010.0000000000002</v>
      </c>
      <c r="AP23" s="64">
        <f t="shared" si="26"/>
        <v>55</v>
      </c>
      <c r="AQ23" s="323">
        <f t="shared" si="27"/>
        <v>1650.0000000000002</v>
      </c>
      <c r="AR23" s="64">
        <f t="shared" si="28"/>
        <v>61</v>
      </c>
      <c r="AS23" s="323">
        <f t="shared" si="39"/>
        <v>1830</v>
      </c>
      <c r="AT23" s="323">
        <f t="shared" si="40"/>
        <v>5490</v>
      </c>
      <c r="AU23" s="323">
        <f t="shared" si="41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44216</v>
      </c>
      <c r="B24" s="599">
        <f t="shared" si="47"/>
        <v>241</v>
      </c>
      <c r="C24" s="599">
        <f t="shared" si="48"/>
        <v>247</v>
      </c>
      <c r="D24" s="45">
        <f t="shared" si="46"/>
        <v>0</v>
      </c>
      <c r="E24" s="45">
        <f t="shared" si="8"/>
        <v>0</v>
      </c>
      <c r="F24" s="64">
        <f t="shared" si="9"/>
        <v>1698</v>
      </c>
      <c r="G24" s="52">
        <f t="shared" si="0"/>
        <v>0</v>
      </c>
      <c r="H24" s="64">
        <f t="shared" si="10"/>
        <v>2713</v>
      </c>
      <c r="I24" s="399">
        <f t="shared" si="1"/>
        <v>0</v>
      </c>
      <c r="J24" s="66">
        <f t="shared" si="11"/>
        <v>0</v>
      </c>
      <c r="K24" s="64">
        <f t="shared" si="31"/>
        <v>2200</v>
      </c>
      <c r="L24" s="52">
        <f t="shared" si="12"/>
        <v>0</v>
      </c>
      <c r="M24" s="64">
        <f t="shared" si="32"/>
        <v>161671</v>
      </c>
      <c r="N24" s="399">
        <f t="shared" si="2"/>
        <v>0</v>
      </c>
      <c r="O24" s="64">
        <f t="shared" si="13"/>
        <v>1869</v>
      </c>
      <c r="P24" s="64">
        <f t="shared" si="43"/>
        <v>1952</v>
      </c>
      <c r="Q24" s="64">
        <f t="shared" si="44"/>
        <v>165286</v>
      </c>
      <c r="R24" s="398">
        <f t="shared" si="42"/>
        <v>0</v>
      </c>
      <c r="S24" s="52">
        <f t="shared" si="4"/>
        <v>0</v>
      </c>
      <c r="T24" s="67">
        <f t="shared" si="33"/>
        <v>0</v>
      </c>
      <c r="U24" s="405">
        <f t="shared" si="14"/>
        <v>0</v>
      </c>
      <c r="V24" s="62">
        <f t="shared" si="15"/>
        <v>0</v>
      </c>
      <c r="W24" s="403"/>
      <c r="X24" s="64">
        <f t="shared" si="34"/>
        <v>2452</v>
      </c>
      <c r="Y24" s="52">
        <f t="shared" si="17"/>
        <v>0</v>
      </c>
      <c r="Z24" s="64">
        <f t="shared" si="35"/>
        <v>137831.1</v>
      </c>
      <c r="AA24" s="65">
        <f t="shared" si="5"/>
        <v>0</v>
      </c>
      <c r="AB24" s="287">
        <f t="shared" ref="AB24:AB34" si="49">SUM(Y24*$AB$2)</f>
        <v>0</v>
      </c>
      <c r="AC24" s="64">
        <f t="shared" si="18"/>
        <v>1934</v>
      </c>
      <c r="AD24" s="45">
        <f t="shared" si="6"/>
        <v>0</v>
      </c>
      <c r="AE24" s="595">
        <f t="shared" si="19"/>
        <v>365317</v>
      </c>
      <c r="AF24" s="309">
        <f t="shared" si="20"/>
        <v>0</v>
      </c>
      <c r="AG24" s="210">
        <f t="shared" si="37"/>
        <v>0</v>
      </c>
      <c r="AH24" s="62">
        <f t="shared" si="38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7"/>
        <v>0</v>
      </c>
      <c r="AM24" s="321">
        <f t="shared" si="23"/>
        <v>0</v>
      </c>
      <c r="AN24" s="64">
        <f t="shared" si="24"/>
        <v>67</v>
      </c>
      <c r="AO24" s="323">
        <f t="shared" si="25"/>
        <v>2010.0000000000002</v>
      </c>
      <c r="AP24" s="64">
        <f t="shared" si="26"/>
        <v>55</v>
      </c>
      <c r="AQ24" s="323">
        <f t="shared" si="27"/>
        <v>1650.0000000000002</v>
      </c>
      <c r="AR24" s="64">
        <f t="shared" si="28"/>
        <v>61</v>
      </c>
      <c r="AS24" s="323">
        <f t="shared" si="39"/>
        <v>1830</v>
      </c>
      <c r="AT24" s="323">
        <f t="shared" ref="AT24:AT34" si="50">SUM(AO24+AQ24+AS24)</f>
        <v>5490</v>
      </c>
      <c r="AU24" s="323">
        <f t="shared" si="41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44217</v>
      </c>
      <c r="B25" s="599">
        <f t="shared" si="47"/>
        <v>241</v>
      </c>
      <c r="C25" s="599">
        <f t="shared" si="48"/>
        <v>247</v>
      </c>
      <c r="D25" s="45">
        <f t="shared" si="46"/>
        <v>0</v>
      </c>
      <c r="E25" s="45">
        <f t="shared" si="8"/>
        <v>0</v>
      </c>
      <c r="F25" s="64">
        <f t="shared" si="9"/>
        <v>1698</v>
      </c>
      <c r="G25" s="52">
        <f t="shared" si="0"/>
        <v>0</v>
      </c>
      <c r="H25" s="64">
        <f t="shared" si="10"/>
        <v>2713</v>
      </c>
      <c r="I25" s="399">
        <f t="shared" si="1"/>
        <v>0</v>
      </c>
      <c r="J25" s="66">
        <f t="shared" si="11"/>
        <v>0</v>
      </c>
      <c r="K25" s="64">
        <f t="shared" si="31"/>
        <v>2200</v>
      </c>
      <c r="L25" s="52">
        <f t="shared" si="12"/>
        <v>0</v>
      </c>
      <c r="M25" s="64">
        <f t="shared" si="32"/>
        <v>161671</v>
      </c>
      <c r="N25" s="399">
        <f t="shared" si="2"/>
        <v>0</v>
      </c>
      <c r="O25" s="64">
        <f t="shared" si="13"/>
        <v>1869</v>
      </c>
      <c r="P25" s="64">
        <f t="shared" si="43"/>
        <v>1952</v>
      </c>
      <c r="Q25" s="64">
        <f t="shared" si="44"/>
        <v>165286</v>
      </c>
      <c r="R25" s="398">
        <f t="shared" si="42"/>
        <v>0</v>
      </c>
      <c r="S25" s="52">
        <f t="shared" si="4"/>
        <v>0</v>
      </c>
      <c r="T25" s="67">
        <f t="shared" si="33"/>
        <v>0</v>
      </c>
      <c r="U25" s="405">
        <f t="shared" si="14"/>
        <v>0</v>
      </c>
      <c r="V25" s="62">
        <f t="shared" si="15"/>
        <v>0</v>
      </c>
      <c r="W25" s="403"/>
      <c r="X25" s="64">
        <f t="shared" si="34"/>
        <v>2452</v>
      </c>
      <c r="Y25" s="52">
        <f t="shared" si="17"/>
        <v>0</v>
      </c>
      <c r="Z25" s="64">
        <f t="shared" si="35"/>
        <v>137831.1</v>
      </c>
      <c r="AA25" s="65">
        <f t="shared" si="5"/>
        <v>0</v>
      </c>
      <c r="AB25" s="287">
        <f t="shared" si="49"/>
        <v>0</v>
      </c>
      <c r="AC25" s="64">
        <f t="shared" si="18"/>
        <v>1934</v>
      </c>
      <c r="AD25" s="45">
        <f t="shared" si="6"/>
        <v>0</v>
      </c>
      <c r="AE25" s="595">
        <f t="shared" si="19"/>
        <v>365317</v>
      </c>
      <c r="AF25" s="309">
        <f t="shared" si="20"/>
        <v>0</v>
      </c>
      <c r="AG25" s="210">
        <f t="shared" si="37"/>
        <v>0</v>
      </c>
      <c r="AH25" s="62">
        <f t="shared" si="38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7"/>
        <v>0</v>
      </c>
      <c r="AM25" s="321">
        <f t="shared" si="23"/>
        <v>0</v>
      </c>
      <c r="AN25" s="64">
        <f t="shared" si="24"/>
        <v>67</v>
      </c>
      <c r="AO25" s="323">
        <f t="shared" si="25"/>
        <v>2010.0000000000002</v>
      </c>
      <c r="AP25" s="64">
        <f t="shared" si="26"/>
        <v>55</v>
      </c>
      <c r="AQ25" s="323">
        <f t="shared" ref="AQ25:AQ34" si="51">(AP25/100)*3000</f>
        <v>1650.0000000000002</v>
      </c>
      <c r="AR25" s="64">
        <f t="shared" si="28"/>
        <v>61</v>
      </c>
      <c r="AS25" s="323">
        <f t="shared" si="39"/>
        <v>1830</v>
      </c>
      <c r="AT25" s="323">
        <f t="shared" si="50"/>
        <v>5490</v>
      </c>
      <c r="AU25" s="323">
        <f t="shared" si="41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44218</v>
      </c>
      <c r="B26" s="599">
        <f t="shared" si="47"/>
        <v>241</v>
      </c>
      <c r="C26" s="599">
        <f t="shared" si="48"/>
        <v>247</v>
      </c>
      <c r="D26" s="45">
        <f t="shared" si="46"/>
        <v>0</v>
      </c>
      <c r="E26" s="45">
        <f t="shared" si="8"/>
        <v>0</v>
      </c>
      <c r="F26" s="64">
        <f t="shared" si="9"/>
        <v>1698</v>
      </c>
      <c r="G26" s="52">
        <f t="shared" si="0"/>
        <v>0</v>
      </c>
      <c r="H26" s="64">
        <f t="shared" si="10"/>
        <v>2713</v>
      </c>
      <c r="I26" s="399">
        <f t="shared" si="1"/>
        <v>0</v>
      </c>
      <c r="J26" s="66">
        <f t="shared" si="11"/>
        <v>0</v>
      </c>
      <c r="K26" s="64">
        <f t="shared" si="31"/>
        <v>2200</v>
      </c>
      <c r="L26" s="52">
        <f t="shared" si="12"/>
        <v>0</v>
      </c>
      <c r="M26" s="64">
        <f t="shared" si="32"/>
        <v>161671</v>
      </c>
      <c r="N26" s="399">
        <f t="shared" si="2"/>
        <v>0</v>
      </c>
      <c r="O26" s="64">
        <f t="shared" si="13"/>
        <v>1869</v>
      </c>
      <c r="P26" s="64">
        <f t="shared" si="43"/>
        <v>1952</v>
      </c>
      <c r="Q26" s="64">
        <f t="shared" si="44"/>
        <v>165286</v>
      </c>
      <c r="R26" s="398">
        <f t="shared" si="42"/>
        <v>0</v>
      </c>
      <c r="S26" s="52">
        <f t="shared" si="4"/>
        <v>0</v>
      </c>
      <c r="T26" s="67">
        <f t="shared" si="33"/>
        <v>0</v>
      </c>
      <c r="U26" s="405">
        <f t="shared" si="14"/>
        <v>0</v>
      </c>
      <c r="V26" s="62">
        <f t="shared" si="15"/>
        <v>0</v>
      </c>
      <c r="W26" s="403"/>
      <c r="X26" s="64">
        <f t="shared" si="34"/>
        <v>2452</v>
      </c>
      <c r="Y26" s="52">
        <f t="shared" si="17"/>
        <v>0</v>
      </c>
      <c r="Z26" s="64">
        <f t="shared" si="35"/>
        <v>137831.1</v>
      </c>
      <c r="AA26" s="65">
        <f t="shared" si="5"/>
        <v>0</v>
      </c>
      <c r="AB26" s="287">
        <f t="shared" si="49"/>
        <v>0</v>
      </c>
      <c r="AC26" s="64">
        <f t="shared" si="18"/>
        <v>1934</v>
      </c>
      <c r="AD26" s="45">
        <f t="shared" si="6"/>
        <v>0</v>
      </c>
      <c r="AE26" s="595">
        <f t="shared" si="19"/>
        <v>365317</v>
      </c>
      <c r="AF26" s="309">
        <f t="shared" si="20"/>
        <v>0</v>
      </c>
      <c r="AG26" s="210">
        <f t="shared" si="37"/>
        <v>0</v>
      </c>
      <c r="AH26" s="62">
        <f t="shared" si="38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7"/>
        <v>0</v>
      </c>
      <c r="AM26" s="321">
        <f t="shared" si="23"/>
        <v>0</v>
      </c>
      <c r="AN26" s="64">
        <f t="shared" si="24"/>
        <v>67</v>
      </c>
      <c r="AO26" s="323">
        <f t="shared" si="25"/>
        <v>2010.0000000000002</v>
      </c>
      <c r="AP26" s="64">
        <f t="shared" si="26"/>
        <v>55</v>
      </c>
      <c r="AQ26" s="323">
        <f t="shared" si="51"/>
        <v>1650.0000000000002</v>
      </c>
      <c r="AR26" s="64">
        <f t="shared" si="28"/>
        <v>61</v>
      </c>
      <c r="AS26" s="323">
        <f t="shared" si="39"/>
        <v>1830</v>
      </c>
      <c r="AT26" s="323">
        <f t="shared" si="50"/>
        <v>5490</v>
      </c>
      <c r="AU26" s="323">
        <f t="shared" si="41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44219</v>
      </c>
      <c r="B27" s="599">
        <f t="shared" si="47"/>
        <v>241</v>
      </c>
      <c r="C27" s="599">
        <f t="shared" si="48"/>
        <v>247</v>
      </c>
      <c r="D27" s="45">
        <f t="shared" si="46"/>
        <v>0</v>
      </c>
      <c r="E27" s="45">
        <f t="shared" si="8"/>
        <v>0</v>
      </c>
      <c r="F27" s="64">
        <f t="shared" si="9"/>
        <v>1698</v>
      </c>
      <c r="G27" s="52">
        <f t="shared" si="0"/>
        <v>0</v>
      </c>
      <c r="H27" s="64">
        <f t="shared" si="10"/>
        <v>2713</v>
      </c>
      <c r="I27" s="399">
        <f t="shared" si="1"/>
        <v>0</v>
      </c>
      <c r="J27" s="66">
        <f t="shared" si="11"/>
        <v>0</v>
      </c>
      <c r="K27" s="64">
        <f t="shared" si="31"/>
        <v>2200</v>
      </c>
      <c r="L27" s="52">
        <f t="shared" si="12"/>
        <v>0</v>
      </c>
      <c r="M27" s="64">
        <f t="shared" si="32"/>
        <v>161671</v>
      </c>
      <c r="N27" s="399">
        <f t="shared" si="2"/>
        <v>0</v>
      </c>
      <c r="O27" s="64">
        <f t="shared" si="13"/>
        <v>1869</v>
      </c>
      <c r="P27" s="64">
        <f t="shared" si="43"/>
        <v>1952</v>
      </c>
      <c r="Q27" s="64">
        <f t="shared" si="44"/>
        <v>165286</v>
      </c>
      <c r="R27" s="398">
        <f t="shared" si="42"/>
        <v>0</v>
      </c>
      <c r="S27" s="52">
        <f t="shared" si="4"/>
        <v>0</v>
      </c>
      <c r="T27" s="67">
        <f t="shared" si="33"/>
        <v>0</v>
      </c>
      <c r="U27" s="405">
        <f t="shared" si="14"/>
        <v>0</v>
      </c>
      <c r="V27" s="62">
        <f t="shared" si="15"/>
        <v>0</v>
      </c>
      <c r="W27" s="403"/>
      <c r="X27" s="64">
        <f t="shared" si="34"/>
        <v>2452</v>
      </c>
      <c r="Y27" s="52">
        <f t="shared" si="17"/>
        <v>0</v>
      </c>
      <c r="Z27" s="64">
        <f t="shared" si="35"/>
        <v>137831.1</v>
      </c>
      <c r="AA27" s="65">
        <f t="shared" si="5"/>
        <v>0</v>
      </c>
      <c r="AB27" s="287">
        <f t="shared" si="49"/>
        <v>0</v>
      </c>
      <c r="AC27" s="64">
        <f t="shared" si="18"/>
        <v>1934</v>
      </c>
      <c r="AD27" s="45">
        <f t="shared" si="6"/>
        <v>0</v>
      </c>
      <c r="AE27" s="595">
        <f t="shared" si="19"/>
        <v>365317</v>
      </c>
      <c r="AF27" s="309">
        <f t="shared" si="20"/>
        <v>0</v>
      </c>
      <c r="AG27" s="210">
        <f t="shared" si="37"/>
        <v>0</v>
      </c>
      <c r="AH27" s="62">
        <f t="shared" si="38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7"/>
        <v>0</v>
      </c>
      <c r="AM27" s="321">
        <f t="shared" si="23"/>
        <v>0</v>
      </c>
      <c r="AN27" s="64">
        <f t="shared" si="24"/>
        <v>67</v>
      </c>
      <c r="AO27" s="323">
        <f>(AN27/100)*3000</f>
        <v>2010.0000000000002</v>
      </c>
      <c r="AP27" s="64">
        <f t="shared" si="26"/>
        <v>55</v>
      </c>
      <c r="AQ27" s="323">
        <f t="shared" si="51"/>
        <v>1650.0000000000002</v>
      </c>
      <c r="AR27" s="64">
        <f t="shared" si="28"/>
        <v>61</v>
      </c>
      <c r="AS27" s="323">
        <f t="shared" si="39"/>
        <v>1830</v>
      </c>
      <c r="AT27" s="323">
        <f t="shared" si="50"/>
        <v>5490</v>
      </c>
      <c r="AU27" s="323">
        <f t="shared" si="41"/>
        <v>0</v>
      </c>
      <c r="AV27" s="271"/>
      <c r="AW27" s="509"/>
      <c r="AX27" s="316">
        <f t="shared" si="29"/>
        <v>0.8</v>
      </c>
    </row>
    <row r="28" spans="1:50">
      <c r="A28" s="63">
        <f>ELEC!C26</f>
        <v>44220</v>
      </c>
      <c r="B28" s="599">
        <f t="shared" si="47"/>
        <v>241</v>
      </c>
      <c r="C28" s="599">
        <f t="shared" si="48"/>
        <v>247</v>
      </c>
      <c r="D28" s="45">
        <f t="shared" si="46"/>
        <v>0</v>
      </c>
      <c r="E28" s="45">
        <f t="shared" si="8"/>
        <v>0</v>
      </c>
      <c r="F28" s="64">
        <f t="shared" si="9"/>
        <v>1698</v>
      </c>
      <c r="G28" s="52">
        <f t="shared" si="0"/>
        <v>0</v>
      </c>
      <c r="H28" s="64">
        <f t="shared" si="10"/>
        <v>2713</v>
      </c>
      <c r="I28" s="399">
        <f t="shared" si="1"/>
        <v>0</v>
      </c>
      <c r="J28" s="66">
        <f t="shared" si="11"/>
        <v>0</v>
      </c>
      <c r="K28" s="64">
        <f t="shared" si="31"/>
        <v>2200</v>
      </c>
      <c r="L28" s="52">
        <f t="shared" si="12"/>
        <v>0</v>
      </c>
      <c r="M28" s="64">
        <f t="shared" si="32"/>
        <v>161671</v>
      </c>
      <c r="N28" s="399">
        <f t="shared" si="2"/>
        <v>0</v>
      </c>
      <c r="O28" s="64">
        <f t="shared" si="13"/>
        <v>1869</v>
      </c>
      <c r="P28" s="64">
        <f t="shared" si="43"/>
        <v>1952</v>
      </c>
      <c r="Q28" s="64">
        <f t="shared" si="44"/>
        <v>165286</v>
      </c>
      <c r="R28" s="398">
        <f t="shared" si="42"/>
        <v>0</v>
      </c>
      <c r="S28" s="52">
        <f t="shared" si="4"/>
        <v>0</v>
      </c>
      <c r="T28" s="67">
        <f t="shared" si="33"/>
        <v>0</v>
      </c>
      <c r="U28" s="405">
        <f t="shared" si="14"/>
        <v>0</v>
      </c>
      <c r="V28" s="62">
        <f t="shared" si="15"/>
        <v>0</v>
      </c>
      <c r="W28" s="403"/>
      <c r="X28" s="64">
        <f t="shared" si="34"/>
        <v>2452</v>
      </c>
      <c r="Y28" s="52">
        <f t="shared" si="17"/>
        <v>0</v>
      </c>
      <c r="Z28" s="64">
        <f t="shared" si="35"/>
        <v>137831.1</v>
      </c>
      <c r="AA28" s="65">
        <f t="shared" si="5"/>
        <v>0</v>
      </c>
      <c r="AB28" s="287">
        <f t="shared" si="49"/>
        <v>0</v>
      </c>
      <c r="AC28" s="64">
        <f t="shared" si="18"/>
        <v>1934</v>
      </c>
      <c r="AD28" s="45">
        <f t="shared" si="6"/>
        <v>0</v>
      </c>
      <c r="AE28" s="595">
        <f t="shared" si="19"/>
        <v>365317</v>
      </c>
      <c r="AF28" s="309">
        <f t="shared" si="20"/>
        <v>0</v>
      </c>
      <c r="AG28" s="210">
        <f t="shared" si="37"/>
        <v>0</v>
      </c>
      <c r="AH28" s="62">
        <f t="shared" si="38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7"/>
        <v>0</v>
      </c>
      <c r="AM28" s="321">
        <f t="shared" si="23"/>
        <v>0</v>
      </c>
      <c r="AN28" s="64">
        <f t="shared" si="24"/>
        <v>67</v>
      </c>
      <c r="AO28" s="323">
        <f t="shared" ref="AO28:AO34" si="52">(AN28/100)*3000</f>
        <v>2010.0000000000002</v>
      </c>
      <c r="AP28" s="64">
        <f t="shared" si="26"/>
        <v>55</v>
      </c>
      <c r="AQ28" s="323">
        <f t="shared" si="51"/>
        <v>1650.0000000000002</v>
      </c>
      <c r="AR28" s="64">
        <f t="shared" si="28"/>
        <v>61</v>
      </c>
      <c r="AS28" s="323">
        <f t="shared" si="39"/>
        <v>1830</v>
      </c>
      <c r="AT28" s="323">
        <f t="shared" si="50"/>
        <v>5490</v>
      </c>
      <c r="AU28" s="323">
        <f t="shared" si="41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44221</v>
      </c>
      <c r="B29" s="599">
        <f t="shared" si="47"/>
        <v>241</v>
      </c>
      <c r="C29" s="599">
        <f t="shared" si="48"/>
        <v>247</v>
      </c>
      <c r="D29" s="45">
        <f t="shared" si="46"/>
        <v>0</v>
      </c>
      <c r="E29" s="45">
        <f t="shared" si="8"/>
        <v>0</v>
      </c>
      <c r="F29" s="64">
        <f t="shared" si="9"/>
        <v>1698</v>
      </c>
      <c r="G29" s="52">
        <f t="shared" si="0"/>
        <v>0</v>
      </c>
      <c r="H29" s="64">
        <f t="shared" si="10"/>
        <v>2713</v>
      </c>
      <c r="I29" s="399">
        <f t="shared" si="1"/>
        <v>0</v>
      </c>
      <c r="J29" s="66">
        <f t="shared" si="11"/>
        <v>0</v>
      </c>
      <c r="K29" s="64">
        <f t="shared" si="31"/>
        <v>2200</v>
      </c>
      <c r="L29" s="52">
        <f t="shared" si="12"/>
        <v>0</v>
      </c>
      <c r="M29" s="64">
        <f t="shared" si="32"/>
        <v>161671</v>
      </c>
      <c r="N29" s="399">
        <f t="shared" si="2"/>
        <v>0</v>
      </c>
      <c r="O29" s="64">
        <f t="shared" si="13"/>
        <v>1869</v>
      </c>
      <c r="P29" s="64">
        <f t="shared" si="43"/>
        <v>1952</v>
      </c>
      <c r="Q29" s="64">
        <f t="shared" si="44"/>
        <v>165286</v>
      </c>
      <c r="R29" s="398">
        <f t="shared" si="42"/>
        <v>0</v>
      </c>
      <c r="S29" s="52">
        <f t="shared" si="4"/>
        <v>0</v>
      </c>
      <c r="T29" s="67">
        <f t="shared" si="33"/>
        <v>0</v>
      </c>
      <c r="U29" s="405">
        <f t="shared" si="14"/>
        <v>0</v>
      </c>
      <c r="V29" s="62">
        <f t="shared" si="15"/>
        <v>0</v>
      </c>
      <c r="W29" s="403"/>
      <c r="X29" s="64">
        <f t="shared" si="34"/>
        <v>2452</v>
      </c>
      <c r="Y29" s="52">
        <f t="shared" si="17"/>
        <v>0</v>
      </c>
      <c r="Z29" s="64">
        <f t="shared" si="35"/>
        <v>137831.1</v>
      </c>
      <c r="AA29" s="65">
        <f t="shared" si="5"/>
        <v>0</v>
      </c>
      <c r="AB29" s="287">
        <f t="shared" si="49"/>
        <v>0</v>
      </c>
      <c r="AC29" s="64">
        <f t="shared" si="18"/>
        <v>1934</v>
      </c>
      <c r="AD29" s="45">
        <f t="shared" si="6"/>
        <v>0</v>
      </c>
      <c r="AE29" s="595">
        <f t="shared" si="19"/>
        <v>365317</v>
      </c>
      <c r="AF29" s="309">
        <f t="shared" si="20"/>
        <v>0</v>
      </c>
      <c r="AG29" s="210">
        <f t="shared" si="37"/>
        <v>0</v>
      </c>
      <c r="AH29" s="62">
        <f t="shared" si="38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7"/>
        <v>0</v>
      </c>
      <c r="AM29" s="321">
        <f t="shared" si="23"/>
        <v>0</v>
      </c>
      <c r="AN29" s="64">
        <f t="shared" si="24"/>
        <v>67</v>
      </c>
      <c r="AO29" s="323">
        <f t="shared" si="52"/>
        <v>2010.0000000000002</v>
      </c>
      <c r="AP29" s="64">
        <f t="shared" si="26"/>
        <v>55</v>
      </c>
      <c r="AQ29" s="323">
        <f t="shared" si="51"/>
        <v>1650.0000000000002</v>
      </c>
      <c r="AR29" s="64">
        <f t="shared" si="28"/>
        <v>61</v>
      </c>
      <c r="AS29" s="323">
        <f t="shared" si="39"/>
        <v>1830</v>
      </c>
      <c r="AT29" s="323">
        <f>SUM(AO29+AQ29+AS29)</f>
        <v>5490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44222</v>
      </c>
      <c r="B30" s="599">
        <f t="shared" si="47"/>
        <v>241</v>
      </c>
      <c r="C30" s="599">
        <f t="shared" si="48"/>
        <v>247</v>
      </c>
      <c r="D30" s="45">
        <f t="shared" si="46"/>
        <v>0</v>
      </c>
      <c r="E30" s="45">
        <f t="shared" si="8"/>
        <v>0</v>
      </c>
      <c r="F30" s="64">
        <f t="shared" si="9"/>
        <v>1698</v>
      </c>
      <c r="G30" s="52">
        <f t="shared" si="0"/>
        <v>0</v>
      </c>
      <c r="H30" s="64">
        <f t="shared" si="10"/>
        <v>2713</v>
      </c>
      <c r="I30" s="399">
        <f t="shared" si="1"/>
        <v>0</v>
      </c>
      <c r="J30" s="66">
        <f t="shared" si="11"/>
        <v>0</v>
      </c>
      <c r="K30" s="64">
        <f t="shared" si="31"/>
        <v>2200</v>
      </c>
      <c r="L30" s="52">
        <f t="shared" si="12"/>
        <v>0</v>
      </c>
      <c r="M30" s="64">
        <f t="shared" si="32"/>
        <v>161671</v>
      </c>
      <c r="N30" s="399">
        <f t="shared" si="2"/>
        <v>0</v>
      </c>
      <c r="O30" s="64">
        <f t="shared" si="13"/>
        <v>1869</v>
      </c>
      <c r="P30" s="64">
        <f t="shared" si="43"/>
        <v>1952</v>
      </c>
      <c r="Q30" s="64">
        <f t="shared" si="44"/>
        <v>165286</v>
      </c>
      <c r="R30" s="398">
        <f t="shared" si="42"/>
        <v>0</v>
      </c>
      <c r="S30" s="52">
        <f t="shared" si="4"/>
        <v>0</v>
      </c>
      <c r="T30" s="67">
        <f t="shared" si="33"/>
        <v>0</v>
      </c>
      <c r="U30" s="405">
        <f t="shared" si="14"/>
        <v>0</v>
      </c>
      <c r="V30" s="62">
        <f t="shared" si="15"/>
        <v>0</v>
      </c>
      <c r="W30" s="403"/>
      <c r="X30" s="64">
        <f t="shared" si="34"/>
        <v>2452</v>
      </c>
      <c r="Y30" s="52">
        <f t="shared" si="17"/>
        <v>0</v>
      </c>
      <c r="Z30" s="64">
        <f t="shared" si="35"/>
        <v>137831.1</v>
      </c>
      <c r="AA30" s="65">
        <f t="shared" si="5"/>
        <v>0</v>
      </c>
      <c r="AB30" s="287">
        <f t="shared" si="49"/>
        <v>0</v>
      </c>
      <c r="AC30" s="64">
        <f t="shared" si="18"/>
        <v>1934</v>
      </c>
      <c r="AD30" s="45">
        <f t="shared" si="6"/>
        <v>0</v>
      </c>
      <c r="AE30" s="595">
        <f t="shared" si="19"/>
        <v>365317</v>
      </c>
      <c r="AF30" s="309">
        <f t="shared" si="20"/>
        <v>0</v>
      </c>
      <c r="AG30" s="210">
        <f t="shared" si="37"/>
        <v>0</v>
      </c>
      <c r="AH30" s="62">
        <f t="shared" si="38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7"/>
        <v>0</v>
      </c>
      <c r="AM30" s="321">
        <f t="shared" si="23"/>
        <v>0</v>
      </c>
      <c r="AN30" s="64">
        <f t="shared" si="24"/>
        <v>67</v>
      </c>
      <c r="AO30" s="323">
        <f t="shared" si="52"/>
        <v>2010.0000000000002</v>
      </c>
      <c r="AP30" s="64">
        <f t="shared" si="26"/>
        <v>55</v>
      </c>
      <c r="AQ30" s="323">
        <f t="shared" si="51"/>
        <v>1650.0000000000002</v>
      </c>
      <c r="AR30" s="64">
        <f t="shared" si="28"/>
        <v>61</v>
      </c>
      <c r="AS30" s="323">
        <f t="shared" si="39"/>
        <v>1830</v>
      </c>
      <c r="AT30" s="323">
        <f t="shared" si="50"/>
        <v>5490</v>
      </c>
      <c r="AU30" s="323">
        <f t="shared" si="41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44223</v>
      </c>
      <c r="B31" s="599">
        <f t="shared" si="47"/>
        <v>241</v>
      </c>
      <c r="C31" s="599">
        <f t="shared" si="48"/>
        <v>247</v>
      </c>
      <c r="D31" s="45">
        <f t="shared" si="46"/>
        <v>0</v>
      </c>
      <c r="E31" s="45">
        <f t="shared" si="8"/>
        <v>0</v>
      </c>
      <c r="F31" s="64">
        <f t="shared" si="9"/>
        <v>1698</v>
      </c>
      <c r="G31" s="52">
        <f t="shared" si="0"/>
        <v>0</v>
      </c>
      <c r="H31" s="64">
        <f t="shared" si="10"/>
        <v>2713</v>
      </c>
      <c r="I31" s="399">
        <f t="shared" si="1"/>
        <v>0</v>
      </c>
      <c r="J31" s="66">
        <f t="shared" si="11"/>
        <v>0</v>
      </c>
      <c r="K31" s="64">
        <f t="shared" si="31"/>
        <v>2200</v>
      </c>
      <c r="L31" s="52">
        <f t="shared" si="12"/>
        <v>0</v>
      </c>
      <c r="M31" s="64">
        <f t="shared" si="32"/>
        <v>161671</v>
      </c>
      <c r="N31" s="399">
        <f t="shared" si="2"/>
        <v>0</v>
      </c>
      <c r="O31" s="64">
        <f t="shared" si="13"/>
        <v>1869</v>
      </c>
      <c r="P31" s="64">
        <f t="shared" si="43"/>
        <v>1952</v>
      </c>
      <c r="Q31" s="64">
        <f t="shared" si="44"/>
        <v>165286</v>
      </c>
      <c r="R31" s="398">
        <f t="shared" si="42"/>
        <v>0</v>
      </c>
      <c r="S31" s="52">
        <f t="shared" si="4"/>
        <v>0</v>
      </c>
      <c r="T31" s="67">
        <f t="shared" si="33"/>
        <v>0</v>
      </c>
      <c r="U31" s="405">
        <f t="shared" si="14"/>
        <v>0</v>
      </c>
      <c r="V31" s="62">
        <f t="shared" si="15"/>
        <v>0</v>
      </c>
      <c r="W31" s="403"/>
      <c r="X31" s="64">
        <f t="shared" si="34"/>
        <v>2452</v>
      </c>
      <c r="Y31" s="52">
        <f t="shared" si="17"/>
        <v>0</v>
      </c>
      <c r="Z31" s="64">
        <f t="shared" si="35"/>
        <v>137831.1</v>
      </c>
      <c r="AA31" s="65">
        <f t="shared" si="5"/>
        <v>0</v>
      </c>
      <c r="AB31" s="287">
        <f t="shared" si="49"/>
        <v>0</v>
      </c>
      <c r="AC31" s="64">
        <f t="shared" si="18"/>
        <v>1934</v>
      </c>
      <c r="AD31" s="271">
        <f t="shared" si="6"/>
        <v>0</v>
      </c>
      <c r="AE31" s="595">
        <f t="shared" si="19"/>
        <v>365317</v>
      </c>
      <c r="AF31" s="309">
        <f t="shared" si="20"/>
        <v>0</v>
      </c>
      <c r="AG31" s="210">
        <f t="shared" si="37"/>
        <v>0</v>
      </c>
      <c r="AH31" s="62">
        <f t="shared" si="38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7"/>
        <v>0</v>
      </c>
      <c r="AM31" s="321">
        <f t="shared" si="23"/>
        <v>0</v>
      </c>
      <c r="AN31" s="64">
        <f t="shared" si="24"/>
        <v>67</v>
      </c>
      <c r="AO31" s="323">
        <f t="shared" si="52"/>
        <v>2010.0000000000002</v>
      </c>
      <c r="AP31" s="64">
        <f t="shared" si="26"/>
        <v>55</v>
      </c>
      <c r="AQ31" s="323">
        <f t="shared" si="51"/>
        <v>1650.0000000000002</v>
      </c>
      <c r="AR31" s="64">
        <f t="shared" si="28"/>
        <v>61</v>
      </c>
      <c r="AS31" s="323">
        <f t="shared" si="39"/>
        <v>1830</v>
      </c>
      <c r="AT31" s="323">
        <f t="shared" si="50"/>
        <v>5490</v>
      </c>
      <c r="AU31" s="323">
        <f t="shared" si="41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44224</v>
      </c>
      <c r="B32" s="599">
        <f t="shared" si="47"/>
        <v>241</v>
      </c>
      <c r="C32" s="599">
        <f t="shared" si="48"/>
        <v>247</v>
      </c>
      <c r="D32" s="45">
        <f t="shared" si="30"/>
        <v>0</v>
      </c>
      <c r="E32" s="45">
        <f t="shared" ref="E32:E34" si="53">D32*8.38</f>
        <v>0</v>
      </c>
      <c r="F32" s="64">
        <f t="shared" si="9"/>
        <v>1698</v>
      </c>
      <c r="G32" s="52">
        <f t="shared" si="0"/>
        <v>0</v>
      </c>
      <c r="H32" s="64">
        <f t="shared" si="10"/>
        <v>2713</v>
      </c>
      <c r="I32" s="399">
        <f t="shared" si="1"/>
        <v>0</v>
      </c>
      <c r="J32" s="66">
        <f t="shared" si="11"/>
        <v>0</v>
      </c>
      <c r="K32" s="64">
        <f t="shared" si="31"/>
        <v>2200</v>
      </c>
      <c r="L32" s="52">
        <f t="shared" si="12"/>
        <v>0</v>
      </c>
      <c r="M32" s="64">
        <f t="shared" si="32"/>
        <v>161671</v>
      </c>
      <c r="N32" s="399">
        <f t="shared" si="2"/>
        <v>0</v>
      </c>
      <c r="O32" s="64">
        <f t="shared" si="13"/>
        <v>1869</v>
      </c>
      <c r="P32" s="64">
        <f t="shared" si="43"/>
        <v>1952</v>
      </c>
      <c r="Q32" s="64">
        <f t="shared" si="44"/>
        <v>165286</v>
      </c>
      <c r="R32" s="398">
        <f t="shared" si="42"/>
        <v>0</v>
      </c>
      <c r="S32" s="52">
        <f t="shared" si="4"/>
        <v>0</v>
      </c>
      <c r="T32" s="67">
        <f t="shared" si="33"/>
        <v>0</v>
      </c>
      <c r="U32" s="405">
        <f t="shared" si="14"/>
        <v>0</v>
      </c>
      <c r="V32" s="62">
        <f t="shared" si="15"/>
        <v>0</v>
      </c>
      <c r="W32" s="403"/>
      <c r="X32" s="64">
        <f t="shared" si="34"/>
        <v>2452</v>
      </c>
      <c r="Y32" s="52">
        <f t="shared" si="17"/>
        <v>0</v>
      </c>
      <c r="Z32" s="64">
        <f t="shared" si="35"/>
        <v>137831.1</v>
      </c>
      <c r="AA32" s="65">
        <f t="shared" si="5"/>
        <v>0</v>
      </c>
      <c r="AB32" s="287">
        <f t="shared" si="49"/>
        <v>0</v>
      </c>
      <c r="AC32" s="64">
        <f t="shared" si="18"/>
        <v>1934</v>
      </c>
      <c r="AD32" s="271">
        <f t="shared" si="6"/>
        <v>0</v>
      </c>
      <c r="AE32" s="595">
        <f t="shared" si="19"/>
        <v>365317</v>
      </c>
      <c r="AF32" s="309">
        <f t="shared" si="20"/>
        <v>0</v>
      </c>
      <c r="AG32" s="210">
        <f t="shared" si="37"/>
        <v>0</v>
      </c>
      <c r="AH32" s="62">
        <f t="shared" si="38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7"/>
        <v>0</v>
      </c>
      <c r="AM32" s="321">
        <f t="shared" si="23"/>
        <v>0</v>
      </c>
      <c r="AN32" s="64">
        <f t="shared" si="24"/>
        <v>67</v>
      </c>
      <c r="AO32" s="323">
        <f t="shared" si="52"/>
        <v>2010.0000000000002</v>
      </c>
      <c r="AP32" s="64">
        <f t="shared" si="26"/>
        <v>55</v>
      </c>
      <c r="AQ32" s="323">
        <f t="shared" si="51"/>
        <v>1650.0000000000002</v>
      </c>
      <c r="AR32" s="64">
        <f t="shared" si="28"/>
        <v>61</v>
      </c>
      <c r="AS32" s="323">
        <f t="shared" si="39"/>
        <v>1830</v>
      </c>
      <c r="AT32" s="323">
        <f t="shared" si="50"/>
        <v>5490</v>
      </c>
      <c r="AU32" s="323">
        <f t="shared" si="41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44225</v>
      </c>
      <c r="B33" s="599">
        <f t="shared" si="47"/>
        <v>241</v>
      </c>
      <c r="C33" s="599">
        <f t="shared" si="48"/>
        <v>247</v>
      </c>
      <c r="D33" s="45">
        <f t="shared" si="30"/>
        <v>0</v>
      </c>
      <c r="E33" s="45">
        <f t="shared" si="53"/>
        <v>0</v>
      </c>
      <c r="F33" s="64">
        <f t="shared" si="9"/>
        <v>1698</v>
      </c>
      <c r="G33" s="52">
        <f t="shared" si="0"/>
        <v>0</v>
      </c>
      <c r="H33" s="64">
        <f t="shared" si="10"/>
        <v>2713</v>
      </c>
      <c r="I33" s="399">
        <f t="shared" si="1"/>
        <v>0</v>
      </c>
      <c r="J33" s="66">
        <f t="shared" si="11"/>
        <v>0</v>
      </c>
      <c r="K33" s="64">
        <f t="shared" si="31"/>
        <v>2200</v>
      </c>
      <c r="L33" s="52">
        <f t="shared" si="12"/>
        <v>0</v>
      </c>
      <c r="M33" s="64">
        <f t="shared" si="32"/>
        <v>161671</v>
      </c>
      <c r="N33" s="399">
        <f t="shared" si="2"/>
        <v>0</v>
      </c>
      <c r="O33" s="64">
        <f t="shared" si="13"/>
        <v>1869</v>
      </c>
      <c r="P33" s="64">
        <f t="shared" si="43"/>
        <v>1952</v>
      </c>
      <c r="Q33" s="64">
        <f t="shared" si="44"/>
        <v>165286</v>
      </c>
      <c r="R33" s="398">
        <f t="shared" si="42"/>
        <v>0</v>
      </c>
      <c r="S33" s="52">
        <f t="shared" si="4"/>
        <v>0</v>
      </c>
      <c r="T33" s="67">
        <f t="shared" si="33"/>
        <v>0</v>
      </c>
      <c r="U33" s="405">
        <f t="shared" si="14"/>
        <v>0</v>
      </c>
      <c r="V33" s="62">
        <f t="shared" si="15"/>
        <v>0</v>
      </c>
      <c r="W33" s="403"/>
      <c r="X33" s="64">
        <f t="shared" si="34"/>
        <v>2452</v>
      </c>
      <c r="Y33" s="52">
        <f t="shared" si="17"/>
        <v>0</v>
      </c>
      <c r="Z33" s="64">
        <f t="shared" si="35"/>
        <v>137831.1</v>
      </c>
      <c r="AA33" s="65">
        <f t="shared" si="5"/>
        <v>0</v>
      </c>
      <c r="AB33" s="287">
        <f t="shared" si="49"/>
        <v>0</v>
      </c>
      <c r="AC33" s="64">
        <f t="shared" si="18"/>
        <v>1934</v>
      </c>
      <c r="AD33" s="45">
        <f t="shared" si="6"/>
        <v>0</v>
      </c>
      <c r="AE33" s="595">
        <f t="shared" si="19"/>
        <v>365317</v>
      </c>
      <c r="AF33" s="309">
        <f t="shared" si="20"/>
        <v>0</v>
      </c>
      <c r="AG33" s="210">
        <f t="shared" si="37"/>
        <v>0</v>
      </c>
      <c r="AH33" s="62">
        <f t="shared" si="38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7"/>
        <v>0</v>
      </c>
      <c r="AM33" s="321">
        <f t="shared" si="23"/>
        <v>0</v>
      </c>
      <c r="AN33" s="64">
        <f t="shared" si="24"/>
        <v>67</v>
      </c>
      <c r="AO33" s="323">
        <f t="shared" si="52"/>
        <v>2010.0000000000002</v>
      </c>
      <c r="AP33" s="64">
        <f t="shared" si="26"/>
        <v>55</v>
      </c>
      <c r="AQ33" s="323">
        <f t="shared" si="51"/>
        <v>1650.0000000000002</v>
      </c>
      <c r="AR33" s="64">
        <f t="shared" si="28"/>
        <v>61</v>
      </c>
      <c r="AS33" s="323">
        <f t="shared" si="39"/>
        <v>1830</v>
      </c>
      <c r="AT33" s="323">
        <f t="shared" si="50"/>
        <v>5490</v>
      </c>
      <c r="AU33" s="323">
        <f t="shared" si="41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44226</v>
      </c>
      <c r="B34" s="599">
        <f t="shared" si="47"/>
        <v>241</v>
      </c>
      <c r="C34" s="599">
        <f t="shared" si="48"/>
        <v>247</v>
      </c>
      <c r="D34" s="45">
        <f t="shared" si="30"/>
        <v>0</v>
      </c>
      <c r="E34" s="45">
        <f t="shared" si="53"/>
        <v>0</v>
      </c>
      <c r="F34" s="64">
        <f t="shared" si="9"/>
        <v>1698</v>
      </c>
      <c r="G34" s="52">
        <f t="shared" si="0"/>
        <v>0</v>
      </c>
      <c r="H34" s="64">
        <f t="shared" si="10"/>
        <v>2713</v>
      </c>
      <c r="I34" s="399">
        <f t="shared" si="1"/>
        <v>0</v>
      </c>
      <c r="J34" s="66">
        <f t="shared" si="11"/>
        <v>0</v>
      </c>
      <c r="K34" s="64">
        <f t="shared" si="31"/>
        <v>2200</v>
      </c>
      <c r="L34" s="52">
        <f t="shared" si="12"/>
        <v>0</v>
      </c>
      <c r="M34" s="64">
        <f t="shared" si="32"/>
        <v>161671</v>
      </c>
      <c r="N34" s="399">
        <f t="shared" si="2"/>
        <v>0</v>
      </c>
      <c r="O34" s="64">
        <f t="shared" si="13"/>
        <v>1869</v>
      </c>
      <c r="P34" s="64">
        <f t="shared" si="43"/>
        <v>1952</v>
      </c>
      <c r="Q34" s="64">
        <f t="shared" si="44"/>
        <v>165286</v>
      </c>
      <c r="R34" s="398">
        <f t="shared" si="42"/>
        <v>0</v>
      </c>
      <c r="S34" s="52">
        <f t="shared" si="4"/>
        <v>0</v>
      </c>
      <c r="T34" s="67">
        <f t="shared" si="33"/>
        <v>0</v>
      </c>
      <c r="U34" s="405">
        <f t="shared" si="14"/>
        <v>0</v>
      </c>
      <c r="V34" s="62">
        <f t="shared" si="15"/>
        <v>0</v>
      </c>
      <c r="W34" s="403"/>
      <c r="X34" s="64">
        <f t="shared" si="34"/>
        <v>2452</v>
      </c>
      <c r="Y34" s="52">
        <f t="shared" si="17"/>
        <v>0</v>
      </c>
      <c r="Z34" s="64">
        <f t="shared" si="35"/>
        <v>137831.1</v>
      </c>
      <c r="AA34" s="65">
        <f t="shared" si="5"/>
        <v>0</v>
      </c>
      <c r="AB34" s="287">
        <f t="shared" si="49"/>
        <v>0</v>
      </c>
      <c r="AC34" s="64">
        <f t="shared" si="18"/>
        <v>1934</v>
      </c>
      <c r="AD34" s="45">
        <f t="shared" si="6"/>
        <v>0</v>
      </c>
      <c r="AE34" s="595">
        <f t="shared" si="19"/>
        <v>365317</v>
      </c>
      <c r="AF34" s="309">
        <f t="shared" si="20"/>
        <v>0</v>
      </c>
      <c r="AG34" s="210">
        <f t="shared" si="37"/>
        <v>0</v>
      </c>
      <c r="AH34" s="62">
        <f t="shared" si="38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7"/>
        <v>0</v>
      </c>
      <c r="AM34" s="321">
        <f>Y34+AD34</f>
        <v>0</v>
      </c>
      <c r="AN34" s="64">
        <f t="shared" si="24"/>
        <v>67</v>
      </c>
      <c r="AO34" s="323">
        <f t="shared" si="52"/>
        <v>2010.0000000000002</v>
      </c>
      <c r="AP34" s="64">
        <f t="shared" si="26"/>
        <v>55</v>
      </c>
      <c r="AQ34" s="323">
        <f t="shared" si="51"/>
        <v>1650.0000000000002</v>
      </c>
      <c r="AR34" s="64">
        <f t="shared" si="28"/>
        <v>61</v>
      </c>
      <c r="AS34" s="323">
        <f t="shared" si="39"/>
        <v>1830</v>
      </c>
      <c r="AT34" s="323">
        <f t="shared" si="50"/>
        <v>5490</v>
      </c>
      <c r="AU34" s="323">
        <f t="shared" si="41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44227</v>
      </c>
      <c r="B35" s="599">
        <f t="shared" si="47"/>
        <v>241</v>
      </c>
      <c r="C35" s="599">
        <f t="shared" si="48"/>
        <v>247</v>
      </c>
      <c r="D35" s="45">
        <f t="shared" ref="D35" si="54">C34-C35</f>
        <v>0</v>
      </c>
      <c r="E35" s="45">
        <f t="shared" ref="E35" si="55">D35*8.38</f>
        <v>0</v>
      </c>
      <c r="F35" s="64">
        <f t="shared" si="9"/>
        <v>1698</v>
      </c>
      <c r="G35" s="52">
        <f t="shared" ref="G35" si="56">F35-F34</f>
        <v>0</v>
      </c>
      <c r="H35" s="64">
        <f t="shared" si="10"/>
        <v>2713</v>
      </c>
      <c r="I35" s="399">
        <f t="shared" si="1"/>
        <v>0</v>
      </c>
      <c r="J35" s="66">
        <f t="shared" ref="J35" si="57">IF(G35&gt;0,I35/G35,0)</f>
        <v>0</v>
      </c>
      <c r="K35" s="64">
        <f t="shared" si="31"/>
        <v>2200</v>
      </c>
      <c r="L35" s="52">
        <f t="shared" si="12"/>
        <v>0</v>
      </c>
      <c r="M35" s="64">
        <f t="shared" si="32"/>
        <v>161671</v>
      </c>
      <c r="N35" s="399">
        <f t="shared" si="2"/>
        <v>0</v>
      </c>
      <c r="O35" s="64">
        <f t="shared" si="13"/>
        <v>1869</v>
      </c>
      <c r="P35" s="64">
        <f t="shared" si="43"/>
        <v>1952</v>
      </c>
      <c r="Q35" s="64">
        <f t="shared" si="44"/>
        <v>165286</v>
      </c>
      <c r="R35" s="398">
        <f t="shared" ref="R35" si="58">Q35-Q34</f>
        <v>0</v>
      </c>
      <c r="S35" s="52">
        <f t="shared" ref="S35" si="59">SUM(P35-P34)</f>
        <v>0</v>
      </c>
      <c r="T35" s="67">
        <f t="shared" ref="T35" si="60">SUM(S35*$T$2)</f>
        <v>0</v>
      </c>
      <c r="U35" s="405">
        <f t="shared" ref="U35" si="61">SUM(G35+L35+S35)</f>
        <v>0</v>
      </c>
      <c r="V35" s="62">
        <f t="shared" ref="V35" si="62">R35+N35+I35:I35</f>
        <v>0</v>
      </c>
      <c r="W35" s="403"/>
      <c r="X35" s="64">
        <f t="shared" si="34"/>
        <v>2452</v>
      </c>
      <c r="Y35" s="52">
        <f t="shared" ref="Y35" si="63">X35-X34</f>
        <v>0</v>
      </c>
      <c r="Z35" s="64">
        <f t="shared" si="35"/>
        <v>137831.1</v>
      </c>
      <c r="AA35" s="65">
        <f t="shared" ref="AA35" si="64">Z35-Z34</f>
        <v>0</v>
      </c>
      <c r="AB35" s="287">
        <f t="shared" ref="AB35" si="65">SUM(Y35*$AB$2)</f>
        <v>0</v>
      </c>
      <c r="AC35" s="64">
        <f t="shared" si="18"/>
        <v>1934</v>
      </c>
      <c r="AD35" s="45">
        <f t="shared" ref="AD35" si="66">AC35-AC34</f>
        <v>0</v>
      </c>
      <c r="AE35" s="595">
        <f t="shared" si="19"/>
        <v>365317</v>
      </c>
      <c r="AF35" s="309">
        <f t="shared" ref="AF35" si="67">AE35-AE34</f>
        <v>0</v>
      </c>
      <c r="AG35" s="210">
        <f t="shared" ref="AG35" si="68">IF(AD35&gt;0,AF35/AD35,0)</f>
        <v>0</v>
      </c>
      <c r="AH35" s="62">
        <f t="shared" ref="AH35" si="69">AF35+AA35</f>
        <v>0</v>
      </c>
      <c r="AI35" s="321">
        <f t="shared" si="21"/>
        <v>0</v>
      </c>
      <c r="AJ35" s="321">
        <f>-tanks!AW36</f>
        <v>0</v>
      </c>
      <c r="AK35" s="321">
        <f t="shared" ref="AK35" si="70">SUM(AJ35-AI35)</f>
        <v>0</v>
      </c>
      <c r="AL35" s="321">
        <f t="shared" si="7"/>
        <v>0</v>
      </c>
      <c r="AM35" s="321">
        <f>Y35+AD35</f>
        <v>0</v>
      </c>
      <c r="AN35" s="64">
        <f t="shared" si="24"/>
        <v>67</v>
      </c>
      <c r="AO35" s="323">
        <f t="shared" ref="AO35" si="71">(AN35/100)*3000</f>
        <v>2010.0000000000002</v>
      </c>
      <c r="AP35" s="64">
        <f t="shared" si="26"/>
        <v>55</v>
      </c>
      <c r="AQ35" s="323">
        <f t="shared" ref="AQ35" si="72">(AP35/100)*3000</f>
        <v>1650.0000000000002</v>
      </c>
      <c r="AR35" s="64">
        <f t="shared" si="28"/>
        <v>61</v>
      </c>
      <c r="AS35" s="323">
        <f t="shared" ref="AS35" si="73">(AR35/100)*3000</f>
        <v>1830</v>
      </c>
      <c r="AT35" s="323">
        <f t="shared" ref="AT35" si="74">SUM(AO35+AQ35+AS35)</f>
        <v>5490</v>
      </c>
      <c r="AU35" s="323">
        <f t="shared" ref="AU35" si="75">AT34-AT35+AV35</f>
        <v>0</v>
      </c>
      <c r="AV35" s="271"/>
      <c r="AW35" s="271"/>
      <c r="AX35" s="316">
        <f t="shared" ref="AX35" si="76">IF(AV35&gt;0,AW35,AX34)</f>
        <v>0.8</v>
      </c>
    </row>
    <row r="36" spans="1:50">
      <c r="J36" s="286">
        <f>SUM(J5:J34)/(COUNT(J5:J34)-COUNTIF(J5:J34,0))</f>
        <v>93.590909090909093</v>
      </c>
      <c r="V36" s="62">
        <f>SUM(V5:V35)</f>
        <v>4059</v>
      </c>
      <c r="AE36" s="71" t="s">
        <v>385</v>
      </c>
      <c r="AG36" s="347"/>
      <c r="AH36" s="62">
        <f>SUM(AH5:AH35)</f>
        <v>111.5</v>
      </c>
      <c r="AL36" s="62">
        <f>SUM(AL5:AL35)</f>
        <v>54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60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4170.5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30.6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Normal="100" workbookViewId="0">
      <pane ySplit="3" topLeftCell="A10" activePane="bottomLeft" state="frozen"/>
      <selection pane="bottomLeft" activeCell="BF23" sqref="BF23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5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5" customWidth="1"/>
    <col min="11" max="11" width="13.54296875" style="1" customWidth="1"/>
    <col min="12" max="12" width="13.26953125" style="1" customWidth="1"/>
    <col min="13" max="13" width="10.7265625" style="499" customWidth="1"/>
    <col min="14" max="14" width="10.7265625" style="501" customWidth="1"/>
    <col min="15" max="15" width="11.1796875" style="499" customWidth="1"/>
    <col min="16" max="16" width="11.1796875" style="501" customWidth="1"/>
    <col min="17" max="17" width="17.26953125" style="499" customWidth="1"/>
    <col min="18" max="18" width="10.81640625" style="499" customWidth="1"/>
    <col min="19" max="19" width="10.7265625" style="499" customWidth="1"/>
    <col min="20" max="20" width="13.26953125" style="409" customWidth="1"/>
    <col min="21" max="21" width="8.7265625" style="413" customWidth="1"/>
    <col min="22" max="22" width="13.26953125" style="325" customWidth="1"/>
    <col min="23" max="23" width="9.7265625" style="325" bestFit="1" customWidth="1"/>
    <col min="24" max="27" width="9.7265625" style="325" customWidth="1"/>
    <col min="28" max="28" width="14.453125" style="325" customWidth="1"/>
    <col min="29" max="32" width="9.7265625" style="325" customWidth="1"/>
    <col min="33" max="33" width="11.26953125" style="325" customWidth="1"/>
    <col min="34" max="36" width="9.7265625" style="325" customWidth="1"/>
    <col min="37" max="37" width="7.453125" style="325" customWidth="1"/>
    <col min="38" max="39" width="8.7265625" style="325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62" customFormat="1" ht="15" thickBot="1">
      <c r="B1" s="363"/>
      <c r="C1" s="363"/>
      <c r="D1" s="420">
        <f>SUM(G21:G35)</f>
        <v>9224750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6" t="s">
        <v>126</v>
      </c>
      <c r="AO3" s="637"/>
      <c r="AP3" s="638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44196</v>
      </c>
      <c r="B5" s="414">
        <f>[1]WATER!B36</f>
        <v>109443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v>614289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6709</v>
      </c>
      <c r="L5" s="414">
        <f>[1]WATER!L36</f>
        <v>0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v>5163</v>
      </c>
      <c r="U5" s="414">
        <f>[1]WATER!U36</f>
        <v>0</v>
      </c>
      <c r="V5" s="414">
        <f>[1]WATER!V36</f>
        <v>459</v>
      </c>
      <c r="W5" s="414">
        <f>[1]WATER!W36</f>
        <v>0</v>
      </c>
      <c r="X5" s="414">
        <v>149807</v>
      </c>
      <c r="Y5" s="414">
        <f>[1]WATER!Y36</f>
        <v>0</v>
      </c>
      <c r="Z5" s="414">
        <v>98070</v>
      </c>
      <c r="AA5" s="414">
        <f>[1]WATER!AA36</f>
        <v>19</v>
      </c>
      <c r="AB5" s="414">
        <f>[1]WATER!AB36</f>
        <v>265</v>
      </c>
      <c r="AC5" s="414">
        <v>731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2181.5700000000002</v>
      </c>
      <c r="AH5" s="414">
        <f>[1]WATER!AH36</f>
        <v>0</v>
      </c>
      <c r="AI5" s="414">
        <f>[1]WATER!AI36</f>
        <v>0</v>
      </c>
      <c r="AJ5" s="414">
        <f>[1]WATER!AJ36</f>
        <v>19</v>
      </c>
      <c r="AK5" s="414">
        <f>[1]WATER!AK36</f>
        <v>0</v>
      </c>
      <c r="AL5" s="414">
        <f>[1]WATER!AL36</f>
        <v>19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609">
        <v>44196</v>
      </c>
      <c r="AS5" s="414">
        <f>[1]WATER!AS36</f>
        <v>0.9</v>
      </c>
      <c r="AT5" s="414">
        <v>137</v>
      </c>
      <c r="AU5" s="414">
        <f>[1]WATER!AU36</f>
        <v>1.1000000000000001</v>
      </c>
      <c r="AV5" s="414">
        <v>133</v>
      </c>
      <c r="AW5" s="414">
        <f>[1]WATER!AW36</f>
        <v>2.9</v>
      </c>
      <c r="AX5" s="414">
        <v>136</v>
      </c>
      <c r="AY5" s="414">
        <f>[1]WATER!AY36</f>
        <v>123.3</v>
      </c>
      <c r="AZ5" s="414">
        <f>[1]WATER!AZ36</f>
        <v>146.30000000000001</v>
      </c>
      <c r="BA5" s="414">
        <f>[1]WATER!BA36</f>
        <v>394.4</v>
      </c>
      <c r="BB5" s="414">
        <f>[1]WATER!BB36</f>
        <v>-11.700000000000003</v>
      </c>
      <c r="BC5" s="414">
        <f>[1]WATER!BC36</f>
        <v>15.400000000000006</v>
      </c>
      <c r="BD5" s="414">
        <f>[1]WATER!BD36</f>
        <v>23.199999999999989</v>
      </c>
      <c r="BE5" s="414">
        <f>[1]WATER!BE36</f>
        <v>26.899999999999991</v>
      </c>
      <c r="BF5" s="414">
        <f>[1]WATER!BF36</f>
        <v>-26.899999999999991</v>
      </c>
      <c r="BG5" s="414">
        <f>[1]WATER!BG36</f>
        <v>26.899999999999991</v>
      </c>
    </row>
    <row r="6" spans="1:65" ht="15" thickBot="1">
      <c r="A6" s="6">
        <f>ELEC!C3</f>
        <v>44197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614538</v>
      </c>
      <c r="H6" s="5">
        <f>G6-G5</f>
        <v>249</v>
      </c>
      <c r="I6" s="5">
        <f t="shared" ref="I6:I35" si="0">C6+H6</f>
        <v>249</v>
      </c>
      <c r="J6" s="337">
        <f t="shared" ref="J6:J35" si="1">IF(I6&gt;0,E6/I6,0)</f>
        <v>0.97162844928099501</v>
      </c>
      <c r="K6" s="5">
        <f>'Swimming Pool quality check '!H6</f>
        <v>6709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5163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f>X5</f>
        <v>149807</v>
      </c>
      <c r="Y6" s="327">
        <f>SUM(X6-X5)</f>
        <v>0</v>
      </c>
      <c r="Z6" s="5">
        <v>98092</v>
      </c>
      <c r="AA6" s="83">
        <f>Z6-Z5</f>
        <v>22</v>
      </c>
      <c r="AB6" s="5">
        <f>AB5</f>
        <v>265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22</v>
      </c>
      <c r="AK6" s="330">
        <f t="shared" ref="AK6" si="5">SUM(Y6-L6)</f>
        <v>0</v>
      </c>
      <c r="AL6" s="330">
        <f>SUM(AJ6-W6)</f>
        <v>22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44197</v>
      </c>
      <c r="AS6" s="428">
        <f t="shared" ref="AS6:AT21" si="6">AS5</f>
        <v>0.9</v>
      </c>
      <c r="AT6" s="202">
        <v>180</v>
      </c>
      <c r="AU6" s="429">
        <f>AU5</f>
        <v>1.1000000000000001</v>
      </c>
      <c r="AV6" s="202">
        <v>130</v>
      </c>
      <c r="AW6" s="5">
        <v>2.9</v>
      </c>
      <c r="AX6" s="202">
        <v>144</v>
      </c>
      <c r="AY6" s="432">
        <f t="shared" ref="AY6:AY35" si="7">AS6*AT6</f>
        <v>162</v>
      </c>
      <c r="AZ6" s="432">
        <f>AU6*AV6</f>
        <v>143</v>
      </c>
      <c r="BA6" s="432">
        <f>AW6*AX6</f>
        <v>417.59999999999997</v>
      </c>
      <c r="BB6" s="21">
        <f>AY6-AY5</f>
        <v>38.700000000000003</v>
      </c>
      <c r="BC6" s="21">
        <f>AZ6-AZ5</f>
        <v>-3.3000000000000114</v>
      </c>
      <c r="BD6" s="21">
        <f>BA6-BA5</f>
        <v>23.199999999999989</v>
      </c>
      <c r="BE6" s="24">
        <f>SUM(BB6:BD6)</f>
        <v>58.59999999999998</v>
      </c>
      <c r="BF6" s="96">
        <f t="shared" ref="BF6:BF35" si="8">SUM(I6-BE6)</f>
        <v>190.40000000000003</v>
      </c>
      <c r="BG6" s="82">
        <f t="shared" ref="BG6:BG35" si="9">SUM(I6-BF6)</f>
        <v>58.599999999999966</v>
      </c>
      <c r="BI6" s="17"/>
      <c r="BJ6" s="17"/>
      <c r="BK6" s="17"/>
      <c r="BL6" s="17"/>
      <c r="BM6" s="17"/>
    </row>
    <row r="7" spans="1:65" ht="15" thickBot="1">
      <c r="A7" s="6">
        <f>ELEC!C4</f>
        <v>44198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" si="13">G6</f>
        <v>614538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6710</v>
      </c>
      <c r="L7" s="83">
        <f>K7-K6</f>
        <v>1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5163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149807</v>
      </c>
      <c r="Y7" s="327">
        <f>SUM(X7-X6)</f>
        <v>0</v>
      </c>
      <c r="Z7" s="5">
        <f t="shared" ref="Z7:Z36" si="21">Z6</f>
        <v>98092</v>
      </c>
      <c r="AA7" s="83">
        <f t="shared" ref="AA7:AA35" si="22">Z7-Z6</f>
        <v>0</v>
      </c>
      <c r="AB7" s="5">
        <f t="shared" ref="AB7:AB36" si="23">AB6</f>
        <v>265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-1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44198</v>
      </c>
      <c r="AS7" s="428">
        <f t="shared" si="6"/>
        <v>0.9</v>
      </c>
      <c r="AT7" s="202">
        <v>183</v>
      </c>
      <c r="AU7" s="429">
        <f>AU6</f>
        <v>1.1000000000000001</v>
      </c>
      <c r="AV7" s="202">
        <v>126</v>
      </c>
      <c r="AW7" s="5">
        <v>2.9</v>
      </c>
      <c r="AX7" s="202">
        <v>141</v>
      </c>
      <c r="AY7" s="432">
        <f t="shared" si="7"/>
        <v>164.70000000000002</v>
      </c>
      <c r="AZ7" s="432">
        <f t="shared" ref="AZ7:AZ35" si="33">AU7*AV7</f>
        <v>138.60000000000002</v>
      </c>
      <c r="BA7" s="432">
        <f t="shared" ref="BA7:BA35" si="34">AW7*AX7</f>
        <v>408.9</v>
      </c>
      <c r="BB7" s="21">
        <f t="shared" ref="BB7:BD35" si="35">AY7-AY6</f>
        <v>2.7000000000000171</v>
      </c>
      <c r="BC7" s="21">
        <f t="shared" ref="BC7:BD21" si="36">AZ7-AZ6</f>
        <v>-4.3999999999999773</v>
      </c>
      <c r="BD7" s="21">
        <f t="shared" si="36"/>
        <v>-8.6999999999999886</v>
      </c>
      <c r="BE7" s="24">
        <f t="shared" ref="BE7:BE35" si="37">SUM(BB7:BD7)</f>
        <v>-10.399999999999949</v>
      </c>
      <c r="BF7" s="96">
        <f t="shared" si="8"/>
        <v>10.399999999999949</v>
      </c>
      <c r="BG7" s="82">
        <f t="shared" si="9"/>
        <v>-10.399999999999949</v>
      </c>
      <c r="BI7" s="86"/>
      <c r="BJ7" s="17"/>
      <c r="BK7" s="17"/>
      <c r="BL7" s="17"/>
      <c r="BM7" s="17"/>
    </row>
    <row r="8" spans="1:65" ht="15" thickBot="1">
      <c r="A8" s="6">
        <f>ELEC!C5</f>
        <v>44199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f>G7</f>
        <v>614538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6710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5163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149807</v>
      </c>
      <c r="Y8" s="327">
        <f>SUM(X8-X7)</f>
        <v>0</v>
      </c>
      <c r="Z8" s="5">
        <f t="shared" si="21"/>
        <v>98092</v>
      </c>
      <c r="AA8" s="83">
        <f t="shared" si="22"/>
        <v>0</v>
      </c>
      <c r="AB8" s="5">
        <f t="shared" si="23"/>
        <v>265</v>
      </c>
      <c r="AC8" s="5">
        <f t="shared" si="24"/>
        <v>731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44199</v>
      </c>
      <c r="AS8" s="428">
        <f t="shared" si="6"/>
        <v>0.9</v>
      </c>
      <c r="AT8" s="202">
        <f t="shared" si="6"/>
        <v>183</v>
      </c>
      <c r="AU8" s="429">
        <v>1.1000000000000001</v>
      </c>
      <c r="AV8" s="202">
        <v>133</v>
      </c>
      <c r="AW8" s="5">
        <v>2.9</v>
      </c>
      <c r="AX8" s="202">
        <v>138</v>
      </c>
      <c r="AY8" s="432">
        <f t="shared" si="7"/>
        <v>164.70000000000002</v>
      </c>
      <c r="AZ8" s="432">
        <f t="shared" si="33"/>
        <v>146.30000000000001</v>
      </c>
      <c r="BA8" s="432">
        <f t="shared" si="34"/>
        <v>400.2</v>
      </c>
      <c r="BB8" s="21">
        <f t="shared" si="35"/>
        <v>0</v>
      </c>
      <c r="BC8" s="21">
        <f t="shared" si="36"/>
        <v>7.6999999999999886</v>
      </c>
      <c r="BD8" s="21">
        <f t="shared" si="36"/>
        <v>-8.6999999999999886</v>
      </c>
      <c r="BE8" s="24">
        <f t="shared" si="37"/>
        <v>-1</v>
      </c>
      <c r="BF8" s="96">
        <f t="shared" si="8"/>
        <v>1</v>
      </c>
      <c r="BG8" s="82">
        <f t="shared" si="9"/>
        <v>-1</v>
      </c>
      <c r="BI8" s="86"/>
      <c r="BJ8" s="17"/>
      <c r="BK8" s="17"/>
    </row>
    <row r="9" spans="1:65" ht="15" thickBot="1">
      <c r="A9" s="6">
        <f>ELEC!C6</f>
        <v>44200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ref="G9:G36" si="40">G8</f>
        <v>614538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6710</v>
      </c>
      <c r="L9" s="83">
        <f t="shared" ref="L9:L35" si="41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5163</v>
      </c>
      <c r="U9" s="5">
        <f t="shared" si="4"/>
        <v>0</v>
      </c>
      <c r="V9" s="5">
        <f t="shared" si="18"/>
        <v>459</v>
      </c>
      <c r="W9" s="327">
        <f t="shared" si="19"/>
        <v>0</v>
      </c>
      <c r="X9" s="5">
        <f t="shared" si="20"/>
        <v>149807</v>
      </c>
      <c r="Y9" s="327">
        <f t="shared" ref="Y9:Y35" si="42">SUM(X9-X8)</f>
        <v>0</v>
      </c>
      <c r="Z9" s="5">
        <f t="shared" si="21"/>
        <v>98092</v>
      </c>
      <c r="AA9" s="83">
        <f t="shared" si="22"/>
        <v>0</v>
      </c>
      <c r="AB9" s="5">
        <f t="shared" si="23"/>
        <v>265</v>
      </c>
      <c r="AC9" s="5">
        <f t="shared" si="24"/>
        <v>731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0</v>
      </c>
      <c r="AL9" s="330">
        <f t="shared" si="31"/>
        <v>0</v>
      </c>
      <c r="AM9" s="330">
        <f>'General information '!D9</f>
        <v>18.5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44200</v>
      </c>
      <c r="AS9" s="428">
        <f t="shared" si="6"/>
        <v>0.9</v>
      </c>
      <c r="AT9" s="202">
        <f t="shared" si="6"/>
        <v>183</v>
      </c>
      <c r="AU9" s="429">
        <f t="shared" ref="AU9:AU36" si="43">AU8</f>
        <v>1.1000000000000001</v>
      </c>
      <c r="AV9" s="202">
        <v>130</v>
      </c>
      <c r="AW9" s="5">
        <v>2.9</v>
      </c>
      <c r="AX9" s="202">
        <v>136</v>
      </c>
      <c r="AY9" s="432">
        <f t="shared" si="7"/>
        <v>164.70000000000002</v>
      </c>
      <c r="AZ9" s="432">
        <f t="shared" si="33"/>
        <v>143</v>
      </c>
      <c r="BA9" s="432">
        <f t="shared" si="34"/>
        <v>394.4</v>
      </c>
      <c r="BB9" s="21">
        <f t="shared" si="35"/>
        <v>0</v>
      </c>
      <c r="BC9" s="21">
        <f t="shared" si="36"/>
        <v>-3.3000000000000114</v>
      </c>
      <c r="BD9" s="21">
        <f t="shared" si="36"/>
        <v>-5.8000000000000114</v>
      </c>
      <c r="BE9" s="24">
        <f t="shared" si="37"/>
        <v>-9.1000000000000227</v>
      </c>
      <c r="BF9" s="348">
        <f t="shared" si="8"/>
        <v>9.1000000000000227</v>
      </c>
      <c r="BG9" s="82">
        <f t="shared" si="9"/>
        <v>-9.1000000000000227</v>
      </c>
    </row>
    <row r="10" spans="1:65" ht="15" thickBot="1">
      <c r="A10" s="6">
        <f>ELEC!C7</f>
        <v>44201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f t="shared" si="40"/>
        <v>614538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6710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5163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f t="shared" si="20"/>
        <v>149807</v>
      </c>
      <c r="Y10" s="327">
        <f t="shared" si="42"/>
        <v>0</v>
      </c>
      <c r="Z10" s="5">
        <f t="shared" si="21"/>
        <v>98092</v>
      </c>
      <c r="AA10" s="83">
        <f t="shared" si="22"/>
        <v>0</v>
      </c>
      <c r="AB10" s="5">
        <f t="shared" si="23"/>
        <v>265</v>
      </c>
      <c r="AC10" s="5">
        <f t="shared" si="24"/>
        <v>731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39"/>
        <v>0</v>
      </c>
      <c r="AL10" s="330">
        <f t="shared" si="31"/>
        <v>0</v>
      </c>
      <c r="AM10" s="330">
        <f>'General information '!D10</f>
        <v>19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44201</v>
      </c>
      <c r="AS10" s="428">
        <f t="shared" si="6"/>
        <v>0.9</v>
      </c>
      <c r="AT10" s="202">
        <v>183</v>
      </c>
      <c r="AU10" s="429">
        <f t="shared" si="43"/>
        <v>1.1000000000000001</v>
      </c>
      <c r="AV10" s="202">
        <v>124</v>
      </c>
      <c r="AW10" s="5">
        <v>2.9</v>
      </c>
      <c r="AX10" s="202">
        <v>135</v>
      </c>
      <c r="AY10" s="432">
        <f t="shared" si="7"/>
        <v>164.70000000000002</v>
      </c>
      <c r="AZ10" s="432">
        <f t="shared" si="33"/>
        <v>136.4</v>
      </c>
      <c r="BA10" s="432">
        <f t="shared" si="34"/>
        <v>391.5</v>
      </c>
      <c r="BB10" s="21">
        <f t="shared" si="35"/>
        <v>0</v>
      </c>
      <c r="BC10" s="21">
        <f t="shared" si="36"/>
        <v>-6.5999999999999943</v>
      </c>
      <c r="BD10" s="21">
        <f t="shared" si="36"/>
        <v>-2.8999999999999773</v>
      </c>
      <c r="BE10" s="24">
        <f t="shared" si="37"/>
        <v>-9.4999999999999716</v>
      </c>
      <c r="BF10" s="96">
        <f t="shared" si="8"/>
        <v>9.4999999999999716</v>
      </c>
      <c r="BG10" s="82">
        <f t="shared" si="9"/>
        <v>-9.4999999999999716</v>
      </c>
    </row>
    <row r="11" spans="1:65" ht="15" thickBot="1">
      <c r="A11" s="6">
        <f>ELEC!C8</f>
        <v>44202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40"/>
        <v>614538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6711</v>
      </c>
      <c r="L11" s="83">
        <f t="shared" si="41"/>
        <v>1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v>5164</v>
      </c>
      <c r="U11" s="5">
        <f t="shared" si="4"/>
        <v>1</v>
      </c>
      <c r="V11" s="5">
        <f t="shared" si="18"/>
        <v>459</v>
      </c>
      <c r="W11" s="327">
        <f t="shared" si="19"/>
        <v>0</v>
      </c>
      <c r="X11" s="5">
        <f t="shared" si="20"/>
        <v>149807</v>
      </c>
      <c r="Y11" s="327">
        <f t="shared" si="42"/>
        <v>0</v>
      </c>
      <c r="Z11" s="5">
        <f t="shared" si="21"/>
        <v>98092</v>
      </c>
      <c r="AA11" s="83">
        <f t="shared" si="22"/>
        <v>0</v>
      </c>
      <c r="AB11" s="5">
        <f t="shared" si="23"/>
        <v>265</v>
      </c>
      <c r="AC11" s="5">
        <f t="shared" si="24"/>
        <v>731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-1</v>
      </c>
      <c r="AL11" s="330">
        <f t="shared" si="31"/>
        <v>0</v>
      </c>
      <c r="AM11" s="330">
        <f>'General information '!D11</f>
        <v>18.5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44202</v>
      </c>
      <c r="AS11" s="428">
        <f t="shared" si="6"/>
        <v>0.9</v>
      </c>
      <c r="AT11" s="202">
        <v>183</v>
      </c>
      <c r="AU11" s="429">
        <f t="shared" si="43"/>
        <v>1.1000000000000001</v>
      </c>
      <c r="AV11" s="202">
        <v>110</v>
      </c>
      <c r="AW11" s="5">
        <v>2.9</v>
      </c>
      <c r="AX11" s="202">
        <v>133</v>
      </c>
      <c r="AY11" s="432">
        <f t="shared" si="7"/>
        <v>164.70000000000002</v>
      </c>
      <c r="AZ11" s="432">
        <f t="shared" si="33"/>
        <v>121.00000000000001</v>
      </c>
      <c r="BA11" s="432">
        <f t="shared" si="34"/>
        <v>385.7</v>
      </c>
      <c r="BB11" s="21">
        <f t="shared" si="35"/>
        <v>0</v>
      </c>
      <c r="BC11" s="21">
        <f t="shared" si="36"/>
        <v>-15.399999999999991</v>
      </c>
      <c r="BD11" s="21">
        <f t="shared" si="36"/>
        <v>-5.8000000000000114</v>
      </c>
      <c r="BE11" s="24">
        <f t="shared" si="37"/>
        <v>-21.200000000000003</v>
      </c>
      <c r="BF11" s="96">
        <f t="shared" si="8"/>
        <v>21.200000000000003</v>
      </c>
      <c r="BG11" s="82">
        <f t="shared" si="9"/>
        <v>-21.200000000000003</v>
      </c>
    </row>
    <row r="12" spans="1:65" ht="15" thickBot="1">
      <c r="A12" s="6">
        <f>ELEC!C9</f>
        <v>44203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f t="shared" si="40"/>
        <v>614538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6711</v>
      </c>
      <c r="L12" s="83">
        <f t="shared" si="41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v>5164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f t="shared" si="20"/>
        <v>149807</v>
      </c>
      <c r="Y12" s="327">
        <f t="shared" si="42"/>
        <v>0</v>
      </c>
      <c r="Z12" s="5">
        <f t="shared" si="21"/>
        <v>98092</v>
      </c>
      <c r="AA12" s="83">
        <f t="shared" si="22"/>
        <v>0</v>
      </c>
      <c r="AB12" s="5">
        <f t="shared" si="23"/>
        <v>265</v>
      </c>
      <c r="AC12" s="5">
        <f t="shared" si="24"/>
        <v>731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17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44203</v>
      </c>
      <c r="AS12" s="428">
        <f t="shared" si="6"/>
        <v>0.9</v>
      </c>
      <c r="AT12" s="202">
        <v>172</v>
      </c>
      <c r="AU12" s="429">
        <f t="shared" si="43"/>
        <v>1.1000000000000001</v>
      </c>
      <c r="AV12" s="202">
        <v>116</v>
      </c>
      <c r="AW12" s="5">
        <v>2.9</v>
      </c>
      <c r="AX12" s="202">
        <v>131</v>
      </c>
      <c r="AY12" s="432">
        <f t="shared" si="7"/>
        <v>154.80000000000001</v>
      </c>
      <c r="AZ12" s="432">
        <f t="shared" si="33"/>
        <v>127.60000000000001</v>
      </c>
      <c r="BA12" s="432">
        <f t="shared" si="34"/>
        <v>379.9</v>
      </c>
      <c r="BB12" s="21">
        <f t="shared" si="35"/>
        <v>-9.9000000000000057</v>
      </c>
      <c r="BC12" s="21">
        <f t="shared" si="36"/>
        <v>6.5999999999999943</v>
      </c>
      <c r="BD12" s="21">
        <f t="shared" si="36"/>
        <v>-5.8000000000000114</v>
      </c>
      <c r="BE12" s="24">
        <f t="shared" si="37"/>
        <v>-9.1000000000000227</v>
      </c>
      <c r="BF12" s="96">
        <f t="shared" si="8"/>
        <v>9.1000000000000227</v>
      </c>
      <c r="BG12" s="82">
        <f t="shared" si="9"/>
        <v>-9.1000000000000227</v>
      </c>
    </row>
    <row r="13" spans="1:65" ht="15" thickBot="1">
      <c r="A13" s="6">
        <f>ELEC!C10</f>
        <v>44204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v>614538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6711</v>
      </c>
      <c r="L13" s="83">
        <f t="shared" si="41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5164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149807</v>
      </c>
      <c r="Y13" s="327">
        <f t="shared" si="42"/>
        <v>0</v>
      </c>
      <c r="Z13" s="5">
        <f t="shared" si="21"/>
        <v>98092</v>
      </c>
      <c r="AA13" s="83">
        <f t="shared" si="22"/>
        <v>0</v>
      </c>
      <c r="AB13" s="5">
        <f t="shared" si="23"/>
        <v>265</v>
      </c>
      <c r="AC13" s="5">
        <f t="shared" si="24"/>
        <v>731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44204</v>
      </c>
      <c r="AS13" s="428">
        <f t="shared" si="6"/>
        <v>0.9</v>
      </c>
      <c r="AT13" s="202">
        <f t="shared" si="6"/>
        <v>172</v>
      </c>
      <c r="AU13" s="429">
        <f t="shared" si="43"/>
        <v>1.1000000000000001</v>
      </c>
      <c r="AV13" s="202">
        <v>112</v>
      </c>
      <c r="AW13" s="5">
        <v>2.9</v>
      </c>
      <c r="AX13" s="202">
        <v>129</v>
      </c>
      <c r="AY13" s="432">
        <f t="shared" si="7"/>
        <v>154.80000000000001</v>
      </c>
      <c r="AZ13" s="432">
        <f t="shared" si="33"/>
        <v>123.20000000000002</v>
      </c>
      <c r="BA13" s="432">
        <f t="shared" si="34"/>
        <v>374.09999999999997</v>
      </c>
      <c r="BB13" s="21">
        <f t="shared" si="35"/>
        <v>0</v>
      </c>
      <c r="BC13" s="21">
        <f t="shared" si="36"/>
        <v>-4.3999999999999915</v>
      </c>
      <c r="BD13" s="21">
        <f t="shared" si="36"/>
        <v>-5.8000000000000114</v>
      </c>
      <c r="BE13" s="24">
        <f t="shared" si="37"/>
        <v>-10.200000000000003</v>
      </c>
      <c r="BF13" s="96">
        <f t="shared" si="8"/>
        <v>10.200000000000003</v>
      </c>
      <c r="BG13" s="82">
        <f t="shared" si="9"/>
        <v>-10.200000000000003</v>
      </c>
    </row>
    <row r="14" spans="1:65" ht="15" thickBot="1">
      <c r="A14" s="6">
        <f>ELEC!C11</f>
        <v>44205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f t="shared" si="40"/>
        <v>614538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6711</v>
      </c>
      <c r="L14" s="83">
        <f t="shared" si="41"/>
        <v>0</v>
      </c>
      <c r="M14" s="414">
        <f t="shared" si="15"/>
        <v>457.44</v>
      </c>
      <c r="N14" s="521">
        <f t="shared" ref="N14:N35" si="44">SUM(M14-M13)</f>
        <v>0</v>
      </c>
      <c r="O14" s="414">
        <f t="shared" si="16"/>
        <v>529.52</v>
      </c>
      <c r="P14" s="521">
        <f t="shared" ref="P14:P35" si="45">SUM(O14-O13)</f>
        <v>0</v>
      </c>
      <c r="Q14" s="521">
        <f t="shared" ref="Q14:Q35" si="46">SUM(P14+N14)</f>
        <v>0</v>
      </c>
      <c r="R14" s="521"/>
      <c r="S14" s="521"/>
      <c r="T14" s="5">
        <f t="shared" si="17"/>
        <v>5164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149807</v>
      </c>
      <c r="Y14" s="327">
        <f t="shared" si="42"/>
        <v>0</v>
      </c>
      <c r="Z14" s="5">
        <f t="shared" si="21"/>
        <v>98092</v>
      </c>
      <c r="AA14" s="83">
        <f t="shared" si="22"/>
        <v>0</v>
      </c>
      <c r="AB14" s="5">
        <f t="shared" si="23"/>
        <v>265</v>
      </c>
      <c r="AC14" s="5">
        <f t="shared" si="24"/>
        <v>731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44205</v>
      </c>
      <c r="AS14" s="428">
        <f t="shared" si="6"/>
        <v>0.9</v>
      </c>
      <c r="AT14" s="202">
        <f t="shared" si="6"/>
        <v>172</v>
      </c>
      <c r="AU14" s="429">
        <f t="shared" si="43"/>
        <v>1.1000000000000001</v>
      </c>
      <c r="AV14" s="202">
        <v>98</v>
      </c>
      <c r="AW14" s="5">
        <v>2.9</v>
      </c>
      <c r="AX14" s="202">
        <v>127</v>
      </c>
      <c r="AY14" s="432">
        <f t="shared" si="7"/>
        <v>154.80000000000001</v>
      </c>
      <c r="AZ14" s="432">
        <f t="shared" si="33"/>
        <v>107.80000000000001</v>
      </c>
      <c r="BA14" s="432">
        <f t="shared" si="34"/>
        <v>368.3</v>
      </c>
      <c r="BB14" s="21">
        <f t="shared" si="35"/>
        <v>0</v>
      </c>
      <c r="BC14" s="21">
        <f t="shared" si="36"/>
        <v>-15.400000000000006</v>
      </c>
      <c r="BD14" s="21">
        <f t="shared" si="36"/>
        <v>-5.7999999999999545</v>
      </c>
      <c r="BE14" s="24">
        <f t="shared" si="37"/>
        <v>-21.19999999999996</v>
      </c>
      <c r="BF14" s="96">
        <f t="shared" si="8"/>
        <v>21.19999999999996</v>
      </c>
      <c r="BG14" s="82">
        <f t="shared" si="9"/>
        <v>-21.19999999999996</v>
      </c>
    </row>
    <row r="15" spans="1:65" ht="16.5" customHeight="1" thickBot="1">
      <c r="A15" s="6">
        <f>ELEC!C12</f>
        <v>44206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40"/>
        <v>614538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6712</v>
      </c>
      <c r="L15" s="83">
        <f t="shared" si="41"/>
        <v>1</v>
      </c>
      <c r="M15" s="414">
        <f t="shared" si="15"/>
        <v>457.44</v>
      </c>
      <c r="N15" s="521">
        <f t="shared" si="44"/>
        <v>0</v>
      </c>
      <c r="O15" s="414">
        <f t="shared" si="16"/>
        <v>529.52</v>
      </c>
      <c r="P15" s="521">
        <f t="shared" si="45"/>
        <v>0</v>
      </c>
      <c r="Q15" s="521">
        <f t="shared" si="46"/>
        <v>0</v>
      </c>
      <c r="R15" s="521"/>
      <c r="S15" s="521"/>
      <c r="T15" s="5">
        <f t="shared" si="17"/>
        <v>5164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149807</v>
      </c>
      <c r="Y15" s="327">
        <f t="shared" si="42"/>
        <v>0</v>
      </c>
      <c r="Z15" s="5">
        <f t="shared" si="21"/>
        <v>98092</v>
      </c>
      <c r="AA15" s="83">
        <f t="shared" si="22"/>
        <v>0</v>
      </c>
      <c r="AB15" s="5">
        <f t="shared" si="23"/>
        <v>265</v>
      </c>
      <c r="AC15" s="5">
        <f t="shared" si="24"/>
        <v>731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-1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44206</v>
      </c>
      <c r="AS15" s="428">
        <f t="shared" si="6"/>
        <v>0.9</v>
      </c>
      <c r="AT15" s="202">
        <f t="shared" si="6"/>
        <v>172</v>
      </c>
      <c r="AU15" s="429">
        <f t="shared" si="43"/>
        <v>1.1000000000000001</v>
      </c>
      <c r="AV15" s="202">
        <v>104</v>
      </c>
      <c r="AW15" s="5">
        <v>2.9</v>
      </c>
      <c r="AX15" s="202">
        <v>125</v>
      </c>
      <c r="AY15" s="432">
        <f t="shared" si="7"/>
        <v>154.80000000000001</v>
      </c>
      <c r="AZ15" s="432">
        <f t="shared" si="33"/>
        <v>114.4</v>
      </c>
      <c r="BA15" s="432">
        <f t="shared" si="34"/>
        <v>362.5</v>
      </c>
      <c r="BB15" s="21">
        <f t="shared" si="35"/>
        <v>0</v>
      </c>
      <c r="BC15" s="21">
        <f t="shared" si="36"/>
        <v>6.5999999999999943</v>
      </c>
      <c r="BD15" s="21">
        <f t="shared" si="36"/>
        <v>-5.8000000000000114</v>
      </c>
      <c r="BE15" s="24">
        <f t="shared" si="37"/>
        <v>0.79999999999998295</v>
      </c>
      <c r="BF15" s="96">
        <f t="shared" si="8"/>
        <v>-0.79999999999998295</v>
      </c>
      <c r="BG15" s="82">
        <f t="shared" si="9"/>
        <v>0.79999999999998295</v>
      </c>
    </row>
    <row r="16" spans="1:65" ht="15" thickBot="1">
      <c r="A16" s="6">
        <f>ELEC!C13</f>
        <v>44207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f t="shared" si="40"/>
        <v>614538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6712</v>
      </c>
      <c r="L16" s="276">
        <f t="shared" si="41"/>
        <v>0</v>
      </c>
      <c r="M16" s="414">
        <f t="shared" si="15"/>
        <v>457.44</v>
      </c>
      <c r="N16" s="521">
        <f t="shared" si="44"/>
        <v>0</v>
      </c>
      <c r="O16" s="414">
        <f t="shared" si="16"/>
        <v>529.52</v>
      </c>
      <c r="P16" s="521">
        <f t="shared" si="45"/>
        <v>0</v>
      </c>
      <c r="Q16" s="521">
        <f t="shared" si="46"/>
        <v>0</v>
      </c>
      <c r="R16" s="523"/>
      <c r="S16" s="523"/>
      <c r="T16" s="5">
        <f t="shared" si="17"/>
        <v>5164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5">
        <f t="shared" si="20"/>
        <v>149807</v>
      </c>
      <c r="Y16" s="327">
        <f t="shared" si="42"/>
        <v>0</v>
      </c>
      <c r="Z16" s="5">
        <f t="shared" si="21"/>
        <v>98092</v>
      </c>
      <c r="AA16" s="83">
        <f t="shared" si="22"/>
        <v>0</v>
      </c>
      <c r="AB16" s="5">
        <v>257</v>
      </c>
      <c r="AC16" s="5">
        <f t="shared" si="24"/>
        <v>731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19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44207</v>
      </c>
      <c r="AS16" s="428">
        <f t="shared" si="6"/>
        <v>0.9</v>
      </c>
      <c r="AT16" s="202">
        <v>163</v>
      </c>
      <c r="AU16" s="429">
        <f t="shared" si="43"/>
        <v>1.1000000000000001</v>
      </c>
      <c r="AV16" s="202">
        <v>93</v>
      </c>
      <c r="AW16" s="5">
        <v>2.9</v>
      </c>
      <c r="AX16" s="202">
        <v>119</v>
      </c>
      <c r="AY16" s="432">
        <f t="shared" si="7"/>
        <v>146.70000000000002</v>
      </c>
      <c r="AZ16" s="432">
        <f t="shared" si="33"/>
        <v>102.30000000000001</v>
      </c>
      <c r="BA16" s="432">
        <f t="shared" si="34"/>
        <v>345.09999999999997</v>
      </c>
      <c r="BB16" s="21">
        <f t="shared" si="35"/>
        <v>-8.0999999999999943</v>
      </c>
      <c r="BC16" s="21">
        <f t="shared" si="36"/>
        <v>-12.099999999999994</v>
      </c>
      <c r="BD16" s="21">
        <f t="shared" si="36"/>
        <v>-17.400000000000034</v>
      </c>
      <c r="BE16" s="24">
        <f t="shared" si="37"/>
        <v>-37.600000000000023</v>
      </c>
      <c r="BF16" s="96">
        <f t="shared" si="8"/>
        <v>37.600000000000023</v>
      </c>
      <c r="BG16" s="82">
        <f t="shared" si="9"/>
        <v>-37.600000000000023</v>
      </c>
    </row>
    <row r="17" spans="1:61" ht="15" thickBot="1">
      <c r="A17" s="6">
        <f>ELEC!C14</f>
        <v>44208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40"/>
        <v>614538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6712</v>
      </c>
      <c r="L17" s="83">
        <f t="shared" si="41"/>
        <v>0</v>
      </c>
      <c r="M17" s="414">
        <f t="shared" si="15"/>
        <v>457.44</v>
      </c>
      <c r="N17" s="521">
        <f t="shared" si="44"/>
        <v>0</v>
      </c>
      <c r="O17" s="414">
        <f t="shared" si="16"/>
        <v>529.52</v>
      </c>
      <c r="P17" s="521">
        <f t="shared" si="45"/>
        <v>0</v>
      </c>
      <c r="Q17" s="521">
        <f t="shared" si="46"/>
        <v>0</v>
      </c>
      <c r="R17" s="521"/>
      <c r="S17" s="521"/>
      <c r="T17" s="5">
        <f t="shared" si="17"/>
        <v>5164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149809</v>
      </c>
      <c r="Y17" s="327">
        <f t="shared" si="42"/>
        <v>2</v>
      </c>
      <c r="Z17" s="5">
        <f t="shared" si="21"/>
        <v>98092</v>
      </c>
      <c r="AA17" s="83">
        <f t="shared" si="22"/>
        <v>0</v>
      </c>
      <c r="AB17" s="5">
        <f t="shared" si="23"/>
        <v>257</v>
      </c>
      <c r="AC17" s="5">
        <f t="shared" si="24"/>
        <v>731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2</v>
      </c>
      <c r="AL17" s="330">
        <f t="shared" si="31"/>
        <v>0</v>
      </c>
      <c r="AM17" s="330">
        <f>'General information '!D17</f>
        <v>18.5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44208</v>
      </c>
      <c r="AS17" s="428">
        <f t="shared" si="6"/>
        <v>0.9</v>
      </c>
      <c r="AT17" s="202">
        <f t="shared" si="6"/>
        <v>163</v>
      </c>
      <c r="AU17" s="429">
        <f t="shared" si="43"/>
        <v>1.1000000000000001</v>
      </c>
      <c r="AV17" s="202">
        <v>97</v>
      </c>
      <c r="AW17" s="5">
        <v>2.9</v>
      </c>
      <c r="AX17" s="202">
        <v>122</v>
      </c>
      <c r="AY17" s="432">
        <f t="shared" si="7"/>
        <v>146.70000000000002</v>
      </c>
      <c r="AZ17" s="432">
        <f t="shared" si="33"/>
        <v>106.7</v>
      </c>
      <c r="BA17" s="432">
        <f t="shared" si="34"/>
        <v>353.8</v>
      </c>
      <c r="BB17" s="21">
        <f t="shared" si="35"/>
        <v>0</v>
      </c>
      <c r="BC17" s="21">
        <f t="shared" si="36"/>
        <v>4.3999999999999915</v>
      </c>
      <c r="BD17" s="21">
        <f t="shared" si="36"/>
        <v>8.7000000000000455</v>
      </c>
      <c r="BE17" s="24">
        <f t="shared" si="37"/>
        <v>13.100000000000037</v>
      </c>
      <c r="BF17" s="96">
        <f t="shared" si="8"/>
        <v>-13.100000000000037</v>
      </c>
      <c r="BG17" s="82">
        <f t="shared" si="9"/>
        <v>13.100000000000037</v>
      </c>
    </row>
    <row r="18" spans="1:61" ht="15" thickBot="1">
      <c r="A18" s="6">
        <f>ELEC!C15</f>
        <v>44209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40"/>
        <v>614538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6712</v>
      </c>
      <c r="L18" s="83">
        <f t="shared" si="41"/>
        <v>0</v>
      </c>
      <c r="M18" s="414">
        <f t="shared" si="15"/>
        <v>457.44</v>
      </c>
      <c r="N18" s="521">
        <f t="shared" si="44"/>
        <v>0</v>
      </c>
      <c r="O18" s="414">
        <f t="shared" si="16"/>
        <v>529.52</v>
      </c>
      <c r="P18" s="521">
        <f t="shared" si="45"/>
        <v>0</v>
      </c>
      <c r="Q18" s="521">
        <f t="shared" si="46"/>
        <v>0</v>
      </c>
      <c r="R18" s="521"/>
      <c r="S18" s="521"/>
      <c r="T18" s="5">
        <f t="shared" si="17"/>
        <v>5164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149809</v>
      </c>
      <c r="Y18" s="327">
        <f t="shared" si="42"/>
        <v>0</v>
      </c>
      <c r="Z18" s="5">
        <f t="shared" si="21"/>
        <v>98092</v>
      </c>
      <c r="AA18" s="83">
        <f t="shared" si="22"/>
        <v>0</v>
      </c>
      <c r="AB18" s="5">
        <f t="shared" si="23"/>
        <v>257</v>
      </c>
      <c r="AC18" s="5">
        <f t="shared" si="24"/>
        <v>731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15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44209</v>
      </c>
      <c r="AS18" s="428">
        <f t="shared" si="6"/>
        <v>0.9</v>
      </c>
      <c r="AT18" s="202">
        <v>156</v>
      </c>
      <c r="AU18" s="429">
        <f t="shared" si="43"/>
        <v>1.1000000000000001</v>
      </c>
      <c r="AV18" s="202">
        <v>83</v>
      </c>
      <c r="AW18" s="5">
        <v>2.9</v>
      </c>
      <c r="AX18" s="202">
        <v>120</v>
      </c>
      <c r="AY18" s="432">
        <f t="shared" si="7"/>
        <v>140.4</v>
      </c>
      <c r="AZ18" s="432">
        <f t="shared" si="33"/>
        <v>91.300000000000011</v>
      </c>
      <c r="BA18" s="432">
        <f t="shared" si="34"/>
        <v>348</v>
      </c>
      <c r="BB18" s="21">
        <f t="shared" si="35"/>
        <v>-6.3000000000000114</v>
      </c>
      <c r="BC18" s="21">
        <f t="shared" si="36"/>
        <v>-15.399999999999991</v>
      </c>
      <c r="BD18" s="21">
        <f t="shared" si="36"/>
        <v>-5.8000000000000114</v>
      </c>
      <c r="BE18" s="24">
        <f t="shared" si="37"/>
        <v>-27.500000000000014</v>
      </c>
      <c r="BF18" s="96">
        <f t="shared" si="8"/>
        <v>27.500000000000014</v>
      </c>
      <c r="BG18" s="82">
        <f t="shared" si="9"/>
        <v>-27.500000000000014</v>
      </c>
    </row>
    <row r="19" spans="1:61" ht="15" thickBot="1">
      <c r="A19" s="6">
        <f>ELEC!C16</f>
        <v>44210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40"/>
        <v>614538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6712</v>
      </c>
      <c r="L19" s="83">
        <f t="shared" si="41"/>
        <v>0</v>
      </c>
      <c r="M19" s="414">
        <f t="shared" si="15"/>
        <v>457.44</v>
      </c>
      <c r="N19" s="521">
        <f t="shared" si="44"/>
        <v>0</v>
      </c>
      <c r="O19" s="414">
        <f t="shared" si="16"/>
        <v>529.52</v>
      </c>
      <c r="P19" s="521">
        <f t="shared" si="45"/>
        <v>0</v>
      </c>
      <c r="Q19" s="521">
        <f t="shared" si="46"/>
        <v>0</v>
      </c>
      <c r="R19" s="521"/>
      <c r="S19" s="521"/>
      <c r="T19" s="5">
        <f t="shared" si="17"/>
        <v>5164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149809</v>
      </c>
      <c r="Y19" s="327">
        <f t="shared" si="42"/>
        <v>0</v>
      </c>
      <c r="Z19" s="5">
        <f t="shared" si="21"/>
        <v>98092</v>
      </c>
      <c r="AA19" s="83">
        <f t="shared" si="22"/>
        <v>0</v>
      </c>
      <c r="AB19" s="5">
        <f t="shared" si="23"/>
        <v>257</v>
      </c>
      <c r="AC19" s="5">
        <f t="shared" si="24"/>
        <v>731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14.5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44210</v>
      </c>
      <c r="AS19" s="428">
        <f t="shared" si="6"/>
        <v>0.9</v>
      </c>
      <c r="AT19" s="202">
        <v>156</v>
      </c>
      <c r="AU19" s="429">
        <f t="shared" si="43"/>
        <v>1.1000000000000001</v>
      </c>
      <c r="AV19" s="202">
        <v>78</v>
      </c>
      <c r="AW19" s="5">
        <v>2.9</v>
      </c>
      <c r="AX19" s="202">
        <v>118</v>
      </c>
      <c r="AY19" s="432">
        <f t="shared" ref="AY19:AY21" si="47">AS19*AT19</f>
        <v>140.4</v>
      </c>
      <c r="AZ19" s="432">
        <f t="shared" ref="AZ19:AZ21" si="48">AU19*AV19</f>
        <v>85.800000000000011</v>
      </c>
      <c r="BA19" s="432">
        <f t="shared" ref="BA19:BA21" si="49">AW19*AX19</f>
        <v>342.2</v>
      </c>
      <c r="BB19" s="21">
        <f t="shared" ref="BB19:BB20" si="50">AY19-AY18</f>
        <v>0</v>
      </c>
      <c r="BC19" s="21">
        <f t="shared" ref="BC19:BC20" si="51">AZ19-AZ18</f>
        <v>-5.5</v>
      </c>
      <c r="BD19" s="21">
        <f t="shared" ref="BD19:BD20" si="52">BA19-BA18</f>
        <v>-5.8000000000000114</v>
      </c>
      <c r="BE19" s="24">
        <f t="shared" ref="BE19:BE20" si="53">SUM(BB19:BD19)</f>
        <v>-11.300000000000011</v>
      </c>
      <c r="BF19" s="96">
        <f t="shared" si="8"/>
        <v>11.300000000000011</v>
      </c>
      <c r="BG19" s="82">
        <f t="shared" si="9"/>
        <v>-11.300000000000011</v>
      </c>
    </row>
    <row r="20" spans="1:61" ht="15" thickBot="1">
      <c r="A20" s="6">
        <f>ELEC!C17</f>
        <v>44211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40"/>
        <v>614538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6712</v>
      </c>
      <c r="L20" s="83">
        <f t="shared" si="41"/>
        <v>0</v>
      </c>
      <c r="M20" s="414">
        <f t="shared" si="15"/>
        <v>457.44</v>
      </c>
      <c r="N20" s="521">
        <f t="shared" si="44"/>
        <v>0</v>
      </c>
      <c r="O20" s="414">
        <f t="shared" si="16"/>
        <v>529.52</v>
      </c>
      <c r="P20" s="521">
        <f t="shared" si="45"/>
        <v>0</v>
      </c>
      <c r="Q20" s="521">
        <f t="shared" si="46"/>
        <v>0</v>
      </c>
      <c r="R20" s="521"/>
      <c r="S20" s="521"/>
      <c r="T20" s="5">
        <f t="shared" si="17"/>
        <v>5164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149842</v>
      </c>
      <c r="Y20" s="327">
        <f t="shared" si="42"/>
        <v>33</v>
      </c>
      <c r="Z20" s="5">
        <v>98164</v>
      </c>
      <c r="AA20" s="83">
        <f t="shared" si="22"/>
        <v>72</v>
      </c>
      <c r="AB20" s="5">
        <v>256</v>
      </c>
      <c r="AC20" s="5">
        <f t="shared" si="24"/>
        <v>731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72</v>
      </c>
      <c r="AK20" s="330">
        <f t="shared" si="39"/>
        <v>33</v>
      </c>
      <c r="AL20" s="330">
        <f t="shared" si="31"/>
        <v>72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44211</v>
      </c>
      <c r="AS20" s="428">
        <f t="shared" si="6"/>
        <v>0.9</v>
      </c>
      <c r="AT20" s="202">
        <v>64</v>
      </c>
      <c r="AU20" s="429">
        <f t="shared" si="43"/>
        <v>1.1000000000000001</v>
      </c>
      <c r="AV20" s="202">
        <v>124</v>
      </c>
      <c r="AW20" s="5">
        <v>2.9</v>
      </c>
      <c r="AX20" s="202">
        <v>117</v>
      </c>
      <c r="AY20" s="432">
        <f t="shared" si="47"/>
        <v>57.6</v>
      </c>
      <c r="AZ20" s="432">
        <f t="shared" si="48"/>
        <v>136.4</v>
      </c>
      <c r="BA20" s="432">
        <f t="shared" si="49"/>
        <v>339.3</v>
      </c>
      <c r="BB20" s="21">
        <f t="shared" si="50"/>
        <v>-82.800000000000011</v>
      </c>
      <c r="BC20" s="21">
        <f t="shared" si="51"/>
        <v>50.599999999999994</v>
      </c>
      <c r="BD20" s="21">
        <f t="shared" si="52"/>
        <v>-2.8999999999999773</v>
      </c>
      <c r="BE20" s="24">
        <f t="shared" si="53"/>
        <v>-35.099999999999994</v>
      </c>
      <c r="BF20" s="96">
        <f t="shared" si="8"/>
        <v>35.099999999999994</v>
      </c>
      <c r="BG20" s="82">
        <f t="shared" si="9"/>
        <v>-35.099999999999994</v>
      </c>
    </row>
    <row r="21" spans="1:61" ht="15" thickBot="1">
      <c r="A21" s="6">
        <f>ELEC!C18</f>
        <v>44212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v>614836</v>
      </c>
      <c r="H21" s="5">
        <f t="shared" si="14"/>
        <v>298</v>
      </c>
      <c r="I21" s="5">
        <f t="shared" si="0"/>
        <v>298</v>
      </c>
      <c r="J21" s="337">
        <f t="shared" si="1"/>
        <v>0.81186403983546218</v>
      </c>
      <c r="K21" s="5">
        <f>'Swimming Pool quality check '!H21</f>
        <v>6713</v>
      </c>
      <c r="L21" s="83">
        <f t="shared" si="41"/>
        <v>1</v>
      </c>
      <c r="M21" s="414">
        <f t="shared" si="15"/>
        <v>457.44</v>
      </c>
      <c r="N21" s="521">
        <f t="shared" si="44"/>
        <v>0</v>
      </c>
      <c r="O21" s="414">
        <f t="shared" si="16"/>
        <v>529.52</v>
      </c>
      <c r="P21" s="521">
        <f t="shared" si="45"/>
        <v>0</v>
      </c>
      <c r="Q21" s="521">
        <f t="shared" si="46"/>
        <v>0</v>
      </c>
      <c r="R21" s="521"/>
      <c r="S21" s="521"/>
      <c r="T21" s="5">
        <f t="shared" si="17"/>
        <v>5164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v>149905</v>
      </c>
      <c r="Y21" s="327">
        <f>SUM(X21-X20)</f>
        <v>63</v>
      </c>
      <c r="Z21" s="5">
        <v>98197</v>
      </c>
      <c r="AA21" s="83">
        <f t="shared" si="22"/>
        <v>33</v>
      </c>
      <c r="AB21" s="5">
        <f t="shared" si="23"/>
        <v>256</v>
      </c>
      <c r="AC21" s="5">
        <f t="shared" si="24"/>
        <v>731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33</v>
      </c>
      <c r="AK21" s="330">
        <f>SUM(Y21-L21)</f>
        <v>62</v>
      </c>
      <c r="AL21" s="330">
        <f t="shared" si="31"/>
        <v>33</v>
      </c>
      <c r="AM21" s="330">
        <f>'General information '!D21</f>
        <v>12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44212</v>
      </c>
      <c r="AS21" s="428">
        <f t="shared" si="6"/>
        <v>0.9</v>
      </c>
      <c r="AT21" s="202">
        <v>126</v>
      </c>
      <c r="AU21" s="429">
        <f t="shared" si="43"/>
        <v>1.1000000000000001</v>
      </c>
      <c r="AV21" s="202">
        <v>144</v>
      </c>
      <c r="AW21" s="5">
        <v>2.9</v>
      </c>
      <c r="AX21" s="202">
        <v>144</v>
      </c>
      <c r="AY21" s="432">
        <f t="shared" si="47"/>
        <v>113.4</v>
      </c>
      <c r="AZ21" s="432">
        <f t="shared" si="48"/>
        <v>158.4</v>
      </c>
      <c r="BA21" s="432">
        <f t="shared" si="49"/>
        <v>417.59999999999997</v>
      </c>
      <c r="BB21" s="21">
        <f t="shared" si="35"/>
        <v>55.800000000000004</v>
      </c>
      <c r="BC21" s="21">
        <f t="shared" si="36"/>
        <v>22</v>
      </c>
      <c r="BD21" s="21">
        <f t="shared" si="36"/>
        <v>78.299999999999955</v>
      </c>
      <c r="BE21" s="24">
        <f t="shared" si="37"/>
        <v>156.09999999999997</v>
      </c>
      <c r="BF21" s="96">
        <f t="shared" si="8"/>
        <v>141.90000000000003</v>
      </c>
      <c r="BG21" s="82">
        <f t="shared" si="9"/>
        <v>156.09999999999997</v>
      </c>
    </row>
    <row r="22" spans="1:61" ht="15" thickBot="1">
      <c r="A22" s="6">
        <f>ELEC!C19</f>
        <v>44213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40"/>
        <v>614836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6713</v>
      </c>
      <c r="L22" s="83">
        <f t="shared" si="41"/>
        <v>0</v>
      </c>
      <c r="M22" s="414">
        <f t="shared" si="15"/>
        <v>457.44</v>
      </c>
      <c r="N22" s="521">
        <f t="shared" si="44"/>
        <v>0</v>
      </c>
      <c r="O22" s="414">
        <f t="shared" si="16"/>
        <v>529.52</v>
      </c>
      <c r="P22" s="521">
        <f t="shared" si="45"/>
        <v>0</v>
      </c>
      <c r="Q22" s="521">
        <f t="shared" si="46"/>
        <v>0</v>
      </c>
      <c r="R22" s="521"/>
      <c r="S22" s="521"/>
      <c r="T22" s="5">
        <f t="shared" si="17"/>
        <v>5164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v>149910</v>
      </c>
      <c r="Y22" s="327">
        <f t="shared" si="42"/>
        <v>5</v>
      </c>
      <c r="Z22" s="5">
        <v>98200</v>
      </c>
      <c r="AA22" s="83">
        <f t="shared" si="22"/>
        <v>3</v>
      </c>
      <c r="AB22" s="5">
        <f t="shared" si="23"/>
        <v>256</v>
      </c>
      <c r="AC22" s="5">
        <f t="shared" si="24"/>
        <v>731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3</v>
      </c>
      <c r="AK22" s="330">
        <f t="shared" si="39"/>
        <v>5</v>
      </c>
      <c r="AL22" s="330">
        <f t="shared" si="31"/>
        <v>3</v>
      </c>
      <c r="AM22" s="330">
        <f>'General information '!D22</f>
        <v>13.5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44213</v>
      </c>
      <c r="AS22" s="428">
        <f t="shared" ref="AS22:AT36" si="54">AS21</f>
        <v>0.9</v>
      </c>
      <c r="AT22" s="202">
        <v>119</v>
      </c>
      <c r="AU22" s="429">
        <f t="shared" si="43"/>
        <v>1.1000000000000001</v>
      </c>
      <c r="AV22" s="202">
        <v>142</v>
      </c>
      <c r="AW22" s="5">
        <v>2.9</v>
      </c>
      <c r="AX22" s="202">
        <v>143</v>
      </c>
      <c r="AY22" s="432">
        <f t="shared" si="7"/>
        <v>107.10000000000001</v>
      </c>
      <c r="AZ22" s="432">
        <f t="shared" si="33"/>
        <v>156.20000000000002</v>
      </c>
      <c r="BA22" s="432">
        <f t="shared" si="34"/>
        <v>414.7</v>
      </c>
      <c r="BB22" s="21">
        <f>AY22-AY21</f>
        <v>-6.2999999999999972</v>
      </c>
      <c r="BC22" s="21">
        <f t="shared" si="35"/>
        <v>-2.1999999999999886</v>
      </c>
      <c r="BD22" s="21">
        <f t="shared" si="35"/>
        <v>-2.8999999999999773</v>
      </c>
      <c r="BE22" s="24">
        <f t="shared" si="37"/>
        <v>-11.399999999999963</v>
      </c>
      <c r="BF22" s="96">
        <f t="shared" si="8"/>
        <v>11.399999999999963</v>
      </c>
      <c r="BG22" s="82">
        <f t="shared" si="9"/>
        <v>-11.399999999999963</v>
      </c>
    </row>
    <row r="23" spans="1:61" ht="15" thickBot="1">
      <c r="A23" s="6">
        <f>ELEC!C20</f>
        <v>44214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v>615006</v>
      </c>
      <c r="H23" s="5">
        <f t="shared" si="14"/>
        <v>170</v>
      </c>
      <c r="I23" s="5">
        <f t="shared" si="0"/>
        <v>170</v>
      </c>
      <c r="J23" s="337">
        <f t="shared" si="1"/>
        <v>1.4231499051233396</v>
      </c>
      <c r="K23" s="5">
        <f>'Swimming Pool quality check '!H23</f>
        <v>6713</v>
      </c>
      <c r="L23" s="276">
        <f t="shared" si="41"/>
        <v>0</v>
      </c>
      <c r="M23" s="414">
        <f t="shared" si="15"/>
        <v>457.44</v>
      </c>
      <c r="N23" s="521">
        <f t="shared" si="44"/>
        <v>0</v>
      </c>
      <c r="O23" s="414">
        <f t="shared" si="16"/>
        <v>529.52</v>
      </c>
      <c r="P23" s="521">
        <f t="shared" si="45"/>
        <v>0</v>
      </c>
      <c r="Q23" s="521">
        <f t="shared" si="46"/>
        <v>0</v>
      </c>
      <c r="R23" s="523"/>
      <c r="S23" s="523"/>
      <c r="T23" s="5">
        <f t="shared" si="17"/>
        <v>5164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v>149994</v>
      </c>
      <c r="Y23" s="327">
        <f t="shared" si="42"/>
        <v>84</v>
      </c>
      <c r="Z23" s="5">
        <v>98235</v>
      </c>
      <c r="AA23" s="83">
        <f t="shared" si="22"/>
        <v>35</v>
      </c>
      <c r="AB23" s="5">
        <f t="shared" si="23"/>
        <v>256</v>
      </c>
      <c r="AC23" s="5">
        <f t="shared" si="24"/>
        <v>731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35</v>
      </c>
      <c r="AK23" s="330">
        <f t="shared" si="39"/>
        <v>84</v>
      </c>
      <c r="AL23" s="330">
        <f t="shared" si="31"/>
        <v>35</v>
      </c>
      <c r="AM23" s="330">
        <f>'General information '!D23</f>
        <v>11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44214</v>
      </c>
      <c r="AS23" s="428">
        <f t="shared" si="54"/>
        <v>0.9</v>
      </c>
      <c r="AT23" s="202">
        <v>94</v>
      </c>
      <c r="AU23" s="429">
        <f t="shared" si="43"/>
        <v>1.1000000000000001</v>
      </c>
      <c r="AV23" s="202">
        <v>163</v>
      </c>
      <c r="AW23" s="5">
        <v>2.9</v>
      </c>
      <c r="AX23" s="202">
        <v>164</v>
      </c>
      <c r="AY23" s="432">
        <f t="shared" si="7"/>
        <v>84.600000000000009</v>
      </c>
      <c r="AZ23" s="432">
        <f t="shared" si="33"/>
        <v>179.3</v>
      </c>
      <c r="BA23" s="432">
        <f t="shared" si="34"/>
        <v>475.59999999999997</v>
      </c>
      <c r="BB23" s="21">
        <f t="shared" si="35"/>
        <v>-22.5</v>
      </c>
      <c r="BC23" s="21">
        <f t="shared" si="35"/>
        <v>23.099999999999994</v>
      </c>
      <c r="BD23" s="21">
        <f t="shared" si="35"/>
        <v>60.899999999999977</v>
      </c>
      <c r="BE23" s="24">
        <f t="shared" si="37"/>
        <v>61.499999999999972</v>
      </c>
      <c r="BF23" s="96">
        <f t="shared" si="8"/>
        <v>108.50000000000003</v>
      </c>
      <c r="BG23" s="82">
        <f t="shared" si="9"/>
        <v>61.499999999999972</v>
      </c>
    </row>
    <row r="24" spans="1:61" ht="15" thickBot="1">
      <c r="A24" s="6">
        <f>ELEC!C21</f>
        <v>44215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f t="shared" si="40"/>
        <v>615006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6713</v>
      </c>
      <c r="L24" s="276">
        <f t="shared" si="41"/>
        <v>0</v>
      </c>
      <c r="M24" s="414">
        <f t="shared" si="15"/>
        <v>457.44</v>
      </c>
      <c r="N24" s="521">
        <f t="shared" si="44"/>
        <v>0</v>
      </c>
      <c r="O24" s="414">
        <f t="shared" si="16"/>
        <v>529.52</v>
      </c>
      <c r="P24" s="521">
        <f t="shared" si="45"/>
        <v>0</v>
      </c>
      <c r="Q24" s="521">
        <f t="shared" si="46"/>
        <v>0</v>
      </c>
      <c r="R24" s="523"/>
      <c r="S24" s="523"/>
      <c r="T24" s="5">
        <f t="shared" si="17"/>
        <v>5164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f t="shared" si="20"/>
        <v>149994</v>
      </c>
      <c r="Y24" s="327">
        <f t="shared" si="42"/>
        <v>0</v>
      </c>
      <c r="Z24" s="5">
        <f t="shared" si="21"/>
        <v>98235</v>
      </c>
      <c r="AA24" s="83">
        <f t="shared" si="22"/>
        <v>0</v>
      </c>
      <c r="AB24" s="5">
        <f t="shared" si="23"/>
        <v>256</v>
      </c>
      <c r="AC24" s="5">
        <f t="shared" si="24"/>
        <v>731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44215</v>
      </c>
      <c r="AS24" s="428">
        <f t="shared" si="54"/>
        <v>0.9</v>
      </c>
      <c r="AT24" s="202">
        <f t="shared" si="54"/>
        <v>94</v>
      </c>
      <c r="AU24" s="429">
        <f t="shared" si="43"/>
        <v>1.1000000000000001</v>
      </c>
      <c r="AV24" s="202">
        <f t="shared" ref="AV23:AV36" si="55">AV23</f>
        <v>163</v>
      </c>
      <c r="AW24" s="5">
        <v>2.9</v>
      </c>
      <c r="AX24" s="202">
        <f t="shared" ref="AX23:AX36" si="56">AX23</f>
        <v>164</v>
      </c>
      <c r="AY24" s="432">
        <f t="shared" si="7"/>
        <v>84.600000000000009</v>
      </c>
      <c r="AZ24" s="432">
        <f t="shared" si="33"/>
        <v>179.3</v>
      </c>
      <c r="BA24" s="432">
        <f t="shared" si="34"/>
        <v>475.59999999999997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" thickBot="1">
      <c r="A25" s="6">
        <f>ELEC!C22</f>
        <v>44216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40"/>
        <v>615006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6713</v>
      </c>
      <c r="L25" s="276">
        <f t="shared" si="41"/>
        <v>0</v>
      </c>
      <c r="M25" s="414">
        <f t="shared" si="15"/>
        <v>457.44</v>
      </c>
      <c r="N25" s="521">
        <f t="shared" si="44"/>
        <v>0</v>
      </c>
      <c r="O25" s="414">
        <f t="shared" si="16"/>
        <v>529.52</v>
      </c>
      <c r="P25" s="521">
        <f t="shared" si="45"/>
        <v>0</v>
      </c>
      <c r="Q25" s="521">
        <f t="shared" si="46"/>
        <v>0</v>
      </c>
      <c r="R25" s="523"/>
      <c r="S25" s="523"/>
      <c r="T25" s="5">
        <f t="shared" si="17"/>
        <v>5164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149994</v>
      </c>
      <c r="Y25" s="327">
        <f t="shared" si="42"/>
        <v>0</v>
      </c>
      <c r="Z25" s="5">
        <f t="shared" si="21"/>
        <v>98235</v>
      </c>
      <c r="AA25" s="83">
        <f t="shared" si="22"/>
        <v>0</v>
      </c>
      <c r="AB25" s="5">
        <f t="shared" si="23"/>
        <v>256</v>
      </c>
      <c r="AC25" s="5">
        <f t="shared" si="24"/>
        <v>731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44216</v>
      </c>
      <c r="AS25" s="428">
        <f t="shared" si="54"/>
        <v>0.9</v>
      </c>
      <c r="AT25" s="202">
        <f t="shared" si="54"/>
        <v>94</v>
      </c>
      <c r="AU25" s="429">
        <f t="shared" si="43"/>
        <v>1.1000000000000001</v>
      </c>
      <c r="AV25" s="202">
        <f t="shared" si="55"/>
        <v>163</v>
      </c>
      <c r="AW25" s="5">
        <v>2.9</v>
      </c>
      <c r="AX25" s="202">
        <f t="shared" si="56"/>
        <v>164</v>
      </c>
      <c r="AY25" s="432">
        <f t="shared" si="7"/>
        <v>84.600000000000009</v>
      </c>
      <c r="AZ25" s="432">
        <f t="shared" si="33"/>
        <v>179.3</v>
      </c>
      <c r="BA25" s="432">
        <f t="shared" si="34"/>
        <v>475.59999999999997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44217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40"/>
        <v>615006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6713</v>
      </c>
      <c r="L26" s="276">
        <f t="shared" si="41"/>
        <v>0</v>
      </c>
      <c r="M26" s="414">
        <f t="shared" si="15"/>
        <v>457.44</v>
      </c>
      <c r="N26" s="521">
        <f t="shared" si="44"/>
        <v>0</v>
      </c>
      <c r="O26" s="414">
        <f t="shared" si="16"/>
        <v>529.52</v>
      </c>
      <c r="P26" s="521">
        <f t="shared" si="45"/>
        <v>0</v>
      </c>
      <c r="Q26" s="521">
        <f t="shared" si="46"/>
        <v>0</v>
      </c>
      <c r="R26" s="523"/>
      <c r="S26" s="523"/>
      <c r="T26" s="5">
        <f t="shared" si="17"/>
        <v>5164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149994</v>
      </c>
      <c r="Y26" s="327">
        <f t="shared" si="42"/>
        <v>0</v>
      </c>
      <c r="Z26" s="5">
        <f t="shared" si="21"/>
        <v>98235</v>
      </c>
      <c r="AA26" s="83">
        <f t="shared" si="22"/>
        <v>0</v>
      </c>
      <c r="AB26" s="5">
        <f t="shared" si="23"/>
        <v>256</v>
      </c>
      <c r="AC26" s="5">
        <f t="shared" si="24"/>
        <v>731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44217</v>
      </c>
      <c r="AS26" s="428">
        <f t="shared" si="54"/>
        <v>0.9</v>
      </c>
      <c r="AT26" s="202">
        <f t="shared" si="54"/>
        <v>94</v>
      </c>
      <c r="AU26" s="429">
        <f t="shared" si="43"/>
        <v>1.1000000000000001</v>
      </c>
      <c r="AV26" s="202">
        <f t="shared" si="55"/>
        <v>163</v>
      </c>
      <c r="AW26" s="5">
        <v>2.9</v>
      </c>
      <c r="AX26" s="202">
        <f t="shared" si="56"/>
        <v>164</v>
      </c>
      <c r="AY26" s="432">
        <f t="shared" si="7"/>
        <v>84.600000000000009</v>
      </c>
      <c r="AZ26" s="432">
        <f t="shared" si="33"/>
        <v>179.3</v>
      </c>
      <c r="BA26" s="432">
        <f t="shared" si="34"/>
        <v>475.59999999999997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44218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f t="shared" si="40"/>
        <v>615006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6713</v>
      </c>
      <c r="L27" s="276">
        <f t="shared" si="41"/>
        <v>0</v>
      </c>
      <c r="M27" s="414">
        <f t="shared" si="15"/>
        <v>457.44</v>
      </c>
      <c r="N27" s="521">
        <f t="shared" si="44"/>
        <v>0</v>
      </c>
      <c r="O27" s="414">
        <f t="shared" si="16"/>
        <v>529.52</v>
      </c>
      <c r="P27" s="521">
        <f t="shared" si="45"/>
        <v>0</v>
      </c>
      <c r="Q27" s="521">
        <f t="shared" si="46"/>
        <v>0</v>
      </c>
      <c r="R27" s="523"/>
      <c r="S27" s="523"/>
      <c r="T27" s="5">
        <f t="shared" si="17"/>
        <v>5164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149994</v>
      </c>
      <c r="Y27" s="327">
        <f>SUM(X27-X26)</f>
        <v>0</v>
      </c>
      <c r="Z27" s="5">
        <f t="shared" si="21"/>
        <v>98235</v>
      </c>
      <c r="AA27" s="83">
        <f t="shared" si="22"/>
        <v>0</v>
      </c>
      <c r="AB27" s="5">
        <f t="shared" si="23"/>
        <v>256</v>
      </c>
      <c r="AC27" s="5">
        <f t="shared" si="24"/>
        <v>731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44218</v>
      </c>
      <c r="AS27" s="428">
        <f t="shared" si="54"/>
        <v>0.9</v>
      </c>
      <c r="AT27" s="202">
        <f t="shared" si="54"/>
        <v>94</v>
      </c>
      <c r="AU27" s="429">
        <f t="shared" si="43"/>
        <v>1.1000000000000001</v>
      </c>
      <c r="AV27" s="202">
        <f t="shared" si="55"/>
        <v>163</v>
      </c>
      <c r="AW27" s="5">
        <v>2.9</v>
      </c>
      <c r="AX27" s="202">
        <f t="shared" si="56"/>
        <v>164</v>
      </c>
      <c r="AY27" s="432">
        <f t="shared" si="7"/>
        <v>84.600000000000009</v>
      </c>
      <c r="AZ27" s="432">
        <f t="shared" si="33"/>
        <v>179.3</v>
      </c>
      <c r="BA27" s="432">
        <f t="shared" si="34"/>
        <v>475.59999999999997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44219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40"/>
        <v>615006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6713</v>
      </c>
      <c r="L28" s="276">
        <f t="shared" si="41"/>
        <v>0</v>
      </c>
      <c r="M28" s="414">
        <f t="shared" si="15"/>
        <v>457.44</v>
      </c>
      <c r="N28" s="521">
        <f t="shared" si="44"/>
        <v>0</v>
      </c>
      <c r="O28" s="414">
        <f t="shared" si="16"/>
        <v>529.52</v>
      </c>
      <c r="P28" s="521">
        <f t="shared" si="45"/>
        <v>0</v>
      </c>
      <c r="Q28" s="521">
        <f t="shared" si="46"/>
        <v>0</v>
      </c>
      <c r="R28" s="523"/>
      <c r="S28" s="523"/>
      <c r="T28" s="5">
        <f t="shared" si="17"/>
        <v>5164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149994</v>
      </c>
      <c r="Y28" s="327">
        <f t="shared" si="42"/>
        <v>0</v>
      </c>
      <c r="Z28" s="5">
        <f t="shared" si="21"/>
        <v>98235</v>
      </c>
      <c r="AA28" s="83">
        <f t="shared" si="22"/>
        <v>0</v>
      </c>
      <c r="AB28" s="5">
        <f t="shared" si="23"/>
        <v>256</v>
      </c>
      <c r="AC28" s="5">
        <f t="shared" si="24"/>
        <v>731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44219</v>
      </c>
      <c r="AS28" s="428">
        <f t="shared" si="54"/>
        <v>0.9</v>
      </c>
      <c r="AT28" s="202">
        <f t="shared" si="54"/>
        <v>94</v>
      </c>
      <c r="AU28" s="429">
        <f t="shared" si="43"/>
        <v>1.1000000000000001</v>
      </c>
      <c r="AV28" s="202">
        <f t="shared" si="55"/>
        <v>163</v>
      </c>
      <c r="AW28" s="5">
        <v>2.9</v>
      </c>
      <c r="AX28" s="202">
        <f t="shared" si="56"/>
        <v>164</v>
      </c>
      <c r="AY28" s="432">
        <f t="shared" si="7"/>
        <v>84.600000000000009</v>
      </c>
      <c r="AZ28" s="432">
        <f t="shared" si="33"/>
        <v>179.3</v>
      </c>
      <c r="BA28" s="432">
        <f t="shared" si="34"/>
        <v>475.59999999999997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44220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40"/>
        <v>615006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6713</v>
      </c>
      <c r="L29" s="276">
        <f t="shared" si="41"/>
        <v>0</v>
      </c>
      <c r="M29" s="414">
        <f t="shared" si="15"/>
        <v>457.44</v>
      </c>
      <c r="N29" s="521">
        <f t="shared" si="44"/>
        <v>0</v>
      </c>
      <c r="O29" s="414">
        <f t="shared" si="16"/>
        <v>529.52</v>
      </c>
      <c r="P29" s="521">
        <f t="shared" si="45"/>
        <v>0</v>
      </c>
      <c r="Q29" s="521">
        <f t="shared" si="46"/>
        <v>0</v>
      </c>
      <c r="R29" s="523"/>
      <c r="S29" s="523"/>
      <c r="T29" s="5">
        <f t="shared" si="17"/>
        <v>5164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149994</v>
      </c>
      <c r="Y29" s="327">
        <f t="shared" si="42"/>
        <v>0</v>
      </c>
      <c r="Z29" s="5">
        <f t="shared" si="21"/>
        <v>98235</v>
      </c>
      <c r="AA29" s="83">
        <f t="shared" si="22"/>
        <v>0</v>
      </c>
      <c r="AB29" s="5">
        <f t="shared" si="23"/>
        <v>256</v>
      </c>
      <c r="AC29" s="5">
        <f t="shared" si="24"/>
        <v>731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44220</v>
      </c>
      <c r="AS29" s="428">
        <f t="shared" si="54"/>
        <v>0.9</v>
      </c>
      <c r="AT29" s="202">
        <f t="shared" si="54"/>
        <v>94</v>
      </c>
      <c r="AU29" s="429">
        <f t="shared" si="43"/>
        <v>1.1000000000000001</v>
      </c>
      <c r="AV29" s="202">
        <f t="shared" si="55"/>
        <v>163</v>
      </c>
      <c r="AW29" s="5">
        <v>2.9</v>
      </c>
      <c r="AX29" s="202">
        <f t="shared" si="56"/>
        <v>164</v>
      </c>
      <c r="AY29" s="432">
        <f t="shared" si="7"/>
        <v>84.600000000000009</v>
      </c>
      <c r="AZ29" s="432">
        <f t="shared" si="33"/>
        <v>179.3</v>
      </c>
      <c r="BA29" s="432">
        <f t="shared" si="34"/>
        <v>475.59999999999997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44221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40"/>
        <v>615006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6713</v>
      </c>
      <c r="L30" s="276">
        <f t="shared" si="41"/>
        <v>0</v>
      </c>
      <c r="M30" s="414">
        <f t="shared" si="15"/>
        <v>457.44</v>
      </c>
      <c r="N30" s="521">
        <f t="shared" si="44"/>
        <v>0</v>
      </c>
      <c r="O30" s="414">
        <f t="shared" si="16"/>
        <v>529.52</v>
      </c>
      <c r="P30" s="521">
        <f t="shared" si="45"/>
        <v>0</v>
      </c>
      <c r="Q30" s="521">
        <f t="shared" si="46"/>
        <v>0</v>
      </c>
      <c r="R30" s="523"/>
      <c r="S30" s="523"/>
      <c r="T30" s="5">
        <f t="shared" si="17"/>
        <v>5164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149994</v>
      </c>
      <c r="Y30" s="327">
        <f t="shared" si="42"/>
        <v>0</v>
      </c>
      <c r="Z30" s="5">
        <f t="shared" si="21"/>
        <v>98235</v>
      </c>
      <c r="AA30" s="83">
        <f t="shared" si="22"/>
        <v>0</v>
      </c>
      <c r="AB30" s="5">
        <f t="shared" si="23"/>
        <v>256</v>
      </c>
      <c r="AC30" s="5">
        <f t="shared" si="24"/>
        <v>731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44221</v>
      </c>
      <c r="AS30" s="428">
        <f t="shared" si="54"/>
        <v>0.9</v>
      </c>
      <c r="AT30" s="202">
        <f t="shared" si="54"/>
        <v>94</v>
      </c>
      <c r="AU30" s="429">
        <f t="shared" si="43"/>
        <v>1.1000000000000001</v>
      </c>
      <c r="AV30" s="202">
        <f t="shared" si="55"/>
        <v>163</v>
      </c>
      <c r="AW30" s="5">
        <v>2.9</v>
      </c>
      <c r="AX30" s="202">
        <f t="shared" si="56"/>
        <v>164</v>
      </c>
      <c r="AY30" s="432">
        <f t="shared" si="7"/>
        <v>84.600000000000009</v>
      </c>
      <c r="AZ30" s="432">
        <f t="shared" si="33"/>
        <v>179.3</v>
      </c>
      <c r="BA30" s="432">
        <f t="shared" si="34"/>
        <v>475.59999999999997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44222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40"/>
        <v>615006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6713</v>
      </c>
      <c r="L31" s="276">
        <f t="shared" si="41"/>
        <v>0</v>
      </c>
      <c r="M31" s="414">
        <f t="shared" si="15"/>
        <v>457.44</v>
      </c>
      <c r="N31" s="521">
        <f t="shared" si="44"/>
        <v>0</v>
      </c>
      <c r="O31" s="414">
        <f t="shared" si="16"/>
        <v>529.52</v>
      </c>
      <c r="P31" s="521">
        <f t="shared" si="45"/>
        <v>0</v>
      </c>
      <c r="Q31" s="521">
        <f t="shared" si="46"/>
        <v>0</v>
      </c>
      <c r="R31" s="523"/>
      <c r="S31" s="523"/>
      <c r="T31" s="5">
        <f t="shared" si="17"/>
        <v>5164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149994</v>
      </c>
      <c r="Y31" s="327">
        <f t="shared" si="42"/>
        <v>0</v>
      </c>
      <c r="Z31" s="5">
        <f t="shared" si="21"/>
        <v>98235</v>
      </c>
      <c r="AA31" s="83">
        <f t="shared" si="22"/>
        <v>0</v>
      </c>
      <c r="AB31" s="5">
        <f t="shared" si="23"/>
        <v>256</v>
      </c>
      <c r="AC31" s="5">
        <f t="shared" si="24"/>
        <v>731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44222</v>
      </c>
      <c r="AS31" s="428">
        <f t="shared" si="54"/>
        <v>0.9</v>
      </c>
      <c r="AT31" s="202">
        <f t="shared" si="54"/>
        <v>94</v>
      </c>
      <c r="AU31" s="429">
        <f t="shared" si="43"/>
        <v>1.1000000000000001</v>
      </c>
      <c r="AV31" s="202">
        <f t="shared" si="55"/>
        <v>163</v>
      </c>
      <c r="AW31" s="5">
        <v>2.9</v>
      </c>
      <c r="AX31" s="202">
        <f t="shared" si="56"/>
        <v>164</v>
      </c>
      <c r="AY31" s="432">
        <f t="shared" si="7"/>
        <v>84.600000000000009</v>
      </c>
      <c r="AZ31" s="432">
        <f t="shared" si="33"/>
        <v>179.3</v>
      </c>
      <c r="BA31" s="432">
        <f t="shared" si="34"/>
        <v>475.59999999999997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44223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40"/>
        <v>615006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6713</v>
      </c>
      <c r="L32" s="276">
        <f t="shared" si="41"/>
        <v>0</v>
      </c>
      <c r="M32" s="414">
        <f t="shared" si="15"/>
        <v>457.44</v>
      </c>
      <c r="N32" s="521">
        <f t="shared" si="44"/>
        <v>0</v>
      </c>
      <c r="O32" s="414">
        <f t="shared" si="16"/>
        <v>529.52</v>
      </c>
      <c r="P32" s="521">
        <f t="shared" si="45"/>
        <v>0</v>
      </c>
      <c r="Q32" s="521">
        <f t="shared" si="46"/>
        <v>0</v>
      </c>
      <c r="R32" s="523"/>
      <c r="S32" s="523"/>
      <c r="T32" s="5">
        <f t="shared" si="17"/>
        <v>5164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149994</v>
      </c>
      <c r="Y32" s="327">
        <f t="shared" si="42"/>
        <v>0</v>
      </c>
      <c r="Z32" s="5">
        <f t="shared" si="21"/>
        <v>98235</v>
      </c>
      <c r="AA32" s="83">
        <f t="shared" si="22"/>
        <v>0</v>
      </c>
      <c r="AB32" s="5">
        <f t="shared" si="23"/>
        <v>256</v>
      </c>
      <c r="AC32" s="5">
        <f t="shared" si="24"/>
        <v>731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44223</v>
      </c>
      <c r="AS32" s="428">
        <f t="shared" si="54"/>
        <v>0.9</v>
      </c>
      <c r="AT32" s="202">
        <f t="shared" si="54"/>
        <v>94</v>
      </c>
      <c r="AU32" s="429">
        <f t="shared" si="43"/>
        <v>1.1000000000000001</v>
      </c>
      <c r="AV32" s="202">
        <f t="shared" si="55"/>
        <v>163</v>
      </c>
      <c r="AW32" s="5">
        <v>2.9</v>
      </c>
      <c r="AX32" s="202">
        <f t="shared" si="56"/>
        <v>164</v>
      </c>
      <c r="AY32" s="432">
        <f t="shared" si="7"/>
        <v>84.600000000000009</v>
      </c>
      <c r="AZ32" s="432">
        <f t="shared" si="33"/>
        <v>179.3</v>
      </c>
      <c r="BA32" s="432">
        <f t="shared" si="34"/>
        <v>475.59999999999997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44224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40"/>
        <v>615006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6713</v>
      </c>
      <c r="L33" s="276">
        <f t="shared" si="41"/>
        <v>0</v>
      </c>
      <c r="M33" s="414">
        <f t="shared" si="15"/>
        <v>457.44</v>
      </c>
      <c r="N33" s="521">
        <f t="shared" si="44"/>
        <v>0</v>
      </c>
      <c r="O33" s="414">
        <f t="shared" si="16"/>
        <v>529.52</v>
      </c>
      <c r="P33" s="521">
        <f t="shared" si="45"/>
        <v>0</v>
      </c>
      <c r="Q33" s="521">
        <f t="shared" si="46"/>
        <v>0</v>
      </c>
      <c r="R33" s="523"/>
      <c r="S33" s="523"/>
      <c r="T33" s="5">
        <f t="shared" si="17"/>
        <v>5164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149994</v>
      </c>
      <c r="Y33" s="327">
        <f t="shared" si="42"/>
        <v>0</v>
      </c>
      <c r="Z33" s="5">
        <f t="shared" si="21"/>
        <v>98235</v>
      </c>
      <c r="AA33" s="83">
        <f t="shared" si="22"/>
        <v>0</v>
      </c>
      <c r="AB33" s="5">
        <f t="shared" si="23"/>
        <v>256</v>
      </c>
      <c r="AC33" s="5">
        <f t="shared" si="24"/>
        <v>731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44224</v>
      </c>
      <c r="AS33" s="428">
        <f t="shared" si="54"/>
        <v>0.9</v>
      </c>
      <c r="AT33" s="202">
        <f t="shared" si="54"/>
        <v>94</v>
      </c>
      <c r="AU33" s="429">
        <f t="shared" si="43"/>
        <v>1.1000000000000001</v>
      </c>
      <c r="AV33" s="202">
        <f t="shared" si="55"/>
        <v>163</v>
      </c>
      <c r="AW33" s="5">
        <v>2.9</v>
      </c>
      <c r="AX33" s="202">
        <f t="shared" si="56"/>
        <v>164</v>
      </c>
      <c r="AY33" s="432">
        <f t="shared" si="7"/>
        <v>84.600000000000009</v>
      </c>
      <c r="AZ33" s="432">
        <f t="shared" si="33"/>
        <v>179.3</v>
      </c>
      <c r="BA33" s="432">
        <f t="shared" si="34"/>
        <v>475.59999999999997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44225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40"/>
        <v>615006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6713</v>
      </c>
      <c r="L34" s="276">
        <f t="shared" si="41"/>
        <v>0</v>
      </c>
      <c r="M34" s="414">
        <f t="shared" si="15"/>
        <v>457.44</v>
      </c>
      <c r="N34" s="521">
        <f t="shared" si="44"/>
        <v>0</v>
      </c>
      <c r="O34" s="414">
        <f t="shared" si="16"/>
        <v>529.52</v>
      </c>
      <c r="P34" s="521">
        <f t="shared" si="45"/>
        <v>0</v>
      </c>
      <c r="Q34" s="521">
        <f t="shared" si="46"/>
        <v>0</v>
      </c>
      <c r="R34" s="523"/>
      <c r="S34" s="523"/>
      <c r="T34" s="5">
        <f t="shared" si="17"/>
        <v>5164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149994</v>
      </c>
      <c r="Y34" s="327">
        <f t="shared" si="42"/>
        <v>0</v>
      </c>
      <c r="Z34" s="5">
        <f t="shared" si="21"/>
        <v>98235</v>
      </c>
      <c r="AA34" s="83">
        <f t="shared" si="22"/>
        <v>0</v>
      </c>
      <c r="AB34" s="5">
        <f t="shared" si="23"/>
        <v>256</v>
      </c>
      <c r="AC34" s="5">
        <f t="shared" si="24"/>
        <v>731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44225</v>
      </c>
      <c r="AS34" s="428">
        <f t="shared" si="54"/>
        <v>0.9</v>
      </c>
      <c r="AT34" s="202">
        <f>AT33</f>
        <v>94</v>
      </c>
      <c r="AU34" s="430">
        <f t="shared" si="43"/>
        <v>1.1000000000000001</v>
      </c>
      <c r="AV34" s="202">
        <f t="shared" si="55"/>
        <v>163</v>
      </c>
      <c r="AW34" s="5">
        <v>2.9</v>
      </c>
      <c r="AX34" s="202">
        <f t="shared" si="56"/>
        <v>164</v>
      </c>
      <c r="AY34" s="432">
        <f t="shared" si="7"/>
        <v>84.600000000000009</v>
      </c>
      <c r="AZ34" s="432">
        <f t="shared" si="33"/>
        <v>179.3</v>
      </c>
      <c r="BA34" s="432">
        <f t="shared" si="34"/>
        <v>475.59999999999997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" thickBot="1">
      <c r="A35" s="6">
        <f>ELEC!C32</f>
        <v>44226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40"/>
        <v>615006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6713</v>
      </c>
      <c r="L35" s="83">
        <f t="shared" si="41"/>
        <v>0</v>
      </c>
      <c r="M35" s="414">
        <f t="shared" si="15"/>
        <v>457.44</v>
      </c>
      <c r="N35" s="521">
        <f t="shared" si="44"/>
        <v>0</v>
      </c>
      <c r="O35" s="414">
        <f t="shared" si="16"/>
        <v>529.52</v>
      </c>
      <c r="P35" s="521">
        <f t="shared" si="45"/>
        <v>0</v>
      </c>
      <c r="Q35" s="521">
        <f t="shared" si="46"/>
        <v>0</v>
      </c>
      <c r="R35" s="521"/>
      <c r="S35" s="521"/>
      <c r="T35" s="5">
        <f t="shared" si="17"/>
        <v>5164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149994</v>
      </c>
      <c r="Y35" s="327">
        <f t="shared" si="42"/>
        <v>0</v>
      </c>
      <c r="Z35" s="5">
        <f t="shared" si="21"/>
        <v>98235</v>
      </c>
      <c r="AA35" s="83">
        <f t="shared" si="22"/>
        <v>0</v>
      </c>
      <c r="AB35" s="5">
        <f t="shared" si="23"/>
        <v>256</v>
      </c>
      <c r="AC35" s="5">
        <f t="shared" si="24"/>
        <v>731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44226</v>
      </c>
      <c r="AS35" s="428">
        <f t="shared" si="54"/>
        <v>0.9</v>
      </c>
      <c r="AT35" s="202">
        <f t="shared" si="54"/>
        <v>94</v>
      </c>
      <c r="AU35" s="431">
        <f t="shared" si="43"/>
        <v>1.1000000000000001</v>
      </c>
      <c r="AV35" s="202">
        <f t="shared" si="55"/>
        <v>163</v>
      </c>
      <c r="AW35" s="5">
        <v>2.9</v>
      </c>
      <c r="AX35" s="202">
        <f t="shared" si="56"/>
        <v>164</v>
      </c>
      <c r="AY35" s="432">
        <f t="shared" si="7"/>
        <v>84.600000000000009</v>
      </c>
      <c r="AZ35" s="432">
        <f t="shared" si="33"/>
        <v>179.3</v>
      </c>
      <c r="BA35" s="432">
        <f t="shared" si="34"/>
        <v>475.59999999999997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" thickBot="1">
      <c r="A36" s="6">
        <f>ELEC!C33</f>
        <v>44227</v>
      </c>
      <c r="B36" s="5">
        <f t="shared" si="10"/>
        <v>109443</v>
      </c>
      <c r="C36" s="5">
        <f t="shared" ref="C36" si="57">B36-B35</f>
        <v>0</v>
      </c>
      <c r="D36" s="423">
        <f t="shared" ref="D36" si="58">C36/27</f>
        <v>0</v>
      </c>
      <c r="E36" s="336">
        <f>SUM((C36*$E$4)+(7500/'EDl log'!$A$37))</f>
        <v>241.93548387096774</v>
      </c>
      <c r="F36" s="330"/>
      <c r="G36" s="5">
        <f t="shared" si="40"/>
        <v>615006</v>
      </c>
      <c r="H36" s="5">
        <f t="shared" ref="H36" si="59">G36-G35</f>
        <v>0</v>
      </c>
      <c r="I36" s="5">
        <f t="shared" ref="I36" si="60">C36+H36</f>
        <v>0</v>
      </c>
      <c r="J36" s="337">
        <f t="shared" ref="J36" si="61">IF(I36&gt;0,E36/I36,0)</f>
        <v>0</v>
      </c>
      <c r="K36" s="5">
        <f>'Swimming Pool quality check '!H36</f>
        <v>6713</v>
      </c>
      <c r="L36" s="83">
        <f t="shared" ref="L36" si="62">K36-K35</f>
        <v>0</v>
      </c>
      <c r="M36" s="414">
        <f t="shared" si="15"/>
        <v>457.44</v>
      </c>
      <c r="N36" s="521">
        <f t="shared" ref="N36" si="63">SUM(M36-M35)</f>
        <v>0</v>
      </c>
      <c r="O36" s="414">
        <f t="shared" si="16"/>
        <v>529.52</v>
      </c>
      <c r="P36" s="521">
        <f t="shared" ref="P36" si="64">SUM(O36-O35)</f>
        <v>0</v>
      </c>
      <c r="Q36" s="521">
        <f t="shared" ref="Q36" si="65">SUM(P36+N36)</f>
        <v>0</v>
      </c>
      <c r="R36" s="521"/>
      <c r="S36" s="521"/>
      <c r="T36" s="5">
        <f t="shared" si="17"/>
        <v>5164</v>
      </c>
      <c r="U36" s="5">
        <f t="shared" ref="U36" si="66">SUM(T36-T35)</f>
        <v>0</v>
      </c>
      <c r="V36" s="5">
        <f t="shared" si="18"/>
        <v>459</v>
      </c>
      <c r="W36" s="327">
        <f t="shared" ref="W36" si="67">+V36-V35</f>
        <v>0</v>
      </c>
      <c r="X36" s="5">
        <f t="shared" si="20"/>
        <v>149994</v>
      </c>
      <c r="Y36" s="327">
        <f t="shared" ref="Y36" si="68">SUM(X36-X35)</f>
        <v>0</v>
      </c>
      <c r="Z36" s="5">
        <f t="shared" si="21"/>
        <v>98235</v>
      </c>
      <c r="AA36" s="83">
        <f t="shared" ref="AA36" si="69">Z36-Z35</f>
        <v>0</v>
      </c>
      <c r="AB36" s="5">
        <f t="shared" si="23"/>
        <v>256</v>
      </c>
      <c r="AC36" s="5">
        <f t="shared" si="24"/>
        <v>731</v>
      </c>
      <c r="AD36" s="83">
        <f t="shared" ref="AD36" si="70">AC36-AC35</f>
        <v>0</v>
      </c>
      <c r="AE36" s="5">
        <f t="shared" si="25"/>
        <v>227.8</v>
      </c>
      <c r="AF36" s="83">
        <f t="shared" ref="AF36" si="71">AE36-AE35</f>
        <v>0</v>
      </c>
      <c r="AG36" s="5">
        <f t="shared" si="27"/>
        <v>2181.5700000000002</v>
      </c>
      <c r="AH36" s="83">
        <f t="shared" ref="AH36" si="72">AG36-AG35</f>
        <v>0</v>
      </c>
      <c r="AI36" s="83">
        <f t="shared" ref="AI36" si="73">AF36+AH36</f>
        <v>0</v>
      </c>
      <c r="AJ36" s="329">
        <f t="shared" ref="AJ36" si="74">+Z36-Z35</f>
        <v>0</v>
      </c>
      <c r="AK36" s="330">
        <f t="shared" si="39"/>
        <v>0</v>
      </c>
      <c r="AL36" s="330">
        <f t="shared" ref="AL36" si="75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6">A36</f>
        <v>44227</v>
      </c>
      <c r="AS36" s="428">
        <f t="shared" si="54"/>
        <v>0.9</v>
      </c>
      <c r="AT36" s="202">
        <f t="shared" si="54"/>
        <v>94</v>
      </c>
      <c r="AU36" s="431">
        <f t="shared" si="43"/>
        <v>1.1000000000000001</v>
      </c>
      <c r="AV36" s="202">
        <f t="shared" si="55"/>
        <v>163</v>
      </c>
      <c r="AW36" s="5">
        <v>2.9</v>
      </c>
      <c r="AX36" s="202">
        <f t="shared" si="56"/>
        <v>164</v>
      </c>
      <c r="AY36" s="432">
        <f t="shared" ref="AY36" si="77">AS36*AT36</f>
        <v>84.600000000000009</v>
      </c>
      <c r="AZ36" s="432">
        <f t="shared" ref="AZ36" si="78">AU36*AV36</f>
        <v>179.3</v>
      </c>
      <c r="BA36" s="432">
        <f t="shared" ref="BA36" si="79">AW36*AX36</f>
        <v>475.59999999999997</v>
      </c>
      <c r="BB36" s="21">
        <f t="shared" ref="BB36" si="80">AY36-AY35</f>
        <v>0</v>
      </c>
      <c r="BC36" s="228">
        <f t="shared" ref="BC36" si="81">AZ36-AZ35</f>
        <v>0</v>
      </c>
      <c r="BD36" s="228">
        <f t="shared" ref="BD36" si="82">BA36-BA35</f>
        <v>0</v>
      </c>
      <c r="BE36" s="24">
        <f t="shared" ref="BE36" si="83">SUM(BB36:BD36)</f>
        <v>0</v>
      </c>
      <c r="BF36" s="96">
        <f t="shared" ref="BF36" si="84">SUM(I36-BE36)</f>
        <v>0</v>
      </c>
      <c r="BG36" s="82">
        <f t="shared" ref="BG36" si="85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717</v>
      </c>
      <c r="I37" s="416">
        <f>SUM(I6:I36)</f>
        <v>717</v>
      </c>
      <c r="L37" s="270">
        <f>SUM(L7:L36)</f>
        <v>4</v>
      </c>
      <c r="Q37" s="502">
        <f>SUM(Q5:Q36)</f>
        <v>0</v>
      </c>
      <c r="U37" s="413">
        <f>SUM(U6:U36)</f>
        <v>1</v>
      </c>
      <c r="X37" s="326"/>
      <c r="Y37" s="325">
        <f>SUM(Y35,Y33,Y31,Y29,Y27,Y25,Y23,Y21,Y19,Y17,Y15,Y13,Y11,Y9,Y7,Y36)</f>
        <v>149</v>
      </c>
      <c r="AJ37" s="325">
        <f>SUM(AJ6:AJ36)</f>
        <v>165</v>
      </c>
      <c r="AK37" s="330">
        <f>SUM(Y37-L37)</f>
        <v>145</v>
      </c>
      <c r="AL37" s="325">
        <f>SUM(AL6:AL36)</f>
        <v>165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717</v>
      </c>
      <c r="Z38" s="325">
        <f>SUM(Y37:AJ37)</f>
        <v>314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717</v>
      </c>
      <c r="H39" s="1">
        <f>SUM(H38+C38)</f>
        <v>7500</v>
      </c>
      <c r="K39" s="1">
        <f>SUM(H39/G39)</f>
        <v>10.460251046025105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I23" sqref="I23"/>
    </sheetView>
  </sheetViews>
  <sheetFormatPr defaultRowHeight="14.5"/>
  <cols>
    <col min="1" max="1" width="11.81640625" style="490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42" t="s">
        <v>193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5" ht="15.75" customHeight="1" thickBot="1">
      <c r="A2" s="645"/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7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9">
        <f>ELEC!C2</f>
        <v>44196</v>
      </c>
      <c r="B5" s="359">
        <v>19</v>
      </c>
      <c r="C5" s="359">
        <v>14</v>
      </c>
      <c r="D5" s="359">
        <f>'[1]General information '!D36</f>
        <v>18</v>
      </c>
      <c r="E5" s="359">
        <f>'[1]General information '!E36</f>
        <v>0.55000000000000004</v>
      </c>
      <c r="F5" s="575">
        <f>'[1]General information '!F36</f>
        <v>0</v>
      </c>
      <c r="G5" s="359">
        <f>'[1]General information '!G36</f>
        <v>0</v>
      </c>
      <c r="H5" s="359">
        <f>'[1]General information '!H36</f>
        <v>0</v>
      </c>
      <c r="I5" s="359">
        <f>'[1]General information '!I36</f>
        <v>0</v>
      </c>
      <c r="J5" s="359">
        <f>'[1]General information '!J36</f>
        <v>0</v>
      </c>
      <c r="K5" s="359">
        <f>'[1]General information '!K36</f>
        <v>0</v>
      </c>
      <c r="L5" s="359">
        <f>'[1]General information '!L36</f>
        <v>0</v>
      </c>
      <c r="M5" s="359">
        <f>'[1]General information '!M36</f>
        <v>0</v>
      </c>
      <c r="N5" s="359">
        <f>'[1]General information '!N36</f>
        <v>0</v>
      </c>
      <c r="O5" s="359">
        <f>'[1]General information '!O36</f>
        <v>0</v>
      </c>
    </row>
    <row r="6" spans="1:15">
      <c r="A6" s="489">
        <f>ELEC!C3</f>
        <v>44197</v>
      </c>
      <c r="B6" s="37">
        <v>20</v>
      </c>
      <c r="C6" s="37">
        <v>15</v>
      </c>
      <c r="D6" s="26">
        <f t="shared" ref="D6:D12" si="0">(C6+B6)/2</f>
        <v>17.5</v>
      </c>
      <c r="E6" s="343">
        <v>0.69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44198</v>
      </c>
      <c r="B7" s="37">
        <v>21</v>
      </c>
      <c r="C7" s="37">
        <v>15</v>
      </c>
      <c r="D7" s="26">
        <f t="shared" si="0"/>
        <v>18</v>
      </c>
      <c r="E7" s="343">
        <v>0.65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44199</v>
      </c>
      <c r="B8" s="37">
        <v>21</v>
      </c>
      <c r="C8" s="37">
        <v>16</v>
      </c>
      <c r="D8" s="26">
        <f t="shared" si="0"/>
        <v>18.5</v>
      </c>
      <c r="E8" s="343">
        <v>0.63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44200</v>
      </c>
      <c r="B9" s="37">
        <v>22</v>
      </c>
      <c r="C9" s="37">
        <v>15</v>
      </c>
      <c r="D9" s="26">
        <f>(C9+B9)/2</f>
        <v>18.5</v>
      </c>
      <c r="E9" s="397">
        <v>0.57999999999999996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44201</v>
      </c>
      <c r="B10" s="37">
        <v>22</v>
      </c>
      <c r="C10" s="37">
        <v>16</v>
      </c>
      <c r="D10" s="26">
        <f t="shared" si="0"/>
        <v>19</v>
      </c>
      <c r="E10" s="357">
        <v>0.6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44202</v>
      </c>
      <c r="B11" s="37">
        <v>22</v>
      </c>
      <c r="C11" s="37">
        <v>15</v>
      </c>
      <c r="D11" s="26">
        <f t="shared" si="0"/>
        <v>18.5</v>
      </c>
      <c r="E11" s="397">
        <v>0.62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44203</v>
      </c>
      <c r="B12" s="37">
        <v>20</v>
      </c>
      <c r="C12" s="37">
        <v>14</v>
      </c>
      <c r="D12" s="26">
        <f t="shared" si="0"/>
        <v>17</v>
      </c>
      <c r="E12" s="397">
        <v>0.6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44204</v>
      </c>
      <c r="B13" s="37">
        <v>21</v>
      </c>
      <c r="C13" s="37">
        <v>14</v>
      </c>
      <c r="D13" s="26">
        <f>(C13+B13)/2</f>
        <v>17.5</v>
      </c>
      <c r="E13" s="357">
        <v>0.56999999999999995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44205</v>
      </c>
      <c r="B14" s="37">
        <v>22</v>
      </c>
      <c r="C14" s="37">
        <v>15</v>
      </c>
      <c r="D14" s="26">
        <f t="shared" ref="D14:D34" si="3">(C14+B14)/2</f>
        <v>18.5</v>
      </c>
      <c r="E14" s="343">
        <v>0.6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44206</v>
      </c>
      <c r="B15" s="37">
        <v>22</v>
      </c>
      <c r="C15" s="37">
        <v>15</v>
      </c>
      <c r="D15" s="26">
        <f t="shared" si="3"/>
        <v>18.5</v>
      </c>
      <c r="E15" s="343">
        <v>0.62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44207</v>
      </c>
      <c r="B16" s="37">
        <v>22</v>
      </c>
      <c r="C16" s="37">
        <v>16</v>
      </c>
      <c r="D16" s="26">
        <f t="shared" si="3"/>
        <v>19</v>
      </c>
      <c r="E16" s="343">
        <v>0.65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44208</v>
      </c>
      <c r="B17" s="37">
        <v>24</v>
      </c>
      <c r="C17" s="37">
        <v>13</v>
      </c>
      <c r="D17" s="26">
        <f t="shared" si="3"/>
        <v>18.5</v>
      </c>
      <c r="E17" s="343">
        <v>0.46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44209</v>
      </c>
      <c r="B18" s="37">
        <v>18</v>
      </c>
      <c r="C18" s="37">
        <v>12</v>
      </c>
      <c r="D18" s="26">
        <f t="shared" si="3"/>
        <v>15</v>
      </c>
      <c r="E18" s="433">
        <v>0.5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44210</v>
      </c>
      <c r="B19" s="37">
        <v>17</v>
      </c>
      <c r="C19" s="37">
        <v>12</v>
      </c>
      <c r="D19" s="26">
        <f t="shared" si="3"/>
        <v>14.5</v>
      </c>
      <c r="E19" s="343">
        <v>0.55000000000000004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44211</v>
      </c>
      <c r="B20" s="37">
        <v>19</v>
      </c>
      <c r="C20" s="37">
        <v>13</v>
      </c>
      <c r="D20" s="26">
        <f t="shared" si="3"/>
        <v>16</v>
      </c>
      <c r="E20" s="343">
        <v>0.55000000000000004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44212</v>
      </c>
      <c r="B21" s="37">
        <v>15</v>
      </c>
      <c r="C21" s="37">
        <v>9</v>
      </c>
      <c r="D21" s="26">
        <f>(C21+B21)/2</f>
        <v>12</v>
      </c>
      <c r="E21" s="343">
        <v>0.78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44213</v>
      </c>
      <c r="B22" s="37">
        <v>15</v>
      </c>
      <c r="C22" s="37">
        <v>12</v>
      </c>
      <c r="D22" s="26">
        <f t="shared" si="3"/>
        <v>13.5</v>
      </c>
      <c r="E22" s="343">
        <v>0.53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44214</v>
      </c>
      <c r="B23" s="37">
        <v>14</v>
      </c>
      <c r="C23" s="37">
        <v>8</v>
      </c>
      <c r="D23" s="26">
        <f>(C23+B23)/2</f>
        <v>11</v>
      </c>
      <c r="E23" s="343">
        <v>0.78</v>
      </c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44215</v>
      </c>
      <c r="B24" s="37"/>
      <c r="C24" s="37"/>
      <c r="D24" s="26">
        <f t="shared" si="3"/>
        <v>0</v>
      </c>
      <c r="E24" s="343"/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44216</v>
      </c>
      <c r="B25" s="37"/>
      <c r="C25" s="37"/>
      <c r="D25" s="26">
        <f t="shared" si="3"/>
        <v>0</v>
      </c>
      <c r="E25" s="343"/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44217</v>
      </c>
      <c r="B26" s="37"/>
      <c r="C26" s="37"/>
      <c r="D26" s="26">
        <f>(C26+B26)/2</f>
        <v>0</v>
      </c>
      <c r="E26" s="343"/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44218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44219</v>
      </c>
      <c r="B28" s="37"/>
      <c r="C28" s="37"/>
      <c r="D28" s="26">
        <f t="shared" si="3"/>
        <v>0</v>
      </c>
      <c r="E28" s="397"/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44220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44221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44222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44223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44224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>
        <v>0</v>
      </c>
      <c r="I33" s="3">
        <v>0</v>
      </c>
      <c r="J33" s="37">
        <v>0</v>
      </c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44225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>
        <v>0</v>
      </c>
      <c r="I34" s="3">
        <v>0</v>
      </c>
      <c r="J34" s="37">
        <v>0</v>
      </c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44226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>
        <v>0</v>
      </c>
      <c r="I35" s="3">
        <v>0</v>
      </c>
      <c r="J35" s="37">
        <v>0</v>
      </c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44227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>
        <v>0</v>
      </c>
      <c r="I36" s="3">
        <v>0</v>
      </c>
      <c r="J36" s="37">
        <v>0</v>
      </c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16.722222222222221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B1" activePane="topRight" state="frozen"/>
      <selection pane="topRight" activeCell="AS18" sqref="AS18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40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8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5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233</v>
      </c>
      <c r="AT3" s="648" t="s">
        <v>301</v>
      </c>
      <c r="AU3" s="649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44196</v>
      </c>
      <c r="B5" s="539">
        <f>[1]tanks!B36</f>
        <v>244</v>
      </c>
      <c r="C5" s="539">
        <f>[1]tanks!C36</f>
        <v>5249.9354838709678</v>
      </c>
      <c r="D5" s="539">
        <f>[1]tanks!D36</f>
        <v>244</v>
      </c>
      <c r="E5" s="539">
        <f>[1]tanks!E36</f>
        <v>5249.9354838709678</v>
      </c>
      <c r="F5" s="539">
        <f>[1]tanks!F36</f>
        <v>244</v>
      </c>
      <c r="G5" s="539">
        <f>[1]tanks!G36</f>
        <v>5249.9354838709678</v>
      </c>
      <c r="H5" s="539">
        <f>[1]tanks!H36</f>
        <v>244</v>
      </c>
      <c r="I5" s="539">
        <f>[1]tanks!I36</f>
        <v>5249.9354838709678</v>
      </c>
      <c r="J5" s="539">
        <f>[1]tanks!J36</f>
        <v>244</v>
      </c>
      <c r="K5" s="539">
        <f>[1]tanks!K36</f>
        <v>5249.9354838709678</v>
      </c>
      <c r="L5" s="539">
        <f>[1]tanks!L36</f>
        <v>244</v>
      </c>
      <c r="M5" s="539">
        <f>[1]tanks!M36</f>
        <v>5249.9354838709678</v>
      </c>
      <c r="N5" s="539">
        <f>[1]tanks!N36</f>
        <v>244</v>
      </c>
      <c r="O5" s="539">
        <f>[1]tanks!O36</f>
        <v>5249.9354838709678</v>
      </c>
      <c r="P5" s="539">
        <f>[1]tanks!P36</f>
        <v>244</v>
      </c>
      <c r="Q5" s="539">
        <f>[1]tanks!Q36</f>
        <v>5249.9354838709678</v>
      </c>
      <c r="R5" s="539">
        <f>[1]tanks!R36</f>
        <v>244</v>
      </c>
      <c r="S5" s="539">
        <f>[1]tanks!S36</f>
        <v>5249.9354838709678</v>
      </c>
      <c r="T5" s="539">
        <f>[1]tanks!T36</f>
        <v>244</v>
      </c>
      <c r="U5" s="539">
        <f>[1]tanks!U36</f>
        <v>5249.9354838709678</v>
      </c>
      <c r="V5" s="539">
        <f>[1]tanks!V36</f>
        <v>244</v>
      </c>
      <c r="W5" s="539">
        <f>[1]tanks!W36</f>
        <v>5249.9354838709678</v>
      </c>
      <c r="X5" s="539">
        <f>[1]tanks!X36</f>
        <v>0.78709677419354862</v>
      </c>
      <c r="Y5" s="539">
        <f>[1]tanks!Y36</f>
        <v>57749.290322580659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0.80864031754953924</v>
      </c>
      <c r="AR5" s="539">
        <f>[1]tanks!AR36</f>
        <v>75179.290322580666</v>
      </c>
      <c r="AS5" s="539">
        <f>[1]tanks!AS36</f>
        <v>-920.03225806448609</v>
      </c>
      <c r="AT5" s="539">
        <f>[1]tanks!AT36</f>
        <v>0</v>
      </c>
      <c r="AU5" s="539">
        <f>[1]tanks!AU36</f>
        <v>0</v>
      </c>
      <c r="AV5" s="539">
        <f>[1]tanks!AV36</f>
        <v>0.61</v>
      </c>
      <c r="AW5" s="539">
        <f>[1]tanks!AW36</f>
        <v>-279</v>
      </c>
      <c r="AX5" s="539">
        <f>[1]tanks!AX36</f>
        <v>-641.03225806448609</v>
      </c>
      <c r="AY5" s="539">
        <f>[1]tanks!AY36</f>
        <v>-920.03225806448609</v>
      </c>
      <c r="AZ5" s="512">
        <f>[1]tanks!AZ36</f>
        <v>0</v>
      </c>
      <c r="BA5" s="539">
        <f>[1]tanks!BA36</f>
        <v>18</v>
      </c>
      <c r="BB5" s="512">
        <f>[1]tanks!BB36</f>
        <v>0.55000000000000004</v>
      </c>
      <c r="BC5" s="539">
        <f>[1]tanks!BC36</f>
        <v>0</v>
      </c>
      <c r="BD5" s="539">
        <f>[1]tanks!BD36</f>
        <v>19222</v>
      </c>
      <c r="BE5" s="539" t="e">
        <f>[1]tanks!BE36</f>
        <v>#REF!</v>
      </c>
      <c r="BF5" s="539">
        <f>[1]tanks!BF36</f>
        <v>0</v>
      </c>
      <c r="BG5" s="539" t="e">
        <f>[1]tanks!BG36</f>
        <v>#REF!</v>
      </c>
      <c r="BH5" s="539">
        <f>[2]tanks!BH36</f>
        <v>0</v>
      </c>
      <c r="BI5" s="204"/>
    </row>
    <row r="6" spans="1:61">
      <c r="A6" s="450">
        <f>ELEC!C3</f>
        <v>44197</v>
      </c>
      <c r="B6">
        <f>'B5'!B5</f>
        <v>243.3</v>
      </c>
      <c r="C6" s="204">
        <f>B6*$B$4</f>
        <v>5234.8741935483877</v>
      </c>
      <c r="D6">
        <f>SUM(B6)</f>
        <v>243.3</v>
      </c>
      <c r="E6" s="204">
        <f>D6*$B$4</f>
        <v>5234.8741935483877</v>
      </c>
      <c r="F6">
        <f>SUM(D6)</f>
        <v>243.3</v>
      </c>
      <c r="G6" s="204">
        <f t="shared" ref="G6:G35" si="1">F6*$B$4</f>
        <v>5234.8741935483877</v>
      </c>
      <c r="H6" s="204">
        <f>SUM(F6)</f>
        <v>243.3</v>
      </c>
      <c r="I6" s="204">
        <f t="shared" ref="I6:I35" si="2">H6*$B$4</f>
        <v>5234.8741935483877</v>
      </c>
      <c r="J6" s="204">
        <f>SUM(H6)</f>
        <v>243.3</v>
      </c>
      <c r="K6" s="204">
        <f t="shared" ref="K6:K35" si="3">J6*$B$4</f>
        <v>5234.8741935483877</v>
      </c>
      <c r="L6" s="204">
        <f>SUM(J6)</f>
        <v>243.3</v>
      </c>
      <c r="M6" s="204">
        <f t="shared" ref="M6:M35" si="4">L6*$B$4</f>
        <v>5234.8741935483877</v>
      </c>
      <c r="N6" s="204">
        <f>SUM(L6)</f>
        <v>243.3</v>
      </c>
      <c r="O6" s="204">
        <f t="shared" ref="O6:O35" si="5">N6*$B$4</f>
        <v>5234.8741935483877</v>
      </c>
      <c r="P6" s="204">
        <f>SUM(N6)</f>
        <v>243.3</v>
      </c>
      <c r="Q6" s="204">
        <f t="shared" ref="Q6:Q35" si="6">P6*$B$4</f>
        <v>5234.8741935483877</v>
      </c>
      <c r="R6" s="204">
        <f>SUM(P6)</f>
        <v>243.3</v>
      </c>
      <c r="S6" s="204">
        <f t="shared" ref="S6:S35" si="7">R6*$B$4</f>
        <v>5234.8741935483877</v>
      </c>
      <c r="T6" s="204">
        <f>SUM(R6)</f>
        <v>243.3</v>
      </c>
      <c r="U6" s="204">
        <f t="shared" ref="U6:U35" si="8">T6*$B$4</f>
        <v>5234.8741935483877</v>
      </c>
      <c r="V6" s="204">
        <f>SUM(T6)</f>
        <v>243.3</v>
      </c>
      <c r="W6" s="204">
        <f t="shared" ref="W6:W35" si="9">V6*$B$4</f>
        <v>5234.8741935483877</v>
      </c>
      <c r="X6" s="35">
        <f t="shared" ref="X6:X29" si="10">SUM(Y6/73370)</f>
        <v>0.78483870967741931</v>
      </c>
      <c r="Y6" s="36">
        <f>SUM(C6+E6+G6+I6+K6+M6+O6+Q6+S6+U6+W6)</f>
        <v>57583.616129032256</v>
      </c>
      <c r="Z6" s="204">
        <f>'B5'!C5</f>
        <v>248.5</v>
      </c>
      <c r="AA6" s="204">
        <f>SUM(Z6*$Z$4)</f>
        <v>2485</v>
      </c>
      <c r="AB6" s="204">
        <f>SUM(Z6)</f>
        <v>248.5</v>
      </c>
      <c r="AC6" s="204">
        <f>SUM(AB6*$Z$4)</f>
        <v>2485</v>
      </c>
      <c r="AD6" s="204">
        <f>SUM(AB6)</f>
        <v>248.5</v>
      </c>
      <c r="AE6" s="204">
        <f t="shared" ref="AE6:AE35" si="11">SUM(AD6*$Z$4)</f>
        <v>2485</v>
      </c>
      <c r="AF6" s="204">
        <f>SUM(AD6)</f>
        <v>248.5</v>
      </c>
      <c r="AG6" s="204">
        <f t="shared" ref="AG6:AG35" si="12">SUM(AF6*$Z$4)</f>
        <v>2485</v>
      </c>
      <c r="AH6" s="204">
        <f>SUM(AF6)</f>
        <v>248.5</v>
      </c>
      <c r="AI6" s="204">
        <f t="shared" ref="AI6:AI35" si="13">SUM(AH6*$Z$4)</f>
        <v>2485</v>
      </c>
      <c r="AJ6" s="204">
        <f>SUM(AH6)</f>
        <v>248.5</v>
      </c>
      <c r="AK6" s="204">
        <f t="shared" ref="AK6:AK35" si="14">SUM(AJ6*$Z$4)</f>
        <v>2485</v>
      </c>
      <c r="AL6" s="204">
        <f>SUM(AJ6)</f>
        <v>248.5</v>
      </c>
      <c r="AM6" s="204">
        <f t="shared" ref="AM6:AM35" si="15">SUM(AL6*$Z$4)</f>
        <v>2485</v>
      </c>
      <c r="AN6" s="35">
        <f t="shared" ref="AN6:AN29" si="16">SUM(AO6/19600)</f>
        <v>0.88749999999999996</v>
      </c>
      <c r="AO6" s="36">
        <f t="shared" ref="AO6:AO29" si="17">SUM(AA6+AC6+AE6+AG6+AI6+AK6+AM6)</f>
        <v>17395</v>
      </c>
      <c r="AQ6" s="224">
        <f>SUM(AR6/92970)</f>
        <v>0.80648183423719744</v>
      </c>
      <c r="AR6" s="38">
        <f>SUM(AO6+Y6)</f>
        <v>74978.616129032249</v>
      </c>
      <c r="AS6" s="198">
        <f>SUM(AR6-AR5-AT6)</f>
        <v>-200.67419354841695</v>
      </c>
      <c r="AT6" s="358"/>
      <c r="AU6" s="442"/>
      <c r="AV6" s="525">
        <f>IF(AT6&gt;0,AU6,AV5)</f>
        <v>0.61</v>
      </c>
      <c r="AW6" s="293">
        <f>-SUM('B5'!AI5)</f>
        <v>-287</v>
      </c>
      <c r="AX6" s="293">
        <f>-SUM(AW6-AS6)</f>
        <v>86.325806451583048</v>
      </c>
      <c r="AY6" s="37">
        <f>SUM(AX6+AW6)</f>
        <v>-200.67419354841695</v>
      </c>
      <c r="AZ6" s="100">
        <f>ELEC!A3</f>
        <v>0</v>
      </c>
      <c r="BA6" s="118">
        <f>'General information '!D6</f>
        <v>17.5</v>
      </c>
      <c r="BB6" s="283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511.93670886111909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44198</v>
      </c>
      <c r="B7">
        <f>'B5'!B6</f>
        <v>238</v>
      </c>
      <c r="C7" s="204">
        <f t="shared" ref="C7:E35" si="18">B7*$B$4</f>
        <v>5120.8387096774195</v>
      </c>
      <c r="D7">
        <f t="shared" ref="D7:D29" si="19">SUM(B7)</f>
        <v>238</v>
      </c>
      <c r="E7" s="204">
        <f t="shared" si="18"/>
        <v>5120.8387096774195</v>
      </c>
      <c r="F7">
        <f t="shared" ref="F7:F29" si="20">SUM(D7)</f>
        <v>238</v>
      </c>
      <c r="G7" s="204">
        <f t="shared" si="1"/>
        <v>5120.8387096774195</v>
      </c>
      <c r="H7" s="204">
        <f t="shared" ref="H7:H29" si="21">SUM(F7)</f>
        <v>238</v>
      </c>
      <c r="I7" s="204">
        <f t="shared" si="2"/>
        <v>5120.8387096774195</v>
      </c>
      <c r="J7" s="204">
        <f t="shared" ref="J7:J29" si="22">SUM(H7)</f>
        <v>238</v>
      </c>
      <c r="K7" s="204">
        <f t="shared" si="3"/>
        <v>5120.8387096774195</v>
      </c>
      <c r="L7" s="204">
        <f t="shared" ref="L7:L29" si="23">SUM(J7)</f>
        <v>238</v>
      </c>
      <c r="M7" s="204">
        <f t="shared" si="4"/>
        <v>5120.8387096774195</v>
      </c>
      <c r="N7" s="204">
        <f t="shared" ref="N7:N29" si="24">SUM(L7)</f>
        <v>238</v>
      </c>
      <c r="O7" s="204">
        <f t="shared" si="5"/>
        <v>5120.8387096774195</v>
      </c>
      <c r="P7" s="204">
        <f t="shared" ref="P7:P29" si="25">SUM(N7)</f>
        <v>238</v>
      </c>
      <c r="Q7" s="204">
        <f t="shared" si="6"/>
        <v>5120.8387096774195</v>
      </c>
      <c r="R7" s="204">
        <f t="shared" ref="R7:R29" si="26">SUM(P7)</f>
        <v>238</v>
      </c>
      <c r="S7" s="204">
        <f t="shared" si="7"/>
        <v>5120.8387096774195</v>
      </c>
      <c r="T7" s="204">
        <f t="shared" ref="T7:T29" si="27">SUM(R7)</f>
        <v>238</v>
      </c>
      <c r="U7" s="204">
        <f t="shared" si="8"/>
        <v>5120.8387096774195</v>
      </c>
      <c r="V7" s="204">
        <f t="shared" ref="V7:V29" si="28">SUM(T7)</f>
        <v>238</v>
      </c>
      <c r="W7" s="204">
        <f t="shared" si="9"/>
        <v>5120.8387096774195</v>
      </c>
      <c r="X7" s="35">
        <f t="shared" si="10"/>
        <v>0.76774193548387093</v>
      </c>
      <c r="Y7" s="36">
        <f t="shared" ref="Y7:Y29" si="29">SUM(C7+E7+G7+I7+K7+M7+O7+Q7+S7+U7+W7)</f>
        <v>56329.225806451606</v>
      </c>
      <c r="Z7" s="204">
        <f>'B5'!C6</f>
        <v>244.5</v>
      </c>
      <c r="AA7" s="204">
        <f t="shared" ref="AA7:AC35" si="30">SUM(Z7*$Z$4)</f>
        <v>2445</v>
      </c>
      <c r="AB7" s="204">
        <f t="shared" ref="AB7:AB29" si="31">SUM(Z7)</f>
        <v>244.5</v>
      </c>
      <c r="AC7" s="204">
        <f t="shared" si="30"/>
        <v>2445</v>
      </c>
      <c r="AD7" s="204">
        <f t="shared" ref="AD7:AD29" si="32">SUM(AB7)</f>
        <v>244.5</v>
      </c>
      <c r="AE7" s="204">
        <f t="shared" si="11"/>
        <v>2445</v>
      </c>
      <c r="AF7" s="204">
        <f t="shared" ref="AF7:AF29" si="33">SUM(AD7)</f>
        <v>244.5</v>
      </c>
      <c r="AG7" s="204">
        <f t="shared" si="12"/>
        <v>2445</v>
      </c>
      <c r="AH7" s="204">
        <f t="shared" ref="AH7:AH29" si="34">SUM(AF7)</f>
        <v>244.5</v>
      </c>
      <c r="AI7" s="204">
        <f t="shared" si="13"/>
        <v>2445</v>
      </c>
      <c r="AJ7" s="204">
        <f t="shared" ref="AJ7:AJ29" si="35">SUM(AH7)</f>
        <v>244.5</v>
      </c>
      <c r="AK7" s="204">
        <f t="shared" si="14"/>
        <v>2445</v>
      </c>
      <c r="AL7" s="204">
        <f t="shared" ref="AL7:AL29" si="36">SUM(AJ7)</f>
        <v>244.5</v>
      </c>
      <c r="AM7" s="204">
        <f t="shared" si="15"/>
        <v>2445</v>
      </c>
      <c r="AN7" s="35">
        <f t="shared" si="16"/>
        <v>0.87321428571428572</v>
      </c>
      <c r="AO7" s="36">
        <f t="shared" si="17"/>
        <v>17115</v>
      </c>
      <c r="AQ7" s="224">
        <f t="shared" ref="AQ7:AQ33" si="37">SUM(AR7/92970)</f>
        <v>0.78997768964667747</v>
      </c>
      <c r="AR7" s="38">
        <f>SUM(AO7+Y7)</f>
        <v>73444.225806451606</v>
      </c>
      <c r="AS7" s="198">
        <f t="shared" ref="AS7:AS35" si="38">SUM(AR7-AR6-AT7)</f>
        <v>-1534.3903225806425</v>
      </c>
      <c r="AT7" s="273"/>
      <c r="AU7" s="498"/>
      <c r="AV7" s="525">
        <f>IF(AT7&gt;0,AU7,AV6)</f>
        <v>0.61</v>
      </c>
      <c r="AW7" s="293">
        <f>-SUM('B5'!AI6)</f>
        <v>-281.5</v>
      </c>
      <c r="AX7" s="293">
        <f t="shared" ref="AX7:AX35" si="39">-SUM(AW7-AS7)</f>
        <v>-1252.8903225806425</v>
      </c>
      <c r="AY7" s="37">
        <f t="shared" ref="AY7:AY35" si="40">SUM(AX7+AW7)</f>
        <v>-1534.3903225806425</v>
      </c>
      <c r="AZ7" s="100">
        <f>ELEC!A4</f>
        <v>0</v>
      </c>
      <c r="BA7" s="118">
        <f>'General information '!D7</f>
        <v>18</v>
      </c>
      <c r="BB7" s="397">
        <f>SUM('General information '!E7)</f>
        <v>0.65</v>
      </c>
      <c r="BC7" s="3">
        <v>0</v>
      </c>
      <c r="BD7" s="102">
        <v>19222</v>
      </c>
      <c r="BE7" s="14">
        <f>(305/1185)*ELEC!Q5</f>
        <v>554.14767932449001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44199</v>
      </c>
      <c r="B8">
        <f>'B5'!B7</f>
        <v>235</v>
      </c>
      <c r="C8" s="204">
        <f t="shared" si="18"/>
        <v>5056.2903225806449</v>
      </c>
      <c r="D8">
        <f t="shared" si="19"/>
        <v>235</v>
      </c>
      <c r="E8" s="204">
        <f t="shared" si="18"/>
        <v>5056.2903225806449</v>
      </c>
      <c r="F8">
        <f t="shared" si="20"/>
        <v>235</v>
      </c>
      <c r="G8" s="204">
        <f t="shared" si="1"/>
        <v>5056.2903225806449</v>
      </c>
      <c r="H8" s="204">
        <f t="shared" si="21"/>
        <v>235</v>
      </c>
      <c r="I8" s="204">
        <f t="shared" si="2"/>
        <v>5056.2903225806449</v>
      </c>
      <c r="J8" s="204">
        <f t="shared" si="22"/>
        <v>235</v>
      </c>
      <c r="K8" s="204">
        <f t="shared" si="3"/>
        <v>5056.2903225806449</v>
      </c>
      <c r="L8" s="204">
        <f t="shared" si="23"/>
        <v>235</v>
      </c>
      <c r="M8" s="204">
        <f t="shared" si="4"/>
        <v>5056.2903225806449</v>
      </c>
      <c r="N8" s="204">
        <f t="shared" si="24"/>
        <v>235</v>
      </c>
      <c r="O8" s="204">
        <f t="shared" si="5"/>
        <v>5056.2903225806449</v>
      </c>
      <c r="P8" s="204">
        <f t="shared" si="25"/>
        <v>235</v>
      </c>
      <c r="Q8" s="204">
        <f t="shared" si="6"/>
        <v>5056.2903225806449</v>
      </c>
      <c r="R8" s="204">
        <f t="shared" si="26"/>
        <v>235</v>
      </c>
      <c r="S8" s="204">
        <f t="shared" si="7"/>
        <v>5056.2903225806449</v>
      </c>
      <c r="T8" s="204">
        <f t="shared" si="27"/>
        <v>235</v>
      </c>
      <c r="U8" s="204">
        <f t="shared" si="8"/>
        <v>5056.2903225806449</v>
      </c>
      <c r="V8" s="204">
        <f t="shared" si="28"/>
        <v>235</v>
      </c>
      <c r="W8" s="204">
        <f t="shared" si="9"/>
        <v>5056.2903225806449</v>
      </c>
      <c r="X8" s="35">
        <f t="shared" si="10"/>
        <v>0.75806451612903214</v>
      </c>
      <c r="Y8" s="36">
        <f t="shared" si="29"/>
        <v>55619.193548387091</v>
      </c>
      <c r="Z8" s="204">
        <f>'B5'!C7</f>
        <v>242</v>
      </c>
      <c r="AA8" s="204">
        <f t="shared" si="30"/>
        <v>2420</v>
      </c>
      <c r="AB8" s="204">
        <f t="shared" si="31"/>
        <v>242</v>
      </c>
      <c r="AC8" s="204">
        <f t="shared" si="30"/>
        <v>2420</v>
      </c>
      <c r="AD8" s="204">
        <f t="shared" si="32"/>
        <v>242</v>
      </c>
      <c r="AE8" s="204">
        <f t="shared" si="11"/>
        <v>2420</v>
      </c>
      <c r="AF8" s="204">
        <f t="shared" si="33"/>
        <v>242</v>
      </c>
      <c r="AG8" s="204">
        <f t="shared" si="12"/>
        <v>2420</v>
      </c>
      <c r="AH8" s="204">
        <f t="shared" si="34"/>
        <v>242</v>
      </c>
      <c r="AI8" s="204">
        <f t="shared" si="13"/>
        <v>2420</v>
      </c>
      <c r="AJ8" s="204">
        <f t="shared" si="35"/>
        <v>242</v>
      </c>
      <c r="AK8" s="204">
        <f t="shared" si="14"/>
        <v>2420</v>
      </c>
      <c r="AL8" s="204">
        <f t="shared" si="36"/>
        <v>242</v>
      </c>
      <c r="AM8" s="204">
        <f t="shared" si="15"/>
        <v>2420</v>
      </c>
      <c r="AN8" s="35">
        <f t="shared" si="16"/>
        <v>0.86428571428571432</v>
      </c>
      <c r="AO8" s="36">
        <f t="shared" si="17"/>
        <v>16940</v>
      </c>
      <c r="AQ8" s="224">
        <f t="shared" si="37"/>
        <v>0.78045814293198978</v>
      </c>
      <c r="AR8" s="38">
        <f t="shared" ref="AR8:AR36" si="41">SUM(AO8+Y8)</f>
        <v>72559.193548387091</v>
      </c>
      <c r="AS8" s="198">
        <f t="shared" si="38"/>
        <v>-885.03225806451519</v>
      </c>
      <c r="AT8" s="358"/>
      <c r="AU8" s="442"/>
      <c r="AV8" s="525">
        <f t="shared" ref="AV8:AV34" si="42">IF(AT8&gt;0,AU8,AV7)</f>
        <v>0.61</v>
      </c>
      <c r="AW8" s="293">
        <f>-SUM('B5'!AI7)</f>
        <v>-226</v>
      </c>
      <c r="AX8" s="293">
        <f t="shared" si="39"/>
        <v>-659.03225806451519</v>
      </c>
      <c r="AY8" s="37">
        <f t="shared" si="40"/>
        <v>-885.03225806451519</v>
      </c>
      <c r="AZ8" s="100">
        <f>ELEC!A5</f>
        <v>0</v>
      </c>
      <c r="BA8" s="118">
        <f>'General information '!D8</f>
        <v>18.5</v>
      </c>
      <c r="BB8" s="397">
        <f>SUM('General information '!E8)</f>
        <v>0.63</v>
      </c>
      <c r="BC8" s="3">
        <f t="shared" ref="BC8:BC33" si="43">IF(AR7&gt;=AR8,0,1)</f>
        <v>0</v>
      </c>
      <c r="BD8" s="102">
        <v>19222</v>
      </c>
      <c r="BE8" s="14">
        <f>(305/1185)*ELEC!Q6</f>
        <v>1191.4303797470452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44200</v>
      </c>
      <c r="B9">
        <f>'B5'!B8</f>
        <v>230</v>
      </c>
      <c r="C9" s="204">
        <f t="shared" si="18"/>
        <v>4948.7096774193551</v>
      </c>
      <c r="D9">
        <f t="shared" si="19"/>
        <v>230</v>
      </c>
      <c r="E9" s="204">
        <f t="shared" si="18"/>
        <v>4948.7096774193551</v>
      </c>
      <c r="F9">
        <f t="shared" si="20"/>
        <v>230</v>
      </c>
      <c r="G9" s="204">
        <f t="shared" si="1"/>
        <v>4948.7096774193551</v>
      </c>
      <c r="H9" s="204">
        <f t="shared" si="21"/>
        <v>230</v>
      </c>
      <c r="I9" s="204">
        <f t="shared" si="2"/>
        <v>4948.7096774193551</v>
      </c>
      <c r="J9" s="204">
        <f t="shared" si="22"/>
        <v>230</v>
      </c>
      <c r="K9" s="204">
        <f t="shared" si="3"/>
        <v>4948.7096774193551</v>
      </c>
      <c r="L9" s="204">
        <f t="shared" si="23"/>
        <v>230</v>
      </c>
      <c r="M9" s="204">
        <f t="shared" si="4"/>
        <v>4948.7096774193551</v>
      </c>
      <c r="N9" s="204">
        <f t="shared" si="24"/>
        <v>230</v>
      </c>
      <c r="O9" s="204">
        <f t="shared" si="5"/>
        <v>4948.7096774193551</v>
      </c>
      <c r="P9" s="204">
        <f t="shared" si="25"/>
        <v>230</v>
      </c>
      <c r="Q9" s="204">
        <f t="shared" si="6"/>
        <v>4948.7096774193551</v>
      </c>
      <c r="R9" s="204">
        <f t="shared" si="26"/>
        <v>230</v>
      </c>
      <c r="S9" s="204">
        <f t="shared" si="7"/>
        <v>4948.7096774193551</v>
      </c>
      <c r="T9" s="204">
        <f t="shared" si="27"/>
        <v>230</v>
      </c>
      <c r="U9" s="204">
        <f t="shared" si="8"/>
        <v>4948.7096774193551</v>
      </c>
      <c r="V9" s="204">
        <f t="shared" si="28"/>
        <v>230</v>
      </c>
      <c r="W9" s="204">
        <f t="shared" si="9"/>
        <v>4948.7096774193551</v>
      </c>
      <c r="X9" s="35">
        <f t="shared" si="10"/>
        <v>0.74193548387096786</v>
      </c>
      <c r="Y9" s="36">
        <f t="shared" si="29"/>
        <v>54435.806451612909</v>
      </c>
      <c r="Z9" s="204">
        <f>'B5'!C8</f>
        <v>236</v>
      </c>
      <c r="AA9" s="204">
        <f t="shared" si="30"/>
        <v>2360</v>
      </c>
      <c r="AB9" s="204">
        <f t="shared" si="31"/>
        <v>236</v>
      </c>
      <c r="AC9" s="204">
        <f t="shared" si="30"/>
        <v>2360</v>
      </c>
      <c r="AD9" s="204">
        <f t="shared" si="32"/>
        <v>236</v>
      </c>
      <c r="AE9" s="204">
        <f t="shared" si="11"/>
        <v>2360</v>
      </c>
      <c r="AF9" s="204">
        <f t="shared" si="33"/>
        <v>236</v>
      </c>
      <c r="AG9" s="204">
        <f t="shared" si="12"/>
        <v>2360</v>
      </c>
      <c r="AH9" s="204">
        <f t="shared" si="34"/>
        <v>236</v>
      </c>
      <c r="AI9" s="204">
        <f t="shared" si="13"/>
        <v>2360</v>
      </c>
      <c r="AJ9" s="204">
        <f t="shared" si="35"/>
        <v>236</v>
      </c>
      <c r="AK9" s="204">
        <f t="shared" si="14"/>
        <v>2360</v>
      </c>
      <c r="AL9" s="204">
        <f t="shared" si="36"/>
        <v>236</v>
      </c>
      <c r="AM9" s="204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4">
        <f t="shared" si="37"/>
        <v>0.76321185814362602</v>
      </c>
      <c r="AR9" s="38">
        <f t="shared" si="41"/>
        <v>70955.806451612909</v>
      </c>
      <c r="AS9" s="198">
        <f t="shared" si="38"/>
        <v>-1603.3870967741823</v>
      </c>
      <c r="AT9" s="358"/>
      <c r="AU9" s="442"/>
      <c r="AV9" s="525">
        <f t="shared" si="42"/>
        <v>0.61</v>
      </c>
      <c r="AW9" s="293">
        <f>-SUM('B5'!AI8)</f>
        <v>-157</v>
      </c>
      <c r="AX9" s="293">
        <f>-SUM(AW9-AS9)</f>
        <v>-1446.3870967741823</v>
      </c>
      <c r="AY9" s="37">
        <f t="shared" si="40"/>
        <v>-1603.3870967741823</v>
      </c>
      <c r="AZ9" s="100">
        <f>ELEC!A6</f>
        <v>0</v>
      </c>
      <c r="BA9" s="118">
        <f>'General information '!D9</f>
        <v>18.5</v>
      </c>
      <c r="BB9" s="397">
        <f>SUM('General information '!E9)</f>
        <v>0.57999999999999996</v>
      </c>
      <c r="BC9" s="3">
        <f t="shared" si="43"/>
        <v>0</v>
      </c>
      <c r="BD9" s="102">
        <v>19222</v>
      </c>
      <c r="BE9" s="14">
        <f>(305/1185)*ELEC!Q7</f>
        <v>515.28270042204588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44201</v>
      </c>
      <c r="B10">
        <f>'B5'!B9</f>
        <v>227</v>
      </c>
      <c r="C10" s="204">
        <f t="shared" si="18"/>
        <v>4884.1612903225805</v>
      </c>
      <c r="D10">
        <f t="shared" si="19"/>
        <v>227</v>
      </c>
      <c r="E10" s="204">
        <f t="shared" si="18"/>
        <v>4884.1612903225805</v>
      </c>
      <c r="F10">
        <f t="shared" si="20"/>
        <v>227</v>
      </c>
      <c r="G10" s="204">
        <f t="shared" si="1"/>
        <v>4884.1612903225805</v>
      </c>
      <c r="H10" s="204">
        <f t="shared" si="21"/>
        <v>227</v>
      </c>
      <c r="I10" s="204">
        <f t="shared" si="2"/>
        <v>4884.1612903225805</v>
      </c>
      <c r="J10" s="204">
        <f t="shared" si="22"/>
        <v>227</v>
      </c>
      <c r="K10" s="204">
        <f t="shared" si="3"/>
        <v>4884.1612903225805</v>
      </c>
      <c r="L10" s="204">
        <f t="shared" si="23"/>
        <v>227</v>
      </c>
      <c r="M10" s="204">
        <f t="shared" si="4"/>
        <v>4884.1612903225805</v>
      </c>
      <c r="N10" s="204">
        <f t="shared" si="24"/>
        <v>227</v>
      </c>
      <c r="O10" s="204">
        <f t="shared" si="5"/>
        <v>4884.1612903225805</v>
      </c>
      <c r="P10" s="204">
        <f t="shared" si="25"/>
        <v>227</v>
      </c>
      <c r="Q10" s="204">
        <f t="shared" si="6"/>
        <v>4884.1612903225805</v>
      </c>
      <c r="R10" s="204">
        <f t="shared" si="26"/>
        <v>227</v>
      </c>
      <c r="S10" s="204">
        <f t="shared" si="7"/>
        <v>4884.1612903225805</v>
      </c>
      <c r="T10" s="204">
        <f t="shared" si="27"/>
        <v>227</v>
      </c>
      <c r="U10" s="204">
        <f t="shared" si="8"/>
        <v>4884.1612903225805</v>
      </c>
      <c r="V10" s="204">
        <f t="shared" si="28"/>
        <v>227</v>
      </c>
      <c r="W10" s="204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4">
        <f>'B5'!C9</f>
        <v>233.2</v>
      </c>
      <c r="AA10" s="204">
        <f t="shared" si="30"/>
        <v>2332</v>
      </c>
      <c r="AB10" s="204">
        <f t="shared" si="31"/>
        <v>233.2</v>
      </c>
      <c r="AC10" s="204">
        <f t="shared" si="30"/>
        <v>2332</v>
      </c>
      <c r="AD10" s="204">
        <f t="shared" si="32"/>
        <v>233.2</v>
      </c>
      <c r="AE10" s="204">
        <f t="shared" si="11"/>
        <v>2332</v>
      </c>
      <c r="AF10" s="204">
        <f t="shared" si="33"/>
        <v>233.2</v>
      </c>
      <c r="AG10" s="204">
        <f t="shared" si="12"/>
        <v>2332</v>
      </c>
      <c r="AH10" s="204">
        <f t="shared" si="34"/>
        <v>233.2</v>
      </c>
      <c r="AI10" s="204">
        <f t="shared" si="13"/>
        <v>2332</v>
      </c>
      <c r="AJ10" s="204">
        <f t="shared" si="35"/>
        <v>233.2</v>
      </c>
      <c r="AK10" s="204">
        <f t="shared" si="14"/>
        <v>2332</v>
      </c>
      <c r="AL10" s="204">
        <f t="shared" si="36"/>
        <v>233.2</v>
      </c>
      <c r="AM10" s="204">
        <f t="shared" si="15"/>
        <v>2332</v>
      </c>
      <c r="AN10" s="35">
        <f t="shared" si="16"/>
        <v>0.83285714285714285</v>
      </c>
      <c r="AO10" s="36">
        <f t="shared" si="17"/>
        <v>16324</v>
      </c>
      <c r="AQ10" s="224">
        <f t="shared" si="37"/>
        <v>0.75346643211302999</v>
      </c>
      <c r="AR10" s="38">
        <f t="shared" si="41"/>
        <v>70049.774193548394</v>
      </c>
      <c r="AS10" s="198">
        <f t="shared" si="38"/>
        <v>-906.03225806451519</v>
      </c>
      <c r="AT10" s="358"/>
      <c r="AU10" s="442"/>
      <c r="AV10" s="525">
        <f>IF(AT10&gt;0,AU10,AV9)</f>
        <v>0.61</v>
      </c>
      <c r="AW10" s="293">
        <f>-SUM('B5'!AI9)</f>
        <v>-281</v>
      </c>
      <c r="AX10" s="293">
        <f>-SUM(AW10-AS10)</f>
        <v>-625.03225806451519</v>
      </c>
      <c r="AY10" s="37">
        <f t="shared" si="40"/>
        <v>-906.03225806451519</v>
      </c>
      <c r="AZ10" s="100">
        <f>ELEC!A7</f>
        <v>0</v>
      </c>
      <c r="BA10" s="118">
        <f>'General information '!D10</f>
        <v>19</v>
      </c>
      <c r="BB10" s="397">
        <f>SUM('General information '!E10)</f>
        <v>0.6</v>
      </c>
      <c r="BC10" s="3">
        <f t="shared" si="43"/>
        <v>0</v>
      </c>
      <c r="BD10" s="102">
        <v>19222</v>
      </c>
      <c r="BE10" s="14">
        <f>(305/1185)*ELEC!Q8</f>
        <v>839.07172995739393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44202</v>
      </c>
      <c r="B11">
        <f>'B5'!B10</f>
        <v>222.4</v>
      </c>
      <c r="C11" s="204">
        <f t="shared" si="18"/>
        <v>4785.1870967741934</v>
      </c>
      <c r="D11">
        <f>SUM(B11)</f>
        <v>222.4</v>
      </c>
      <c r="E11" s="204">
        <f t="shared" si="18"/>
        <v>4785.1870967741934</v>
      </c>
      <c r="F11">
        <f>SUM(D11)</f>
        <v>222.4</v>
      </c>
      <c r="G11" s="204">
        <f t="shared" si="1"/>
        <v>4785.1870967741934</v>
      </c>
      <c r="H11" s="204">
        <f>SUM(F11)</f>
        <v>222.4</v>
      </c>
      <c r="I11" s="204">
        <f t="shared" si="2"/>
        <v>4785.1870967741934</v>
      </c>
      <c r="J11" s="204">
        <f>SUM(H11)</f>
        <v>222.4</v>
      </c>
      <c r="K11" s="204">
        <f t="shared" si="3"/>
        <v>4785.1870967741934</v>
      </c>
      <c r="L11" s="204">
        <f>SUM(J11)</f>
        <v>222.4</v>
      </c>
      <c r="M11" s="204">
        <f t="shared" si="4"/>
        <v>4785.1870967741934</v>
      </c>
      <c r="N11" s="204">
        <f>SUM(L11)</f>
        <v>222.4</v>
      </c>
      <c r="O11" s="204">
        <f t="shared" si="5"/>
        <v>4785.1870967741934</v>
      </c>
      <c r="P11" s="204">
        <f>SUM(N11)</f>
        <v>222.4</v>
      </c>
      <c r="Q11" s="204">
        <f t="shared" si="6"/>
        <v>4785.1870967741934</v>
      </c>
      <c r="R11" s="204">
        <f>SUM(P11)</f>
        <v>222.4</v>
      </c>
      <c r="S11" s="204">
        <f t="shared" si="7"/>
        <v>4785.1870967741934</v>
      </c>
      <c r="T11" s="204">
        <f>SUM(R11)</f>
        <v>222.4</v>
      </c>
      <c r="U11" s="204">
        <f t="shared" si="8"/>
        <v>4785.1870967741934</v>
      </c>
      <c r="V11" s="204">
        <f>SUM(T11)</f>
        <v>222.4</v>
      </c>
      <c r="W11" s="204">
        <f t="shared" si="9"/>
        <v>4785.1870967741934</v>
      </c>
      <c r="X11" s="35">
        <f>SUM(Y11/73370)</f>
        <v>0.71741935483870967</v>
      </c>
      <c r="Y11" s="36">
        <f>SUM(C11+E11+G11+I11+K11+M11+O11+Q11+S11+U11+W11)</f>
        <v>52637.058064516124</v>
      </c>
      <c r="Z11" s="204">
        <f>'B5'!C10</f>
        <v>229</v>
      </c>
      <c r="AA11" s="204">
        <f t="shared" si="30"/>
        <v>2290</v>
      </c>
      <c r="AB11" s="204">
        <f>SUM(Z11)</f>
        <v>229</v>
      </c>
      <c r="AC11" s="204">
        <f t="shared" si="30"/>
        <v>2290</v>
      </c>
      <c r="AD11" s="204">
        <f>SUM(AB11)</f>
        <v>229</v>
      </c>
      <c r="AE11" s="204">
        <f t="shared" si="11"/>
        <v>2290</v>
      </c>
      <c r="AF11" s="204">
        <f>SUM(AD11)</f>
        <v>229</v>
      </c>
      <c r="AG11" s="204">
        <f t="shared" si="12"/>
        <v>2290</v>
      </c>
      <c r="AH11" s="204">
        <f>SUM(AF11)</f>
        <v>229</v>
      </c>
      <c r="AI11" s="204">
        <f t="shared" si="13"/>
        <v>2290</v>
      </c>
      <c r="AJ11" s="204">
        <f>SUM(AH11)</f>
        <v>229</v>
      </c>
      <c r="AK11" s="204">
        <f t="shared" si="14"/>
        <v>2290</v>
      </c>
      <c r="AL11" s="204">
        <f>SUM(AJ11)</f>
        <v>229</v>
      </c>
      <c r="AM11" s="204">
        <f t="shared" si="15"/>
        <v>2290</v>
      </c>
      <c r="AN11" s="35">
        <f>SUM(AO11/19600)</f>
        <v>0.81785714285714284</v>
      </c>
      <c r="AO11" s="36">
        <f t="shared" si="17"/>
        <v>16030</v>
      </c>
      <c r="AP11" s="573"/>
      <c r="AQ11" s="224">
        <f t="shared" si="37"/>
        <v>0.73859371909773175</v>
      </c>
      <c r="AR11" s="38">
        <f t="shared" si="41"/>
        <v>68667.058064516124</v>
      </c>
      <c r="AS11" s="198">
        <f>SUM(AR11-AR10-AT11)</f>
        <v>-1382.7161290322692</v>
      </c>
      <c r="AT11" s="358"/>
      <c r="AU11" s="442"/>
      <c r="AV11" s="525">
        <f>IF(AT11&gt;0,AU11,AV10)</f>
        <v>0.61</v>
      </c>
      <c r="AW11" s="293">
        <f>-SUM('B5'!AI10)</f>
        <v>-172</v>
      </c>
      <c r="AX11" s="293">
        <f>-SUM(AW11-AS11)</f>
        <v>-1210.7161290322692</v>
      </c>
      <c r="AY11" s="37">
        <f t="shared" si="40"/>
        <v>-1382.7161290322692</v>
      </c>
      <c r="AZ11" s="100">
        <f>ELEC!A8</f>
        <v>0</v>
      </c>
      <c r="BA11" s="118">
        <f>'General information '!D11</f>
        <v>18.5</v>
      </c>
      <c r="BB11" s="397">
        <f>SUM('General information '!E11)</f>
        <v>0.62</v>
      </c>
      <c r="BC11" s="3">
        <f t="shared" si="43"/>
        <v>0</v>
      </c>
      <c r="BD11" s="102">
        <v>19222</v>
      </c>
      <c r="BE11" s="14">
        <f>(305/1185)*ELEC!Q9</f>
        <v>726.85232067524043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44203</v>
      </c>
      <c r="B12">
        <f>'B5'!B11</f>
        <v>219.2</v>
      </c>
      <c r="C12" s="204">
        <f t="shared" si="18"/>
        <v>4716.3354838709674</v>
      </c>
      <c r="D12">
        <f t="shared" si="19"/>
        <v>219.2</v>
      </c>
      <c r="E12" s="204">
        <f t="shared" si="18"/>
        <v>4716.3354838709674</v>
      </c>
      <c r="F12">
        <f t="shared" si="20"/>
        <v>219.2</v>
      </c>
      <c r="G12" s="204">
        <f t="shared" si="1"/>
        <v>4716.3354838709674</v>
      </c>
      <c r="H12" s="204">
        <f t="shared" si="21"/>
        <v>219.2</v>
      </c>
      <c r="I12" s="204">
        <f t="shared" si="2"/>
        <v>4716.3354838709674</v>
      </c>
      <c r="J12" s="204">
        <f t="shared" si="22"/>
        <v>219.2</v>
      </c>
      <c r="K12" s="204">
        <f t="shared" si="3"/>
        <v>4716.3354838709674</v>
      </c>
      <c r="L12" s="204">
        <f t="shared" si="23"/>
        <v>219.2</v>
      </c>
      <c r="M12" s="204">
        <f t="shared" si="4"/>
        <v>4716.3354838709674</v>
      </c>
      <c r="N12" s="204">
        <f t="shared" si="24"/>
        <v>219.2</v>
      </c>
      <c r="O12" s="204">
        <f t="shared" si="5"/>
        <v>4716.3354838709674</v>
      </c>
      <c r="P12" s="204">
        <f t="shared" si="25"/>
        <v>219.2</v>
      </c>
      <c r="Q12" s="204">
        <f t="shared" si="6"/>
        <v>4716.3354838709674</v>
      </c>
      <c r="R12" s="204">
        <f t="shared" si="26"/>
        <v>219.2</v>
      </c>
      <c r="S12" s="204">
        <f t="shared" si="7"/>
        <v>4716.3354838709674</v>
      </c>
      <c r="T12" s="204">
        <f t="shared" si="27"/>
        <v>219.2</v>
      </c>
      <c r="U12" s="204">
        <f t="shared" si="8"/>
        <v>4716.3354838709674</v>
      </c>
      <c r="V12" s="204">
        <f t="shared" si="28"/>
        <v>219.2</v>
      </c>
      <c r="W12" s="204">
        <f t="shared" si="9"/>
        <v>4716.3354838709674</v>
      </c>
      <c r="X12" s="35">
        <f t="shared" si="10"/>
        <v>0.70709677419354822</v>
      </c>
      <c r="Y12" s="36">
        <f t="shared" si="29"/>
        <v>51879.690322580631</v>
      </c>
      <c r="Z12" s="204">
        <f>'B5'!C11</f>
        <v>225.3</v>
      </c>
      <c r="AA12" s="204">
        <f t="shared" si="30"/>
        <v>2253</v>
      </c>
      <c r="AB12" s="204">
        <f t="shared" si="31"/>
        <v>225.3</v>
      </c>
      <c r="AC12" s="204">
        <f t="shared" si="30"/>
        <v>2253</v>
      </c>
      <c r="AD12" s="204">
        <f t="shared" si="32"/>
        <v>225.3</v>
      </c>
      <c r="AE12" s="204">
        <f t="shared" si="11"/>
        <v>2253</v>
      </c>
      <c r="AF12" s="204">
        <f t="shared" si="33"/>
        <v>225.3</v>
      </c>
      <c r="AG12" s="204">
        <f t="shared" si="12"/>
        <v>2253</v>
      </c>
      <c r="AH12" s="204">
        <f t="shared" si="34"/>
        <v>225.3</v>
      </c>
      <c r="AI12" s="204">
        <f t="shared" si="13"/>
        <v>2253</v>
      </c>
      <c r="AJ12" s="204">
        <f t="shared" si="35"/>
        <v>225.3</v>
      </c>
      <c r="AK12" s="204">
        <f t="shared" si="14"/>
        <v>2253</v>
      </c>
      <c r="AL12" s="204">
        <f t="shared" si="36"/>
        <v>225.3</v>
      </c>
      <c r="AM12" s="204">
        <f t="shared" si="15"/>
        <v>2253</v>
      </c>
      <c r="AN12" s="35">
        <f t="shared" si="16"/>
        <v>0.8046428571428571</v>
      </c>
      <c r="AO12" s="36">
        <f t="shared" si="17"/>
        <v>15771</v>
      </c>
      <c r="AP12" s="573"/>
      <c r="AQ12" s="224">
        <f t="shared" si="37"/>
        <v>0.72766150718060263</v>
      </c>
      <c r="AR12" s="38">
        <f t="shared" si="41"/>
        <v>67650.690322580631</v>
      </c>
      <c r="AS12" s="198">
        <f>SUM(AR12-AR11-AT12)</f>
        <v>-1016.3677419354935</v>
      </c>
      <c r="AT12" s="273"/>
      <c r="AU12" s="484"/>
      <c r="AV12" s="525">
        <f t="shared" si="42"/>
        <v>0.61</v>
      </c>
      <c r="AW12" s="293">
        <f>-SUM('B5'!AI11)</f>
        <v>-211</v>
      </c>
      <c r="AX12" s="293">
        <f t="shared" si="39"/>
        <v>-805.36774193549354</v>
      </c>
      <c r="AY12" s="37">
        <f t="shared" si="40"/>
        <v>-1016.3677419354935</v>
      </c>
      <c r="AZ12" s="100">
        <f>ELEC!A9</f>
        <v>0</v>
      </c>
      <c r="BA12" s="118">
        <f>'General information '!D12</f>
        <v>17</v>
      </c>
      <c r="BB12" s="397">
        <f>SUM('General information '!E12)</f>
        <v>0.6</v>
      </c>
      <c r="BC12" s="3">
        <f t="shared" si="43"/>
        <v>0</v>
      </c>
      <c r="BD12" s="102">
        <v>19222</v>
      </c>
      <c r="BE12" s="14">
        <f>(305/1185)*ELEC!Q10</f>
        <v>739.20675105469502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44204</v>
      </c>
      <c r="B13">
        <f>'B5'!B12</f>
        <v>214</v>
      </c>
      <c r="C13" s="204">
        <f t="shared" si="18"/>
        <v>4604.4516129032254</v>
      </c>
      <c r="D13">
        <f t="shared" si="19"/>
        <v>214</v>
      </c>
      <c r="E13" s="204">
        <f t="shared" si="18"/>
        <v>4604.4516129032254</v>
      </c>
      <c r="F13">
        <f t="shared" si="20"/>
        <v>214</v>
      </c>
      <c r="G13" s="204">
        <f t="shared" si="1"/>
        <v>4604.4516129032254</v>
      </c>
      <c r="H13" s="204">
        <f t="shared" si="21"/>
        <v>214</v>
      </c>
      <c r="I13" s="204">
        <f t="shared" si="2"/>
        <v>4604.4516129032254</v>
      </c>
      <c r="J13" s="204">
        <f t="shared" si="22"/>
        <v>214</v>
      </c>
      <c r="K13" s="204">
        <f t="shared" si="3"/>
        <v>4604.4516129032254</v>
      </c>
      <c r="L13" s="204">
        <f t="shared" si="23"/>
        <v>214</v>
      </c>
      <c r="M13" s="204">
        <f t="shared" si="4"/>
        <v>4604.4516129032254</v>
      </c>
      <c r="N13" s="204">
        <f t="shared" si="24"/>
        <v>214</v>
      </c>
      <c r="O13" s="204">
        <f t="shared" si="5"/>
        <v>4604.4516129032254</v>
      </c>
      <c r="P13" s="204">
        <f t="shared" si="25"/>
        <v>214</v>
      </c>
      <c r="Q13" s="204">
        <f t="shared" si="6"/>
        <v>4604.4516129032254</v>
      </c>
      <c r="R13" s="204">
        <f t="shared" si="26"/>
        <v>214</v>
      </c>
      <c r="S13" s="204">
        <f t="shared" si="7"/>
        <v>4604.4516129032254</v>
      </c>
      <c r="T13" s="204">
        <f t="shared" si="27"/>
        <v>214</v>
      </c>
      <c r="U13" s="204">
        <f t="shared" si="8"/>
        <v>4604.4516129032254</v>
      </c>
      <c r="V13" s="204">
        <f t="shared" si="28"/>
        <v>214</v>
      </c>
      <c r="W13" s="204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4">
        <f>'B5'!C12</f>
        <v>221.5</v>
      </c>
      <c r="AA13" s="204">
        <f t="shared" si="30"/>
        <v>2215</v>
      </c>
      <c r="AB13" s="204">
        <f t="shared" si="31"/>
        <v>221.5</v>
      </c>
      <c r="AC13" s="204">
        <f t="shared" si="30"/>
        <v>2215</v>
      </c>
      <c r="AD13" s="204">
        <f t="shared" si="32"/>
        <v>221.5</v>
      </c>
      <c r="AE13" s="204">
        <f t="shared" si="11"/>
        <v>2215</v>
      </c>
      <c r="AF13" s="204">
        <f t="shared" si="33"/>
        <v>221.5</v>
      </c>
      <c r="AG13" s="204">
        <f t="shared" si="12"/>
        <v>2215</v>
      </c>
      <c r="AH13" s="204">
        <f t="shared" si="34"/>
        <v>221.5</v>
      </c>
      <c r="AI13" s="204">
        <f t="shared" si="13"/>
        <v>2215</v>
      </c>
      <c r="AJ13" s="204">
        <f t="shared" si="35"/>
        <v>221.5</v>
      </c>
      <c r="AK13" s="204">
        <f t="shared" si="14"/>
        <v>2215</v>
      </c>
      <c r="AL13" s="204">
        <f t="shared" si="36"/>
        <v>221.5</v>
      </c>
      <c r="AM13" s="204">
        <f t="shared" si="15"/>
        <v>2215</v>
      </c>
      <c r="AN13" s="35">
        <f t="shared" si="16"/>
        <v>0.79107142857142854</v>
      </c>
      <c r="AO13" s="36">
        <f t="shared" si="17"/>
        <v>15505</v>
      </c>
      <c r="AP13" s="573"/>
      <c r="AQ13" s="224">
        <f t="shared" si="37"/>
        <v>0.71156252277009235</v>
      </c>
      <c r="AR13" s="38">
        <f t="shared" si="41"/>
        <v>66153.967741935485</v>
      </c>
      <c r="AS13" s="198">
        <f t="shared" si="38"/>
        <v>-1496.7225806451461</v>
      </c>
      <c r="AT13" s="273"/>
      <c r="AU13" s="442"/>
      <c r="AV13" s="525">
        <f t="shared" si="42"/>
        <v>0.61</v>
      </c>
      <c r="AW13" s="293">
        <f>-SUM('B5'!AI12)</f>
        <v>-209</v>
      </c>
      <c r="AX13" s="293">
        <f t="shared" si="39"/>
        <v>-1287.7225806451461</v>
      </c>
      <c r="AY13" s="37">
        <f t="shared" si="40"/>
        <v>-1496.7225806451461</v>
      </c>
      <c r="AZ13" s="100">
        <f>ELEC!A10</f>
        <v>0</v>
      </c>
      <c r="BA13" s="118">
        <f>'General information '!D13</f>
        <v>17.5</v>
      </c>
      <c r="BB13" s="397">
        <f>SUM('General information '!E13)</f>
        <v>0.56999999999999995</v>
      </c>
      <c r="BC13" s="3">
        <f t="shared" si="43"/>
        <v>0</v>
      </c>
      <c r="BD13" s="102">
        <v>19222</v>
      </c>
      <c r="BE13" s="14">
        <f>(305/1185)*ELEC!Q11</f>
        <v>514.2531645568572</v>
      </c>
      <c r="BF13" s="14"/>
      <c r="BG13" s="14" t="e">
        <f>#REF!-BE13</f>
        <v>#REF!</v>
      </c>
      <c r="BH13" s="11"/>
    </row>
    <row r="14" spans="1:61">
      <c r="A14" s="450">
        <f>ELEC!C11</f>
        <v>44205</v>
      </c>
      <c r="B14">
        <f>'B5'!B13</f>
        <v>212</v>
      </c>
      <c r="C14" s="204">
        <f t="shared" si="18"/>
        <v>4561.4193548387093</v>
      </c>
      <c r="D14">
        <f t="shared" si="19"/>
        <v>212</v>
      </c>
      <c r="E14" s="204">
        <f t="shared" si="18"/>
        <v>4561.4193548387093</v>
      </c>
      <c r="F14">
        <f t="shared" si="20"/>
        <v>212</v>
      </c>
      <c r="G14" s="204">
        <f t="shared" si="1"/>
        <v>4561.4193548387093</v>
      </c>
      <c r="H14" s="204">
        <f t="shared" si="21"/>
        <v>212</v>
      </c>
      <c r="I14" s="204">
        <f t="shared" si="2"/>
        <v>4561.4193548387093</v>
      </c>
      <c r="J14" s="204">
        <f t="shared" si="22"/>
        <v>212</v>
      </c>
      <c r="K14" s="204">
        <f t="shared" si="3"/>
        <v>4561.4193548387093</v>
      </c>
      <c r="L14" s="204">
        <f t="shared" si="23"/>
        <v>212</v>
      </c>
      <c r="M14" s="204">
        <f t="shared" si="4"/>
        <v>4561.4193548387093</v>
      </c>
      <c r="N14" s="204">
        <f t="shared" si="24"/>
        <v>212</v>
      </c>
      <c r="O14" s="204">
        <f t="shared" si="5"/>
        <v>4561.4193548387093</v>
      </c>
      <c r="P14" s="204">
        <f t="shared" si="25"/>
        <v>212</v>
      </c>
      <c r="Q14" s="204">
        <f t="shared" si="6"/>
        <v>4561.4193548387093</v>
      </c>
      <c r="R14" s="204">
        <f t="shared" si="26"/>
        <v>212</v>
      </c>
      <c r="S14" s="204">
        <f t="shared" si="7"/>
        <v>4561.4193548387093</v>
      </c>
      <c r="T14" s="204">
        <f t="shared" si="27"/>
        <v>212</v>
      </c>
      <c r="U14" s="204">
        <f t="shared" si="8"/>
        <v>4561.4193548387093</v>
      </c>
      <c r="V14" s="204">
        <f t="shared" si="28"/>
        <v>212</v>
      </c>
      <c r="W14" s="204">
        <f t="shared" si="9"/>
        <v>4561.4193548387093</v>
      </c>
      <c r="X14" s="35">
        <f t="shared" si="10"/>
        <v>0.68387096774193556</v>
      </c>
      <c r="Y14" s="36">
        <f t="shared" si="29"/>
        <v>50175.61290322581</v>
      </c>
      <c r="Z14" s="204">
        <f>'B5'!C13</f>
        <v>218</v>
      </c>
      <c r="AA14" s="204">
        <f t="shared" si="30"/>
        <v>2180</v>
      </c>
      <c r="AB14" s="204">
        <f t="shared" si="31"/>
        <v>218</v>
      </c>
      <c r="AC14" s="204">
        <f t="shared" si="30"/>
        <v>2180</v>
      </c>
      <c r="AD14" s="204">
        <f t="shared" si="32"/>
        <v>218</v>
      </c>
      <c r="AE14" s="204">
        <f t="shared" si="11"/>
        <v>2180</v>
      </c>
      <c r="AF14" s="204">
        <f t="shared" si="33"/>
        <v>218</v>
      </c>
      <c r="AG14" s="204">
        <f t="shared" si="12"/>
        <v>2180</v>
      </c>
      <c r="AH14" s="204">
        <f t="shared" si="34"/>
        <v>218</v>
      </c>
      <c r="AI14" s="204">
        <f t="shared" si="13"/>
        <v>2180</v>
      </c>
      <c r="AJ14" s="204">
        <f t="shared" si="35"/>
        <v>218</v>
      </c>
      <c r="AK14" s="204">
        <f t="shared" si="14"/>
        <v>2180</v>
      </c>
      <c r="AL14" s="204">
        <f t="shared" si="36"/>
        <v>218</v>
      </c>
      <c r="AM14" s="204">
        <f t="shared" si="15"/>
        <v>2180</v>
      </c>
      <c r="AN14" s="35">
        <f t="shared" si="16"/>
        <v>0.77857142857142858</v>
      </c>
      <c r="AO14" s="36">
        <f t="shared" si="17"/>
        <v>15260</v>
      </c>
      <c r="AQ14" s="224">
        <f t="shared" si="37"/>
        <v>0.70383578469641617</v>
      </c>
      <c r="AR14" s="38">
        <f t="shared" si="41"/>
        <v>65435.61290322581</v>
      </c>
      <c r="AS14" s="198">
        <f>SUM(AR14-AR13-AT14)</f>
        <v>-718.35483870967437</v>
      </c>
      <c r="AT14" s="273"/>
      <c r="AU14" s="484"/>
      <c r="AV14" s="525">
        <f t="shared" si="42"/>
        <v>0.61</v>
      </c>
      <c r="AW14" s="293">
        <f>-SUM('B5'!AI13)</f>
        <v>0</v>
      </c>
      <c r="AX14" s="293">
        <f t="shared" si="39"/>
        <v>-718.35483870967437</v>
      </c>
      <c r="AY14" s="37">
        <f t="shared" si="40"/>
        <v>-718.35483870967437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370.37552742670721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44206</v>
      </c>
      <c r="B15">
        <f>'B5'!B14</f>
        <v>209.3</v>
      </c>
      <c r="C15" s="204">
        <f t="shared" si="18"/>
        <v>4503.3258064516131</v>
      </c>
      <c r="D15">
        <f t="shared" si="19"/>
        <v>209.3</v>
      </c>
      <c r="E15" s="204">
        <f t="shared" si="18"/>
        <v>4503.3258064516131</v>
      </c>
      <c r="F15">
        <f t="shared" si="20"/>
        <v>209.3</v>
      </c>
      <c r="G15" s="204">
        <f t="shared" si="1"/>
        <v>4503.3258064516131</v>
      </c>
      <c r="H15" s="204">
        <f t="shared" si="21"/>
        <v>209.3</v>
      </c>
      <c r="I15" s="204">
        <f t="shared" si="2"/>
        <v>4503.3258064516131</v>
      </c>
      <c r="J15" s="204">
        <f t="shared" si="22"/>
        <v>209.3</v>
      </c>
      <c r="K15" s="204">
        <f t="shared" si="3"/>
        <v>4503.3258064516131</v>
      </c>
      <c r="L15" s="204">
        <f t="shared" si="23"/>
        <v>209.3</v>
      </c>
      <c r="M15" s="204">
        <f t="shared" si="4"/>
        <v>4503.3258064516131</v>
      </c>
      <c r="N15" s="204">
        <f t="shared" si="24"/>
        <v>209.3</v>
      </c>
      <c r="O15" s="204">
        <f t="shared" si="5"/>
        <v>4503.3258064516131</v>
      </c>
      <c r="P15" s="204">
        <f t="shared" si="25"/>
        <v>209.3</v>
      </c>
      <c r="Q15" s="204">
        <f t="shared" si="6"/>
        <v>4503.3258064516131</v>
      </c>
      <c r="R15" s="204">
        <f t="shared" si="26"/>
        <v>209.3</v>
      </c>
      <c r="S15" s="204">
        <f t="shared" si="7"/>
        <v>4503.3258064516131</v>
      </c>
      <c r="T15" s="204">
        <f t="shared" si="27"/>
        <v>209.3</v>
      </c>
      <c r="U15" s="204">
        <f t="shared" si="8"/>
        <v>4503.3258064516131</v>
      </c>
      <c r="V15" s="204">
        <f t="shared" si="28"/>
        <v>209.3</v>
      </c>
      <c r="W15" s="204">
        <f t="shared" si="9"/>
        <v>4503.3258064516131</v>
      </c>
      <c r="X15" s="35">
        <f t="shared" si="10"/>
        <v>0.67516129032258065</v>
      </c>
      <c r="Y15" s="36">
        <f t="shared" si="29"/>
        <v>49536.583870967741</v>
      </c>
      <c r="Z15" s="204">
        <f>'B5'!C14</f>
        <v>216</v>
      </c>
      <c r="AA15" s="204">
        <f t="shared" si="30"/>
        <v>2160</v>
      </c>
      <c r="AB15" s="204">
        <f t="shared" si="31"/>
        <v>216</v>
      </c>
      <c r="AC15" s="204">
        <f t="shared" si="30"/>
        <v>2160</v>
      </c>
      <c r="AD15" s="204">
        <f t="shared" si="32"/>
        <v>216</v>
      </c>
      <c r="AE15" s="204">
        <f t="shared" si="11"/>
        <v>2160</v>
      </c>
      <c r="AF15" s="204">
        <f t="shared" si="33"/>
        <v>216</v>
      </c>
      <c r="AG15" s="204">
        <f t="shared" si="12"/>
        <v>2160</v>
      </c>
      <c r="AH15" s="204">
        <f t="shared" si="34"/>
        <v>216</v>
      </c>
      <c r="AI15" s="204">
        <f t="shared" si="13"/>
        <v>2160</v>
      </c>
      <c r="AJ15" s="204">
        <f t="shared" si="35"/>
        <v>216</v>
      </c>
      <c r="AK15" s="204">
        <f t="shared" si="14"/>
        <v>2160</v>
      </c>
      <c r="AL15" s="204">
        <f t="shared" si="36"/>
        <v>216</v>
      </c>
      <c r="AM15" s="204">
        <f t="shared" si="15"/>
        <v>2160</v>
      </c>
      <c r="AN15" s="35">
        <f t="shared" si="16"/>
        <v>0.77142857142857146</v>
      </c>
      <c r="AO15" s="36">
        <f t="shared" si="17"/>
        <v>15120</v>
      </c>
      <c r="AQ15" s="224">
        <f t="shared" si="37"/>
        <v>0.69545642541645414</v>
      </c>
      <c r="AR15" s="38">
        <f t="shared" si="41"/>
        <v>64656.583870967741</v>
      </c>
      <c r="AS15" s="198">
        <f>SUM(AR15-AR14-AT15)</f>
        <v>-779.02903225806949</v>
      </c>
      <c r="AT15" s="273"/>
      <c r="AU15" s="442"/>
      <c r="AV15" s="525">
        <f>IF(AT15&gt;0,AU15,AV14)</f>
        <v>0.61</v>
      </c>
      <c r="AW15" s="293">
        <f>-SUM('B5'!AI14)</f>
        <v>-161</v>
      </c>
      <c r="AX15" s="293">
        <f>-SUM(AW15-AS15)</f>
        <v>-618.02903225806949</v>
      </c>
      <c r="AY15" s="37">
        <f t="shared" si="40"/>
        <v>-779.02903225806949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0.62</v>
      </c>
      <c r="BC15" s="3">
        <f t="shared" si="43"/>
        <v>0</v>
      </c>
      <c r="BD15" s="102">
        <v>19222</v>
      </c>
      <c r="BE15" s="14">
        <f>(305/1185)*ELEC!Q13</f>
        <v>523.5189873416823</v>
      </c>
      <c r="BF15" s="14"/>
      <c r="BG15" s="14" t="e">
        <f>#REF!-BE15</f>
        <v>#REF!</v>
      </c>
      <c r="BH15" s="11"/>
    </row>
    <row r="16" spans="1:61">
      <c r="A16" s="450">
        <f>ELEC!C13</f>
        <v>44207</v>
      </c>
      <c r="B16">
        <f>'B5'!B15</f>
        <v>207</v>
      </c>
      <c r="C16" s="204">
        <f t="shared" si="18"/>
        <v>4453.8387096774195</v>
      </c>
      <c r="D16">
        <f t="shared" si="19"/>
        <v>207</v>
      </c>
      <c r="E16" s="204">
        <f t="shared" si="18"/>
        <v>4453.8387096774195</v>
      </c>
      <c r="F16">
        <f t="shared" si="20"/>
        <v>207</v>
      </c>
      <c r="G16" s="204">
        <f t="shared" si="1"/>
        <v>4453.8387096774195</v>
      </c>
      <c r="H16" s="204">
        <f t="shared" si="21"/>
        <v>207</v>
      </c>
      <c r="I16" s="204">
        <f t="shared" si="2"/>
        <v>4453.8387096774195</v>
      </c>
      <c r="J16" s="204">
        <f t="shared" si="22"/>
        <v>207</v>
      </c>
      <c r="K16" s="204">
        <f t="shared" si="3"/>
        <v>4453.8387096774195</v>
      </c>
      <c r="L16" s="204">
        <f t="shared" si="23"/>
        <v>207</v>
      </c>
      <c r="M16" s="204">
        <f t="shared" si="4"/>
        <v>4453.8387096774195</v>
      </c>
      <c r="N16" s="204">
        <f t="shared" si="24"/>
        <v>207</v>
      </c>
      <c r="O16" s="204">
        <f t="shared" si="5"/>
        <v>4453.8387096774195</v>
      </c>
      <c r="P16" s="204">
        <f t="shared" si="25"/>
        <v>207</v>
      </c>
      <c r="Q16" s="204">
        <f t="shared" si="6"/>
        <v>4453.8387096774195</v>
      </c>
      <c r="R16" s="204">
        <f t="shared" si="26"/>
        <v>207</v>
      </c>
      <c r="S16" s="204">
        <f t="shared" si="7"/>
        <v>4453.8387096774195</v>
      </c>
      <c r="T16" s="204">
        <f t="shared" si="27"/>
        <v>207</v>
      </c>
      <c r="U16" s="204">
        <f t="shared" si="8"/>
        <v>4453.8387096774195</v>
      </c>
      <c r="V16" s="204">
        <f t="shared" si="28"/>
        <v>207</v>
      </c>
      <c r="W16" s="204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4">
        <f>'B5'!C15</f>
        <v>213</v>
      </c>
      <c r="AA16" s="204">
        <f t="shared" si="30"/>
        <v>2130</v>
      </c>
      <c r="AB16" s="204">
        <f t="shared" si="31"/>
        <v>213</v>
      </c>
      <c r="AC16" s="204">
        <f t="shared" si="30"/>
        <v>2130</v>
      </c>
      <c r="AD16" s="204">
        <f t="shared" si="32"/>
        <v>213</v>
      </c>
      <c r="AE16" s="204">
        <f t="shared" si="11"/>
        <v>2130</v>
      </c>
      <c r="AF16" s="204">
        <f t="shared" si="33"/>
        <v>213</v>
      </c>
      <c r="AG16" s="204">
        <f t="shared" si="12"/>
        <v>2130</v>
      </c>
      <c r="AH16" s="204">
        <f t="shared" si="34"/>
        <v>213</v>
      </c>
      <c r="AI16" s="204">
        <f t="shared" si="13"/>
        <v>2130</v>
      </c>
      <c r="AJ16" s="204">
        <f t="shared" si="35"/>
        <v>213</v>
      </c>
      <c r="AK16" s="204">
        <f t="shared" si="14"/>
        <v>2130</v>
      </c>
      <c r="AL16" s="204">
        <f t="shared" si="36"/>
        <v>213</v>
      </c>
      <c r="AM16" s="204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4">
        <f t="shared" si="37"/>
        <v>0.68734243096107994</v>
      </c>
      <c r="AR16" s="38">
        <f t="shared" si="41"/>
        <v>63902.225806451606</v>
      </c>
      <c r="AS16" s="198">
        <f>SUM(AR16-AR15-AT16)</f>
        <v>-754.35806451613462</v>
      </c>
      <c r="AT16" s="358"/>
      <c r="AU16" s="442"/>
      <c r="AV16" s="525">
        <f>IF(AT16&gt;0,AU16,AV15)</f>
        <v>0.61</v>
      </c>
      <c r="AW16" s="293">
        <f>-SUM('B5'!AI15)</f>
        <v>-231</v>
      </c>
      <c r="AX16" s="293">
        <f>-SUM(AW16-AS16)</f>
        <v>-523.35806451613462</v>
      </c>
      <c r="AY16" s="37">
        <f t="shared" si="40"/>
        <v>-754.35806451613462</v>
      </c>
      <c r="AZ16" s="100">
        <f>ELEC!A13</f>
        <v>0</v>
      </c>
      <c r="BA16" s="118">
        <f>'General information '!D16</f>
        <v>19</v>
      </c>
      <c r="BB16" s="397">
        <f>SUM('General information '!E16)</f>
        <v>0.65</v>
      </c>
      <c r="BC16" s="3">
        <f t="shared" si="43"/>
        <v>0</v>
      </c>
      <c r="BD16" s="102">
        <v>19222</v>
      </c>
      <c r="BE16" s="14">
        <f>(305/1185)*ELEC!Q14</f>
        <v>509.36286919814745</v>
      </c>
      <c r="BF16" s="14"/>
      <c r="BG16" s="14" t="e">
        <f>#REF!-BE16</f>
        <v>#REF!</v>
      </c>
      <c r="BH16" s="11"/>
    </row>
    <row r="17" spans="1:61">
      <c r="A17" s="450">
        <f>ELEC!C14</f>
        <v>44208</v>
      </c>
      <c r="B17">
        <f>'B5'!B16</f>
        <v>203</v>
      </c>
      <c r="C17" s="204">
        <f t="shared" si="18"/>
        <v>4367.7741935483873</v>
      </c>
      <c r="D17">
        <f t="shared" si="19"/>
        <v>203</v>
      </c>
      <c r="E17" s="204">
        <f t="shared" si="18"/>
        <v>4367.7741935483873</v>
      </c>
      <c r="F17">
        <f t="shared" si="20"/>
        <v>203</v>
      </c>
      <c r="G17" s="204">
        <f t="shared" si="1"/>
        <v>4367.7741935483873</v>
      </c>
      <c r="H17" s="204">
        <f t="shared" si="21"/>
        <v>203</v>
      </c>
      <c r="I17" s="204">
        <f t="shared" si="2"/>
        <v>4367.7741935483873</v>
      </c>
      <c r="J17" s="204">
        <f t="shared" si="22"/>
        <v>203</v>
      </c>
      <c r="K17" s="204">
        <f t="shared" si="3"/>
        <v>4367.7741935483873</v>
      </c>
      <c r="L17" s="204">
        <f t="shared" si="23"/>
        <v>203</v>
      </c>
      <c r="M17" s="204">
        <f t="shared" si="4"/>
        <v>4367.7741935483873</v>
      </c>
      <c r="N17" s="204">
        <f t="shared" si="24"/>
        <v>203</v>
      </c>
      <c r="O17" s="204">
        <f t="shared" si="5"/>
        <v>4367.7741935483873</v>
      </c>
      <c r="P17" s="204">
        <f t="shared" si="25"/>
        <v>203</v>
      </c>
      <c r="Q17" s="204">
        <f t="shared" si="6"/>
        <v>4367.7741935483873</v>
      </c>
      <c r="R17" s="204">
        <f t="shared" si="26"/>
        <v>203</v>
      </c>
      <c r="S17" s="204">
        <f t="shared" si="7"/>
        <v>4367.7741935483873</v>
      </c>
      <c r="T17" s="204">
        <f t="shared" si="27"/>
        <v>203</v>
      </c>
      <c r="U17" s="204">
        <f t="shared" si="8"/>
        <v>4367.7741935483873</v>
      </c>
      <c r="V17" s="204">
        <f t="shared" si="28"/>
        <v>203</v>
      </c>
      <c r="W17" s="204">
        <f t="shared" si="9"/>
        <v>4367.7741935483873</v>
      </c>
      <c r="X17" s="35">
        <f t="shared" si="10"/>
        <v>0.65483870967741931</v>
      </c>
      <c r="Y17" s="36">
        <f t="shared" si="29"/>
        <v>48045.516129032258</v>
      </c>
      <c r="Z17" s="204">
        <f>'B5'!C16</f>
        <v>209</v>
      </c>
      <c r="AA17" s="204">
        <f t="shared" si="30"/>
        <v>2090</v>
      </c>
      <c r="AB17" s="204">
        <f t="shared" si="31"/>
        <v>209</v>
      </c>
      <c r="AC17" s="204">
        <f t="shared" si="30"/>
        <v>2090</v>
      </c>
      <c r="AD17" s="204">
        <f t="shared" si="32"/>
        <v>209</v>
      </c>
      <c r="AE17" s="204">
        <f t="shared" si="11"/>
        <v>2090</v>
      </c>
      <c r="AF17" s="204">
        <f t="shared" si="33"/>
        <v>209</v>
      </c>
      <c r="AG17" s="204">
        <f t="shared" si="12"/>
        <v>2090</v>
      </c>
      <c r="AH17" s="204">
        <f t="shared" si="34"/>
        <v>209</v>
      </c>
      <c r="AI17" s="204">
        <f t="shared" si="13"/>
        <v>2090</v>
      </c>
      <c r="AJ17" s="204">
        <f t="shared" si="35"/>
        <v>209</v>
      </c>
      <c r="AK17" s="204">
        <f t="shared" si="14"/>
        <v>2090</v>
      </c>
      <c r="AL17" s="204">
        <f t="shared" si="36"/>
        <v>209</v>
      </c>
      <c r="AM17" s="204">
        <f t="shared" si="15"/>
        <v>2090</v>
      </c>
      <c r="AN17" s="35">
        <f t="shared" si="16"/>
        <v>0.74642857142857144</v>
      </c>
      <c r="AO17" s="36">
        <f>SUM(AA17+AC17+AE17+AG17+AI17+AK17+AM17)</f>
        <v>14630</v>
      </c>
      <c r="AQ17" s="224">
        <f t="shared" si="37"/>
        <v>0.67414774797281118</v>
      </c>
      <c r="AR17" s="38">
        <f t="shared" si="41"/>
        <v>62675.516129032258</v>
      </c>
      <c r="AS17" s="198">
        <f t="shared" si="38"/>
        <v>-1226.7096774193487</v>
      </c>
      <c r="AT17" s="358"/>
      <c r="AU17" s="484"/>
      <c r="AV17" s="525">
        <f t="shared" si="42"/>
        <v>0.61</v>
      </c>
      <c r="AW17" s="293">
        <f>-SUM('B5'!AI16)</f>
        <v>-496</v>
      </c>
      <c r="AX17" s="293">
        <f t="shared" si="39"/>
        <v>-730.70967741934874</v>
      </c>
      <c r="AY17" s="37">
        <f t="shared" si="40"/>
        <v>-1226.7096774193487</v>
      </c>
      <c r="AZ17" s="100">
        <f>ELEC!A14</f>
        <v>0</v>
      </c>
      <c r="BA17" s="118">
        <f>'General information '!D17</f>
        <v>18.5</v>
      </c>
      <c r="BB17" s="397">
        <f>SUM('General information '!E17)</f>
        <v>0.46</v>
      </c>
      <c r="BC17" s="3">
        <f t="shared" si="43"/>
        <v>0</v>
      </c>
      <c r="BD17" s="102">
        <v>19222</v>
      </c>
      <c r="BE17" s="14">
        <f>(305/1185)*ELEC!Q15</f>
        <v>397.14345991505752</v>
      </c>
      <c r="BF17" s="14"/>
      <c r="BG17" s="14" t="e">
        <f>#REF!-BE17</f>
        <v>#REF!</v>
      </c>
      <c r="BH17" s="11"/>
    </row>
    <row r="18" spans="1:61">
      <c r="A18" s="450">
        <f>ELEC!C15</f>
        <v>44209</v>
      </c>
      <c r="B18">
        <f>'B5'!B17</f>
        <v>254</v>
      </c>
      <c r="C18" s="204">
        <f t="shared" si="18"/>
        <v>5465.0967741935483</v>
      </c>
      <c r="D18">
        <f t="shared" si="19"/>
        <v>254</v>
      </c>
      <c r="E18" s="204">
        <f t="shared" si="18"/>
        <v>5465.0967741935483</v>
      </c>
      <c r="F18">
        <f t="shared" si="20"/>
        <v>254</v>
      </c>
      <c r="G18" s="204">
        <f t="shared" si="1"/>
        <v>5465.0967741935483</v>
      </c>
      <c r="H18" s="204">
        <f t="shared" si="21"/>
        <v>254</v>
      </c>
      <c r="I18" s="204">
        <f t="shared" si="2"/>
        <v>5465.0967741935483</v>
      </c>
      <c r="J18" s="204">
        <f t="shared" si="22"/>
        <v>254</v>
      </c>
      <c r="K18" s="204">
        <f t="shared" si="3"/>
        <v>5465.0967741935483</v>
      </c>
      <c r="L18" s="204">
        <f t="shared" si="23"/>
        <v>254</v>
      </c>
      <c r="M18" s="204">
        <f t="shared" si="4"/>
        <v>5465.0967741935483</v>
      </c>
      <c r="N18" s="204">
        <f t="shared" si="24"/>
        <v>254</v>
      </c>
      <c r="O18" s="204">
        <f t="shared" si="5"/>
        <v>5465.0967741935483</v>
      </c>
      <c r="P18" s="204">
        <f t="shared" si="25"/>
        <v>254</v>
      </c>
      <c r="Q18" s="204">
        <f t="shared" si="6"/>
        <v>5465.0967741935483</v>
      </c>
      <c r="R18" s="204">
        <f t="shared" si="26"/>
        <v>254</v>
      </c>
      <c r="S18" s="204">
        <f t="shared" si="7"/>
        <v>5465.0967741935483</v>
      </c>
      <c r="T18" s="204">
        <f t="shared" si="27"/>
        <v>254</v>
      </c>
      <c r="U18" s="204">
        <f t="shared" si="8"/>
        <v>5465.0967741935483</v>
      </c>
      <c r="V18" s="204">
        <f t="shared" si="28"/>
        <v>254</v>
      </c>
      <c r="W18" s="204">
        <f t="shared" si="9"/>
        <v>5465.0967741935483</v>
      </c>
      <c r="X18" s="35">
        <f t="shared" si="10"/>
        <v>0.81935483870967718</v>
      </c>
      <c r="Y18" s="36">
        <f t="shared" si="29"/>
        <v>60116.064516129016</v>
      </c>
      <c r="Z18" s="204">
        <f>'B5'!C17</f>
        <v>261</v>
      </c>
      <c r="AA18" s="204">
        <f t="shared" si="30"/>
        <v>2610</v>
      </c>
      <c r="AB18" s="204">
        <f t="shared" si="31"/>
        <v>261</v>
      </c>
      <c r="AC18" s="204">
        <f t="shared" si="30"/>
        <v>2610</v>
      </c>
      <c r="AD18" s="204">
        <f t="shared" si="32"/>
        <v>261</v>
      </c>
      <c r="AE18" s="204">
        <f t="shared" si="11"/>
        <v>2610</v>
      </c>
      <c r="AF18" s="204">
        <f t="shared" si="33"/>
        <v>261</v>
      </c>
      <c r="AG18" s="204">
        <f t="shared" si="12"/>
        <v>2610</v>
      </c>
      <c r="AH18" s="204">
        <f t="shared" si="34"/>
        <v>261</v>
      </c>
      <c r="AI18" s="204">
        <f t="shared" si="13"/>
        <v>2610</v>
      </c>
      <c r="AJ18" s="204">
        <f t="shared" si="35"/>
        <v>261</v>
      </c>
      <c r="AK18" s="204">
        <f t="shared" si="14"/>
        <v>2610</v>
      </c>
      <c r="AL18" s="204">
        <f t="shared" si="36"/>
        <v>261</v>
      </c>
      <c r="AM18" s="204">
        <f t="shared" si="15"/>
        <v>2610</v>
      </c>
      <c r="AN18" s="35">
        <f t="shared" si="16"/>
        <v>0.93214285714285716</v>
      </c>
      <c r="AO18" s="36">
        <f t="shared" si="17"/>
        <v>18270</v>
      </c>
      <c r="AQ18" s="224">
        <f t="shared" si="37"/>
        <v>0.84313288712626666</v>
      </c>
      <c r="AR18" s="38">
        <f t="shared" si="41"/>
        <v>78386.064516129016</v>
      </c>
      <c r="AS18" s="198">
        <f t="shared" si="38"/>
        <v>1438.5483870967582</v>
      </c>
      <c r="AT18" s="273">
        <v>14272</v>
      </c>
      <c r="AU18" s="442">
        <v>0.64</v>
      </c>
      <c r="AV18" s="525">
        <f>IF(AT18&gt;0,AU18,AV17)</f>
        <v>0.64</v>
      </c>
      <c r="AW18" s="293">
        <f>-SUM('B5'!AI17)</f>
        <v>-325</v>
      </c>
      <c r="AX18" s="293">
        <f t="shared" si="39"/>
        <v>1763.5483870967582</v>
      </c>
      <c r="AY18" s="37">
        <f t="shared" si="40"/>
        <v>1438.5483870967582</v>
      </c>
      <c r="AZ18" s="100">
        <f>ELEC!A15</f>
        <v>0</v>
      </c>
      <c r="BA18" s="118">
        <f>'General information '!D18</f>
        <v>15</v>
      </c>
      <c r="BB18" s="397">
        <f>SUM('General information '!E18)</f>
        <v>0.5</v>
      </c>
      <c r="BC18" s="3">
        <f t="shared" si="43"/>
        <v>1</v>
      </c>
      <c r="BD18" s="102">
        <v>19222</v>
      </c>
      <c r="BE18" s="14">
        <f>(305/1185)*ELEC!Q16</f>
        <v>463.80590717384979</v>
      </c>
      <c r="BF18" s="14"/>
      <c r="BG18" s="14" t="e">
        <f>#REF!-BE18</f>
        <v>#REF!</v>
      </c>
      <c r="BH18" s="11"/>
    </row>
    <row r="19" spans="1:61">
      <c r="A19" s="450">
        <f>ELEC!C16</f>
        <v>44210</v>
      </c>
      <c r="B19">
        <f>'B5'!B18</f>
        <v>253</v>
      </c>
      <c r="C19" s="204">
        <f t="shared" si="18"/>
        <v>5443.5806451612898</v>
      </c>
      <c r="D19">
        <f t="shared" si="19"/>
        <v>253</v>
      </c>
      <c r="E19" s="204">
        <f t="shared" si="18"/>
        <v>5443.5806451612898</v>
      </c>
      <c r="F19">
        <f t="shared" si="20"/>
        <v>253</v>
      </c>
      <c r="G19" s="204">
        <f t="shared" si="1"/>
        <v>5443.5806451612898</v>
      </c>
      <c r="H19" s="204">
        <f t="shared" si="21"/>
        <v>253</v>
      </c>
      <c r="I19" s="204">
        <f t="shared" si="2"/>
        <v>5443.5806451612898</v>
      </c>
      <c r="J19" s="204">
        <f t="shared" si="22"/>
        <v>253</v>
      </c>
      <c r="K19" s="204">
        <f t="shared" si="3"/>
        <v>5443.5806451612898</v>
      </c>
      <c r="L19" s="204">
        <f t="shared" si="23"/>
        <v>253</v>
      </c>
      <c r="M19" s="204">
        <f t="shared" si="4"/>
        <v>5443.5806451612898</v>
      </c>
      <c r="N19" s="204">
        <f t="shared" si="24"/>
        <v>253</v>
      </c>
      <c r="O19" s="204">
        <f t="shared" si="5"/>
        <v>5443.5806451612898</v>
      </c>
      <c r="P19" s="204">
        <f t="shared" si="25"/>
        <v>253</v>
      </c>
      <c r="Q19" s="204">
        <f t="shared" si="6"/>
        <v>5443.5806451612898</v>
      </c>
      <c r="R19" s="204">
        <f t="shared" si="26"/>
        <v>253</v>
      </c>
      <c r="S19" s="204">
        <f t="shared" si="7"/>
        <v>5443.5806451612898</v>
      </c>
      <c r="T19" s="204">
        <f t="shared" si="27"/>
        <v>253</v>
      </c>
      <c r="U19" s="204">
        <f t="shared" si="8"/>
        <v>5443.5806451612898</v>
      </c>
      <c r="V19" s="204">
        <f t="shared" si="28"/>
        <v>253</v>
      </c>
      <c r="W19" s="204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4">
        <f>'B5'!C18</f>
        <v>259</v>
      </c>
      <c r="AA19" s="204">
        <f t="shared" si="30"/>
        <v>2590</v>
      </c>
      <c r="AB19" s="204">
        <f t="shared" si="31"/>
        <v>259</v>
      </c>
      <c r="AC19" s="204">
        <f t="shared" si="30"/>
        <v>2590</v>
      </c>
      <c r="AD19" s="204">
        <f t="shared" si="32"/>
        <v>259</v>
      </c>
      <c r="AE19" s="204">
        <f t="shared" si="11"/>
        <v>2590</v>
      </c>
      <c r="AF19" s="204">
        <f t="shared" si="33"/>
        <v>259</v>
      </c>
      <c r="AG19" s="204">
        <f t="shared" si="12"/>
        <v>2590</v>
      </c>
      <c r="AH19" s="204">
        <f t="shared" si="34"/>
        <v>259</v>
      </c>
      <c r="AI19" s="204">
        <f t="shared" si="13"/>
        <v>2590</v>
      </c>
      <c r="AJ19" s="204">
        <f t="shared" si="35"/>
        <v>259</v>
      </c>
      <c r="AK19" s="204">
        <f t="shared" si="14"/>
        <v>2590</v>
      </c>
      <c r="AL19" s="204">
        <f t="shared" si="36"/>
        <v>259</v>
      </c>
      <c r="AM19" s="204">
        <f t="shared" si="15"/>
        <v>2590</v>
      </c>
      <c r="AN19" s="35">
        <f t="shared" si="16"/>
        <v>0.92500000000000004</v>
      </c>
      <c r="AO19" s="36">
        <f t="shared" si="17"/>
        <v>18130</v>
      </c>
      <c r="AQ19" s="224">
        <f t="shared" si="37"/>
        <v>0.83908128532617166</v>
      </c>
      <c r="AR19" s="38">
        <f t="shared" si="41"/>
        <v>78009.387096774182</v>
      </c>
      <c r="AS19" s="198">
        <f t="shared" si="38"/>
        <v>-376.67741935483355</v>
      </c>
      <c r="AT19" s="273"/>
      <c r="AU19" s="442"/>
      <c r="AV19" s="525">
        <f t="shared" si="42"/>
        <v>0.64</v>
      </c>
      <c r="AW19" s="293">
        <f>-SUM('B5'!AI18)</f>
        <v>-168</v>
      </c>
      <c r="AX19" s="293">
        <f t="shared" si="39"/>
        <v>-208.67741935483355</v>
      </c>
      <c r="AY19" s="37">
        <f t="shared" si="40"/>
        <v>-376.67741935483355</v>
      </c>
      <c r="AZ19" s="100">
        <f>ELEC!A16</f>
        <v>0</v>
      </c>
      <c r="BA19" s="118">
        <f>'General information '!D19</f>
        <v>14.5</v>
      </c>
      <c r="BB19" s="397">
        <f>SUM('General information '!E19)</f>
        <v>0.55000000000000004</v>
      </c>
      <c r="BC19" s="3">
        <f t="shared" si="43"/>
        <v>0</v>
      </c>
      <c r="BD19" s="102">
        <v>19222</v>
      </c>
      <c r="BE19" s="14">
        <f>(305/1185)*ELEC!Q17</f>
        <v>523.5189873416823</v>
      </c>
      <c r="BF19" s="14"/>
      <c r="BG19" s="14" t="e">
        <f>#REF!-BE19</f>
        <v>#REF!</v>
      </c>
      <c r="BH19" s="11"/>
    </row>
    <row r="20" spans="1:61">
      <c r="A20" s="450">
        <f>ELEC!C17</f>
        <v>44211</v>
      </c>
      <c r="B20">
        <f>'B5'!B19</f>
        <v>250</v>
      </c>
      <c r="C20" s="204">
        <f t="shared" si="18"/>
        <v>5379.0322580645161</v>
      </c>
      <c r="D20">
        <f t="shared" si="19"/>
        <v>250</v>
      </c>
      <c r="E20" s="204">
        <f t="shared" si="18"/>
        <v>5379.0322580645161</v>
      </c>
      <c r="F20">
        <f t="shared" si="20"/>
        <v>250</v>
      </c>
      <c r="G20" s="204">
        <f t="shared" si="1"/>
        <v>5379.0322580645161</v>
      </c>
      <c r="H20" s="204">
        <f t="shared" si="21"/>
        <v>250</v>
      </c>
      <c r="I20" s="204">
        <f t="shared" si="2"/>
        <v>5379.0322580645161</v>
      </c>
      <c r="J20" s="204">
        <f t="shared" si="22"/>
        <v>250</v>
      </c>
      <c r="K20" s="204">
        <f t="shared" si="3"/>
        <v>5379.0322580645161</v>
      </c>
      <c r="L20" s="204">
        <f t="shared" si="23"/>
        <v>250</v>
      </c>
      <c r="M20" s="204">
        <f t="shared" si="4"/>
        <v>5379.0322580645161</v>
      </c>
      <c r="N20" s="204">
        <f t="shared" si="24"/>
        <v>250</v>
      </c>
      <c r="O20" s="204">
        <f t="shared" si="5"/>
        <v>5379.0322580645161</v>
      </c>
      <c r="P20" s="204">
        <f t="shared" si="25"/>
        <v>250</v>
      </c>
      <c r="Q20" s="204">
        <f t="shared" si="6"/>
        <v>5379.0322580645161</v>
      </c>
      <c r="R20" s="204">
        <f t="shared" si="26"/>
        <v>250</v>
      </c>
      <c r="S20" s="204">
        <f t="shared" si="7"/>
        <v>5379.0322580645161</v>
      </c>
      <c r="T20" s="204">
        <f t="shared" si="27"/>
        <v>250</v>
      </c>
      <c r="U20" s="204">
        <f t="shared" si="8"/>
        <v>5379.0322580645161</v>
      </c>
      <c r="V20" s="204">
        <f t="shared" si="28"/>
        <v>250</v>
      </c>
      <c r="W20" s="204">
        <f t="shared" si="9"/>
        <v>5379.0322580645161</v>
      </c>
      <c r="X20" s="35">
        <f t="shared" si="10"/>
        <v>0.80645161290322576</v>
      </c>
      <c r="Y20" s="36">
        <f t="shared" si="29"/>
        <v>59169.354838709674</v>
      </c>
      <c r="Z20" s="204">
        <f>'B5'!C19</f>
        <v>256</v>
      </c>
      <c r="AA20" s="204">
        <f t="shared" si="30"/>
        <v>2560</v>
      </c>
      <c r="AB20" s="204">
        <f t="shared" si="31"/>
        <v>256</v>
      </c>
      <c r="AC20" s="204">
        <f t="shared" si="30"/>
        <v>2560</v>
      </c>
      <c r="AD20" s="204">
        <f t="shared" si="32"/>
        <v>256</v>
      </c>
      <c r="AE20" s="204">
        <f t="shared" si="11"/>
        <v>2560</v>
      </c>
      <c r="AF20" s="204">
        <f t="shared" si="33"/>
        <v>256</v>
      </c>
      <c r="AG20" s="204">
        <f t="shared" si="12"/>
        <v>2560</v>
      </c>
      <c r="AH20" s="204">
        <f t="shared" si="34"/>
        <v>256</v>
      </c>
      <c r="AI20" s="204">
        <f t="shared" si="13"/>
        <v>2560</v>
      </c>
      <c r="AJ20" s="204">
        <f t="shared" si="35"/>
        <v>256</v>
      </c>
      <c r="AK20" s="204">
        <f t="shared" si="14"/>
        <v>2560</v>
      </c>
      <c r="AL20" s="204">
        <f t="shared" si="36"/>
        <v>256</v>
      </c>
      <c r="AM20" s="204">
        <f t="shared" si="15"/>
        <v>2560</v>
      </c>
      <c r="AN20" s="35">
        <f t="shared" si="16"/>
        <v>0.91428571428571426</v>
      </c>
      <c r="AO20" s="36">
        <f t="shared" si="17"/>
        <v>17920</v>
      </c>
      <c r="AQ20" s="224">
        <f t="shared" si="37"/>
        <v>0.82918527308497003</v>
      </c>
      <c r="AR20" s="38">
        <f t="shared" si="41"/>
        <v>77089.354838709667</v>
      </c>
      <c r="AS20" s="198">
        <f t="shared" si="38"/>
        <v>-920.03225806451519</v>
      </c>
      <c r="AT20" s="273"/>
      <c r="AU20" s="442"/>
      <c r="AV20" s="525">
        <f t="shared" si="42"/>
        <v>0.64</v>
      </c>
      <c r="AW20" s="293">
        <f>-SUM('B5'!AI19)</f>
        <v>-192</v>
      </c>
      <c r="AX20" s="293">
        <f t="shared" si="39"/>
        <v>-728.03225806451519</v>
      </c>
      <c r="AY20" s="37">
        <f t="shared" si="40"/>
        <v>-920.03225806451519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0.55000000000000004</v>
      </c>
      <c r="BC20" s="3">
        <f t="shared" si="43"/>
        <v>0</v>
      </c>
      <c r="BD20" s="102">
        <v>19222</v>
      </c>
      <c r="BE20" s="14">
        <f>(305/1185)*ELEC!Q18</f>
        <v>806.64135021050606</v>
      </c>
      <c r="BF20" s="14"/>
      <c r="BG20" s="14" t="e">
        <f>#REF!-BE20</f>
        <v>#REF!</v>
      </c>
      <c r="BH20" s="11"/>
    </row>
    <row r="21" spans="1:61">
      <c r="A21" s="450">
        <f>ELEC!C18</f>
        <v>44212</v>
      </c>
      <c r="B21">
        <f>'B5'!B20</f>
        <v>249</v>
      </c>
      <c r="C21" s="204">
        <f t="shared" si="18"/>
        <v>5357.5161290322576</v>
      </c>
      <c r="D21">
        <f t="shared" si="19"/>
        <v>249</v>
      </c>
      <c r="E21" s="204">
        <f t="shared" si="18"/>
        <v>5357.5161290322576</v>
      </c>
      <c r="F21">
        <f t="shared" si="20"/>
        <v>249</v>
      </c>
      <c r="G21" s="204">
        <f t="shared" si="1"/>
        <v>5357.5161290322576</v>
      </c>
      <c r="H21" s="204">
        <f t="shared" si="21"/>
        <v>249</v>
      </c>
      <c r="I21" s="204">
        <f t="shared" si="2"/>
        <v>5357.5161290322576</v>
      </c>
      <c r="J21" s="204">
        <f t="shared" si="22"/>
        <v>249</v>
      </c>
      <c r="K21" s="204">
        <f t="shared" si="3"/>
        <v>5357.5161290322576</v>
      </c>
      <c r="L21" s="204">
        <f t="shared" si="23"/>
        <v>249</v>
      </c>
      <c r="M21" s="204">
        <f t="shared" si="4"/>
        <v>5357.5161290322576</v>
      </c>
      <c r="N21" s="204">
        <f t="shared" si="24"/>
        <v>249</v>
      </c>
      <c r="O21" s="204">
        <f t="shared" si="5"/>
        <v>5357.5161290322576</v>
      </c>
      <c r="P21" s="204">
        <f t="shared" si="25"/>
        <v>249</v>
      </c>
      <c r="Q21" s="204">
        <f t="shared" si="6"/>
        <v>5357.5161290322576</v>
      </c>
      <c r="R21" s="204">
        <f t="shared" si="26"/>
        <v>249</v>
      </c>
      <c r="S21" s="204">
        <f t="shared" si="7"/>
        <v>5357.5161290322576</v>
      </c>
      <c r="T21" s="204">
        <f t="shared" si="27"/>
        <v>249</v>
      </c>
      <c r="U21" s="204">
        <f t="shared" si="8"/>
        <v>5357.5161290322576</v>
      </c>
      <c r="V21" s="204">
        <f t="shared" si="28"/>
        <v>249</v>
      </c>
      <c r="W21" s="204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4">
        <f>'B5'!C20</f>
        <v>255</v>
      </c>
      <c r="AA21" s="204">
        <f t="shared" si="30"/>
        <v>2550</v>
      </c>
      <c r="AB21" s="204">
        <f t="shared" si="31"/>
        <v>255</v>
      </c>
      <c r="AC21" s="204">
        <f t="shared" si="30"/>
        <v>2550</v>
      </c>
      <c r="AD21" s="204">
        <f t="shared" si="32"/>
        <v>255</v>
      </c>
      <c r="AE21" s="204">
        <f t="shared" si="11"/>
        <v>2550</v>
      </c>
      <c r="AF21" s="204">
        <f t="shared" si="33"/>
        <v>255</v>
      </c>
      <c r="AG21" s="204">
        <f t="shared" si="12"/>
        <v>2550</v>
      </c>
      <c r="AH21" s="204">
        <f t="shared" si="34"/>
        <v>255</v>
      </c>
      <c r="AI21" s="204">
        <f t="shared" si="13"/>
        <v>2550</v>
      </c>
      <c r="AJ21" s="204">
        <f t="shared" si="35"/>
        <v>255</v>
      </c>
      <c r="AK21" s="204">
        <f t="shared" si="14"/>
        <v>2550</v>
      </c>
      <c r="AL21" s="204">
        <f t="shared" si="36"/>
        <v>255</v>
      </c>
      <c r="AM21" s="204">
        <f t="shared" si="15"/>
        <v>2550</v>
      </c>
      <c r="AN21" s="35">
        <f t="shared" si="16"/>
        <v>0.9107142857142857</v>
      </c>
      <c r="AO21" s="36">
        <f t="shared" si="17"/>
        <v>17850</v>
      </c>
      <c r="AQ21" s="224">
        <f t="shared" si="37"/>
        <v>0.8258866023379029</v>
      </c>
      <c r="AR21" s="38">
        <f t="shared" si="41"/>
        <v>76782.677419354834</v>
      </c>
      <c r="AS21" s="198">
        <f t="shared" si="38"/>
        <v>-306.67741935483355</v>
      </c>
      <c r="AT21" s="273"/>
      <c r="AU21" s="442"/>
      <c r="AV21" s="525">
        <f t="shared" si="42"/>
        <v>0.64</v>
      </c>
      <c r="AW21" s="293">
        <f>-SUM('B5'!AI20)</f>
        <v>-275</v>
      </c>
      <c r="AX21" s="293">
        <f t="shared" si="39"/>
        <v>-31.677419354833546</v>
      </c>
      <c r="AY21" s="37">
        <f t="shared" si="40"/>
        <v>-306.67741935483355</v>
      </c>
      <c r="AZ21" s="100">
        <f>ELEC!A18</f>
        <v>0</v>
      </c>
      <c r="BA21" s="118">
        <f>'General information '!D21</f>
        <v>12</v>
      </c>
      <c r="BB21" s="397">
        <f>SUM('General information '!E21)</f>
        <v>0.78</v>
      </c>
      <c r="BC21" s="3">
        <f t="shared" si="43"/>
        <v>0</v>
      </c>
      <c r="BD21" s="102">
        <v>19222</v>
      </c>
      <c r="BE21" s="14">
        <f>(305/1185)*ELEC!Q19</f>
        <v>247.60337552730633</v>
      </c>
      <c r="BF21" s="14"/>
      <c r="BG21" s="14" t="e">
        <f>#REF!-BE21</f>
        <v>#REF!</v>
      </c>
      <c r="BH21" s="11"/>
    </row>
    <row r="22" spans="1:61">
      <c r="A22" s="450">
        <f>ELEC!C19</f>
        <v>44213</v>
      </c>
      <c r="B22">
        <f>'B5'!B21</f>
        <v>243</v>
      </c>
      <c r="C22" s="204">
        <f t="shared" si="18"/>
        <v>5228.4193548387093</v>
      </c>
      <c r="D22">
        <f t="shared" si="19"/>
        <v>243</v>
      </c>
      <c r="E22" s="204">
        <f t="shared" si="18"/>
        <v>5228.4193548387093</v>
      </c>
      <c r="F22">
        <f t="shared" si="20"/>
        <v>243</v>
      </c>
      <c r="G22" s="204">
        <f t="shared" si="1"/>
        <v>5228.4193548387093</v>
      </c>
      <c r="H22" s="204">
        <f t="shared" si="21"/>
        <v>243</v>
      </c>
      <c r="I22" s="204">
        <f t="shared" si="2"/>
        <v>5228.4193548387093</v>
      </c>
      <c r="J22" s="204">
        <f t="shared" si="22"/>
        <v>243</v>
      </c>
      <c r="K22" s="204">
        <f t="shared" si="3"/>
        <v>5228.4193548387093</v>
      </c>
      <c r="L22" s="204">
        <f t="shared" si="23"/>
        <v>243</v>
      </c>
      <c r="M22" s="204">
        <f t="shared" si="4"/>
        <v>5228.4193548387093</v>
      </c>
      <c r="N22" s="204">
        <f t="shared" si="24"/>
        <v>243</v>
      </c>
      <c r="O22" s="204">
        <f t="shared" si="5"/>
        <v>5228.4193548387093</v>
      </c>
      <c r="P22" s="204">
        <f t="shared" si="25"/>
        <v>243</v>
      </c>
      <c r="Q22" s="204">
        <f t="shared" si="6"/>
        <v>5228.4193548387093</v>
      </c>
      <c r="R22" s="204">
        <f t="shared" si="26"/>
        <v>243</v>
      </c>
      <c r="S22" s="204">
        <f t="shared" si="7"/>
        <v>5228.4193548387093</v>
      </c>
      <c r="T22" s="204">
        <f t="shared" si="27"/>
        <v>243</v>
      </c>
      <c r="U22" s="204">
        <f t="shared" si="8"/>
        <v>5228.4193548387093</v>
      </c>
      <c r="V22" s="204">
        <f t="shared" si="28"/>
        <v>243</v>
      </c>
      <c r="W22" s="204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4">
        <f>'B5'!C21</f>
        <v>249</v>
      </c>
      <c r="AA22" s="204">
        <f t="shared" si="30"/>
        <v>2490</v>
      </c>
      <c r="AB22" s="204">
        <f t="shared" si="31"/>
        <v>249</v>
      </c>
      <c r="AC22" s="204">
        <f t="shared" si="30"/>
        <v>2490</v>
      </c>
      <c r="AD22" s="204">
        <f t="shared" si="32"/>
        <v>249</v>
      </c>
      <c r="AE22" s="204">
        <f t="shared" si="11"/>
        <v>2490</v>
      </c>
      <c r="AF22" s="204">
        <f t="shared" si="33"/>
        <v>249</v>
      </c>
      <c r="AG22" s="204">
        <f t="shared" si="12"/>
        <v>2490</v>
      </c>
      <c r="AH22" s="204">
        <f t="shared" si="34"/>
        <v>249</v>
      </c>
      <c r="AI22" s="204">
        <f t="shared" si="13"/>
        <v>2490</v>
      </c>
      <c r="AJ22" s="204">
        <f t="shared" si="35"/>
        <v>249</v>
      </c>
      <c r="AK22" s="204">
        <f t="shared" si="14"/>
        <v>2490</v>
      </c>
      <c r="AL22" s="204">
        <f t="shared" si="36"/>
        <v>249</v>
      </c>
      <c r="AM22" s="204">
        <f t="shared" si="15"/>
        <v>2490</v>
      </c>
      <c r="AN22" s="35">
        <f t="shared" si="16"/>
        <v>0.88928571428571423</v>
      </c>
      <c r="AO22" s="36">
        <f t="shared" si="17"/>
        <v>17430</v>
      </c>
      <c r="AQ22" s="224">
        <f t="shared" si="37"/>
        <v>0.80609457785549976</v>
      </c>
      <c r="AR22" s="38">
        <f t="shared" si="41"/>
        <v>74942.612903225818</v>
      </c>
      <c r="AS22" s="198">
        <f t="shared" si="38"/>
        <v>-1840.0645161290158</v>
      </c>
      <c r="AT22" s="273"/>
      <c r="AU22" s="442"/>
      <c r="AV22" s="525">
        <f t="shared" si="42"/>
        <v>0.64</v>
      </c>
      <c r="AW22" s="293">
        <f>-SUM('B5'!AI21)</f>
        <v>-238</v>
      </c>
      <c r="AX22" s="293">
        <f t="shared" si="39"/>
        <v>-1602.0645161290158</v>
      </c>
      <c r="AY22" s="37">
        <f t="shared" si="40"/>
        <v>-1840.0645161290158</v>
      </c>
      <c r="AZ22" s="100">
        <f>ELEC!A19</f>
        <v>0</v>
      </c>
      <c r="BA22" s="118">
        <f>'General information '!D22</f>
        <v>13.5</v>
      </c>
      <c r="BB22" s="397">
        <f>SUM('General information '!E22)</f>
        <v>0.53</v>
      </c>
      <c r="BC22" s="3">
        <f t="shared" si="43"/>
        <v>0</v>
      </c>
      <c r="BD22" s="102">
        <v>19222</v>
      </c>
      <c r="BE22" s="14">
        <f>(305/1185)*ELEC!Q20</f>
        <v>470.75527426200046</v>
      </c>
      <c r="BF22" s="14"/>
      <c r="BG22" s="14" t="e">
        <f>#REF!-BE22</f>
        <v>#REF!</v>
      </c>
      <c r="BH22" s="11"/>
    </row>
    <row r="23" spans="1:61">
      <c r="A23" s="450">
        <f>ELEC!C20</f>
        <v>44214</v>
      </c>
      <c r="B23">
        <f>'B5'!B22</f>
        <v>241</v>
      </c>
      <c r="C23" s="204">
        <f t="shared" si="18"/>
        <v>5185.3870967741932</v>
      </c>
      <c r="D23">
        <f t="shared" si="19"/>
        <v>241</v>
      </c>
      <c r="E23" s="204">
        <f t="shared" si="18"/>
        <v>5185.3870967741932</v>
      </c>
      <c r="F23">
        <f t="shared" si="20"/>
        <v>241</v>
      </c>
      <c r="G23" s="204">
        <f t="shared" si="1"/>
        <v>5185.3870967741932</v>
      </c>
      <c r="H23" s="204">
        <f t="shared" si="21"/>
        <v>241</v>
      </c>
      <c r="I23" s="204">
        <f t="shared" si="2"/>
        <v>5185.3870967741932</v>
      </c>
      <c r="J23" s="204">
        <f t="shared" si="22"/>
        <v>241</v>
      </c>
      <c r="K23" s="204">
        <f t="shared" si="3"/>
        <v>5185.3870967741932</v>
      </c>
      <c r="L23" s="204">
        <f t="shared" si="23"/>
        <v>241</v>
      </c>
      <c r="M23" s="204">
        <f t="shared" si="4"/>
        <v>5185.3870967741932</v>
      </c>
      <c r="N23" s="204">
        <f t="shared" si="24"/>
        <v>241</v>
      </c>
      <c r="O23" s="204">
        <f t="shared" si="5"/>
        <v>5185.3870967741932</v>
      </c>
      <c r="P23" s="204">
        <f t="shared" si="25"/>
        <v>241</v>
      </c>
      <c r="Q23" s="204">
        <f t="shared" si="6"/>
        <v>5185.3870967741932</v>
      </c>
      <c r="R23" s="204">
        <f t="shared" si="26"/>
        <v>241</v>
      </c>
      <c r="S23" s="204">
        <f t="shared" si="7"/>
        <v>5185.3870967741932</v>
      </c>
      <c r="T23" s="204">
        <f t="shared" si="27"/>
        <v>241</v>
      </c>
      <c r="U23" s="204">
        <f t="shared" si="8"/>
        <v>5185.3870967741932</v>
      </c>
      <c r="V23" s="204">
        <f t="shared" si="28"/>
        <v>241</v>
      </c>
      <c r="W23" s="204">
        <f t="shared" si="9"/>
        <v>5185.3870967741932</v>
      </c>
      <c r="X23" s="35">
        <f t="shared" si="10"/>
        <v>0.77741935483870972</v>
      </c>
      <c r="Y23" s="36">
        <f t="shared" si="29"/>
        <v>57039.258064516136</v>
      </c>
      <c r="Z23" s="204">
        <f>'B5'!C22</f>
        <v>247</v>
      </c>
      <c r="AA23" s="204">
        <f t="shared" si="30"/>
        <v>2470</v>
      </c>
      <c r="AB23" s="204">
        <f t="shared" si="31"/>
        <v>247</v>
      </c>
      <c r="AC23" s="204">
        <f t="shared" si="30"/>
        <v>2470</v>
      </c>
      <c r="AD23" s="204">
        <f t="shared" si="32"/>
        <v>247</v>
      </c>
      <c r="AE23" s="204">
        <f t="shared" si="11"/>
        <v>2470</v>
      </c>
      <c r="AF23" s="204">
        <f t="shared" si="33"/>
        <v>247</v>
      </c>
      <c r="AG23" s="204">
        <f t="shared" si="12"/>
        <v>2470</v>
      </c>
      <c r="AH23" s="204">
        <f t="shared" si="34"/>
        <v>247</v>
      </c>
      <c r="AI23" s="204">
        <f t="shared" si="13"/>
        <v>2470</v>
      </c>
      <c r="AJ23" s="204">
        <f t="shared" si="35"/>
        <v>247</v>
      </c>
      <c r="AK23" s="204">
        <f t="shared" si="14"/>
        <v>2470</v>
      </c>
      <c r="AL23" s="204">
        <f t="shared" si="36"/>
        <v>247</v>
      </c>
      <c r="AM23" s="204">
        <f t="shared" si="15"/>
        <v>2470</v>
      </c>
      <c r="AN23" s="35">
        <f t="shared" si="16"/>
        <v>0.88214285714285712</v>
      </c>
      <c r="AO23" s="36">
        <f t="shared" si="17"/>
        <v>17290</v>
      </c>
      <c r="AQ23" s="224">
        <f t="shared" si="37"/>
        <v>0.79949723636136538</v>
      </c>
      <c r="AR23" s="38">
        <f t="shared" si="41"/>
        <v>74329.258064516136</v>
      </c>
      <c r="AS23" s="198">
        <f t="shared" si="38"/>
        <v>-613.35483870968164</v>
      </c>
      <c r="AT23" s="273"/>
      <c r="AU23" s="442"/>
      <c r="AV23" s="525">
        <f t="shared" si="42"/>
        <v>0.64</v>
      </c>
      <c r="AW23" s="293">
        <f>-SUM('B5'!AI22)</f>
        <v>-260</v>
      </c>
      <c r="AX23" s="293">
        <f t="shared" si="39"/>
        <v>-353.35483870968164</v>
      </c>
      <c r="AY23" s="37">
        <f t="shared" si="40"/>
        <v>-613.35483870968164</v>
      </c>
      <c r="AZ23" s="100">
        <f>ELEC!A20</f>
        <v>0</v>
      </c>
      <c r="BA23" s="118">
        <f>'General information '!D23</f>
        <v>11</v>
      </c>
      <c r="BB23" s="397">
        <f>SUM('General information '!E23)</f>
        <v>0.78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44215</v>
      </c>
      <c r="B24">
        <f>'B5'!B23</f>
        <v>241</v>
      </c>
      <c r="C24" s="204">
        <f t="shared" si="18"/>
        <v>5185.3870967741932</v>
      </c>
      <c r="D24">
        <f t="shared" si="19"/>
        <v>241</v>
      </c>
      <c r="E24" s="204">
        <f t="shared" si="18"/>
        <v>5185.3870967741932</v>
      </c>
      <c r="F24">
        <f t="shared" si="20"/>
        <v>241</v>
      </c>
      <c r="G24" s="204">
        <f t="shared" si="1"/>
        <v>5185.3870967741932</v>
      </c>
      <c r="H24" s="204">
        <f t="shared" si="21"/>
        <v>241</v>
      </c>
      <c r="I24" s="204">
        <f t="shared" si="2"/>
        <v>5185.3870967741932</v>
      </c>
      <c r="J24" s="204">
        <f t="shared" si="22"/>
        <v>241</v>
      </c>
      <c r="K24" s="204">
        <f t="shared" si="3"/>
        <v>5185.3870967741932</v>
      </c>
      <c r="L24" s="204">
        <f t="shared" si="23"/>
        <v>241</v>
      </c>
      <c r="M24" s="204">
        <f t="shared" si="4"/>
        <v>5185.3870967741932</v>
      </c>
      <c r="N24" s="204">
        <f t="shared" si="24"/>
        <v>241</v>
      </c>
      <c r="O24" s="204">
        <f t="shared" si="5"/>
        <v>5185.3870967741932</v>
      </c>
      <c r="P24" s="204">
        <f t="shared" si="25"/>
        <v>241</v>
      </c>
      <c r="Q24" s="204">
        <f t="shared" si="6"/>
        <v>5185.3870967741932</v>
      </c>
      <c r="R24" s="204">
        <f t="shared" si="26"/>
        <v>241</v>
      </c>
      <c r="S24" s="204">
        <f t="shared" si="7"/>
        <v>5185.3870967741932</v>
      </c>
      <c r="T24" s="204">
        <f t="shared" si="27"/>
        <v>241</v>
      </c>
      <c r="U24" s="204">
        <f t="shared" si="8"/>
        <v>5185.3870967741932</v>
      </c>
      <c r="V24" s="204">
        <f t="shared" si="28"/>
        <v>241</v>
      </c>
      <c r="W24" s="204">
        <f t="shared" si="9"/>
        <v>5185.3870967741932</v>
      </c>
      <c r="X24" s="35">
        <f t="shared" si="10"/>
        <v>0.77741935483870972</v>
      </c>
      <c r="Y24" s="36">
        <f t="shared" si="29"/>
        <v>57039.258064516136</v>
      </c>
      <c r="Z24" s="204">
        <f>'B5'!C23</f>
        <v>247</v>
      </c>
      <c r="AA24" s="204">
        <f t="shared" si="30"/>
        <v>2470</v>
      </c>
      <c r="AB24" s="204">
        <f t="shared" si="31"/>
        <v>247</v>
      </c>
      <c r="AC24" s="204">
        <f t="shared" si="30"/>
        <v>2470</v>
      </c>
      <c r="AD24" s="204">
        <f t="shared" si="32"/>
        <v>247</v>
      </c>
      <c r="AE24" s="204">
        <f t="shared" si="11"/>
        <v>2470</v>
      </c>
      <c r="AF24" s="204">
        <f t="shared" si="33"/>
        <v>247</v>
      </c>
      <c r="AG24" s="204">
        <f t="shared" si="12"/>
        <v>2470</v>
      </c>
      <c r="AH24" s="204">
        <f t="shared" si="34"/>
        <v>247</v>
      </c>
      <c r="AI24" s="204">
        <f t="shared" si="13"/>
        <v>2470</v>
      </c>
      <c r="AJ24" s="204">
        <f t="shared" si="35"/>
        <v>247</v>
      </c>
      <c r="AK24" s="204">
        <f t="shared" si="14"/>
        <v>2470</v>
      </c>
      <c r="AL24" s="204">
        <f t="shared" si="36"/>
        <v>247</v>
      </c>
      <c r="AM24" s="204">
        <f t="shared" si="15"/>
        <v>2470</v>
      </c>
      <c r="AN24" s="35">
        <f t="shared" si="16"/>
        <v>0.88214285714285712</v>
      </c>
      <c r="AO24" s="36">
        <f t="shared" si="17"/>
        <v>17290</v>
      </c>
      <c r="AQ24" s="224">
        <f t="shared" si="37"/>
        <v>0.79949723636136538</v>
      </c>
      <c r="AR24" s="38">
        <f t="shared" si="41"/>
        <v>74329.258064516136</v>
      </c>
      <c r="AS24" s="198">
        <f t="shared" si="38"/>
        <v>0</v>
      </c>
      <c r="AT24" s="273"/>
      <c r="AU24" s="442"/>
      <c r="AV24" s="525">
        <f t="shared" si="42"/>
        <v>0.64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44216</v>
      </c>
      <c r="B25">
        <f>'B5'!B24</f>
        <v>241</v>
      </c>
      <c r="C25" s="204">
        <f t="shared" si="18"/>
        <v>5185.3870967741932</v>
      </c>
      <c r="D25">
        <f t="shared" si="19"/>
        <v>241</v>
      </c>
      <c r="E25" s="204">
        <f t="shared" si="18"/>
        <v>5185.3870967741932</v>
      </c>
      <c r="F25">
        <f t="shared" si="20"/>
        <v>241</v>
      </c>
      <c r="G25" s="204">
        <f t="shared" si="1"/>
        <v>5185.3870967741932</v>
      </c>
      <c r="H25" s="204">
        <f t="shared" si="21"/>
        <v>241</v>
      </c>
      <c r="I25" s="204">
        <f t="shared" si="2"/>
        <v>5185.3870967741932</v>
      </c>
      <c r="J25" s="204">
        <f t="shared" si="22"/>
        <v>241</v>
      </c>
      <c r="K25" s="204">
        <f t="shared" si="3"/>
        <v>5185.3870967741932</v>
      </c>
      <c r="L25" s="204">
        <f t="shared" si="23"/>
        <v>241</v>
      </c>
      <c r="M25" s="204">
        <f t="shared" si="4"/>
        <v>5185.3870967741932</v>
      </c>
      <c r="N25" s="204">
        <f t="shared" si="24"/>
        <v>241</v>
      </c>
      <c r="O25" s="204">
        <f t="shared" si="5"/>
        <v>5185.3870967741932</v>
      </c>
      <c r="P25" s="204">
        <f t="shared" si="25"/>
        <v>241</v>
      </c>
      <c r="Q25" s="204">
        <f t="shared" si="6"/>
        <v>5185.3870967741932</v>
      </c>
      <c r="R25" s="204">
        <f t="shared" si="26"/>
        <v>241</v>
      </c>
      <c r="S25" s="204">
        <f t="shared" si="7"/>
        <v>5185.3870967741932</v>
      </c>
      <c r="T25" s="204">
        <f t="shared" si="27"/>
        <v>241</v>
      </c>
      <c r="U25" s="204">
        <f t="shared" si="8"/>
        <v>5185.3870967741932</v>
      </c>
      <c r="V25" s="204">
        <f t="shared" si="28"/>
        <v>241</v>
      </c>
      <c r="W25" s="204">
        <f t="shared" si="9"/>
        <v>5185.3870967741932</v>
      </c>
      <c r="X25" s="35">
        <f t="shared" si="10"/>
        <v>0.77741935483870972</v>
      </c>
      <c r="Y25" s="36">
        <f t="shared" si="29"/>
        <v>57039.258064516136</v>
      </c>
      <c r="Z25" s="204">
        <f>'B5'!C24</f>
        <v>247</v>
      </c>
      <c r="AA25" s="204">
        <f t="shared" si="30"/>
        <v>2470</v>
      </c>
      <c r="AB25" s="204">
        <f t="shared" si="31"/>
        <v>247</v>
      </c>
      <c r="AC25" s="204">
        <f t="shared" si="30"/>
        <v>2470</v>
      </c>
      <c r="AD25" s="204">
        <f t="shared" si="32"/>
        <v>247</v>
      </c>
      <c r="AE25" s="204">
        <f t="shared" si="11"/>
        <v>2470</v>
      </c>
      <c r="AF25" s="204">
        <f t="shared" si="33"/>
        <v>247</v>
      </c>
      <c r="AG25" s="204">
        <f t="shared" si="12"/>
        <v>2470</v>
      </c>
      <c r="AH25" s="204">
        <f t="shared" si="34"/>
        <v>247</v>
      </c>
      <c r="AI25" s="204">
        <f t="shared" si="13"/>
        <v>2470</v>
      </c>
      <c r="AJ25" s="204">
        <f t="shared" si="35"/>
        <v>247</v>
      </c>
      <c r="AK25" s="204">
        <f t="shared" si="14"/>
        <v>2470</v>
      </c>
      <c r="AL25" s="204">
        <f t="shared" si="36"/>
        <v>247</v>
      </c>
      <c r="AM25" s="204">
        <f t="shared" si="15"/>
        <v>2470</v>
      </c>
      <c r="AN25" s="35">
        <f t="shared" si="16"/>
        <v>0.88214285714285712</v>
      </c>
      <c r="AO25" s="36">
        <f t="shared" si="17"/>
        <v>17290</v>
      </c>
      <c r="AQ25" s="224">
        <f t="shared" si="37"/>
        <v>0.79949723636136538</v>
      </c>
      <c r="AR25" s="38">
        <f t="shared" si="41"/>
        <v>74329.258064516136</v>
      </c>
      <c r="AS25" s="198">
        <f t="shared" si="38"/>
        <v>0</v>
      </c>
      <c r="AT25" s="273"/>
      <c r="AU25" s="442"/>
      <c r="AV25" s="525">
        <f t="shared" si="42"/>
        <v>0.64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44217</v>
      </c>
      <c r="B26">
        <f>'B5'!B25</f>
        <v>241</v>
      </c>
      <c r="C26" s="204">
        <f t="shared" si="18"/>
        <v>5185.3870967741932</v>
      </c>
      <c r="D26">
        <f t="shared" si="19"/>
        <v>241</v>
      </c>
      <c r="E26" s="204">
        <f t="shared" si="18"/>
        <v>5185.3870967741932</v>
      </c>
      <c r="F26">
        <f t="shared" si="20"/>
        <v>241</v>
      </c>
      <c r="G26" s="204">
        <f t="shared" si="1"/>
        <v>5185.3870967741932</v>
      </c>
      <c r="H26" s="204">
        <f t="shared" si="21"/>
        <v>241</v>
      </c>
      <c r="I26" s="204">
        <f t="shared" si="2"/>
        <v>5185.3870967741932</v>
      </c>
      <c r="J26" s="204">
        <f t="shared" si="22"/>
        <v>241</v>
      </c>
      <c r="K26" s="204">
        <f t="shared" si="3"/>
        <v>5185.3870967741932</v>
      </c>
      <c r="L26" s="204">
        <f t="shared" si="23"/>
        <v>241</v>
      </c>
      <c r="M26" s="204">
        <f t="shared" si="4"/>
        <v>5185.3870967741932</v>
      </c>
      <c r="N26" s="204">
        <f t="shared" si="24"/>
        <v>241</v>
      </c>
      <c r="O26" s="204">
        <f t="shared" si="5"/>
        <v>5185.3870967741932</v>
      </c>
      <c r="P26" s="204">
        <f t="shared" si="25"/>
        <v>241</v>
      </c>
      <c r="Q26" s="204">
        <f t="shared" si="6"/>
        <v>5185.3870967741932</v>
      </c>
      <c r="R26" s="204">
        <f t="shared" si="26"/>
        <v>241</v>
      </c>
      <c r="S26" s="204">
        <f t="shared" si="7"/>
        <v>5185.3870967741932</v>
      </c>
      <c r="T26" s="204">
        <f t="shared" si="27"/>
        <v>241</v>
      </c>
      <c r="U26" s="204">
        <f t="shared" si="8"/>
        <v>5185.3870967741932</v>
      </c>
      <c r="V26" s="204">
        <f t="shared" si="28"/>
        <v>241</v>
      </c>
      <c r="W26" s="204">
        <f t="shared" si="9"/>
        <v>5185.3870967741932</v>
      </c>
      <c r="X26" s="35">
        <f t="shared" si="10"/>
        <v>0.77741935483870972</v>
      </c>
      <c r="Y26" s="36">
        <f t="shared" si="29"/>
        <v>57039.258064516136</v>
      </c>
      <c r="Z26" s="204">
        <f>'B5'!C25</f>
        <v>247</v>
      </c>
      <c r="AA26" s="204">
        <f t="shared" si="30"/>
        <v>2470</v>
      </c>
      <c r="AB26" s="204">
        <f t="shared" si="31"/>
        <v>247</v>
      </c>
      <c r="AC26" s="204">
        <f t="shared" si="30"/>
        <v>2470</v>
      </c>
      <c r="AD26" s="204">
        <f t="shared" si="32"/>
        <v>247</v>
      </c>
      <c r="AE26" s="204">
        <f t="shared" si="11"/>
        <v>2470</v>
      </c>
      <c r="AF26" s="204">
        <f t="shared" si="33"/>
        <v>247</v>
      </c>
      <c r="AG26" s="204">
        <f t="shared" si="12"/>
        <v>2470</v>
      </c>
      <c r="AH26" s="204">
        <f t="shared" si="34"/>
        <v>247</v>
      </c>
      <c r="AI26" s="204">
        <f t="shared" si="13"/>
        <v>2470</v>
      </c>
      <c r="AJ26" s="204">
        <f t="shared" si="35"/>
        <v>247</v>
      </c>
      <c r="AK26" s="204">
        <f t="shared" si="14"/>
        <v>2470</v>
      </c>
      <c r="AL26" s="204">
        <f t="shared" si="36"/>
        <v>247</v>
      </c>
      <c r="AM26" s="204">
        <f t="shared" si="15"/>
        <v>2470</v>
      </c>
      <c r="AN26" s="35">
        <f t="shared" si="16"/>
        <v>0.88214285714285712</v>
      </c>
      <c r="AO26" s="36">
        <f t="shared" si="17"/>
        <v>17290</v>
      </c>
      <c r="AQ26" s="224">
        <f t="shared" si="37"/>
        <v>0.79949723636136538</v>
      </c>
      <c r="AR26" s="38">
        <f t="shared" si="41"/>
        <v>74329.258064516136</v>
      </c>
      <c r="AS26" s="198">
        <f t="shared" si="38"/>
        <v>0</v>
      </c>
      <c r="AT26" s="273"/>
      <c r="AU26" s="498"/>
      <c r="AV26" s="525">
        <f t="shared" si="42"/>
        <v>0.64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44218</v>
      </c>
      <c r="B27">
        <f>'B5'!B26</f>
        <v>241</v>
      </c>
      <c r="C27" s="204">
        <f t="shared" si="18"/>
        <v>5185.3870967741932</v>
      </c>
      <c r="D27">
        <f t="shared" si="19"/>
        <v>241</v>
      </c>
      <c r="E27" s="204">
        <f t="shared" si="18"/>
        <v>5185.3870967741932</v>
      </c>
      <c r="F27">
        <f t="shared" si="20"/>
        <v>241</v>
      </c>
      <c r="G27" s="204">
        <f t="shared" si="1"/>
        <v>5185.3870967741932</v>
      </c>
      <c r="H27" s="204">
        <f t="shared" si="21"/>
        <v>241</v>
      </c>
      <c r="I27" s="204">
        <f t="shared" si="2"/>
        <v>5185.3870967741932</v>
      </c>
      <c r="J27" s="204">
        <f t="shared" si="22"/>
        <v>241</v>
      </c>
      <c r="K27" s="204">
        <f t="shared" si="3"/>
        <v>5185.3870967741932</v>
      </c>
      <c r="L27" s="204">
        <f t="shared" si="23"/>
        <v>241</v>
      </c>
      <c r="M27" s="204">
        <f t="shared" si="4"/>
        <v>5185.3870967741932</v>
      </c>
      <c r="N27" s="204">
        <f t="shared" si="24"/>
        <v>241</v>
      </c>
      <c r="O27" s="204">
        <f t="shared" si="5"/>
        <v>5185.3870967741932</v>
      </c>
      <c r="P27" s="204">
        <f t="shared" si="25"/>
        <v>241</v>
      </c>
      <c r="Q27" s="204">
        <f t="shared" si="6"/>
        <v>5185.3870967741932</v>
      </c>
      <c r="R27" s="204">
        <f t="shared" si="26"/>
        <v>241</v>
      </c>
      <c r="S27" s="204">
        <f t="shared" si="7"/>
        <v>5185.3870967741932</v>
      </c>
      <c r="T27" s="204">
        <f t="shared" si="27"/>
        <v>241</v>
      </c>
      <c r="U27" s="204">
        <f t="shared" si="8"/>
        <v>5185.3870967741932</v>
      </c>
      <c r="V27" s="204">
        <f t="shared" si="28"/>
        <v>241</v>
      </c>
      <c r="W27" s="204">
        <f t="shared" si="9"/>
        <v>5185.3870967741932</v>
      </c>
      <c r="X27" s="35">
        <f t="shared" si="10"/>
        <v>0.77741935483870972</v>
      </c>
      <c r="Y27" s="36">
        <f t="shared" si="29"/>
        <v>57039.258064516136</v>
      </c>
      <c r="Z27" s="204">
        <f>'B5'!C26</f>
        <v>247</v>
      </c>
      <c r="AA27" s="204">
        <f t="shared" si="30"/>
        <v>2470</v>
      </c>
      <c r="AB27" s="204">
        <f t="shared" si="31"/>
        <v>247</v>
      </c>
      <c r="AC27" s="204">
        <f t="shared" si="30"/>
        <v>2470</v>
      </c>
      <c r="AD27" s="204">
        <f t="shared" si="32"/>
        <v>247</v>
      </c>
      <c r="AE27" s="204">
        <f t="shared" si="11"/>
        <v>2470</v>
      </c>
      <c r="AF27" s="204">
        <f t="shared" si="33"/>
        <v>247</v>
      </c>
      <c r="AG27" s="204">
        <f t="shared" si="12"/>
        <v>2470</v>
      </c>
      <c r="AH27" s="204">
        <f t="shared" si="34"/>
        <v>247</v>
      </c>
      <c r="AI27" s="204">
        <f t="shared" si="13"/>
        <v>2470</v>
      </c>
      <c r="AJ27" s="204">
        <f t="shared" si="35"/>
        <v>247</v>
      </c>
      <c r="AK27" s="204">
        <f t="shared" si="14"/>
        <v>2470</v>
      </c>
      <c r="AL27" s="204">
        <f t="shared" si="36"/>
        <v>247</v>
      </c>
      <c r="AM27" s="204">
        <f t="shared" si="15"/>
        <v>2470</v>
      </c>
      <c r="AN27" s="35">
        <f t="shared" si="16"/>
        <v>0.88214285714285712</v>
      </c>
      <c r="AO27" s="36">
        <f t="shared" si="17"/>
        <v>17290</v>
      </c>
      <c r="AQ27" s="224">
        <f t="shared" si="37"/>
        <v>0.79949723636136538</v>
      </c>
      <c r="AR27" s="38">
        <f t="shared" si="41"/>
        <v>74329.258064516136</v>
      </c>
      <c r="AS27" s="198">
        <f t="shared" si="38"/>
        <v>0</v>
      </c>
      <c r="AT27" s="273"/>
      <c r="AU27" s="442"/>
      <c r="AV27" s="525">
        <f t="shared" si="42"/>
        <v>0.64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44219</v>
      </c>
      <c r="B28">
        <f>'B5'!B27</f>
        <v>241</v>
      </c>
      <c r="C28" s="204">
        <f t="shared" si="18"/>
        <v>5185.3870967741932</v>
      </c>
      <c r="D28">
        <f t="shared" si="19"/>
        <v>241</v>
      </c>
      <c r="E28" s="204">
        <f t="shared" si="18"/>
        <v>5185.3870967741932</v>
      </c>
      <c r="F28">
        <f t="shared" si="20"/>
        <v>241</v>
      </c>
      <c r="G28" s="204">
        <f t="shared" si="1"/>
        <v>5185.3870967741932</v>
      </c>
      <c r="H28" s="204">
        <f t="shared" si="21"/>
        <v>241</v>
      </c>
      <c r="I28" s="204">
        <f t="shared" si="2"/>
        <v>5185.3870967741932</v>
      </c>
      <c r="J28" s="204">
        <f t="shared" si="22"/>
        <v>241</v>
      </c>
      <c r="K28" s="204">
        <f t="shared" si="3"/>
        <v>5185.3870967741932</v>
      </c>
      <c r="L28" s="204">
        <f t="shared" si="23"/>
        <v>241</v>
      </c>
      <c r="M28" s="204">
        <f t="shared" si="4"/>
        <v>5185.3870967741932</v>
      </c>
      <c r="N28" s="204">
        <f t="shared" si="24"/>
        <v>241</v>
      </c>
      <c r="O28" s="204">
        <f t="shared" si="5"/>
        <v>5185.3870967741932</v>
      </c>
      <c r="P28" s="204">
        <f t="shared" si="25"/>
        <v>241</v>
      </c>
      <c r="Q28" s="204">
        <f t="shared" si="6"/>
        <v>5185.3870967741932</v>
      </c>
      <c r="R28" s="204">
        <f t="shared" si="26"/>
        <v>241</v>
      </c>
      <c r="S28" s="204">
        <f t="shared" si="7"/>
        <v>5185.3870967741932</v>
      </c>
      <c r="T28" s="204">
        <f t="shared" si="27"/>
        <v>241</v>
      </c>
      <c r="U28" s="204">
        <f t="shared" si="8"/>
        <v>5185.3870967741932</v>
      </c>
      <c r="V28" s="204">
        <f t="shared" si="28"/>
        <v>241</v>
      </c>
      <c r="W28" s="204">
        <f t="shared" si="9"/>
        <v>5185.3870967741932</v>
      </c>
      <c r="X28" s="35">
        <f t="shared" si="10"/>
        <v>0.77741935483870972</v>
      </c>
      <c r="Y28" s="36">
        <f t="shared" si="29"/>
        <v>57039.258064516136</v>
      </c>
      <c r="Z28" s="204">
        <f>'B5'!C27</f>
        <v>247</v>
      </c>
      <c r="AA28" s="204">
        <f t="shared" si="30"/>
        <v>2470</v>
      </c>
      <c r="AB28" s="204">
        <f t="shared" si="31"/>
        <v>247</v>
      </c>
      <c r="AC28" s="204">
        <f t="shared" si="30"/>
        <v>2470</v>
      </c>
      <c r="AD28" s="204">
        <f t="shared" si="32"/>
        <v>247</v>
      </c>
      <c r="AE28" s="204">
        <f t="shared" si="11"/>
        <v>2470</v>
      </c>
      <c r="AF28" s="204">
        <f t="shared" si="33"/>
        <v>247</v>
      </c>
      <c r="AG28" s="204">
        <f t="shared" si="12"/>
        <v>2470</v>
      </c>
      <c r="AH28" s="204">
        <f t="shared" si="34"/>
        <v>247</v>
      </c>
      <c r="AI28" s="204">
        <f t="shared" si="13"/>
        <v>2470</v>
      </c>
      <c r="AJ28" s="204">
        <f t="shared" si="35"/>
        <v>247</v>
      </c>
      <c r="AK28" s="204">
        <f t="shared" si="14"/>
        <v>2470</v>
      </c>
      <c r="AL28" s="204">
        <f t="shared" si="36"/>
        <v>247</v>
      </c>
      <c r="AM28" s="204">
        <f t="shared" si="15"/>
        <v>2470</v>
      </c>
      <c r="AN28" s="35">
        <f t="shared" si="16"/>
        <v>0.88214285714285712</v>
      </c>
      <c r="AO28" s="36">
        <f t="shared" si="17"/>
        <v>17290</v>
      </c>
      <c r="AQ28" s="224">
        <f t="shared" si="37"/>
        <v>0.79949723636136538</v>
      </c>
      <c r="AR28" s="38">
        <f t="shared" si="41"/>
        <v>74329.258064516136</v>
      </c>
      <c r="AS28" s="198">
        <f t="shared" si="38"/>
        <v>0</v>
      </c>
      <c r="AT28" s="358"/>
      <c r="AU28" s="442"/>
      <c r="AV28" s="525">
        <f t="shared" si="42"/>
        <v>0.64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44220</v>
      </c>
      <c r="B29">
        <f>'B5'!B28</f>
        <v>241</v>
      </c>
      <c r="C29" s="204">
        <f t="shared" si="18"/>
        <v>5185.3870967741932</v>
      </c>
      <c r="D29">
        <f t="shared" si="19"/>
        <v>241</v>
      </c>
      <c r="E29" s="204">
        <f t="shared" si="18"/>
        <v>5185.3870967741932</v>
      </c>
      <c r="F29">
        <f t="shared" si="20"/>
        <v>241</v>
      </c>
      <c r="G29" s="204">
        <f t="shared" si="1"/>
        <v>5185.3870967741932</v>
      </c>
      <c r="H29" s="204">
        <f t="shared" si="21"/>
        <v>241</v>
      </c>
      <c r="I29" s="204">
        <f t="shared" si="2"/>
        <v>5185.3870967741932</v>
      </c>
      <c r="J29" s="204">
        <f t="shared" si="22"/>
        <v>241</v>
      </c>
      <c r="K29" s="204">
        <f t="shared" si="3"/>
        <v>5185.3870967741932</v>
      </c>
      <c r="L29" s="204">
        <f t="shared" si="23"/>
        <v>241</v>
      </c>
      <c r="M29" s="204">
        <f t="shared" si="4"/>
        <v>5185.3870967741932</v>
      </c>
      <c r="N29" s="204">
        <f t="shared" si="24"/>
        <v>241</v>
      </c>
      <c r="O29" s="204">
        <f t="shared" si="5"/>
        <v>5185.3870967741932</v>
      </c>
      <c r="P29" s="204">
        <f t="shared" si="25"/>
        <v>241</v>
      </c>
      <c r="Q29" s="204">
        <f t="shared" si="6"/>
        <v>5185.3870967741932</v>
      </c>
      <c r="R29" s="204">
        <f t="shared" si="26"/>
        <v>241</v>
      </c>
      <c r="S29" s="204">
        <f t="shared" si="7"/>
        <v>5185.3870967741932</v>
      </c>
      <c r="T29" s="204">
        <f t="shared" si="27"/>
        <v>241</v>
      </c>
      <c r="U29" s="204">
        <f t="shared" si="8"/>
        <v>5185.3870967741932</v>
      </c>
      <c r="V29" s="204">
        <f t="shared" si="28"/>
        <v>241</v>
      </c>
      <c r="W29" s="204">
        <f t="shared" si="9"/>
        <v>5185.3870967741932</v>
      </c>
      <c r="X29" s="35">
        <f t="shared" si="10"/>
        <v>0.77741935483870972</v>
      </c>
      <c r="Y29" s="36">
        <f t="shared" si="29"/>
        <v>57039.258064516136</v>
      </c>
      <c r="Z29" s="204">
        <f>'B5'!C28</f>
        <v>247</v>
      </c>
      <c r="AA29" s="204">
        <f t="shared" si="30"/>
        <v>2470</v>
      </c>
      <c r="AB29" s="204">
        <f t="shared" si="31"/>
        <v>247</v>
      </c>
      <c r="AC29" s="204">
        <f t="shared" si="30"/>
        <v>2470</v>
      </c>
      <c r="AD29" s="204">
        <f t="shared" si="32"/>
        <v>247</v>
      </c>
      <c r="AE29" s="204">
        <f t="shared" si="11"/>
        <v>2470</v>
      </c>
      <c r="AF29" s="204">
        <f t="shared" si="33"/>
        <v>247</v>
      </c>
      <c r="AG29" s="204">
        <f t="shared" si="12"/>
        <v>2470</v>
      </c>
      <c r="AH29" s="204">
        <f t="shared" si="34"/>
        <v>247</v>
      </c>
      <c r="AI29" s="204">
        <f t="shared" si="13"/>
        <v>2470</v>
      </c>
      <c r="AJ29" s="204">
        <f t="shared" si="35"/>
        <v>247</v>
      </c>
      <c r="AK29" s="204">
        <f t="shared" si="14"/>
        <v>2470</v>
      </c>
      <c r="AL29" s="204">
        <f t="shared" si="36"/>
        <v>247</v>
      </c>
      <c r="AM29" s="204">
        <f t="shared" si="15"/>
        <v>2470</v>
      </c>
      <c r="AN29" s="35">
        <f t="shared" si="16"/>
        <v>0.88214285714285712</v>
      </c>
      <c r="AO29" s="36">
        <f t="shared" si="17"/>
        <v>17290</v>
      </c>
      <c r="AQ29" s="224">
        <f t="shared" si="37"/>
        <v>0.79949723636136538</v>
      </c>
      <c r="AR29" s="38">
        <f t="shared" si="41"/>
        <v>74329.258064516136</v>
      </c>
      <c r="AS29" s="198">
        <f t="shared" si="38"/>
        <v>0</v>
      </c>
      <c r="AT29" s="358"/>
      <c r="AU29" s="442"/>
      <c r="AV29" s="525">
        <f t="shared" si="42"/>
        <v>0.64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44221</v>
      </c>
      <c r="B30">
        <f>'B5'!B29</f>
        <v>241</v>
      </c>
      <c r="C30" s="204">
        <f t="shared" si="18"/>
        <v>5185.3870967741932</v>
      </c>
      <c r="D30">
        <f t="shared" ref="D30:D35" si="44">SUM(B30)</f>
        <v>241</v>
      </c>
      <c r="E30" s="204">
        <f t="shared" si="18"/>
        <v>5185.3870967741932</v>
      </c>
      <c r="F30">
        <f t="shared" ref="F30:F35" si="45">SUM(D30)</f>
        <v>241</v>
      </c>
      <c r="G30" s="204">
        <f t="shared" si="1"/>
        <v>5185.3870967741932</v>
      </c>
      <c r="H30" s="204">
        <f t="shared" ref="H30:H35" si="46">SUM(F30)</f>
        <v>241</v>
      </c>
      <c r="I30" s="204">
        <f t="shared" si="2"/>
        <v>5185.3870967741932</v>
      </c>
      <c r="J30" s="204">
        <f t="shared" ref="J30:J35" si="47">SUM(H30)</f>
        <v>241</v>
      </c>
      <c r="K30" s="204">
        <f t="shared" si="3"/>
        <v>5185.3870967741932</v>
      </c>
      <c r="L30" s="204">
        <f t="shared" ref="L30:L35" si="48">SUM(J30)</f>
        <v>241</v>
      </c>
      <c r="M30" s="204">
        <f t="shared" si="4"/>
        <v>5185.3870967741932</v>
      </c>
      <c r="N30" s="204">
        <f t="shared" ref="N30:N35" si="49">SUM(L30)</f>
        <v>241</v>
      </c>
      <c r="O30" s="204">
        <f t="shared" si="5"/>
        <v>5185.3870967741932</v>
      </c>
      <c r="P30" s="204">
        <f t="shared" ref="P30:P35" si="50">SUM(N30)</f>
        <v>241</v>
      </c>
      <c r="Q30" s="204">
        <f t="shared" si="6"/>
        <v>5185.3870967741932</v>
      </c>
      <c r="R30" s="204">
        <f t="shared" ref="R30:R35" si="51">SUM(P30)</f>
        <v>241</v>
      </c>
      <c r="S30" s="204">
        <f t="shared" si="7"/>
        <v>5185.3870967741932</v>
      </c>
      <c r="T30" s="204">
        <f t="shared" ref="T30:T35" si="52">SUM(R30)</f>
        <v>241</v>
      </c>
      <c r="U30" s="204">
        <f t="shared" si="8"/>
        <v>5185.3870967741932</v>
      </c>
      <c r="V30" s="204">
        <f t="shared" ref="V30:V35" si="53">SUM(T30)</f>
        <v>241</v>
      </c>
      <c r="W30" s="204">
        <f t="shared" si="9"/>
        <v>5185.3870967741932</v>
      </c>
      <c r="X30" s="35">
        <f t="shared" ref="X30:X35" si="54">SUM(Y30/73370)</f>
        <v>0.77741935483870972</v>
      </c>
      <c r="Y30" s="36">
        <f t="shared" ref="Y30:Y35" si="55">SUM(C30+E30+G30+I30+K30+M30+O30+Q30+S30+U30+W30)</f>
        <v>57039.258064516136</v>
      </c>
      <c r="Z30" s="204">
        <f>'B5'!C29</f>
        <v>247</v>
      </c>
      <c r="AA30" s="204">
        <f t="shared" si="30"/>
        <v>2470</v>
      </c>
      <c r="AB30" s="204">
        <f t="shared" ref="AB30:AB35" si="56">SUM(Z30)</f>
        <v>247</v>
      </c>
      <c r="AC30" s="204">
        <f t="shared" si="30"/>
        <v>2470</v>
      </c>
      <c r="AD30" s="204">
        <f t="shared" ref="AD30:AD35" si="57">SUM(AB30)</f>
        <v>247</v>
      </c>
      <c r="AE30" s="204">
        <f t="shared" si="11"/>
        <v>2470</v>
      </c>
      <c r="AF30" s="204">
        <f t="shared" ref="AF30:AF35" si="58">SUM(AD30)</f>
        <v>247</v>
      </c>
      <c r="AG30" s="204">
        <f t="shared" si="12"/>
        <v>2470</v>
      </c>
      <c r="AH30" s="204">
        <f t="shared" ref="AH30:AH35" si="59">SUM(AF30)</f>
        <v>247</v>
      </c>
      <c r="AI30" s="204">
        <f t="shared" si="13"/>
        <v>2470</v>
      </c>
      <c r="AJ30" s="204">
        <f t="shared" ref="AJ30:AJ35" si="60">SUM(AH30)</f>
        <v>247</v>
      </c>
      <c r="AK30" s="204">
        <f t="shared" si="14"/>
        <v>2470</v>
      </c>
      <c r="AL30" s="204">
        <f t="shared" ref="AL30:AL35" si="61">SUM(AJ30)</f>
        <v>247</v>
      </c>
      <c r="AM30" s="204">
        <f t="shared" si="15"/>
        <v>2470</v>
      </c>
      <c r="AN30" s="35">
        <f t="shared" ref="AN30:AN35" si="62">SUM(AO30/19600)</f>
        <v>0.88214285714285712</v>
      </c>
      <c r="AO30" s="36">
        <f t="shared" ref="AO30:AO35" si="63">SUM(AA30+AC30+AE30+AG30+AI30+AK30+AM30)</f>
        <v>17290</v>
      </c>
      <c r="AQ30" s="224">
        <f t="shared" si="37"/>
        <v>0.79949723636136538</v>
      </c>
      <c r="AR30" s="38">
        <f t="shared" si="41"/>
        <v>74329.258064516136</v>
      </c>
      <c r="AS30" s="198">
        <f t="shared" si="38"/>
        <v>0</v>
      </c>
      <c r="AT30" s="358"/>
      <c r="AU30" s="442"/>
      <c r="AV30" s="525">
        <f t="shared" si="42"/>
        <v>0.64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44222</v>
      </c>
      <c r="B31">
        <f>'B5'!B30</f>
        <v>241</v>
      </c>
      <c r="C31" s="204">
        <f t="shared" si="18"/>
        <v>5185.3870967741932</v>
      </c>
      <c r="D31">
        <f t="shared" si="44"/>
        <v>241</v>
      </c>
      <c r="E31" s="204">
        <f t="shared" si="18"/>
        <v>5185.3870967741932</v>
      </c>
      <c r="F31">
        <f t="shared" si="45"/>
        <v>241</v>
      </c>
      <c r="G31" s="204">
        <f t="shared" si="1"/>
        <v>5185.3870967741932</v>
      </c>
      <c r="H31" s="204">
        <f t="shared" si="46"/>
        <v>241</v>
      </c>
      <c r="I31" s="204">
        <f t="shared" si="2"/>
        <v>5185.3870967741932</v>
      </c>
      <c r="J31" s="204">
        <f t="shared" si="47"/>
        <v>241</v>
      </c>
      <c r="K31" s="204">
        <f t="shared" si="3"/>
        <v>5185.3870967741932</v>
      </c>
      <c r="L31" s="204">
        <f t="shared" si="48"/>
        <v>241</v>
      </c>
      <c r="M31" s="204">
        <f t="shared" si="4"/>
        <v>5185.3870967741932</v>
      </c>
      <c r="N31" s="204">
        <f t="shared" si="49"/>
        <v>241</v>
      </c>
      <c r="O31" s="204">
        <f t="shared" si="5"/>
        <v>5185.3870967741932</v>
      </c>
      <c r="P31" s="204">
        <f t="shared" si="50"/>
        <v>241</v>
      </c>
      <c r="Q31" s="204">
        <f t="shared" si="6"/>
        <v>5185.3870967741932</v>
      </c>
      <c r="R31" s="204">
        <f t="shared" si="51"/>
        <v>241</v>
      </c>
      <c r="S31" s="204">
        <f t="shared" si="7"/>
        <v>5185.3870967741932</v>
      </c>
      <c r="T31" s="204">
        <f t="shared" si="52"/>
        <v>241</v>
      </c>
      <c r="U31" s="204">
        <f t="shared" si="8"/>
        <v>5185.3870967741932</v>
      </c>
      <c r="V31" s="204">
        <f t="shared" si="53"/>
        <v>241</v>
      </c>
      <c r="W31" s="204">
        <f t="shared" si="9"/>
        <v>5185.3870967741932</v>
      </c>
      <c r="X31" s="35">
        <f t="shared" si="54"/>
        <v>0.77741935483870972</v>
      </c>
      <c r="Y31" s="36">
        <f t="shared" si="55"/>
        <v>57039.258064516136</v>
      </c>
      <c r="Z31" s="204">
        <f>'B5'!C30</f>
        <v>247</v>
      </c>
      <c r="AA31" s="204">
        <f t="shared" si="30"/>
        <v>2470</v>
      </c>
      <c r="AB31" s="204">
        <f t="shared" si="56"/>
        <v>247</v>
      </c>
      <c r="AC31" s="204">
        <f t="shared" si="30"/>
        <v>2470</v>
      </c>
      <c r="AD31" s="204">
        <f t="shared" si="57"/>
        <v>247</v>
      </c>
      <c r="AE31" s="204">
        <f t="shared" si="11"/>
        <v>2470</v>
      </c>
      <c r="AF31" s="204">
        <f t="shared" si="58"/>
        <v>247</v>
      </c>
      <c r="AG31" s="204">
        <f t="shared" si="12"/>
        <v>2470</v>
      </c>
      <c r="AH31" s="204">
        <f t="shared" si="59"/>
        <v>247</v>
      </c>
      <c r="AI31" s="204">
        <f t="shared" si="13"/>
        <v>2470</v>
      </c>
      <c r="AJ31" s="204">
        <f t="shared" si="60"/>
        <v>247</v>
      </c>
      <c r="AK31" s="204">
        <f t="shared" si="14"/>
        <v>2470</v>
      </c>
      <c r="AL31" s="204">
        <f t="shared" si="61"/>
        <v>247</v>
      </c>
      <c r="AM31" s="204">
        <f t="shared" si="15"/>
        <v>2470</v>
      </c>
      <c r="AN31" s="35">
        <f t="shared" si="62"/>
        <v>0.88214285714285712</v>
      </c>
      <c r="AO31" s="36">
        <f t="shared" si="63"/>
        <v>17290</v>
      </c>
      <c r="AQ31" s="224">
        <f t="shared" si="37"/>
        <v>0.79949723636136538</v>
      </c>
      <c r="AR31" s="38">
        <f t="shared" si="41"/>
        <v>74329.258064516136</v>
      </c>
      <c r="AS31" s="198">
        <f>SUM(AR31-AR30-AT31)</f>
        <v>0</v>
      </c>
      <c r="AT31" s="358"/>
      <c r="AU31" s="442"/>
      <c r="AV31" s="525">
        <f t="shared" si="42"/>
        <v>0.64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44223</v>
      </c>
      <c r="B32">
        <f>'B5'!B31</f>
        <v>241</v>
      </c>
      <c r="C32" s="204">
        <f t="shared" si="18"/>
        <v>5185.3870967741932</v>
      </c>
      <c r="D32">
        <f t="shared" si="44"/>
        <v>241</v>
      </c>
      <c r="E32" s="204">
        <f t="shared" si="18"/>
        <v>5185.3870967741932</v>
      </c>
      <c r="F32">
        <f t="shared" si="45"/>
        <v>241</v>
      </c>
      <c r="G32" s="204">
        <f t="shared" si="1"/>
        <v>5185.3870967741932</v>
      </c>
      <c r="H32" s="204">
        <f t="shared" si="46"/>
        <v>241</v>
      </c>
      <c r="I32" s="204">
        <f t="shared" si="2"/>
        <v>5185.3870967741932</v>
      </c>
      <c r="J32" s="204">
        <f t="shared" si="47"/>
        <v>241</v>
      </c>
      <c r="K32" s="204">
        <f t="shared" si="3"/>
        <v>5185.3870967741932</v>
      </c>
      <c r="L32" s="204">
        <f t="shared" si="48"/>
        <v>241</v>
      </c>
      <c r="M32" s="204">
        <f t="shared" si="4"/>
        <v>5185.3870967741932</v>
      </c>
      <c r="N32" s="204">
        <f t="shared" si="49"/>
        <v>241</v>
      </c>
      <c r="O32" s="204">
        <f t="shared" si="5"/>
        <v>5185.3870967741932</v>
      </c>
      <c r="P32" s="204">
        <f t="shared" si="50"/>
        <v>241</v>
      </c>
      <c r="Q32" s="204">
        <f t="shared" si="6"/>
        <v>5185.3870967741932</v>
      </c>
      <c r="R32" s="204">
        <f t="shared" si="51"/>
        <v>241</v>
      </c>
      <c r="S32" s="204">
        <f t="shared" si="7"/>
        <v>5185.3870967741932</v>
      </c>
      <c r="T32" s="204">
        <f t="shared" si="52"/>
        <v>241</v>
      </c>
      <c r="U32" s="204">
        <f t="shared" si="8"/>
        <v>5185.3870967741932</v>
      </c>
      <c r="V32" s="204">
        <f t="shared" si="53"/>
        <v>241</v>
      </c>
      <c r="W32" s="204">
        <f t="shared" si="9"/>
        <v>5185.3870967741932</v>
      </c>
      <c r="X32" s="35">
        <f t="shared" si="54"/>
        <v>0.77741935483870972</v>
      </c>
      <c r="Y32" s="36">
        <f t="shared" si="55"/>
        <v>57039.258064516136</v>
      </c>
      <c r="Z32" s="204">
        <f>'B5'!C31</f>
        <v>247</v>
      </c>
      <c r="AA32" s="204">
        <f t="shared" si="30"/>
        <v>2470</v>
      </c>
      <c r="AB32" s="204">
        <f t="shared" si="56"/>
        <v>247</v>
      </c>
      <c r="AC32" s="204">
        <f t="shared" si="30"/>
        <v>2470</v>
      </c>
      <c r="AD32" s="204">
        <f t="shared" si="57"/>
        <v>247</v>
      </c>
      <c r="AE32" s="204">
        <f t="shared" si="11"/>
        <v>2470</v>
      </c>
      <c r="AF32" s="204">
        <f t="shared" si="58"/>
        <v>247</v>
      </c>
      <c r="AG32" s="204">
        <f t="shared" si="12"/>
        <v>2470</v>
      </c>
      <c r="AH32" s="204">
        <f t="shared" si="59"/>
        <v>247</v>
      </c>
      <c r="AI32" s="204">
        <f t="shared" si="13"/>
        <v>2470</v>
      </c>
      <c r="AJ32" s="204">
        <f t="shared" si="60"/>
        <v>247</v>
      </c>
      <c r="AK32" s="204">
        <f t="shared" si="14"/>
        <v>2470</v>
      </c>
      <c r="AL32" s="204">
        <f t="shared" si="61"/>
        <v>247</v>
      </c>
      <c r="AM32" s="204">
        <f t="shared" si="15"/>
        <v>2470</v>
      </c>
      <c r="AN32" s="35">
        <f t="shared" si="62"/>
        <v>0.88214285714285712</v>
      </c>
      <c r="AO32" s="36">
        <f t="shared" si="63"/>
        <v>17290</v>
      </c>
      <c r="AQ32" s="224">
        <f t="shared" si="37"/>
        <v>0.79949723636136538</v>
      </c>
      <c r="AR32" s="38">
        <f t="shared" si="41"/>
        <v>74329.258064516136</v>
      </c>
      <c r="AS32" s="198">
        <f t="shared" si="38"/>
        <v>0</v>
      </c>
      <c r="AT32" s="358"/>
      <c r="AU32" s="442"/>
      <c r="AV32" s="525">
        <f>IF(AT32&gt;0,AU32,AV31)</f>
        <v>0.64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44224</v>
      </c>
      <c r="B33">
        <f>'B5'!B32</f>
        <v>241</v>
      </c>
      <c r="C33" s="204">
        <f t="shared" si="18"/>
        <v>5185.3870967741932</v>
      </c>
      <c r="D33">
        <f t="shared" si="44"/>
        <v>241</v>
      </c>
      <c r="E33" s="204">
        <f t="shared" si="18"/>
        <v>5185.3870967741932</v>
      </c>
      <c r="F33">
        <f t="shared" si="45"/>
        <v>241</v>
      </c>
      <c r="G33" s="204">
        <f t="shared" si="1"/>
        <v>5185.3870967741932</v>
      </c>
      <c r="H33" s="204">
        <f t="shared" si="46"/>
        <v>241</v>
      </c>
      <c r="I33" s="204">
        <f t="shared" si="2"/>
        <v>5185.3870967741932</v>
      </c>
      <c r="J33" s="204">
        <f t="shared" si="47"/>
        <v>241</v>
      </c>
      <c r="K33" s="204">
        <f t="shared" si="3"/>
        <v>5185.3870967741932</v>
      </c>
      <c r="L33" s="204">
        <f t="shared" si="48"/>
        <v>241</v>
      </c>
      <c r="M33" s="204">
        <f t="shared" si="4"/>
        <v>5185.3870967741932</v>
      </c>
      <c r="N33" s="204">
        <f t="shared" si="49"/>
        <v>241</v>
      </c>
      <c r="O33" s="204">
        <f t="shared" si="5"/>
        <v>5185.3870967741932</v>
      </c>
      <c r="P33" s="204">
        <f t="shared" si="50"/>
        <v>241</v>
      </c>
      <c r="Q33" s="204">
        <f t="shared" si="6"/>
        <v>5185.3870967741932</v>
      </c>
      <c r="R33" s="204">
        <f t="shared" si="51"/>
        <v>241</v>
      </c>
      <c r="S33" s="204">
        <f t="shared" si="7"/>
        <v>5185.3870967741932</v>
      </c>
      <c r="T33" s="204">
        <f t="shared" si="52"/>
        <v>241</v>
      </c>
      <c r="U33" s="204">
        <f t="shared" si="8"/>
        <v>5185.3870967741932</v>
      </c>
      <c r="V33" s="204">
        <f t="shared" si="53"/>
        <v>241</v>
      </c>
      <c r="W33" s="204">
        <f t="shared" si="9"/>
        <v>5185.3870967741932</v>
      </c>
      <c r="X33" s="35">
        <f t="shared" si="54"/>
        <v>0.77741935483870972</v>
      </c>
      <c r="Y33" s="36">
        <f t="shared" si="55"/>
        <v>57039.258064516136</v>
      </c>
      <c r="Z33" s="204">
        <f>'B5'!C32</f>
        <v>247</v>
      </c>
      <c r="AA33" s="204">
        <f t="shared" si="30"/>
        <v>2470</v>
      </c>
      <c r="AB33" s="204">
        <f t="shared" si="56"/>
        <v>247</v>
      </c>
      <c r="AC33" s="204">
        <f t="shared" si="30"/>
        <v>2470</v>
      </c>
      <c r="AD33" s="204">
        <f t="shared" si="57"/>
        <v>247</v>
      </c>
      <c r="AE33" s="204">
        <f t="shared" si="11"/>
        <v>2470</v>
      </c>
      <c r="AF33" s="204">
        <f t="shared" si="58"/>
        <v>247</v>
      </c>
      <c r="AG33" s="204">
        <f t="shared" si="12"/>
        <v>2470</v>
      </c>
      <c r="AH33" s="204">
        <f t="shared" si="59"/>
        <v>247</v>
      </c>
      <c r="AI33" s="204">
        <f t="shared" si="13"/>
        <v>2470</v>
      </c>
      <c r="AJ33" s="204">
        <f t="shared" si="60"/>
        <v>247</v>
      </c>
      <c r="AK33" s="204">
        <f t="shared" si="14"/>
        <v>2470</v>
      </c>
      <c r="AL33" s="204">
        <f t="shared" si="61"/>
        <v>247</v>
      </c>
      <c r="AM33" s="204">
        <f t="shared" si="15"/>
        <v>2470</v>
      </c>
      <c r="AN33" s="35">
        <f t="shared" si="62"/>
        <v>0.88214285714285712</v>
      </c>
      <c r="AO33" s="36">
        <f t="shared" si="63"/>
        <v>17290</v>
      </c>
      <c r="AQ33" s="224">
        <f t="shared" si="37"/>
        <v>0.79949723636136538</v>
      </c>
      <c r="AR33" s="38">
        <f t="shared" si="41"/>
        <v>74329.258064516136</v>
      </c>
      <c r="AS33" s="198">
        <f t="shared" si="38"/>
        <v>0</v>
      </c>
      <c r="AT33" s="358"/>
      <c r="AU33" s="442"/>
      <c r="AV33" s="525">
        <f>IF(AT33&gt;0,AU33,AV32)</f>
        <v>0.64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44225</v>
      </c>
      <c r="B34">
        <f>'B5'!B33</f>
        <v>241</v>
      </c>
      <c r="C34" s="204">
        <f t="shared" si="18"/>
        <v>5185.3870967741932</v>
      </c>
      <c r="D34">
        <f t="shared" si="44"/>
        <v>241</v>
      </c>
      <c r="E34" s="204">
        <f t="shared" si="18"/>
        <v>5185.3870967741932</v>
      </c>
      <c r="F34">
        <f t="shared" si="45"/>
        <v>241</v>
      </c>
      <c r="G34" s="204">
        <f t="shared" si="1"/>
        <v>5185.3870967741932</v>
      </c>
      <c r="H34" s="204">
        <f t="shared" si="46"/>
        <v>241</v>
      </c>
      <c r="I34" s="204">
        <f t="shared" si="2"/>
        <v>5185.3870967741932</v>
      </c>
      <c r="J34" s="204">
        <f t="shared" si="47"/>
        <v>241</v>
      </c>
      <c r="K34" s="204">
        <f t="shared" si="3"/>
        <v>5185.3870967741932</v>
      </c>
      <c r="L34" s="204">
        <f t="shared" si="48"/>
        <v>241</v>
      </c>
      <c r="M34" s="204">
        <f t="shared" si="4"/>
        <v>5185.3870967741932</v>
      </c>
      <c r="N34" s="204">
        <f t="shared" si="49"/>
        <v>241</v>
      </c>
      <c r="O34" s="204">
        <f t="shared" si="5"/>
        <v>5185.3870967741932</v>
      </c>
      <c r="P34" s="204">
        <f t="shared" si="50"/>
        <v>241</v>
      </c>
      <c r="Q34" s="204">
        <f t="shared" si="6"/>
        <v>5185.3870967741932</v>
      </c>
      <c r="R34" s="204">
        <f t="shared" si="51"/>
        <v>241</v>
      </c>
      <c r="S34" s="204">
        <f t="shared" si="7"/>
        <v>5185.3870967741932</v>
      </c>
      <c r="T34" s="204">
        <f t="shared" si="52"/>
        <v>241</v>
      </c>
      <c r="U34" s="204">
        <f t="shared" si="8"/>
        <v>5185.3870967741932</v>
      </c>
      <c r="V34" s="204">
        <f t="shared" si="53"/>
        <v>241</v>
      </c>
      <c r="W34" s="204">
        <f t="shared" si="9"/>
        <v>5185.3870967741932</v>
      </c>
      <c r="X34" s="35">
        <f t="shared" si="54"/>
        <v>0.77741935483870972</v>
      </c>
      <c r="Y34" s="36">
        <f t="shared" si="55"/>
        <v>57039.258064516136</v>
      </c>
      <c r="Z34" s="204">
        <f>'B5'!C33</f>
        <v>247</v>
      </c>
      <c r="AA34" s="204">
        <f t="shared" si="30"/>
        <v>2470</v>
      </c>
      <c r="AB34" s="204">
        <f t="shared" si="56"/>
        <v>247</v>
      </c>
      <c r="AC34" s="204">
        <f t="shared" si="30"/>
        <v>2470</v>
      </c>
      <c r="AD34" s="204">
        <f t="shared" si="57"/>
        <v>247</v>
      </c>
      <c r="AE34" s="204">
        <f t="shared" si="11"/>
        <v>2470</v>
      </c>
      <c r="AF34" s="204">
        <f t="shared" si="58"/>
        <v>247</v>
      </c>
      <c r="AG34" s="204">
        <f t="shared" si="12"/>
        <v>2470</v>
      </c>
      <c r="AH34" s="204">
        <f t="shared" si="59"/>
        <v>247</v>
      </c>
      <c r="AI34" s="204">
        <f t="shared" si="13"/>
        <v>2470</v>
      </c>
      <c r="AJ34" s="204">
        <f t="shared" si="60"/>
        <v>247</v>
      </c>
      <c r="AK34" s="204">
        <f t="shared" si="14"/>
        <v>2470</v>
      </c>
      <c r="AL34" s="204">
        <f t="shared" si="61"/>
        <v>247</v>
      </c>
      <c r="AM34" s="204">
        <f t="shared" si="15"/>
        <v>2470</v>
      </c>
      <c r="AN34" s="35">
        <f t="shared" si="62"/>
        <v>0.88214285714285712</v>
      </c>
      <c r="AO34" s="36">
        <f t="shared" si="63"/>
        <v>17290</v>
      </c>
      <c r="AQ34" s="224">
        <f>SUM(AR34/92970)</f>
        <v>0.79949723636136538</v>
      </c>
      <c r="AR34" s="38">
        <f t="shared" si="41"/>
        <v>74329.258064516136</v>
      </c>
      <c r="AS34" s="198">
        <f t="shared" si="38"/>
        <v>0</v>
      </c>
      <c r="AT34" s="358"/>
      <c r="AU34" s="442"/>
      <c r="AV34" s="525">
        <f t="shared" si="42"/>
        <v>0.64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44226</v>
      </c>
      <c r="B35">
        <f>'B5'!B34</f>
        <v>241</v>
      </c>
      <c r="C35" s="204">
        <f t="shared" si="18"/>
        <v>5185.3870967741932</v>
      </c>
      <c r="D35">
        <f t="shared" si="44"/>
        <v>241</v>
      </c>
      <c r="E35" s="204">
        <f t="shared" si="18"/>
        <v>5185.3870967741932</v>
      </c>
      <c r="F35">
        <f t="shared" si="45"/>
        <v>241</v>
      </c>
      <c r="G35" s="204">
        <f t="shared" si="1"/>
        <v>5185.3870967741932</v>
      </c>
      <c r="H35" s="204">
        <f t="shared" si="46"/>
        <v>241</v>
      </c>
      <c r="I35" s="204">
        <f t="shared" si="2"/>
        <v>5185.3870967741932</v>
      </c>
      <c r="J35" s="204">
        <f t="shared" si="47"/>
        <v>241</v>
      </c>
      <c r="K35" s="204">
        <f t="shared" si="3"/>
        <v>5185.3870967741932</v>
      </c>
      <c r="L35" s="204">
        <f t="shared" si="48"/>
        <v>241</v>
      </c>
      <c r="M35" s="204">
        <f t="shared" si="4"/>
        <v>5185.3870967741932</v>
      </c>
      <c r="N35" s="204">
        <f t="shared" si="49"/>
        <v>241</v>
      </c>
      <c r="O35" s="204">
        <f t="shared" si="5"/>
        <v>5185.3870967741932</v>
      </c>
      <c r="P35" s="204">
        <f t="shared" si="50"/>
        <v>241</v>
      </c>
      <c r="Q35" s="204">
        <f t="shared" si="6"/>
        <v>5185.3870967741932</v>
      </c>
      <c r="R35" s="204">
        <f t="shared" si="51"/>
        <v>241</v>
      </c>
      <c r="S35" s="204">
        <f t="shared" si="7"/>
        <v>5185.3870967741932</v>
      </c>
      <c r="T35" s="204">
        <f t="shared" si="52"/>
        <v>241</v>
      </c>
      <c r="U35" s="204">
        <f t="shared" si="8"/>
        <v>5185.3870967741932</v>
      </c>
      <c r="V35" s="204">
        <f t="shared" si="53"/>
        <v>241</v>
      </c>
      <c r="W35" s="204">
        <f t="shared" si="9"/>
        <v>5185.3870967741932</v>
      </c>
      <c r="X35" s="35">
        <f t="shared" si="54"/>
        <v>0.77741935483870972</v>
      </c>
      <c r="Y35" s="36">
        <f t="shared" si="55"/>
        <v>57039.258064516136</v>
      </c>
      <c r="Z35" s="204">
        <f>'B5'!C34</f>
        <v>247</v>
      </c>
      <c r="AA35" s="204">
        <f t="shared" si="30"/>
        <v>2470</v>
      </c>
      <c r="AB35" s="204">
        <f t="shared" si="56"/>
        <v>247</v>
      </c>
      <c r="AC35" s="204">
        <f t="shared" si="30"/>
        <v>2470</v>
      </c>
      <c r="AD35" s="204">
        <f t="shared" si="57"/>
        <v>247</v>
      </c>
      <c r="AE35" s="204">
        <f t="shared" si="11"/>
        <v>2470</v>
      </c>
      <c r="AF35" s="204">
        <f t="shared" si="58"/>
        <v>247</v>
      </c>
      <c r="AG35" s="204">
        <f t="shared" si="12"/>
        <v>2470</v>
      </c>
      <c r="AH35" s="204">
        <f t="shared" si="59"/>
        <v>247</v>
      </c>
      <c r="AI35" s="204">
        <f t="shared" si="13"/>
        <v>2470</v>
      </c>
      <c r="AJ35" s="204">
        <f t="shared" si="60"/>
        <v>247</v>
      </c>
      <c r="AK35" s="204">
        <f t="shared" si="14"/>
        <v>2470</v>
      </c>
      <c r="AL35" s="204">
        <f t="shared" si="61"/>
        <v>247</v>
      </c>
      <c r="AM35" s="204">
        <f t="shared" si="15"/>
        <v>2470</v>
      </c>
      <c r="AN35" s="35">
        <f t="shared" si="62"/>
        <v>0.88214285714285712</v>
      </c>
      <c r="AO35" s="36">
        <f t="shared" si="63"/>
        <v>17290</v>
      </c>
      <c r="AQ35" s="224">
        <f>SUM(AR35/92970)</f>
        <v>0.79949723636136538</v>
      </c>
      <c r="AR35" s="38">
        <f t="shared" si="41"/>
        <v>74329.258064516136</v>
      </c>
      <c r="AS35" s="198">
        <f t="shared" si="38"/>
        <v>0</v>
      </c>
      <c r="AT35" s="358"/>
      <c r="AU35" s="442"/>
      <c r="AV35" s="525">
        <f>IF(AT35&gt;0,AU35,AV34)</f>
        <v>0.64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44227</v>
      </c>
      <c r="B36">
        <f>'B5'!B35</f>
        <v>241</v>
      </c>
      <c r="C36" s="204">
        <f t="shared" ref="C36" si="64">B36*$B$4</f>
        <v>5185.3870967741932</v>
      </c>
      <c r="D36">
        <f t="shared" ref="D36" si="65">SUM(B36)</f>
        <v>241</v>
      </c>
      <c r="E36" s="204">
        <f t="shared" ref="E36" si="66">D36*$B$4</f>
        <v>5185.3870967741932</v>
      </c>
      <c r="F36">
        <f t="shared" ref="F36" si="67">SUM(D36)</f>
        <v>241</v>
      </c>
      <c r="G36" s="204">
        <f t="shared" ref="G36" si="68">F36*$B$4</f>
        <v>5185.3870967741932</v>
      </c>
      <c r="H36" s="204">
        <f t="shared" ref="H36" si="69">SUM(F36)</f>
        <v>241</v>
      </c>
      <c r="I36" s="204">
        <f t="shared" ref="I36" si="70">H36*$B$4</f>
        <v>5185.3870967741932</v>
      </c>
      <c r="J36" s="204">
        <f t="shared" ref="J36" si="71">SUM(H36)</f>
        <v>241</v>
      </c>
      <c r="K36" s="204">
        <f t="shared" ref="K36" si="72">J36*$B$4</f>
        <v>5185.3870967741932</v>
      </c>
      <c r="L36" s="204">
        <f t="shared" ref="L36" si="73">SUM(J36)</f>
        <v>241</v>
      </c>
      <c r="M36" s="204">
        <f t="shared" ref="M36" si="74">L36*$B$4</f>
        <v>5185.3870967741932</v>
      </c>
      <c r="N36" s="204">
        <f t="shared" ref="N36" si="75">SUM(L36)</f>
        <v>241</v>
      </c>
      <c r="O36" s="204">
        <f t="shared" ref="O36" si="76">N36*$B$4</f>
        <v>5185.3870967741932</v>
      </c>
      <c r="P36" s="204">
        <f t="shared" ref="P36" si="77">SUM(N36)</f>
        <v>241</v>
      </c>
      <c r="Q36" s="204">
        <f t="shared" ref="Q36" si="78">P36*$B$4</f>
        <v>5185.3870967741932</v>
      </c>
      <c r="R36" s="204">
        <f t="shared" ref="R36" si="79">SUM(P36)</f>
        <v>241</v>
      </c>
      <c r="S36" s="204">
        <f t="shared" ref="S36" si="80">R36*$B$4</f>
        <v>5185.3870967741932</v>
      </c>
      <c r="T36" s="204">
        <f t="shared" ref="T36" si="81">SUM(R36)</f>
        <v>241</v>
      </c>
      <c r="U36" s="204">
        <f t="shared" ref="U36" si="82">T36*$B$4</f>
        <v>5185.3870967741932</v>
      </c>
      <c r="V36" s="204">
        <f t="shared" ref="V36" si="83">SUM(T36)</f>
        <v>241</v>
      </c>
      <c r="W36" s="204">
        <f t="shared" ref="W36" si="84">V36*$B$4</f>
        <v>5185.3870967741932</v>
      </c>
      <c r="X36" s="35">
        <f t="shared" ref="X36" si="85">SUM(Y36/73370)</f>
        <v>0.77741935483870972</v>
      </c>
      <c r="Y36" s="36">
        <f t="shared" ref="Y36" si="86">SUM(C36+E36+G36+I36+K36+M36+O36+Q36+S36+U36+W36)</f>
        <v>57039.258064516136</v>
      </c>
      <c r="Z36" s="204">
        <f>'B5'!C35</f>
        <v>247</v>
      </c>
      <c r="AA36" s="204">
        <f t="shared" ref="AA36" si="87">SUM(Z36*$Z$4)</f>
        <v>2470</v>
      </c>
      <c r="AB36" s="204">
        <f t="shared" ref="AB36" si="88">SUM(Z36)</f>
        <v>247</v>
      </c>
      <c r="AC36" s="204">
        <f t="shared" ref="AC36" si="89">SUM(AB36*$Z$4)</f>
        <v>2470</v>
      </c>
      <c r="AD36" s="204">
        <f t="shared" ref="AD36" si="90">SUM(AB36)</f>
        <v>247</v>
      </c>
      <c r="AE36" s="204">
        <f t="shared" ref="AE36" si="91">SUM(AD36*$Z$4)</f>
        <v>2470</v>
      </c>
      <c r="AF36" s="204">
        <f t="shared" ref="AF36" si="92">SUM(AD36)</f>
        <v>247</v>
      </c>
      <c r="AG36" s="204">
        <f t="shared" ref="AG36" si="93">SUM(AF36*$Z$4)</f>
        <v>2470</v>
      </c>
      <c r="AH36" s="204">
        <f t="shared" ref="AH36" si="94">SUM(AF36)</f>
        <v>247</v>
      </c>
      <c r="AI36" s="204">
        <f t="shared" ref="AI36" si="95">SUM(AH36*$Z$4)</f>
        <v>2470</v>
      </c>
      <c r="AJ36" s="204">
        <f t="shared" ref="AJ36" si="96">SUM(AH36)</f>
        <v>247</v>
      </c>
      <c r="AK36" s="204">
        <f t="shared" ref="AK36" si="97">SUM(AJ36*$Z$4)</f>
        <v>2470</v>
      </c>
      <c r="AL36" s="204">
        <f t="shared" ref="AL36" si="98">SUM(AJ36)</f>
        <v>247</v>
      </c>
      <c r="AM36" s="204">
        <f t="shared" ref="AM36" si="99">SUM(AL36*$Z$4)</f>
        <v>2470</v>
      </c>
      <c r="AN36" s="35">
        <f t="shared" ref="AN36" si="100">SUM(AO36/19600)</f>
        <v>0.88214285714285712</v>
      </c>
      <c r="AO36" s="36">
        <f t="shared" ref="AO36" si="101">SUM(AA36+AC36+AE36+AG36+AI36+AK36+AM36)</f>
        <v>17290</v>
      </c>
      <c r="AQ36" s="224">
        <f>SUM(AR36/92970)</f>
        <v>0.79949723636136538</v>
      </c>
      <c r="AR36" s="38">
        <f t="shared" si="41"/>
        <v>74329.258064516136</v>
      </c>
      <c r="AS36" s="198">
        <f t="shared" ref="AS36" si="102">SUM(AR36-AR35-AT36)</f>
        <v>0</v>
      </c>
      <c r="AT36" s="358"/>
      <c r="AU36" s="442"/>
      <c r="AV36" s="525">
        <f>IF(AT36&gt;0,AU36,AV35)</f>
        <v>0.64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14272</v>
      </c>
      <c r="AU37">
        <f>SUM(AU6:AU36)/AS37</f>
        <v>0.64</v>
      </c>
      <c r="AX37" s="204">
        <f>SUM(AX6:AX35)</f>
        <v>-10951.53225806453</v>
      </c>
      <c r="AY37" s="204">
        <f>SUM(AY6:AY35)</f>
        <v>-15122.03225806453</v>
      </c>
    </row>
    <row r="38" spans="1:60">
      <c r="AS38" s="207"/>
      <c r="AT38">
        <f>+AT37*AU37</f>
        <v>9134.08</v>
      </c>
    </row>
    <row r="40" spans="1:60">
      <c r="AS40" s="165">
        <f>SUM(AS6:AS35)/'EDl log'!A35</f>
        <v>-840.11290322580726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668</v>
      </c>
      <c r="C2" s="3">
        <f>ELEC!N3</f>
        <v>5839</v>
      </c>
      <c r="D2" s="3">
        <f>C2-E2</f>
        <v>5340.0000000002037</v>
      </c>
      <c r="E2" s="3">
        <f>ELEC!Q3</f>
        <v>498.99999999979627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97.199999999999974</v>
      </c>
      <c r="J2" s="9">
        <f>'B5'!A4</f>
        <v>44196</v>
      </c>
    </row>
    <row r="3" spans="1:10">
      <c r="A3" s="3">
        <f>ELEC!T4+ELEC!X2+ELEC!AB4</f>
        <v>3</v>
      </c>
      <c r="B3" s="3">
        <f>ELEC!AF4</f>
        <v>652</v>
      </c>
      <c r="C3" s="3">
        <f>ELEC!N4</f>
        <v>7390</v>
      </c>
      <c r="D3" s="3">
        <f t="shared" ref="D3:D30" si="0">C3-E3</f>
        <v>5400.999999998603</v>
      </c>
      <c r="E3" s="3">
        <f>ELEC!Q4</f>
        <v>1989.000000001397</v>
      </c>
      <c r="F3" s="3">
        <f>GEN!Z3</f>
        <v>1</v>
      </c>
      <c r="G3" s="3">
        <f>WATER!C6+WATER!H6</f>
        <v>249</v>
      </c>
      <c r="H3" s="3">
        <f>WATER!L6</f>
        <v>0</v>
      </c>
      <c r="I3" s="15">
        <f>WATER!BC6+WATER!BD6+WATER!BE7-Sheet1!G3</f>
        <v>-239.49999999999997</v>
      </c>
      <c r="J3" s="9">
        <f>'B5'!A5</f>
        <v>44197</v>
      </c>
    </row>
    <row r="4" spans="1:10">
      <c r="A4" s="3">
        <f>ELEC!T5+ELEC!X5+ELEC!AB5</f>
        <v>3</v>
      </c>
      <c r="B4" s="3">
        <f>ELEC!AF5</f>
        <v>527</v>
      </c>
      <c r="C4" s="3">
        <f>ELEC!N5</f>
        <v>6121</v>
      </c>
      <c r="D4" s="3">
        <f t="shared" si="0"/>
        <v>3968.0000000015716</v>
      </c>
      <c r="E4" s="3">
        <f>ELEC!Q5</f>
        <v>2152.9999999984284</v>
      </c>
      <c r="F4" s="3">
        <f>GEN!Z4</f>
        <v>3</v>
      </c>
      <c r="G4" s="3">
        <f>WATER!C7+WATER!H7</f>
        <v>0</v>
      </c>
      <c r="H4" s="3">
        <f>WATER!L7</f>
        <v>1</v>
      </c>
      <c r="I4" s="15">
        <f>WATER!BC7+WATER!BD7+WATER!BE8-Sheet1!G4</f>
        <v>-14.099999999999966</v>
      </c>
      <c r="J4" s="9">
        <f>'B5'!A6</f>
        <v>44198</v>
      </c>
    </row>
    <row r="5" spans="1:10">
      <c r="A5" s="3">
        <f>ELEC!T6+ELEC!X6+ELEC!AB6</f>
        <v>6</v>
      </c>
      <c r="B5" s="3">
        <f>ELEC!AF6</f>
        <v>1075</v>
      </c>
      <c r="C5" s="3">
        <f>ELEC!N6</f>
        <v>8086</v>
      </c>
      <c r="D5" s="3">
        <f t="shared" si="0"/>
        <v>3456.9999999991851</v>
      </c>
      <c r="E5" s="3">
        <f>ELEC!Q6</f>
        <v>4629.0000000008149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-10.100000000000023</v>
      </c>
      <c r="J5" s="9">
        <f>'B5'!A7</f>
        <v>44199</v>
      </c>
    </row>
    <row r="6" spans="1:10">
      <c r="A6" s="3">
        <f>ELEC!T7+ELEC!X7+ELEC!AB7</f>
        <v>2</v>
      </c>
      <c r="B6" s="3">
        <f>ELEC!AF7</f>
        <v>420</v>
      </c>
      <c r="C6" s="3">
        <f>ELEC!N7</f>
        <v>7278</v>
      </c>
      <c r="D6" s="3">
        <f t="shared" si="0"/>
        <v>7278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-18.599999999999994</v>
      </c>
      <c r="J6" s="9">
        <f>'B5'!A8</f>
        <v>44200</v>
      </c>
    </row>
    <row r="7" spans="1:10">
      <c r="A7" s="3">
        <f>ELEC!T8+ELEC!X8+ELEC!AB8</f>
        <v>4</v>
      </c>
      <c r="B7" s="3">
        <f>ELEC!AF8</f>
        <v>763</v>
      </c>
      <c r="C7" s="3">
        <f>ELEC!N8</f>
        <v>7508</v>
      </c>
      <c r="D7" s="3">
        <f t="shared" si="0"/>
        <v>4248.0000000016007</v>
      </c>
      <c r="E7" s="3">
        <f>ELEC!Q8</f>
        <v>3259.9999999983993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-30.699999999999974</v>
      </c>
      <c r="J7" s="9">
        <f>'B5'!A9</f>
        <v>44201</v>
      </c>
    </row>
    <row r="8" spans="1:10">
      <c r="A8" s="3">
        <f>ELEC!T9+ELEC!X9+ELEC!AB9</f>
        <v>4</v>
      </c>
      <c r="B8" s="3">
        <f>ELEC!AF9</f>
        <v>734</v>
      </c>
      <c r="C8" s="3">
        <f>ELEC!N9</f>
        <v>7042</v>
      </c>
      <c r="D8" s="3">
        <f t="shared" si="0"/>
        <v>4217.9999999994761</v>
      </c>
      <c r="E8" s="3">
        <f>ELEC!Q9</f>
        <v>2824.0000000005239</v>
      </c>
      <c r="F8" s="3">
        <f>GEN!Z8</f>
        <v>5</v>
      </c>
      <c r="G8" s="3">
        <f>WATER!C11+WATER!H11</f>
        <v>0</v>
      </c>
      <c r="H8" s="3">
        <f>WATER!L11</f>
        <v>1</v>
      </c>
      <c r="I8" s="15">
        <f>WATER!BC11+WATER!BD11+WATER!BE12-Sheet1!G8</f>
        <v>-30.300000000000026</v>
      </c>
      <c r="J8" s="9">
        <f>'B5'!A10</f>
        <v>44202</v>
      </c>
    </row>
    <row r="9" spans="1:10">
      <c r="A9" s="3">
        <f>ELEC!T10+ELEC!X10+ELEC!AB10</f>
        <v>3</v>
      </c>
      <c r="B9" s="3">
        <f>ELEC!AF10</f>
        <v>752</v>
      </c>
      <c r="C9" s="3">
        <f>ELEC!N10</f>
        <v>6041.2000000001863</v>
      </c>
      <c r="D9" s="3">
        <f t="shared" si="0"/>
        <v>3169.2000000007974</v>
      </c>
      <c r="E9" s="3">
        <f>ELEC!Q10</f>
        <v>2871.9999999993888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-9.4000000000000199</v>
      </c>
      <c r="J9" s="9">
        <f>'B5'!A11</f>
        <v>44203</v>
      </c>
    </row>
    <row r="10" spans="1:10">
      <c r="A10" s="3">
        <f>ELEC!T11+ELEC!X11+ELEC!AB11</f>
        <v>3</v>
      </c>
      <c r="B10" s="3">
        <f>ELEC!AF11</f>
        <v>483</v>
      </c>
      <c r="C10" s="3">
        <f>ELEC!N11</f>
        <v>7534.7999999998137</v>
      </c>
      <c r="D10" s="3">
        <f t="shared" si="0"/>
        <v>5536.8000000002212</v>
      </c>
      <c r="E10" s="3">
        <f>ELEC!Q11</f>
        <v>1997.9999999995925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-31.399999999999963</v>
      </c>
      <c r="J10" s="9">
        <f>'B5'!A12</f>
        <v>44204</v>
      </c>
    </row>
    <row r="11" spans="1:10">
      <c r="A11" s="3">
        <f>ELEC!T12+ELEC!X12+ELEC!AB12</f>
        <v>1</v>
      </c>
      <c r="B11" s="3">
        <f>ELEC!AF12</f>
        <v>333</v>
      </c>
      <c r="C11" s="3">
        <f>ELEC!N12</f>
        <v>5811</v>
      </c>
      <c r="D11" s="3">
        <f t="shared" si="0"/>
        <v>4371.9999999978754</v>
      </c>
      <c r="E11" s="3">
        <f>ELEC!Q12</f>
        <v>1439.0000000021246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-20.399999999999977</v>
      </c>
      <c r="J11" s="9">
        <f>'B5'!A13</f>
        <v>44205</v>
      </c>
    </row>
    <row r="12" spans="1:10">
      <c r="A12" s="3">
        <f>ELEC!T13+ELEC!X13+ELEC!AB13</f>
        <v>3</v>
      </c>
      <c r="B12" s="3">
        <f>ELEC!AF13</f>
        <v>464</v>
      </c>
      <c r="C12" s="3">
        <f>ELEC!N13</f>
        <v>6505</v>
      </c>
      <c r="D12" s="3">
        <f t="shared" si="0"/>
        <v>4471.0000000003492</v>
      </c>
      <c r="E12" s="3">
        <f>ELEC!Q13</f>
        <v>2033.9999999996508</v>
      </c>
      <c r="F12" s="3">
        <f>GEN!Z12</f>
        <v>3</v>
      </c>
      <c r="G12" s="3">
        <f>WATER!C15+WATER!H15</f>
        <v>0</v>
      </c>
      <c r="H12" s="3">
        <f>WATER!L15</f>
        <v>1</v>
      </c>
      <c r="I12" s="15">
        <f>WATER!BC15+WATER!BD15+WATER!BE16-Sheet1!G12</f>
        <v>-36.80000000000004</v>
      </c>
      <c r="J12" s="9">
        <f>'B5'!A14</f>
        <v>44206</v>
      </c>
    </row>
    <row r="13" spans="1:10">
      <c r="A13" s="3">
        <f>ELEC!T14+ELEC!X14+ELEC!AB14</f>
        <v>3</v>
      </c>
      <c r="B13" s="3">
        <f>ELEC!AF14</f>
        <v>467</v>
      </c>
      <c r="C13" s="3">
        <f>ELEC!N14</f>
        <v>6511</v>
      </c>
      <c r="D13" s="3">
        <f t="shared" si="0"/>
        <v>4532.0000000006403</v>
      </c>
      <c r="E13" s="3">
        <f>ELEC!Q14</f>
        <v>1978.9999999993597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-16.399999999999991</v>
      </c>
      <c r="J13" s="9">
        <f>'B5'!A15</f>
        <v>44207</v>
      </c>
    </row>
    <row r="14" spans="1:10">
      <c r="A14" s="3">
        <f>ELEC!T15+ELEC!X15+ELEC!AB15</f>
        <v>1</v>
      </c>
      <c r="B14" s="3">
        <f>ELEC!AF15</f>
        <v>434</v>
      </c>
      <c r="C14" s="3">
        <f>ELEC!N15</f>
        <v>6339</v>
      </c>
      <c r="D14" s="3">
        <f t="shared" si="0"/>
        <v>4796.0000000021537</v>
      </c>
      <c r="E14" s="3">
        <f>ELEC!Q15</f>
        <v>1542.9999999978463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-14.399999999999977</v>
      </c>
      <c r="J14" s="9">
        <f>'B5'!A16</f>
        <v>44208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6922.3999999999069</v>
      </c>
      <c r="D15" s="3">
        <f t="shared" si="0"/>
        <v>5120.399999996589</v>
      </c>
      <c r="E15" s="3">
        <f>ELEC!Q16</f>
        <v>1802.0000000033178</v>
      </c>
      <c r="F15" s="3">
        <f>GEN!Z15</f>
        <v>2</v>
      </c>
      <c r="G15" s="3">
        <f>WATER!C18+WATER!H18</f>
        <v>0</v>
      </c>
      <c r="H15" s="3">
        <f>WATER!L18</f>
        <v>0</v>
      </c>
      <c r="I15" s="15">
        <f>WATER!BC18+WATER!BD18+WATER!BE19-Sheet1!G15</f>
        <v>-32.500000000000014</v>
      </c>
      <c r="J15" s="9">
        <f>'B5'!A17</f>
        <v>44209</v>
      </c>
    </row>
    <row r="16" spans="1:10">
      <c r="A16" s="3">
        <f>ELEC!T17+ELEC!X17+ELEC!AB17</f>
        <v>3</v>
      </c>
      <c r="B16" s="3">
        <f>ELEC!AF17</f>
        <v>422</v>
      </c>
      <c r="C16" s="3">
        <f>ELEC!N17</f>
        <v>6517.6000000000931</v>
      </c>
      <c r="D16" s="3">
        <f t="shared" si="0"/>
        <v>4483.6000000004424</v>
      </c>
      <c r="E16" s="3">
        <f>ELEC!Q17</f>
        <v>2033.9999999996508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-46.400000000000006</v>
      </c>
      <c r="J16" s="9">
        <f>'B5'!A18</f>
        <v>44210</v>
      </c>
    </row>
    <row r="17" spans="1:10">
      <c r="A17" s="3">
        <f>ELEC!T18+ELEC!X18+ELEC!AB18</f>
        <v>5</v>
      </c>
      <c r="B17" s="3">
        <f>ELEC!AF18</f>
        <v>710</v>
      </c>
      <c r="C17" s="3">
        <f>ELEC!N18</f>
        <v>7053</v>
      </c>
      <c r="D17" s="3">
        <f t="shared" si="0"/>
        <v>3919.0000000018044</v>
      </c>
      <c r="E17" s="3">
        <f>ELEC!Q18</f>
        <v>3133.9999999981956</v>
      </c>
      <c r="F17" s="3">
        <f>GEN!Z17</f>
        <v>3.3999999999996362</v>
      </c>
      <c r="G17" s="3">
        <f>WATER!C20+WATER!H20</f>
        <v>0</v>
      </c>
      <c r="H17" s="3">
        <f>WATER!L20</f>
        <v>0</v>
      </c>
      <c r="I17" s="15">
        <f>WATER!BC20+WATER!BD20+WATER!BE21-Sheet1!G17</f>
        <v>203.79999999999998</v>
      </c>
      <c r="J17" s="9">
        <f>'B5'!A19</f>
        <v>44211</v>
      </c>
    </row>
    <row r="18" spans="1:10">
      <c r="A18" s="3">
        <f>ELEC!T19+ELEC!X19+ELEC!AB19</f>
        <v>1</v>
      </c>
      <c r="B18" s="3">
        <f>ELEC!AF19</f>
        <v>293</v>
      </c>
      <c r="C18" s="3">
        <f>ELEC!N19</f>
        <v>5078.6000000000931</v>
      </c>
      <c r="D18" s="3">
        <f t="shared" si="0"/>
        <v>4116.6000000005588</v>
      </c>
      <c r="E18" s="3">
        <f>ELEC!Q19</f>
        <v>961.99999999953434</v>
      </c>
      <c r="F18" s="3">
        <f>GEN!Z18</f>
        <v>5.6000000000003638</v>
      </c>
      <c r="G18" s="3">
        <f>WATER!C21+WATER!H21</f>
        <v>298</v>
      </c>
      <c r="H18" s="3">
        <f>WATER!L21</f>
        <v>1</v>
      </c>
      <c r="I18" s="15">
        <f>WATER!BC21+WATER!BD21+WATER!BE22-Sheet1!G18</f>
        <v>-209.10000000000002</v>
      </c>
      <c r="J18" s="9">
        <f>'B5'!A20</f>
        <v>44212</v>
      </c>
    </row>
    <row r="19" spans="1:10">
      <c r="A19" s="3">
        <f>ELEC!T20+ELEC!X20+ELEC!AB20</f>
        <v>3</v>
      </c>
      <c r="B19" s="3">
        <f>ELEC!AF20</f>
        <v>395</v>
      </c>
      <c r="C19" s="3">
        <f>ELEC!N20</f>
        <v>5935.6000000000931</v>
      </c>
      <c r="D19" s="3">
        <f t="shared" si="0"/>
        <v>4106.5999999985506</v>
      </c>
      <c r="E19" s="3">
        <f>ELEC!Q20</f>
        <v>1829.0000000015425</v>
      </c>
      <c r="F19" s="3">
        <f>GEN!Z19</f>
        <v>1.6000000000003638</v>
      </c>
      <c r="G19" s="3">
        <f>WATER!C22+WATER!H22</f>
        <v>0</v>
      </c>
      <c r="H19" s="3">
        <f>WATER!L22</f>
        <v>0</v>
      </c>
      <c r="I19" s="15">
        <f>WATER!BC22+WATER!BD22+WATER!BE23-Sheet1!G19</f>
        <v>56.400000000000006</v>
      </c>
      <c r="J19" s="9">
        <f>'B5'!A21</f>
        <v>44213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2.5</v>
      </c>
      <c r="G20" s="3">
        <f>WATER!C23+WATER!H23</f>
        <v>170</v>
      </c>
      <c r="H20" s="3">
        <f>WATER!L23</f>
        <v>0</v>
      </c>
      <c r="I20" s="15">
        <f>WATER!BC23+WATER!BD23+WATER!BE24-Sheet1!G20</f>
        <v>-86.000000000000028</v>
      </c>
      <c r="J20" s="9">
        <f>'B5'!A22</f>
        <v>44214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44216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44217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44218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44219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44220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44221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44222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44223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44224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44225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55"/>
      <c r="B1" s="652" t="s">
        <v>119</v>
      </c>
      <c r="C1" s="652" t="s">
        <v>118</v>
      </c>
      <c r="D1" s="657" t="s">
        <v>113</v>
      </c>
      <c r="E1" s="657" t="s">
        <v>114</v>
      </c>
      <c r="F1" s="658" t="s">
        <v>120</v>
      </c>
      <c r="G1" s="659" t="s">
        <v>75</v>
      </c>
      <c r="H1" s="660" t="s">
        <v>115</v>
      </c>
      <c r="I1" s="661" t="s">
        <v>116</v>
      </c>
      <c r="J1" s="660" t="s">
        <v>117</v>
      </c>
      <c r="K1" s="654" t="s">
        <v>121</v>
      </c>
      <c r="L1" s="654" t="s">
        <v>122</v>
      </c>
      <c r="M1" s="654" t="s">
        <v>123</v>
      </c>
      <c r="N1" s="654" t="s">
        <v>124</v>
      </c>
    </row>
    <row r="2" spans="1:14">
      <c r="A2" s="656"/>
      <c r="B2" s="653"/>
      <c r="C2" s="653"/>
      <c r="D2" s="657"/>
      <c r="E2" s="657"/>
      <c r="F2" s="658"/>
      <c r="G2" s="659"/>
      <c r="H2" s="660"/>
      <c r="I2" s="662"/>
      <c r="J2" s="660"/>
      <c r="K2" s="654"/>
      <c r="L2" s="654"/>
      <c r="M2" s="654"/>
      <c r="N2" s="65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44197</v>
      </c>
      <c r="B5" s="76">
        <f>'B5'!V5</f>
        <v>235</v>
      </c>
      <c r="C5" s="76">
        <f>'B5'!AH5</f>
        <v>52</v>
      </c>
      <c r="D5" s="76">
        <f>GEN!AI3</f>
        <v>128.43459915606573</v>
      </c>
      <c r="E5" s="244">
        <f t="shared" ref="E5:E33" si="0">B5+C5+D5</f>
        <v>415.4345991560657</v>
      </c>
      <c r="F5" s="75">
        <f>WATER!L5</f>
        <v>0</v>
      </c>
      <c r="G5" s="78">
        <f>WATER!BG5</f>
        <v>26.899999999999991</v>
      </c>
      <c r="H5" s="79">
        <f>ELEC!AF3</f>
        <v>668</v>
      </c>
      <c r="I5" s="79">
        <f>ELEC!Q3</f>
        <v>498.99999999979627</v>
      </c>
      <c r="J5" s="79">
        <f>ELEC!R3</f>
        <v>5340.0000000002037</v>
      </c>
      <c r="K5" s="80"/>
      <c r="L5" s="3"/>
      <c r="M5" s="3"/>
      <c r="N5" s="3"/>
    </row>
    <row r="6" spans="1:14">
      <c r="A6" s="63">
        <f>'B5'!A6</f>
        <v>44198</v>
      </c>
      <c r="B6" s="76">
        <f>'B5'!V6</f>
        <v>222</v>
      </c>
      <c r="C6" s="76">
        <f>'B5'!AH6</f>
        <v>59.5</v>
      </c>
      <c r="D6" s="76">
        <f>GEN!AI4</f>
        <v>511.93670886111909</v>
      </c>
      <c r="E6" s="244">
        <f t="shared" si="0"/>
        <v>793.43670886111909</v>
      </c>
      <c r="F6" s="75">
        <f>WATER!L6</f>
        <v>0</v>
      </c>
      <c r="G6" s="78">
        <f>WATER!BG6</f>
        <v>58.599999999999966</v>
      </c>
      <c r="H6" s="79">
        <f>ELEC!AF4</f>
        <v>652</v>
      </c>
      <c r="I6" s="79">
        <f>ELEC!Q4</f>
        <v>1989.000000001397</v>
      </c>
      <c r="J6" s="79">
        <f>ELEC!R4</f>
        <v>5400.999999998603</v>
      </c>
      <c r="K6" s="3"/>
      <c r="L6" s="3"/>
      <c r="M6" s="3"/>
      <c r="N6" s="3"/>
    </row>
    <row r="7" spans="1:14">
      <c r="A7" s="63">
        <f>'B5'!A7</f>
        <v>44199</v>
      </c>
      <c r="B7" s="76">
        <f>'B5'!V7</f>
        <v>226</v>
      </c>
      <c r="C7" s="76">
        <f>'B5'!AH7</f>
        <v>0</v>
      </c>
      <c r="D7" s="76">
        <f>GEN!AI5</f>
        <v>554.14767932449001</v>
      </c>
      <c r="E7" s="244">
        <f t="shared" si="0"/>
        <v>780.14767932449001</v>
      </c>
      <c r="F7" s="75">
        <f>WATER!L7</f>
        <v>1</v>
      </c>
      <c r="G7" s="78">
        <f>WATER!BG7</f>
        <v>-10.399999999999949</v>
      </c>
      <c r="H7" s="79">
        <f>ELEC!AF5</f>
        <v>527</v>
      </c>
      <c r="I7" s="79">
        <f>ELEC!Q5</f>
        <v>2152.9999999984284</v>
      </c>
      <c r="J7" s="79">
        <f>ELEC!R5</f>
        <v>3968.0000000015716</v>
      </c>
      <c r="K7" s="3"/>
      <c r="L7" s="3"/>
      <c r="M7" s="3"/>
      <c r="N7" s="3"/>
    </row>
    <row r="8" spans="1:14">
      <c r="A8" s="63">
        <f>'B5'!A8</f>
        <v>44200</v>
      </c>
      <c r="B8" s="76">
        <f>'B5'!V8</f>
        <v>157</v>
      </c>
      <c r="C8" s="76">
        <f>'B5'!AH8</f>
        <v>0</v>
      </c>
      <c r="D8" s="76">
        <f>GEN!AI6</f>
        <v>1191.4303797470452</v>
      </c>
      <c r="E8" s="244">
        <f t="shared" si="0"/>
        <v>1348.4303797470452</v>
      </c>
      <c r="F8" s="75">
        <f>WATER!L8</f>
        <v>0</v>
      </c>
      <c r="G8" s="78">
        <f>WATER!BG8</f>
        <v>-1</v>
      </c>
      <c r="H8" s="79">
        <f>ELEC!AF6</f>
        <v>1075</v>
      </c>
      <c r="I8" s="79">
        <f>ELEC!Q6</f>
        <v>4629.0000000008149</v>
      </c>
      <c r="J8" s="79">
        <f>ELEC!R6</f>
        <v>3456.9999999991851</v>
      </c>
      <c r="K8" s="3"/>
      <c r="L8" s="3"/>
      <c r="M8" s="3"/>
      <c r="N8" s="3"/>
    </row>
    <row r="9" spans="1:14">
      <c r="A9" s="63">
        <f>'B5'!A9</f>
        <v>44201</v>
      </c>
      <c r="B9" s="76">
        <f>'B5'!V9</f>
        <v>281</v>
      </c>
      <c r="C9" s="76">
        <f>'B5'!AH9</f>
        <v>0</v>
      </c>
      <c r="D9" s="76">
        <f>GEN!AI7</f>
        <v>515.28270042204588</v>
      </c>
      <c r="E9" s="244">
        <f t="shared" si="0"/>
        <v>796.28270042204588</v>
      </c>
      <c r="F9" s="75">
        <f>WATER!L9</f>
        <v>0</v>
      </c>
      <c r="G9" s="78">
        <f>WATER!BG9</f>
        <v>-9.1000000000000227</v>
      </c>
      <c r="H9" s="79">
        <f>ELEC!AF7</f>
        <v>420</v>
      </c>
      <c r="I9" s="79">
        <f>ELEC!Q7</f>
        <v>2002.0000000004075</v>
      </c>
      <c r="J9" s="79">
        <f>ELEC!R7</f>
        <v>5275.9999999995925</v>
      </c>
      <c r="K9" s="3"/>
      <c r="L9" s="3"/>
      <c r="M9" s="3"/>
      <c r="N9" s="3"/>
    </row>
    <row r="10" spans="1:14">
      <c r="A10" s="63">
        <f>'B5'!A10</f>
        <v>44202</v>
      </c>
      <c r="B10" s="76">
        <f>'B5'!V10</f>
        <v>172</v>
      </c>
      <c r="C10" s="76">
        <f>'B5'!AH10</f>
        <v>0</v>
      </c>
      <c r="D10" s="76">
        <f>GEN!AI8</f>
        <v>839.07172995739393</v>
      </c>
      <c r="E10" s="244">
        <f t="shared" si="0"/>
        <v>1011.0717299573939</v>
      </c>
      <c r="F10" s="75">
        <f>WATER!L10</f>
        <v>0</v>
      </c>
      <c r="G10" s="78">
        <f>WATER!BG10</f>
        <v>-9.4999999999999716</v>
      </c>
      <c r="H10" s="79">
        <f>ELEC!AF8</f>
        <v>763</v>
      </c>
      <c r="I10" s="79">
        <f>ELEC!Q8</f>
        <v>3259.9999999983993</v>
      </c>
      <c r="J10" s="79">
        <f>ELEC!R8</f>
        <v>4248.0000000016007</v>
      </c>
      <c r="K10" s="3"/>
      <c r="L10" s="3"/>
      <c r="M10" s="3"/>
      <c r="N10" s="3"/>
    </row>
    <row r="11" spans="1:14">
      <c r="A11" s="63">
        <f>'B5'!A11</f>
        <v>44203</v>
      </c>
      <c r="B11" s="76">
        <f>'B5'!V11</f>
        <v>211</v>
      </c>
      <c r="C11" s="76">
        <f>'B5'!AH11</f>
        <v>0</v>
      </c>
      <c r="D11" s="76">
        <f>GEN!AI9</f>
        <v>726.85232067524043</v>
      </c>
      <c r="E11" s="244">
        <f t="shared" si="0"/>
        <v>937.85232067524043</v>
      </c>
      <c r="F11" s="75">
        <f>WATER!L11</f>
        <v>1</v>
      </c>
      <c r="G11" s="78">
        <f>WATER!BG11</f>
        <v>-21.200000000000003</v>
      </c>
      <c r="H11" s="79">
        <f>ELEC!AF9</f>
        <v>734</v>
      </c>
      <c r="I11" s="79">
        <f>ELEC!Q9</f>
        <v>2824.0000000005239</v>
      </c>
      <c r="J11" s="79">
        <f>ELEC!R9</f>
        <v>4217.9999999994761</v>
      </c>
      <c r="K11" s="3"/>
      <c r="L11" s="3"/>
      <c r="M11" s="3"/>
      <c r="N11" s="3"/>
    </row>
    <row r="12" spans="1:14">
      <c r="A12" s="63">
        <f>'B5'!A12</f>
        <v>44204</v>
      </c>
      <c r="B12" s="76">
        <f>'B5'!V12</f>
        <v>209</v>
      </c>
      <c r="C12" s="76">
        <f>'B5'!AH12</f>
        <v>0</v>
      </c>
      <c r="D12" s="76">
        <f>GEN!AI10</f>
        <v>739.20675105469502</v>
      </c>
      <c r="E12" s="244">
        <f t="shared" si="0"/>
        <v>948.20675105469502</v>
      </c>
      <c r="F12" s="75">
        <f>WATER!L12</f>
        <v>0</v>
      </c>
      <c r="G12" s="78">
        <f>WATER!BG12</f>
        <v>-9.1000000000000227</v>
      </c>
      <c r="H12" s="79">
        <f>ELEC!AF10</f>
        <v>752</v>
      </c>
      <c r="I12" s="79">
        <f>ELEC!Q10</f>
        <v>2871.9999999993888</v>
      </c>
      <c r="J12" s="79">
        <f>ELEC!R10</f>
        <v>3169.2000000007974</v>
      </c>
      <c r="K12" s="3"/>
      <c r="L12" s="3"/>
      <c r="M12" s="3"/>
      <c r="N12" s="3"/>
    </row>
    <row r="13" spans="1:14">
      <c r="A13" s="63">
        <f>'B5'!A13</f>
        <v>44205</v>
      </c>
      <c r="B13" s="76">
        <f>'B5'!V13</f>
        <v>0</v>
      </c>
      <c r="C13" s="76">
        <f>'B5'!AH13</f>
        <v>0</v>
      </c>
      <c r="D13" s="76">
        <f>GEN!AI11</f>
        <v>514.2531645568572</v>
      </c>
      <c r="E13" s="244">
        <f t="shared" si="0"/>
        <v>514.2531645568572</v>
      </c>
      <c r="F13" s="75">
        <f>WATER!L13</f>
        <v>0</v>
      </c>
      <c r="G13" s="78">
        <f>WATER!BG13</f>
        <v>-10.200000000000003</v>
      </c>
      <c r="H13" s="79">
        <f>ELEC!AF11</f>
        <v>483</v>
      </c>
      <c r="I13" s="79">
        <f>ELEC!Q11</f>
        <v>1997.9999999995925</v>
      </c>
      <c r="J13" s="79">
        <f>ELEC!R11</f>
        <v>5536.8000000002212</v>
      </c>
      <c r="K13" s="3"/>
      <c r="L13" s="3"/>
      <c r="M13" s="3"/>
      <c r="N13" s="3"/>
    </row>
    <row r="14" spans="1:14">
      <c r="A14" s="63">
        <f>'B5'!A14</f>
        <v>44206</v>
      </c>
      <c r="B14" s="76">
        <f>'B5'!V14</f>
        <v>161</v>
      </c>
      <c r="C14" s="76">
        <f>'B5'!AH14</f>
        <v>0</v>
      </c>
      <c r="D14" s="76">
        <f>GEN!AI12</f>
        <v>370.37552742670721</v>
      </c>
      <c r="E14" s="244">
        <f t="shared" si="0"/>
        <v>531.37552742670721</v>
      </c>
      <c r="F14" s="75">
        <f>WATER!L14</f>
        <v>0</v>
      </c>
      <c r="G14" s="78">
        <f>WATER!BG14</f>
        <v>-21.19999999999996</v>
      </c>
      <c r="H14" s="79">
        <f>ELEC!AF12</f>
        <v>333</v>
      </c>
      <c r="I14" s="79">
        <f>ELEC!Q12</f>
        <v>1439.0000000021246</v>
      </c>
      <c r="J14" s="79">
        <f>ELEC!R12</f>
        <v>4371.9999999978754</v>
      </c>
      <c r="K14" s="3"/>
      <c r="L14" s="3"/>
      <c r="M14" s="3"/>
      <c r="N14" s="3"/>
    </row>
    <row r="15" spans="1:14">
      <c r="A15" s="63">
        <f>'B5'!A15</f>
        <v>44207</v>
      </c>
      <c r="B15" s="76">
        <f>'B5'!V15</f>
        <v>231</v>
      </c>
      <c r="C15" s="76">
        <f>'B5'!AH15</f>
        <v>0</v>
      </c>
      <c r="D15" s="76">
        <f>GEN!AI13</f>
        <v>523.5189873416823</v>
      </c>
      <c r="E15" s="244">
        <f t="shared" si="0"/>
        <v>754.5189873416823</v>
      </c>
      <c r="F15" s="75">
        <f>WATER!L15</f>
        <v>1</v>
      </c>
      <c r="G15" s="78">
        <f>WATER!BG15</f>
        <v>0.79999999999998295</v>
      </c>
      <c r="H15" s="79">
        <f>ELEC!AF13</f>
        <v>464</v>
      </c>
      <c r="I15" s="79">
        <f>ELEC!Q13</f>
        <v>2033.9999999996508</v>
      </c>
      <c r="J15" s="79">
        <f>ELEC!R13</f>
        <v>4471.0000000003492</v>
      </c>
      <c r="K15" s="3"/>
      <c r="L15" s="3"/>
      <c r="M15" s="3"/>
      <c r="N15" s="3"/>
    </row>
    <row r="16" spans="1:14">
      <c r="A16" s="63">
        <f>'B5'!A16</f>
        <v>44208</v>
      </c>
      <c r="B16" s="76">
        <f>'B5'!V16</f>
        <v>496</v>
      </c>
      <c r="C16" s="76">
        <f>'B5'!AH16</f>
        <v>0</v>
      </c>
      <c r="D16" s="76">
        <f>GEN!AI14</f>
        <v>509.36286919814745</v>
      </c>
      <c r="E16" s="244">
        <f t="shared" si="0"/>
        <v>1005.3628691981475</v>
      </c>
      <c r="F16" s="75">
        <f>WATER!L16</f>
        <v>0</v>
      </c>
      <c r="G16" s="78">
        <f>WATER!BG16</f>
        <v>-37.600000000000023</v>
      </c>
      <c r="H16" s="79">
        <f>ELEC!AF14</f>
        <v>467</v>
      </c>
      <c r="I16" s="79">
        <f>ELEC!Q14</f>
        <v>1978.9999999993597</v>
      </c>
      <c r="J16" s="79">
        <f>ELEC!R14</f>
        <v>4532.0000000006403</v>
      </c>
      <c r="K16" s="3"/>
      <c r="L16" s="3"/>
      <c r="M16" s="3"/>
      <c r="N16" s="3"/>
    </row>
    <row r="17" spans="1:14">
      <c r="A17" s="63">
        <f>'B5'!A17</f>
        <v>44209</v>
      </c>
      <c r="B17" s="76">
        <f>'B5'!V17</f>
        <v>325</v>
      </c>
      <c r="C17" s="76">
        <f>'B5'!AH17</f>
        <v>0</v>
      </c>
      <c r="D17" s="76">
        <f>GEN!AI15</f>
        <v>397.14345991505752</v>
      </c>
      <c r="E17" s="244">
        <f t="shared" si="0"/>
        <v>722.14345991505752</v>
      </c>
      <c r="F17" s="75">
        <f>WATER!L17</f>
        <v>0</v>
      </c>
      <c r="G17" s="78">
        <f>WATER!BG17</f>
        <v>13.100000000000037</v>
      </c>
      <c r="H17" s="79">
        <f>ELEC!AF15</f>
        <v>434</v>
      </c>
      <c r="I17" s="79">
        <f>ELEC!Q15</f>
        <v>1542.9999999978463</v>
      </c>
      <c r="J17" s="79">
        <f>ELEC!R15</f>
        <v>4796.0000000021537</v>
      </c>
      <c r="K17" s="3"/>
      <c r="L17" s="3"/>
      <c r="M17" s="3"/>
      <c r="N17" s="3"/>
    </row>
    <row r="18" spans="1:14">
      <c r="A18" s="63">
        <f>'B5'!A18</f>
        <v>44210</v>
      </c>
      <c r="B18" s="76">
        <f>'B5'!V18</f>
        <v>168</v>
      </c>
      <c r="C18" s="76">
        <f>'B5'!AH18</f>
        <v>0</v>
      </c>
      <c r="D18" s="76">
        <f>GEN!AI16</f>
        <v>463.80590717384979</v>
      </c>
      <c r="E18" s="244">
        <f t="shared" si="0"/>
        <v>631.80590717384985</v>
      </c>
      <c r="F18" s="75">
        <f>WATER!L18</f>
        <v>0</v>
      </c>
      <c r="G18" s="78">
        <f>WATER!BG18</f>
        <v>-27.500000000000014</v>
      </c>
      <c r="H18" s="79">
        <f>ELEC!AF16</f>
        <v>386</v>
      </c>
      <c r="I18" s="79">
        <f>ELEC!Q16</f>
        <v>1802.0000000033178</v>
      </c>
      <c r="J18" s="79">
        <f>ELEC!R16</f>
        <v>5120.399999996589</v>
      </c>
      <c r="K18" s="3"/>
      <c r="L18" s="3"/>
      <c r="M18" s="3"/>
      <c r="N18" s="3"/>
    </row>
    <row r="19" spans="1:14">
      <c r="A19" s="63">
        <f>'B5'!A19</f>
        <v>44211</v>
      </c>
      <c r="B19" s="76">
        <f>'B5'!V19</f>
        <v>192</v>
      </c>
      <c r="C19" s="76">
        <f>'B5'!AH19</f>
        <v>0</v>
      </c>
      <c r="D19" s="76">
        <f>GEN!AI17</f>
        <v>523.5189873416823</v>
      </c>
      <c r="E19" s="244">
        <f t="shared" si="0"/>
        <v>715.5189873416823</v>
      </c>
      <c r="F19" s="75">
        <f>WATER!L19</f>
        <v>0</v>
      </c>
      <c r="G19" s="78">
        <f>WATER!BG19</f>
        <v>-11.300000000000011</v>
      </c>
      <c r="H19" s="79">
        <f>ELEC!AF17</f>
        <v>422</v>
      </c>
      <c r="I19" s="79">
        <f>ELEC!Q17</f>
        <v>2033.9999999996508</v>
      </c>
      <c r="J19" s="79">
        <f>ELEC!R17</f>
        <v>4483.6000000004424</v>
      </c>
      <c r="K19" s="3"/>
      <c r="L19" s="3"/>
      <c r="M19" s="3"/>
      <c r="N19" s="3"/>
    </row>
    <row r="20" spans="1:14">
      <c r="A20" s="63">
        <f>'B5'!A20</f>
        <v>44212</v>
      </c>
      <c r="B20" s="76">
        <f>'B5'!V20</f>
        <v>275</v>
      </c>
      <c r="C20" s="76">
        <f>'B5'!AH20</f>
        <v>0</v>
      </c>
      <c r="D20" s="76">
        <f>GEN!AI18</f>
        <v>806.64135021050606</v>
      </c>
      <c r="E20" s="244">
        <f t="shared" si="0"/>
        <v>1081.6413502105061</v>
      </c>
      <c r="F20" s="75">
        <f>WATER!L20</f>
        <v>0</v>
      </c>
      <c r="G20" s="78">
        <f>WATER!BG20</f>
        <v>-35.099999999999994</v>
      </c>
      <c r="H20" s="79">
        <f>ELEC!AF18</f>
        <v>710</v>
      </c>
      <c r="I20" s="79">
        <f>ELEC!Q18</f>
        <v>3133.9999999981956</v>
      </c>
      <c r="J20" s="79">
        <f>ELEC!R18</f>
        <v>3919.0000000018044</v>
      </c>
      <c r="K20" s="3"/>
      <c r="L20" s="3"/>
      <c r="M20" s="3"/>
      <c r="N20" s="3"/>
    </row>
    <row r="21" spans="1:14">
      <c r="A21" s="63">
        <f>'B5'!A21</f>
        <v>44213</v>
      </c>
      <c r="B21" s="76">
        <f>'B5'!V21</f>
        <v>238</v>
      </c>
      <c r="C21" s="76">
        <f>'B5'!AH21</f>
        <v>0</v>
      </c>
      <c r="D21" s="76">
        <f>GEN!AI19</f>
        <v>247.60337552730633</v>
      </c>
      <c r="E21" s="244">
        <f t="shared" si="0"/>
        <v>485.6033755273063</v>
      </c>
      <c r="F21" s="75">
        <f>WATER!L21</f>
        <v>1</v>
      </c>
      <c r="G21" s="78">
        <f>WATER!BG21</f>
        <v>156.09999999999997</v>
      </c>
      <c r="H21" s="79">
        <f>ELEC!AF19</f>
        <v>293</v>
      </c>
      <c r="I21" s="79">
        <f>ELEC!Q19</f>
        <v>961.99999999953434</v>
      </c>
      <c r="J21" s="79">
        <f>ELEC!R19</f>
        <v>4116.6000000005588</v>
      </c>
      <c r="K21" s="3"/>
      <c r="L21" s="3"/>
      <c r="M21" s="3"/>
      <c r="N21" s="3"/>
    </row>
    <row r="22" spans="1:14">
      <c r="A22" s="63">
        <f>'B5'!A22</f>
        <v>44214</v>
      </c>
      <c r="B22" s="76">
        <f>'B5'!V22</f>
        <v>260</v>
      </c>
      <c r="C22" s="76">
        <f>'B5'!AH22</f>
        <v>0</v>
      </c>
      <c r="D22" s="76">
        <f>GEN!AI20</f>
        <v>470.75527426200046</v>
      </c>
      <c r="E22" s="244">
        <f t="shared" si="0"/>
        <v>730.75527426200051</v>
      </c>
      <c r="F22" s="75">
        <f>WATER!L22</f>
        <v>0</v>
      </c>
      <c r="G22" s="78">
        <f>WATER!BG22</f>
        <v>-11.399999999999963</v>
      </c>
      <c r="H22" s="79">
        <f>ELEC!AF20</f>
        <v>395</v>
      </c>
      <c r="I22" s="79">
        <f>ELEC!Q20</f>
        <v>1829.0000000015425</v>
      </c>
      <c r="J22" s="79">
        <f>ELEC!R20</f>
        <v>4106.5999999985506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61.499999999999972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44216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44217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44218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44219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44220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44221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44222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44223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44224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44225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44226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63" t="s">
        <v>151</v>
      </c>
      <c r="U3" s="663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abSelected="1" zoomScale="112" zoomScaleNormal="112" workbookViewId="0">
      <pane ySplit="1" topLeftCell="A8" activePane="bottomLeft" state="frozen"/>
      <selection pane="bottomLeft" activeCell="J20" sqref="J20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" thickBot="1">
      <c r="A2" s="4">
        <f>ELEC!C2</f>
        <v>44196</v>
      </c>
      <c r="B2" s="272">
        <v>9448</v>
      </c>
      <c r="C2" s="272">
        <f>[1]GEN!C33</f>
        <v>3</v>
      </c>
      <c r="D2" s="272">
        <v>293650</v>
      </c>
      <c r="E2" s="272">
        <f>[1]GEN!E33</f>
        <v>513</v>
      </c>
      <c r="F2" s="272">
        <f>[1]GEN!F33</f>
        <v>171</v>
      </c>
      <c r="G2" s="272">
        <f>[1]GEN!G33</f>
        <v>0</v>
      </c>
      <c r="H2" s="272">
        <f>[1]GEN!H33</f>
        <v>94679</v>
      </c>
      <c r="I2" s="272" t="str">
        <f>[1]GEN!I33</f>
        <v>ok</v>
      </c>
      <c r="J2" s="272">
        <v>10698</v>
      </c>
      <c r="K2" s="272">
        <f>[1]GEN!K33</f>
        <v>0</v>
      </c>
      <c r="L2" s="272">
        <f>[1]GEN!L33</f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v>11776</v>
      </c>
      <c r="S2" s="272">
        <f>[1]GEN!S33</f>
        <v>0</v>
      </c>
      <c r="T2" s="272">
        <f>[1]GEN!T33</f>
        <v>373729</v>
      </c>
      <c r="U2" s="272">
        <f>[1]GEN!U33</f>
        <v>750</v>
      </c>
      <c r="V2" s="272">
        <f>[1]GEN!V33</f>
        <v>0</v>
      </c>
      <c r="W2" s="272">
        <f>[1]GEN!W33</f>
        <v>0</v>
      </c>
      <c r="X2" s="272">
        <f>[1]GEN!X33</f>
        <v>12141</v>
      </c>
      <c r="Y2" s="272" t="str">
        <f>[1]GEN!Y33</f>
        <v>ok</v>
      </c>
      <c r="Z2" s="272">
        <f>[1]GEN!Z33</f>
        <v>3</v>
      </c>
      <c r="AA2" s="272">
        <f>[1]GEN!AA33</f>
        <v>1263</v>
      </c>
      <c r="AB2" s="272">
        <f>[1]GEN!AB33</f>
        <v>171</v>
      </c>
      <c r="AC2" s="272">
        <f>[1]GEN!AC33</f>
        <v>421</v>
      </c>
      <c r="AD2" s="272">
        <f>[1]GEN!AD33</f>
        <v>2088.9999999999418</v>
      </c>
      <c r="AE2" s="272">
        <f>[1]GEN!AE33</f>
        <v>696.33333333331393</v>
      </c>
      <c r="AF2" s="272">
        <f>[1]GEN!AF33</f>
        <v>0.43520833333332121</v>
      </c>
      <c r="AG2" s="272">
        <f>[1]GEN!AG33</f>
        <v>139.26666666666279</v>
      </c>
      <c r="AH2" s="272">
        <f>[1]GEN!AH33</f>
        <v>281.73333333333721</v>
      </c>
      <c r="AI2" s="272">
        <f>[1]GEN!AI33</f>
        <v>537.67510548521716</v>
      </c>
      <c r="AJ2" s="272">
        <f>[1]GEN!AJ33</f>
        <v>0.25738396624472576</v>
      </c>
      <c r="AK2" s="272">
        <f>[1]GEN!AK33</f>
        <v>179.22503516173904</v>
      </c>
    </row>
    <row r="3" spans="1:37" ht="15" thickBot="1">
      <c r="A3" s="4">
        <f>ELEC!C3</f>
        <v>44197</v>
      </c>
      <c r="B3" s="548">
        <v>9449</v>
      </c>
      <c r="C3" s="290">
        <f>B3-B2</f>
        <v>1</v>
      </c>
      <c r="D3" s="549">
        <v>293732</v>
      </c>
      <c r="E3" s="290">
        <f>SUM(D3-D2)</f>
        <v>82</v>
      </c>
      <c r="F3" s="290">
        <f t="shared" ref="F3:F32" si="0">IF(C3&gt;0,E3/C3,0)</f>
        <v>82</v>
      </c>
      <c r="G3" s="272">
        <f>[3]GEN!G32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[3]GEN!O32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11776</v>
      </c>
      <c r="S3" s="290">
        <f t="shared" ref="S3:S32" si="5">R3-R2</f>
        <v>0</v>
      </c>
      <c r="T3" s="549">
        <f>T2</f>
        <v>373729</v>
      </c>
      <c r="U3" s="290">
        <f t="shared" ref="U3:U9" si="6">SUM(T3-T2)</f>
        <v>0</v>
      </c>
      <c r="V3" s="290">
        <f>IF(S3&gt;0,U3/S3,0)</f>
        <v>0</v>
      </c>
      <c r="W3" s="272">
        <f>[3]GEN!W32</f>
        <v>0</v>
      </c>
      <c r="X3" s="291">
        <f>X2</f>
        <v>12141</v>
      </c>
      <c r="Y3" s="290" t="str">
        <f t="shared" ref="Y3:Y9" si="7">IF(R3-X3&lt;=0,"ok","oil change")</f>
        <v>ok</v>
      </c>
      <c r="Z3" s="290">
        <f t="shared" ref="Z3:Z33" si="8">C3+K3+S3</f>
        <v>1</v>
      </c>
      <c r="AA3" s="290">
        <f>U3+M3+E3</f>
        <v>82</v>
      </c>
      <c r="AB3" s="290">
        <f>V3+N3+F3</f>
        <v>82</v>
      </c>
      <c r="AC3" s="290">
        <f>IF(Z3&gt;0,AA3/Z3,0)</f>
        <v>82</v>
      </c>
      <c r="AD3" s="73">
        <f>ELEC!Q3</f>
        <v>498.99999999979627</v>
      </c>
      <c r="AE3" s="73">
        <f>SUM(AD3/Z3)</f>
        <v>498.99999999979627</v>
      </c>
      <c r="AF3" s="406">
        <f>SUM(AE3/1600)</f>
        <v>0.31187499999987267</v>
      </c>
      <c r="AG3" s="407">
        <f>SUM(360*AF3)</f>
        <v>112.27499999995416</v>
      </c>
      <c r="AH3" s="407">
        <f>SUM(AC3-AG3)</f>
        <v>-30.274999999954161</v>
      </c>
      <c r="AI3" s="73">
        <f>AD3*AJ3</f>
        <v>128.43459915606573</v>
      </c>
      <c r="AJ3" s="292">
        <f t="shared" ref="AJ3:AJ33" si="9">305/1185</f>
        <v>0.25738396624472576</v>
      </c>
      <c r="AK3" s="292">
        <f t="shared" ref="AK3:AK8" si="10">AI3/Z3</f>
        <v>128.43459915606573</v>
      </c>
    </row>
    <row r="4" spans="1:37" ht="15" thickBot="1">
      <c r="A4" s="4">
        <f>ELEC!C4</f>
        <v>44198</v>
      </c>
      <c r="B4" s="548">
        <v>9452</v>
      </c>
      <c r="C4" s="290">
        <f t="shared" ref="C4:C32" si="11">B4-B3</f>
        <v>3</v>
      </c>
      <c r="D4" s="549">
        <v>294224.5</v>
      </c>
      <c r="E4" s="290">
        <f t="shared" ref="E4:E32" si="12">SUM(D4-D3)</f>
        <v>492.5</v>
      </c>
      <c r="F4" s="290">
        <f t="shared" si="0"/>
        <v>164.16666666666666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11776</v>
      </c>
      <c r="S4" s="290">
        <f t="shared" si="5"/>
        <v>0</v>
      </c>
      <c r="T4" s="549">
        <f t="shared" ref="T4:T33" si="19">T3</f>
        <v>373729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12141</v>
      </c>
      <c r="Y4" s="290" t="str">
        <f t="shared" si="7"/>
        <v>ok</v>
      </c>
      <c r="Z4" s="290">
        <f t="shared" si="8"/>
        <v>3</v>
      </c>
      <c r="AA4" s="290">
        <f t="shared" ref="AA4:AA32" si="22">U4+M4+E4</f>
        <v>492.5</v>
      </c>
      <c r="AB4" s="290">
        <f t="shared" ref="AB4:AB32" si="23">V4+N4+F4</f>
        <v>164.16666666666666</v>
      </c>
      <c r="AC4" s="290">
        <f t="shared" ref="AC4:AC32" si="24">IF(Z4&gt;0,AA4/Z4,0)</f>
        <v>164.16666666666666</v>
      </c>
      <c r="AD4" s="73">
        <f>ELEC!Q4</f>
        <v>1989.000000001397</v>
      </c>
      <c r="AE4" s="73">
        <f>SUM(AD4/Z4)</f>
        <v>663.00000000046566</v>
      </c>
      <c r="AF4" s="406">
        <f>SUM(AE4/1600)</f>
        <v>0.41437500000029104</v>
      </c>
      <c r="AG4" s="407">
        <f>SUM(360*AF4)</f>
        <v>149.17500000010477</v>
      </c>
      <c r="AH4" s="407">
        <f t="shared" ref="AH4:AH32" si="25">SUM(AC4-AG4)</f>
        <v>14.991666666561883</v>
      </c>
      <c r="AI4" s="73">
        <f>AD4*AJ4</f>
        <v>511.93670886111909</v>
      </c>
      <c r="AJ4" s="292">
        <f t="shared" si="9"/>
        <v>0.25738396624472576</v>
      </c>
      <c r="AK4" s="292">
        <f t="shared" si="10"/>
        <v>170.64556962037304</v>
      </c>
    </row>
    <row r="5" spans="1:37" ht="15" thickBot="1">
      <c r="A5" s="4">
        <f>ELEC!C5</f>
        <v>44199</v>
      </c>
      <c r="B5" s="548">
        <v>9455</v>
      </c>
      <c r="C5" s="290">
        <f t="shared" si="11"/>
        <v>3</v>
      </c>
      <c r="D5" s="549">
        <v>294647</v>
      </c>
      <c r="E5" s="290">
        <f t="shared" si="12"/>
        <v>422.5</v>
      </c>
      <c r="F5" s="290">
        <f t="shared" si="0"/>
        <v>140.83333333333334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11776</v>
      </c>
      <c r="S5" s="290">
        <f t="shared" si="5"/>
        <v>0</v>
      </c>
      <c r="T5" s="549">
        <f t="shared" si="19"/>
        <v>373729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12141</v>
      </c>
      <c r="Y5" s="290" t="str">
        <f t="shared" si="7"/>
        <v>ok</v>
      </c>
      <c r="Z5" s="290">
        <f t="shared" si="8"/>
        <v>3</v>
      </c>
      <c r="AA5" s="290">
        <f t="shared" si="22"/>
        <v>422.5</v>
      </c>
      <c r="AB5" s="290">
        <f t="shared" si="23"/>
        <v>140.83333333333334</v>
      </c>
      <c r="AC5" s="290">
        <f t="shared" si="24"/>
        <v>140.83333333333334</v>
      </c>
      <c r="AD5" s="73">
        <f>ELEC!Q5</f>
        <v>2152.9999999984284</v>
      </c>
      <c r="AE5" s="73">
        <f t="shared" ref="AE5:AE32" si="26">SUM(AD5/Z5)</f>
        <v>717.66666666614276</v>
      </c>
      <c r="AF5" s="406">
        <f t="shared" ref="AF5:AF32" si="27">SUM(AE5/1600)</f>
        <v>0.44854166666633921</v>
      </c>
      <c r="AG5" s="407">
        <f t="shared" ref="AG5:AG32" si="28">SUM(320*AF5)</f>
        <v>143.53333333322854</v>
      </c>
      <c r="AH5" s="407">
        <f t="shared" si="25"/>
        <v>-2.6999999998951978</v>
      </c>
      <c r="AI5" s="73">
        <f t="shared" ref="AI5:AI32" si="29">AD5*AJ5</f>
        <v>554.14767932449001</v>
      </c>
      <c r="AJ5" s="292">
        <f t="shared" si="9"/>
        <v>0.25738396624472576</v>
      </c>
      <c r="AK5" s="292">
        <f t="shared" si="10"/>
        <v>184.71589310816333</v>
      </c>
    </row>
    <row r="6" spans="1:37" ht="15" thickBot="1">
      <c r="A6" s="4">
        <f>ELEC!C6</f>
        <v>44200</v>
      </c>
      <c r="B6" s="618">
        <v>9462</v>
      </c>
      <c r="C6" s="290">
        <f t="shared" si="11"/>
        <v>7</v>
      </c>
      <c r="D6" s="619">
        <v>295814</v>
      </c>
      <c r="E6" s="290">
        <f t="shared" si="12"/>
        <v>1167</v>
      </c>
      <c r="F6" s="290">
        <f t="shared" si="0"/>
        <v>166.71428571428572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f t="shared" si="18"/>
        <v>11776</v>
      </c>
      <c r="S6" s="290">
        <f t="shared" si="5"/>
        <v>0</v>
      </c>
      <c r="T6" s="549">
        <f t="shared" si="19"/>
        <v>373729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12141</v>
      </c>
      <c r="Y6" s="290" t="str">
        <f t="shared" si="7"/>
        <v>ok</v>
      </c>
      <c r="Z6" s="290">
        <f t="shared" si="8"/>
        <v>7</v>
      </c>
      <c r="AA6" s="290">
        <f t="shared" si="22"/>
        <v>1167</v>
      </c>
      <c r="AB6" s="290">
        <f t="shared" si="23"/>
        <v>166.71428571428572</v>
      </c>
      <c r="AC6" s="290">
        <f t="shared" si="24"/>
        <v>166.71428571428572</v>
      </c>
      <c r="AD6" s="73">
        <f>ELEC!Q6</f>
        <v>4629.0000000008149</v>
      </c>
      <c r="AE6" s="73">
        <f>SUM(AD6/Z6)</f>
        <v>661.28571428583075</v>
      </c>
      <c r="AF6" s="406">
        <f t="shared" si="27"/>
        <v>0.41330357142864421</v>
      </c>
      <c r="AG6" s="407">
        <f>SUM(320*AF6)</f>
        <v>132.25714285716614</v>
      </c>
      <c r="AH6" s="407">
        <f t="shared" si="25"/>
        <v>34.457142857119578</v>
      </c>
      <c r="AI6" s="73">
        <f t="shared" si="29"/>
        <v>1191.4303797470452</v>
      </c>
      <c r="AJ6" s="292">
        <f t="shared" si="9"/>
        <v>0.25738396624472576</v>
      </c>
      <c r="AK6" s="292">
        <f t="shared" si="10"/>
        <v>170.20433996386359</v>
      </c>
    </row>
    <row r="7" spans="1:37" ht="15" thickBot="1">
      <c r="A7" s="4">
        <f>ELEC!C7</f>
        <v>44201</v>
      </c>
      <c r="B7" s="548">
        <v>9466</v>
      </c>
      <c r="C7" s="290">
        <f t="shared" si="11"/>
        <v>4</v>
      </c>
      <c r="D7" s="549">
        <v>296625</v>
      </c>
      <c r="E7" s="290">
        <f t="shared" si="12"/>
        <v>811</v>
      </c>
      <c r="F7" s="290">
        <f t="shared" si="0"/>
        <v>202.75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11776</v>
      </c>
      <c r="S7" s="290">
        <f t="shared" si="5"/>
        <v>0</v>
      </c>
      <c r="T7" s="549">
        <f t="shared" si="19"/>
        <v>373729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12141</v>
      </c>
      <c r="Y7" s="290" t="str">
        <f t="shared" si="7"/>
        <v>ok</v>
      </c>
      <c r="Z7" s="290">
        <f t="shared" si="8"/>
        <v>4</v>
      </c>
      <c r="AA7" s="290">
        <f>U7+M7+E7</f>
        <v>811</v>
      </c>
      <c r="AB7" s="290">
        <f t="shared" si="23"/>
        <v>202.75</v>
      </c>
      <c r="AC7" s="290">
        <f t="shared" si="24"/>
        <v>202.75</v>
      </c>
      <c r="AD7" s="73">
        <f>ELEC!Q7</f>
        <v>2002.0000000004075</v>
      </c>
      <c r="AE7" s="73">
        <f t="shared" si="26"/>
        <v>500.50000000010186</v>
      </c>
      <c r="AF7" s="406">
        <f t="shared" si="27"/>
        <v>0.31281250000006366</v>
      </c>
      <c r="AG7" s="511" t="s">
        <v>405</v>
      </c>
      <c r="AH7" s="407" t="e">
        <f t="shared" si="25"/>
        <v>#VALUE!</v>
      </c>
      <c r="AI7" s="73">
        <f t="shared" si="29"/>
        <v>515.28270042204588</v>
      </c>
      <c r="AJ7" s="292">
        <f t="shared" si="9"/>
        <v>0.25738396624472576</v>
      </c>
      <c r="AK7" s="292">
        <f t="shared" si="10"/>
        <v>128.82067510551147</v>
      </c>
    </row>
    <row r="8" spans="1:37" ht="15" thickBot="1">
      <c r="A8" s="4">
        <f>ELEC!C8</f>
        <v>44202</v>
      </c>
      <c r="B8" s="548">
        <v>9471</v>
      </c>
      <c r="C8" s="290">
        <f t="shared" si="11"/>
        <v>5</v>
      </c>
      <c r="D8" s="549">
        <v>297269</v>
      </c>
      <c r="E8" s="290">
        <f t="shared" si="12"/>
        <v>644</v>
      </c>
      <c r="F8" s="290">
        <f t="shared" si="0"/>
        <v>128.80000000000001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11776</v>
      </c>
      <c r="S8" s="290">
        <f t="shared" si="5"/>
        <v>0</v>
      </c>
      <c r="T8" s="549">
        <f t="shared" si="19"/>
        <v>373729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12141</v>
      </c>
      <c r="Y8" s="290" t="str">
        <f t="shared" si="7"/>
        <v>ok</v>
      </c>
      <c r="Z8" s="290">
        <f t="shared" si="8"/>
        <v>5</v>
      </c>
      <c r="AA8" s="290">
        <f t="shared" si="22"/>
        <v>644</v>
      </c>
      <c r="AB8" s="290">
        <f t="shared" si="23"/>
        <v>128.80000000000001</v>
      </c>
      <c r="AC8" s="290">
        <f t="shared" si="24"/>
        <v>128.80000000000001</v>
      </c>
      <c r="AD8" s="73">
        <f>ELEC!Q8</f>
        <v>3259.9999999983993</v>
      </c>
      <c r="AE8" s="73">
        <f t="shared" si="26"/>
        <v>651.99999999967986</v>
      </c>
      <c r="AF8" s="406">
        <f t="shared" si="27"/>
        <v>0.40749999999979991</v>
      </c>
      <c r="AG8" s="407">
        <f t="shared" si="28"/>
        <v>130.39999999993597</v>
      </c>
      <c r="AH8" s="407">
        <f t="shared" si="25"/>
        <v>-1.5999999999359602</v>
      </c>
      <c r="AI8" s="73">
        <f t="shared" si="29"/>
        <v>839.07172995739393</v>
      </c>
      <c r="AJ8" s="292">
        <f t="shared" si="9"/>
        <v>0.25738396624472576</v>
      </c>
      <c r="AK8" s="292">
        <f t="shared" si="10"/>
        <v>167.81434599147877</v>
      </c>
    </row>
    <row r="9" spans="1:37" ht="15" thickBot="1">
      <c r="A9" s="4">
        <f>ELEC!C9</f>
        <v>44203</v>
      </c>
      <c r="B9" s="548">
        <v>9474</v>
      </c>
      <c r="C9" s="290">
        <f t="shared" si="11"/>
        <v>3</v>
      </c>
      <c r="D9" s="549">
        <v>297729</v>
      </c>
      <c r="E9" s="290">
        <f t="shared" si="12"/>
        <v>460</v>
      </c>
      <c r="F9" s="290">
        <f t="shared" si="0"/>
        <v>153.33333333333334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11776</v>
      </c>
      <c r="S9" s="290">
        <f t="shared" si="5"/>
        <v>0</v>
      </c>
      <c r="T9" s="549">
        <f t="shared" si="19"/>
        <v>373729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12141</v>
      </c>
      <c r="Y9" s="290" t="str">
        <f t="shared" si="7"/>
        <v>ok</v>
      </c>
      <c r="Z9" s="290">
        <f t="shared" si="8"/>
        <v>3</v>
      </c>
      <c r="AA9" s="290">
        <f t="shared" si="22"/>
        <v>460</v>
      </c>
      <c r="AB9" s="290">
        <f t="shared" si="23"/>
        <v>153.33333333333334</v>
      </c>
      <c r="AC9" s="290">
        <f t="shared" si="24"/>
        <v>153.33333333333334</v>
      </c>
      <c r="AD9" s="73">
        <f>ELEC!Q9</f>
        <v>2824.0000000005239</v>
      </c>
      <c r="AE9" s="73">
        <f t="shared" si="26"/>
        <v>941.33333333350799</v>
      </c>
      <c r="AF9" s="406">
        <f t="shared" si="27"/>
        <v>0.58833333333344251</v>
      </c>
      <c r="AG9" s="407">
        <f t="shared" si="28"/>
        <v>188.26666666670161</v>
      </c>
      <c r="AH9" s="407">
        <f t="shared" si="25"/>
        <v>-34.933333333368267</v>
      </c>
      <c r="AI9" s="73">
        <f t="shared" si="29"/>
        <v>726.85232067524043</v>
      </c>
      <c r="AJ9" s="292">
        <v>0.25738396624472576</v>
      </c>
      <c r="AK9" s="292">
        <f t="shared" ref="AK9:AK16" si="30">IF(Z9&gt;0,AI9/Z9,0)</f>
        <v>242.2841068917468</v>
      </c>
    </row>
    <row r="10" spans="1:37" ht="15" thickBot="1">
      <c r="A10" s="4">
        <f>ELEC!C10</f>
        <v>44204</v>
      </c>
      <c r="B10" s="548">
        <v>9479</v>
      </c>
      <c r="C10" s="290">
        <f t="shared" si="11"/>
        <v>5</v>
      </c>
      <c r="D10" s="549">
        <v>298314</v>
      </c>
      <c r="E10" s="290">
        <f t="shared" si="12"/>
        <v>585</v>
      </c>
      <c r="F10" s="290">
        <f t="shared" si="0"/>
        <v>117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9">
        <f t="shared" si="18"/>
        <v>11776</v>
      </c>
      <c r="S10" s="290">
        <f t="shared" si="5"/>
        <v>0</v>
      </c>
      <c r="T10" s="549">
        <f t="shared" si="19"/>
        <v>373729</v>
      </c>
      <c r="U10" s="290">
        <f t="shared" ref="U10:U20" si="31">SUM(T10-T9)</f>
        <v>0</v>
      </c>
      <c r="V10" s="290">
        <f t="shared" ref="V10:V20" si="32">IF(S10&gt;0,U10/S10,0)</f>
        <v>0</v>
      </c>
      <c r="W10" s="341"/>
      <c r="X10" s="291">
        <f t="shared" si="21"/>
        <v>12141</v>
      </c>
      <c r="Y10" s="290" t="str">
        <f t="shared" ref="Y10:Y20" si="33">IF(R10-X10&lt;=0,"ok","oil change")</f>
        <v>ok</v>
      </c>
      <c r="Z10" s="290">
        <f t="shared" si="8"/>
        <v>5</v>
      </c>
      <c r="AA10" s="290">
        <f t="shared" si="22"/>
        <v>585</v>
      </c>
      <c r="AB10" s="290">
        <f t="shared" si="23"/>
        <v>117</v>
      </c>
      <c r="AC10" s="290">
        <f t="shared" si="24"/>
        <v>117</v>
      </c>
      <c r="AD10" s="73">
        <f>ELEC!Q10</f>
        <v>2871.9999999993888</v>
      </c>
      <c r="AE10" s="73">
        <f t="shared" si="26"/>
        <v>574.39999999987776</v>
      </c>
      <c r="AF10" s="406">
        <f t="shared" si="27"/>
        <v>0.3589999999999236</v>
      </c>
      <c r="AG10" s="407">
        <f t="shared" si="28"/>
        <v>114.87999999997555</v>
      </c>
      <c r="AH10" s="407">
        <f t="shared" si="25"/>
        <v>2.1200000000244472</v>
      </c>
      <c r="AI10" s="73">
        <f t="shared" si="29"/>
        <v>739.20675105469502</v>
      </c>
      <c r="AJ10" s="292">
        <f t="shared" si="9"/>
        <v>0.25738396624472576</v>
      </c>
      <c r="AK10" s="292">
        <f t="shared" si="30"/>
        <v>147.841350210939</v>
      </c>
    </row>
    <row r="11" spans="1:37" ht="15" thickBot="1">
      <c r="A11" s="4">
        <f>ELEC!C11</f>
        <v>44205</v>
      </c>
      <c r="B11" s="548">
        <v>9482</v>
      </c>
      <c r="C11" s="290">
        <f t="shared" si="11"/>
        <v>3</v>
      </c>
      <c r="D11" s="549">
        <v>298764</v>
      </c>
      <c r="E11" s="290">
        <f t="shared" si="12"/>
        <v>450</v>
      </c>
      <c r="F11" s="290">
        <f t="shared" si="0"/>
        <v>150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11776</v>
      </c>
      <c r="S11" s="290">
        <f t="shared" si="5"/>
        <v>0</v>
      </c>
      <c r="T11" s="549">
        <f t="shared" si="19"/>
        <v>373729</v>
      </c>
      <c r="U11" s="290">
        <f t="shared" si="31"/>
        <v>0</v>
      </c>
      <c r="V11" s="290">
        <f t="shared" si="32"/>
        <v>0</v>
      </c>
      <c r="W11" s="341"/>
      <c r="X11" s="291">
        <f t="shared" si="21"/>
        <v>12141</v>
      </c>
      <c r="Y11" s="290" t="str">
        <f t="shared" si="33"/>
        <v>ok</v>
      </c>
      <c r="Z11" s="290">
        <f t="shared" si="8"/>
        <v>3</v>
      </c>
      <c r="AA11" s="290">
        <f t="shared" si="22"/>
        <v>450</v>
      </c>
      <c r="AB11" s="290">
        <f t="shared" si="23"/>
        <v>150</v>
      </c>
      <c r="AC11" s="290">
        <f t="shared" si="24"/>
        <v>150</v>
      </c>
      <c r="AD11" s="73">
        <f>ELEC!Q11</f>
        <v>1997.9999999995925</v>
      </c>
      <c r="AE11" s="73">
        <f t="shared" si="26"/>
        <v>665.99999999986414</v>
      </c>
      <c r="AF11" s="406">
        <f t="shared" si="27"/>
        <v>0.41624999999991508</v>
      </c>
      <c r="AG11" s="407">
        <f t="shared" si="28"/>
        <v>133.19999999997282</v>
      </c>
      <c r="AH11" s="407">
        <f t="shared" si="25"/>
        <v>16.800000000027183</v>
      </c>
      <c r="AI11" s="73">
        <f t="shared" si="29"/>
        <v>514.2531645568572</v>
      </c>
      <c r="AJ11" s="292">
        <f t="shared" si="9"/>
        <v>0.25738396624472576</v>
      </c>
      <c r="AK11" s="292">
        <f t="shared" si="30"/>
        <v>171.41772151895239</v>
      </c>
    </row>
    <row r="12" spans="1:37" ht="15" thickBot="1">
      <c r="A12" s="4">
        <f>ELEC!C12</f>
        <v>44206</v>
      </c>
      <c r="B12" s="548">
        <v>9485</v>
      </c>
      <c r="C12" s="290">
        <f t="shared" si="11"/>
        <v>3</v>
      </c>
      <c r="D12" s="549">
        <v>299402</v>
      </c>
      <c r="E12" s="290">
        <f t="shared" si="12"/>
        <v>638</v>
      </c>
      <c r="F12" s="290">
        <f t="shared" si="0"/>
        <v>212.66666666666666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f t="shared" si="18"/>
        <v>11776</v>
      </c>
      <c r="S12" s="290">
        <f t="shared" si="5"/>
        <v>0</v>
      </c>
      <c r="T12" s="549">
        <f t="shared" si="19"/>
        <v>373729</v>
      </c>
      <c r="U12" s="290">
        <f t="shared" si="31"/>
        <v>0</v>
      </c>
      <c r="V12" s="290">
        <f t="shared" si="32"/>
        <v>0</v>
      </c>
      <c r="W12" s="341"/>
      <c r="X12" s="291">
        <f t="shared" si="21"/>
        <v>12141</v>
      </c>
      <c r="Y12" s="290" t="str">
        <f t="shared" si="33"/>
        <v>ok</v>
      </c>
      <c r="Z12" s="290">
        <f t="shared" si="8"/>
        <v>3</v>
      </c>
      <c r="AA12" s="290">
        <f t="shared" si="22"/>
        <v>638</v>
      </c>
      <c r="AB12" s="290">
        <f t="shared" si="23"/>
        <v>212.66666666666666</v>
      </c>
      <c r="AC12" s="290">
        <f t="shared" si="24"/>
        <v>212.66666666666666</v>
      </c>
      <c r="AD12" s="73">
        <f>ELEC!Q12</f>
        <v>1439.0000000021246</v>
      </c>
      <c r="AE12" s="73">
        <f t="shared" si="26"/>
        <v>479.66666666737484</v>
      </c>
      <c r="AF12" s="406">
        <f t="shared" si="27"/>
        <v>0.29979166666710927</v>
      </c>
      <c r="AG12" s="407">
        <f t="shared" si="28"/>
        <v>95.933333333474963</v>
      </c>
      <c r="AH12" s="407">
        <f t="shared" si="25"/>
        <v>116.73333333319169</v>
      </c>
      <c r="AI12" s="73">
        <f t="shared" si="29"/>
        <v>370.37552742670721</v>
      </c>
      <c r="AJ12" s="292">
        <f t="shared" si="9"/>
        <v>0.25738396624472576</v>
      </c>
      <c r="AK12" s="292">
        <f t="shared" si="30"/>
        <v>123.45850914223574</v>
      </c>
    </row>
    <row r="13" spans="1:37" ht="15" thickBot="1">
      <c r="A13" s="4">
        <f>ELEC!C13</f>
        <v>44207</v>
      </c>
      <c r="B13" s="548">
        <v>9488</v>
      </c>
      <c r="C13" s="290">
        <f t="shared" si="11"/>
        <v>3</v>
      </c>
      <c r="D13" s="549">
        <v>299885</v>
      </c>
      <c r="E13" s="290">
        <f t="shared" si="12"/>
        <v>483</v>
      </c>
      <c r="F13" s="290">
        <f t="shared" si="0"/>
        <v>161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9">
        <f t="shared" si="18"/>
        <v>11776</v>
      </c>
      <c r="S13" s="290">
        <f t="shared" si="5"/>
        <v>0</v>
      </c>
      <c r="T13" s="549">
        <f t="shared" si="19"/>
        <v>373729</v>
      </c>
      <c r="U13" s="290">
        <f t="shared" si="31"/>
        <v>0</v>
      </c>
      <c r="V13" s="290">
        <f t="shared" si="32"/>
        <v>0</v>
      </c>
      <c r="W13" s="341"/>
      <c r="X13" s="291">
        <f t="shared" si="21"/>
        <v>12141</v>
      </c>
      <c r="Y13" s="290" t="str">
        <f t="shared" si="33"/>
        <v>ok</v>
      </c>
      <c r="Z13" s="290">
        <f t="shared" si="8"/>
        <v>3</v>
      </c>
      <c r="AA13" s="290">
        <f t="shared" si="22"/>
        <v>483</v>
      </c>
      <c r="AB13" s="290">
        <f t="shared" si="23"/>
        <v>161</v>
      </c>
      <c r="AC13" s="290">
        <f t="shared" si="24"/>
        <v>161</v>
      </c>
      <c r="AD13" s="73">
        <f>ELEC!Q13</f>
        <v>2033.9999999996508</v>
      </c>
      <c r="AE13" s="73">
        <f t="shared" si="26"/>
        <v>677.99999999988358</v>
      </c>
      <c r="AF13" s="406">
        <f t="shared" si="27"/>
        <v>0.42374999999992724</v>
      </c>
      <c r="AG13" s="407">
        <f t="shared" si="28"/>
        <v>135.59999999997672</v>
      </c>
      <c r="AH13" s="407">
        <f t="shared" si="25"/>
        <v>25.400000000023283</v>
      </c>
      <c r="AI13" s="73">
        <f t="shared" si="29"/>
        <v>523.5189873416823</v>
      </c>
      <c r="AJ13" s="292">
        <f t="shared" si="9"/>
        <v>0.25738396624472576</v>
      </c>
      <c r="AK13" s="292">
        <f t="shared" si="30"/>
        <v>174.50632911389411</v>
      </c>
    </row>
    <row r="14" spans="1:37" ht="15" thickBot="1">
      <c r="A14" s="4">
        <f>ELEC!C14</f>
        <v>44208</v>
      </c>
      <c r="B14" s="548">
        <v>9491</v>
      </c>
      <c r="C14" s="290">
        <f t="shared" si="11"/>
        <v>3</v>
      </c>
      <c r="D14" s="549">
        <v>300389</v>
      </c>
      <c r="E14" s="290">
        <f t="shared" si="12"/>
        <v>504</v>
      </c>
      <c r="F14" s="290">
        <f t="shared" si="0"/>
        <v>168</v>
      </c>
      <c r="G14" s="197"/>
      <c r="H14" s="291">
        <f t="shared" si="13"/>
        <v>9298</v>
      </c>
      <c r="I14" s="290" t="str">
        <f t="shared" si="1"/>
        <v>oil change</v>
      </c>
      <c r="J14" s="549"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9">
        <f t="shared" si="18"/>
        <v>11776</v>
      </c>
      <c r="S14" s="290">
        <f t="shared" si="5"/>
        <v>0</v>
      </c>
      <c r="T14" s="549">
        <f t="shared" si="19"/>
        <v>373729</v>
      </c>
      <c r="U14" s="290">
        <f t="shared" si="31"/>
        <v>0</v>
      </c>
      <c r="V14" s="290">
        <f t="shared" si="32"/>
        <v>0</v>
      </c>
      <c r="W14" s="341"/>
      <c r="X14" s="291">
        <f t="shared" si="21"/>
        <v>12141</v>
      </c>
      <c r="Y14" s="290" t="str">
        <f t="shared" si="33"/>
        <v>ok</v>
      </c>
      <c r="Z14" s="290">
        <f t="shared" si="8"/>
        <v>3</v>
      </c>
      <c r="AA14" s="290">
        <f t="shared" si="22"/>
        <v>504</v>
      </c>
      <c r="AB14" s="290">
        <f t="shared" si="23"/>
        <v>168</v>
      </c>
      <c r="AC14" s="290">
        <f t="shared" si="24"/>
        <v>168</v>
      </c>
      <c r="AD14" s="73">
        <f>ELEC!Q14</f>
        <v>1978.9999999993597</v>
      </c>
      <c r="AE14" s="73">
        <f t="shared" si="26"/>
        <v>659.66666666645324</v>
      </c>
      <c r="AF14" s="406">
        <f t="shared" si="27"/>
        <v>0.41229166666653327</v>
      </c>
      <c r="AG14" s="407">
        <f t="shared" si="28"/>
        <v>131.93333333329065</v>
      </c>
      <c r="AH14" s="407">
        <f t="shared" si="25"/>
        <v>36.066666666709352</v>
      </c>
      <c r="AI14" s="73">
        <f t="shared" si="29"/>
        <v>509.36286919814745</v>
      </c>
      <c r="AJ14" s="292">
        <f t="shared" si="9"/>
        <v>0.25738396624472576</v>
      </c>
      <c r="AK14" s="292">
        <f t="shared" si="30"/>
        <v>169.78762306604915</v>
      </c>
    </row>
    <row r="15" spans="1:37" ht="15" thickBot="1">
      <c r="A15" s="4">
        <f>ELEC!C15</f>
        <v>44209</v>
      </c>
      <c r="B15" s="548">
        <v>9493</v>
      </c>
      <c r="C15" s="290">
        <f t="shared" si="11"/>
        <v>2</v>
      </c>
      <c r="D15" s="549">
        <v>300695.3</v>
      </c>
      <c r="E15" s="290">
        <f t="shared" si="12"/>
        <v>306.29999999998836</v>
      </c>
      <c r="F15" s="290">
        <f t="shared" si="0"/>
        <v>153.14999999999418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9">
        <f t="shared" si="18"/>
        <v>11776</v>
      </c>
      <c r="S15" s="290">
        <f t="shared" si="5"/>
        <v>0</v>
      </c>
      <c r="T15" s="549">
        <f t="shared" si="19"/>
        <v>373729</v>
      </c>
      <c r="U15" s="290">
        <f t="shared" si="31"/>
        <v>0</v>
      </c>
      <c r="V15" s="290">
        <f t="shared" si="32"/>
        <v>0</v>
      </c>
      <c r="W15" s="341"/>
      <c r="X15" s="291">
        <f t="shared" si="21"/>
        <v>12141</v>
      </c>
      <c r="Y15" s="290" t="str">
        <f t="shared" si="33"/>
        <v>ok</v>
      </c>
      <c r="Z15" s="290">
        <f t="shared" si="8"/>
        <v>2</v>
      </c>
      <c r="AA15" s="290">
        <f t="shared" si="22"/>
        <v>306.29999999998836</v>
      </c>
      <c r="AB15" s="290">
        <f t="shared" si="23"/>
        <v>153.14999999999418</v>
      </c>
      <c r="AC15" s="290">
        <f t="shared" si="24"/>
        <v>153.14999999999418</v>
      </c>
      <c r="AD15" s="73">
        <f>ELEC!Q15</f>
        <v>1542.9999999978463</v>
      </c>
      <c r="AE15" s="73">
        <f t="shared" si="26"/>
        <v>771.49999999892316</v>
      </c>
      <c r="AF15" s="406">
        <f t="shared" si="27"/>
        <v>0.48218749999932697</v>
      </c>
      <c r="AG15" s="407">
        <f t="shared" si="28"/>
        <v>154.29999999978463</v>
      </c>
      <c r="AH15" s="407">
        <f t="shared" si="25"/>
        <v>-1.1499999997904524</v>
      </c>
      <c r="AI15" s="73">
        <f t="shared" si="29"/>
        <v>397.14345991505752</v>
      </c>
      <c r="AJ15" s="292">
        <f t="shared" si="9"/>
        <v>0.25738396624472576</v>
      </c>
      <c r="AK15" s="292">
        <f t="shared" si="30"/>
        <v>198.57172995752876</v>
      </c>
    </row>
    <row r="16" spans="1:37" ht="15" thickBot="1">
      <c r="A16" s="4">
        <f>ELEC!C16</f>
        <v>44210</v>
      </c>
      <c r="B16" s="548">
        <v>9496</v>
      </c>
      <c r="C16" s="290">
        <f t="shared" si="11"/>
        <v>3</v>
      </c>
      <c r="D16" s="549">
        <v>301321.59999999998</v>
      </c>
      <c r="E16" s="290">
        <f t="shared" si="12"/>
        <v>626.29999999998836</v>
      </c>
      <c r="F16" s="290">
        <f t="shared" si="0"/>
        <v>208.76666666666279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11776</v>
      </c>
      <c r="S16" s="290">
        <f t="shared" si="5"/>
        <v>0</v>
      </c>
      <c r="T16" s="549">
        <f t="shared" si="19"/>
        <v>373729</v>
      </c>
      <c r="U16" s="290">
        <f t="shared" si="31"/>
        <v>0</v>
      </c>
      <c r="V16" s="290">
        <f t="shared" si="32"/>
        <v>0</v>
      </c>
      <c r="W16" s="341"/>
      <c r="X16" s="291">
        <f t="shared" si="21"/>
        <v>12141</v>
      </c>
      <c r="Y16" s="290" t="str">
        <f t="shared" si="33"/>
        <v>ok</v>
      </c>
      <c r="Z16" s="290">
        <f t="shared" si="8"/>
        <v>3</v>
      </c>
      <c r="AA16" s="290">
        <f t="shared" si="22"/>
        <v>626.29999999998836</v>
      </c>
      <c r="AB16" s="290">
        <f t="shared" si="23"/>
        <v>208.76666666666279</v>
      </c>
      <c r="AC16" s="290">
        <f t="shared" si="24"/>
        <v>208.76666666666279</v>
      </c>
      <c r="AD16" s="73">
        <f>ELEC!Q16</f>
        <v>1802.0000000033178</v>
      </c>
      <c r="AE16" s="73">
        <f t="shared" si="26"/>
        <v>600.66666666777257</v>
      </c>
      <c r="AF16" s="406">
        <f t="shared" si="27"/>
        <v>0.37541666666735785</v>
      </c>
      <c r="AG16" s="407">
        <f t="shared" si="28"/>
        <v>120.1333333335545</v>
      </c>
      <c r="AH16" s="407">
        <f t="shared" si="25"/>
        <v>88.633333333108283</v>
      </c>
      <c r="AI16" s="73">
        <f t="shared" si="29"/>
        <v>463.80590717384979</v>
      </c>
      <c r="AJ16" s="292">
        <f t="shared" si="9"/>
        <v>0.25738396624472576</v>
      </c>
      <c r="AK16" s="292">
        <f t="shared" si="30"/>
        <v>154.60196905794993</v>
      </c>
    </row>
    <row r="17" spans="1:37" ht="15" thickBot="1">
      <c r="A17" s="4">
        <f>ELEC!C17</f>
        <v>44211</v>
      </c>
      <c r="B17" s="548">
        <v>9499.4</v>
      </c>
      <c r="C17" s="290">
        <f t="shared" si="11"/>
        <v>3.3999999999996362</v>
      </c>
      <c r="D17" s="549">
        <v>301801.36</v>
      </c>
      <c r="E17" s="290">
        <f t="shared" si="12"/>
        <v>479.76000000000931</v>
      </c>
      <c r="F17" s="290">
        <f t="shared" si="0"/>
        <v>141.10588235295901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11776</v>
      </c>
      <c r="S17" s="290">
        <f t="shared" si="5"/>
        <v>0</v>
      </c>
      <c r="T17" s="549">
        <f t="shared" si="19"/>
        <v>373729</v>
      </c>
      <c r="U17" s="290">
        <f t="shared" si="31"/>
        <v>0</v>
      </c>
      <c r="V17" s="290">
        <f t="shared" si="32"/>
        <v>0</v>
      </c>
      <c r="W17" s="341"/>
      <c r="X17" s="291">
        <f t="shared" si="21"/>
        <v>12141</v>
      </c>
      <c r="Y17" s="290" t="str">
        <f t="shared" si="33"/>
        <v>ok</v>
      </c>
      <c r="Z17" s="290">
        <f t="shared" si="8"/>
        <v>3.3999999999996362</v>
      </c>
      <c r="AA17" s="290">
        <f t="shared" si="22"/>
        <v>479.76000000000931</v>
      </c>
      <c r="AB17" s="290">
        <f t="shared" si="23"/>
        <v>141.10588235295901</v>
      </c>
      <c r="AC17" s="290">
        <f t="shared" si="24"/>
        <v>141.10588235295901</v>
      </c>
      <c r="AD17" s="73">
        <f>ELEC!Q17</f>
        <v>2033.9999999996508</v>
      </c>
      <c r="AE17" s="73">
        <f t="shared" si="26"/>
        <v>598.2352941176083</v>
      </c>
      <c r="AF17" s="406">
        <f t="shared" si="27"/>
        <v>0.37389705882350521</v>
      </c>
      <c r="AG17" s="407">
        <f t="shared" si="28"/>
        <v>119.64705882352166</v>
      </c>
      <c r="AH17" s="407">
        <f t="shared" si="25"/>
        <v>21.458823529437353</v>
      </c>
      <c r="AI17" s="73">
        <f t="shared" si="29"/>
        <v>523.5189873416823</v>
      </c>
      <c r="AJ17" s="292">
        <f t="shared" si="9"/>
        <v>0.25738396624472576</v>
      </c>
      <c r="AK17" s="292">
        <f t="shared" ref="AK17:AK32" si="34">IF(Z17&gt;0,AI17/Z17,0)</f>
        <v>153.9761727475701</v>
      </c>
    </row>
    <row r="18" spans="1:37" ht="15" thickBot="1">
      <c r="A18" s="4">
        <f>ELEC!C18</f>
        <v>44212</v>
      </c>
      <c r="B18" s="548">
        <v>9505</v>
      </c>
      <c r="C18" s="290">
        <f t="shared" si="11"/>
        <v>5.6000000000003638</v>
      </c>
      <c r="D18" s="549">
        <v>302963.90000000002</v>
      </c>
      <c r="E18" s="290">
        <f t="shared" si="12"/>
        <v>1162.5400000000373</v>
      </c>
      <c r="F18" s="290">
        <f t="shared" si="0"/>
        <v>207.59642857142174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11776</v>
      </c>
      <c r="S18" s="290">
        <f t="shared" si="5"/>
        <v>0</v>
      </c>
      <c r="T18" s="549">
        <f t="shared" si="19"/>
        <v>373729</v>
      </c>
      <c r="U18" s="290">
        <f t="shared" si="31"/>
        <v>0</v>
      </c>
      <c r="V18" s="290">
        <f t="shared" si="32"/>
        <v>0</v>
      </c>
      <c r="W18" s="341"/>
      <c r="X18" s="291">
        <f t="shared" si="21"/>
        <v>12141</v>
      </c>
      <c r="Y18" s="290" t="str">
        <f t="shared" si="33"/>
        <v>ok</v>
      </c>
      <c r="Z18" s="290">
        <f t="shared" si="8"/>
        <v>5.6000000000003638</v>
      </c>
      <c r="AA18" s="290">
        <f t="shared" si="22"/>
        <v>1162.5400000000373</v>
      </c>
      <c r="AB18" s="290">
        <f t="shared" si="23"/>
        <v>207.59642857142174</v>
      </c>
      <c r="AC18" s="290">
        <f t="shared" si="24"/>
        <v>207.59642857142174</v>
      </c>
      <c r="AD18" s="73">
        <f>ELEC!Q18</f>
        <v>3133.9999999981956</v>
      </c>
      <c r="AE18" s="73">
        <f t="shared" si="26"/>
        <v>559.64285714249854</v>
      </c>
      <c r="AF18" s="406">
        <f t="shared" si="27"/>
        <v>0.34977678571406157</v>
      </c>
      <c r="AG18" s="407">
        <f t="shared" si="28"/>
        <v>111.92857142849971</v>
      </c>
      <c r="AH18" s="407">
        <f t="shared" si="25"/>
        <v>95.667857142922031</v>
      </c>
      <c r="AI18" s="73">
        <f t="shared" si="29"/>
        <v>806.64135021050606</v>
      </c>
      <c r="AJ18" s="292">
        <f t="shared" si="9"/>
        <v>0.25738396624472576</v>
      </c>
      <c r="AK18" s="292">
        <f t="shared" si="34"/>
        <v>144.04309825186672</v>
      </c>
    </row>
    <row r="19" spans="1:37" ht="15" thickBot="1">
      <c r="A19" s="4">
        <f>ELEC!C19</f>
        <v>44213</v>
      </c>
      <c r="B19" s="548">
        <v>9506.5</v>
      </c>
      <c r="C19" s="290">
        <f t="shared" si="11"/>
        <v>1.5</v>
      </c>
      <c r="D19" s="549">
        <v>303269</v>
      </c>
      <c r="E19" s="290">
        <f t="shared" si="12"/>
        <v>305.09999999997672</v>
      </c>
      <c r="F19" s="290">
        <f t="shared" si="0"/>
        <v>203.39999999998449</v>
      </c>
      <c r="G19" s="197"/>
      <c r="H19" s="291">
        <v>9467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5">IF(J19-P19&lt;=0,"ok","oil change")</f>
        <v>ok</v>
      </c>
      <c r="R19" s="549">
        <v>11776.1</v>
      </c>
      <c r="S19" s="290">
        <f t="shared" si="5"/>
        <v>0.1000000000003638</v>
      </c>
      <c r="T19" s="549">
        <f t="shared" si="19"/>
        <v>373729</v>
      </c>
      <c r="U19" s="290">
        <f t="shared" si="31"/>
        <v>0</v>
      </c>
      <c r="V19" s="290">
        <f t="shared" si="32"/>
        <v>0</v>
      </c>
      <c r="W19" s="341"/>
      <c r="X19" s="291">
        <f t="shared" si="21"/>
        <v>12141</v>
      </c>
      <c r="Y19" s="290" t="str">
        <f t="shared" si="33"/>
        <v>ok</v>
      </c>
      <c r="Z19" s="290">
        <f t="shared" si="8"/>
        <v>1.6000000000003638</v>
      </c>
      <c r="AA19" s="290">
        <f t="shared" si="22"/>
        <v>305.09999999997672</v>
      </c>
      <c r="AB19" s="290">
        <f t="shared" si="23"/>
        <v>203.39999999998449</v>
      </c>
      <c r="AC19" s="290">
        <f t="shared" si="24"/>
        <v>190.68749999994208</v>
      </c>
      <c r="AD19" s="73">
        <f>ELEC!Q19</f>
        <v>961.99999999953434</v>
      </c>
      <c r="AE19" s="73">
        <f t="shared" si="26"/>
        <v>601.24999999957231</v>
      </c>
      <c r="AF19" s="406">
        <f t="shared" si="27"/>
        <v>0.37578124999973267</v>
      </c>
      <c r="AG19" s="407">
        <f t="shared" si="28"/>
        <v>120.24999999991445</v>
      </c>
      <c r="AH19" s="407">
        <f t="shared" si="25"/>
        <v>70.437500000027626</v>
      </c>
      <c r="AI19" s="73">
        <f t="shared" si="29"/>
        <v>247.60337552730633</v>
      </c>
      <c r="AJ19" s="292">
        <f t="shared" si="9"/>
        <v>0.25738396624472576</v>
      </c>
      <c r="AK19" s="292">
        <f t="shared" si="34"/>
        <v>154.75210970453128</v>
      </c>
    </row>
    <row r="20" spans="1:37" ht="15" thickBot="1">
      <c r="A20" s="4">
        <f>ELEC!C20</f>
        <v>44214</v>
      </c>
      <c r="B20" s="548">
        <v>9509</v>
      </c>
      <c r="C20" s="290">
        <f>B20-B19</f>
        <v>2.5</v>
      </c>
      <c r="D20" s="549">
        <v>303889.3</v>
      </c>
      <c r="E20" s="290">
        <f t="shared" si="12"/>
        <v>620.29999999998836</v>
      </c>
      <c r="F20" s="290">
        <f t="shared" si="0"/>
        <v>248.11999999999534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5"/>
        <v>ok</v>
      </c>
      <c r="R20" s="549">
        <f t="shared" si="18"/>
        <v>11776.1</v>
      </c>
      <c r="S20" s="290">
        <f t="shared" si="5"/>
        <v>0</v>
      </c>
      <c r="T20" s="549">
        <f t="shared" si="19"/>
        <v>373729</v>
      </c>
      <c r="U20" s="290">
        <f t="shared" si="31"/>
        <v>0</v>
      </c>
      <c r="V20" s="290">
        <f t="shared" si="32"/>
        <v>0</v>
      </c>
      <c r="W20" s="341"/>
      <c r="X20" s="291">
        <f t="shared" si="21"/>
        <v>12141</v>
      </c>
      <c r="Y20" s="290" t="str">
        <f t="shared" si="33"/>
        <v>ok</v>
      </c>
      <c r="Z20" s="290">
        <f t="shared" si="8"/>
        <v>2.5</v>
      </c>
      <c r="AA20" s="290">
        <f t="shared" si="22"/>
        <v>620.29999999998836</v>
      </c>
      <c r="AB20" s="290">
        <f t="shared" si="23"/>
        <v>248.11999999999534</v>
      </c>
      <c r="AC20" s="290">
        <f t="shared" si="24"/>
        <v>248.11999999999534</v>
      </c>
      <c r="AD20" s="73">
        <f>ELEC!Q20</f>
        <v>1829.0000000015425</v>
      </c>
      <c r="AE20" s="73">
        <f t="shared" si="26"/>
        <v>731.600000000617</v>
      </c>
      <c r="AF20" s="406">
        <f t="shared" si="27"/>
        <v>0.45725000000038563</v>
      </c>
      <c r="AG20" s="407">
        <f t="shared" si="28"/>
        <v>146.3200000001234</v>
      </c>
      <c r="AH20" s="407">
        <f t="shared" si="25"/>
        <v>101.79999999987194</v>
      </c>
      <c r="AI20" s="73">
        <f>AD20*AJ20</f>
        <v>470.75527426200046</v>
      </c>
      <c r="AJ20" s="292">
        <f t="shared" si="9"/>
        <v>0.25738396624472576</v>
      </c>
      <c r="AK20" s="292">
        <f t="shared" si="34"/>
        <v>188.30210970480019</v>
      </c>
    </row>
    <row r="21" spans="1:37" ht="15" thickBot="1">
      <c r="A21" s="4">
        <f>ELEC!C21</f>
        <v>44215</v>
      </c>
      <c r="B21" s="548">
        <f t="shared" ref="B20:B33" si="36">B20</f>
        <v>9509</v>
      </c>
      <c r="C21" s="290">
        <f t="shared" si="11"/>
        <v>0</v>
      </c>
      <c r="D21" s="549">
        <f t="shared" ref="D20:D33" si="37">D20</f>
        <v>303889.3</v>
      </c>
      <c r="E21" s="290">
        <f t="shared" si="12"/>
        <v>0</v>
      </c>
      <c r="F21" s="290">
        <f t="shared" si="0"/>
        <v>0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5"/>
        <v>ok</v>
      </c>
      <c r="R21" s="549">
        <f t="shared" si="18"/>
        <v>11776.1</v>
      </c>
      <c r="S21" s="290">
        <f t="shared" si="5"/>
        <v>0</v>
      </c>
      <c r="T21" s="549">
        <f t="shared" si="19"/>
        <v>373729</v>
      </c>
      <c r="U21" s="290">
        <f t="shared" ref="U21:U32" si="38">SUM(T21-T20)</f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0</v>
      </c>
      <c r="AA21" s="290">
        <f t="shared" si="22"/>
        <v>0</v>
      </c>
      <c r="AB21" s="290">
        <f t="shared" si="23"/>
        <v>0</v>
      </c>
      <c r="AC21" s="290">
        <f t="shared" si="24"/>
        <v>0</v>
      </c>
      <c r="AD21" s="73">
        <f>ELEC!Q21</f>
        <v>0</v>
      </c>
      <c r="AE21" s="73" t="e">
        <f t="shared" si="26"/>
        <v>#DIV/0!</v>
      </c>
      <c r="AF21" s="406" t="e">
        <f t="shared" si="27"/>
        <v>#DIV/0!</v>
      </c>
      <c r="AG21" s="407" t="e">
        <f t="shared" si="28"/>
        <v>#DIV/0!</v>
      </c>
      <c r="AH21" s="407" t="e">
        <f t="shared" si="25"/>
        <v>#DIV/0!</v>
      </c>
      <c r="AI21" s="73">
        <f t="shared" si="29"/>
        <v>0</v>
      </c>
      <c r="AJ21" s="292">
        <f t="shared" si="9"/>
        <v>0.25738396624472576</v>
      </c>
      <c r="AK21" s="292">
        <f t="shared" si="34"/>
        <v>0</v>
      </c>
    </row>
    <row r="22" spans="1:37" ht="15" thickBot="1">
      <c r="A22" s="4">
        <f>ELEC!C22</f>
        <v>44216</v>
      </c>
      <c r="B22" s="548">
        <f t="shared" si="36"/>
        <v>9509</v>
      </c>
      <c r="C22" s="290">
        <f t="shared" si="11"/>
        <v>0</v>
      </c>
      <c r="D22" s="549">
        <f t="shared" si="37"/>
        <v>303889.3</v>
      </c>
      <c r="E22" s="290">
        <f t="shared" si="12"/>
        <v>0</v>
      </c>
      <c r="F22" s="290">
        <f t="shared" si="0"/>
        <v>0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5"/>
        <v>ok</v>
      </c>
      <c r="R22" s="549">
        <f t="shared" si="18"/>
        <v>11776.1</v>
      </c>
      <c r="S22" s="290">
        <f t="shared" si="5"/>
        <v>0</v>
      </c>
      <c r="T22" s="549">
        <f t="shared" si="19"/>
        <v>373729</v>
      </c>
      <c r="U22" s="290">
        <f t="shared" si="38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9">IF(R22-X22&lt;=0,"ok","oil change")</f>
        <v>ok</v>
      </c>
      <c r="Z22" s="290">
        <f t="shared" si="8"/>
        <v>0</v>
      </c>
      <c r="AA22" s="290">
        <f t="shared" si="22"/>
        <v>0</v>
      </c>
      <c r="AB22" s="290">
        <f t="shared" si="23"/>
        <v>0</v>
      </c>
      <c r="AC22" s="290">
        <f t="shared" si="24"/>
        <v>0</v>
      </c>
      <c r="AD22" s="73">
        <f>ELEC!Q22</f>
        <v>0</v>
      </c>
      <c r="AE22" s="73" t="e">
        <f t="shared" si="26"/>
        <v>#DIV/0!</v>
      </c>
      <c r="AF22" s="406" t="e">
        <f t="shared" si="27"/>
        <v>#DIV/0!</v>
      </c>
      <c r="AG22" s="407" t="e">
        <f t="shared" si="28"/>
        <v>#DIV/0!</v>
      </c>
      <c r="AH22" s="407" t="e">
        <f t="shared" si="25"/>
        <v>#DIV/0!</v>
      </c>
      <c r="AI22" s="73">
        <f t="shared" si="29"/>
        <v>0</v>
      </c>
      <c r="AJ22" s="292">
        <f t="shared" si="9"/>
        <v>0.25738396624472576</v>
      </c>
      <c r="AK22" s="292">
        <f t="shared" si="34"/>
        <v>0</v>
      </c>
    </row>
    <row r="23" spans="1:37" ht="15" thickBot="1">
      <c r="A23" s="4">
        <f>ELEC!C23</f>
        <v>44217</v>
      </c>
      <c r="B23" s="548">
        <f t="shared" si="36"/>
        <v>9509</v>
      </c>
      <c r="C23" s="290">
        <f t="shared" si="11"/>
        <v>0</v>
      </c>
      <c r="D23" s="549">
        <f t="shared" si="37"/>
        <v>303889.3</v>
      </c>
      <c r="E23" s="290">
        <f t="shared" si="12"/>
        <v>0</v>
      </c>
      <c r="F23" s="290">
        <f t="shared" si="0"/>
        <v>0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5"/>
        <v>ok</v>
      </c>
      <c r="R23" s="549">
        <f t="shared" si="18"/>
        <v>11776.1</v>
      </c>
      <c r="S23" s="290">
        <f t="shared" si="5"/>
        <v>0</v>
      </c>
      <c r="T23" s="549">
        <f t="shared" si="19"/>
        <v>373729</v>
      </c>
      <c r="U23" s="290">
        <f t="shared" si="38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9"/>
        <v>ok</v>
      </c>
      <c r="Z23" s="290">
        <f t="shared" si="8"/>
        <v>0</v>
      </c>
      <c r="AA23" s="290">
        <f t="shared" si="22"/>
        <v>0</v>
      </c>
      <c r="AB23" s="290">
        <f t="shared" si="23"/>
        <v>0</v>
      </c>
      <c r="AC23" s="290">
        <f t="shared" si="24"/>
        <v>0</v>
      </c>
      <c r="AD23" s="73">
        <f>ELEC!Q23</f>
        <v>0</v>
      </c>
      <c r="AE23" s="73" t="e">
        <f t="shared" si="26"/>
        <v>#DIV/0!</v>
      </c>
      <c r="AF23" s="406" t="e">
        <f t="shared" si="27"/>
        <v>#DIV/0!</v>
      </c>
      <c r="AG23" s="407" t="e">
        <f t="shared" si="28"/>
        <v>#DIV/0!</v>
      </c>
      <c r="AH23" s="407" t="e">
        <f t="shared" si="25"/>
        <v>#DIV/0!</v>
      </c>
      <c r="AI23" s="73">
        <f t="shared" si="29"/>
        <v>0</v>
      </c>
      <c r="AJ23" s="292">
        <f t="shared" si="9"/>
        <v>0.25738396624472576</v>
      </c>
      <c r="AK23" s="292">
        <f t="shared" si="34"/>
        <v>0</v>
      </c>
    </row>
    <row r="24" spans="1:37" ht="15" thickBot="1">
      <c r="A24" s="4">
        <f>ELEC!C24</f>
        <v>44218</v>
      </c>
      <c r="B24" s="548">
        <f t="shared" si="36"/>
        <v>9509</v>
      </c>
      <c r="C24" s="290">
        <f t="shared" si="11"/>
        <v>0</v>
      </c>
      <c r="D24" s="549">
        <f t="shared" si="37"/>
        <v>303889.3</v>
      </c>
      <c r="E24" s="290">
        <f t="shared" si="12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5"/>
        <v>ok</v>
      </c>
      <c r="R24" s="549">
        <f t="shared" si="18"/>
        <v>11776.1</v>
      </c>
      <c r="S24" s="290">
        <f t="shared" si="5"/>
        <v>0</v>
      </c>
      <c r="T24" s="549">
        <f t="shared" si="19"/>
        <v>373729</v>
      </c>
      <c r="U24" s="290">
        <f t="shared" si="38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9"/>
        <v>ok</v>
      </c>
      <c r="Z24" s="290">
        <f t="shared" si="8"/>
        <v>0</v>
      </c>
      <c r="AA24" s="290">
        <f t="shared" si="22"/>
        <v>0</v>
      </c>
      <c r="AB24" s="290">
        <f t="shared" si="23"/>
        <v>0</v>
      </c>
      <c r="AC24" s="290">
        <f t="shared" si="24"/>
        <v>0</v>
      </c>
      <c r="AD24" s="73">
        <f>ELEC!Q24</f>
        <v>0</v>
      </c>
      <c r="AE24" s="73" t="e">
        <f t="shared" si="26"/>
        <v>#DIV/0!</v>
      </c>
      <c r="AF24" s="406" t="e">
        <f t="shared" si="27"/>
        <v>#DIV/0!</v>
      </c>
      <c r="AG24" s="407" t="e">
        <f t="shared" si="28"/>
        <v>#DIV/0!</v>
      </c>
      <c r="AH24" s="407" t="e">
        <f t="shared" si="25"/>
        <v>#DIV/0!</v>
      </c>
      <c r="AI24" s="73">
        <f t="shared" si="29"/>
        <v>0</v>
      </c>
      <c r="AJ24" s="292">
        <f t="shared" si="9"/>
        <v>0.25738396624472576</v>
      </c>
      <c r="AK24" s="292">
        <f t="shared" si="34"/>
        <v>0</v>
      </c>
    </row>
    <row r="25" spans="1:37" ht="15" thickBot="1">
      <c r="A25" s="4">
        <f>ELEC!C25</f>
        <v>44219</v>
      </c>
      <c r="B25" s="548">
        <f t="shared" si="36"/>
        <v>9509</v>
      </c>
      <c r="C25" s="290">
        <f t="shared" si="11"/>
        <v>0</v>
      </c>
      <c r="D25" s="549">
        <f t="shared" si="37"/>
        <v>303889.3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40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5"/>
        <v>ok</v>
      </c>
      <c r="R25" s="549">
        <f t="shared" si="18"/>
        <v>11776.1</v>
      </c>
      <c r="S25" s="290">
        <f t="shared" si="5"/>
        <v>0</v>
      </c>
      <c r="T25" s="549">
        <f t="shared" si="19"/>
        <v>373729</v>
      </c>
      <c r="U25" s="290">
        <f t="shared" si="38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9"/>
        <v>ok</v>
      </c>
      <c r="Z25" s="290">
        <f t="shared" si="8"/>
        <v>0</v>
      </c>
      <c r="AA25" s="290">
        <f t="shared" si="22"/>
        <v>0</v>
      </c>
      <c r="AB25" s="290">
        <f t="shared" si="23"/>
        <v>0</v>
      </c>
      <c r="AC25" s="290">
        <f t="shared" si="24"/>
        <v>0</v>
      </c>
      <c r="AD25" s="73">
        <f>ELEC!Q25</f>
        <v>0</v>
      </c>
      <c r="AE25" s="73" t="e">
        <f t="shared" si="26"/>
        <v>#DIV/0!</v>
      </c>
      <c r="AF25" s="406" t="e">
        <f t="shared" si="27"/>
        <v>#DIV/0!</v>
      </c>
      <c r="AG25" s="407" t="e">
        <f t="shared" si="28"/>
        <v>#DIV/0!</v>
      </c>
      <c r="AH25" s="407" t="e">
        <f t="shared" si="25"/>
        <v>#DIV/0!</v>
      </c>
      <c r="AI25" s="73">
        <f t="shared" si="29"/>
        <v>0</v>
      </c>
      <c r="AJ25" s="292">
        <f t="shared" si="9"/>
        <v>0.25738396624472576</v>
      </c>
      <c r="AK25" s="292">
        <f t="shared" si="34"/>
        <v>0</v>
      </c>
    </row>
    <row r="26" spans="1:37" ht="15" thickBot="1">
      <c r="A26" s="4">
        <f>ELEC!C26</f>
        <v>44220</v>
      </c>
      <c r="B26" s="548">
        <f t="shared" si="36"/>
        <v>9509</v>
      </c>
      <c r="C26" s="290">
        <f t="shared" si="11"/>
        <v>0</v>
      </c>
      <c r="D26" s="549">
        <f t="shared" si="37"/>
        <v>303889.3</v>
      </c>
      <c r="E26" s="290">
        <f t="shared" si="12"/>
        <v>0</v>
      </c>
      <c r="F26" s="290">
        <f t="shared" si="0"/>
        <v>0</v>
      </c>
      <c r="G26" s="197"/>
      <c r="H26" s="291">
        <f t="shared" si="40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5"/>
        <v>ok</v>
      </c>
      <c r="R26" s="549">
        <f t="shared" si="18"/>
        <v>11776.1</v>
      </c>
      <c r="S26" s="290">
        <f t="shared" si="5"/>
        <v>0</v>
      </c>
      <c r="T26" s="549">
        <f t="shared" si="19"/>
        <v>373729</v>
      </c>
      <c r="U26" s="290">
        <f t="shared" si="38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9"/>
        <v>ok</v>
      </c>
      <c r="Z26" s="290">
        <f t="shared" si="8"/>
        <v>0</v>
      </c>
      <c r="AA26" s="290">
        <f t="shared" si="22"/>
        <v>0</v>
      </c>
      <c r="AB26" s="290">
        <f t="shared" si="23"/>
        <v>0</v>
      </c>
      <c r="AC26" s="290">
        <f t="shared" si="24"/>
        <v>0</v>
      </c>
      <c r="AD26" s="73">
        <f>ELEC!Q26</f>
        <v>0</v>
      </c>
      <c r="AE26" s="73" t="e">
        <f t="shared" si="26"/>
        <v>#DIV/0!</v>
      </c>
      <c r="AF26" s="406" t="e">
        <f t="shared" si="27"/>
        <v>#DIV/0!</v>
      </c>
      <c r="AG26" s="407" t="e">
        <f t="shared" si="28"/>
        <v>#DIV/0!</v>
      </c>
      <c r="AH26" s="407" t="e">
        <f t="shared" si="25"/>
        <v>#DIV/0!</v>
      </c>
      <c r="AI26" s="73">
        <f t="shared" si="29"/>
        <v>0</v>
      </c>
      <c r="AJ26" s="292">
        <f t="shared" si="9"/>
        <v>0.25738396624472576</v>
      </c>
      <c r="AK26" s="292">
        <f t="shared" si="34"/>
        <v>0</v>
      </c>
    </row>
    <row r="27" spans="1:37" ht="15" thickBot="1">
      <c r="A27" s="4">
        <f>ELEC!C27</f>
        <v>44221</v>
      </c>
      <c r="B27" s="548">
        <f t="shared" si="36"/>
        <v>9509</v>
      </c>
      <c r="C27" s="290">
        <f t="shared" si="11"/>
        <v>0</v>
      </c>
      <c r="D27" s="549">
        <f t="shared" si="37"/>
        <v>303889.3</v>
      </c>
      <c r="E27" s="290">
        <f t="shared" si="12"/>
        <v>0</v>
      </c>
      <c r="F27" s="290">
        <f t="shared" si="0"/>
        <v>0</v>
      </c>
      <c r="G27" s="197"/>
      <c r="H27" s="291">
        <f t="shared" si="40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5"/>
        <v>ok</v>
      </c>
      <c r="R27" s="549">
        <f t="shared" si="18"/>
        <v>11776.1</v>
      </c>
      <c r="S27" s="290">
        <f t="shared" si="5"/>
        <v>0</v>
      </c>
      <c r="T27" s="549">
        <f t="shared" si="19"/>
        <v>373729</v>
      </c>
      <c r="U27" s="290">
        <f t="shared" si="38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9"/>
        <v>ok</v>
      </c>
      <c r="Z27" s="290">
        <f t="shared" si="8"/>
        <v>0</v>
      </c>
      <c r="AA27" s="290">
        <f t="shared" si="22"/>
        <v>0</v>
      </c>
      <c r="AB27" s="290">
        <f t="shared" si="23"/>
        <v>0</v>
      </c>
      <c r="AC27" s="290">
        <f t="shared" si="24"/>
        <v>0</v>
      </c>
      <c r="AD27" s="73">
        <f>ELEC!Q27</f>
        <v>0</v>
      </c>
      <c r="AE27" s="73" t="e">
        <f t="shared" si="26"/>
        <v>#DIV/0!</v>
      </c>
      <c r="AF27" s="406" t="e">
        <f t="shared" si="27"/>
        <v>#DIV/0!</v>
      </c>
      <c r="AG27" s="407" t="e">
        <f t="shared" si="28"/>
        <v>#DIV/0!</v>
      </c>
      <c r="AH27" s="407" t="e">
        <f t="shared" si="25"/>
        <v>#DIV/0!</v>
      </c>
      <c r="AI27" s="73">
        <f t="shared" si="29"/>
        <v>0</v>
      </c>
      <c r="AJ27" s="292">
        <f t="shared" si="9"/>
        <v>0.25738396624472576</v>
      </c>
      <c r="AK27" s="292">
        <f t="shared" si="34"/>
        <v>0</v>
      </c>
    </row>
    <row r="28" spans="1:37" ht="15" thickBot="1">
      <c r="A28" s="4">
        <f>ELEC!C28</f>
        <v>44222</v>
      </c>
      <c r="B28" s="548">
        <f t="shared" si="36"/>
        <v>9509</v>
      </c>
      <c r="C28" s="290">
        <f t="shared" si="11"/>
        <v>0</v>
      </c>
      <c r="D28" s="549">
        <f t="shared" si="37"/>
        <v>303889.3</v>
      </c>
      <c r="E28" s="290">
        <f t="shared" si="12"/>
        <v>0</v>
      </c>
      <c r="F28" s="290">
        <f t="shared" si="0"/>
        <v>0</v>
      </c>
      <c r="G28" s="288"/>
      <c r="H28" s="291">
        <f t="shared" si="40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5"/>
        <v>ok</v>
      </c>
      <c r="R28" s="549">
        <f t="shared" si="18"/>
        <v>11776.1</v>
      </c>
      <c r="S28" s="290">
        <f t="shared" si="5"/>
        <v>0</v>
      </c>
      <c r="T28" s="549">
        <f t="shared" si="19"/>
        <v>373729</v>
      </c>
      <c r="U28" s="290">
        <f t="shared" si="38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9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6"/>
        <v>#DIV/0!</v>
      </c>
      <c r="AF28" s="406" t="e">
        <f t="shared" si="27"/>
        <v>#DIV/0!</v>
      </c>
      <c r="AG28" s="407" t="e">
        <f t="shared" si="28"/>
        <v>#DIV/0!</v>
      </c>
      <c r="AH28" s="407" t="e">
        <f t="shared" si="25"/>
        <v>#DIV/0!</v>
      </c>
      <c r="AI28" s="73">
        <f t="shared" si="29"/>
        <v>0</v>
      </c>
      <c r="AJ28" s="292">
        <f t="shared" si="9"/>
        <v>0.25738396624472576</v>
      </c>
      <c r="AK28" s="292">
        <f t="shared" si="34"/>
        <v>0</v>
      </c>
    </row>
    <row r="29" spans="1:37" ht="15" thickBot="1">
      <c r="A29" s="4">
        <f>ELEC!C29</f>
        <v>44223</v>
      </c>
      <c r="B29" s="548">
        <f t="shared" si="36"/>
        <v>9509</v>
      </c>
      <c r="C29" s="290">
        <f t="shared" si="11"/>
        <v>0</v>
      </c>
      <c r="D29" s="549">
        <f t="shared" si="37"/>
        <v>303889.3</v>
      </c>
      <c r="E29" s="290">
        <f>SUM(D29-D28)</f>
        <v>0</v>
      </c>
      <c r="F29" s="290">
        <f t="shared" si="0"/>
        <v>0</v>
      </c>
      <c r="G29" s="197"/>
      <c r="H29" s="291">
        <f t="shared" si="40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5"/>
        <v>ok</v>
      </c>
      <c r="R29" s="549">
        <f t="shared" si="18"/>
        <v>11776.1</v>
      </c>
      <c r="S29" s="290">
        <f t="shared" si="5"/>
        <v>0</v>
      </c>
      <c r="T29" s="549">
        <f t="shared" si="19"/>
        <v>373729</v>
      </c>
      <c r="U29" s="290">
        <f t="shared" si="38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9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4"/>
        <v>0</v>
      </c>
    </row>
    <row r="30" spans="1:37" ht="15" thickBot="1">
      <c r="A30" s="4">
        <f>ELEC!C30</f>
        <v>44224</v>
      </c>
      <c r="B30" s="548">
        <f t="shared" si="36"/>
        <v>9509</v>
      </c>
      <c r="C30" s="290">
        <f t="shared" si="11"/>
        <v>0</v>
      </c>
      <c r="D30" s="549">
        <f t="shared" si="37"/>
        <v>303889.3</v>
      </c>
      <c r="E30" s="290">
        <f t="shared" si="12"/>
        <v>0</v>
      </c>
      <c r="F30" s="290">
        <f t="shared" si="0"/>
        <v>0</v>
      </c>
      <c r="G30" s="197"/>
      <c r="H30" s="291">
        <f t="shared" si="40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5"/>
        <v>ok</v>
      </c>
      <c r="R30" s="549">
        <f t="shared" si="18"/>
        <v>11776.1</v>
      </c>
      <c r="S30" s="290">
        <f t="shared" si="5"/>
        <v>0</v>
      </c>
      <c r="T30" s="549">
        <f t="shared" si="19"/>
        <v>373729</v>
      </c>
      <c r="U30" s="290">
        <f t="shared" si="38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9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4"/>
        <v>0</v>
      </c>
    </row>
    <row r="31" spans="1:37" ht="15" thickBot="1">
      <c r="A31" s="4">
        <f>ELEC!C31</f>
        <v>44225</v>
      </c>
      <c r="B31" s="548">
        <f t="shared" si="36"/>
        <v>9509</v>
      </c>
      <c r="C31" s="290">
        <f t="shared" si="11"/>
        <v>0</v>
      </c>
      <c r="D31" s="549">
        <f t="shared" si="37"/>
        <v>303889.3</v>
      </c>
      <c r="E31" s="290">
        <f t="shared" si="12"/>
        <v>0</v>
      </c>
      <c r="F31" s="290">
        <f t="shared" si="0"/>
        <v>0</v>
      </c>
      <c r="G31" s="197"/>
      <c r="H31" s="291">
        <f t="shared" si="40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5"/>
        <v>ok</v>
      </c>
      <c r="R31" s="549">
        <f t="shared" si="18"/>
        <v>11776.1</v>
      </c>
      <c r="S31" s="290">
        <f t="shared" si="5"/>
        <v>0</v>
      </c>
      <c r="T31" s="549">
        <f t="shared" si="19"/>
        <v>373729</v>
      </c>
      <c r="U31" s="290">
        <f t="shared" si="38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9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4"/>
        <v>0</v>
      </c>
    </row>
    <row r="32" spans="1:37" ht="15" thickBot="1">
      <c r="A32" s="4">
        <f>ELEC!C32</f>
        <v>44226</v>
      </c>
      <c r="B32" s="548">
        <f t="shared" si="36"/>
        <v>9509</v>
      </c>
      <c r="C32" s="290">
        <f t="shared" si="11"/>
        <v>0</v>
      </c>
      <c r="D32" s="549">
        <f t="shared" si="37"/>
        <v>303889.3</v>
      </c>
      <c r="E32" s="290">
        <f t="shared" si="12"/>
        <v>0</v>
      </c>
      <c r="F32" s="290">
        <f t="shared" si="0"/>
        <v>0</v>
      </c>
      <c r="G32" s="197"/>
      <c r="H32" s="291">
        <f t="shared" si="40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5"/>
        <v>ok</v>
      </c>
      <c r="R32" s="549">
        <f t="shared" si="18"/>
        <v>11776.1</v>
      </c>
      <c r="S32" s="290">
        <f t="shared" si="5"/>
        <v>0</v>
      </c>
      <c r="T32" s="549">
        <f t="shared" si="19"/>
        <v>373729</v>
      </c>
      <c r="U32" s="290">
        <f t="shared" si="38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9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4"/>
        <v>0</v>
      </c>
    </row>
    <row r="33" spans="1:37">
      <c r="A33" s="4">
        <f>ELEC!C33</f>
        <v>44227</v>
      </c>
      <c r="B33" s="548">
        <f t="shared" si="36"/>
        <v>9509</v>
      </c>
      <c r="C33" s="290">
        <f t="shared" ref="C33" si="41">B33-B32</f>
        <v>0</v>
      </c>
      <c r="D33" s="549">
        <f t="shared" si="37"/>
        <v>303889.3</v>
      </c>
      <c r="E33" s="290">
        <f t="shared" ref="E33" si="42">SUM(D33-D32)</f>
        <v>0</v>
      </c>
      <c r="F33" s="290">
        <f t="shared" ref="F33" si="43">IF(C33&gt;0,E33/C33,0)</f>
        <v>0</v>
      </c>
      <c r="G33" s="341"/>
      <c r="H33" s="291">
        <f t="shared" si="40"/>
        <v>94679</v>
      </c>
      <c r="I33" s="290" t="str">
        <f t="shared" ref="I33" si="44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5">SUM(L33-L32)</f>
        <v>0</v>
      </c>
      <c r="N33" s="290">
        <f t="shared" ref="N33" si="46">IF(K33&gt;0,M33/K33,0)</f>
        <v>0</v>
      </c>
      <c r="O33" s="341"/>
      <c r="P33" s="291">
        <f t="shared" si="17"/>
        <v>10873</v>
      </c>
      <c r="Q33" s="290" t="str">
        <f t="shared" ref="Q33" si="47">IF(J33-P33&lt;=0,"ok","oil change")</f>
        <v>ok</v>
      </c>
      <c r="R33" s="549">
        <f t="shared" si="18"/>
        <v>11776.1</v>
      </c>
      <c r="S33" s="290">
        <f t="shared" ref="S33" si="48">R33-R32</f>
        <v>0</v>
      </c>
      <c r="T33" s="549">
        <f t="shared" si="19"/>
        <v>373729</v>
      </c>
      <c r="U33" s="290">
        <f t="shared" ref="U33" si="49">SUM(T33-T32)</f>
        <v>0</v>
      </c>
      <c r="V33" s="290">
        <f t="shared" ref="V33" si="50">IF(S33&gt;0,U33/S33,0)</f>
        <v>0</v>
      </c>
      <c r="W33" s="341"/>
      <c r="X33" s="291">
        <f t="shared" si="21"/>
        <v>12141</v>
      </c>
      <c r="Y33" s="290" t="str">
        <f t="shared" ref="Y33" si="51">IF(R33-X33&lt;=0,"ok","oil change")</f>
        <v>ok</v>
      </c>
      <c r="Z33" s="290">
        <f t="shared" si="8"/>
        <v>0</v>
      </c>
      <c r="AA33" s="290">
        <f t="shared" ref="AA33" si="52">U33+M33+E33</f>
        <v>0</v>
      </c>
      <c r="AB33" s="290">
        <f t="shared" ref="AB33" si="53">V33+N33+F33</f>
        <v>0</v>
      </c>
      <c r="AC33" s="290">
        <f t="shared" ref="AC33" si="54">IF(Z33&gt;0,AA33/Z33,0)</f>
        <v>0</v>
      </c>
      <c r="AD33" s="73">
        <f>ELEC!Q33</f>
        <v>0</v>
      </c>
      <c r="AE33" s="73" t="e">
        <f t="shared" ref="AE33" si="55">SUM(AD33/Z33)</f>
        <v>#DIV/0!</v>
      </c>
      <c r="AF33" s="406" t="e">
        <f t="shared" ref="AF33" si="56">SUM(AE33/1600)</f>
        <v>#DIV/0!</v>
      </c>
      <c r="AG33" s="511" t="e">
        <f t="shared" ref="AG33" si="57">SUM(320*AF33)</f>
        <v>#DIV/0!</v>
      </c>
      <c r="AH33" s="511" t="e">
        <f t="shared" ref="AH33" si="58">SUM(AC33-AG33)</f>
        <v>#DIV/0!</v>
      </c>
      <c r="AI33" s="73">
        <f t="shared" ref="AI33" si="59">AD33*AJ33</f>
        <v>0</v>
      </c>
      <c r="AJ33" s="292">
        <f t="shared" si="9"/>
        <v>0.25738396624472576</v>
      </c>
      <c r="AK33" s="292">
        <f t="shared" ref="AK33" si="60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61.100000000000364</v>
      </c>
      <c r="V34" s="40"/>
      <c r="X34">
        <v>341</v>
      </c>
      <c r="Z34" s="425">
        <f>SUM(Z3:Z32)</f>
        <v>61.100000000000364</v>
      </c>
    </row>
    <row r="35" spans="1:37">
      <c r="C35" s="40">
        <f>SUM(C3:C33)</f>
        <v>61</v>
      </c>
      <c r="K35" s="40">
        <f>SUM(K3:K33)</f>
        <v>0</v>
      </c>
      <c r="S35" s="40">
        <f>SUM(S3:S33)</f>
        <v>0.1000000000003638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J1" zoomScale="80" zoomScaleNormal="80" workbookViewId="0">
      <selection activeCell="N21" sqref="N21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6" bestFit="1" customWidth="1"/>
    <col min="20" max="20" width="10.26953125" style="340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8.453125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" thickBot="1">
      <c r="A3" s="163">
        <f>ELEC!C2</f>
        <v>44196</v>
      </c>
      <c r="B3" s="266">
        <v>782714</v>
      </c>
      <c r="C3" s="266">
        <f>'[1]EDl log'!C34</f>
        <v>2478</v>
      </c>
      <c r="D3" s="266">
        <f>'[1]EDl log'!D34</f>
        <v>2477</v>
      </c>
      <c r="E3" s="266">
        <f>'[1]EDl log'!E34</f>
        <v>782713</v>
      </c>
      <c r="F3" s="266">
        <v>115593</v>
      </c>
      <c r="G3" s="266">
        <f>'[1]EDl log'!G34</f>
        <v>578</v>
      </c>
      <c r="H3" s="266">
        <v>394635</v>
      </c>
      <c r="I3" s="266">
        <f>'[1]EDl log'!I34</f>
        <v>994</v>
      </c>
      <c r="J3" s="266">
        <v>272485</v>
      </c>
      <c r="K3" s="266">
        <f>'[1]EDl log'!K34</f>
        <v>905</v>
      </c>
      <c r="L3" s="266">
        <f>'[1]EDl log'!L34</f>
        <v>122.69320066334991</v>
      </c>
      <c r="M3" s="266">
        <f>'[1]EDl log'!M34</f>
        <v>73.849419568822555</v>
      </c>
      <c r="N3" s="266">
        <f>'[1]EDl log'!N34</f>
        <v>48.026533996683249</v>
      </c>
      <c r="O3" s="266">
        <f>'[1]EDl log'!O34</f>
        <v>154.80303857058792</v>
      </c>
      <c r="P3" s="266">
        <f>'[1]EDl log'!P34</f>
        <v>399.37219279944361</v>
      </c>
      <c r="Q3" s="266">
        <f>'[1]EDl log'!Q34</f>
        <v>373.93548387095024</v>
      </c>
      <c r="R3" s="266">
        <f>'[1]EDl log'!R34</f>
        <v>773.3076766703939</v>
      </c>
      <c r="S3" s="266">
        <f>'[1]EDl log'!S34</f>
        <v>6692</v>
      </c>
      <c r="T3" s="266">
        <f>'[1]EDl log'!T34</f>
        <v>0.11555703476843902</v>
      </c>
      <c r="Z3" t="s">
        <v>214</v>
      </c>
      <c r="AA3">
        <v>0.1</v>
      </c>
    </row>
    <row r="4" spans="1:32" ht="15" thickBot="1">
      <c r="A4" s="163">
        <f>ELEC!C3</f>
        <v>44197</v>
      </c>
      <c r="B4" s="547">
        <v>785547</v>
      </c>
      <c r="C4" s="266">
        <f t="shared" ref="C4:C33" si="0">SUM(B4-B3)</f>
        <v>2833</v>
      </c>
      <c r="D4" s="311">
        <f>SUM(G4+I4+K4)</f>
        <v>2833</v>
      </c>
      <c r="E4" s="311">
        <f>B3+D4</f>
        <v>785547</v>
      </c>
      <c r="F4" s="588">
        <v>116235</v>
      </c>
      <c r="G4" s="160">
        <f t="shared" ref="G4:G32" si="1">F4-F3</f>
        <v>642</v>
      </c>
      <c r="H4" s="547">
        <v>396010</v>
      </c>
      <c r="I4" s="161">
        <f t="shared" ref="I4:I33" si="2">H4-H3</f>
        <v>1375</v>
      </c>
      <c r="J4" s="547">
        <v>273301</v>
      </c>
      <c r="K4" s="162">
        <f t="shared" ref="K4:K33" si="3">J4-J3</f>
        <v>816</v>
      </c>
      <c r="L4" s="299">
        <f t="shared" ref="L4:L13" si="4">SUM(G4*$Y$28)/1507.5</f>
        <v>136.27860696517413</v>
      </c>
      <c r="M4" s="299">
        <f t="shared" ref="M4:M13" si="5">SUM(I4*$Y$27)/1507.5</f>
        <v>102.1558872305141</v>
      </c>
      <c r="N4" s="299">
        <f t="shared" ref="N4:N13" si="6">SUM(K4*$Y$26)/1507.5</f>
        <v>43.303482587064678</v>
      </c>
      <c r="O4" s="299">
        <f t="shared" ref="O4:O34" si="7">($AC$31/$A$37)/1507.5</f>
        <v>89.88563529905106</v>
      </c>
      <c r="P4" s="300">
        <f>SUM(L4:O4)</f>
        <v>371.62361208180391</v>
      </c>
      <c r="Q4" s="300">
        <f>SUM(-tanks!AX6*tanks!$AU$37)</f>
        <v>-55.248516129013154</v>
      </c>
      <c r="R4" s="300">
        <f>SUM(P4:Q4)</f>
        <v>316.37509595279073</v>
      </c>
      <c r="S4" s="302">
        <f>SUM(ELEC!N3)</f>
        <v>5839</v>
      </c>
      <c r="T4" s="339">
        <f>IF(S4&gt;0,R4/S4,0)</f>
        <v>5.4183095727485996E-2</v>
      </c>
      <c r="U4" s="252"/>
      <c r="V4" s="253" t="str">
        <f>'[4]EDl log'!V21</f>
        <v xml:space="preserve">EDL </v>
      </c>
      <c r="W4" s="167">
        <v>44185</v>
      </c>
      <c r="X4" s="169"/>
      <c r="Y4" s="169"/>
      <c r="Z4" s="169" t="s">
        <v>202</v>
      </c>
      <c r="AA4" s="169"/>
      <c r="AB4" s="677"/>
      <c r="AC4" s="678"/>
    </row>
    <row r="5" spans="1:32" ht="15" thickBot="1">
      <c r="A5" s="163">
        <f>ELEC!C4</f>
        <v>44198</v>
      </c>
      <c r="B5" s="547">
        <v>788430</v>
      </c>
      <c r="C5" s="266">
        <f t="shared" si="0"/>
        <v>2883</v>
      </c>
      <c r="D5" s="311">
        <f t="shared" ref="D5:D33" si="8">SUM(G5+I5+K5)</f>
        <v>2885</v>
      </c>
      <c r="E5" s="311">
        <f>B4+D5</f>
        <v>788432</v>
      </c>
      <c r="F5" s="588">
        <v>116743</v>
      </c>
      <c r="G5" s="160">
        <f t="shared" si="1"/>
        <v>508</v>
      </c>
      <c r="H5" s="547">
        <v>397327</v>
      </c>
      <c r="I5" s="161">
        <f t="shared" si="2"/>
        <v>1317</v>
      </c>
      <c r="J5" s="547">
        <v>274361</v>
      </c>
      <c r="K5" s="162">
        <f t="shared" si="3"/>
        <v>1060</v>
      </c>
      <c r="L5" s="299">
        <f t="shared" si="4"/>
        <v>107.83416252072969</v>
      </c>
      <c r="M5" s="299">
        <f t="shared" si="5"/>
        <v>97.846766169154222</v>
      </c>
      <c r="N5" s="299">
        <f t="shared" si="6"/>
        <v>56.252072968490879</v>
      </c>
      <c r="O5" s="299">
        <f t="shared" si="7"/>
        <v>89.88563529905106</v>
      </c>
      <c r="P5" s="300">
        <f t="shared" ref="P5:P32" si="9">SUM(L5:O5)</f>
        <v>351.81863695742584</v>
      </c>
      <c r="Q5" s="300">
        <f>SUM(-tanks!AX7*tanks!$AU$37)</f>
        <v>801.84980645161124</v>
      </c>
      <c r="R5" s="300">
        <f t="shared" ref="R5:R32" si="10">SUM(P5:Q5)</f>
        <v>1153.6684434090371</v>
      </c>
      <c r="S5" s="302">
        <f>SUM(ELEC!N4)</f>
        <v>7390</v>
      </c>
      <c r="T5" s="339">
        <f>IF(S5&gt;0,R5/S5,0)</f>
        <v>0.156112103302982</v>
      </c>
      <c r="U5" s="252"/>
      <c r="V5" s="671"/>
      <c r="W5" s="672"/>
      <c r="X5" s="672"/>
      <c r="Y5" s="673"/>
      <c r="Z5" s="26" t="s">
        <v>203</v>
      </c>
      <c r="AA5" s="266">
        <f>'[5]EDl log'!AA22</f>
        <v>5000</v>
      </c>
      <c r="AB5" s="679"/>
      <c r="AC5" s="680"/>
    </row>
    <row r="6" spans="1:32">
      <c r="A6" s="163">
        <f>ELEC!C5</f>
        <v>44199</v>
      </c>
      <c r="B6" s="547">
        <v>790578</v>
      </c>
      <c r="C6" s="266">
        <f t="shared" si="0"/>
        <v>2148</v>
      </c>
      <c r="D6" s="311">
        <f t="shared" si="8"/>
        <v>2147</v>
      </c>
      <c r="E6" s="311">
        <f t="shared" ref="E6:E33" si="11">B5+D6</f>
        <v>790577</v>
      </c>
      <c r="F6" s="588">
        <v>117185</v>
      </c>
      <c r="G6" s="160">
        <f t="shared" si="1"/>
        <v>442</v>
      </c>
      <c r="H6" s="547">
        <v>398315</v>
      </c>
      <c r="I6" s="161">
        <f t="shared" si="2"/>
        <v>988</v>
      </c>
      <c r="J6" s="547">
        <v>275078</v>
      </c>
      <c r="K6" s="162">
        <f t="shared" si="3"/>
        <v>717</v>
      </c>
      <c r="L6" s="299">
        <f t="shared" si="4"/>
        <v>93.824212271973465</v>
      </c>
      <c r="M6" s="299">
        <f t="shared" si="5"/>
        <v>73.403648424543945</v>
      </c>
      <c r="N6" s="299">
        <f t="shared" si="6"/>
        <v>38.049751243781095</v>
      </c>
      <c r="O6" s="299">
        <f t="shared" si="7"/>
        <v>89.88563529905106</v>
      </c>
      <c r="P6" s="300">
        <f t="shared" si="9"/>
        <v>295.16324723934957</v>
      </c>
      <c r="Q6" s="300">
        <f>SUM(-tanks!AX8*tanks!$AU$37)</f>
        <v>421.78064516128973</v>
      </c>
      <c r="R6" s="300">
        <f t="shared" si="10"/>
        <v>716.94389240063924</v>
      </c>
      <c r="S6" s="302">
        <f>SUM(ELEC!N5)</f>
        <v>6121</v>
      </c>
      <c r="T6" s="339">
        <f t="shared" ref="T6:T32" si="12">IF(S6&gt;0,R6/S6,0)</f>
        <v>0.11712855618373456</v>
      </c>
      <c r="V6" s="674"/>
      <c r="W6" s="675"/>
      <c r="X6" s="675"/>
      <c r="Y6" s="676"/>
      <c r="Z6" s="3"/>
      <c r="AA6" s="3"/>
      <c r="AB6" s="679"/>
      <c r="AC6" s="680"/>
    </row>
    <row r="7" spans="1:32" ht="15" customHeight="1" thickBot="1">
      <c r="A7" s="163">
        <f>ELEC!C6</f>
        <v>44200</v>
      </c>
      <c r="B7" s="610">
        <v>792476</v>
      </c>
      <c r="C7" s="266">
        <f t="shared" si="0"/>
        <v>1898</v>
      </c>
      <c r="D7" s="311">
        <f t="shared" si="8"/>
        <v>1897</v>
      </c>
      <c r="E7" s="311">
        <f t="shared" si="11"/>
        <v>792475</v>
      </c>
      <c r="F7" s="617">
        <v>117652</v>
      </c>
      <c r="G7" s="160">
        <f t="shared" si="1"/>
        <v>467</v>
      </c>
      <c r="H7" s="610">
        <v>398934</v>
      </c>
      <c r="I7" s="161">
        <f t="shared" si="2"/>
        <v>619</v>
      </c>
      <c r="J7" s="610">
        <v>275889</v>
      </c>
      <c r="K7" s="162">
        <f t="shared" si="3"/>
        <v>811</v>
      </c>
      <c r="L7" s="299">
        <f t="shared" si="4"/>
        <v>99.131011608623552</v>
      </c>
      <c r="M7" s="299">
        <f t="shared" si="5"/>
        <v>45.988723051409622</v>
      </c>
      <c r="N7" s="299">
        <f t="shared" si="6"/>
        <v>43.038142620232172</v>
      </c>
      <c r="O7" s="299">
        <f t="shared" si="7"/>
        <v>89.88563529905106</v>
      </c>
      <c r="P7" s="300">
        <f t="shared" si="9"/>
        <v>278.04351257931643</v>
      </c>
      <c r="Q7" s="300">
        <f>SUM(-tanks!AX9*tanks!$AU$37)</f>
        <v>925.68774193547665</v>
      </c>
      <c r="R7" s="300">
        <f t="shared" si="10"/>
        <v>1203.7312545147931</v>
      </c>
      <c r="S7" s="302">
        <f>SUM(ELEC!N6)</f>
        <v>8086</v>
      </c>
      <c r="T7" s="339">
        <f t="shared" si="12"/>
        <v>0.14886609627934616</v>
      </c>
      <c r="V7" s="667" t="s">
        <v>204</v>
      </c>
      <c r="W7" s="668"/>
      <c r="X7" s="669" t="s">
        <v>205</v>
      </c>
      <c r="Y7" s="670"/>
      <c r="Z7" s="668"/>
      <c r="AA7" s="26"/>
      <c r="AB7" s="681"/>
      <c r="AC7" s="682"/>
    </row>
    <row r="8" spans="1:32" ht="15.75" customHeight="1" thickBot="1">
      <c r="A8" s="163">
        <f>ELEC!C7</f>
        <v>44201</v>
      </c>
      <c r="B8" s="547">
        <v>795363</v>
      </c>
      <c r="C8" s="266">
        <f t="shared" si="0"/>
        <v>2887</v>
      </c>
      <c r="D8" s="311">
        <f t="shared" si="8"/>
        <v>2888</v>
      </c>
      <c r="E8" s="311">
        <f t="shared" si="11"/>
        <v>795364</v>
      </c>
      <c r="F8" s="588">
        <v>118340</v>
      </c>
      <c r="G8" s="160">
        <f t="shared" si="1"/>
        <v>688</v>
      </c>
      <c r="H8" s="547">
        <v>400299</v>
      </c>
      <c r="I8" s="161">
        <f t="shared" si="2"/>
        <v>1365</v>
      </c>
      <c r="J8" s="547">
        <v>276724</v>
      </c>
      <c r="K8" s="162">
        <f>J8-J7</f>
        <v>835</v>
      </c>
      <c r="L8" s="299">
        <f t="shared" si="4"/>
        <v>146.04311774461027</v>
      </c>
      <c r="M8" s="299">
        <f t="shared" si="5"/>
        <v>101.41293532338308</v>
      </c>
      <c r="N8" s="299">
        <f t="shared" si="6"/>
        <v>44.311774461028193</v>
      </c>
      <c r="O8" s="299">
        <f t="shared" si="7"/>
        <v>89.88563529905106</v>
      </c>
      <c r="P8" s="300">
        <f t="shared" si="9"/>
        <v>381.65346282807263</v>
      </c>
      <c r="Q8" s="300">
        <f>SUM(-tanks!AX10*tanks!$AU$37)</f>
        <v>400.02064516128974</v>
      </c>
      <c r="R8" s="300">
        <f t="shared" si="10"/>
        <v>781.67410798936237</v>
      </c>
      <c r="S8" s="302">
        <f>SUM(ELEC!N7)</f>
        <v>7278</v>
      </c>
      <c r="T8" s="339">
        <f>IF(S8&gt;0,R8/S8,0)</f>
        <v>0.10740232316424325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'[6]EDl log'!AB25</f>
        <v>Total cost LL</v>
      </c>
      <c r="AC8" s="254" t="s">
        <v>212</v>
      </c>
    </row>
    <row r="9" spans="1:32" ht="15" thickBot="1">
      <c r="A9" s="163">
        <f>ELEC!C8</f>
        <v>44202</v>
      </c>
      <c r="B9" s="547">
        <v>797661</v>
      </c>
      <c r="C9" s="266">
        <f t="shared" si="0"/>
        <v>2298</v>
      </c>
      <c r="D9" s="311">
        <f t="shared" si="8"/>
        <v>2297</v>
      </c>
      <c r="E9" s="311">
        <f t="shared" si="11"/>
        <v>797660</v>
      </c>
      <c r="F9" s="588">
        <v>118784</v>
      </c>
      <c r="G9" s="160">
        <f t="shared" si="1"/>
        <v>444</v>
      </c>
      <c r="H9" s="547">
        <v>401312</v>
      </c>
      <c r="I9" s="161">
        <f t="shared" si="2"/>
        <v>1013</v>
      </c>
      <c r="J9" s="547">
        <v>277564</v>
      </c>
      <c r="K9" s="162">
        <f>J9-J8</f>
        <v>840</v>
      </c>
      <c r="L9" s="299">
        <f t="shared" si="4"/>
        <v>94.24875621890547</v>
      </c>
      <c r="M9" s="299">
        <f t="shared" si="5"/>
        <v>75.261028192371469</v>
      </c>
      <c r="N9" s="299">
        <f t="shared" si="6"/>
        <v>44.5771144278607</v>
      </c>
      <c r="O9" s="299">
        <f t="shared" si="7"/>
        <v>89.88563529905106</v>
      </c>
      <c r="P9" s="300">
        <f t="shared" si="9"/>
        <v>303.97253413818868</v>
      </c>
      <c r="Q9" s="300">
        <f>SUM(-tanks!AX11*tanks!$AU$37)</f>
        <v>774.85832258065238</v>
      </c>
      <c r="R9" s="300">
        <f>SUM(P9:Q9)</f>
        <v>1078.830856718841</v>
      </c>
      <c r="S9" s="302">
        <f>SUM(ELEC!N8)</f>
        <v>7508</v>
      </c>
      <c r="T9" s="339">
        <f t="shared" si="12"/>
        <v>0.14369084399558352</v>
      </c>
      <c r="V9" s="579">
        <f>'[1]EDl log'!V26</f>
        <v>244359</v>
      </c>
      <c r="W9" s="579">
        <f>'[1]EDl log'!W26</f>
        <v>271580</v>
      </c>
      <c r="X9" s="266" t="str">
        <f>'[7]EDl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27221</v>
      </c>
      <c r="AB9" s="576">
        <f>'[1]EDl log'!AB26</f>
        <v>2177680</v>
      </c>
      <c r="AC9" s="576">
        <f>'[1]EDl log'!AC26</f>
        <v>1033333</v>
      </c>
      <c r="AD9" s="513">
        <f>'[1]EDl log'!AD26</f>
        <v>0.3525886924909114</v>
      </c>
    </row>
    <row r="10" spans="1:32" ht="15" thickBot="1">
      <c r="A10" s="163">
        <f>ELEC!C9</f>
        <v>44203</v>
      </c>
      <c r="B10" s="547">
        <v>799947</v>
      </c>
      <c r="C10" s="266">
        <f t="shared" si="0"/>
        <v>2286</v>
      </c>
      <c r="D10" s="311">
        <f t="shared" si="8"/>
        <v>2286</v>
      </c>
      <c r="E10" s="311">
        <f t="shared" si="11"/>
        <v>799947</v>
      </c>
      <c r="F10" s="588">
        <v>119225</v>
      </c>
      <c r="G10" s="160">
        <f t="shared" si="1"/>
        <v>441</v>
      </c>
      <c r="H10" s="547">
        <v>402245</v>
      </c>
      <c r="I10" s="161">
        <f t="shared" si="2"/>
        <v>933</v>
      </c>
      <c r="J10" s="547">
        <v>278476</v>
      </c>
      <c r="K10" s="162">
        <f t="shared" si="3"/>
        <v>912</v>
      </c>
      <c r="L10" s="299">
        <f t="shared" si="4"/>
        <v>93.611940298507463</v>
      </c>
      <c r="M10" s="299">
        <f t="shared" si="5"/>
        <v>69.317412935323389</v>
      </c>
      <c r="N10" s="299">
        <f t="shared" si="6"/>
        <v>48.398009950248756</v>
      </c>
      <c r="O10" s="299">
        <f t="shared" si="7"/>
        <v>89.88563529905106</v>
      </c>
      <c r="P10" s="300">
        <f t="shared" si="9"/>
        <v>301.21299848313066</v>
      </c>
      <c r="Q10" s="300">
        <f>SUM(-tanks!AX12*tanks!$AU$37)</f>
        <v>515.43535483871585</v>
      </c>
      <c r="R10" s="300">
        <f t="shared" si="10"/>
        <v>816.64835332184657</v>
      </c>
      <c r="S10" s="302">
        <f>SUM(ELEC!N9)</f>
        <v>7042</v>
      </c>
      <c r="T10" s="339">
        <f t="shared" si="12"/>
        <v>0.11596824102837923</v>
      </c>
      <c r="V10" s="579">
        <f>'[1]EDl log'!V27</f>
        <v>356272</v>
      </c>
      <c r="W10" s="579">
        <f>'[1]EDl log'!W27</f>
        <v>393641</v>
      </c>
      <c r="X10" s="266" t="str">
        <f>'[2]EDl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37369</v>
      </c>
      <c r="AB10" s="576">
        <f>'[1]EDl log'!AB27</f>
        <v>4185328</v>
      </c>
      <c r="AC10" s="576">
        <f>'[1]EDl log'!AC27</f>
        <v>6200000</v>
      </c>
      <c r="AD10" s="513">
        <f>'[1]EDl log'!AD27</f>
        <v>0.48092014541807698</v>
      </c>
    </row>
    <row r="11" spans="1:32" ht="15" thickBot="1">
      <c r="A11" s="163">
        <f>ELEC!C10</f>
        <v>44204</v>
      </c>
      <c r="B11" s="547">
        <v>802210</v>
      </c>
      <c r="C11" s="266">
        <f t="shared" si="0"/>
        <v>2263</v>
      </c>
      <c r="D11" s="311">
        <f>SUM(G11+I11+K11)</f>
        <v>2264</v>
      </c>
      <c r="E11" s="311">
        <f t="shared" si="11"/>
        <v>802211</v>
      </c>
      <c r="F11" s="588">
        <v>119488</v>
      </c>
      <c r="G11" s="160">
        <f t="shared" si="1"/>
        <v>263</v>
      </c>
      <c r="H11" s="547">
        <v>403359</v>
      </c>
      <c r="I11" s="161">
        <f t="shared" si="2"/>
        <v>1114</v>
      </c>
      <c r="J11" s="547">
        <v>279363</v>
      </c>
      <c r="K11" s="162">
        <f t="shared" si="3"/>
        <v>887</v>
      </c>
      <c r="L11" s="299">
        <f t="shared" si="4"/>
        <v>55.827529021558874</v>
      </c>
      <c r="M11" s="299">
        <f t="shared" si="5"/>
        <v>82.764842454394696</v>
      </c>
      <c r="N11" s="299">
        <f t="shared" si="6"/>
        <v>47.071310116086238</v>
      </c>
      <c r="O11" s="299">
        <f t="shared" si="7"/>
        <v>89.88563529905106</v>
      </c>
      <c r="P11" s="300">
        <f t="shared" si="9"/>
        <v>275.54931689109088</v>
      </c>
      <c r="Q11" s="300">
        <f>SUM(-tanks!AX13*tanks!$AU$37)</f>
        <v>824.14245161289352</v>
      </c>
      <c r="R11" s="300">
        <f t="shared" si="10"/>
        <v>1099.6917685039843</v>
      </c>
      <c r="S11" s="302">
        <f>SUM(ELEC!N10)</f>
        <v>6041.2000000001863</v>
      </c>
      <c r="T11" s="339">
        <f t="shared" si="12"/>
        <v>0.18203200829370828</v>
      </c>
      <c r="V11" s="579">
        <f>'[1]EDl log'!V28</f>
        <v>102312</v>
      </c>
      <c r="W11" s="579">
        <f>'[1]EDl log'!W28</f>
        <v>115015</v>
      </c>
      <c r="X11" s="266" t="str">
        <f>'[2]EDl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12703</v>
      </c>
      <c r="AB11" s="576">
        <f>'[1]EDl log'!AB28</f>
        <v>4064960</v>
      </c>
      <c r="AC11" s="576">
        <f>'[1]EDl log'!AC28</f>
        <v>1000</v>
      </c>
      <c r="AD11" s="513">
        <f>'[1]EDl log'!AD28</f>
        <v>0.16649116209101167</v>
      </c>
      <c r="AE11" s="40">
        <f>SUM(AB11*5%)</f>
        <v>203248</v>
      </c>
      <c r="AF11" s="82">
        <f>SUM(AE11/7)*31</f>
        <v>900098.2857142858</v>
      </c>
    </row>
    <row r="12" spans="1:32" ht="15" thickBot="1">
      <c r="A12" s="163">
        <f>ELEC!C11</f>
        <v>44205</v>
      </c>
      <c r="B12" s="547">
        <v>804643</v>
      </c>
      <c r="C12" s="266">
        <f t="shared" si="0"/>
        <v>2433</v>
      </c>
      <c r="D12" s="311">
        <f t="shared" si="8"/>
        <v>2432</v>
      </c>
      <c r="E12" s="311">
        <f t="shared" si="11"/>
        <v>804642</v>
      </c>
      <c r="F12" s="588">
        <v>119948</v>
      </c>
      <c r="G12" s="160">
        <f t="shared" si="1"/>
        <v>460</v>
      </c>
      <c r="H12" s="547">
        <v>404457</v>
      </c>
      <c r="I12" s="161">
        <f t="shared" si="2"/>
        <v>1098</v>
      </c>
      <c r="J12" s="547">
        <v>280237</v>
      </c>
      <c r="K12" s="162">
        <f t="shared" si="3"/>
        <v>874</v>
      </c>
      <c r="L12" s="299">
        <f t="shared" si="4"/>
        <v>97.645107794361522</v>
      </c>
      <c r="M12" s="299">
        <f t="shared" si="5"/>
        <v>81.576119402985071</v>
      </c>
      <c r="N12" s="299">
        <f t="shared" si="6"/>
        <v>46.381426202321727</v>
      </c>
      <c r="O12" s="299">
        <f t="shared" si="7"/>
        <v>89.88563529905106</v>
      </c>
      <c r="P12" s="300">
        <f t="shared" si="9"/>
        <v>315.48828869871937</v>
      </c>
      <c r="Q12" s="300">
        <f>SUM(-tanks!AX14*tanks!$AU$37)</f>
        <v>459.74709677419162</v>
      </c>
      <c r="R12" s="300">
        <f t="shared" si="10"/>
        <v>775.23538547291105</v>
      </c>
      <c r="S12" s="302">
        <f>SUM(ELEC!N11)</f>
        <v>7534.7999999998137</v>
      </c>
      <c r="T12" s="339">
        <f t="shared" si="12"/>
        <v>0.10288732089410869</v>
      </c>
      <c r="V12" s="579"/>
      <c r="W12" s="266"/>
      <c r="X12" s="3"/>
      <c r="Y12" s="266"/>
      <c r="Z12" s="576">
        <f>'[8]EDl log'!Z29</f>
        <v>0</v>
      </c>
      <c r="AA12" s="576">
        <f>'[1]EDl log'!AA29</f>
        <v>77293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 ht="15" thickBot="1">
      <c r="A13" s="163">
        <f>ELEC!C12</f>
        <v>44206</v>
      </c>
      <c r="B13" s="547">
        <v>806985</v>
      </c>
      <c r="C13" s="266">
        <f t="shared" si="0"/>
        <v>2342</v>
      </c>
      <c r="D13" s="311">
        <f t="shared" si="8"/>
        <v>2342</v>
      </c>
      <c r="E13" s="311">
        <f t="shared" si="11"/>
        <v>806985</v>
      </c>
      <c r="F13" s="588">
        <v>120322</v>
      </c>
      <c r="G13" s="160">
        <f t="shared" si="1"/>
        <v>374</v>
      </c>
      <c r="H13" s="547">
        <v>405717</v>
      </c>
      <c r="I13" s="161">
        <f t="shared" si="2"/>
        <v>1260</v>
      </c>
      <c r="J13" s="547">
        <v>280945</v>
      </c>
      <c r="K13" s="162">
        <f t="shared" si="3"/>
        <v>708</v>
      </c>
      <c r="L13" s="299">
        <f t="shared" si="4"/>
        <v>79.389718076285234</v>
      </c>
      <c r="M13" s="299">
        <f t="shared" si="5"/>
        <v>93.611940298507463</v>
      </c>
      <c r="N13" s="299">
        <f t="shared" si="6"/>
        <v>37.572139303482587</v>
      </c>
      <c r="O13" s="299">
        <f t="shared" si="7"/>
        <v>89.88563529905106</v>
      </c>
      <c r="P13" s="300">
        <f t="shared" si="9"/>
        <v>300.45943297732634</v>
      </c>
      <c r="Q13" s="300">
        <f>SUM(-tanks!AX15*tanks!$AU$37)</f>
        <v>395.53858064516447</v>
      </c>
      <c r="R13" s="300">
        <f t="shared" si="10"/>
        <v>695.99801362249082</v>
      </c>
      <c r="S13" s="302">
        <f>SUM(ELEC!N12)</f>
        <v>5811</v>
      </c>
      <c r="T13" s="339">
        <f>IF(S13&gt;0,R13/S13,0)</f>
        <v>0.11977250277447786</v>
      </c>
      <c r="V13" s="579" t="str">
        <f>'[5]EDl log'!V30</f>
        <v>Occ %</v>
      </c>
      <c r="W13" s="513">
        <f>'[7]EDl log'!W30</f>
        <v>0</v>
      </c>
      <c r="X13" s="513"/>
      <c r="Y13" s="266" t="str">
        <f>'[2]EDl log'!Y30</f>
        <v>Per G</v>
      </c>
      <c r="Z13" s="3"/>
      <c r="AA13" s="3"/>
      <c r="AB13" s="576">
        <f>'[1]EDl log'!AB30</f>
        <v>10427968</v>
      </c>
      <c r="AC13" s="576">
        <f>'[1]EDl log'!AC30</f>
        <v>7234333</v>
      </c>
    </row>
    <row r="14" spans="1:32" ht="15" thickBot="1">
      <c r="A14" s="163">
        <f>ELEC!C13</f>
        <v>44207</v>
      </c>
      <c r="B14" s="547">
        <v>809374</v>
      </c>
      <c r="C14" s="266">
        <f t="shared" si="0"/>
        <v>2389</v>
      </c>
      <c r="D14" s="311">
        <f t="shared" si="8"/>
        <v>2390</v>
      </c>
      <c r="E14" s="311">
        <f t="shared" si="11"/>
        <v>809375</v>
      </c>
      <c r="F14" s="588">
        <v>120779</v>
      </c>
      <c r="G14" s="160">
        <f t="shared" si="1"/>
        <v>457</v>
      </c>
      <c r="H14" s="547">
        <v>406730</v>
      </c>
      <c r="I14" s="161">
        <f t="shared" si="2"/>
        <v>1013</v>
      </c>
      <c r="J14" s="547">
        <v>281865</v>
      </c>
      <c r="K14" s="162">
        <f t="shared" ref="K14:K17" si="13">J14-J13</f>
        <v>920</v>
      </c>
      <c r="L14" s="299">
        <f t="shared" ref="L14:L17" si="14">SUM(G14*$Y$28)/1507.5</f>
        <v>97.008291873963515</v>
      </c>
      <c r="M14" s="299">
        <f t="shared" ref="M14:M17" si="15">SUM(I14*$Y$27)/1507.5</f>
        <v>75.261028192371469</v>
      </c>
      <c r="N14" s="299">
        <f t="shared" ref="N14:N17" si="16">SUM(K14*$Y$26)/1507.5</f>
        <v>48.822553897180761</v>
      </c>
      <c r="O14" s="299">
        <f t="shared" si="7"/>
        <v>89.88563529905106</v>
      </c>
      <c r="P14" s="300">
        <f t="shared" ref="P14:P17" si="17">SUM(L14:O14)</f>
        <v>310.9775092625668</v>
      </c>
      <c r="Q14" s="300">
        <f>SUM(-tanks!AX16*tanks!$AU$37)</f>
        <v>334.94916129032617</v>
      </c>
      <c r="R14" s="300">
        <f t="shared" ref="R14:R17" si="18">SUM(P14:Q14)</f>
        <v>645.92667055289303</v>
      </c>
      <c r="S14" s="302">
        <f>SUM(ELEC!N13)</f>
        <v>6505</v>
      </c>
      <c r="T14" s="339">
        <f t="shared" ref="T14:T17" si="19">IF(S14&gt;0,R14/S14,0)</f>
        <v>9.9296951660706081E-2</v>
      </c>
      <c r="V14" s="579" t="str">
        <f>'[5]EDl log'!V31</f>
        <v>Gen RH</v>
      </c>
      <c r="W14" s="577">
        <f>'[1]EDl log'!W31</f>
        <v>116</v>
      </c>
      <c r="X14" s="577">
        <f>'[1]EDl log'!X31</f>
        <v>3.7419354838709675</v>
      </c>
      <c r="Y14" s="577">
        <f>'[1]EDl log'!Y31</f>
        <v>1.8709677419354838</v>
      </c>
      <c r="Z14" s="266"/>
      <c r="AA14" s="3"/>
      <c r="AB14" s="576">
        <f>'[1]EDl log'!AB31</f>
        <v>17662301</v>
      </c>
      <c r="AC14" s="576">
        <f>'[1]EDl log'!AC31</f>
        <v>7234333</v>
      </c>
    </row>
    <row r="15" spans="1:32" ht="15" thickBot="1">
      <c r="A15" s="163">
        <f>ELEC!C14</f>
        <v>44208</v>
      </c>
      <c r="B15" s="547">
        <v>811824</v>
      </c>
      <c r="C15" s="266">
        <f t="shared" si="0"/>
        <v>2450</v>
      </c>
      <c r="D15" s="311">
        <f t="shared" si="8"/>
        <v>2449</v>
      </c>
      <c r="E15" s="311">
        <f t="shared" si="11"/>
        <v>811823</v>
      </c>
      <c r="F15" s="588">
        <v>121252</v>
      </c>
      <c r="G15" s="160">
        <f t="shared" si="1"/>
        <v>473</v>
      </c>
      <c r="H15" s="547">
        <v>407841</v>
      </c>
      <c r="I15" s="161">
        <f t="shared" si="2"/>
        <v>1111</v>
      </c>
      <c r="J15" s="547">
        <v>282730</v>
      </c>
      <c r="K15" s="162">
        <f t="shared" si="13"/>
        <v>865</v>
      </c>
      <c r="L15" s="299">
        <f t="shared" si="14"/>
        <v>100.40464344941957</v>
      </c>
      <c r="M15" s="299">
        <f t="shared" si="15"/>
        <v>82.541956882255391</v>
      </c>
      <c r="N15" s="299">
        <f t="shared" si="16"/>
        <v>45.903814262023218</v>
      </c>
      <c r="O15" s="299">
        <f t="shared" si="7"/>
        <v>89.88563529905106</v>
      </c>
      <c r="P15" s="300">
        <f t="shared" si="17"/>
        <v>318.73604989274924</v>
      </c>
      <c r="Q15" s="300">
        <f>SUM(-tanks!AX17*tanks!$AU$37)</f>
        <v>467.6541935483832</v>
      </c>
      <c r="R15" s="300">
        <f t="shared" si="18"/>
        <v>786.3902434411325</v>
      </c>
      <c r="S15" s="302">
        <f>SUM(ELEC!N14)</f>
        <v>6511</v>
      </c>
      <c r="T15" s="339">
        <f t="shared" si="19"/>
        <v>0.12077871961928006</v>
      </c>
      <c r="V15" s="579" t="str">
        <f>'[5]EDl log'!V32</f>
        <v>H Deg</v>
      </c>
      <c r="W15" s="577">
        <f>'[1]EDl log'!W32</f>
        <v>0</v>
      </c>
      <c r="X15" s="552">
        <f>'[9]EDl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" thickBot="1">
      <c r="A16" s="163">
        <f>ELEC!C15</f>
        <v>44209</v>
      </c>
      <c r="B16" s="547">
        <v>814388</v>
      </c>
      <c r="C16" s="266">
        <f t="shared" si="0"/>
        <v>2564</v>
      </c>
      <c r="D16" s="311">
        <f t="shared" si="8"/>
        <v>2564</v>
      </c>
      <c r="E16" s="311">
        <f t="shared" si="11"/>
        <v>814388</v>
      </c>
      <c r="F16" s="588">
        <v>121721</v>
      </c>
      <c r="G16" s="160">
        <f t="shared" si="1"/>
        <v>469</v>
      </c>
      <c r="H16" s="547">
        <v>409022</v>
      </c>
      <c r="I16" s="161">
        <f t="shared" si="2"/>
        <v>1181</v>
      </c>
      <c r="J16" s="547">
        <v>283644</v>
      </c>
      <c r="K16" s="162">
        <f t="shared" si="13"/>
        <v>914</v>
      </c>
      <c r="L16" s="299">
        <f t="shared" si="14"/>
        <v>99.555555555555557</v>
      </c>
      <c r="M16" s="299">
        <f t="shared" si="15"/>
        <v>87.74262023217247</v>
      </c>
      <c r="N16" s="299">
        <f t="shared" si="16"/>
        <v>48.504145936981757</v>
      </c>
      <c r="O16" s="299">
        <f t="shared" si="7"/>
        <v>89.88563529905106</v>
      </c>
      <c r="P16" s="300">
        <f t="shared" si="17"/>
        <v>325.68795702376087</v>
      </c>
      <c r="Q16" s="300">
        <f>SUM(-tanks!AX18*tanks!$AU$37)</f>
        <v>-1128.6709677419253</v>
      </c>
      <c r="R16" s="300">
        <f t="shared" si="18"/>
        <v>-802.98301071816445</v>
      </c>
      <c r="S16" s="302">
        <f>SUM(ELEC!N15)</f>
        <v>6339</v>
      </c>
      <c r="T16" s="339">
        <f t="shared" si="19"/>
        <v>-0.12667345176181802</v>
      </c>
      <c r="V16" s="579" t="str">
        <f>'[5]EDl log'!V33</f>
        <v>C Deg</v>
      </c>
      <c r="W16" s="577">
        <f>'[1]EDl log'!W33</f>
        <v>307.69999999999982</v>
      </c>
      <c r="X16" s="552">
        <f>'[9]EDl log'!X16</f>
        <v>0</v>
      </c>
      <c r="Y16" s="552">
        <f>'[5]EDl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" thickBot="1">
      <c r="A17" s="163">
        <f>ELEC!C16</f>
        <v>44210</v>
      </c>
      <c r="B17" s="547">
        <v>817120</v>
      </c>
      <c r="C17" s="266">
        <f t="shared" si="0"/>
        <v>2732</v>
      </c>
      <c r="D17" s="311">
        <f t="shared" si="8"/>
        <v>2732</v>
      </c>
      <c r="E17" s="311">
        <f t="shared" si="11"/>
        <v>817120</v>
      </c>
      <c r="F17" s="588">
        <v>122141</v>
      </c>
      <c r="G17" s="160">
        <f t="shared" si="1"/>
        <v>420</v>
      </c>
      <c r="H17" s="547">
        <v>410422</v>
      </c>
      <c r="I17" s="161">
        <f t="shared" si="2"/>
        <v>1400</v>
      </c>
      <c r="J17" s="547">
        <v>284556</v>
      </c>
      <c r="K17" s="162">
        <f t="shared" si="13"/>
        <v>912</v>
      </c>
      <c r="L17" s="299">
        <f t="shared" si="14"/>
        <v>89.154228855721399</v>
      </c>
      <c r="M17" s="299">
        <f t="shared" si="15"/>
        <v>104.01326699834162</v>
      </c>
      <c r="N17" s="299">
        <f t="shared" si="16"/>
        <v>48.398009950248756</v>
      </c>
      <c r="O17" s="299">
        <f t="shared" si="7"/>
        <v>89.88563529905106</v>
      </c>
      <c r="P17" s="300">
        <f t="shared" si="17"/>
        <v>331.45114110336283</v>
      </c>
      <c r="Q17" s="300">
        <f>SUM(-tanks!AX19*tanks!$AU$37)</f>
        <v>133.55354838709349</v>
      </c>
      <c r="R17" s="300">
        <f t="shared" si="18"/>
        <v>465.00468949045631</v>
      </c>
      <c r="S17" s="302">
        <f>SUM(ELEC!N16)</f>
        <v>6922.3999999999069</v>
      </c>
      <c r="T17" s="339">
        <f t="shared" si="19"/>
        <v>6.7173912153366253E-2</v>
      </c>
      <c r="V17" s="255"/>
      <c r="W17" s="513"/>
      <c r="X17" s="17"/>
      <c r="Y17" s="436"/>
      <c r="Z17" s="513"/>
      <c r="AA17" s="513"/>
      <c r="AB17" s="576">
        <f>'[1]EDl log'!AB34</f>
        <v>1942853.11</v>
      </c>
      <c r="AC17" s="576">
        <f>'[1]EDl log'!AC34</f>
        <v>0</v>
      </c>
    </row>
    <row r="18" spans="1:32" ht="15" thickBot="1">
      <c r="A18" s="163">
        <f>ELEC!C17</f>
        <v>44211</v>
      </c>
      <c r="B18" s="547">
        <v>819528</v>
      </c>
      <c r="C18" s="266">
        <f t="shared" si="0"/>
        <v>2408</v>
      </c>
      <c r="D18" s="311">
        <f t="shared" si="8"/>
        <v>2407</v>
      </c>
      <c r="E18" s="311">
        <f t="shared" si="11"/>
        <v>819527</v>
      </c>
      <c r="F18" s="588">
        <v>122609</v>
      </c>
      <c r="G18" s="160">
        <f t="shared" si="1"/>
        <v>468</v>
      </c>
      <c r="H18" s="547">
        <v>411488</v>
      </c>
      <c r="I18" s="161">
        <f t="shared" si="2"/>
        <v>1066</v>
      </c>
      <c r="J18" s="547">
        <v>285429</v>
      </c>
      <c r="K18" s="162">
        <f t="shared" si="3"/>
        <v>873</v>
      </c>
      <c r="L18" s="299">
        <f t="shared" ref="L18:L33" si="20">SUM(G18*$Y$28)/1507.5</f>
        <v>99.343283582089555</v>
      </c>
      <c r="M18" s="299">
        <f t="shared" ref="M18:M33" si="21">SUM(I18*$Y$27)/1507.5</f>
        <v>79.198673300165837</v>
      </c>
      <c r="N18" s="299">
        <f t="shared" ref="N18:N33" si="22">SUM(K18*$Y$26)/1507.5</f>
        <v>46.328358208955223</v>
      </c>
      <c r="O18" s="299">
        <f t="shared" si="7"/>
        <v>89.88563529905106</v>
      </c>
      <c r="P18" s="300">
        <f t="shared" si="9"/>
        <v>314.75595039026166</v>
      </c>
      <c r="Q18" s="300">
        <f>SUM(-tanks!AX20*tanks!$AU$37)</f>
        <v>465.94064516128975</v>
      </c>
      <c r="R18" s="300">
        <f t="shared" si="10"/>
        <v>780.69659555155135</v>
      </c>
      <c r="S18" s="302">
        <f>SUM(ELEC!N17)</f>
        <v>6517.6000000000931</v>
      </c>
      <c r="T18" s="339">
        <f t="shared" si="12"/>
        <v>0.11978283348955754</v>
      </c>
      <c r="V18" s="230"/>
      <c r="W18" s="231"/>
      <c r="X18" s="231"/>
      <c r="Y18" s="436"/>
      <c r="Z18" s="513" t="str">
        <f>'[5]EDl log'!Z35</f>
        <v xml:space="preserve">VAT </v>
      </c>
      <c r="AA18" s="513">
        <f>'[5]EDl log'!AA35</f>
        <v>0.11</v>
      </c>
      <c r="AB18" s="576">
        <f>'[1]EDl log'!AB35</f>
        <v>19605154.109999999</v>
      </c>
      <c r="AC18" s="576">
        <f>'[1]EDl log'!AC35</f>
        <v>0</v>
      </c>
    </row>
    <row r="19" spans="1:32" ht="15" thickBot="1">
      <c r="A19" s="163">
        <f>ELEC!C18</f>
        <v>44212</v>
      </c>
      <c r="B19" s="547">
        <v>821652</v>
      </c>
      <c r="C19" s="266">
        <f t="shared" si="0"/>
        <v>2124</v>
      </c>
      <c r="D19" s="311">
        <f t="shared" si="8"/>
        <v>2125</v>
      </c>
      <c r="E19" s="311">
        <f t="shared" si="11"/>
        <v>821653</v>
      </c>
      <c r="F19" s="588">
        <v>122969</v>
      </c>
      <c r="G19" s="160">
        <f t="shared" si="1"/>
        <v>360</v>
      </c>
      <c r="H19" s="547">
        <v>412231</v>
      </c>
      <c r="I19" s="161">
        <f t="shared" si="2"/>
        <v>743</v>
      </c>
      <c r="J19" s="547">
        <v>286451</v>
      </c>
      <c r="K19" s="162">
        <f t="shared" si="3"/>
        <v>1022</v>
      </c>
      <c r="L19" s="299">
        <f t="shared" si="20"/>
        <v>76.417910447761187</v>
      </c>
      <c r="M19" s="299">
        <f t="shared" si="21"/>
        <v>55.201326699834162</v>
      </c>
      <c r="N19" s="299">
        <f t="shared" si="22"/>
        <v>54.235489220563849</v>
      </c>
      <c r="O19" s="299">
        <f t="shared" si="7"/>
        <v>89.88563529905106</v>
      </c>
      <c r="P19" s="300">
        <f t="shared" si="9"/>
        <v>275.74036166721027</v>
      </c>
      <c r="Q19" s="300">
        <f>SUM(-tanks!AX21*tanks!$AU$37)</f>
        <v>20.27354838709347</v>
      </c>
      <c r="R19" s="300">
        <f t="shared" si="10"/>
        <v>296.01391005430372</v>
      </c>
      <c r="S19" s="302">
        <f>SUM(ELEC!N18)</f>
        <v>7053</v>
      </c>
      <c r="T19" s="339">
        <f t="shared" si="12"/>
        <v>4.1969929115880295E-2</v>
      </c>
      <c r="V19" s="230"/>
      <c r="W19" s="231"/>
      <c r="X19" s="231"/>
      <c r="Y19" s="580"/>
      <c r="Z19" s="580"/>
      <c r="AA19" s="581"/>
      <c r="AB19" s="576">
        <f>'[1]EDl log'!AB36</f>
        <v>11716.285903814261</v>
      </c>
      <c r="AC19" s="576">
        <f>'[1]EDl log'!AC36</f>
        <v>0</v>
      </c>
    </row>
    <row r="20" spans="1:32" ht="15" thickBot="1">
      <c r="A20" s="163">
        <f>ELEC!C19</f>
        <v>44213</v>
      </c>
      <c r="B20" s="547">
        <v>823890</v>
      </c>
      <c r="C20" s="266">
        <f t="shared" si="0"/>
        <v>2238</v>
      </c>
      <c r="D20" s="311">
        <f t="shared" si="8"/>
        <v>2239</v>
      </c>
      <c r="E20" s="311">
        <f t="shared" si="11"/>
        <v>823891</v>
      </c>
      <c r="F20" s="588">
        <v>123415</v>
      </c>
      <c r="G20" s="160">
        <f t="shared" si="1"/>
        <v>446</v>
      </c>
      <c r="H20" s="547">
        <v>413244</v>
      </c>
      <c r="I20" s="161">
        <f t="shared" si="2"/>
        <v>1013</v>
      </c>
      <c r="J20" s="547">
        <v>287231</v>
      </c>
      <c r="K20" s="162">
        <f t="shared" si="3"/>
        <v>780</v>
      </c>
      <c r="L20" s="299">
        <f t="shared" si="20"/>
        <v>94.673300165837475</v>
      </c>
      <c r="M20" s="299">
        <f t="shared" si="21"/>
        <v>75.261028192371469</v>
      </c>
      <c r="N20" s="299">
        <f t="shared" si="22"/>
        <v>41.39303482587065</v>
      </c>
      <c r="O20" s="299">
        <f t="shared" si="7"/>
        <v>89.88563529905106</v>
      </c>
      <c r="P20" s="300">
        <f t="shared" si="9"/>
        <v>301.21299848313066</v>
      </c>
      <c r="Q20" s="300">
        <f>SUM(-tanks!AX22*tanks!$AU$37)</f>
        <v>1025.3212903225701</v>
      </c>
      <c r="R20" s="300">
        <f t="shared" si="10"/>
        <v>1326.5342888057007</v>
      </c>
      <c r="S20" s="302">
        <f>SUM(ELEC!N19)</f>
        <v>5078.6000000000931</v>
      </c>
      <c r="T20" s="339">
        <f t="shared" si="12"/>
        <v>0.26120078147632741</v>
      </c>
      <c r="V20" t="s">
        <v>414</v>
      </c>
      <c r="AB20" s="578"/>
    </row>
    <row r="21" spans="1:32" ht="15" thickBot="1">
      <c r="A21" s="163">
        <f>ELEC!C20</f>
        <v>44214</v>
      </c>
      <c r="B21" s="547">
        <v>826089</v>
      </c>
      <c r="C21" s="266">
        <f t="shared" si="0"/>
        <v>2199</v>
      </c>
      <c r="D21" s="311">
        <f t="shared" si="8"/>
        <v>1898</v>
      </c>
      <c r="E21" s="311">
        <f t="shared" si="11"/>
        <v>825788</v>
      </c>
      <c r="F21" s="588">
        <v>123422</v>
      </c>
      <c r="G21" s="160">
        <f t="shared" si="1"/>
        <v>7</v>
      </c>
      <c r="H21" s="547">
        <v>414332</v>
      </c>
      <c r="I21" s="161">
        <f t="shared" si="2"/>
        <v>1088</v>
      </c>
      <c r="J21" s="547">
        <v>288034</v>
      </c>
      <c r="K21" s="162">
        <f t="shared" si="3"/>
        <v>803</v>
      </c>
      <c r="L21" s="299">
        <f t="shared" si="20"/>
        <v>1.4859038142620231</v>
      </c>
      <c r="M21" s="299">
        <f t="shared" si="21"/>
        <v>80.833167495854056</v>
      </c>
      <c r="N21" s="299">
        <f t="shared" si="22"/>
        <v>42.613598673300167</v>
      </c>
      <c r="O21" s="299">
        <f t="shared" si="7"/>
        <v>89.88563529905106</v>
      </c>
      <c r="P21" s="300">
        <f t="shared" si="9"/>
        <v>214.81830528246729</v>
      </c>
      <c r="Q21" s="300">
        <f>SUM(-tanks!AX23*tanks!$AU$37)</f>
        <v>226.14709677419626</v>
      </c>
      <c r="R21" s="300">
        <f t="shared" si="10"/>
        <v>440.96540205666355</v>
      </c>
      <c r="S21" s="302">
        <f>SUM(ELEC!N20)</f>
        <v>5935.6000000000931</v>
      </c>
      <c r="T21" s="339">
        <f t="shared" si="12"/>
        <v>7.4291630510252823E-2</v>
      </c>
      <c r="V21" s="166" t="s">
        <v>201</v>
      </c>
      <c r="W21" s="167">
        <v>43851</v>
      </c>
      <c r="X21" s="168"/>
      <c r="Y21" s="168"/>
      <c r="Z21" s="169" t="s">
        <v>202</v>
      </c>
      <c r="AA21" s="168"/>
      <c r="AB21" s="677"/>
      <c r="AC21" s="678"/>
    </row>
    <row r="22" spans="1:32" ht="15" thickBot="1">
      <c r="A22" s="163">
        <f>ELEC!C21</f>
        <v>44215</v>
      </c>
      <c r="B22" s="547">
        <f t="shared" ref="B21:B34" si="23">B21</f>
        <v>826089</v>
      </c>
      <c r="C22" s="266">
        <f t="shared" si="0"/>
        <v>0</v>
      </c>
      <c r="D22" s="311">
        <f t="shared" si="8"/>
        <v>0</v>
      </c>
      <c r="E22" s="311">
        <f t="shared" si="11"/>
        <v>826089</v>
      </c>
      <c r="F22" s="588">
        <f t="shared" ref="F21:F34" si="24">F21</f>
        <v>123422</v>
      </c>
      <c r="G22" s="160">
        <f t="shared" si="1"/>
        <v>0</v>
      </c>
      <c r="H22" s="547">
        <f t="shared" ref="H21:H34" si="25">H21</f>
        <v>414332</v>
      </c>
      <c r="I22" s="161">
        <f t="shared" si="2"/>
        <v>0</v>
      </c>
      <c r="J22" s="547">
        <f t="shared" ref="J21:J34" si="26">J21</f>
        <v>288034</v>
      </c>
      <c r="K22" s="162">
        <f t="shared" si="3"/>
        <v>0</v>
      </c>
      <c r="L22" s="299">
        <f t="shared" si="20"/>
        <v>0</v>
      </c>
      <c r="M22" s="299">
        <f t="shared" si="21"/>
        <v>0</v>
      </c>
      <c r="N22" s="299">
        <f t="shared" si="22"/>
        <v>0</v>
      </c>
      <c r="O22" s="299">
        <f t="shared" si="7"/>
        <v>89.88563529905106</v>
      </c>
      <c r="P22" s="300">
        <f t="shared" si="9"/>
        <v>89.88563529905106</v>
      </c>
      <c r="Q22" s="300">
        <f>SUM(-tanks!AX24*tanks!$AU$37)</f>
        <v>0</v>
      </c>
      <c r="R22" s="300">
        <f t="shared" si="10"/>
        <v>89.88563529905106</v>
      </c>
      <c r="S22" s="302">
        <f>SUM(ELEC!N21)</f>
        <v>0</v>
      </c>
      <c r="T22" s="339">
        <f t="shared" si="12"/>
        <v>0</v>
      </c>
      <c r="V22" s="683"/>
      <c r="W22" s="684"/>
      <c r="X22" s="684"/>
      <c r="Y22" s="685"/>
      <c r="Z22" s="26" t="s">
        <v>203</v>
      </c>
      <c r="AA22" s="26">
        <v>5000</v>
      </c>
      <c r="AB22" s="679"/>
      <c r="AC22" s="680"/>
    </row>
    <row r="23" spans="1:32" ht="15" thickBot="1">
      <c r="A23" s="163">
        <f>ELEC!C22</f>
        <v>44216</v>
      </c>
      <c r="B23" s="547">
        <f t="shared" si="23"/>
        <v>826089</v>
      </c>
      <c r="C23" s="266">
        <f t="shared" si="0"/>
        <v>0</v>
      </c>
      <c r="D23" s="311">
        <f t="shared" si="8"/>
        <v>0</v>
      </c>
      <c r="E23" s="311">
        <f t="shared" si="11"/>
        <v>826089</v>
      </c>
      <c r="F23" s="588">
        <f t="shared" si="24"/>
        <v>123422</v>
      </c>
      <c r="G23" s="160">
        <f t="shared" si="1"/>
        <v>0</v>
      </c>
      <c r="H23" s="547">
        <f t="shared" si="25"/>
        <v>414332</v>
      </c>
      <c r="I23" s="161">
        <f t="shared" si="2"/>
        <v>0</v>
      </c>
      <c r="J23" s="547">
        <f t="shared" si="26"/>
        <v>288034</v>
      </c>
      <c r="K23" s="162">
        <f t="shared" si="3"/>
        <v>0</v>
      </c>
      <c r="L23" s="299">
        <f t="shared" si="20"/>
        <v>0</v>
      </c>
      <c r="M23" s="299">
        <f t="shared" si="21"/>
        <v>0</v>
      </c>
      <c r="N23" s="299">
        <f t="shared" si="22"/>
        <v>0</v>
      </c>
      <c r="O23" s="299">
        <f t="shared" si="7"/>
        <v>89.88563529905106</v>
      </c>
      <c r="P23" s="300">
        <f t="shared" si="9"/>
        <v>89.88563529905106</v>
      </c>
      <c r="Q23" s="300">
        <f>SUM(-tanks!AX25*tanks!$AU$37)</f>
        <v>0</v>
      </c>
      <c r="R23" s="300">
        <f t="shared" si="10"/>
        <v>89.88563529905106</v>
      </c>
      <c r="S23" s="302">
        <f>SUM(ELEC!N22)</f>
        <v>0</v>
      </c>
      <c r="T23" s="339">
        <f t="shared" si="12"/>
        <v>0</v>
      </c>
      <c r="V23" s="686"/>
      <c r="W23" s="687"/>
      <c r="X23" s="687"/>
      <c r="Y23" s="688"/>
      <c r="Z23" s="689"/>
      <c r="AA23" s="690"/>
      <c r="AB23" s="679"/>
      <c r="AC23" s="680"/>
    </row>
    <row r="24" spans="1:32" ht="15" customHeight="1" thickBot="1">
      <c r="A24" s="163">
        <f>ELEC!C23</f>
        <v>44217</v>
      </c>
      <c r="B24" s="547">
        <f t="shared" si="23"/>
        <v>826089</v>
      </c>
      <c r="C24" s="266">
        <f t="shared" si="0"/>
        <v>0</v>
      </c>
      <c r="D24" s="311">
        <f t="shared" si="8"/>
        <v>0</v>
      </c>
      <c r="E24" s="311">
        <f t="shared" si="11"/>
        <v>826089</v>
      </c>
      <c r="F24" s="588">
        <f t="shared" si="24"/>
        <v>123422</v>
      </c>
      <c r="G24" s="160">
        <f t="shared" si="1"/>
        <v>0</v>
      </c>
      <c r="H24" s="547">
        <f t="shared" si="25"/>
        <v>414332</v>
      </c>
      <c r="I24" s="161">
        <f t="shared" si="2"/>
        <v>0</v>
      </c>
      <c r="J24" s="547">
        <f t="shared" si="26"/>
        <v>288034</v>
      </c>
      <c r="K24" s="162">
        <f t="shared" si="3"/>
        <v>0</v>
      </c>
      <c r="L24" s="299">
        <f t="shared" si="20"/>
        <v>0</v>
      </c>
      <c r="M24" s="299">
        <f t="shared" si="21"/>
        <v>0</v>
      </c>
      <c r="N24" s="299">
        <f t="shared" si="22"/>
        <v>0</v>
      </c>
      <c r="O24" s="299">
        <f t="shared" si="7"/>
        <v>89.88563529905106</v>
      </c>
      <c r="P24" s="300">
        <f t="shared" si="9"/>
        <v>89.88563529905106</v>
      </c>
      <c r="Q24" s="300">
        <f>SUM(-tanks!AX26*tanks!$AU$37)</f>
        <v>0</v>
      </c>
      <c r="R24" s="300">
        <f t="shared" si="10"/>
        <v>89.88563529905106</v>
      </c>
      <c r="S24" s="302">
        <f>SUM(ELEC!N23)</f>
        <v>0</v>
      </c>
      <c r="T24" s="339">
        <f t="shared" si="12"/>
        <v>0</v>
      </c>
      <c r="V24" s="691" t="s">
        <v>204</v>
      </c>
      <c r="W24" s="692"/>
      <c r="X24" s="693" t="s">
        <v>205</v>
      </c>
      <c r="Y24" s="694"/>
      <c r="Z24" s="695"/>
      <c r="AA24" s="170"/>
      <c r="AB24" s="681"/>
      <c r="AC24" s="682"/>
    </row>
    <row r="25" spans="1:32" ht="17.25" customHeight="1" thickBot="1">
      <c r="A25" s="163">
        <f>ELEC!C24</f>
        <v>44218</v>
      </c>
      <c r="B25" s="547">
        <f t="shared" si="23"/>
        <v>826089</v>
      </c>
      <c r="C25" s="266">
        <f t="shared" si="0"/>
        <v>0</v>
      </c>
      <c r="D25" s="311">
        <f t="shared" si="8"/>
        <v>0</v>
      </c>
      <c r="E25" s="311">
        <f t="shared" si="11"/>
        <v>826089</v>
      </c>
      <c r="F25" s="588">
        <f t="shared" si="24"/>
        <v>123422</v>
      </c>
      <c r="G25" s="160">
        <f t="shared" si="1"/>
        <v>0</v>
      </c>
      <c r="H25" s="547">
        <f t="shared" si="25"/>
        <v>414332</v>
      </c>
      <c r="I25" s="161">
        <f t="shared" si="2"/>
        <v>0</v>
      </c>
      <c r="J25" s="547">
        <f t="shared" si="26"/>
        <v>288034</v>
      </c>
      <c r="K25" s="162">
        <f t="shared" si="3"/>
        <v>0</v>
      </c>
      <c r="L25" s="299">
        <f t="shared" si="20"/>
        <v>0</v>
      </c>
      <c r="M25" s="299">
        <f t="shared" si="21"/>
        <v>0</v>
      </c>
      <c r="N25" s="299">
        <f t="shared" si="22"/>
        <v>0</v>
      </c>
      <c r="O25" s="299">
        <f t="shared" si="7"/>
        <v>89.88563529905106</v>
      </c>
      <c r="P25" s="300">
        <f t="shared" si="9"/>
        <v>89.88563529905106</v>
      </c>
      <c r="Q25" s="300">
        <f>SUM(-tanks!AX27*tanks!$AU$37)</f>
        <v>0</v>
      </c>
      <c r="R25" s="300">
        <f t="shared" si="10"/>
        <v>89.88563529905106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" thickBot="1">
      <c r="A26" s="163">
        <f>ELEC!C25</f>
        <v>44219</v>
      </c>
      <c r="B26" s="547">
        <f t="shared" si="23"/>
        <v>826089</v>
      </c>
      <c r="C26" s="266">
        <f t="shared" si="0"/>
        <v>0</v>
      </c>
      <c r="D26" s="311">
        <f t="shared" si="8"/>
        <v>0</v>
      </c>
      <c r="E26" s="311">
        <f t="shared" si="11"/>
        <v>826089</v>
      </c>
      <c r="F26" s="588">
        <f t="shared" si="24"/>
        <v>123422</v>
      </c>
      <c r="G26" s="160">
        <f t="shared" si="1"/>
        <v>0</v>
      </c>
      <c r="H26" s="547">
        <f t="shared" si="25"/>
        <v>414332</v>
      </c>
      <c r="I26" s="161">
        <f t="shared" si="2"/>
        <v>0</v>
      </c>
      <c r="J26" s="547">
        <f t="shared" si="26"/>
        <v>288034</v>
      </c>
      <c r="K26" s="162">
        <f t="shared" si="3"/>
        <v>0</v>
      </c>
      <c r="L26" s="299">
        <f t="shared" si="20"/>
        <v>0</v>
      </c>
      <c r="M26" s="299">
        <f t="shared" si="21"/>
        <v>0</v>
      </c>
      <c r="N26" s="299">
        <f t="shared" si="22"/>
        <v>0</v>
      </c>
      <c r="O26" s="299">
        <f t="shared" si="7"/>
        <v>89.88563529905106</v>
      </c>
      <c r="P26" s="300">
        <f t="shared" si="9"/>
        <v>89.88563529905106</v>
      </c>
      <c r="Q26" s="300">
        <f>SUM(-tanks!AX28*tanks!$AU$37)</f>
        <v>0</v>
      </c>
      <c r="R26" s="300">
        <f t="shared" si="10"/>
        <v>89.88563529905106</v>
      </c>
      <c r="S26" s="302">
        <f>SUM(ELEC!N25)</f>
        <v>0</v>
      </c>
      <c r="T26" s="339">
        <f t="shared" si="12"/>
        <v>0</v>
      </c>
      <c r="V26" s="256">
        <f>W9</f>
        <v>271580</v>
      </c>
      <c r="W26" s="170">
        <f>J33</f>
        <v>288034</v>
      </c>
      <c r="X26" s="172" t="s">
        <v>199</v>
      </c>
      <c r="Y26" s="172">
        <v>80</v>
      </c>
      <c r="Z26" s="172">
        <v>1</v>
      </c>
      <c r="AA26" s="341">
        <f>(W26-V26)*Z26</f>
        <v>16454</v>
      </c>
      <c r="AB26" s="341">
        <f>AA26*Y26</f>
        <v>1316320</v>
      </c>
      <c r="AC26" s="251">
        <f>AC9</f>
        <v>1033333</v>
      </c>
      <c r="AD26" s="213">
        <f>SUM(K36)</f>
        <v>0.358478386167147</v>
      </c>
    </row>
    <row r="27" spans="1:32" ht="15" thickBot="1">
      <c r="A27" s="163">
        <f>ELEC!C26</f>
        <v>44220</v>
      </c>
      <c r="B27" s="547">
        <f t="shared" si="23"/>
        <v>826089</v>
      </c>
      <c r="C27" s="266">
        <f t="shared" si="0"/>
        <v>0</v>
      </c>
      <c r="D27" s="311">
        <f t="shared" si="8"/>
        <v>0</v>
      </c>
      <c r="E27" s="311">
        <f t="shared" si="11"/>
        <v>826089</v>
      </c>
      <c r="F27" s="588">
        <f t="shared" si="24"/>
        <v>123422</v>
      </c>
      <c r="G27" s="160">
        <f t="shared" si="1"/>
        <v>0</v>
      </c>
      <c r="H27" s="547">
        <f t="shared" si="25"/>
        <v>414332</v>
      </c>
      <c r="I27" s="161">
        <f t="shared" si="2"/>
        <v>0</v>
      </c>
      <c r="J27" s="547">
        <f t="shared" si="26"/>
        <v>288034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89.88563529905106</v>
      </c>
      <c r="P27" s="300">
        <f t="shared" si="9"/>
        <v>89.88563529905106</v>
      </c>
      <c r="Q27" s="300">
        <f>SUM(-tanks!AX29*tanks!$AU$37)</f>
        <v>0</v>
      </c>
      <c r="R27" s="300">
        <f t="shared" si="10"/>
        <v>89.88563529905106</v>
      </c>
      <c r="S27" s="302">
        <f>SUM(ELEC!N26)</f>
        <v>0</v>
      </c>
      <c r="T27" s="339">
        <f t="shared" si="12"/>
        <v>0</v>
      </c>
      <c r="V27" s="256">
        <f t="shared" ref="V27:V28" si="27">W10</f>
        <v>393641</v>
      </c>
      <c r="W27" s="170">
        <f>H33</f>
        <v>414332</v>
      </c>
      <c r="X27" s="172" t="s">
        <v>213</v>
      </c>
      <c r="Y27" s="172">
        <v>112</v>
      </c>
      <c r="Z27" s="172">
        <v>1</v>
      </c>
      <c r="AA27" s="341">
        <f>(W27-V27)*Z27</f>
        <v>20691</v>
      </c>
      <c r="AB27" s="341">
        <f>SUM(AA27*Y27)</f>
        <v>2317392</v>
      </c>
      <c r="AC27" s="251">
        <f>AC10</f>
        <v>6200000</v>
      </c>
      <c r="AD27" s="213">
        <f>SUM(I36)</f>
        <v>0.45410951008645534</v>
      </c>
    </row>
    <row r="28" spans="1:32" ht="15" thickBot="1">
      <c r="A28" s="163">
        <f>ELEC!C27</f>
        <v>44221</v>
      </c>
      <c r="B28" s="547">
        <f t="shared" si="23"/>
        <v>826089</v>
      </c>
      <c r="C28" s="266">
        <f t="shared" si="0"/>
        <v>0</v>
      </c>
      <c r="D28" s="311">
        <f t="shared" si="8"/>
        <v>0</v>
      </c>
      <c r="E28" s="311">
        <f t="shared" si="11"/>
        <v>826089</v>
      </c>
      <c r="F28" s="588">
        <f t="shared" si="24"/>
        <v>123422</v>
      </c>
      <c r="G28" s="160">
        <f t="shared" si="1"/>
        <v>0</v>
      </c>
      <c r="H28" s="547">
        <f t="shared" si="25"/>
        <v>414332</v>
      </c>
      <c r="I28" s="161">
        <f t="shared" si="2"/>
        <v>0</v>
      </c>
      <c r="J28" s="547">
        <f t="shared" si="26"/>
        <v>288034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89.88563529905106</v>
      </c>
      <c r="P28" s="300">
        <f t="shared" si="9"/>
        <v>89.88563529905106</v>
      </c>
      <c r="Q28" s="300">
        <f>SUM(-tanks!AX30*tanks!$AU$37)</f>
        <v>0</v>
      </c>
      <c r="R28" s="300">
        <f t="shared" si="10"/>
        <v>89.88563529905106</v>
      </c>
      <c r="S28" s="302">
        <f>SUM(ELEC!N27)</f>
        <v>0</v>
      </c>
      <c r="T28" s="339">
        <f t="shared" si="12"/>
        <v>0</v>
      </c>
      <c r="V28" s="256">
        <f t="shared" si="27"/>
        <v>115015</v>
      </c>
      <c r="W28" s="170">
        <f>F33</f>
        <v>123422</v>
      </c>
      <c r="X28" s="172" t="s">
        <v>197</v>
      </c>
      <c r="Y28" s="172">
        <v>320</v>
      </c>
      <c r="Z28" s="172">
        <v>1</v>
      </c>
      <c r="AA28" s="341">
        <f>(W28-V28)*Z28</f>
        <v>8407</v>
      </c>
      <c r="AB28" s="341">
        <f>SUM(AA28*Y28)</f>
        <v>2690240</v>
      </c>
      <c r="AC28" s="251">
        <f>AC11</f>
        <v>1000</v>
      </c>
      <c r="AD28" s="213">
        <f>SUM(G36)</f>
        <v>0.18049567723342941</v>
      </c>
      <c r="AE28" s="40">
        <f>SUM(AB28*5%)</f>
        <v>134512</v>
      </c>
      <c r="AF28" s="82">
        <f>SUM(AE28/7)*31</f>
        <v>595696</v>
      </c>
    </row>
    <row r="29" spans="1:32" ht="15" thickBot="1">
      <c r="A29" s="163">
        <f>ELEC!C28</f>
        <v>44222</v>
      </c>
      <c r="B29" s="547">
        <f t="shared" si="23"/>
        <v>826089</v>
      </c>
      <c r="C29" s="266">
        <f t="shared" si="0"/>
        <v>0</v>
      </c>
      <c r="D29" s="311">
        <f t="shared" si="8"/>
        <v>0</v>
      </c>
      <c r="E29" s="311">
        <f t="shared" si="11"/>
        <v>826089</v>
      </c>
      <c r="F29" s="588">
        <f t="shared" si="24"/>
        <v>123422</v>
      </c>
      <c r="G29" s="160">
        <f t="shared" si="1"/>
        <v>0</v>
      </c>
      <c r="H29" s="547">
        <f t="shared" si="25"/>
        <v>414332</v>
      </c>
      <c r="I29" s="161">
        <f t="shared" si="2"/>
        <v>0</v>
      </c>
      <c r="J29" s="547">
        <f t="shared" si="26"/>
        <v>288034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89.88563529905106</v>
      </c>
      <c r="P29" s="300">
        <f t="shared" si="9"/>
        <v>89.88563529905106</v>
      </c>
      <c r="Q29" s="300">
        <f>SUM(-tanks!AX31*tanks!$AU$37)</f>
        <v>0</v>
      </c>
      <c r="R29" s="300">
        <f t="shared" si="10"/>
        <v>89.88563529905106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45552</v>
      </c>
      <c r="AB29" s="341"/>
      <c r="AC29" s="251"/>
    </row>
    <row r="30" spans="1:32" ht="14.25" customHeight="1" thickBot="1">
      <c r="A30" s="163">
        <f>ELEC!C29</f>
        <v>44223</v>
      </c>
      <c r="B30" s="547">
        <f t="shared" si="23"/>
        <v>826089</v>
      </c>
      <c r="C30" s="266">
        <f t="shared" si="0"/>
        <v>0</v>
      </c>
      <c r="D30" s="311">
        <f t="shared" si="8"/>
        <v>0</v>
      </c>
      <c r="E30" s="311">
        <f t="shared" si="11"/>
        <v>826089</v>
      </c>
      <c r="F30" s="588">
        <f t="shared" si="24"/>
        <v>123422</v>
      </c>
      <c r="G30" s="160">
        <f t="shared" si="1"/>
        <v>0</v>
      </c>
      <c r="H30" s="547">
        <f t="shared" si="25"/>
        <v>414332</v>
      </c>
      <c r="I30" s="161">
        <f t="shared" si="2"/>
        <v>0</v>
      </c>
      <c r="J30" s="547">
        <f t="shared" si="26"/>
        <v>288034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89.88563529905106</v>
      </c>
      <c r="P30" s="300">
        <f t="shared" si="9"/>
        <v>89.88563529905106</v>
      </c>
      <c r="Q30" s="300">
        <f>SUM(-tanks!AX32*tanks!$AU$37)</f>
        <v>0</v>
      </c>
      <c r="R30" s="300">
        <f t="shared" si="10"/>
        <v>89.88563529905106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6323952</v>
      </c>
      <c r="AC30" s="251">
        <f>SUM(AC26:AC29)/A37*A35</f>
        <v>4200580.4516129037</v>
      </c>
    </row>
    <row r="31" spans="1:32" ht="15" thickBot="1">
      <c r="A31" s="163">
        <f>ELEC!C30</f>
        <v>44224</v>
      </c>
      <c r="B31" s="547">
        <f t="shared" si="23"/>
        <v>826089</v>
      </c>
      <c r="C31" s="266">
        <f t="shared" si="0"/>
        <v>0</v>
      </c>
      <c r="D31" s="311">
        <f t="shared" si="8"/>
        <v>0</v>
      </c>
      <c r="E31" s="311">
        <f t="shared" si="11"/>
        <v>826089</v>
      </c>
      <c r="F31" s="588">
        <f t="shared" si="24"/>
        <v>123422</v>
      </c>
      <c r="G31" s="160">
        <f t="shared" si="1"/>
        <v>0</v>
      </c>
      <c r="H31" s="547">
        <f t="shared" si="25"/>
        <v>414332</v>
      </c>
      <c r="I31" s="161">
        <f t="shared" si="2"/>
        <v>0</v>
      </c>
      <c r="J31" s="547">
        <f t="shared" si="26"/>
        <v>288034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89.88563529905106</v>
      </c>
      <c r="P31" s="300">
        <f t="shared" si="9"/>
        <v>89.88563529905106</v>
      </c>
      <c r="Q31" s="300">
        <f>SUM(-tanks!AX33*tanks!$AU$37)</f>
        <v>0</v>
      </c>
      <c r="R31" s="300">
        <f t="shared" si="10"/>
        <v>89.88563529905106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61.100000000000364</v>
      </c>
      <c r="X31" s="223">
        <f>SUM(W31/A35)</f>
        <v>3.3944444444444648</v>
      </c>
      <c r="Y31" s="262">
        <f>SUM(X31/2)</f>
        <v>1.6972222222222324</v>
      </c>
      <c r="Z31" s="3"/>
      <c r="AA31" s="3"/>
      <c r="AB31" s="550">
        <f>SUM(AB30+AC31)</f>
        <v>10524532.451612905</v>
      </c>
      <c r="AC31" s="251">
        <f>SUM(AC30)</f>
        <v>4200580.4516129037</v>
      </c>
    </row>
    <row r="32" spans="1:32" ht="15" thickBot="1">
      <c r="A32" s="163">
        <f>ELEC!C31</f>
        <v>44225</v>
      </c>
      <c r="B32" s="547">
        <f t="shared" si="23"/>
        <v>826089</v>
      </c>
      <c r="C32" s="266">
        <f t="shared" si="0"/>
        <v>0</v>
      </c>
      <c r="D32" s="311">
        <f t="shared" si="8"/>
        <v>0</v>
      </c>
      <c r="E32" s="311">
        <f t="shared" si="11"/>
        <v>826089</v>
      </c>
      <c r="F32" s="588">
        <f t="shared" si="24"/>
        <v>123422</v>
      </c>
      <c r="G32" s="160">
        <f t="shared" si="1"/>
        <v>0</v>
      </c>
      <c r="H32" s="547">
        <f t="shared" si="25"/>
        <v>414332</v>
      </c>
      <c r="I32" s="161">
        <f t="shared" si="2"/>
        <v>0</v>
      </c>
      <c r="J32" s="547">
        <f t="shared" si="26"/>
        <v>288034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89.88563529905106</v>
      </c>
      <c r="P32" s="300">
        <f t="shared" si="9"/>
        <v>89.88563529905106</v>
      </c>
      <c r="Q32" s="300">
        <f>SUM(-tanks!AX34*tanks!$AU$37)</f>
        <v>0</v>
      </c>
      <c r="R32" s="300">
        <f t="shared" si="10"/>
        <v>89.88563529905106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" thickBot="1">
      <c r="A33" s="163">
        <f>ELEC!C32</f>
        <v>44226</v>
      </c>
      <c r="B33" s="547">
        <f t="shared" si="23"/>
        <v>826089</v>
      </c>
      <c r="C33" s="266">
        <f t="shared" si="0"/>
        <v>0</v>
      </c>
      <c r="D33" s="311">
        <f t="shared" si="8"/>
        <v>0</v>
      </c>
      <c r="E33" s="311">
        <f t="shared" si="11"/>
        <v>826089</v>
      </c>
      <c r="F33" s="588">
        <f t="shared" si="24"/>
        <v>123422</v>
      </c>
      <c r="G33" s="160">
        <f>F33-F32</f>
        <v>0</v>
      </c>
      <c r="H33" s="547">
        <f t="shared" si="25"/>
        <v>414332</v>
      </c>
      <c r="I33" s="161">
        <f t="shared" si="2"/>
        <v>0</v>
      </c>
      <c r="J33" s="547">
        <f t="shared" si="26"/>
        <v>288034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89.88563529905106</v>
      </c>
      <c r="P33" s="300">
        <f>SUM(L33:O33)</f>
        <v>89.88563529905106</v>
      </c>
      <c r="Q33" s="300">
        <f>SUM(-tanks!AX35*tanks!$AU$37)</f>
        <v>0</v>
      </c>
      <c r="R33" s="300">
        <f>SUM(P33:Q33)</f>
        <v>89.88563529905106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0</v>
      </c>
      <c r="X33" s="218"/>
      <c r="Y33" s="219"/>
      <c r="Z33" s="3"/>
      <c r="AA33" s="3"/>
      <c r="AB33" s="3"/>
      <c r="AC33" s="173"/>
    </row>
    <row r="34" spans="1:32">
      <c r="A34" s="163">
        <f>ELEC!C33</f>
        <v>44227</v>
      </c>
      <c r="B34" s="547">
        <f t="shared" si="23"/>
        <v>826089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826089</v>
      </c>
      <c r="F34" s="588">
        <f t="shared" si="24"/>
        <v>123422</v>
      </c>
      <c r="G34" s="160">
        <f>F34-F33</f>
        <v>0</v>
      </c>
      <c r="H34" s="547">
        <f t="shared" si="25"/>
        <v>414332</v>
      </c>
      <c r="I34" s="161">
        <f t="shared" ref="I34" si="31">H34-H33</f>
        <v>0</v>
      </c>
      <c r="J34" s="547">
        <f t="shared" si="26"/>
        <v>288034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89.88563529905106</v>
      </c>
      <c r="P34" s="300">
        <f>SUM(L34:O34)</f>
        <v>89.88563529905106</v>
      </c>
      <c r="Q34" s="300">
        <f>SUM(-tanks!AX36*tanks!$AU$37)</f>
        <v>0</v>
      </c>
      <c r="R34" s="300">
        <f>SUM(P34:Q34)</f>
        <v>89.88563529905106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1157698.5696774195</v>
      </c>
      <c r="AC34" s="585"/>
    </row>
    <row r="35" spans="1:32" ht="15" thickBot="1">
      <c r="A35" s="546">
        <f>A37-COUNTIF(C4:C34,0)</f>
        <v>18</v>
      </c>
      <c r="C35" s="174">
        <f>SUM(C4:C34)/A35</f>
        <v>2409.7222222222222</v>
      </c>
      <c r="D35" s="174"/>
      <c r="E35" s="174"/>
      <c r="G35" s="174">
        <f>SUM(G4:G34)/A35</f>
        <v>434.94444444444446</v>
      </c>
      <c r="I35" s="174">
        <f>SUM(I4:I34)/A35</f>
        <v>1094.2777777777778</v>
      </c>
      <c r="K35" s="174">
        <f>SUM(K4:K34)/A35</f>
        <v>863.83333333333337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135502.59521331947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11682231.021290325</v>
      </c>
      <c r="AC35" s="585"/>
    </row>
    <row r="36" spans="1:32" ht="15" thickBot="1">
      <c r="A36" s="211"/>
      <c r="C36" s="213">
        <f>SUM(G36:K36)</f>
        <v>0.9930835734870318</v>
      </c>
      <c r="G36" s="226">
        <f>IF(C35&gt;0,G35/C35,0)</f>
        <v>0.18049567723342941</v>
      </c>
      <c r="H36" s="213"/>
      <c r="I36" s="226">
        <f>SUM(I35/C35)</f>
        <v>0.45410951008645534</v>
      </c>
      <c r="J36" s="213"/>
      <c r="K36" s="226">
        <f>SUM(K35/C35)</f>
        <v>0.358478386167147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6981.4477290964542</v>
      </c>
      <c r="AC36" s="587"/>
    </row>
    <row r="37" spans="1:32" ht="1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2786.4546942705829</v>
      </c>
      <c r="Z38" s="40"/>
      <c r="AA38" s="295" t="s">
        <v>215</v>
      </c>
      <c r="AB38" s="296">
        <f>SUM(AB36)</f>
        <v>6981.4477290964542</v>
      </c>
    </row>
    <row r="39" spans="1:32">
      <c r="V39" s="218"/>
      <c r="W39" s="82">
        <f>(AB30+AB54)/1507.5</f>
        <v>4194.9930348258704</v>
      </c>
      <c r="X39" s="551"/>
      <c r="Z39" s="297">
        <f>SUM(AB38)</f>
        <v>6981.4477290964542</v>
      </c>
      <c r="AA39" s="296"/>
      <c r="AB39" s="296"/>
    </row>
    <row r="40" spans="1:32">
      <c r="V40" s="17"/>
      <c r="W40" s="82">
        <f>SUM(W38:W39)</f>
        <v>6981.4477290964533</v>
      </c>
      <c r="X40" s="551"/>
      <c r="Y40" s="82"/>
      <c r="Z40" s="297">
        <f>SUM(-tanks!AX37)*tanks!AU37</f>
        <v>7008.9806451612994</v>
      </c>
      <c r="AA40" s="101">
        <f>SUM(AB31/A35)</f>
        <v>584696.24731182808</v>
      </c>
      <c r="AB40" s="351">
        <f>SUM(AA40*A37)</f>
        <v>18125583.666666672</v>
      </c>
    </row>
    <row r="41" spans="1:32" ht="18.5">
      <c r="W41" s="82">
        <f>(AB30+AB54)/1507.5</f>
        <v>4194.9930348258704</v>
      </c>
      <c r="Z41" s="278">
        <f>SUM(Z39:Z40)</f>
        <v>13990.428374257754</v>
      </c>
      <c r="AA41" s="296">
        <f>SUM(AA40/1507.5)</f>
        <v>387.85820717202523</v>
      </c>
      <c r="AB41" s="350">
        <f>SUM(AB40/1507.5)</f>
        <v>12023.604422332784</v>
      </c>
    </row>
    <row r="42" spans="1:32">
      <c r="D42" s="526"/>
      <c r="E42" s="526"/>
      <c r="F42" s="526"/>
      <c r="W42" s="82">
        <f>SUM(W40:W41)</f>
        <v>11176.440763922325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64"/>
      <c r="AC45" s="664"/>
      <c r="AD45" s="17"/>
      <c r="AE45" s="17"/>
      <c r="AF45" s="17"/>
    </row>
    <row r="46" spans="1:32">
      <c r="V46" s="664"/>
      <c r="W46" s="664"/>
      <c r="X46" s="664"/>
      <c r="Y46" s="664"/>
      <c r="Z46" s="555"/>
      <c r="AA46" s="555"/>
      <c r="AB46" s="664"/>
      <c r="AC46" s="664"/>
      <c r="AD46" s="17"/>
      <c r="AE46" s="17"/>
      <c r="AF46" s="17"/>
    </row>
    <row r="47" spans="1:32">
      <c r="V47" s="664"/>
      <c r="W47" s="664"/>
      <c r="X47" s="664"/>
      <c r="Y47" s="664"/>
      <c r="Z47" s="664"/>
      <c r="AA47" s="664"/>
      <c r="AB47" s="664"/>
      <c r="AC47" s="664"/>
      <c r="AD47" s="17"/>
      <c r="AE47" s="17"/>
      <c r="AF47" s="17"/>
    </row>
    <row r="48" spans="1:32">
      <c r="V48" s="665"/>
      <c r="W48" s="665"/>
      <c r="X48" s="666"/>
      <c r="Y48" s="666"/>
      <c r="Z48" s="666"/>
      <c r="AA48" s="556"/>
      <c r="AB48" s="664"/>
      <c r="AC48" s="664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J23" sqref="J23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7" customWidth="1"/>
    <col min="12" max="12" width="26.453125" bestFit="1" customWidth="1"/>
    <col min="14" max="14" width="14.26953125" customWidth="1"/>
  </cols>
  <sheetData>
    <row r="1" spans="1:18" ht="39.75" customHeight="1" thickBot="1">
      <c r="A1" s="696" t="s">
        <v>51</v>
      </c>
      <c r="B1" s="708" t="s">
        <v>320</v>
      </c>
      <c r="C1" s="709"/>
      <c r="D1" s="711"/>
      <c r="E1" s="708" t="s">
        <v>321</v>
      </c>
      <c r="F1" s="709"/>
      <c r="G1" s="710"/>
      <c r="H1" s="705" t="s">
        <v>326</v>
      </c>
      <c r="I1" s="702" t="s">
        <v>327</v>
      </c>
      <c r="J1" s="699" t="s">
        <v>43</v>
      </c>
    </row>
    <row r="2" spans="1:18" ht="37.5" thickBot="1">
      <c r="A2" s="697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6"/>
      <c r="I2" s="703"/>
      <c r="J2" s="700"/>
    </row>
    <row r="3" spans="1:18" ht="24" customHeight="1" thickBot="1">
      <c r="A3" s="698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7"/>
      <c r="I3" s="704"/>
      <c r="J3" s="701"/>
    </row>
    <row r="4" spans="1:18" ht="19" thickBot="1">
      <c r="A4" s="245"/>
      <c r="B4" s="515"/>
      <c r="C4" s="515"/>
      <c r="D4" s="515"/>
      <c r="E4" s="515"/>
      <c r="F4" s="515"/>
      <c r="G4" s="515"/>
      <c r="H4" s="598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44196</v>
      </c>
      <c r="B5" s="45">
        <v>1.3</v>
      </c>
      <c r="C5" s="45">
        <v>7.8</v>
      </c>
      <c r="D5" s="45">
        <f>'[1]Swimming Pool quality check '!D36</f>
        <v>0</v>
      </c>
      <c r="E5" s="45">
        <v>1.4</v>
      </c>
      <c r="F5" s="45">
        <v>8</v>
      </c>
      <c r="G5" s="45">
        <f>'[1]Swimming Pool quality check '!G36</f>
        <v>0</v>
      </c>
      <c r="H5" s="45">
        <f>'[1]Swimming Pool quality check '!H36</f>
        <v>6709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44196</v>
      </c>
      <c r="M5" s="516">
        <v>6541</v>
      </c>
      <c r="N5" s="516">
        <f>'[5]Swimming Pool quality check '!N36</f>
        <v>642</v>
      </c>
      <c r="O5" s="516">
        <f>'[5]Swimming Pool quality check '!O36</f>
        <v>6836</v>
      </c>
    </row>
    <row r="6" spans="1:18" ht="15.75" customHeight="1" thickBot="1">
      <c r="A6" s="242">
        <f>ELEC!C3</f>
        <v>44197</v>
      </c>
      <c r="B6" s="611">
        <v>1.2</v>
      </c>
      <c r="C6" s="612">
        <v>7.8</v>
      </c>
      <c r="D6" s="612"/>
      <c r="E6" s="612">
        <v>1.2</v>
      </c>
      <c r="F6" s="612">
        <v>8</v>
      </c>
      <c r="G6" s="612"/>
      <c r="H6" s="613">
        <f>H5</f>
        <v>6709</v>
      </c>
      <c r="I6" s="516">
        <f>H6-H5</f>
        <v>0</v>
      </c>
      <c r="J6" s="493">
        <v>0.29166666666666669</v>
      </c>
      <c r="L6" s="99">
        <f t="shared" ref="L6:L35" si="0">A6</f>
        <v>44197</v>
      </c>
      <c r="M6" s="3">
        <v>6543</v>
      </c>
      <c r="N6" s="516">
        <v>487</v>
      </c>
      <c r="O6" s="516">
        <f t="shared" ref="O6:O35" si="1">M6+N6</f>
        <v>7030</v>
      </c>
    </row>
    <row r="7" spans="1:18" ht="15" thickBot="1">
      <c r="A7" s="242">
        <f>ELEC!C4</f>
        <v>44198</v>
      </c>
      <c r="B7" s="614">
        <v>1.1000000000000001</v>
      </c>
      <c r="C7" s="613">
        <v>7.8</v>
      </c>
      <c r="D7" s="613"/>
      <c r="E7" s="613">
        <v>1.1000000000000001</v>
      </c>
      <c r="F7" s="613">
        <v>8</v>
      </c>
      <c r="G7" s="613"/>
      <c r="H7" s="613">
        <v>6710</v>
      </c>
      <c r="I7" s="516">
        <f t="shared" ref="I7:I35" si="2">H7-H6</f>
        <v>1</v>
      </c>
      <c r="J7" s="494">
        <v>0.29166666666666669</v>
      </c>
      <c r="L7" s="99">
        <f t="shared" si="0"/>
        <v>44198</v>
      </c>
      <c r="M7" s="3">
        <v>6550</v>
      </c>
      <c r="N7" s="516">
        <v>487</v>
      </c>
      <c r="O7" s="516">
        <f t="shared" si="1"/>
        <v>7037</v>
      </c>
    </row>
    <row r="8" spans="1:18" ht="15" thickBot="1">
      <c r="A8" s="242">
        <f>ELEC!C5</f>
        <v>44199</v>
      </c>
      <c r="B8" s="614">
        <v>1.1000000000000001</v>
      </c>
      <c r="C8" s="613">
        <v>7.8</v>
      </c>
      <c r="D8" s="613"/>
      <c r="E8" s="613">
        <v>1</v>
      </c>
      <c r="F8" s="613">
        <v>8</v>
      </c>
      <c r="G8" s="613"/>
      <c r="H8" s="613">
        <f t="shared" ref="H8:H36" si="3">H7</f>
        <v>6710</v>
      </c>
      <c r="I8" s="516">
        <f t="shared" si="2"/>
        <v>0</v>
      </c>
      <c r="J8" s="494">
        <v>0.29166666666666669</v>
      </c>
      <c r="L8" s="99">
        <f t="shared" si="0"/>
        <v>44199</v>
      </c>
      <c r="M8" s="3">
        <v>6555</v>
      </c>
      <c r="N8" s="516">
        <v>487</v>
      </c>
      <c r="O8" s="516">
        <f t="shared" si="1"/>
        <v>7042</v>
      </c>
    </row>
    <row r="9" spans="1:18" ht="15" thickBot="1">
      <c r="A9" s="242">
        <f>ELEC!C6</f>
        <v>44200</v>
      </c>
      <c r="B9" s="615">
        <v>1.3</v>
      </c>
      <c r="C9" s="613">
        <v>7.8</v>
      </c>
      <c r="D9" s="45"/>
      <c r="E9" s="45">
        <v>1.5</v>
      </c>
      <c r="F9" s="45">
        <v>8</v>
      </c>
      <c r="G9" s="45"/>
      <c r="H9" s="616">
        <v>6710</v>
      </c>
      <c r="I9" s="516">
        <f t="shared" si="2"/>
        <v>0</v>
      </c>
      <c r="J9" s="494">
        <v>0.25</v>
      </c>
      <c r="L9" s="99">
        <f t="shared" si="0"/>
        <v>44200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" thickBot="1">
      <c r="A10" s="242">
        <f>ELEC!C7</f>
        <v>44201</v>
      </c>
      <c r="B10" s="597">
        <v>1.3</v>
      </c>
      <c r="C10" s="596">
        <v>7.8</v>
      </c>
      <c r="D10" s="596"/>
      <c r="E10" s="596">
        <v>1.2</v>
      </c>
      <c r="F10" s="596">
        <v>8</v>
      </c>
      <c r="G10" s="596"/>
      <c r="H10" s="596">
        <f t="shared" si="3"/>
        <v>6710</v>
      </c>
      <c r="I10" s="516">
        <f t="shared" si="2"/>
        <v>0</v>
      </c>
      <c r="J10" s="494">
        <v>0.29166666666666669</v>
      </c>
      <c r="L10" s="99">
        <f t="shared" si="0"/>
        <v>44201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" thickBot="1">
      <c r="A11" s="242">
        <f>ELEC!C8</f>
        <v>44202</v>
      </c>
      <c r="B11" s="544">
        <v>1.2</v>
      </c>
      <c r="C11" s="544">
        <v>7.8</v>
      </c>
      <c r="D11" s="544"/>
      <c r="E11" s="544">
        <v>1.2</v>
      </c>
      <c r="F11" s="544">
        <v>8</v>
      </c>
      <c r="G11" s="544"/>
      <c r="H11" s="596">
        <v>6711</v>
      </c>
      <c r="I11" s="516">
        <f t="shared" si="2"/>
        <v>1</v>
      </c>
      <c r="J11" s="494">
        <v>0.29166666666666669</v>
      </c>
      <c r="L11" s="99">
        <f t="shared" si="0"/>
        <v>44202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" thickBot="1">
      <c r="A12" s="242">
        <f>ELEC!C9</f>
        <v>44203</v>
      </c>
      <c r="B12" s="544">
        <v>1.4</v>
      </c>
      <c r="C12" s="544">
        <v>7.8</v>
      </c>
      <c r="D12" s="544"/>
      <c r="E12" s="544">
        <v>1.4</v>
      </c>
      <c r="F12" s="544">
        <v>8</v>
      </c>
      <c r="G12" s="544"/>
      <c r="H12" s="596">
        <f t="shared" si="3"/>
        <v>6711</v>
      </c>
      <c r="I12" s="516">
        <f t="shared" si="2"/>
        <v>0</v>
      </c>
      <c r="J12" s="494">
        <v>0.29166666666666669</v>
      </c>
      <c r="L12" s="99">
        <f t="shared" si="0"/>
        <v>44203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" thickBot="1">
      <c r="A13" s="242">
        <f>ELEC!C10</f>
        <v>44204</v>
      </c>
      <c r="B13" s="544">
        <v>1.7</v>
      </c>
      <c r="C13" s="544">
        <v>7.8</v>
      </c>
      <c r="D13" s="544"/>
      <c r="E13" s="544">
        <v>1.5</v>
      </c>
      <c r="F13" s="544">
        <v>8</v>
      </c>
      <c r="G13" s="544"/>
      <c r="H13" s="596">
        <f t="shared" si="3"/>
        <v>6711</v>
      </c>
      <c r="I13" s="516">
        <f t="shared" si="2"/>
        <v>0</v>
      </c>
      <c r="J13" s="494">
        <v>0.29166666666666669</v>
      </c>
      <c r="L13" s="99">
        <f t="shared" si="0"/>
        <v>44204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" thickBot="1">
      <c r="A14" s="242">
        <f>ELEC!C11</f>
        <v>44205</v>
      </c>
      <c r="B14" s="544">
        <v>1.2</v>
      </c>
      <c r="C14" s="600">
        <v>7.8</v>
      </c>
      <c r="D14" s="170"/>
      <c r="E14" s="170">
        <v>1.3</v>
      </c>
      <c r="F14" s="170">
        <v>8</v>
      </c>
      <c r="G14" s="170"/>
      <c r="H14" s="596">
        <f t="shared" si="3"/>
        <v>6711</v>
      </c>
      <c r="I14" s="516">
        <f t="shared" si="2"/>
        <v>0</v>
      </c>
      <c r="J14" s="494">
        <v>0.29166666666666669</v>
      </c>
      <c r="L14" s="99">
        <f t="shared" si="0"/>
        <v>44205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" thickBot="1">
      <c r="A15" s="242">
        <f>ELEC!C12</f>
        <v>44206</v>
      </c>
      <c r="B15" s="544">
        <v>1.6</v>
      </c>
      <c r="C15" s="601">
        <v>7.8</v>
      </c>
      <c r="D15" s="601"/>
      <c r="E15" s="601">
        <v>2.1</v>
      </c>
      <c r="F15" s="601">
        <v>8</v>
      </c>
      <c r="G15" s="601"/>
      <c r="H15" s="596">
        <v>6712</v>
      </c>
      <c r="I15" s="516">
        <f t="shared" si="2"/>
        <v>1</v>
      </c>
      <c r="J15" s="494">
        <v>0.29166666666666669</v>
      </c>
      <c r="L15" s="99">
        <f t="shared" si="0"/>
        <v>44206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" thickBot="1">
      <c r="A16" s="242">
        <f>ELEC!C13</f>
        <v>44207</v>
      </c>
      <c r="B16" s="544">
        <v>1.4</v>
      </c>
      <c r="C16" s="601">
        <v>7.8</v>
      </c>
      <c r="D16" s="601"/>
      <c r="E16" s="601">
        <v>1.2</v>
      </c>
      <c r="F16" s="601">
        <v>8</v>
      </c>
      <c r="G16" s="601"/>
      <c r="H16" s="596">
        <f t="shared" si="3"/>
        <v>6712</v>
      </c>
      <c r="I16" s="516">
        <f t="shared" si="2"/>
        <v>0</v>
      </c>
      <c r="J16" s="494">
        <v>0.29166666666666669</v>
      </c>
      <c r="L16" s="99">
        <f t="shared" si="0"/>
        <v>44207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" thickBot="1">
      <c r="A17" s="242">
        <f>ELEC!C14</f>
        <v>44208</v>
      </c>
      <c r="B17" s="544">
        <v>1.3</v>
      </c>
      <c r="C17" s="544">
        <v>7.8</v>
      </c>
      <c r="D17" s="544"/>
      <c r="E17" s="544">
        <v>1.2</v>
      </c>
      <c r="F17" s="544">
        <v>8</v>
      </c>
      <c r="G17" s="544"/>
      <c r="H17" s="596">
        <f t="shared" si="3"/>
        <v>6712</v>
      </c>
      <c r="I17" s="516">
        <f t="shared" si="2"/>
        <v>0</v>
      </c>
      <c r="J17" s="494">
        <v>0.29166666666666669</v>
      </c>
      <c r="L17" s="99">
        <f t="shared" si="0"/>
        <v>44208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" thickBot="1">
      <c r="A18" s="242">
        <f>ELEC!C15</f>
        <v>44209</v>
      </c>
      <c r="B18" s="544">
        <v>1.5</v>
      </c>
      <c r="C18" s="602">
        <v>7.8</v>
      </c>
      <c r="D18" s="170"/>
      <c r="E18" s="170">
        <v>1.5</v>
      </c>
      <c r="F18" s="170">
        <v>8</v>
      </c>
      <c r="G18" s="544"/>
      <c r="H18" s="596">
        <f t="shared" si="3"/>
        <v>6712</v>
      </c>
      <c r="I18" s="516">
        <f t="shared" si="2"/>
        <v>0</v>
      </c>
      <c r="J18" s="494">
        <v>0.29166666666666669</v>
      </c>
      <c r="L18" s="99">
        <f t="shared" si="0"/>
        <v>44209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" thickBot="1">
      <c r="A19" s="242">
        <f>ELEC!C16</f>
        <v>44210</v>
      </c>
      <c r="B19" s="544">
        <v>1.4</v>
      </c>
      <c r="C19" s="603">
        <v>7.8</v>
      </c>
      <c r="D19" s="170"/>
      <c r="E19" s="170">
        <v>1.3</v>
      </c>
      <c r="F19" s="170">
        <v>8</v>
      </c>
      <c r="G19" s="544"/>
      <c r="H19" s="596">
        <f t="shared" si="3"/>
        <v>6712</v>
      </c>
      <c r="I19" s="516">
        <f t="shared" si="2"/>
        <v>0</v>
      </c>
      <c r="J19" s="494">
        <v>0.29166666666666669</v>
      </c>
      <c r="L19" s="99">
        <f t="shared" si="0"/>
        <v>44210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" thickBot="1">
      <c r="A20" s="242">
        <f>ELEC!C17</f>
        <v>44211</v>
      </c>
      <c r="B20" s="544">
        <v>1.3</v>
      </c>
      <c r="C20" s="544">
        <v>7.8</v>
      </c>
      <c r="D20" s="544"/>
      <c r="E20" s="544">
        <v>1.1000000000000001</v>
      </c>
      <c r="F20" s="544">
        <v>8</v>
      </c>
      <c r="G20" s="544"/>
      <c r="H20" s="596">
        <f t="shared" si="3"/>
        <v>6712</v>
      </c>
      <c r="I20" s="516">
        <f t="shared" si="2"/>
        <v>0</v>
      </c>
      <c r="J20" s="494">
        <v>0.29166666666666669</v>
      </c>
      <c r="L20" s="99">
        <f t="shared" si="0"/>
        <v>44211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" thickBot="1">
      <c r="A21" s="242">
        <f>ELEC!C18</f>
        <v>44212</v>
      </c>
      <c r="B21" s="544">
        <v>1.1000000000000001</v>
      </c>
      <c r="C21" s="604">
        <v>7.8</v>
      </c>
      <c r="D21" s="170"/>
      <c r="E21" s="170">
        <v>1</v>
      </c>
      <c r="F21" s="170">
        <v>8</v>
      </c>
      <c r="G21" s="544"/>
      <c r="H21" s="596">
        <v>6713</v>
      </c>
      <c r="I21" s="516">
        <f t="shared" si="2"/>
        <v>1</v>
      </c>
      <c r="J21" s="590" t="s">
        <v>417</v>
      </c>
      <c r="L21" s="99">
        <f t="shared" si="0"/>
        <v>44212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" thickBot="1">
      <c r="A22" s="242">
        <f>ELEC!C19</f>
        <v>44213</v>
      </c>
      <c r="B22" s="544">
        <v>1.1000000000000001</v>
      </c>
      <c r="C22" s="544">
        <v>7.8</v>
      </c>
      <c r="D22" s="544"/>
      <c r="E22" s="544">
        <v>1.3</v>
      </c>
      <c r="F22" s="544">
        <v>8</v>
      </c>
      <c r="G22" s="544"/>
      <c r="H22" s="596">
        <v>6713</v>
      </c>
      <c r="I22" s="516">
        <f t="shared" si="2"/>
        <v>0</v>
      </c>
      <c r="J22" s="494">
        <v>0.29166666666666669</v>
      </c>
      <c r="L22" s="99">
        <f t="shared" si="0"/>
        <v>44213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" thickBot="1">
      <c r="A23" s="242">
        <f>ELEC!C20</f>
        <v>44214</v>
      </c>
      <c r="B23" s="544">
        <v>1.1000000000000001</v>
      </c>
      <c r="C23" s="544">
        <v>7.8</v>
      </c>
      <c r="D23" s="544"/>
      <c r="E23" s="544">
        <v>1.3</v>
      </c>
      <c r="F23" s="544">
        <v>8</v>
      </c>
      <c r="G23" s="544"/>
      <c r="H23" s="596">
        <f t="shared" si="3"/>
        <v>6713</v>
      </c>
      <c r="I23" s="516">
        <f t="shared" si="2"/>
        <v>0</v>
      </c>
      <c r="J23" s="494">
        <v>0.29166666666666669</v>
      </c>
      <c r="L23" s="99">
        <f t="shared" si="0"/>
        <v>44214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" thickBot="1">
      <c r="A24" s="242">
        <f>ELEC!C21</f>
        <v>44215</v>
      </c>
      <c r="B24" s="544"/>
      <c r="C24" s="605"/>
      <c r="D24" s="170"/>
      <c r="E24" s="170"/>
      <c r="F24" s="170"/>
      <c r="G24" s="170"/>
      <c r="H24" s="596">
        <f t="shared" si="3"/>
        <v>6713</v>
      </c>
      <c r="I24" s="516">
        <f t="shared" si="2"/>
        <v>0</v>
      </c>
      <c r="J24" s="494">
        <v>0.29166666666666702</v>
      </c>
      <c r="L24" s="99">
        <f t="shared" si="0"/>
        <v>44215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" thickBot="1">
      <c r="A25" s="242">
        <f>ELEC!C22</f>
        <v>44216</v>
      </c>
      <c r="B25" s="592"/>
      <c r="C25" s="591"/>
      <c r="D25" s="170"/>
      <c r="E25" s="170"/>
      <c r="F25" s="170"/>
      <c r="G25" s="170"/>
      <c r="H25" s="596">
        <f t="shared" si="3"/>
        <v>6713</v>
      </c>
      <c r="I25" s="516">
        <f t="shared" si="2"/>
        <v>0</v>
      </c>
      <c r="J25" s="494">
        <v>0.29166666666666702</v>
      </c>
      <c r="L25" s="99">
        <f t="shared" si="0"/>
        <v>44216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" thickBot="1">
      <c r="A26" s="242">
        <f>ELEC!C23</f>
        <v>44217</v>
      </c>
      <c r="B26" s="592"/>
      <c r="C26" s="593"/>
      <c r="D26" s="170"/>
      <c r="E26" s="170"/>
      <c r="F26" s="170"/>
      <c r="G26" s="170"/>
      <c r="H26" s="596">
        <f t="shared" si="3"/>
        <v>6713</v>
      </c>
      <c r="I26" s="516">
        <f t="shared" si="2"/>
        <v>0</v>
      </c>
      <c r="J26" s="494">
        <v>0.29166666666666702</v>
      </c>
      <c r="L26" s="99">
        <f t="shared" si="0"/>
        <v>44217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" thickBot="1">
      <c r="A27" s="242">
        <f>ELEC!C24</f>
        <v>44218</v>
      </c>
      <c r="B27" s="170"/>
      <c r="C27" s="170"/>
      <c r="D27" s="170"/>
      <c r="E27" s="170"/>
      <c r="F27" s="170"/>
      <c r="G27" s="170"/>
      <c r="H27" s="596">
        <f t="shared" si="3"/>
        <v>6713</v>
      </c>
      <c r="I27" s="516">
        <f t="shared" si="2"/>
        <v>0</v>
      </c>
      <c r="J27" s="494">
        <v>0.29166666666666702</v>
      </c>
      <c r="L27" s="99">
        <f t="shared" si="0"/>
        <v>44218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" thickBot="1">
      <c r="A28" s="242">
        <f>ELEC!C25</f>
        <v>44219</v>
      </c>
      <c r="B28" s="256"/>
      <c r="C28" s="594"/>
      <c r="D28" s="170"/>
      <c r="E28" s="170"/>
      <c r="F28" s="170"/>
      <c r="G28" s="170"/>
      <c r="H28" s="596">
        <f t="shared" si="3"/>
        <v>6713</v>
      </c>
      <c r="I28" s="516">
        <f t="shared" si="2"/>
        <v>0</v>
      </c>
      <c r="J28" s="495">
        <v>0.29166666666666702</v>
      </c>
      <c r="L28" s="99">
        <f t="shared" si="0"/>
        <v>44219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" thickBot="1">
      <c r="A29" s="242">
        <f>ELEC!C26</f>
        <v>44220</v>
      </c>
      <c r="B29" s="544"/>
      <c r="C29" s="544"/>
      <c r="D29" s="544"/>
      <c r="E29" s="170"/>
      <c r="F29" s="170"/>
      <c r="G29" s="544"/>
      <c r="H29" s="596">
        <f t="shared" si="3"/>
        <v>6713</v>
      </c>
      <c r="I29" s="516">
        <f t="shared" si="2"/>
        <v>0</v>
      </c>
      <c r="J29" s="494">
        <v>0.29166666666666702</v>
      </c>
      <c r="L29" s="99">
        <f t="shared" si="0"/>
        <v>44220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" thickBot="1">
      <c r="A30" s="242">
        <f>ELEC!C27</f>
        <v>44221</v>
      </c>
      <c r="B30" s="516"/>
      <c r="C30" s="516"/>
      <c r="D30" s="170"/>
      <c r="E30" s="170"/>
      <c r="F30" s="170"/>
      <c r="G30" s="170"/>
      <c r="H30" s="596">
        <f t="shared" si="3"/>
        <v>6713</v>
      </c>
      <c r="I30" s="516">
        <f t="shared" si="2"/>
        <v>0</v>
      </c>
      <c r="J30" s="494">
        <v>0.29166666666666702</v>
      </c>
      <c r="L30" s="99">
        <f t="shared" si="0"/>
        <v>44221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" thickBot="1">
      <c r="A31" s="242">
        <f>ELEC!C28</f>
        <v>44222</v>
      </c>
      <c r="B31" s="256"/>
      <c r="C31" s="545"/>
      <c r="D31" s="170"/>
      <c r="E31" s="170"/>
      <c r="F31" s="170"/>
      <c r="G31" s="170"/>
      <c r="H31" s="596">
        <f t="shared" si="3"/>
        <v>6713</v>
      </c>
      <c r="I31" s="516">
        <f t="shared" si="2"/>
        <v>0</v>
      </c>
      <c r="J31" s="494">
        <v>0.29166666666666702</v>
      </c>
      <c r="L31" s="99">
        <f t="shared" si="0"/>
        <v>44222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" thickBot="1">
      <c r="A32" s="242">
        <f>ELEC!C29</f>
        <v>44223</v>
      </c>
      <c r="B32" s="516"/>
      <c r="C32" s="516"/>
      <c r="D32" s="516"/>
      <c r="E32" s="516"/>
      <c r="F32" s="516"/>
      <c r="G32" s="516"/>
      <c r="H32" s="596">
        <f t="shared" si="3"/>
        <v>6713</v>
      </c>
      <c r="I32" s="516">
        <f t="shared" si="2"/>
        <v>0</v>
      </c>
      <c r="J32" s="494">
        <v>0.29166666666666702</v>
      </c>
      <c r="L32" s="99">
        <f t="shared" si="0"/>
        <v>44223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" thickBot="1">
      <c r="A33" s="242">
        <f>ELEC!C30</f>
        <v>44224</v>
      </c>
      <c r="B33" s="516"/>
      <c r="C33" s="516"/>
      <c r="D33" s="516"/>
      <c r="E33" s="516"/>
      <c r="F33" s="516"/>
      <c r="G33" s="516"/>
      <c r="H33" s="596">
        <f t="shared" si="3"/>
        <v>6713</v>
      </c>
      <c r="I33" s="516">
        <f t="shared" si="2"/>
        <v>0</v>
      </c>
      <c r="J33" s="494">
        <v>0.29166666666666702</v>
      </c>
      <c r="L33" s="99">
        <f t="shared" si="0"/>
        <v>44224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" thickBot="1">
      <c r="A34" s="242">
        <f>ELEC!C31</f>
        <v>44225</v>
      </c>
      <c r="B34" s="516"/>
      <c r="C34" s="516"/>
      <c r="D34" s="516"/>
      <c r="E34" s="516"/>
      <c r="F34" s="516"/>
      <c r="G34" s="516"/>
      <c r="H34" s="596">
        <f t="shared" si="3"/>
        <v>6713</v>
      </c>
      <c r="I34" s="516">
        <f t="shared" si="2"/>
        <v>0</v>
      </c>
      <c r="J34" s="494">
        <v>0.29166666666666702</v>
      </c>
      <c r="L34" s="99">
        <f t="shared" si="0"/>
        <v>44225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" thickBot="1">
      <c r="A35" s="411">
        <f>ELEC!C32</f>
        <v>44226</v>
      </c>
      <c r="B35" s="516"/>
      <c r="C35" s="516"/>
      <c r="D35" s="516"/>
      <c r="E35" s="516"/>
      <c r="F35" s="516"/>
      <c r="G35" s="516"/>
      <c r="H35" s="596">
        <f t="shared" si="3"/>
        <v>6713</v>
      </c>
      <c r="I35" s="516">
        <f t="shared" si="2"/>
        <v>0</v>
      </c>
      <c r="J35" s="496">
        <v>0.29166666666666702</v>
      </c>
      <c r="L35" s="99">
        <f t="shared" si="0"/>
        <v>44226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44227</v>
      </c>
      <c r="B36" s="516"/>
      <c r="C36" s="516"/>
      <c r="D36" s="516"/>
      <c r="E36" s="516"/>
      <c r="F36" s="516"/>
      <c r="G36" s="516"/>
      <c r="H36" s="596">
        <f t="shared" si="3"/>
        <v>6713</v>
      </c>
      <c r="I36" s="516">
        <f t="shared" ref="I36" si="5">H36-H35</f>
        <v>0</v>
      </c>
      <c r="J36" s="496">
        <v>0.29166666666666702</v>
      </c>
      <c r="L36" s="99">
        <f t="shared" ref="L36" si="6">A36</f>
        <v>44227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D10" sqref="D10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411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'General information '!B6</f>
        <v>20</v>
      </c>
      <c r="C10" s="274">
        <f>'General information '!C6</f>
        <v>15</v>
      </c>
      <c r="D10" s="274">
        <f>(B10+C10)/2-18.3</f>
        <v>-0.80000000000000071</v>
      </c>
      <c r="E10" s="274">
        <f>'[9]Degree Days 2020'!E10</f>
        <v>1</v>
      </c>
      <c r="F10" s="274"/>
      <c r="G10" s="274"/>
      <c r="H10" s="274">
        <f>(F10+G10)/2-18.3</f>
        <v>-18.3</v>
      </c>
      <c r="I10" s="274">
        <f>'[6]Degree Days 2018'!I10</f>
        <v>1</v>
      </c>
      <c r="J10" s="274"/>
      <c r="K10" s="274"/>
      <c r="L10" s="274">
        <f>(J10+K10)/2-18.3</f>
        <v>-18.3</v>
      </c>
      <c r="M10" s="274">
        <f>'[9]Degree Days 2020'!M10</f>
        <v>1</v>
      </c>
      <c r="N10" s="274"/>
      <c r="O10" s="274"/>
      <c r="P10" s="274">
        <f>(N10+O10)/2-18.3</f>
        <v>-18.3</v>
      </c>
      <c r="Q10" s="538">
        <v>1</v>
      </c>
      <c r="R10" s="274"/>
      <c r="S10" s="274"/>
      <c r="T10" s="274">
        <f>(R10+S10)/2-18.3</f>
        <v>-18.3</v>
      </c>
      <c r="U10" s="538">
        <v>1</v>
      </c>
      <c r="V10" s="274"/>
      <c r="W10" s="274"/>
      <c r="X10" s="274">
        <f>(V10+W10)/2-18.3</f>
        <v>-18.3</v>
      </c>
      <c r="Z10" t="s">
        <v>165</v>
      </c>
      <c r="AA10" s="274">
        <f>B43</f>
        <v>-268.90000000000009</v>
      </c>
      <c r="AB10" s="274">
        <f>C43</f>
        <v>2.5999999999999943</v>
      </c>
    </row>
    <row r="11" spans="1:28">
      <c r="A11" s="117">
        <v>2</v>
      </c>
      <c r="B11" s="274">
        <f>'General information '!B7</f>
        <v>21</v>
      </c>
      <c r="C11" s="274">
        <f>'General information '!C7</f>
        <v>15</v>
      </c>
      <c r="D11" s="274">
        <f t="shared" ref="D11:D40" si="0">(B11+C11)/2-18.3</f>
        <v>-0.30000000000000071</v>
      </c>
      <c r="E11" s="274">
        <f>'[9]Degree Days 2020'!E11</f>
        <v>2</v>
      </c>
      <c r="F11" s="274"/>
      <c r="G11" s="274"/>
      <c r="H11" s="274">
        <f t="shared" ref="H11:H38" si="1">(F11+G11)/2-18.3</f>
        <v>-18.3</v>
      </c>
      <c r="I11" s="274">
        <f>'[6]Degree Days 2018'!I11</f>
        <v>2</v>
      </c>
      <c r="J11" s="274"/>
      <c r="K11" s="274"/>
      <c r="L11" s="274">
        <f t="shared" ref="L11:L40" si="2">(J11+K11)/2-18.3</f>
        <v>-18.3</v>
      </c>
      <c r="M11" s="274">
        <f>'[9]Degree Days 2020'!M11</f>
        <v>2</v>
      </c>
      <c r="N11" s="274"/>
      <c r="O11" s="274"/>
      <c r="P11" s="274">
        <f t="shared" ref="P11:P39" si="3">(N11+O11)/2-18.3</f>
        <v>-18.3</v>
      </c>
      <c r="Q11" s="538">
        <v>2</v>
      </c>
      <c r="R11" s="274"/>
      <c r="S11" s="274"/>
      <c r="T11" s="274">
        <f t="shared" ref="T11:T40" si="4">(R11+S11)/2-18.3</f>
        <v>-18.3</v>
      </c>
      <c r="U11" s="538">
        <v>2</v>
      </c>
      <c r="V11" s="274"/>
      <c r="W11" s="274"/>
      <c r="X11" s="274">
        <f t="shared" ref="X11:X39" si="5">(V11+W11)/2-18.3</f>
        <v>-18.3</v>
      </c>
      <c r="Z11" t="s">
        <v>169</v>
      </c>
      <c r="AA11" s="274"/>
      <c r="AB11" s="274"/>
    </row>
    <row r="12" spans="1:28">
      <c r="A12" s="117">
        <v>3</v>
      </c>
      <c r="B12" s="274">
        <f>'General information '!B8</f>
        <v>21</v>
      </c>
      <c r="C12" s="274">
        <f>'General information '!C8</f>
        <v>16</v>
      </c>
      <c r="D12" s="274">
        <f t="shared" si="0"/>
        <v>0.19999999999999929</v>
      </c>
      <c r="E12" s="274">
        <f>'[9]Degree Days 2020'!E12</f>
        <v>3</v>
      </c>
      <c r="F12" s="274"/>
      <c r="G12" s="274"/>
      <c r="H12" s="274">
        <f t="shared" si="1"/>
        <v>-18.3</v>
      </c>
      <c r="I12" s="274">
        <f>'[6]Degree Days 2018'!I12</f>
        <v>3</v>
      </c>
      <c r="J12" s="274"/>
      <c r="K12" s="274"/>
      <c r="L12" s="274">
        <f t="shared" si="2"/>
        <v>-18.3</v>
      </c>
      <c r="M12" s="274">
        <f>'[9]Degree Days 2020'!M12</f>
        <v>3</v>
      </c>
      <c r="N12" s="274"/>
      <c r="O12" s="274"/>
      <c r="P12" s="274">
        <f t="shared" si="3"/>
        <v>-18.3</v>
      </c>
      <c r="Q12" s="538">
        <v>3</v>
      </c>
      <c r="R12" s="274"/>
      <c r="S12" s="274"/>
      <c r="T12" s="274">
        <f t="shared" si="4"/>
        <v>-18.3</v>
      </c>
      <c r="U12" s="538">
        <v>3</v>
      </c>
      <c r="V12" s="274"/>
      <c r="W12" s="274"/>
      <c r="X12" s="274">
        <f t="shared" si="5"/>
        <v>-18.3</v>
      </c>
      <c r="Z12" t="s">
        <v>170</v>
      </c>
      <c r="AA12" s="274"/>
      <c r="AB12" s="274"/>
    </row>
    <row r="13" spans="1:28">
      <c r="A13" s="117">
        <v>4</v>
      </c>
      <c r="B13" s="274">
        <f>'General information '!B9</f>
        <v>22</v>
      </c>
      <c r="C13" s="274">
        <f>'General information '!C9</f>
        <v>15</v>
      </c>
      <c r="D13" s="274">
        <f t="shared" si="0"/>
        <v>0.19999999999999929</v>
      </c>
      <c r="E13" s="274">
        <f>'[9]Degree Days 2020'!E13</f>
        <v>4</v>
      </c>
      <c r="F13" s="274"/>
      <c r="G13" s="274"/>
      <c r="H13" s="274">
        <f t="shared" si="1"/>
        <v>-18.3</v>
      </c>
      <c r="I13" s="274">
        <f>'[6]Degree Days 2018'!I13</f>
        <v>4</v>
      </c>
      <c r="J13" s="274"/>
      <c r="K13" s="274"/>
      <c r="L13" s="274">
        <f t="shared" si="2"/>
        <v>-18.3</v>
      </c>
      <c r="M13" s="274">
        <f>'[9]Degree Days 2020'!M13</f>
        <v>4</v>
      </c>
      <c r="N13" s="274"/>
      <c r="O13" s="274"/>
      <c r="P13" s="274">
        <f t="shared" si="3"/>
        <v>-18.3</v>
      </c>
      <c r="Q13" s="538">
        <v>4</v>
      </c>
      <c r="R13" s="274"/>
      <c r="S13" s="274"/>
      <c r="T13" s="274">
        <f t="shared" si="4"/>
        <v>-18.3</v>
      </c>
      <c r="U13" s="538">
        <v>4</v>
      </c>
      <c r="V13" s="274"/>
      <c r="W13" s="274"/>
      <c r="X13" s="274">
        <f t="shared" si="5"/>
        <v>-18.3</v>
      </c>
      <c r="Z13" t="s">
        <v>171</v>
      </c>
      <c r="AA13" s="274"/>
      <c r="AB13" s="274"/>
    </row>
    <row r="14" spans="1:28">
      <c r="A14" s="117">
        <v>5</v>
      </c>
      <c r="B14" s="274">
        <f>'General information '!B10</f>
        <v>22</v>
      </c>
      <c r="C14" s="274">
        <f>'General information '!C10</f>
        <v>16</v>
      </c>
      <c r="D14" s="274">
        <f t="shared" si="0"/>
        <v>0.69999999999999929</v>
      </c>
      <c r="E14" s="274">
        <f>'[9]Degree Days 2020'!E14</f>
        <v>5</v>
      </c>
      <c r="F14" s="274"/>
      <c r="G14" s="274"/>
      <c r="H14" s="274">
        <f t="shared" si="1"/>
        <v>-18.3</v>
      </c>
      <c r="I14" s="274">
        <f>'[6]Degree Days 2018'!I14</f>
        <v>5</v>
      </c>
      <c r="J14" s="274"/>
      <c r="K14" s="274"/>
      <c r="L14" s="274">
        <f t="shared" si="2"/>
        <v>-18.3</v>
      </c>
      <c r="M14" s="274">
        <f>'[9]Degree Days 2020'!M14</f>
        <v>5</v>
      </c>
      <c r="N14" s="274"/>
      <c r="O14" s="274"/>
      <c r="P14" s="274">
        <f t="shared" si="3"/>
        <v>-18.3</v>
      </c>
      <c r="Q14" s="538">
        <v>5</v>
      </c>
      <c r="R14" s="274"/>
      <c r="S14" s="274"/>
      <c r="T14" s="274">
        <f t="shared" si="4"/>
        <v>-18.3</v>
      </c>
      <c r="U14" s="538">
        <v>5</v>
      </c>
      <c r="V14" s="274"/>
      <c r="W14" s="274"/>
      <c r="X14" s="274">
        <f t="shared" si="5"/>
        <v>-18.3</v>
      </c>
      <c r="Z14" t="s">
        <v>172</v>
      </c>
      <c r="AA14" s="274"/>
      <c r="AB14" s="274"/>
    </row>
    <row r="15" spans="1:28">
      <c r="A15" s="117">
        <v>6</v>
      </c>
      <c r="B15" s="274">
        <f>'General information '!B11</f>
        <v>22</v>
      </c>
      <c r="C15" s="274">
        <f>'General information '!C11</f>
        <v>15</v>
      </c>
      <c r="D15" s="274">
        <f t="shared" si="0"/>
        <v>0.19999999999999929</v>
      </c>
      <c r="E15" s="274">
        <f>'[9]Degree Days 2020'!E15</f>
        <v>6</v>
      </c>
      <c r="F15" s="274"/>
      <c r="G15" s="274"/>
      <c r="H15" s="274">
        <f t="shared" si="1"/>
        <v>-18.3</v>
      </c>
      <c r="I15" s="274">
        <f>'[6]Degree Days 2018'!I15</f>
        <v>6</v>
      </c>
      <c r="J15" s="274"/>
      <c r="K15" s="274"/>
      <c r="L15" s="274">
        <f t="shared" si="2"/>
        <v>-18.3</v>
      </c>
      <c r="M15" s="274">
        <f>'[9]Degree Days 2020'!M15</f>
        <v>6</v>
      </c>
      <c r="N15" s="274"/>
      <c r="O15" s="274"/>
      <c r="P15" s="274">
        <f t="shared" si="3"/>
        <v>-18.3</v>
      </c>
      <c r="Q15" s="538">
        <v>6</v>
      </c>
      <c r="R15" s="274"/>
      <c r="S15" s="274"/>
      <c r="T15" s="274">
        <f t="shared" si="4"/>
        <v>-18.3</v>
      </c>
      <c r="U15" s="538">
        <v>6</v>
      </c>
      <c r="V15" s="274"/>
      <c r="W15" s="274"/>
      <c r="X15" s="274">
        <f t="shared" si="5"/>
        <v>-18.3</v>
      </c>
      <c r="Z15" t="s">
        <v>173</v>
      </c>
      <c r="AA15" s="274"/>
      <c r="AB15" s="274"/>
    </row>
    <row r="16" spans="1:28">
      <c r="A16" s="117">
        <v>7</v>
      </c>
      <c r="B16" s="274">
        <f>'General information '!B12</f>
        <v>20</v>
      </c>
      <c r="C16" s="274">
        <f>'General information '!C12</f>
        <v>14</v>
      </c>
      <c r="D16" s="274">
        <f t="shared" si="0"/>
        <v>-1.3000000000000007</v>
      </c>
      <c r="E16" s="274">
        <f>'[9]Degree Days 2020'!E16</f>
        <v>7</v>
      </c>
      <c r="F16" s="274"/>
      <c r="G16" s="274"/>
      <c r="H16" s="274">
        <f t="shared" si="1"/>
        <v>-18.3</v>
      </c>
      <c r="I16" s="274">
        <f>'[6]Degree Days 2018'!I16</f>
        <v>7</v>
      </c>
      <c r="J16" s="274"/>
      <c r="K16" s="274"/>
      <c r="L16" s="274">
        <f t="shared" si="2"/>
        <v>-18.3</v>
      </c>
      <c r="M16" s="274">
        <f>'[9]Degree Days 2020'!M16</f>
        <v>7</v>
      </c>
      <c r="N16" s="274"/>
      <c r="O16" s="274"/>
      <c r="P16" s="274">
        <f t="shared" si="3"/>
        <v>-18.3</v>
      </c>
      <c r="Q16" s="538">
        <v>7</v>
      </c>
      <c r="R16" s="274"/>
      <c r="S16" s="274"/>
      <c r="T16" s="274">
        <f t="shared" si="4"/>
        <v>-18.3</v>
      </c>
      <c r="U16" s="538">
        <v>7</v>
      </c>
      <c r="V16" s="274"/>
      <c r="W16" s="274"/>
      <c r="X16" s="274">
        <f t="shared" si="5"/>
        <v>-18.3</v>
      </c>
      <c r="Z16" t="s">
        <v>176</v>
      </c>
      <c r="AA16" s="274"/>
      <c r="AB16" s="274"/>
    </row>
    <row r="17" spans="1:28">
      <c r="A17" s="117">
        <v>8</v>
      </c>
      <c r="B17" s="274">
        <f>'General information '!B13</f>
        <v>21</v>
      </c>
      <c r="C17" s="274">
        <f>'General information '!C13</f>
        <v>14</v>
      </c>
      <c r="D17" s="274">
        <f t="shared" si="0"/>
        <v>-0.80000000000000071</v>
      </c>
      <c r="E17" s="274">
        <f>'[9]Degree Days 2020'!E17</f>
        <v>8</v>
      </c>
      <c r="F17" s="274"/>
      <c r="G17" s="274"/>
      <c r="H17" s="274">
        <f t="shared" si="1"/>
        <v>-18.3</v>
      </c>
      <c r="I17" s="274">
        <f>'[6]Degree Days 2018'!I17</f>
        <v>8</v>
      </c>
      <c r="J17" s="274"/>
      <c r="K17" s="274"/>
      <c r="L17" s="274">
        <f t="shared" si="2"/>
        <v>-18.3</v>
      </c>
      <c r="M17" s="274">
        <f>'[9]Degree Days 2020'!M17</f>
        <v>8</v>
      </c>
      <c r="N17" s="274"/>
      <c r="O17" s="274"/>
      <c r="P17" s="274">
        <f t="shared" si="3"/>
        <v>-18.3</v>
      </c>
      <c r="Q17" s="538">
        <v>8</v>
      </c>
      <c r="R17" s="274"/>
      <c r="S17" s="274"/>
      <c r="T17" s="274">
        <f t="shared" si="4"/>
        <v>-18.3</v>
      </c>
      <c r="U17" s="538">
        <v>8</v>
      </c>
      <c r="V17" s="274"/>
      <c r="W17" s="274"/>
      <c r="X17" s="274">
        <f t="shared" si="5"/>
        <v>-18.3</v>
      </c>
      <c r="Z17" t="s">
        <v>177</v>
      </c>
      <c r="AA17" s="274"/>
      <c r="AB17" s="274"/>
    </row>
    <row r="18" spans="1:28">
      <c r="A18" s="117">
        <v>9</v>
      </c>
      <c r="B18" s="274">
        <f>'General information '!B14</f>
        <v>22</v>
      </c>
      <c r="C18" s="274">
        <f>'General information '!C14</f>
        <v>15</v>
      </c>
      <c r="D18" s="274">
        <f t="shared" si="0"/>
        <v>0.19999999999999929</v>
      </c>
      <c r="E18" s="274">
        <f>'[9]Degree Days 2020'!E18</f>
        <v>9</v>
      </c>
      <c r="F18" s="274"/>
      <c r="G18" s="274"/>
      <c r="H18" s="274">
        <f t="shared" si="1"/>
        <v>-18.3</v>
      </c>
      <c r="I18" s="274">
        <f>'[6]Degree Days 2018'!I18</f>
        <v>9</v>
      </c>
      <c r="J18" s="274"/>
      <c r="K18" s="274"/>
      <c r="L18" s="274">
        <f t="shared" si="2"/>
        <v>-18.3</v>
      </c>
      <c r="M18" s="274">
        <f>'[9]Degree Days 2020'!M18</f>
        <v>9</v>
      </c>
      <c r="N18" s="274"/>
      <c r="O18" s="274"/>
      <c r="P18" s="274">
        <f t="shared" si="3"/>
        <v>-18.3</v>
      </c>
      <c r="Q18" s="538">
        <v>9</v>
      </c>
      <c r="R18" s="274"/>
      <c r="S18" s="274"/>
      <c r="T18" s="274">
        <f t="shared" si="4"/>
        <v>-18.3</v>
      </c>
      <c r="U18" s="538">
        <v>9</v>
      </c>
      <c r="V18" s="274"/>
      <c r="W18" s="274"/>
      <c r="X18" s="274">
        <f t="shared" si="5"/>
        <v>-18.3</v>
      </c>
      <c r="Z18" t="s">
        <v>178</v>
      </c>
      <c r="AA18" s="274"/>
      <c r="AB18" s="274"/>
    </row>
    <row r="19" spans="1:28">
      <c r="A19" s="117">
        <v>10</v>
      </c>
      <c r="B19" s="274">
        <f>'General information '!B15</f>
        <v>22</v>
      </c>
      <c r="C19" s="274">
        <f>'General information '!C15</f>
        <v>15</v>
      </c>
      <c r="D19" s="274">
        <f t="shared" si="0"/>
        <v>0.19999999999999929</v>
      </c>
      <c r="E19" s="274">
        <f>'[9]Degree Days 2020'!E19</f>
        <v>10</v>
      </c>
      <c r="F19" s="274"/>
      <c r="G19" s="274"/>
      <c r="H19" s="274">
        <f t="shared" si="1"/>
        <v>-18.3</v>
      </c>
      <c r="I19" s="274">
        <f>'[6]Degree Days 2018'!I19</f>
        <v>10</v>
      </c>
      <c r="J19" s="274"/>
      <c r="K19" s="274"/>
      <c r="L19" s="274">
        <f t="shared" si="2"/>
        <v>-18.3</v>
      </c>
      <c r="M19" s="274">
        <f>'[9]Degree Days 2020'!M19</f>
        <v>10</v>
      </c>
      <c r="N19" s="274"/>
      <c r="O19" s="274"/>
      <c r="P19" s="274">
        <f t="shared" si="3"/>
        <v>-18.3</v>
      </c>
      <c r="Q19" s="538">
        <v>10</v>
      </c>
      <c r="R19" s="274"/>
      <c r="S19" s="274"/>
      <c r="T19" s="274">
        <f t="shared" si="4"/>
        <v>-18.3</v>
      </c>
      <c r="U19" s="538">
        <v>10</v>
      </c>
      <c r="V19" s="274"/>
      <c r="W19" s="274"/>
      <c r="X19" s="274">
        <f t="shared" si="5"/>
        <v>-18.3</v>
      </c>
      <c r="Z19" t="s">
        <v>179</v>
      </c>
      <c r="AA19" s="274"/>
      <c r="AB19" s="274"/>
    </row>
    <row r="20" spans="1:28">
      <c r="A20" s="117">
        <v>11</v>
      </c>
      <c r="B20" s="274">
        <f>'General information '!B16</f>
        <v>22</v>
      </c>
      <c r="C20" s="274">
        <f>'General information '!C16</f>
        <v>16</v>
      </c>
      <c r="D20" s="274">
        <f t="shared" si="0"/>
        <v>0.69999999999999929</v>
      </c>
      <c r="E20" s="274">
        <f>'[9]Degree Days 2020'!E20</f>
        <v>11</v>
      </c>
      <c r="F20" s="274"/>
      <c r="G20" s="274"/>
      <c r="H20" s="274">
        <f t="shared" si="1"/>
        <v>-18.3</v>
      </c>
      <c r="I20" s="274">
        <f>'[6]Degree Days 2018'!I20</f>
        <v>11</v>
      </c>
      <c r="J20" s="274"/>
      <c r="K20" s="274"/>
      <c r="L20" s="274">
        <f t="shared" si="2"/>
        <v>-18.3</v>
      </c>
      <c r="M20" s="274">
        <f>'[9]Degree Days 2020'!M20</f>
        <v>11</v>
      </c>
      <c r="N20" s="274"/>
      <c r="O20" s="274"/>
      <c r="P20" s="274">
        <f t="shared" si="3"/>
        <v>-18.3</v>
      </c>
      <c r="Q20" s="538">
        <v>11</v>
      </c>
      <c r="R20" s="274"/>
      <c r="S20" s="274"/>
      <c r="T20" s="274">
        <f t="shared" si="4"/>
        <v>-18.3</v>
      </c>
      <c r="U20" s="538">
        <v>11</v>
      </c>
      <c r="V20" s="274"/>
      <c r="W20" s="274"/>
      <c r="X20" s="274">
        <f t="shared" si="5"/>
        <v>-18.3</v>
      </c>
      <c r="Z20" t="s">
        <v>180</v>
      </c>
      <c r="AA20" s="274"/>
      <c r="AB20" s="274"/>
    </row>
    <row r="21" spans="1:28">
      <c r="A21" s="117">
        <v>12</v>
      </c>
      <c r="B21" s="274">
        <f>'General information '!B17</f>
        <v>24</v>
      </c>
      <c r="C21" s="274">
        <f>'General information '!C17</f>
        <v>13</v>
      </c>
      <c r="D21" s="274">
        <f t="shared" si="0"/>
        <v>0.19999999999999929</v>
      </c>
      <c r="E21" s="274">
        <f>'[9]Degree Days 2020'!E21</f>
        <v>12</v>
      </c>
      <c r="F21" s="274"/>
      <c r="G21" s="274"/>
      <c r="H21" s="274">
        <f t="shared" si="1"/>
        <v>-18.3</v>
      </c>
      <c r="I21" s="274">
        <f>'[6]Degree Days 2018'!I21</f>
        <v>12</v>
      </c>
      <c r="J21" s="274"/>
      <c r="K21" s="274"/>
      <c r="L21" s="274">
        <f t="shared" si="2"/>
        <v>-18.3</v>
      </c>
      <c r="M21" s="274">
        <f>'[9]Degree Days 2020'!M21</f>
        <v>12</v>
      </c>
      <c r="N21" s="274"/>
      <c r="O21" s="274"/>
      <c r="P21" s="274">
        <f t="shared" si="3"/>
        <v>-18.3</v>
      </c>
      <c r="Q21" s="538">
        <v>12</v>
      </c>
      <c r="R21" s="274"/>
      <c r="S21" s="274"/>
      <c r="T21" s="274">
        <f t="shared" si="4"/>
        <v>-18.3</v>
      </c>
      <c r="U21" s="538">
        <v>12</v>
      </c>
      <c r="V21" s="274"/>
      <c r="W21" s="274"/>
      <c r="X21" s="274">
        <f t="shared" si="5"/>
        <v>-18.3</v>
      </c>
      <c r="Z21" t="s">
        <v>181</v>
      </c>
      <c r="AA21" s="134">
        <f t="shared" ref="AA21" si="6">SUM(B54)</f>
        <v>0</v>
      </c>
      <c r="AB21" s="134">
        <f t="shared" ref="AB21" si="7">SUM(C54)</f>
        <v>0</v>
      </c>
    </row>
    <row r="22" spans="1:28">
      <c r="A22" s="117">
        <v>13</v>
      </c>
      <c r="B22" s="274">
        <f>'General information '!B18</f>
        <v>18</v>
      </c>
      <c r="C22" s="274">
        <f>'General information '!C18</f>
        <v>12</v>
      </c>
      <c r="D22" s="274">
        <f t="shared" si="0"/>
        <v>-3.3000000000000007</v>
      </c>
      <c r="E22" s="274">
        <f>'[9]Degree Days 2020'!E22</f>
        <v>13</v>
      </c>
      <c r="F22" s="274"/>
      <c r="G22" s="274"/>
      <c r="H22" s="274">
        <f t="shared" si="1"/>
        <v>-18.3</v>
      </c>
      <c r="I22" s="274">
        <f>'[6]Degree Days 2018'!I22</f>
        <v>13</v>
      </c>
      <c r="J22" s="274"/>
      <c r="K22" s="274"/>
      <c r="L22" s="274">
        <f t="shared" si="2"/>
        <v>-18.3</v>
      </c>
      <c r="M22" s="274">
        <f>'[9]Degree Days 2020'!M22</f>
        <v>13</v>
      </c>
      <c r="N22" s="274"/>
      <c r="O22" s="274"/>
      <c r="P22" s="274">
        <f t="shared" si="3"/>
        <v>-18.3</v>
      </c>
      <c r="Q22" s="538">
        <v>13</v>
      </c>
      <c r="R22" s="274"/>
      <c r="S22" s="274"/>
      <c r="T22" s="274">
        <f t="shared" si="4"/>
        <v>-18.3</v>
      </c>
      <c r="U22" s="538">
        <v>13</v>
      </c>
      <c r="V22" s="274"/>
      <c r="W22" s="274"/>
      <c r="X22" s="274">
        <f t="shared" si="5"/>
        <v>-18.3</v>
      </c>
    </row>
    <row r="23" spans="1:28">
      <c r="A23" s="117">
        <v>14</v>
      </c>
      <c r="B23" s="274">
        <f>'General information '!B19</f>
        <v>17</v>
      </c>
      <c r="C23" s="274">
        <f>'General information '!C19</f>
        <v>12</v>
      </c>
      <c r="D23" s="274">
        <f t="shared" si="0"/>
        <v>-3.8000000000000007</v>
      </c>
      <c r="E23" s="274">
        <f>'[9]Degree Days 2020'!E23</f>
        <v>14</v>
      </c>
      <c r="F23" s="274"/>
      <c r="G23" s="274"/>
      <c r="H23" s="274">
        <f t="shared" si="1"/>
        <v>-18.3</v>
      </c>
      <c r="I23" s="274">
        <f>'[6]Degree Days 2018'!I23</f>
        <v>14</v>
      </c>
      <c r="J23" s="274"/>
      <c r="K23" s="274"/>
      <c r="L23" s="274">
        <f t="shared" si="2"/>
        <v>-18.3</v>
      </c>
      <c r="M23" s="274">
        <f>'[9]Degree Days 2020'!M23</f>
        <v>14</v>
      </c>
      <c r="N23" s="274"/>
      <c r="O23" s="274"/>
      <c r="P23" s="274">
        <f t="shared" si="3"/>
        <v>-18.3</v>
      </c>
      <c r="Q23" s="538">
        <v>14</v>
      </c>
      <c r="R23" s="274"/>
      <c r="S23" s="274"/>
      <c r="T23" s="274">
        <f t="shared" si="4"/>
        <v>-18.3</v>
      </c>
      <c r="U23" s="538">
        <v>14</v>
      </c>
      <c r="V23" s="274"/>
      <c r="W23" s="274"/>
      <c r="X23" s="274">
        <f t="shared" si="5"/>
        <v>-18.3</v>
      </c>
      <c r="AA23" s="134">
        <f>SUM(AA10:AA22)</f>
        <v>-268.90000000000009</v>
      </c>
      <c r="AB23" s="134">
        <f>SUM(AB10:AB22)</f>
        <v>2.5999999999999943</v>
      </c>
    </row>
    <row r="24" spans="1:28">
      <c r="A24" s="117">
        <v>15</v>
      </c>
      <c r="B24" s="274">
        <f>'General information '!B20</f>
        <v>19</v>
      </c>
      <c r="C24" s="274">
        <f>'General information '!C20</f>
        <v>13</v>
      </c>
      <c r="D24" s="274">
        <f t="shared" si="0"/>
        <v>-2.3000000000000007</v>
      </c>
      <c r="E24" s="274">
        <f>'[9]Degree Days 2020'!E24</f>
        <v>15</v>
      </c>
      <c r="F24" s="274"/>
      <c r="G24" s="274"/>
      <c r="H24" s="274">
        <f t="shared" si="1"/>
        <v>-18.3</v>
      </c>
      <c r="I24" s="274">
        <f>'[6]Degree Days 2018'!I24</f>
        <v>15</v>
      </c>
      <c r="J24" s="274"/>
      <c r="K24" s="274"/>
      <c r="L24" s="274">
        <f t="shared" si="2"/>
        <v>-18.3</v>
      </c>
      <c r="M24" s="274">
        <f>'[9]Degree Days 2020'!M24</f>
        <v>15</v>
      </c>
      <c r="N24" s="274"/>
      <c r="O24" s="274"/>
      <c r="P24" s="274">
        <f t="shared" si="3"/>
        <v>-18.3</v>
      </c>
      <c r="Q24" s="538">
        <v>15</v>
      </c>
      <c r="R24" s="274"/>
      <c r="S24" s="274"/>
      <c r="T24" s="274">
        <f t="shared" si="4"/>
        <v>-18.3</v>
      </c>
      <c r="U24" s="538">
        <v>15</v>
      </c>
      <c r="V24" s="274"/>
      <c r="W24" s="274"/>
      <c r="X24" s="274">
        <f t="shared" si="5"/>
        <v>-18.3</v>
      </c>
    </row>
    <row r="25" spans="1:28">
      <c r="A25" s="117">
        <v>16</v>
      </c>
      <c r="B25" s="274">
        <f>'General information '!B21</f>
        <v>15</v>
      </c>
      <c r="C25" s="274">
        <f>'General information '!C21</f>
        <v>9</v>
      </c>
      <c r="D25" s="274">
        <f t="shared" si="0"/>
        <v>-6.3000000000000007</v>
      </c>
      <c r="E25" s="274">
        <f>'[9]Degree Days 2020'!E25</f>
        <v>16</v>
      </c>
      <c r="F25" s="274"/>
      <c r="G25" s="274"/>
      <c r="H25" s="274">
        <f t="shared" si="1"/>
        <v>-18.3</v>
      </c>
      <c r="I25" s="274">
        <f>'[6]Degree Days 2018'!I25</f>
        <v>16</v>
      </c>
      <c r="J25" s="274"/>
      <c r="K25" s="274"/>
      <c r="L25" s="274">
        <f t="shared" si="2"/>
        <v>-18.3</v>
      </c>
      <c r="M25" s="274">
        <f>'[9]Degree Days 2020'!M25</f>
        <v>16</v>
      </c>
      <c r="N25" s="274"/>
      <c r="O25" s="274"/>
      <c r="P25" s="274">
        <f t="shared" si="3"/>
        <v>-18.3</v>
      </c>
      <c r="Q25" s="538">
        <v>16</v>
      </c>
      <c r="R25" s="274"/>
      <c r="S25" s="274"/>
      <c r="T25" s="274">
        <f t="shared" si="4"/>
        <v>-18.3</v>
      </c>
      <c r="U25" s="538">
        <v>16</v>
      </c>
      <c r="V25" s="274"/>
      <c r="W25" s="274"/>
      <c r="X25" s="274">
        <f t="shared" si="5"/>
        <v>-18.3</v>
      </c>
    </row>
    <row r="26" spans="1:28">
      <c r="A26" s="117">
        <v>17</v>
      </c>
      <c r="B26" s="274">
        <f>'General information '!B22</f>
        <v>15</v>
      </c>
      <c r="C26" s="274">
        <f>'General information '!C22</f>
        <v>12</v>
      </c>
      <c r="D26" s="274">
        <f t="shared" si="0"/>
        <v>-4.8000000000000007</v>
      </c>
      <c r="E26" s="274">
        <f>'[9]Degree Days 2020'!E26</f>
        <v>17</v>
      </c>
      <c r="F26" s="274"/>
      <c r="G26" s="274"/>
      <c r="H26" s="274">
        <f t="shared" si="1"/>
        <v>-18.3</v>
      </c>
      <c r="I26" s="274">
        <f>'[6]Degree Days 2018'!I26</f>
        <v>17</v>
      </c>
      <c r="J26" s="274"/>
      <c r="K26" s="274"/>
      <c r="L26" s="274">
        <f t="shared" si="2"/>
        <v>-18.3</v>
      </c>
      <c r="M26" s="274">
        <f>'[9]Degree Days 2020'!M26</f>
        <v>17</v>
      </c>
      <c r="N26" s="274"/>
      <c r="O26" s="274"/>
      <c r="P26" s="274">
        <f t="shared" si="3"/>
        <v>-18.3</v>
      </c>
      <c r="Q26" s="538">
        <v>17</v>
      </c>
      <c r="R26" s="274"/>
      <c r="S26" s="274"/>
      <c r="T26" s="274">
        <f t="shared" si="4"/>
        <v>-18.3</v>
      </c>
      <c r="U26" s="538">
        <v>17</v>
      </c>
      <c r="V26" s="274"/>
      <c r="W26" s="274"/>
      <c r="X26" s="274">
        <f t="shared" si="5"/>
        <v>-18.3</v>
      </c>
    </row>
    <row r="27" spans="1:28">
      <c r="A27" s="117">
        <v>18</v>
      </c>
      <c r="B27" s="274">
        <f>'General information '!B23</f>
        <v>14</v>
      </c>
      <c r="C27" s="274">
        <f>'General information '!C23</f>
        <v>8</v>
      </c>
      <c r="D27" s="274">
        <f t="shared" si="0"/>
        <v>-7.3000000000000007</v>
      </c>
      <c r="E27" s="274">
        <f>'[9]Degree Days 2020'!E27</f>
        <v>18</v>
      </c>
      <c r="F27" s="274"/>
      <c r="G27" s="274"/>
      <c r="H27" s="274">
        <f t="shared" si="1"/>
        <v>-18.3</v>
      </c>
      <c r="I27" s="274">
        <f>'[6]Degree Days 2018'!I27</f>
        <v>18</v>
      </c>
      <c r="J27" s="274"/>
      <c r="K27" s="274"/>
      <c r="L27" s="274">
        <f t="shared" si="2"/>
        <v>-18.3</v>
      </c>
      <c r="M27" s="274">
        <f>'[9]Degree Days 2020'!M27</f>
        <v>18</v>
      </c>
      <c r="N27" s="274"/>
      <c r="O27" s="274"/>
      <c r="P27" s="274">
        <f t="shared" si="3"/>
        <v>-18.3</v>
      </c>
      <c r="Q27" s="538">
        <v>18</v>
      </c>
      <c r="R27" s="274"/>
      <c r="S27" s="274"/>
      <c r="T27" s="274">
        <f t="shared" si="4"/>
        <v>-18.3</v>
      </c>
      <c r="U27" s="538">
        <v>18</v>
      </c>
      <c r="V27" s="274"/>
      <c r="W27" s="274"/>
      <c r="X27" s="274">
        <f t="shared" si="5"/>
        <v>-18.3</v>
      </c>
    </row>
    <row r="28" spans="1:28">
      <c r="A28" s="117">
        <v>19</v>
      </c>
      <c r="B28" s="274">
        <f>'General information '!B24</f>
        <v>0</v>
      </c>
      <c r="C28" s="274">
        <f>'General information '!C24</f>
        <v>0</v>
      </c>
      <c r="D28" s="274">
        <f t="shared" si="0"/>
        <v>-18.3</v>
      </c>
      <c r="E28" s="274">
        <f>'[9]Degree Days 2020'!E28</f>
        <v>19</v>
      </c>
      <c r="F28" s="274"/>
      <c r="G28" s="274"/>
      <c r="H28" s="274">
        <f t="shared" si="1"/>
        <v>-18.3</v>
      </c>
      <c r="I28" s="274">
        <f>'[6]Degree Days 2018'!I28</f>
        <v>19</v>
      </c>
      <c r="J28" s="274"/>
      <c r="K28" s="274"/>
      <c r="L28" s="274">
        <f t="shared" si="2"/>
        <v>-18.3</v>
      </c>
      <c r="M28" s="274">
        <f>'[9]Degree Days 2020'!M28</f>
        <v>19</v>
      </c>
      <c r="N28" s="274"/>
      <c r="O28" s="274"/>
      <c r="P28" s="274">
        <f t="shared" si="3"/>
        <v>-18.3</v>
      </c>
      <c r="Q28" s="538">
        <v>19</v>
      </c>
      <c r="R28" s="274"/>
      <c r="S28" s="274"/>
      <c r="T28" s="274">
        <f t="shared" si="4"/>
        <v>-18.3</v>
      </c>
      <c r="U28" s="538">
        <v>19</v>
      </c>
      <c r="V28" s="274"/>
      <c r="W28" s="274"/>
      <c r="X28" s="274">
        <f t="shared" si="5"/>
        <v>-18.3</v>
      </c>
    </row>
    <row r="29" spans="1:28">
      <c r="A29" s="117">
        <v>20</v>
      </c>
      <c r="B29" s="274">
        <f>'General information '!B25</f>
        <v>0</v>
      </c>
      <c r="C29" s="274">
        <f>'General information '!C25</f>
        <v>0</v>
      </c>
      <c r="D29" s="274">
        <f t="shared" si="0"/>
        <v>-18.3</v>
      </c>
      <c r="E29" s="274">
        <f>'[9]Degree Days 2020'!E29</f>
        <v>20</v>
      </c>
      <c r="F29" s="274"/>
      <c r="G29" s="274"/>
      <c r="H29" s="274">
        <f t="shared" si="1"/>
        <v>-18.3</v>
      </c>
      <c r="I29" s="274">
        <f>'[6]Degree Days 2018'!I29</f>
        <v>20</v>
      </c>
      <c r="J29" s="274"/>
      <c r="K29" s="274"/>
      <c r="L29" s="274">
        <f t="shared" si="2"/>
        <v>-18.3</v>
      </c>
      <c r="M29" s="274">
        <f>'[9]Degree Days 2020'!M29</f>
        <v>20</v>
      </c>
      <c r="N29" s="274"/>
      <c r="O29" s="274"/>
      <c r="P29" s="274">
        <f t="shared" si="3"/>
        <v>-18.3</v>
      </c>
      <c r="Q29" s="538">
        <v>20</v>
      </c>
      <c r="R29" s="274"/>
      <c r="S29" s="274"/>
      <c r="T29" s="274">
        <f t="shared" si="4"/>
        <v>-18.3</v>
      </c>
      <c r="U29" s="538">
        <v>20</v>
      </c>
      <c r="V29" s="274"/>
      <c r="W29" s="274"/>
      <c r="X29" s="274">
        <f t="shared" si="5"/>
        <v>-18.3</v>
      </c>
    </row>
    <row r="30" spans="1:28">
      <c r="A30" s="117">
        <v>21</v>
      </c>
      <c r="B30" s="274">
        <f>'General information '!B26</f>
        <v>0</v>
      </c>
      <c r="C30" s="274">
        <f>'General information '!C26</f>
        <v>0</v>
      </c>
      <c r="D30" s="274">
        <f t="shared" si="0"/>
        <v>-18.3</v>
      </c>
      <c r="E30" s="274">
        <f>'[9]Degree Days 2020'!E30</f>
        <v>21</v>
      </c>
      <c r="F30" s="274"/>
      <c r="G30" s="274"/>
      <c r="H30" s="274">
        <f t="shared" si="1"/>
        <v>-18.3</v>
      </c>
      <c r="I30" s="274">
        <f>'[6]Degree Days 2018'!I30</f>
        <v>21</v>
      </c>
      <c r="J30" s="274"/>
      <c r="K30" s="274"/>
      <c r="L30" s="274">
        <f t="shared" si="2"/>
        <v>-18.3</v>
      </c>
      <c r="M30" s="274">
        <f>'[9]Degree Days 2020'!M30</f>
        <v>21</v>
      </c>
      <c r="N30" s="274"/>
      <c r="O30" s="274"/>
      <c r="P30" s="274">
        <f t="shared" si="3"/>
        <v>-18.3</v>
      </c>
      <c r="Q30" s="538">
        <v>21</v>
      </c>
      <c r="R30" s="274"/>
      <c r="S30" s="274"/>
      <c r="T30" s="274">
        <f t="shared" si="4"/>
        <v>-18.3</v>
      </c>
      <c r="U30" s="538">
        <v>21</v>
      </c>
      <c r="V30" s="274"/>
      <c r="W30" s="274"/>
      <c r="X30" s="274">
        <f t="shared" si="5"/>
        <v>-18.3</v>
      </c>
    </row>
    <row r="31" spans="1:28">
      <c r="A31" s="117">
        <v>22</v>
      </c>
      <c r="B31" s="274">
        <f>'General information '!B27</f>
        <v>0</v>
      </c>
      <c r="C31" s="274">
        <f>'General information '!C27</f>
        <v>0</v>
      </c>
      <c r="D31" s="274">
        <f t="shared" si="0"/>
        <v>-18.3</v>
      </c>
      <c r="E31" s="274">
        <f>'[9]Degree Days 2020'!E31</f>
        <v>22</v>
      </c>
      <c r="F31" s="274"/>
      <c r="G31" s="274"/>
      <c r="H31" s="274">
        <f t="shared" si="1"/>
        <v>-18.3</v>
      </c>
      <c r="I31" s="274">
        <f>'[6]Degree Days 2018'!I31</f>
        <v>22</v>
      </c>
      <c r="J31" s="274"/>
      <c r="K31" s="274"/>
      <c r="L31" s="274">
        <f t="shared" si="2"/>
        <v>-18.3</v>
      </c>
      <c r="M31" s="274">
        <f>'[9]Degree Days 2020'!M31</f>
        <v>22</v>
      </c>
      <c r="N31" s="274"/>
      <c r="O31" s="274"/>
      <c r="P31" s="274">
        <f t="shared" si="3"/>
        <v>-18.3</v>
      </c>
      <c r="Q31" s="538">
        <v>22</v>
      </c>
      <c r="R31" s="274"/>
      <c r="S31" s="274"/>
      <c r="T31" s="274">
        <f t="shared" si="4"/>
        <v>-18.3</v>
      </c>
      <c r="U31" s="538">
        <v>22</v>
      </c>
      <c r="V31" s="274"/>
      <c r="W31" s="274"/>
      <c r="X31" s="274">
        <f t="shared" si="5"/>
        <v>-18.3</v>
      </c>
    </row>
    <row r="32" spans="1:28">
      <c r="A32" s="117">
        <v>23</v>
      </c>
      <c r="B32" s="274">
        <f>'General information '!B28</f>
        <v>0</v>
      </c>
      <c r="C32" s="274">
        <f>'General information '!C28</f>
        <v>0</v>
      </c>
      <c r="D32" s="274">
        <f t="shared" si="0"/>
        <v>-18.3</v>
      </c>
      <c r="E32" s="274">
        <f>'[9]Degree Days 2020'!E32</f>
        <v>23</v>
      </c>
      <c r="F32" s="274"/>
      <c r="G32" s="274"/>
      <c r="H32" s="274">
        <f t="shared" si="1"/>
        <v>-18.3</v>
      </c>
      <c r="I32" s="274">
        <f>'[6]Degree Days 2018'!I32</f>
        <v>23</v>
      </c>
      <c r="J32" s="274"/>
      <c r="K32" s="274"/>
      <c r="L32" s="274">
        <f t="shared" si="2"/>
        <v>-18.3</v>
      </c>
      <c r="M32" s="274">
        <f>'[9]Degree Days 2020'!M32</f>
        <v>23</v>
      </c>
      <c r="N32" s="274"/>
      <c r="O32" s="274"/>
      <c r="P32" s="274">
        <f t="shared" si="3"/>
        <v>-18.3</v>
      </c>
      <c r="Q32" s="538">
        <v>23</v>
      </c>
      <c r="R32" s="274"/>
      <c r="S32" s="274"/>
      <c r="T32" s="274">
        <f t="shared" si="4"/>
        <v>-18.3</v>
      </c>
      <c r="U32" s="538">
        <v>23</v>
      </c>
      <c r="V32" s="274"/>
      <c r="W32" s="274"/>
      <c r="X32" s="274">
        <f t="shared" si="5"/>
        <v>-18.3</v>
      </c>
    </row>
    <row r="33" spans="1:24">
      <c r="A33" s="117">
        <v>24</v>
      </c>
      <c r="B33" s="274">
        <f>'General information '!B29</f>
        <v>0</v>
      </c>
      <c r="C33" s="274">
        <f>'General information '!C29</f>
        <v>0</v>
      </c>
      <c r="D33" s="274">
        <f t="shared" si="0"/>
        <v>-18.3</v>
      </c>
      <c r="E33" s="274">
        <f>'[9]Degree Days 2020'!E33</f>
        <v>24</v>
      </c>
      <c r="F33" s="274"/>
      <c r="G33" s="274"/>
      <c r="H33" s="274">
        <f t="shared" si="1"/>
        <v>-18.3</v>
      </c>
      <c r="I33" s="274">
        <f>'[6]Degree Days 2018'!I33</f>
        <v>24</v>
      </c>
      <c r="J33" s="274"/>
      <c r="K33" s="274"/>
      <c r="L33" s="274">
        <f t="shared" si="2"/>
        <v>-18.3</v>
      </c>
      <c r="M33" s="274">
        <f>'[9]Degree Days 2020'!M33</f>
        <v>24</v>
      </c>
      <c r="N33" s="274"/>
      <c r="O33" s="274"/>
      <c r="P33" s="274">
        <f t="shared" si="3"/>
        <v>-18.3</v>
      </c>
      <c r="Q33" s="538">
        <v>24</v>
      </c>
      <c r="R33" s="274"/>
      <c r="S33" s="274"/>
      <c r="T33" s="274">
        <f t="shared" si="4"/>
        <v>-18.3</v>
      </c>
      <c r="U33" s="538">
        <v>24</v>
      </c>
      <c r="V33" s="274"/>
      <c r="W33" s="274"/>
      <c r="X33" s="274">
        <f t="shared" si="5"/>
        <v>-18.3</v>
      </c>
    </row>
    <row r="34" spans="1:24">
      <c r="A34" s="117">
        <v>25</v>
      </c>
      <c r="B34" s="274">
        <f>'General information '!B30</f>
        <v>0</v>
      </c>
      <c r="C34" s="274">
        <f>'General information '!C30</f>
        <v>0</v>
      </c>
      <c r="D34" s="274">
        <f t="shared" si="0"/>
        <v>-18.3</v>
      </c>
      <c r="E34" s="274">
        <f>'[9]Degree Days 2020'!E34</f>
        <v>25</v>
      </c>
      <c r="F34" s="274"/>
      <c r="G34" s="274"/>
      <c r="H34" s="274">
        <f t="shared" si="1"/>
        <v>-18.3</v>
      </c>
      <c r="I34" s="274">
        <f>'[6]Degree Days 2018'!I34</f>
        <v>25</v>
      </c>
      <c r="J34" s="274"/>
      <c r="K34" s="274"/>
      <c r="L34" s="274">
        <f t="shared" si="2"/>
        <v>-18.3</v>
      </c>
      <c r="M34" s="274">
        <f>'[9]Degree Days 2020'!M34</f>
        <v>25</v>
      </c>
      <c r="N34" s="274"/>
      <c r="O34" s="274"/>
      <c r="P34" s="274">
        <f t="shared" si="3"/>
        <v>-18.3</v>
      </c>
      <c r="Q34" s="538">
        <v>25</v>
      </c>
      <c r="R34" s="274"/>
      <c r="S34" s="274"/>
      <c r="T34" s="274">
        <f t="shared" si="4"/>
        <v>-18.3</v>
      </c>
      <c r="U34" s="538">
        <v>25</v>
      </c>
      <c r="V34" s="274"/>
      <c r="W34" s="274"/>
      <c r="X34" s="274">
        <f t="shared" si="5"/>
        <v>-18.3</v>
      </c>
    </row>
    <row r="35" spans="1:24">
      <c r="A35" s="117">
        <v>26</v>
      </c>
      <c r="B35" s="274">
        <f>'General information '!B31</f>
        <v>0</v>
      </c>
      <c r="C35" s="274">
        <f>'General information '!C31</f>
        <v>0</v>
      </c>
      <c r="D35" s="274">
        <f t="shared" si="0"/>
        <v>-18.3</v>
      </c>
      <c r="E35" s="274">
        <f>'[9]Degree Days 2020'!E35</f>
        <v>26</v>
      </c>
      <c r="F35" s="274"/>
      <c r="G35" s="274"/>
      <c r="H35" s="274">
        <f t="shared" si="1"/>
        <v>-18.3</v>
      </c>
      <c r="I35" s="274">
        <f>'[6]Degree Days 2018'!I35</f>
        <v>26</v>
      </c>
      <c r="J35" s="274"/>
      <c r="K35" s="274"/>
      <c r="L35" s="274">
        <f t="shared" si="2"/>
        <v>-18.3</v>
      </c>
      <c r="M35" s="274">
        <f>'[9]Degree Days 2020'!M35</f>
        <v>26</v>
      </c>
      <c r="N35" s="274"/>
      <c r="O35" s="274"/>
      <c r="P35" s="274">
        <f t="shared" si="3"/>
        <v>-18.3</v>
      </c>
      <c r="Q35" s="538">
        <v>26</v>
      </c>
      <c r="R35" s="274"/>
      <c r="S35" s="274"/>
      <c r="T35" s="274">
        <f t="shared" si="4"/>
        <v>-18.3</v>
      </c>
      <c r="U35" s="538">
        <v>26</v>
      </c>
      <c r="V35" s="274"/>
      <c r="W35" s="274"/>
      <c r="X35" s="274">
        <f t="shared" si="5"/>
        <v>-18.3</v>
      </c>
    </row>
    <row r="36" spans="1:24">
      <c r="A36" s="117">
        <v>27</v>
      </c>
      <c r="B36" s="274">
        <f>'General information '!B32</f>
        <v>0</v>
      </c>
      <c r="C36" s="274">
        <f>'General information '!C32</f>
        <v>0</v>
      </c>
      <c r="D36" s="274">
        <f t="shared" si="0"/>
        <v>-18.3</v>
      </c>
      <c r="E36" s="274">
        <f>'[9]Degree Days 2020'!E36</f>
        <v>27</v>
      </c>
      <c r="F36" s="274"/>
      <c r="G36" s="274"/>
      <c r="H36" s="274">
        <f t="shared" si="1"/>
        <v>-18.3</v>
      </c>
      <c r="I36" s="274">
        <f>'[6]Degree Days 2018'!I36</f>
        <v>27</v>
      </c>
      <c r="J36" s="274"/>
      <c r="K36" s="274"/>
      <c r="L36" s="274">
        <f t="shared" si="2"/>
        <v>-18.3</v>
      </c>
      <c r="M36" s="274">
        <f>'[9]Degree Days 2020'!M36</f>
        <v>27</v>
      </c>
      <c r="N36" s="274"/>
      <c r="O36" s="274"/>
      <c r="P36" s="274">
        <f t="shared" si="3"/>
        <v>-18.3</v>
      </c>
      <c r="Q36" s="538">
        <v>27</v>
      </c>
      <c r="R36" s="274"/>
      <c r="S36" s="274"/>
      <c r="T36" s="274">
        <f t="shared" si="4"/>
        <v>-18.3</v>
      </c>
      <c r="U36" s="538">
        <v>27</v>
      </c>
      <c r="V36" s="274"/>
      <c r="W36" s="274"/>
      <c r="X36" s="274">
        <f t="shared" si="5"/>
        <v>-18.3</v>
      </c>
    </row>
    <row r="37" spans="1:24">
      <c r="A37" s="117">
        <v>28</v>
      </c>
      <c r="B37" s="274">
        <f>'General information '!B33</f>
        <v>0</v>
      </c>
      <c r="C37" s="274">
        <f>'General information '!C33</f>
        <v>0</v>
      </c>
      <c r="D37" s="274">
        <f t="shared" si="0"/>
        <v>-18.3</v>
      </c>
      <c r="E37" s="274">
        <f>'[9]Degree Days 2020'!E37</f>
        <v>28</v>
      </c>
      <c r="F37" s="274"/>
      <c r="G37" s="274"/>
      <c r="H37" s="274">
        <f t="shared" si="1"/>
        <v>-18.3</v>
      </c>
      <c r="I37" s="274">
        <f>'[6]Degree Days 2018'!I37</f>
        <v>28</v>
      </c>
      <c r="J37" s="274"/>
      <c r="K37" s="274"/>
      <c r="L37" s="274">
        <f t="shared" si="2"/>
        <v>-18.3</v>
      </c>
      <c r="M37" s="274">
        <f>'[9]Degree Days 2020'!M37</f>
        <v>28</v>
      </c>
      <c r="N37" s="274"/>
      <c r="O37" s="274"/>
      <c r="P37" s="274">
        <f t="shared" si="3"/>
        <v>-18.3</v>
      </c>
      <c r="Q37" s="538">
        <v>28</v>
      </c>
      <c r="R37" s="274"/>
      <c r="S37" s="274"/>
      <c r="T37" s="274">
        <f t="shared" si="4"/>
        <v>-18.3</v>
      </c>
      <c r="U37" s="538">
        <v>28</v>
      </c>
      <c r="V37" s="274"/>
      <c r="W37" s="274"/>
      <c r="X37" s="274">
        <f t="shared" si="5"/>
        <v>-18.3</v>
      </c>
    </row>
    <row r="38" spans="1:24">
      <c r="A38" s="117">
        <v>29</v>
      </c>
      <c r="B38" s="274">
        <f>'General information '!B34</f>
        <v>0</v>
      </c>
      <c r="C38" s="274">
        <f>'General information '!C34</f>
        <v>0</v>
      </c>
      <c r="D38" s="274">
        <f t="shared" si="0"/>
        <v>-18.3</v>
      </c>
      <c r="E38" s="274">
        <f>'[9]Degree Days 2020'!E38</f>
        <v>29</v>
      </c>
      <c r="F38" s="274"/>
      <c r="G38" s="274"/>
      <c r="H38" s="274">
        <f t="shared" si="1"/>
        <v>-18.3</v>
      </c>
      <c r="I38" s="274">
        <f>'[6]Degree Days 2018'!I38</f>
        <v>29</v>
      </c>
      <c r="J38" s="274"/>
      <c r="K38" s="274"/>
      <c r="L38" s="274">
        <f t="shared" si="2"/>
        <v>-18.3</v>
      </c>
      <c r="M38" s="274">
        <f>'[9]Degree Days 2020'!M38</f>
        <v>29</v>
      </c>
      <c r="N38" s="274"/>
      <c r="O38" s="274"/>
      <c r="P38" s="274">
        <f t="shared" si="3"/>
        <v>-18.3</v>
      </c>
      <c r="Q38" s="538">
        <v>29</v>
      </c>
      <c r="R38" s="274"/>
      <c r="S38" s="274"/>
      <c r="T38" s="274">
        <f t="shared" si="4"/>
        <v>-18.3</v>
      </c>
      <c r="U38" s="538">
        <v>29</v>
      </c>
      <c r="V38" s="274"/>
      <c r="W38" s="274"/>
      <c r="X38" s="274">
        <f t="shared" si="5"/>
        <v>-18.3</v>
      </c>
    </row>
    <row r="39" spans="1:24">
      <c r="A39" s="117">
        <v>30</v>
      </c>
      <c r="B39" s="274">
        <f>'General information '!B35</f>
        <v>0</v>
      </c>
      <c r="C39" s="274">
        <f>'General information '!C35</f>
        <v>0</v>
      </c>
      <c r="D39" s="274">
        <f t="shared" si="0"/>
        <v>-18.3</v>
      </c>
      <c r="E39" s="274"/>
      <c r="F39" s="274"/>
      <c r="G39" s="274"/>
      <c r="H39" s="274"/>
      <c r="I39" s="274">
        <f>'[6]Degree Days 2018'!I39</f>
        <v>30</v>
      </c>
      <c r="J39" s="274"/>
      <c r="K39" s="274"/>
      <c r="L39" s="274">
        <f t="shared" si="2"/>
        <v>-18.3</v>
      </c>
      <c r="M39" s="274">
        <f>'[9]Degree Days 2020'!M39</f>
        <v>30</v>
      </c>
      <c r="N39" s="274"/>
      <c r="O39" s="274"/>
      <c r="P39" s="274">
        <f t="shared" si="3"/>
        <v>-18.3</v>
      </c>
      <c r="Q39" s="538">
        <v>30</v>
      </c>
      <c r="R39" s="274"/>
      <c r="S39" s="274"/>
      <c r="T39" s="274">
        <f t="shared" si="4"/>
        <v>-18.3</v>
      </c>
      <c r="U39" s="538">
        <v>30</v>
      </c>
      <c r="V39" s="274"/>
      <c r="W39" s="274"/>
      <c r="X39" s="274">
        <f t="shared" si="5"/>
        <v>-18.3</v>
      </c>
    </row>
    <row r="40" spans="1:24">
      <c r="A40" s="120">
        <v>31</v>
      </c>
      <c r="B40" s="274">
        <f>'General information '!B36</f>
        <v>0</v>
      </c>
      <c r="C40" s="274">
        <f>'General information '!C36</f>
        <v>0</v>
      </c>
      <c r="D40" s="274">
        <f t="shared" si="0"/>
        <v>-18.3</v>
      </c>
      <c r="E40" s="274"/>
      <c r="F40" s="274"/>
      <c r="G40" s="274"/>
      <c r="H40" s="274"/>
      <c r="I40" s="274">
        <f>'[6]Degree Days 2018'!I40</f>
        <v>31</v>
      </c>
      <c r="J40" s="274"/>
      <c r="K40" s="274"/>
      <c r="L40" s="274">
        <f t="shared" si="2"/>
        <v>-18.3</v>
      </c>
      <c r="M40" s="274"/>
      <c r="N40" s="274"/>
      <c r="O40" s="274"/>
      <c r="P40" s="274"/>
      <c r="Q40" s="538">
        <v>31</v>
      </c>
      <c r="R40" s="274"/>
      <c r="S40" s="274"/>
      <c r="T40" s="274">
        <f t="shared" si="4"/>
        <v>-18.3</v>
      </c>
      <c r="U40" s="274"/>
      <c r="V40" s="274"/>
      <c r="W40" s="274"/>
      <c r="X40" s="274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-268.90000000000009</v>
      </c>
      <c r="C43" s="119">
        <f>SUMIF(D10:D40,"&gt;0")</f>
        <v>2.5999999999999943</v>
      </c>
      <c r="D43" s="130"/>
      <c r="E43" s="129"/>
      <c r="F43" s="119">
        <f>SUMIF(H10:H40,"&lt;0")</f>
        <v>-530.70000000000016</v>
      </c>
      <c r="G43" s="119">
        <f>SUMIF(H10:H40,"&gt;0")</f>
        <v>0</v>
      </c>
      <c r="H43" s="130"/>
      <c r="I43" s="129"/>
      <c r="J43" s="119">
        <f>SUMIF(L10:L40,"&lt;0")</f>
        <v>-567.30000000000007</v>
      </c>
      <c r="K43" s="119">
        <f>SUMIF(L10:L40,"&gt;0")</f>
        <v>0</v>
      </c>
      <c r="L43" s="130"/>
      <c r="M43" s="129"/>
      <c r="N43" s="119">
        <f>SUMIF(P10:P40,"&lt;0")</f>
        <v>-549.00000000000011</v>
      </c>
      <c r="O43" s="119">
        <f>SUMIF(P10:P40,"&gt;0")</f>
        <v>0</v>
      </c>
      <c r="P43" s="130"/>
      <c r="Q43" s="129"/>
      <c r="R43" s="119">
        <f>SUMIF(T10:T40,"&lt;0")</f>
        <v>-567.30000000000007</v>
      </c>
      <c r="S43" s="119">
        <f>SUMIF(T10:T40,"&gt;0")</f>
        <v>0</v>
      </c>
      <c r="T43" s="130"/>
      <c r="U43" s="129"/>
      <c r="V43" s="119">
        <f>SUMIF(X10:X40,"&lt;0")</f>
        <v>-549.00000000000011</v>
      </c>
      <c r="W43" s="119">
        <f>SUMIF(X10:X40,"&gt;0")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/>
      <c r="C48" s="274"/>
      <c r="D48" s="119">
        <f t="shared" ref="D48:D56" si="8">(B48+C48)/2-18.3</f>
        <v>-18.3</v>
      </c>
      <c r="E48" s="117">
        <v>1</v>
      </c>
      <c r="F48" s="274"/>
      <c r="G48" s="274"/>
      <c r="H48" s="119">
        <f t="shared" ref="H48:H78" si="9">(F48+G48)/2-18.3</f>
        <v>-18.3</v>
      </c>
      <c r="I48" s="117">
        <v>1</v>
      </c>
      <c r="J48" s="274"/>
      <c r="K48" s="274"/>
      <c r="L48" s="119">
        <f>(J48+K48)/2-18.3</f>
        <v>-18.3</v>
      </c>
      <c r="M48" s="117">
        <v>1</v>
      </c>
      <c r="N48" s="274"/>
      <c r="O48" s="274"/>
      <c r="P48" s="119">
        <f>(N48+O48)/2-18.3</f>
        <v>-18.3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8" si="10">(V48+W48)/2-18.3</f>
        <v>-18.3</v>
      </c>
    </row>
    <row r="49" spans="1:24">
      <c r="A49" s="117">
        <v>2</v>
      </c>
      <c r="B49" s="274"/>
      <c r="C49" s="274"/>
      <c r="D49" s="119">
        <f t="shared" si="8"/>
        <v>-18.3</v>
      </c>
      <c r="E49" s="117">
        <v>2</v>
      </c>
      <c r="F49" s="274"/>
      <c r="G49" s="274"/>
      <c r="H49" s="119">
        <f t="shared" si="9"/>
        <v>-18.3</v>
      </c>
      <c r="I49" s="117">
        <v>2</v>
      </c>
      <c r="J49" s="274"/>
      <c r="K49" s="274"/>
      <c r="L49" s="119">
        <f t="shared" ref="L49:L77" si="11">(J49+K49)/2-18.3</f>
        <v>-18.3</v>
      </c>
      <c r="M49" s="117">
        <v>2</v>
      </c>
      <c r="N49" s="274"/>
      <c r="O49" s="274"/>
      <c r="P49" s="119">
        <f t="shared" ref="P49:P78" si="12">(N49+O49)/2-18.3</f>
        <v>-18.3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/>
      <c r="C50" s="274"/>
      <c r="D50" s="119">
        <f t="shared" si="8"/>
        <v>-18.3</v>
      </c>
      <c r="E50" s="117">
        <v>3</v>
      </c>
      <c r="F50" s="274"/>
      <c r="G50" s="274"/>
      <c r="H50" s="119">
        <f t="shared" si="9"/>
        <v>-18.3</v>
      </c>
      <c r="I50" s="117">
        <v>3</v>
      </c>
      <c r="J50" s="274"/>
      <c r="K50" s="274"/>
      <c r="L50" s="119">
        <f t="shared" si="11"/>
        <v>-18.3</v>
      </c>
      <c r="M50" s="117">
        <v>3</v>
      </c>
      <c r="N50" s="274"/>
      <c r="O50" s="274"/>
      <c r="P50" s="119">
        <f t="shared" si="12"/>
        <v>-18.3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/>
      <c r="C51" s="274"/>
      <c r="D51" s="119">
        <f t="shared" si="8"/>
        <v>-18.3</v>
      </c>
      <c r="E51" s="117">
        <v>4</v>
      </c>
      <c r="F51" s="274"/>
      <c r="G51" s="274"/>
      <c r="H51" s="119">
        <f t="shared" si="9"/>
        <v>-18.3</v>
      </c>
      <c r="I51" s="117">
        <v>4</v>
      </c>
      <c r="J51" s="274"/>
      <c r="K51" s="274"/>
      <c r="L51" s="119">
        <f t="shared" si="11"/>
        <v>-18.3</v>
      </c>
      <c r="M51" s="117">
        <v>4</v>
      </c>
      <c r="N51" s="274"/>
      <c r="O51" s="274"/>
      <c r="P51" s="119">
        <f t="shared" si="12"/>
        <v>-18.3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/>
      <c r="C52" s="274"/>
      <c r="D52" s="119">
        <f t="shared" si="8"/>
        <v>-18.3</v>
      </c>
      <c r="E52" s="117">
        <v>5</v>
      </c>
      <c r="F52" s="274"/>
      <c r="G52" s="274"/>
      <c r="H52" s="119">
        <f t="shared" si="9"/>
        <v>-18.3</v>
      </c>
      <c r="I52" s="117">
        <v>5</v>
      </c>
      <c r="J52" s="274"/>
      <c r="K52" s="274"/>
      <c r="L52" s="119">
        <f t="shared" si="11"/>
        <v>-18.3</v>
      </c>
      <c r="M52" s="117">
        <v>5</v>
      </c>
      <c r="N52" s="274"/>
      <c r="O52" s="274"/>
      <c r="P52" s="119">
        <f t="shared" si="12"/>
        <v>-18.3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/>
      <c r="C53" s="274"/>
      <c r="D53" s="119">
        <f t="shared" si="8"/>
        <v>-18.3</v>
      </c>
      <c r="E53" s="117">
        <v>6</v>
      </c>
      <c r="F53" s="274"/>
      <c r="G53" s="274"/>
      <c r="H53" s="119">
        <f t="shared" si="9"/>
        <v>-18.3</v>
      </c>
      <c r="I53" s="117">
        <v>6</v>
      </c>
      <c r="J53" s="274"/>
      <c r="K53" s="274"/>
      <c r="L53" s="119">
        <f t="shared" si="11"/>
        <v>-18.3</v>
      </c>
      <c r="M53" s="117">
        <v>6</v>
      </c>
      <c r="N53" s="274"/>
      <c r="O53" s="274"/>
      <c r="P53" s="119">
        <f t="shared" si="12"/>
        <v>-18.3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/>
      <c r="C54" s="274"/>
      <c r="D54" s="119">
        <f t="shared" si="8"/>
        <v>-18.3</v>
      </c>
      <c r="E54" s="117">
        <v>7</v>
      </c>
      <c r="F54" s="274"/>
      <c r="G54" s="274"/>
      <c r="H54" s="119">
        <f t="shared" si="9"/>
        <v>-18.3</v>
      </c>
      <c r="I54" s="117">
        <v>7</v>
      </c>
      <c r="J54" s="274"/>
      <c r="K54" s="274"/>
      <c r="L54" s="119">
        <f t="shared" si="11"/>
        <v>-18.3</v>
      </c>
      <c r="M54" s="117">
        <v>7</v>
      </c>
      <c r="N54" s="274"/>
      <c r="O54" s="274"/>
      <c r="P54" s="119">
        <f t="shared" si="12"/>
        <v>-18.3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/>
      <c r="C55" s="274"/>
      <c r="D55" s="119">
        <f t="shared" si="8"/>
        <v>-18.3</v>
      </c>
      <c r="E55" s="117">
        <v>8</v>
      </c>
      <c r="F55" s="274"/>
      <c r="G55" s="274"/>
      <c r="H55" s="119">
        <f t="shared" si="9"/>
        <v>-18.3</v>
      </c>
      <c r="I55" s="117">
        <v>8</v>
      </c>
      <c r="J55" s="274"/>
      <c r="K55" s="274"/>
      <c r="L55" s="119">
        <f t="shared" si="11"/>
        <v>-18.3</v>
      </c>
      <c r="M55" s="117">
        <v>8</v>
      </c>
      <c r="N55" s="274"/>
      <c r="O55" s="274"/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/>
      <c r="C56" s="274"/>
      <c r="D56" s="119">
        <f t="shared" si="8"/>
        <v>-18.3</v>
      </c>
      <c r="E56" s="117">
        <v>9</v>
      </c>
      <c r="F56" s="274"/>
      <c r="G56" s="274"/>
      <c r="H56" s="119">
        <f t="shared" si="9"/>
        <v>-18.3</v>
      </c>
      <c r="I56" s="117">
        <v>9</v>
      </c>
      <c r="J56" s="274"/>
      <c r="K56" s="274"/>
      <c r="L56" s="119">
        <f t="shared" si="11"/>
        <v>-18.3</v>
      </c>
      <c r="M56" s="117">
        <v>9</v>
      </c>
      <c r="N56" s="274"/>
      <c r="O56" s="274"/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/>
      <c r="C57" s="274"/>
      <c r="D57" s="119">
        <f t="shared" ref="D57:D78" si="14">(B57+C57)/2-18.3</f>
        <v>-18.3</v>
      </c>
      <c r="E57" s="117">
        <v>10</v>
      </c>
      <c r="F57" s="274"/>
      <c r="G57" s="274"/>
      <c r="H57" s="119">
        <f t="shared" si="9"/>
        <v>-18.3</v>
      </c>
      <c r="I57" s="117">
        <v>10</v>
      </c>
      <c r="J57" s="274"/>
      <c r="K57" s="274"/>
      <c r="L57" s="119">
        <f t="shared" si="11"/>
        <v>-18.3</v>
      </c>
      <c r="M57" s="117">
        <v>10</v>
      </c>
      <c r="N57" s="274"/>
      <c r="O57" s="274"/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/>
      <c r="C58" s="274"/>
      <c r="D58" s="119">
        <f t="shared" si="14"/>
        <v>-18.3</v>
      </c>
      <c r="E58" s="117">
        <v>11</v>
      </c>
      <c r="F58" s="274"/>
      <c r="G58" s="274"/>
      <c r="H58" s="119">
        <f t="shared" si="9"/>
        <v>-18.3</v>
      </c>
      <c r="I58" s="117">
        <v>11</v>
      </c>
      <c r="J58" s="274"/>
      <c r="K58" s="274"/>
      <c r="L58" s="119">
        <f t="shared" si="11"/>
        <v>-18.3</v>
      </c>
      <c r="M58" s="117">
        <v>11</v>
      </c>
      <c r="N58" s="274"/>
      <c r="O58" s="274"/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/>
      <c r="C59" s="274"/>
      <c r="D59" s="119">
        <f t="shared" si="14"/>
        <v>-18.3</v>
      </c>
      <c r="E59" s="117">
        <v>12</v>
      </c>
      <c r="F59" s="274"/>
      <c r="G59" s="274"/>
      <c r="H59" s="119">
        <f t="shared" si="9"/>
        <v>-18.3</v>
      </c>
      <c r="I59" s="117">
        <v>12</v>
      </c>
      <c r="J59" s="274"/>
      <c r="K59" s="274"/>
      <c r="L59" s="119">
        <f t="shared" si="11"/>
        <v>-18.3</v>
      </c>
      <c r="M59" s="117">
        <v>12</v>
      </c>
      <c r="N59" s="274"/>
      <c r="O59" s="274"/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/>
      <c r="C60" s="274"/>
      <c r="D60" s="119">
        <f t="shared" si="14"/>
        <v>-18.3</v>
      </c>
      <c r="E60" s="117">
        <v>13</v>
      </c>
      <c r="F60" s="274"/>
      <c r="G60" s="274"/>
      <c r="H60" s="119">
        <f t="shared" si="9"/>
        <v>-18.3</v>
      </c>
      <c r="I60" s="117">
        <v>13</v>
      </c>
      <c r="J60" s="274"/>
      <c r="K60" s="274"/>
      <c r="L60" s="119">
        <f t="shared" si="11"/>
        <v>-18.3</v>
      </c>
      <c r="M60" s="117">
        <v>13</v>
      </c>
      <c r="N60" s="274"/>
      <c r="O60" s="274"/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/>
      <c r="C61" s="274"/>
      <c r="D61" s="119">
        <f t="shared" si="14"/>
        <v>-18.3</v>
      </c>
      <c r="E61" s="117">
        <v>14</v>
      </c>
      <c r="F61" s="274"/>
      <c r="G61" s="274"/>
      <c r="H61" s="119">
        <f t="shared" si="9"/>
        <v>-18.3</v>
      </c>
      <c r="I61" s="117">
        <v>14</v>
      </c>
      <c r="J61" s="274"/>
      <c r="K61" s="274"/>
      <c r="L61" s="119">
        <f t="shared" si="11"/>
        <v>-18.3</v>
      </c>
      <c r="M61" s="117">
        <v>14</v>
      </c>
      <c r="N61" s="274"/>
      <c r="O61" s="274"/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/>
      <c r="C62" s="274"/>
      <c r="D62" s="119">
        <f t="shared" si="14"/>
        <v>-18.3</v>
      </c>
      <c r="E62" s="117">
        <v>15</v>
      </c>
      <c r="F62" s="274"/>
      <c r="G62" s="274"/>
      <c r="H62" s="119">
        <f t="shared" si="9"/>
        <v>-18.3</v>
      </c>
      <c r="I62" s="117">
        <v>15</v>
      </c>
      <c r="J62" s="274"/>
      <c r="K62" s="274"/>
      <c r="L62" s="119">
        <f t="shared" si="11"/>
        <v>-18.3</v>
      </c>
      <c r="M62" s="117">
        <v>15</v>
      </c>
      <c r="N62" s="274"/>
      <c r="O62" s="274"/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/>
      <c r="C63" s="274"/>
      <c r="D63" s="119">
        <f t="shared" si="14"/>
        <v>-18.3</v>
      </c>
      <c r="E63" s="117">
        <v>16</v>
      </c>
      <c r="F63" s="274"/>
      <c r="G63" s="274"/>
      <c r="H63" s="119">
        <f t="shared" si="9"/>
        <v>-18.3</v>
      </c>
      <c r="I63" s="117">
        <v>16</v>
      </c>
      <c r="J63" s="274"/>
      <c r="K63" s="274"/>
      <c r="L63" s="119">
        <f t="shared" si="11"/>
        <v>-18.3</v>
      </c>
      <c r="M63" s="117">
        <v>16</v>
      </c>
      <c r="N63" s="274"/>
      <c r="O63" s="274"/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/>
      <c r="C64" s="274"/>
      <c r="D64" s="119">
        <f t="shared" si="14"/>
        <v>-18.3</v>
      </c>
      <c r="E64" s="117">
        <v>17</v>
      </c>
      <c r="F64" s="274"/>
      <c r="G64" s="274"/>
      <c r="H64" s="119">
        <f t="shared" si="9"/>
        <v>-18.3</v>
      </c>
      <c r="I64" s="117">
        <v>17</v>
      </c>
      <c r="J64" s="274"/>
      <c r="K64" s="274"/>
      <c r="L64" s="119">
        <f t="shared" si="11"/>
        <v>-18.3</v>
      </c>
      <c r="M64" s="117">
        <v>17</v>
      </c>
      <c r="N64" s="274"/>
      <c r="O64" s="274"/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/>
      <c r="C65" s="274"/>
      <c r="D65" s="119">
        <f t="shared" si="14"/>
        <v>-18.3</v>
      </c>
      <c r="E65" s="117">
        <v>18</v>
      </c>
      <c r="F65" s="274"/>
      <c r="G65" s="274"/>
      <c r="H65" s="119">
        <f t="shared" si="9"/>
        <v>-18.3</v>
      </c>
      <c r="I65" s="117">
        <v>18</v>
      </c>
      <c r="J65" s="274"/>
      <c r="K65" s="274"/>
      <c r="L65" s="119">
        <f t="shared" si="11"/>
        <v>-18.3</v>
      </c>
      <c r="M65" s="117">
        <v>18</v>
      </c>
      <c r="N65" s="274"/>
      <c r="O65" s="274"/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/>
      <c r="C66" s="274"/>
      <c r="D66" s="119">
        <f t="shared" si="14"/>
        <v>-18.3</v>
      </c>
      <c r="E66" s="117">
        <v>19</v>
      </c>
      <c r="F66" s="274"/>
      <c r="G66" s="274"/>
      <c r="H66" s="119">
        <f t="shared" si="9"/>
        <v>-18.3</v>
      </c>
      <c r="I66" s="117">
        <v>19</v>
      </c>
      <c r="J66" s="274"/>
      <c r="K66" s="274"/>
      <c r="L66" s="119">
        <f t="shared" si="11"/>
        <v>-18.3</v>
      </c>
      <c r="M66" s="117">
        <v>19</v>
      </c>
      <c r="N66" s="274"/>
      <c r="O66" s="274"/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/>
      <c r="C67" s="274"/>
      <c r="D67" s="119">
        <f t="shared" si="14"/>
        <v>-18.3</v>
      </c>
      <c r="E67" s="117">
        <v>20</v>
      </c>
      <c r="F67" s="274"/>
      <c r="G67" s="274"/>
      <c r="H67" s="119">
        <f t="shared" si="9"/>
        <v>-18.3</v>
      </c>
      <c r="I67" s="117">
        <v>20</v>
      </c>
      <c r="J67" s="274"/>
      <c r="K67" s="274"/>
      <c r="L67" s="119">
        <f t="shared" si="11"/>
        <v>-18.3</v>
      </c>
      <c r="M67" s="117">
        <v>20</v>
      </c>
      <c r="N67" s="274"/>
      <c r="O67" s="274"/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/>
      <c r="C68" s="274"/>
      <c r="D68" s="119">
        <f t="shared" si="14"/>
        <v>-18.3</v>
      </c>
      <c r="E68" s="117">
        <v>21</v>
      </c>
      <c r="F68" s="274"/>
      <c r="G68" s="274"/>
      <c r="H68" s="119">
        <f t="shared" si="9"/>
        <v>-18.3</v>
      </c>
      <c r="I68" s="117">
        <v>21</v>
      </c>
      <c r="J68" s="274"/>
      <c r="K68" s="274"/>
      <c r="L68" s="119">
        <f t="shared" si="11"/>
        <v>-18.3</v>
      </c>
      <c r="M68" s="117">
        <v>21</v>
      </c>
      <c r="N68" s="274"/>
      <c r="O68" s="274"/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/>
      <c r="C69" s="274"/>
      <c r="D69" s="119">
        <f t="shared" si="14"/>
        <v>-18.3</v>
      </c>
      <c r="E69" s="117">
        <v>22</v>
      </c>
      <c r="F69" s="274"/>
      <c r="G69" s="274"/>
      <c r="H69" s="119">
        <f t="shared" si="9"/>
        <v>-18.3</v>
      </c>
      <c r="I69" s="117">
        <v>22</v>
      </c>
      <c r="J69" s="274"/>
      <c r="K69" s="274"/>
      <c r="L69" s="119">
        <f t="shared" si="11"/>
        <v>-18.3</v>
      </c>
      <c r="M69" s="117">
        <v>22</v>
      </c>
      <c r="N69" s="274"/>
      <c r="O69" s="274"/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/>
      <c r="C70" s="274"/>
      <c r="D70" s="119">
        <f t="shared" si="14"/>
        <v>-18.3</v>
      </c>
      <c r="E70" s="117">
        <v>23</v>
      </c>
      <c r="F70" s="274"/>
      <c r="G70" s="274"/>
      <c r="H70" s="119">
        <f t="shared" si="9"/>
        <v>-18.3</v>
      </c>
      <c r="I70" s="117">
        <v>23</v>
      </c>
      <c r="J70" s="274"/>
      <c r="K70" s="274"/>
      <c r="L70" s="119">
        <f t="shared" si="11"/>
        <v>-18.3</v>
      </c>
      <c r="M70" s="117">
        <v>23</v>
      </c>
      <c r="N70" s="274"/>
      <c r="O70" s="274"/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/>
      <c r="C71" s="274"/>
      <c r="D71" s="119">
        <f t="shared" si="14"/>
        <v>-18.3</v>
      </c>
      <c r="E71" s="117">
        <v>24</v>
      </c>
      <c r="F71" s="274"/>
      <c r="G71" s="274"/>
      <c r="H71" s="119">
        <f t="shared" si="9"/>
        <v>-18.3</v>
      </c>
      <c r="I71" s="117">
        <v>24</v>
      </c>
      <c r="J71" s="274"/>
      <c r="K71" s="274"/>
      <c r="L71" s="119">
        <f t="shared" si="11"/>
        <v>-18.3</v>
      </c>
      <c r="M71" s="117">
        <v>24</v>
      </c>
      <c r="N71" s="274"/>
      <c r="O71" s="274"/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/>
      <c r="C72" s="274"/>
      <c r="D72" s="119">
        <f t="shared" si="14"/>
        <v>-18.3</v>
      </c>
      <c r="E72" s="117">
        <v>25</v>
      </c>
      <c r="F72" s="274"/>
      <c r="G72" s="274"/>
      <c r="H72" s="119">
        <f t="shared" si="9"/>
        <v>-18.3</v>
      </c>
      <c r="I72" s="117">
        <v>25</v>
      </c>
      <c r="J72" s="274"/>
      <c r="K72" s="274"/>
      <c r="L72" s="119">
        <f t="shared" si="11"/>
        <v>-18.3</v>
      </c>
      <c r="M72" s="117">
        <v>25</v>
      </c>
      <c r="N72" s="274"/>
      <c r="O72" s="274"/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/>
      <c r="C73" s="274"/>
      <c r="D73" s="119">
        <f t="shared" si="14"/>
        <v>-18.3</v>
      </c>
      <c r="E73" s="117">
        <v>26</v>
      </c>
      <c r="F73" s="274"/>
      <c r="G73" s="274"/>
      <c r="H73" s="119">
        <f t="shared" si="9"/>
        <v>-18.3</v>
      </c>
      <c r="I73" s="117">
        <v>26</v>
      </c>
      <c r="J73" s="274"/>
      <c r="K73" s="274"/>
      <c r="L73" s="119">
        <f t="shared" si="11"/>
        <v>-18.3</v>
      </c>
      <c r="M73" s="117">
        <v>26</v>
      </c>
      <c r="N73" s="274"/>
      <c r="O73" s="274"/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/>
      <c r="C74" s="274"/>
      <c r="D74" s="119">
        <f t="shared" si="14"/>
        <v>-18.3</v>
      </c>
      <c r="E74" s="117">
        <v>27</v>
      </c>
      <c r="F74" s="274"/>
      <c r="G74" s="274"/>
      <c r="H74" s="119">
        <f t="shared" si="9"/>
        <v>-18.3</v>
      </c>
      <c r="I74" s="117">
        <v>27</v>
      </c>
      <c r="J74" s="274"/>
      <c r="K74" s="274"/>
      <c r="L74" s="119">
        <f t="shared" si="11"/>
        <v>-18.3</v>
      </c>
      <c r="M74" s="117">
        <v>27</v>
      </c>
      <c r="N74" s="274"/>
      <c r="O74" s="274"/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/>
      <c r="C75" s="274"/>
      <c r="D75" s="119">
        <f t="shared" si="14"/>
        <v>-18.3</v>
      </c>
      <c r="E75" s="117">
        <v>28</v>
      </c>
      <c r="F75" s="274"/>
      <c r="G75" s="274"/>
      <c r="H75" s="119">
        <f t="shared" si="9"/>
        <v>-18.3</v>
      </c>
      <c r="I75" s="117">
        <v>28</v>
      </c>
      <c r="J75" s="274"/>
      <c r="K75" s="274"/>
      <c r="L75" s="119">
        <f t="shared" si="11"/>
        <v>-18.3</v>
      </c>
      <c r="M75" s="117">
        <v>28</v>
      </c>
      <c r="N75" s="274"/>
      <c r="O75" s="274"/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/>
      <c r="C76" s="274"/>
      <c r="D76" s="119">
        <f t="shared" si="14"/>
        <v>-18.3</v>
      </c>
      <c r="E76" s="117">
        <v>29</v>
      </c>
      <c r="F76" s="274"/>
      <c r="G76" s="274"/>
      <c r="H76" s="119">
        <f t="shared" si="9"/>
        <v>-18.3</v>
      </c>
      <c r="I76" s="117">
        <v>29</v>
      </c>
      <c r="J76" s="274"/>
      <c r="K76" s="274"/>
      <c r="L76" s="119">
        <f t="shared" si="11"/>
        <v>-18.3</v>
      </c>
      <c r="M76" s="117">
        <v>29</v>
      </c>
      <c r="N76" s="274"/>
      <c r="O76" s="274"/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/>
      <c r="C77" s="274"/>
      <c r="D77" s="119">
        <f t="shared" si="14"/>
        <v>-18.3</v>
      </c>
      <c r="E77" s="117">
        <v>30</v>
      </c>
      <c r="F77" s="274"/>
      <c r="G77" s="274"/>
      <c r="H77" s="119">
        <f t="shared" si="9"/>
        <v>-18.3</v>
      </c>
      <c r="I77" s="117">
        <v>30</v>
      </c>
      <c r="J77" s="274"/>
      <c r="K77" s="274"/>
      <c r="L77" s="119">
        <f t="shared" si="11"/>
        <v>-18.3</v>
      </c>
      <c r="M77" s="117">
        <v>30</v>
      </c>
      <c r="N77" s="274"/>
      <c r="O77" s="274"/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/>
      <c r="C78" s="274"/>
      <c r="D78" s="119">
        <f t="shared" si="14"/>
        <v>-18.3</v>
      </c>
      <c r="E78" s="120">
        <v>31</v>
      </c>
      <c r="F78" s="274"/>
      <c r="G78" s="274"/>
      <c r="H78" s="119">
        <f t="shared" si="9"/>
        <v>-18.3</v>
      </c>
      <c r="I78" s="120"/>
      <c r="J78" s="274"/>
      <c r="K78" s="274"/>
      <c r="L78" s="122"/>
      <c r="M78" s="120">
        <v>31</v>
      </c>
      <c r="N78" s="274"/>
      <c r="O78" s="274"/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-6399.4000000000015</v>
      </c>
      <c r="O86" s="142">
        <f>C43+G43+K43+O43+S43+W43+C81+G81+K81+O81+S81+W81</f>
        <v>2.5999999999999943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4" sqref="G4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5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26" t="s">
        <v>216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4">
        <v>44197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18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v>0</v>
      </c>
      <c r="I6" s="589">
        <v>0</v>
      </c>
      <c r="J6" s="278"/>
    </row>
    <row r="7" spans="1:11">
      <c r="A7" s="185" t="s">
        <v>218</v>
      </c>
      <c r="B7" s="353">
        <f>WATER!H37</f>
        <v>717</v>
      </c>
      <c r="C7" s="185">
        <v>7500</v>
      </c>
      <c r="D7" s="188">
        <f>SUM(C7)*D4</f>
        <v>11306250</v>
      </c>
      <c r="E7" s="186">
        <f>SUM(I7/G4)</f>
        <v>264.51612903225805</v>
      </c>
      <c r="F7" s="186">
        <f>SUM(E7*F4)</f>
        <v>4761.2903225806449</v>
      </c>
      <c r="G7" s="517">
        <v>7500</v>
      </c>
      <c r="H7" s="190">
        <f>'[11]Budget 2021'!$B$15</f>
        <v>8200</v>
      </c>
      <c r="I7" s="186">
        <f>H7</f>
        <v>8200</v>
      </c>
      <c r="J7" s="278"/>
    </row>
    <row r="8" spans="1:11">
      <c r="A8" s="191" t="s">
        <v>219</v>
      </c>
      <c r="B8" s="354">
        <f>tanks!AT37</f>
        <v>14272</v>
      </c>
      <c r="C8" s="500">
        <f>SUM(tanks!AU37)</f>
        <v>0.64</v>
      </c>
      <c r="D8" s="192">
        <f>SUM(B8*C8)*D4</f>
        <v>13769625.6</v>
      </c>
      <c r="E8" s="193">
        <f>SUM(D8/D4/F4)</f>
        <v>507.44888888888886</v>
      </c>
      <c r="F8" s="193">
        <f>SUM(E8*F4)</f>
        <v>9134.08</v>
      </c>
      <c r="G8" s="517">
        <f>E8*$F$4</f>
        <v>9134.08</v>
      </c>
      <c r="H8" s="190">
        <f>'[11]Budget 2021'!$B$14</f>
        <v>30108.75223010753</v>
      </c>
      <c r="I8" s="193">
        <f>H8</f>
        <v>30108.75223010753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'[11]Budget 2021'!$B$13</f>
        <v>0</v>
      </c>
      <c r="I9" s="190">
        <f>H9</f>
        <v>0</v>
      </c>
      <c r="J9" s="278"/>
    </row>
    <row r="10" spans="1:11">
      <c r="A10" s="182" t="s">
        <v>220</v>
      </c>
      <c r="B10" s="356"/>
      <c r="C10" s="182"/>
      <c r="D10" s="184">
        <f>SUM('EDl log'!AB31)</f>
        <v>10524532.451612905</v>
      </c>
      <c r="E10" s="183">
        <f>SUM(D10/D4/F4)</f>
        <v>387.85820717202523</v>
      </c>
      <c r="F10" s="183">
        <f>SUM(E10*F4)</f>
        <v>6981.4477290964542</v>
      </c>
      <c r="G10" s="517">
        <f>E10*$G$4</f>
        <v>12023.604422332783</v>
      </c>
      <c r="H10" s="190">
        <f>'[11]Budget 2021'!$B$12</f>
        <v>19000</v>
      </c>
      <c r="I10" s="281">
        <f>H10</f>
        <v>19000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1159.8232250931721</v>
      </c>
      <c r="F12" s="181">
        <f>SUM(F6:F10)</f>
        <v>20876.818051677099</v>
      </c>
      <c r="G12" s="180">
        <f>SUM(G6:G10)</f>
        <v>28657.684422332786</v>
      </c>
      <c r="H12" s="180">
        <f>SUM(H6:H11)</f>
        <v>57308.75223010753</v>
      </c>
      <c r="I12" s="222">
        <f>SUM(I6:I11)</f>
        <v>57308.75223010753</v>
      </c>
      <c r="J12" s="278"/>
    </row>
    <row r="13" spans="1:11" ht="29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0</v>
      </c>
      <c r="C14" s="438">
        <f>'[12]Utility Cost '!C14</f>
        <v>0</v>
      </c>
      <c r="D14" s="170"/>
      <c r="E14" s="170">
        <f t="shared" ref="E14:E18" si="0">B14-C14</f>
        <v>0</v>
      </c>
      <c r="F14" s="516">
        <v>0</v>
      </c>
      <c r="G14" s="426"/>
      <c r="H14" s="427">
        <f>SUM(G12-H12)</f>
        <v>-28651.067807774743</v>
      </c>
      <c r="I14" s="427">
        <f>SUM(G12-I12)</f>
        <v>-28651.067807774743</v>
      </c>
    </row>
    <row r="15" spans="1:11">
      <c r="A15" s="455" t="s">
        <v>303</v>
      </c>
      <c r="B15" s="97">
        <f>'Degree Days 2020'!AA19</f>
        <v>0</v>
      </c>
      <c r="C15" s="438">
        <f>'[12]Utility Cost '!C15</f>
        <v>-116.79999999999994</v>
      </c>
      <c r="D15" s="170"/>
      <c r="E15" s="170">
        <f t="shared" si="0"/>
        <v>116.79999999999994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16.722222222222221</v>
      </c>
      <c r="C16" s="438">
        <f>'[12]Utility Cost '!C16</f>
        <v>14.53225806451613</v>
      </c>
      <c r="D16" s="438"/>
      <c r="E16" s="439">
        <f t="shared" si="0"/>
        <v>2.1899641577060915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'!C17</f>
        <v>0.54777741935483859</v>
      </c>
      <c r="D17" s="483">
        <f>'[13]Other Fuel Calculation 2020'!$K$62</f>
        <v>0.61470000000000002</v>
      </c>
      <c r="E17" s="530">
        <f t="shared" si="0"/>
        <v>-0.54777741935483859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61.100000000000364</v>
      </c>
      <c r="C18" s="438">
        <f>'[12]Utility Cost '!C18</f>
        <v>116</v>
      </c>
      <c r="D18" s="436">
        <f>'[13]Other Fuel Calculation 2020'!$M$60</f>
        <v>277.85866666666664</v>
      </c>
      <c r="E18" s="532">
        <f t="shared" si="0"/>
        <v>-54.899999999999636</v>
      </c>
      <c r="F18" s="535">
        <f>B18-D18</f>
        <v>-216.75866666666627</v>
      </c>
    </row>
    <row r="19" spans="1:10">
      <c r="A19" s="529" t="s">
        <v>413</v>
      </c>
      <c r="B19" s="527">
        <f>SUM(B18/$F$4)</f>
        <v>3.3944444444444648</v>
      </c>
      <c r="C19" s="438">
        <f>'[12]Utility Cost '!C19</f>
        <v>3.7419354838709675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2021-01-19T08:07:53Z</dcterms:modified>
</cp:coreProperties>
</file>