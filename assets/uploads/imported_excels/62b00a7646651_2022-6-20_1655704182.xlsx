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2" i="2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22" i="2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2" i="2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2" i="2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2" i="2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 s="1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<sst xmlns="http://schemas.openxmlformats.org/spreadsheetml/2006/main" count="511" uniqueCount="150">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</sst>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73342.667895999999</v>
      </c>
      <c r="F19" s="139">
        <v>1.27</v>
      </c>
      <c r="G19" s="37">
        <f>Gas!C20*0.9147</f>
        <v>2145.8861999999999</v>
      </c>
      <c r="H19" s="140">
        <v>3.65</v>
      </c>
      <c r="I19" s="142">
        <f>Submetering!H19+Submetering!AD19+Submetering!AE19</f>
        <v>786</v>
      </c>
      <c r="J19" s="142">
        <v>10.029999999999999</v>
      </c>
      <c r="K19" s="37">
        <f>ELECT.!B20</f>
        <v>169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69985.743907999989</v>
      </c>
      <c r="F20" s="139">
        <v>1.27</v>
      </c>
      <c r="G20" s="37">
        <f>Gas!C21*0.9147</f>
        <v>2248.3325999999997</v>
      </c>
      <c r="H20" s="140">
        <v>3.65</v>
      </c>
      <c r="I20" s="142">
        <f>Submetering!H20+Submetering!AD20+Submetering!AE20</f>
        <v>746</v>
      </c>
      <c r="J20" s="142">
        <v>10.029999999999999</v>
      </c>
      <c r="K20" s="37">
        <f>ELECT.!B21</f>
        <v>300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980</v>
      </c>
      <c r="F19" s="37">
        <f>Water!E20</f>
        <v>450</v>
      </c>
      <c r="G19" s="37">
        <f>Water!G20</f>
        <v>510.3</v>
      </c>
      <c r="H19" s="37">
        <f>Water!I20</f>
        <v>4.968</v>
      </c>
      <c r="I19" s="37">
        <f>ELECT.!F20</f>
        <v>21732</v>
      </c>
      <c r="J19" s="37">
        <f>ELECT.!H20</f>
        <v>54342</v>
      </c>
      <c r="K19" s="37">
        <f>ELECT.!K20</f>
        <v>9266</v>
      </c>
      <c r="L19" s="37">
        <f>ELECT.!M20</f>
        <v>6496</v>
      </c>
      <c r="M19" s="37">
        <f>ELECT.!O20</f>
        <v>15060</v>
      </c>
      <c r="N19" s="37">
        <f>ELECT.!Q20</f>
        <v>12846</v>
      </c>
      <c r="O19" s="37">
        <f>ELECT.!S20</f>
        <v>10768</v>
      </c>
      <c r="P19" s="37">
        <f>ELECT.!W20*2</f>
        <v>24226</v>
      </c>
      <c r="Q19" s="37">
        <f>ELECT.!D20</f>
        <v>640</v>
      </c>
      <c r="R19" s="142">
        <f>BTU!C20</f>
        <v>11.01299999999901</v>
      </c>
      <c r="S19" s="142">
        <f>BTU!F20</f>
        <v>1.5420000000003711</v>
      </c>
      <c r="T19" s="142">
        <f>BTU!I20</f>
        <v>6</v>
      </c>
      <c r="U19" s="142">
        <f>BTU!O20</f>
        <v>1.11200000000008</v>
      </c>
      <c r="V19" s="142">
        <f>BTU!L20</f>
        <v>1.6000000000003638</v>
      </c>
      <c r="W19" s="142">
        <f>BTU!R20</f>
        <v>2.6499999999996362</v>
      </c>
      <c r="X19" s="35">
        <f>ELECT.!B20</f>
        <v>169</v>
      </c>
      <c r="Y19" s="35">
        <f t="shared" si="0"/>
        <v>-2588</v>
      </c>
      <c r="Z19">
        <f>'Mall, Citadel, Rotana'!C20+'Mall, Citadel, Rotana'!E20+'Mall, Citadel, Rotana'!G20+'Mall, Citadel, Rotana'!I20</f>
        <v>1398</v>
      </c>
      <c r="AA19">
        <f>'Mall, Citadel, Rotana'!K20+'Mall, Citadel, Rotana'!M20</f>
        <v>272</v>
      </c>
      <c r="AB19">
        <f>'Mall, Citadel, Rotana'!O20</f>
        <v>4</v>
      </c>
      <c r="AC19">
        <f>'Mall, Citadel, Rotana'!Q20+'Mall, Citadel, Rotana'!S20</f>
        <v>0</v>
      </c>
      <c r="AD19" s="35">
        <f t="shared" si="1"/>
        <v>102.9400176</v>
      </c>
      <c r="AE19" s="35">
        <f t="shared" si="2"/>
        <v>678.09198240000001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940</v>
      </c>
      <c r="F20" s="37">
        <f>Water!E21</f>
        <v>470</v>
      </c>
      <c r="G20" s="37">
        <f>Water!G21</f>
        <v>410.4</v>
      </c>
      <c r="H20" s="37">
        <f>Water!I21</f>
        <v>5.0759999999999996</v>
      </c>
      <c r="I20" s="37">
        <f>ELECT.!F21</f>
        <v>20987</v>
      </c>
      <c r="J20" s="37">
        <f>ELECT.!H21</f>
        <v>52748</v>
      </c>
      <c r="K20" s="37">
        <f>ELECT.!K21</f>
        <v>10202</v>
      </c>
      <c r="L20" s="37">
        <f>ELECT.!M21</f>
        <v>6533</v>
      </c>
      <c r="M20" s="37">
        <f>ELECT.!O21</f>
        <v>14258</v>
      </c>
      <c r="N20" s="37">
        <f>ELECT.!Q21</f>
        <v>9781</v>
      </c>
      <c r="O20" s="37">
        <f>ELECT.!S21</f>
        <v>10643</v>
      </c>
      <c r="P20" s="37">
        <f>ELECT.!W21*2</f>
        <v>23244</v>
      </c>
      <c r="Q20" s="37">
        <f>ELECT.!D21</f>
        <v>640</v>
      </c>
      <c r="R20" s="142">
        <f>BTU!C21</f>
        <v>20.429000000000087</v>
      </c>
      <c r="S20" s="142">
        <f>BTU!F21</f>
        <v>4.7459999999991851</v>
      </c>
      <c r="T20" s="142">
        <f>BTU!I21</f>
        <v>11</v>
      </c>
      <c r="U20" s="142">
        <f>BTU!O21</f>
        <v>2.3479999999999563</v>
      </c>
      <c r="V20" s="142">
        <f>BTU!L21</f>
        <v>4.2999999999992724</v>
      </c>
      <c r="W20" s="142">
        <f>BTU!R21</f>
        <v>1.8699999999998909</v>
      </c>
      <c r="X20" s="35">
        <f>ELECT.!B21</f>
        <v>300</v>
      </c>
      <c r="Y20" s="35">
        <f t="shared" si="0"/>
        <v>-926</v>
      </c>
      <c r="Z20">
        <f>'Mall, Citadel, Rotana'!C21+'Mall, Citadel, Rotana'!E21+'Mall, Citadel, Rotana'!G21+'Mall, Citadel, Rotana'!I21</f>
        <v>1360</v>
      </c>
      <c r="AA20">
        <f>'Mall, Citadel, Rotana'!K21+'Mall, Citadel, Rotana'!M21</f>
        <v>398</v>
      </c>
      <c r="AB20">
        <f>'Mall, Citadel, Rotana'!O21</f>
        <v>3</v>
      </c>
      <c r="AC20">
        <f>'Mall, Citadel, Rotana'!Q21+'Mall, Citadel, Rotana'!S21</f>
        <v>1014</v>
      </c>
      <c r="AD20" s="35">
        <f t="shared" si="1"/>
        <v>97.653783199999992</v>
      </c>
      <c r="AE20" s="35">
        <f t="shared" si="2"/>
        <v>643.27021679999996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 t="str">
        <f>ELECT.!F22</f>
        <v>0</v>
      </c>
      <c r="J21" s="37" t="str">
        <f>ELECT.!H22</f>
        <v>0</v>
      </c>
      <c r="K21" s="37">
        <f>ELECT.!K22</f>
        <v>0</v>
      </c>
      <c r="L21" s="37" t="str">
        <f>ELECT.!M22</f>
        <v>0</v>
      </c>
      <c r="M21" s="37">
        <f>ELECT.!O22</f>
        <v>0</v>
      </c>
      <c r="N21" s="37" t="str">
        <f>ELECT.!Q22</f>
        <v>0</v>
      </c>
      <c r="O21" s="37" t="str">
        <f>ELECT.!S22</f>
        <v>0</v>
      </c>
      <c r="P21" s="37">
        <f>ELECT.!W22*2</f>
        <v>0</v>
      </c>
      <c r="Q21" s="37">
        <f>ELECT.!D22</f>
        <v>0</v>
      </c>
      <c r="R21" s="142" t="str">
        <f>BTU!C22</f>
        <v>0</v>
      </c>
      <c r="S21" s="142" t="str">
        <f>BTU!F22</f>
        <v>0</v>
      </c>
      <c r="T21" s="142" t="str">
        <f>BTU!I22</f>
        <v>0</v>
      </c>
      <c r="U21" s="142" t="str">
        <f>BTU!O22</f>
        <v>0</v>
      </c>
      <c r="V21" s="142" t="str">
        <f>BTU!L22</f>
        <v>0</v>
      </c>
      <c r="W21" s="142" t="str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1" sqref="U2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v>47172</v>
      </c>
      <c r="C20" s="14">
        <f t="shared" si="9"/>
        <v>800</v>
      </c>
      <c r="D20" s="32">
        <v>40696</v>
      </c>
      <c r="E20" s="14">
        <f t="shared" si="1"/>
        <v>480</v>
      </c>
      <c r="F20" s="32">
        <v>21752</v>
      </c>
      <c r="G20" s="14">
        <f t="shared" si="2"/>
        <v>100</v>
      </c>
      <c r="H20" s="32">
        <v>255754</v>
      </c>
      <c r="I20" s="14">
        <f t="shared" si="3"/>
        <v>18</v>
      </c>
      <c r="J20" s="32">
        <v>319276</v>
      </c>
      <c r="K20" s="14">
        <f t="shared" si="4"/>
        <v>152</v>
      </c>
      <c r="L20" s="32">
        <v>26227</v>
      </c>
      <c r="M20" s="14">
        <f t="shared" si="5"/>
        <v>120</v>
      </c>
      <c r="N20" s="32">
        <v>226094</v>
      </c>
      <c r="O20" s="14">
        <f t="shared" si="6"/>
        <v>4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v>47177</v>
      </c>
      <c r="C21" s="14">
        <f t="shared" si="9"/>
        <v>800</v>
      </c>
      <c r="D21" s="32">
        <v>40699</v>
      </c>
      <c r="E21" s="14">
        <f t="shared" si="1"/>
        <v>480</v>
      </c>
      <c r="F21" s="32">
        <v>21755</v>
      </c>
      <c r="G21" s="14">
        <f t="shared" si="2"/>
        <v>60</v>
      </c>
      <c r="H21" s="32">
        <v>255774</v>
      </c>
      <c r="I21" s="14">
        <f t="shared" si="3"/>
        <v>20</v>
      </c>
      <c r="J21" s="32">
        <v>319434</v>
      </c>
      <c r="K21" s="14">
        <f t="shared" si="4"/>
        <v>158</v>
      </c>
      <c r="L21" s="32">
        <v>26231</v>
      </c>
      <c r="M21" s="14">
        <f t="shared" si="5"/>
        <v>240</v>
      </c>
      <c r="N21" s="32">
        <v>226097</v>
      </c>
      <c r="O21" s="14">
        <f t="shared" si="6"/>
        <v>3</v>
      </c>
      <c r="P21" s="32">
        <v>156904</v>
      </c>
      <c r="Q21" s="14">
        <f t="shared" si="0"/>
        <v>1014</v>
      </c>
      <c r="R21" s="1">
        <f t="shared" si="10"/>
        <v>55047</v>
      </c>
      <c r="S21" s="14">
        <f t="shared" si="7"/>
        <v>0</v>
      </c>
      <c r="T21" s="32">
        <v>4009</v>
      </c>
      <c r="U21" s="14">
        <f t="shared" si="8"/>
        <v>160</v>
      </c>
    </row>
    <row r="22" spans="1:23" ht="13.5" thickBot="1" x14ac:dyDescent="0.25">
      <c r="A22" s="9">
        <v>44732</v>
      </c>
      <c r="B22" s="32">
        <f t="shared" ref="B22:B32" si="17">B21</f>
        <v>47177</v>
      </c>
      <c r="C22" s="14">
        <f t="shared" si="9"/>
        <v>0</v>
      </c>
      <c r="D22" s="32">
        <f t="shared" ref="D22:D32" si="18">D21</f>
        <v>40699</v>
      </c>
      <c r="E22" s="14">
        <f t="shared" si="1"/>
        <v>0</v>
      </c>
      <c r="F22" s="32">
        <f t="shared" ref="F22:F32" si="19">F21</f>
        <v>21755</v>
      </c>
      <c r="G22" s="14">
        <f t="shared" si="2"/>
        <v>0</v>
      </c>
      <c r="H22" s="32">
        <f t="shared" ref="H22:H32" si="20">H21</f>
        <v>255774</v>
      </c>
      <c r="I22" s="14">
        <f t="shared" si="3"/>
        <v>0</v>
      </c>
      <c r="J22" s="32">
        <f t="shared" ref="J22:J32" si="21">J21</f>
        <v>319434</v>
      </c>
      <c r="K22" s="14">
        <f t="shared" si="4"/>
        <v>0</v>
      </c>
      <c r="L22" s="32">
        <f t="shared" ref="L22:L32" si="22">L21</f>
        <v>26231</v>
      </c>
      <c r="M22" s="14">
        <f t="shared" si="5"/>
        <v>0</v>
      </c>
      <c r="N22" s="32">
        <f t="shared" ref="N22:N32" si="23">N21</f>
        <v>226097</v>
      </c>
      <c r="O22" s="14">
        <f t="shared" si="6"/>
        <v>0</v>
      </c>
      <c r="P22" s="32">
        <f t="shared" si="12"/>
        <v>156904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4009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7"/>
        <v>47177</v>
      </c>
      <c r="C23" s="14">
        <f t="shared" si="9"/>
        <v>0</v>
      </c>
      <c r="D23" s="32">
        <f t="shared" si="18"/>
        <v>40699</v>
      </c>
      <c r="E23" s="14">
        <f t="shared" si="1"/>
        <v>0</v>
      </c>
      <c r="F23" s="32">
        <f t="shared" si="19"/>
        <v>21755</v>
      </c>
      <c r="G23" s="14">
        <f t="shared" si="2"/>
        <v>0</v>
      </c>
      <c r="H23" s="32">
        <f t="shared" si="20"/>
        <v>255774</v>
      </c>
      <c r="I23" s="14">
        <f t="shared" si="3"/>
        <v>0</v>
      </c>
      <c r="J23" s="32">
        <f t="shared" si="21"/>
        <v>319434</v>
      </c>
      <c r="K23" s="14">
        <f t="shared" si="4"/>
        <v>0</v>
      </c>
      <c r="L23" s="32">
        <f t="shared" si="22"/>
        <v>26231</v>
      </c>
      <c r="M23" s="14">
        <f t="shared" si="5"/>
        <v>0</v>
      </c>
      <c r="N23" s="32">
        <f t="shared" si="23"/>
        <v>226097</v>
      </c>
      <c r="O23" s="14">
        <f t="shared" si="6"/>
        <v>0</v>
      </c>
      <c r="P23" s="32">
        <f t="shared" si="12"/>
        <v>156904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4009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7"/>
        <v>47177</v>
      </c>
      <c r="C24" s="14">
        <f t="shared" si="9"/>
        <v>0</v>
      </c>
      <c r="D24" s="32">
        <f t="shared" si="18"/>
        <v>40699</v>
      </c>
      <c r="E24" s="14">
        <f t="shared" si="1"/>
        <v>0</v>
      </c>
      <c r="F24" s="32">
        <f t="shared" si="19"/>
        <v>21755</v>
      </c>
      <c r="G24" s="14">
        <f t="shared" si="2"/>
        <v>0</v>
      </c>
      <c r="H24" s="32">
        <f t="shared" si="20"/>
        <v>255774</v>
      </c>
      <c r="I24" s="14">
        <f t="shared" si="3"/>
        <v>0</v>
      </c>
      <c r="J24" s="32">
        <f t="shared" si="21"/>
        <v>319434</v>
      </c>
      <c r="K24" s="14">
        <f t="shared" si="4"/>
        <v>0</v>
      </c>
      <c r="L24" s="32">
        <f t="shared" si="22"/>
        <v>26231</v>
      </c>
      <c r="M24" s="14">
        <f t="shared" si="5"/>
        <v>0</v>
      </c>
      <c r="N24" s="32">
        <f t="shared" si="23"/>
        <v>226097</v>
      </c>
      <c r="O24" s="14">
        <f t="shared" si="6"/>
        <v>0</v>
      </c>
      <c r="P24" s="32">
        <f t="shared" si="12"/>
        <v>156904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4009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7"/>
        <v>47177</v>
      </c>
      <c r="C25" s="14">
        <f t="shared" si="9"/>
        <v>0</v>
      </c>
      <c r="D25" s="32">
        <f t="shared" si="18"/>
        <v>40699</v>
      </c>
      <c r="E25" s="14">
        <f t="shared" si="1"/>
        <v>0</v>
      </c>
      <c r="F25" s="32">
        <f t="shared" si="19"/>
        <v>21755</v>
      </c>
      <c r="G25" s="14">
        <f t="shared" si="2"/>
        <v>0</v>
      </c>
      <c r="H25" s="32">
        <f t="shared" si="20"/>
        <v>255774</v>
      </c>
      <c r="I25" s="14">
        <f t="shared" si="3"/>
        <v>0</v>
      </c>
      <c r="J25" s="32">
        <f t="shared" si="21"/>
        <v>319434</v>
      </c>
      <c r="K25" s="14">
        <f t="shared" si="4"/>
        <v>0</v>
      </c>
      <c r="L25" s="32">
        <f t="shared" si="22"/>
        <v>26231</v>
      </c>
      <c r="M25" s="14">
        <f t="shared" si="5"/>
        <v>0</v>
      </c>
      <c r="N25" s="32">
        <f t="shared" si="23"/>
        <v>226097</v>
      </c>
      <c r="O25" s="14">
        <f t="shared" si="6"/>
        <v>0</v>
      </c>
      <c r="P25" s="32">
        <f t="shared" si="12"/>
        <v>156904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4009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47177</v>
      </c>
      <c r="C26" s="14">
        <f t="shared" si="9"/>
        <v>0</v>
      </c>
      <c r="D26" s="32">
        <f t="shared" si="18"/>
        <v>40699</v>
      </c>
      <c r="E26" s="14">
        <f t="shared" si="1"/>
        <v>0</v>
      </c>
      <c r="F26" s="32">
        <f t="shared" si="19"/>
        <v>21755</v>
      </c>
      <c r="G26" s="14">
        <f t="shared" si="2"/>
        <v>0</v>
      </c>
      <c r="H26" s="32">
        <f t="shared" si="20"/>
        <v>255774</v>
      </c>
      <c r="I26" s="14">
        <f t="shared" si="3"/>
        <v>0</v>
      </c>
      <c r="J26" s="32">
        <f t="shared" si="21"/>
        <v>319434</v>
      </c>
      <c r="K26" s="14">
        <f t="shared" si="4"/>
        <v>0</v>
      </c>
      <c r="L26" s="32">
        <f t="shared" si="22"/>
        <v>26231</v>
      </c>
      <c r="M26" s="14">
        <f t="shared" si="5"/>
        <v>0</v>
      </c>
      <c r="N26" s="32">
        <f t="shared" si="23"/>
        <v>226097</v>
      </c>
      <c r="O26" s="14">
        <f t="shared" si="6"/>
        <v>0</v>
      </c>
      <c r="P26" s="32">
        <f t="shared" si="12"/>
        <v>156904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4009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47177</v>
      </c>
      <c r="C27" s="14">
        <f t="shared" si="9"/>
        <v>0</v>
      </c>
      <c r="D27" s="32">
        <f t="shared" si="18"/>
        <v>40699</v>
      </c>
      <c r="E27" s="14">
        <f t="shared" si="1"/>
        <v>0</v>
      </c>
      <c r="F27" s="32">
        <f t="shared" si="19"/>
        <v>21755</v>
      </c>
      <c r="G27" s="14">
        <f t="shared" si="2"/>
        <v>0</v>
      </c>
      <c r="H27" s="32">
        <f t="shared" si="20"/>
        <v>255774</v>
      </c>
      <c r="I27" s="14">
        <f t="shared" si="3"/>
        <v>0</v>
      </c>
      <c r="J27" s="32">
        <f t="shared" si="21"/>
        <v>319434</v>
      </c>
      <c r="K27" s="14">
        <f t="shared" si="4"/>
        <v>0</v>
      </c>
      <c r="L27" s="32">
        <f t="shared" si="22"/>
        <v>26231</v>
      </c>
      <c r="M27" s="14">
        <f t="shared" si="5"/>
        <v>0</v>
      </c>
      <c r="N27" s="32">
        <f t="shared" si="23"/>
        <v>226097</v>
      </c>
      <c r="O27" s="14">
        <f t="shared" si="6"/>
        <v>0</v>
      </c>
      <c r="P27" s="32">
        <f t="shared" si="12"/>
        <v>156904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4009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47177</v>
      </c>
      <c r="C28" s="14">
        <f t="shared" si="9"/>
        <v>0</v>
      </c>
      <c r="D28" s="32">
        <f t="shared" si="18"/>
        <v>40699</v>
      </c>
      <c r="E28" s="14">
        <f t="shared" si="1"/>
        <v>0</v>
      </c>
      <c r="F28" s="32">
        <f t="shared" si="19"/>
        <v>21755</v>
      </c>
      <c r="G28" s="14">
        <f t="shared" si="2"/>
        <v>0</v>
      </c>
      <c r="H28" s="32">
        <f t="shared" si="20"/>
        <v>255774</v>
      </c>
      <c r="I28" s="14">
        <f t="shared" si="3"/>
        <v>0</v>
      </c>
      <c r="J28" s="32">
        <f t="shared" si="21"/>
        <v>319434</v>
      </c>
      <c r="K28" s="14">
        <f t="shared" si="4"/>
        <v>0</v>
      </c>
      <c r="L28" s="32">
        <f t="shared" si="22"/>
        <v>26231</v>
      </c>
      <c r="M28" s="14">
        <f t="shared" si="5"/>
        <v>0</v>
      </c>
      <c r="N28" s="32">
        <f t="shared" si="23"/>
        <v>226097</v>
      </c>
      <c r="O28" s="14">
        <f t="shared" si="6"/>
        <v>0</v>
      </c>
      <c r="P28" s="32">
        <f t="shared" si="12"/>
        <v>156904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4009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47177</v>
      </c>
      <c r="C29" s="14">
        <f t="shared" si="9"/>
        <v>0</v>
      </c>
      <c r="D29" s="32">
        <f t="shared" si="18"/>
        <v>40699</v>
      </c>
      <c r="E29" s="14">
        <f t="shared" si="1"/>
        <v>0</v>
      </c>
      <c r="F29" s="32">
        <f t="shared" si="19"/>
        <v>21755</v>
      </c>
      <c r="G29" s="14">
        <f t="shared" si="2"/>
        <v>0</v>
      </c>
      <c r="H29" s="32">
        <f t="shared" si="20"/>
        <v>255774</v>
      </c>
      <c r="I29" s="14">
        <f t="shared" si="3"/>
        <v>0</v>
      </c>
      <c r="J29" s="32">
        <f t="shared" si="21"/>
        <v>319434</v>
      </c>
      <c r="K29" s="14">
        <f t="shared" si="4"/>
        <v>0</v>
      </c>
      <c r="L29" s="32">
        <f t="shared" si="22"/>
        <v>26231</v>
      </c>
      <c r="M29" s="14">
        <f t="shared" si="5"/>
        <v>0</v>
      </c>
      <c r="N29" s="32">
        <f t="shared" si="23"/>
        <v>226097</v>
      </c>
      <c r="O29" s="14">
        <f t="shared" si="6"/>
        <v>0</v>
      </c>
      <c r="P29" s="32">
        <f t="shared" si="12"/>
        <v>156904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4009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47177</v>
      </c>
      <c r="C30" s="14">
        <f t="shared" si="9"/>
        <v>0</v>
      </c>
      <c r="D30" s="32">
        <f t="shared" si="18"/>
        <v>40699</v>
      </c>
      <c r="E30" s="14">
        <f t="shared" si="1"/>
        <v>0</v>
      </c>
      <c r="F30" s="32">
        <f t="shared" si="19"/>
        <v>21755</v>
      </c>
      <c r="G30" s="14">
        <f t="shared" si="2"/>
        <v>0</v>
      </c>
      <c r="H30" s="32">
        <f t="shared" si="20"/>
        <v>255774</v>
      </c>
      <c r="I30" s="14">
        <f t="shared" si="3"/>
        <v>0</v>
      </c>
      <c r="J30" s="32">
        <f t="shared" si="21"/>
        <v>319434</v>
      </c>
      <c r="K30" s="14">
        <f t="shared" si="4"/>
        <v>0</v>
      </c>
      <c r="L30" s="32">
        <f t="shared" si="22"/>
        <v>26231</v>
      </c>
      <c r="M30" s="14">
        <f t="shared" si="5"/>
        <v>0</v>
      </c>
      <c r="N30" s="32">
        <f t="shared" si="23"/>
        <v>226097</v>
      </c>
      <c r="O30" s="14">
        <f t="shared" si="6"/>
        <v>0</v>
      </c>
      <c r="P30" s="32">
        <f t="shared" si="12"/>
        <v>156904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4009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47177</v>
      </c>
      <c r="C31" s="14">
        <f t="shared" si="9"/>
        <v>0</v>
      </c>
      <c r="D31" s="32">
        <f t="shared" si="18"/>
        <v>40699</v>
      </c>
      <c r="E31" s="14">
        <f t="shared" si="1"/>
        <v>0</v>
      </c>
      <c r="F31" s="32">
        <f t="shared" si="19"/>
        <v>21755</v>
      </c>
      <c r="G31" s="14">
        <f t="shared" si="2"/>
        <v>0</v>
      </c>
      <c r="H31" s="32">
        <f t="shared" si="20"/>
        <v>255774</v>
      </c>
      <c r="I31" s="14">
        <f t="shared" si="3"/>
        <v>0</v>
      </c>
      <c r="J31" s="32">
        <f t="shared" si="21"/>
        <v>319434</v>
      </c>
      <c r="K31" s="14">
        <f t="shared" si="4"/>
        <v>0</v>
      </c>
      <c r="L31" s="32">
        <f t="shared" si="22"/>
        <v>26231</v>
      </c>
      <c r="M31" s="14">
        <f t="shared" si="5"/>
        <v>0</v>
      </c>
      <c r="N31" s="32">
        <f t="shared" si="23"/>
        <v>226097</v>
      </c>
      <c r="O31" s="14">
        <f t="shared" si="6"/>
        <v>0</v>
      </c>
      <c r="P31" s="32">
        <f t="shared" si="12"/>
        <v>156904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4009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47177</v>
      </c>
      <c r="C32" s="14">
        <f t="shared" si="9"/>
        <v>0</v>
      </c>
      <c r="D32" s="32">
        <f t="shared" si="18"/>
        <v>40699</v>
      </c>
      <c r="E32" s="14">
        <f t="shared" si="1"/>
        <v>0</v>
      </c>
      <c r="F32" s="32">
        <f t="shared" si="19"/>
        <v>21755</v>
      </c>
      <c r="G32" s="14">
        <f t="shared" si="2"/>
        <v>0</v>
      </c>
      <c r="H32" s="32">
        <f t="shared" si="20"/>
        <v>255774</v>
      </c>
      <c r="I32" s="14">
        <f t="shared" si="3"/>
        <v>0</v>
      </c>
      <c r="J32" s="32">
        <f t="shared" si="21"/>
        <v>319434</v>
      </c>
      <c r="K32" s="14">
        <f t="shared" si="4"/>
        <v>0</v>
      </c>
      <c r="L32" s="32">
        <f t="shared" si="22"/>
        <v>26231</v>
      </c>
      <c r="M32" s="14">
        <f t="shared" si="5"/>
        <v>0</v>
      </c>
      <c r="N32" s="32">
        <f t="shared" si="23"/>
        <v>226097</v>
      </c>
      <c r="O32" s="14">
        <f t="shared" si="6"/>
        <v>0</v>
      </c>
      <c r="P32" s="32">
        <f t="shared" si="12"/>
        <v>156904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4009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14400</v>
      </c>
      <c r="D33" s="11"/>
      <c r="E33" s="14">
        <f>SUM(E3:E32)</f>
        <v>9760</v>
      </c>
      <c r="F33" s="11"/>
      <c r="G33" s="14">
        <f>SUM(G3:G32)</f>
        <v>1360</v>
      </c>
      <c r="H33" s="11"/>
      <c r="I33" s="14">
        <f>SUM(I3:I32)</f>
        <v>475</v>
      </c>
      <c r="J33" s="11"/>
      <c r="K33" s="14">
        <f>SUM(K3:K32)</f>
        <v>3030</v>
      </c>
      <c r="L33" s="11"/>
      <c r="M33" s="14">
        <f>SUM(M3:M32)</f>
        <v>3600</v>
      </c>
      <c r="N33" s="33"/>
      <c r="O33" s="14">
        <f>SUM(O3:O32)</f>
        <v>61</v>
      </c>
      <c r="P33" s="32"/>
      <c r="Q33" s="14">
        <f>SUM(Q3:Q32)</f>
        <v>2538</v>
      </c>
      <c r="R33" s="1"/>
      <c r="S33" s="14">
        <f>SUM(S3:S32)</f>
        <v>0</v>
      </c>
      <c r="T33" s="1"/>
      <c r="U33" s="14">
        <f>SUM(U3:U32)</f>
        <v>1920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G21" sqref="G21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>
        <v>169</v>
      </c>
      <c r="C20" s="145">
        <v>19749</v>
      </c>
      <c r="D20" s="39">
        <f t="shared" si="1"/>
        <v>640</v>
      </c>
      <c r="E20" s="146">
        <v>31482885</v>
      </c>
      <c r="F20" s="39">
        <f t="shared" si="2"/>
        <v>21732</v>
      </c>
      <c r="G20" s="147">
        <v>593441</v>
      </c>
      <c r="H20" s="39">
        <f t="shared" si="3"/>
        <v>54342</v>
      </c>
      <c r="I20" s="152">
        <f t="shared" si="4"/>
        <v>76074</v>
      </c>
      <c r="J20" s="146">
        <v>14250</v>
      </c>
      <c r="K20" s="130">
        <f t="shared" si="12"/>
        <v>9266</v>
      </c>
      <c r="L20" s="149">
        <v>216603</v>
      </c>
      <c r="M20" s="130">
        <f t="shared" si="5"/>
        <v>6496</v>
      </c>
      <c r="N20" s="146">
        <v>6777233</v>
      </c>
      <c r="O20" s="130">
        <f t="shared" si="13"/>
        <v>15060</v>
      </c>
      <c r="P20" s="149">
        <v>6875260</v>
      </c>
      <c r="Q20" s="130">
        <f t="shared" si="6"/>
        <v>12846</v>
      </c>
      <c r="R20" s="146">
        <v>21415523</v>
      </c>
      <c r="S20" s="130">
        <f t="shared" si="7"/>
        <v>10768</v>
      </c>
      <c r="T20" s="153">
        <v>0</v>
      </c>
      <c r="U20" s="150"/>
      <c r="V20" s="146">
        <v>9362902</v>
      </c>
      <c r="W20" s="130">
        <f t="shared" si="8"/>
        <v>12113</v>
      </c>
      <c r="X20" s="19">
        <f t="shared" si="9"/>
        <v>66549</v>
      </c>
      <c r="Y20" s="154">
        <f t="shared" si="10"/>
        <v>9525</v>
      </c>
      <c r="Z20" s="155">
        <f t="shared" si="11"/>
        <v>9593.4622992000004</v>
      </c>
      <c r="AA20" s="3">
        <f>SUM(Z1:Z20)</f>
        <v>168940.33008320004</v>
      </c>
    </row>
    <row r="21" spans="1:27" s="131" customFormat="1" ht="16.5" thickBot="1" x14ac:dyDescent="0.3">
      <c r="A21" s="9">
        <v>44731</v>
      </c>
      <c r="B21" s="39">
        <v>300</v>
      </c>
      <c r="C21" s="145">
        <v>19753</v>
      </c>
      <c r="D21" s="39">
        <f t="shared" si="1"/>
        <v>640</v>
      </c>
      <c r="E21" s="146">
        <v>31503872</v>
      </c>
      <c r="F21" s="39">
        <f t="shared" si="2"/>
        <v>20987</v>
      </c>
      <c r="G21" s="147">
        <v>646189</v>
      </c>
      <c r="H21" s="39">
        <f t="shared" si="3"/>
        <v>52748</v>
      </c>
      <c r="I21" s="152">
        <f t="shared" si="4"/>
        <v>73735</v>
      </c>
      <c r="J21" s="146">
        <v>19351</v>
      </c>
      <c r="K21" s="130">
        <f t="shared" si="12"/>
        <v>10202</v>
      </c>
      <c r="L21" s="149">
        <v>223136</v>
      </c>
      <c r="M21" s="130">
        <f t="shared" si="5"/>
        <v>6533</v>
      </c>
      <c r="N21" s="146">
        <v>6784362</v>
      </c>
      <c r="O21" s="130">
        <f t="shared" si="13"/>
        <v>14258</v>
      </c>
      <c r="P21" s="149">
        <v>6885041</v>
      </c>
      <c r="Q21" s="130">
        <f t="shared" si="6"/>
        <v>9781</v>
      </c>
      <c r="R21" s="146">
        <v>21426166</v>
      </c>
      <c r="S21" s="130">
        <f t="shared" si="7"/>
        <v>10643</v>
      </c>
      <c r="T21" s="153">
        <v>0</v>
      </c>
      <c r="U21" s="150"/>
      <c r="V21" s="146">
        <v>9374524</v>
      </c>
      <c r="W21" s="130">
        <f t="shared" si="8"/>
        <v>11622</v>
      </c>
      <c r="X21" s="19">
        <f t="shared" si="9"/>
        <v>63039</v>
      </c>
      <c r="Y21" s="154">
        <f t="shared" si="10"/>
        <v>10696</v>
      </c>
      <c r="Z21" s="155">
        <f t="shared" si="11"/>
        <v>8884.131879999999</v>
      </c>
      <c r="AA21" s="3">
        <f>SUM(Z1:Z21)</f>
        <v>177824.46196320004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 t="str">
        <f t="shared" si="2"/>
        <v>0</v>
      </c>
      <c r="G22" s="147"/>
      <c r="H22" s="39" t="str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 t="str">
        <f t="shared" si="5"/>
        <v>0</v>
      </c>
      <c r="N22" s="146"/>
      <c r="O22" s="39">
        <f t="shared" si="13"/>
        <v>0</v>
      </c>
      <c r="P22" s="149"/>
      <c r="Q22" s="39" t="str">
        <f t="shared" si="6"/>
        <v>0</v>
      </c>
      <c r="R22" s="146"/>
      <c r="S22" s="39" t="str">
        <f t="shared" si="7"/>
        <v>0</v>
      </c>
      <c r="T22" s="146">
        <v>0</v>
      </c>
      <c r="U22" s="150"/>
      <c r="V22" s="146"/>
      <c r="W22" s="39" t="str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177824.46196320004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177824.46196320004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177824.46196320004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177824.46196320004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177824.46196320004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177824.46196320004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177824.46196320004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177824.46196320004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177824.46196320004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177824.46196320004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177824.46196320004</v>
      </c>
    </row>
    <row r="33" spans="1:27" ht="16.5" thickBot="1" x14ac:dyDescent="0.3">
      <c r="A33" s="137" t="s">
        <v>23</v>
      </c>
      <c r="B33" s="137">
        <f>SUM(B3:B32)</f>
        <v>4015</v>
      </c>
      <c r="C33" s="137">
        <v>0</v>
      </c>
      <c r="D33" s="137">
        <f>SUM(D3:D32)</f>
        <v>12320</v>
      </c>
      <c r="E33" s="56">
        <v>0</v>
      </c>
      <c r="F33" s="56">
        <f>SUM(F3:F32)</f>
        <v>408294</v>
      </c>
      <c r="G33" s="56">
        <v>0</v>
      </c>
      <c r="H33" s="56">
        <f>SUM(H3:H32)</f>
        <v>1005367</v>
      </c>
      <c r="I33" s="56">
        <f>SUM(I3:I32)</f>
        <v>1413661</v>
      </c>
      <c r="J33" s="56">
        <v>0</v>
      </c>
      <c r="K33" s="56">
        <f>SUM(K2:K32)</f>
        <v>190815</v>
      </c>
      <c r="L33" s="56">
        <v>0</v>
      </c>
      <c r="M33" s="56">
        <f>SUM(M3:M32)</f>
        <v>128404</v>
      </c>
      <c r="N33" s="56">
        <v>0</v>
      </c>
      <c r="O33" s="56">
        <f>SUM(O3:O32)</f>
        <v>276212</v>
      </c>
      <c r="P33" s="56">
        <v>0</v>
      </c>
      <c r="Q33" s="56">
        <f>SUM(Q3:Q32)</f>
        <v>248785</v>
      </c>
      <c r="R33" s="56">
        <v>0</v>
      </c>
      <c r="S33" s="56">
        <f>SUM(S3:S32)</f>
        <v>203933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215578</v>
      </c>
      <c r="X33" s="56">
        <f>SUM(X3:X32)</f>
        <v>1263727</v>
      </c>
      <c r="Y33" s="56">
        <f>SUM(Y3:Y32)</f>
        <v>149934</v>
      </c>
      <c r="Z33" s="56">
        <f>SUM(Z3:Z32)</f>
        <v>177824.46196320004</v>
      </c>
      <c r="AA33" s="56">
        <f>SUM(AA3:AA32)</f>
        <v>3737067.9913840005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21" sqref="K2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>
        <v>452096</v>
      </c>
      <c r="C20" s="39">
        <f t="shared" si="5"/>
        <v>980</v>
      </c>
      <c r="D20" s="3">
        <v>9668</v>
      </c>
      <c r="E20" s="39">
        <f t="shared" si="6"/>
        <v>450</v>
      </c>
      <c r="F20" s="3">
        <v>9675300</v>
      </c>
      <c r="G20" s="39">
        <f t="shared" si="3"/>
        <v>510.3</v>
      </c>
      <c r="H20" s="3">
        <v>797392</v>
      </c>
      <c r="I20" s="44">
        <f t="shared" si="4"/>
        <v>4.968</v>
      </c>
      <c r="J20" s="19">
        <f t="shared" si="1"/>
        <v>1945.268</v>
      </c>
      <c r="K20" s="20">
        <f t="shared" si="2"/>
        <v>11399.270480000001</v>
      </c>
    </row>
    <row r="21" spans="1:25" ht="16.5" thickBot="1" x14ac:dyDescent="0.3">
      <c r="A21" s="9">
        <v>44731</v>
      </c>
      <c r="B21" s="3">
        <v>452190</v>
      </c>
      <c r="C21" s="39">
        <f t="shared" si="5"/>
        <v>940</v>
      </c>
      <c r="D21" s="3">
        <v>9715</v>
      </c>
      <c r="E21" s="39">
        <f t="shared" si="6"/>
        <v>470</v>
      </c>
      <c r="F21" s="3">
        <v>9690500</v>
      </c>
      <c r="G21" s="39">
        <f t="shared" si="3"/>
        <v>410.4</v>
      </c>
      <c r="H21" s="3">
        <v>797580</v>
      </c>
      <c r="I21" s="44">
        <f t="shared" si="4"/>
        <v>5.0759999999999996</v>
      </c>
      <c r="J21" s="19">
        <f t="shared" si="1"/>
        <v>1825.4760000000001</v>
      </c>
      <c r="K21" s="20">
        <f t="shared" si="2"/>
        <v>10697.289360000001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20220</v>
      </c>
      <c r="D33" s="3"/>
      <c r="E33" s="56">
        <f>SUM(E3:E32)</f>
        <v>9220</v>
      </c>
      <c r="F33" s="3"/>
      <c r="G33" s="56">
        <f>SUM(G3:G32)</f>
        <v>10035.899999999998</v>
      </c>
      <c r="H33" s="3"/>
      <c r="I33" s="56">
        <f>SUM(I3:I32)</f>
        <v>102.95100000000001</v>
      </c>
      <c r="J33" s="56">
        <f>SUM(J3:J32)</f>
        <v>39578.851000000002</v>
      </c>
      <c r="K33" s="56">
        <f>SUM(K3:K32)</f>
        <v>231932.06685999996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22" sqref="B2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>
        <v>18342687</v>
      </c>
      <c r="C20" s="45">
        <f t="shared" si="0"/>
        <v>2346</v>
      </c>
    </row>
    <row r="21" spans="1:9" ht="24" thickBot="1" x14ac:dyDescent="0.4">
      <c r="A21" s="9">
        <v>44731</v>
      </c>
      <c r="B21" s="133">
        <v>18345145</v>
      </c>
      <c r="C21" s="45">
        <f t="shared" si="0"/>
        <v>2458</v>
      </c>
    </row>
    <row r="22" spans="1:9" ht="24" thickBot="1" x14ac:dyDescent="0.4">
      <c r="A22" s="9">
        <v>44732</v>
      </c>
      <c r="B22" s="133"/>
      <c r="C22" s="45" t="str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43891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I1" zoomScale="90" zoomScaleNormal="90" workbookViewId="0">
      <pane ySplit="1" topLeftCell="A2" activePane="bottomLeft" state="frozen"/>
      <selection pane="bottomLeft" activeCell="AH21" sqref="AH21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>
        <v>23738.457999999999</v>
      </c>
      <c r="C20" s="44">
        <f t="shared" si="22"/>
        <v>11.01299999999901</v>
      </c>
      <c r="D20" s="28">
        <f t="shared" si="23"/>
        <v>20924.69999999812</v>
      </c>
      <c r="E20" s="160">
        <v>4287.8010000000004</v>
      </c>
      <c r="F20" s="44">
        <f t="shared" si="24"/>
        <v>1.5420000000003711</v>
      </c>
      <c r="G20" s="28">
        <f t="shared" si="25"/>
        <v>2929.800000000705</v>
      </c>
      <c r="H20" s="160">
        <v>5458</v>
      </c>
      <c r="I20" s="44">
        <f t="shared" si="26"/>
        <v>6</v>
      </c>
      <c r="J20" s="28">
        <f t="shared" si="27"/>
        <v>11399.999999999998</v>
      </c>
      <c r="K20" s="7">
        <v>14013.53</v>
      </c>
      <c r="L20" s="44">
        <f t="shared" si="28"/>
        <v>1.6000000000003638</v>
      </c>
      <c r="M20" s="28">
        <f t="shared" si="29"/>
        <v>3040.0000000006912</v>
      </c>
      <c r="N20" s="160">
        <v>3585.6179999999999</v>
      </c>
      <c r="O20" s="44">
        <f t="shared" si="30"/>
        <v>1.11200000000008</v>
      </c>
      <c r="P20" s="28">
        <f t="shared" si="31"/>
        <v>2112.8000000001521</v>
      </c>
      <c r="Q20" s="160">
        <v>5388.87</v>
      </c>
      <c r="R20" s="44">
        <f t="shared" si="32"/>
        <v>2.6499999999996362</v>
      </c>
      <c r="S20" s="28">
        <f t="shared" si="33"/>
        <v>5034.9999999993079</v>
      </c>
      <c r="T20" s="8">
        <f t="shared" si="35"/>
        <v>23.916999999999462</v>
      </c>
      <c r="U20" s="30">
        <f t="shared" si="34"/>
        <v>45442.29999999897</v>
      </c>
      <c r="W20" s="157">
        <v>44730</v>
      </c>
      <c r="X20" s="158">
        <v>181870</v>
      </c>
      <c r="Y20" s="163">
        <f t="shared" si="21"/>
        <v>149</v>
      </c>
      <c r="Z20" s="158">
        <v>9423</v>
      </c>
      <c r="AA20" s="163">
        <f t="shared" si="21"/>
        <v>3</v>
      </c>
      <c r="AB20" s="158">
        <v>28.7</v>
      </c>
      <c r="AC20" s="163">
        <f t="shared" si="21"/>
        <v>0</v>
      </c>
      <c r="AD20" s="158">
        <v>533</v>
      </c>
      <c r="AE20" s="163">
        <f t="shared" si="21"/>
        <v>1</v>
      </c>
      <c r="AF20" s="158">
        <v>7823</v>
      </c>
      <c r="AG20" s="163">
        <f t="shared" si="21"/>
        <v>0</v>
      </c>
    </row>
    <row r="21" spans="1:33" ht="16.5" thickBot="1" x14ac:dyDescent="0.25">
      <c r="A21" s="9">
        <v>44731</v>
      </c>
      <c r="B21" s="160">
        <v>23758.886999999999</v>
      </c>
      <c r="C21" s="44">
        <f t="shared" si="22"/>
        <v>20.429000000000087</v>
      </c>
      <c r="D21" s="28">
        <f t="shared" si="23"/>
        <v>38815.100000000166</v>
      </c>
      <c r="E21" s="160">
        <v>4292.5469999999996</v>
      </c>
      <c r="F21" s="44">
        <f t="shared" si="24"/>
        <v>4.7459999999991851</v>
      </c>
      <c r="G21" s="28">
        <f t="shared" si="25"/>
        <v>9017.3999999984517</v>
      </c>
      <c r="H21" s="160">
        <v>5469</v>
      </c>
      <c r="I21" s="44">
        <f t="shared" si="26"/>
        <v>11</v>
      </c>
      <c r="J21" s="28">
        <f t="shared" si="27"/>
        <v>20900</v>
      </c>
      <c r="K21" s="7">
        <v>14017.83</v>
      </c>
      <c r="L21" s="44">
        <f t="shared" si="28"/>
        <v>4.2999999999992724</v>
      </c>
      <c r="M21" s="28">
        <f t="shared" si="29"/>
        <v>8169.9999999986176</v>
      </c>
      <c r="N21" s="160">
        <v>3587.9659999999999</v>
      </c>
      <c r="O21" s="44">
        <f t="shared" si="30"/>
        <v>2.3479999999999563</v>
      </c>
      <c r="P21" s="28">
        <f t="shared" si="31"/>
        <v>4461.1999999999171</v>
      </c>
      <c r="Q21" s="160">
        <v>5390.74</v>
      </c>
      <c r="R21" s="44">
        <f t="shared" si="32"/>
        <v>1.8699999999998909</v>
      </c>
      <c r="S21" s="28">
        <f t="shared" si="33"/>
        <v>3552.9999999997926</v>
      </c>
      <c r="T21" s="8">
        <f t="shared" si="35"/>
        <v>44.692999999998392</v>
      </c>
      <c r="U21" s="30">
        <f t="shared" si="34"/>
        <v>84916.699999996941</v>
      </c>
      <c r="W21" s="157">
        <v>44731</v>
      </c>
      <c r="X21" s="158">
        <v>182278</v>
      </c>
      <c r="Y21" s="163">
        <f t="shared" si="21"/>
        <v>408</v>
      </c>
      <c r="Z21" s="158">
        <v>9432</v>
      </c>
      <c r="AA21" s="163">
        <f t="shared" si="21"/>
        <v>9</v>
      </c>
      <c r="AB21" s="158">
        <v>28.7</v>
      </c>
      <c r="AC21" s="163">
        <f t="shared" si="21"/>
        <v>0</v>
      </c>
      <c r="AD21" s="158">
        <v>534</v>
      </c>
      <c r="AE21" s="163">
        <f t="shared" si="21"/>
        <v>1</v>
      </c>
      <c r="AF21" s="158">
        <v>7852</v>
      </c>
      <c r="AG21" s="163">
        <f t="shared" si="21"/>
        <v>29</v>
      </c>
    </row>
    <row r="22" spans="1:33" ht="16.5" thickBot="1" x14ac:dyDescent="0.25">
      <c r="A22" s="9">
        <v>44732</v>
      </c>
      <c r="B22" s="160"/>
      <c r="C22" s="44" t="str">
        <f t="shared" si="22"/>
        <v>0</v>
      </c>
      <c r="D22" s="28">
        <f t="shared" si="23"/>
        <v>0</v>
      </c>
      <c r="E22" s="160"/>
      <c r="F22" s="44" t="str">
        <f t="shared" si="24"/>
        <v>0</v>
      </c>
      <c r="G22" s="28">
        <f t="shared" si="25"/>
        <v>0</v>
      </c>
      <c r="H22" s="160"/>
      <c r="I22" s="44" t="str">
        <f t="shared" si="26"/>
        <v>0</v>
      </c>
      <c r="J22" s="28">
        <f t="shared" si="27"/>
        <v>0</v>
      </c>
      <c r="K22" s="7"/>
      <c r="L22" s="44" t="str">
        <f t="shared" si="28"/>
        <v>0</v>
      </c>
      <c r="M22" s="28">
        <f t="shared" si="29"/>
        <v>0</v>
      </c>
      <c r="N22" s="160"/>
      <c r="O22" s="44" t="str">
        <f t="shared" si="30"/>
        <v>0</v>
      </c>
      <c r="P22" s="28">
        <f t="shared" si="31"/>
        <v>0</v>
      </c>
      <c r="Q22" s="160"/>
      <c r="R22" s="44" t="str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 t="str">
        <f t="shared" si="21"/>
        <v>0</v>
      </c>
      <c r="Z22" s="158"/>
      <c r="AA22" s="163" t="str">
        <f t="shared" si="21"/>
        <v>0</v>
      </c>
      <c r="AB22" s="158"/>
      <c r="AC22" s="163" t="str">
        <f t="shared" si="21"/>
        <v>0</v>
      </c>
      <c r="AD22" s="158"/>
      <c r="AE22" s="163" t="str">
        <f t="shared" si="21"/>
        <v>0</v>
      </c>
      <c r="AF22" s="158"/>
      <c r="AG22" s="163" t="str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256.34899999999834</v>
      </c>
      <c r="D33" s="137">
        <f>SUM(D3:D32)</f>
        <v>487063.09999999678</v>
      </c>
      <c r="E33" s="137"/>
      <c r="F33" s="44">
        <f>SUM(F2:F32)</f>
        <v>54.855999999999767</v>
      </c>
      <c r="G33" s="137">
        <f>SUM(G3:G32)</f>
        <v>104226.39999999953</v>
      </c>
      <c r="H33" s="137"/>
      <c r="I33" s="44">
        <f>SUM(I2:I32)</f>
        <v>150</v>
      </c>
      <c r="J33" s="137">
        <f>SUM(J3:J32)</f>
        <v>285000</v>
      </c>
      <c r="K33" s="137"/>
      <c r="L33" s="44">
        <f>SUM(L2:L32)</f>
        <v>44.920000000000073</v>
      </c>
      <c r="M33" s="137">
        <f>SUM(M3:M32)</f>
        <v>85348.000000000131</v>
      </c>
      <c r="N33" s="137"/>
      <c r="O33" s="44">
        <f>SUM(O2:O32)</f>
        <v>28.638999999999669</v>
      </c>
      <c r="P33" s="137">
        <f>SUM(P3:P32)</f>
        <v>54414.099999999358</v>
      </c>
      <c r="Q33" s="137"/>
      <c r="R33" s="44">
        <f>SUM(R3:R32)</f>
        <v>36.9399999999996</v>
      </c>
      <c r="S33" s="137">
        <f>SUM(S3:S32)</f>
        <v>70185.999999999229</v>
      </c>
      <c r="T33" s="137">
        <f>SUM(T3:T32)</f>
        <v>571.70399999999745</v>
      </c>
      <c r="U33" s="137">
        <f>SUM(U3:U32)</f>
        <v>1086237.5999999952</v>
      </c>
      <c r="V33"/>
      <c r="W33" s="137" t="s">
        <v>141</v>
      </c>
      <c r="X33" s="137"/>
      <c r="Y33" s="137">
        <f>SUM(Y2:Y32)</f>
        <v>5088</v>
      </c>
      <c r="Z33" s="137"/>
      <c r="AA33" s="137">
        <f>SUM(AA2:AA32)</f>
        <v>118</v>
      </c>
      <c r="AB33" s="137"/>
      <c r="AC33" s="137">
        <f>SUM(AC2:AC32)</f>
        <v>1.3000000000000007</v>
      </c>
      <c r="AD33" s="137"/>
      <c r="AE33" s="137">
        <f>SUM(AE2:AE32)</f>
        <v>39</v>
      </c>
      <c r="AF33" s="137">
        <v>0</v>
      </c>
      <c r="AG33" s="137">
        <f>SUM(AG2:AG32)</f>
        <v>286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-6907063</v>
      </c>
      <c r="D7" s="105">
        <f t="shared" si="0"/>
        <v>-8771970.0099999998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22395</v>
      </c>
      <c r="D8" s="105">
        <f t="shared" si="0"/>
        <v>28441.65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5011</v>
      </c>
      <c r="D9" s="105">
        <f t="shared" si="0"/>
        <v>6363.97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9600</v>
      </c>
      <c r="D10" s="105">
        <f t="shared" si="0"/>
        <v>12192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2538</v>
      </c>
      <c r="D11" s="105">
        <f t="shared" si="0"/>
        <v>3223.26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4009</v>
      </c>
      <c r="K16" s="94">
        <f>(J16-I16)*160</f>
        <v>1920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319434</v>
      </c>
      <c r="K17" s="94">
        <f>(J17-I17)</f>
        <v>3030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26231</v>
      </c>
      <c r="K18" s="94">
        <f>(J18-I18)*160</f>
        <v>9600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156904</v>
      </c>
      <c r="K19" s="94">
        <f>J19-I19</f>
        <v>2538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47177</v>
      </c>
      <c r="K21" s="94">
        <f>(J21-I21)*120</f>
        <v>10800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40699</v>
      </c>
      <c r="K22" s="94">
        <f>(J22-I22)*160</f>
        <v>9760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21755</v>
      </c>
      <c r="K23" s="94">
        <f>(J23-I23)*20</f>
        <v>1360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255774</v>
      </c>
      <c r="K24" s="94">
        <f>J24-I24</f>
        <v>475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226097</v>
      </c>
      <c r="K25" s="94">
        <f>J25-I25</f>
        <v>61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2022-06-20T03:29:00Z</dcterms:modified>
</cp:coreProperties>
</file>