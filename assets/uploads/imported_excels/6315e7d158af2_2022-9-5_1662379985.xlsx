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ay.fawaz\Four Seasons Hotels Limited\ABS_Engineering_O365 - FSENG-Admin - FSENG-Admin\FSENG\HEP\"/>
    </mc:Choice>
  </mc:AlternateContent>
  <bookViews>
    <workbookView xWindow="-105" yWindow="-105" windowWidth="19425" windowHeight="10425"/>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3" i="1" l="1"/>
  <c r="G33" i="1"/>
  <c r="I33" i="1"/>
  <c r="K33" i="1"/>
  <c r="AH36" i="2" l="1"/>
  <c r="AF36" i="2"/>
  <c r="AH35" i="2"/>
  <c r="AG36" i="2"/>
  <c r="AG35" i="2"/>
  <c r="AF35" i="2"/>
  <c r="W36" i="2"/>
  <c r="V36" i="2"/>
  <c r="W35" i="2"/>
  <c r="V35" i="2"/>
  <c r="Q36" i="2" l="1"/>
  <c r="P36" i="2"/>
  <c r="Q35" i="2"/>
  <c r="P35" i="2"/>
  <c r="O36" i="2"/>
  <c r="N36" i="2"/>
  <c r="M36" i="2"/>
  <c r="O35" i="2"/>
  <c r="N35" i="2"/>
  <c r="M35" i="2"/>
  <c r="J36" i="2"/>
  <c r="I36" i="2"/>
  <c r="H36" i="2"/>
  <c r="G36" i="2"/>
  <c r="F36" i="2"/>
  <c r="E36" i="2"/>
  <c r="D36" i="2"/>
  <c r="C36" i="2"/>
  <c r="B36" i="2"/>
  <c r="J35" i="2"/>
  <c r="I35" i="2"/>
  <c r="H35" i="2"/>
  <c r="G35" i="2"/>
  <c r="F35" i="2"/>
  <c r="E35" i="2"/>
  <c r="D35" i="2"/>
  <c r="C35" i="2"/>
  <c r="B35" i="2"/>
  <c r="AH34" i="2" l="1"/>
  <c r="AG34" i="2"/>
  <c r="AF34" i="2"/>
  <c r="W34" i="2"/>
  <c r="V34" i="2"/>
  <c r="Q34" i="2" l="1"/>
  <c r="P34" i="2"/>
  <c r="O34" i="2"/>
  <c r="N34" i="2"/>
  <c r="M34" i="2"/>
  <c r="J34" i="2" l="1"/>
  <c r="I34" i="2"/>
  <c r="H34" i="2"/>
  <c r="G34" i="2"/>
  <c r="F34" i="2"/>
  <c r="E34" i="2"/>
  <c r="D34" i="2"/>
  <c r="C34" i="2"/>
  <c r="B34" i="2"/>
  <c r="AH33" i="2" l="1"/>
  <c r="AF33" i="2"/>
  <c r="AH32" i="2"/>
  <c r="AG33" i="2"/>
  <c r="AG32" i="2"/>
  <c r="AF32" i="2"/>
  <c r="W33" i="2"/>
  <c r="V33" i="2"/>
  <c r="W32" i="2"/>
  <c r="V32" i="2"/>
  <c r="Q33" i="2" l="1"/>
  <c r="P33" i="2"/>
  <c r="Q32" i="2"/>
  <c r="P32" i="2"/>
  <c r="O33" i="2"/>
  <c r="N33" i="2"/>
  <c r="M33" i="2"/>
  <c r="O32" i="2"/>
  <c r="N32" i="2"/>
  <c r="M32" i="2"/>
  <c r="J33" i="2" l="1"/>
  <c r="I33" i="2"/>
  <c r="H33" i="2"/>
  <c r="G33" i="2"/>
  <c r="F33" i="2"/>
  <c r="E33" i="2"/>
  <c r="D33" i="2"/>
  <c r="C33" i="2"/>
  <c r="B33" i="2"/>
  <c r="J32" i="2"/>
  <c r="I32" i="2"/>
  <c r="H32" i="2"/>
  <c r="G32" i="2"/>
  <c r="F32" i="2"/>
  <c r="E32" i="2"/>
  <c r="D32" i="2"/>
  <c r="C32" i="2"/>
  <c r="B32" i="2"/>
  <c r="AH31" i="2" l="1"/>
  <c r="AG31" i="2"/>
  <c r="AF31" i="2"/>
  <c r="W31" i="2"/>
  <c r="V31" i="2"/>
  <c r="Q31" i="2" l="1"/>
  <c r="P31" i="2"/>
  <c r="O31" i="2"/>
  <c r="N31" i="2"/>
  <c r="M31" i="2"/>
  <c r="J31" i="2" l="1"/>
  <c r="I31" i="2"/>
  <c r="H31" i="2"/>
  <c r="G31" i="2"/>
  <c r="F31" i="2"/>
  <c r="E31" i="2"/>
  <c r="D31" i="2"/>
  <c r="C31" i="2"/>
  <c r="B31" i="2"/>
  <c r="AH30" i="2" l="1"/>
  <c r="AG30" i="2"/>
  <c r="AF30" i="2"/>
  <c r="W30" i="2"/>
  <c r="V30" i="2"/>
  <c r="Q30" i="2" l="1"/>
  <c r="P30" i="2"/>
  <c r="O30" i="2"/>
  <c r="N30" i="2"/>
  <c r="M30" i="2"/>
  <c r="J30" i="2" l="1"/>
  <c r="I30" i="2"/>
  <c r="H30" i="2"/>
  <c r="G30" i="2"/>
  <c r="F30" i="2"/>
  <c r="E30" i="2"/>
  <c r="D30" i="2"/>
  <c r="C30" i="2"/>
  <c r="B30" i="2"/>
  <c r="AH29" i="2" l="1"/>
  <c r="AG29" i="2"/>
  <c r="AF29" i="2"/>
  <c r="W29" i="2"/>
  <c r="V29" i="2"/>
  <c r="Q29" i="2" l="1"/>
  <c r="P29" i="2"/>
  <c r="O29" i="2"/>
  <c r="N29" i="2"/>
  <c r="M29" i="2"/>
  <c r="J29" i="2" l="1"/>
  <c r="I29" i="2"/>
  <c r="H29" i="2"/>
  <c r="G29" i="2"/>
  <c r="F29" i="2"/>
  <c r="E29" i="2"/>
  <c r="D29" i="2"/>
  <c r="C29" i="2"/>
  <c r="B29" i="2"/>
  <c r="AH28" i="2" l="1"/>
  <c r="AF28" i="2"/>
  <c r="AH27" i="2"/>
  <c r="AG28" i="2"/>
  <c r="AG27" i="2"/>
  <c r="AF27" i="2"/>
  <c r="W28" i="2"/>
  <c r="V28" i="2"/>
  <c r="W27" i="2"/>
  <c r="V27" i="2"/>
  <c r="Q28" i="2" l="1"/>
  <c r="P28" i="2"/>
  <c r="Q27" i="2"/>
  <c r="P27" i="2"/>
  <c r="O28" i="2"/>
  <c r="N28" i="2"/>
  <c r="M28" i="2"/>
  <c r="O27" i="2"/>
  <c r="N27" i="2"/>
  <c r="M27" i="2"/>
  <c r="J28" i="2" l="1"/>
  <c r="I28" i="2"/>
  <c r="H28" i="2"/>
  <c r="G28" i="2"/>
  <c r="F28" i="2"/>
  <c r="E28" i="2"/>
  <c r="D28" i="2"/>
  <c r="C28" i="2"/>
  <c r="B28" i="2"/>
  <c r="J27" i="2"/>
  <c r="I27" i="2"/>
  <c r="H27" i="2"/>
  <c r="G27" i="2"/>
  <c r="F27" i="2"/>
  <c r="E27" i="2"/>
  <c r="D27" i="2"/>
  <c r="C27" i="2"/>
  <c r="B27" i="2"/>
  <c r="AH26" i="2" l="1"/>
  <c r="AF26" i="2"/>
  <c r="AH25" i="2"/>
  <c r="AG26" i="2"/>
  <c r="AG25" i="2"/>
  <c r="AF25" i="2"/>
  <c r="W26" i="2"/>
  <c r="V26" i="2"/>
  <c r="W25" i="2"/>
  <c r="V25" i="2"/>
  <c r="Q26" i="2" l="1"/>
  <c r="P26" i="2"/>
  <c r="Q25" i="2"/>
  <c r="P25" i="2"/>
  <c r="O26" i="2"/>
  <c r="N26" i="2"/>
  <c r="M26" i="2"/>
  <c r="O25" i="2"/>
  <c r="N25" i="2"/>
  <c r="M25" i="2"/>
  <c r="J26" i="2" l="1"/>
  <c r="I26" i="2"/>
  <c r="H26" i="2"/>
  <c r="G26" i="2"/>
  <c r="F26" i="2"/>
  <c r="E26" i="2"/>
  <c r="D26" i="2"/>
  <c r="C26" i="2"/>
  <c r="B26" i="2"/>
  <c r="J25" i="2"/>
  <c r="I25" i="2"/>
  <c r="H25" i="2"/>
  <c r="G25" i="2"/>
  <c r="F25" i="2"/>
  <c r="E25" i="2"/>
  <c r="D25" i="2"/>
  <c r="C25" i="2"/>
  <c r="B25" i="2"/>
  <c r="AH24" i="2" l="1"/>
  <c r="AG24" i="2"/>
  <c r="AF24" i="2"/>
  <c r="W24" i="2"/>
  <c r="V24" i="2"/>
  <c r="Q24" i="2" l="1"/>
  <c r="P24" i="2"/>
  <c r="O24" i="2"/>
  <c r="N24" i="2"/>
  <c r="M24" i="2"/>
  <c r="J24" i="2" l="1"/>
  <c r="I24" i="2"/>
  <c r="H24" i="2"/>
  <c r="G24" i="2"/>
  <c r="F24" i="2"/>
  <c r="E24" i="2"/>
  <c r="D24" i="2"/>
  <c r="C24" i="2"/>
  <c r="B24" i="2"/>
  <c r="AH23" i="2" l="1"/>
  <c r="AG23" i="2"/>
  <c r="AF23" i="2"/>
  <c r="W23" i="2"/>
  <c r="V23" i="2"/>
  <c r="Q23" i="2" l="1"/>
  <c r="P23" i="2"/>
  <c r="O23" i="2"/>
  <c r="N23" i="2"/>
  <c r="M23" i="2"/>
  <c r="J23" i="2" l="1"/>
  <c r="I23" i="2"/>
  <c r="H23" i="2"/>
  <c r="G23" i="2"/>
  <c r="F23" i="2"/>
  <c r="E23" i="2"/>
  <c r="D23" i="2"/>
  <c r="C23" i="2"/>
  <c r="B23" i="2"/>
  <c r="AH22" i="2" l="1"/>
  <c r="AG22" i="2"/>
  <c r="AF22" i="2"/>
  <c r="W22" i="2"/>
  <c r="V22" i="2"/>
  <c r="Q22" i="2" l="1"/>
  <c r="P22" i="2"/>
  <c r="O22" i="2"/>
  <c r="N22" i="2"/>
  <c r="M22" i="2"/>
  <c r="J22" i="2" l="1"/>
  <c r="I22" i="2"/>
  <c r="H22" i="2"/>
  <c r="G22" i="2"/>
  <c r="F22" i="2"/>
  <c r="E22" i="2"/>
  <c r="D22" i="2"/>
  <c r="C22" i="2"/>
  <c r="B22" i="2"/>
  <c r="AH21" i="2" l="1"/>
  <c r="AG21" i="2"/>
  <c r="AF21" i="2"/>
  <c r="W21" i="2"/>
  <c r="V21" i="2"/>
  <c r="Q21" i="2" l="1"/>
  <c r="P21" i="2"/>
  <c r="O21" i="2"/>
  <c r="N21" i="2"/>
  <c r="M21" i="2"/>
  <c r="J21" i="2" l="1"/>
  <c r="I21" i="2"/>
  <c r="H21" i="2"/>
  <c r="G21" i="2"/>
  <c r="F21" i="2"/>
  <c r="E21" i="2"/>
  <c r="D21" i="2"/>
  <c r="C21" i="2"/>
  <c r="B21" i="2"/>
  <c r="AH20" i="2" l="1"/>
  <c r="AG20" i="2"/>
  <c r="AF20" i="2"/>
  <c r="W20" i="2"/>
  <c r="V20" i="2"/>
  <c r="Q20" i="2" l="1"/>
  <c r="P20" i="2"/>
  <c r="O20" i="2"/>
  <c r="N20" i="2"/>
  <c r="M20" i="2"/>
  <c r="J20" i="2" l="1"/>
  <c r="I20" i="2"/>
  <c r="H20" i="2"/>
  <c r="G20" i="2"/>
  <c r="F20" i="2"/>
  <c r="E20" i="2"/>
  <c r="D20" i="2"/>
  <c r="C20" i="2"/>
  <c r="B20" i="2"/>
  <c r="AH19" i="2" l="1"/>
  <c r="AF19" i="2"/>
  <c r="AH18" i="2"/>
  <c r="AF18" i="2"/>
  <c r="AH17" i="2"/>
  <c r="AF17" i="2"/>
  <c r="AG19" i="2"/>
  <c r="AG18" i="2"/>
  <c r="AG17" i="2"/>
  <c r="AH16" i="2"/>
  <c r="AG16" i="2"/>
  <c r="AF16" i="2"/>
  <c r="W19" i="2"/>
  <c r="V19" i="2"/>
  <c r="W18" i="2"/>
  <c r="V18" i="2"/>
  <c r="W17" i="2"/>
  <c r="V17" i="2"/>
  <c r="W16" i="2"/>
  <c r="V16" i="2"/>
  <c r="Q19" i="2" l="1"/>
  <c r="P19" i="2"/>
  <c r="Q18" i="2"/>
  <c r="P18" i="2"/>
  <c r="Q17" i="2"/>
  <c r="P17" i="2"/>
  <c r="Q16" i="2"/>
  <c r="P16" i="2"/>
  <c r="O19" i="2"/>
  <c r="N19" i="2"/>
  <c r="M19" i="2"/>
  <c r="O18" i="2"/>
  <c r="N18" i="2"/>
  <c r="M18" i="2"/>
  <c r="O17" i="2"/>
  <c r="N17" i="2"/>
  <c r="M17" i="2"/>
  <c r="O16" i="2"/>
  <c r="N16" i="2"/>
  <c r="M16" i="2"/>
  <c r="J19" i="2" l="1"/>
  <c r="I19" i="2"/>
  <c r="H19" i="2"/>
  <c r="G19" i="2"/>
  <c r="F19" i="2"/>
  <c r="E19" i="2"/>
  <c r="D19" i="2"/>
  <c r="C19" i="2"/>
  <c r="B19" i="2"/>
  <c r="J18" i="2"/>
  <c r="I18" i="2"/>
  <c r="H18" i="2"/>
  <c r="G18" i="2"/>
  <c r="F18" i="2"/>
  <c r="E18" i="2"/>
  <c r="D18" i="2"/>
  <c r="C18" i="2"/>
  <c r="B18" i="2"/>
  <c r="J17" i="2"/>
  <c r="I17" i="2"/>
  <c r="H17" i="2"/>
  <c r="G17" i="2"/>
  <c r="F17" i="2"/>
  <c r="E17" i="2"/>
  <c r="D17" i="2"/>
  <c r="C17" i="2"/>
  <c r="B17" i="2"/>
  <c r="J16" i="2"/>
  <c r="I16" i="2"/>
  <c r="H16" i="2"/>
  <c r="G16" i="2"/>
  <c r="F16" i="2"/>
  <c r="E16" i="2"/>
  <c r="D16" i="2"/>
  <c r="C16" i="2"/>
  <c r="B16" i="2"/>
  <c r="AH15" i="2" l="1"/>
  <c r="AG15" i="2"/>
  <c r="AF15" i="2"/>
  <c r="W15" i="2"/>
  <c r="V15" i="2"/>
  <c r="Q15" i="2" l="1"/>
  <c r="P15" i="2"/>
  <c r="O15" i="2"/>
  <c r="N15" i="2"/>
  <c r="M15" i="2"/>
  <c r="J15" i="2" l="1"/>
  <c r="I15" i="2"/>
  <c r="H15" i="2"/>
  <c r="G15" i="2"/>
  <c r="F15" i="2"/>
  <c r="E15" i="2"/>
  <c r="D15" i="2"/>
  <c r="C15" i="2"/>
  <c r="B15" i="2"/>
  <c r="AH14" i="2" l="1"/>
  <c r="AG14" i="2"/>
  <c r="AF14" i="2"/>
  <c r="W14" i="2"/>
  <c r="V14" i="2"/>
  <c r="Q14" i="2" l="1"/>
  <c r="P14" i="2"/>
  <c r="O14" i="2"/>
  <c r="N14" i="2"/>
  <c r="M14" i="2"/>
  <c r="J14" i="2" l="1"/>
  <c r="I14" i="2"/>
  <c r="H14" i="2"/>
  <c r="G14" i="2"/>
  <c r="F14" i="2"/>
  <c r="E14" i="2"/>
  <c r="D14" i="2"/>
  <c r="C14" i="2"/>
  <c r="B14" i="2"/>
  <c r="AH13" i="2" l="1"/>
  <c r="AG13" i="2"/>
  <c r="AF13" i="2"/>
  <c r="W13" i="2"/>
  <c r="V13" i="2"/>
  <c r="Q13" i="2" l="1"/>
  <c r="P13" i="2"/>
  <c r="O13" i="2"/>
  <c r="N13" i="2"/>
  <c r="M13" i="2"/>
  <c r="J13" i="2" l="1"/>
  <c r="I13" i="2"/>
  <c r="H13" i="2"/>
  <c r="G13" i="2"/>
  <c r="F13" i="2"/>
  <c r="E13" i="2"/>
  <c r="D13" i="2"/>
  <c r="C13" i="2"/>
  <c r="B13" i="2"/>
  <c r="AH12" i="2" l="1"/>
  <c r="AF12" i="2"/>
  <c r="AH11" i="2"/>
  <c r="AG12" i="2"/>
  <c r="AG11" i="2"/>
  <c r="AF11" i="2"/>
  <c r="W12" i="2"/>
  <c r="V12" i="2"/>
  <c r="W11" i="2"/>
  <c r="V11" i="2"/>
  <c r="Q12" i="2" l="1"/>
  <c r="P12" i="2"/>
  <c r="Q11" i="2"/>
  <c r="P11" i="2"/>
  <c r="O12" i="2"/>
  <c r="N12" i="2"/>
  <c r="M12" i="2"/>
  <c r="O11" i="2"/>
  <c r="N11" i="2"/>
  <c r="M11" i="2"/>
  <c r="J12" i="2" l="1"/>
  <c r="I12" i="2"/>
  <c r="H12" i="2"/>
  <c r="G12" i="2"/>
  <c r="F12" i="2"/>
  <c r="E12" i="2"/>
  <c r="D12" i="2"/>
  <c r="C12" i="2"/>
  <c r="B12" i="2"/>
  <c r="J11" i="2"/>
  <c r="I11" i="2"/>
  <c r="H11" i="2"/>
  <c r="G11" i="2"/>
  <c r="F11" i="2"/>
  <c r="E11" i="2"/>
  <c r="D11" i="2"/>
  <c r="C11" i="2"/>
  <c r="B11" i="2"/>
  <c r="AH10" i="2" l="1"/>
  <c r="AG10" i="2"/>
  <c r="AF10" i="2"/>
  <c r="W10" i="2"/>
  <c r="V10" i="2"/>
  <c r="Q10" i="2" l="1"/>
  <c r="P10" i="2"/>
  <c r="O10" i="2"/>
  <c r="N10" i="2"/>
  <c r="M10" i="2"/>
  <c r="J10" i="2" l="1"/>
  <c r="I10" i="2"/>
  <c r="H10" i="2"/>
  <c r="G10" i="2"/>
  <c r="F10" i="2"/>
  <c r="E10" i="2"/>
  <c r="D10" i="2"/>
  <c r="C10" i="2"/>
  <c r="B10" i="2"/>
  <c r="AH9" i="2" l="1"/>
  <c r="AG9" i="2"/>
  <c r="AF9" i="2"/>
  <c r="W9" i="2"/>
  <c r="V9" i="2"/>
  <c r="Q9" i="2" l="1"/>
  <c r="P9" i="2"/>
  <c r="O9" i="2"/>
  <c r="N9" i="2"/>
  <c r="M9" i="2"/>
  <c r="J9" i="2" l="1"/>
  <c r="I9" i="2"/>
  <c r="H9" i="2"/>
  <c r="G9" i="2"/>
  <c r="F9" i="2"/>
  <c r="E9" i="2"/>
  <c r="D9" i="2"/>
  <c r="C9" i="2"/>
  <c r="B9" i="2"/>
  <c r="AH8" i="2" l="1"/>
  <c r="AG8" i="2"/>
  <c r="AF8" i="2"/>
  <c r="W8" i="2"/>
  <c r="V8" i="2"/>
  <c r="Q8" i="2" l="1"/>
  <c r="P8" i="2"/>
  <c r="O8" i="2"/>
  <c r="N8" i="2"/>
  <c r="M8" i="2"/>
  <c r="J8" i="2" l="1"/>
  <c r="I8" i="2"/>
  <c r="H8" i="2"/>
  <c r="G8" i="2"/>
  <c r="F8" i="2"/>
  <c r="E8" i="2"/>
  <c r="D8" i="2"/>
  <c r="C8" i="2"/>
  <c r="B8" i="2"/>
  <c r="AH7" i="2" l="1"/>
  <c r="AG7" i="2"/>
  <c r="AF7" i="2"/>
  <c r="W7" i="2"/>
  <c r="V7" i="2"/>
  <c r="Q7" i="2" l="1"/>
  <c r="P7" i="2"/>
  <c r="O7" i="2"/>
  <c r="N7" i="2"/>
  <c r="M7" i="2"/>
  <c r="J7" i="2" l="1"/>
  <c r="I7" i="2"/>
  <c r="H7" i="2"/>
  <c r="G7" i="2"/>
  <c r="F7" i="2"/>
  <c r="E7" i="2"/>
  <c r="D7" i="2"/>
  <c r="C7" i="2"/>
  <c r="B7" i="2"/>
  <c r="AH6" i="2" l="1"/>
  <c r="AG6" i="2"/>
  <c r="AF6" i="2"/>
  <c r="W6" i="2"/>
  <c r="V6" i="2"/>
  <c r="Q6" i="2" l="1"/>
  <c r="P6" i="2"/>
  <c r="O6" i="2"/>
  <c r="N6" i="2"/>
  <c r="M6" i="2"/>
  <c r="J6" i="2" l="1"/>
  <c r="I6" i="2"/>
  <c r="H6" i="2"/>
  <c r="G6" i="2"/>
  <c r="F6" i="2"/>
  <c r="E6" i="2"/>
  <c r="D6" i="2"/>
  <c r="C6" i="2"/>
  <c r="B6" i="2"/>
  <c r="H37" i="2" l="1"/>
  <c r="J37" i="2"/>
  <c r="I37" i="2"/>
  <c r="N31" i="1" l="1"/>
  <c r="N32" i="1"/>
  <c r="B31" i="1"/>
  <c r="B32" i="1"/>
  <c r="U31" i="3"/>
  <c r="V31" i="3"/>
  <c r="W31" i="3"/>
  <c r="U32" i="3"/>
  <c r="V32" i="3"/>
  <c r="W32" i="3"/>
  <c r="E31" i="3"/>
  <c r="F31" i="3"/>
  <c r="G31" i="3"/>
  <c r="H31" i="3"/>
  <c r="I31" i="3"/>
  <c r="J31" i="3"/>
  <c r="K31" i="3"/>
  <c r="L31" i="3"/>
  <c r="M31" i="3"/>
  <c r="Q31" i="3"/>
  <c r="R31" i="3"/>
  <c r="E32" i="3"/>
  <c r="F32" i="3"/>
  <c r="G32" i="3"/>
  <c r="H32" i="3"/>
  <c r="I32" i="3"/>
  <c r="J32" i="3"/>
  <c r="K32" i="3"/>
  <c r="L32" i="3"/>
  <c r="M32" i="3"/>
  <c r="Q32" i="3"/>
  <c r="R32" i="3"/>
  <c r="B31" i="3"/>
  <c r="B32" i="3"/>
  <c r="AI35" i="2"/>
  <c r="AK35" i="2" s="1"/>
  <c r="AI36" i="2"/>
  <c r="AK36" i="2" s="1"/>
  <c r="AC35" i="2"/>
  <c r="AD35" i="2" s="1"/>
  <c r="AE35" i="2" s="1"/>
  <c r="AC36" i="2"/>
  <c r="AD36" i="2" s="1"/>
  <c r="AE36" i="2" s="1"/>
  <c r="Z35" i="2"/>
  <c r="AA35" i="2" s="1"/>
  <c r="Z36" i="2"/>
  <c r="AA36" i="2" s="1"/>
  <c r="T35" i="2"/>
  <c r="U35" i="2" s="1"/>
  <c r="T36" i="2"/>
  <c r="N32" i="3" s="1"/>
  <c r="R35" i="2"/>
  <c r="O31" i="3" s="1"/>
  <c r="S35" i="2"/>
  <c r="R36" i="2"/>
  <c r="O32" i="3" s="1"/>
  <c r="S36" i="2"/>
  <c r="K35" i="2"/>
  <c r="L35" i="2" s="1"/>
  <c r="K36" i="2"/>
  <c r="L36" i="2" s="1"/>
  <c r="X32" i="3" l="1"/>
  <c r="AL36" i="2"/>
  <c r="AM36" i="2" s="1"/>
  <c r="AL35" i="2"/>
  <c r="AM35" i="2" s="1"/>
  <c r="X31" i="3"/>
  <c r="T32" i="3"/>
  <c r="T31" i="3"/>
  <c r="AO35" i="2"/>
  <c r="P32" i="3"/>
  <c r="G32" i="1" s="1"/>
  <c r="P31" i="3"/>
  <c r="G31" i="1" s="1"/>
  <c r="K32" i="1"/>
  <c r="N31" i="3"/>
  <c r="K31" i="1" s="1"/>
  <c r="U36" i="2"/>
  <c r="AO36" i="2" s="1"/>
  <c r="E31" i="1"/>
  <c r="E32" i="1"/>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I32" i="1" l="1"/>
  <c r="S32" i="3"/>
  <c r="S31" i="3"/>
  <c r="I31" i="1"/>
  <c r="AI6" i="2"/>
  <c r="AC6" i="2"/>
  <c r="AN37" i="2" l="1"/>
  <c r="AH37" i="2"/>
  <c r="AG37" i="2"/>
  <c r="AF37" i="2"/>
  <c r="G37" i="2"/>
  <c r="D37" i="2"/>
  <c r="Z33" i="3"/>
  <c r="Z7" i="2"/>
  <c r="K6" i="2" l="1"/>
  <c r="L6" i="2" l="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N33" i="1" l="1"/>
  <c r="Z9" i="2"/>
  <c r="P5" i="3" s="1"/>
  <c r="G5" i="1" s="1"/>
  <c r="Z10" i="2"/>
  <c r="AA10" i="2" s="1"/>
  <c r="Z11" i="2"/>
  <c r="AA11" i="2" s="1"/>
  <c r="Z12" i="2"/>
  <c r="Z13" i="2"/>
  <c r="AA13" i="2" s="1"/>
  <c r="Z14" i="2"/>
  <c r="AA14" i="2" s="1"/>
  <c r="Z15" i="2"/>
  <c r="AA15" i="2" s="1"/>
  <c r="Z16" i="2"/>
  <c r="AA16" i="2" s="1"/>
  <c r="AD17" i="2"/>
  <c r="AE17" i="2" s="1"/>
  <c r="R15" i="2"/>
  <c r="O11" i="3" s="1"/>
  <c r="R16" i="2"/>
  <c r="O12" i="3" s="1"/>
  <c r="R17" i="2"/>
  <c r="O13" i="3" s="1"/>
  <c r="R18" i="2"/>
  <c r="R19" i="2"/>
  <c r="O15" i="3" s="1"/>
  <c r="R20" i="2"/>
  <c r="O16" i="3" s="1"/>
  <c r="R21" i="2"/>
  <c r="O17" i="3" s="1"/>
  <c r="R22" i="2"/>
  <c r="R23" i="2"/>
  <c r="O19" i="3" s="1"/>
  <c r="R24" i="2"/>
  <c r="O20" i="3" s="1"/>
  <c r="R25" i="2"/>
  <c r="O21" i="3" s="1"/>
  <c r="R26" i="2"/>
  <c r="O22" i="3" s="1"/>
  <c r="R27" i="2"/>
  <c r="O23" i="3" s="1"/>
  <c r="R28" i="2"/>
  <c r="O24" i="3" s="1"/>
  <c r="R29" i="2"/>
  <c r="O25" i="3" s="1"/>
  <c r="R30" i="2"/>
  <c r="O26" i="3" s="1"/>
  <c r="R31" i="2"/>
  <c r="O27" i="3" s="1"/>
  <c r="R32" i="2"/>
  <c r="O28" i="3" s="1"/>
  <c r="R33" i="2"/>
  <c r="O29" i="3" s="1"/>
  <c r="R34" i="2"/>
  <c r="R6" i="2"/>
  <c r="R7" i="2"/>
  <c r="O3" i="3" s="1"/>
  <c r="R8" i="2"/>
  <c r="O4" i="3" s="1"/>
  <c r="R9" i="2"/>
  <c r="O5" i="3" s="1"/>
  <c r="R10" i="2"/>
  <c r="O6" i="3" s="1"/>
  <c r="R11" i="2"/>
  <c r="O7" i="3" s="1"/>
  <c r="R12" i="2"/>
  <c r="O8" i="3" s="1"/>
  <c r="R13" i="2"/>
  <c r="O9" i="3" s="1"/>
  <c r="R14" i="2"/>
  <c r="O10" i="3" s="1"/>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AE6" i="2" s="1"/>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E25" i="2" s="1"/>
  <c r="AD30" i="2"/>
  <c r="AE30" i="2" s="1"/>
  <c r="AD32" i="2"/>
  <c r="AE32" i="2" s="1"/>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S29" i="2"/>
  <c r="S28" i="2"/>
  <c r="S27" i="2"/>
  <c r="S26" i="2"/>
  <c r="S25" i="2"/>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AK18" i="2"/>
  <c r="X14" i="3" s="1"/>
  <c r="D40" i="2"/>
  <c r="G39" i="2"/>
  <c r="N24" i="3"/>
  <c r="N3" i="3"/>
  <c r="N29" i="3" l="1"/>
  <c r="P28" i="3"/>
  <c r="G28" i="1" s="1"/>
  <c r="K28" i="1"/>
  <c r="U32" i="2"/>
  <c r="T23" i="3"/>
  <c r="AL25" i="2"/>
  <c r="AM25" i="2" s="1"/>
  <c r="P17" i="3"/>
  <c r="G17" i="1" s="1"/>
  <c r="U19" i="2"/>
  <c r="AO19" i="2" s="1"/>
  <c r="P15" i="3"/>
  <c r="S15" i="3" s="1"/>
  <c r="U15" i="2"/>
  <c r="AO15" i="2" s="1"/>
  <c r="P9" i="3"/>
  <c r="G9" i="1" s="1"/>
  <c r="P27" i="3"/>
  <c r="S27" i="3" s="1"/>
  <c r="P19" i="3"/>
  <c r="G19" i="1" s="1"/>
  <c r="T28" i="3"/>
  <c r="T27" i="3"/>
  <c r="N19" i="3"/>
  <c r="T12" i="3"/>
  <c r="T22" i="3"/>
  <c r="I22" i="1" s="1"/>
  <c r="T21" i="3"/>
  <c r="I21" i="1" s="1"/>
  <c r="T13" i="3"/>
  <c r="T30" i="3"/>
  <c r="P11" i="3"/>
  <c r="G11" i="1" s="1"/>
  <c r="X18" i="3"/>
  <c r="T17" i="3"/>
  <c r="I17" i="1" s="1"/>
  <c r="X9" i="3"/>
  <c r="N10" i="3"/>
  <c r="K10" i="1" s="1"/>
  <c r="U11" i="2"/>
  <c r="AO11" i="2" s="1"/>
  <c r="P26" i="3"/>
  <c r="G26" i="1" s="1"/>
  <c r="U17" i="2"/>
  <c r="T3" i="3"/>
  <c r="P24" i="3"/>
  <c r="G24" i="1" s="1"/>
  <c r="U16" i="2"/>
  <c r="AO16" i="2" s="1"/>
  <c r="U30" i="2"/>
  <c r="M33" i="3"/>
  <c r="V33" i="3"/>
  <c r="I33" i="3"/>
  <c r="T7" i="3"/>
  <c r="I7" i="1" s="1"/>
  <c r="U9" i="2"/>
  <c r="K33" i="3"/>
  <c r="J33" i="3"/>
  <c r="W33" i="3"/>
  <c r="U33" i="3"/>
  <c r="T5" i="3"/>
  <c r="I5" i="1" s="1"/>
  <c r="Q33" i="3"/>
  <c r="U8" i="2"/>
  <c r="T37" i="2"/>
  <c r="U37" i="2" s="1"/>
  <c r="L33" i="3"/>
  <c r="X27" i="3"/>
  <c r="AL11" i="2"/>
  <c r="AM11" i="2" s="1"/>
  <c r="X10" i="3"/>
  <c r="T20" i="3"/>
  <c r="I20" i="1" s="1"/>
  <c r="P4" i="3"/>
  <c r="G4" i="1" s="1"/>
  <c r="R33" i="3"/>
  <c r="L7" i="2"/>
  <c r="L37" i="2" s="1"/>
  <c r="K37" i="2"/>
  <c r="X2" i="3"/>
  <c r="AK37" i="2"/>
  <c r="AD37" i="2"/>
  <c r="AE37" i="2" s="1"/>
  <c r="AA6" i="2"/>
  <c r="Z37" i="2"/>
  <c r="O2" i="3"/>
  <c r="O33" i="3" s="1"/>
  <c r="R37" i="2"/>
  <c r="R39" i="2" s="1"/>
  <c r="S5" i="3"/>
  <c r="E30" i="1"/>
  <c r="E17" i="1"/>
  <c r="N2" i="3"/>
  <c r="U6" i="2"/>
  <c r="AL6" i="2"/>
  <c r="AM6" i="2" s="1"/>
  <c r="G3" i="1"/>
  <c r="S3" i="3"/>
  <c r="P2" i="3"/>
  <c r="AA7" i="2"/>
  <c r="U25" i="2"/>
  <c r="N18" i="3"/>
  <c r="K18" i="1" s="1"/>
  <c r="S23" i="3"/>
  <c r="K30" i="1"/>
  <c r="K24" i="1"/>
  <c r="E29" i="1"/>
  <c r="K7" i="1"/>
  <c r="S30" i="3"/>
  <c r="X26" i="3"/>
  <c r="X13" i="3"/>
  <c r="AL21" i="2"/>
  <c r="AM21" i="2" s="1"/>
  <c r="T25" i="3"/>
  <c r="I25" i="1" s="1"/>
  <c r="T11" i="3"/>
  <c r="T16" i="3"/>
  <c r="AA17" i="2"/>
  <c r="K15" i="1"/>
  <c r="K11" i="1"/>
  <c r="K8" i="1"/>
  <c r="K4" i="1"/>
  <c r="K25" i="1"/>
  <c r="K29" i="1"/>
  <c r="E24" i="1"/>
  <c r="E13" i="1"/>
  <c r="E6" i="1"/>
  <c r="X30" i="3"/>
  <c r="AL34" i="2"/>
  <c r="AM34" i="2" s="1"/>
  <c r="AL24" i="2"/>
  <c r="AM24" i="2" s="1"/>
  <c r="AL9" i="2"/>
  <c r="AM9" i="2" s="1"/>
  <c r="X4" i="3"/>
  <c r="X19" i="3"/>
  <c r="T8" i="3"/>
  <c r="I8" i="1" s="1"/>
  <c r="T24" i="3"/>
  <c r="G13" i="1"/>
  <c r="S13" i="3"/>
  <c r="AO33" i="2"/>
  <c r="S14" i="3"/>
  <c r="G15" i="1"/>
  <c r="P29" i="3"/>
  <c r="AA9" i="2"/>
  <c r="AO9" i="2" s="1"/>
  <c r="P10" i="3"/>
  <c r="P25" i="3"/>
  <c r="G25" i="1" s="1"/>
  <c r="N9" i="3"/>
  <c r="K9" i="1" s="1"/>
  <c r="N16" i="3"/>
  <c r="K16" i="1" s="1"/>
  <c r="K3" i="1"/>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AO30" i="2"/>
  <c r="T4" i="3"/>
  <c r="T15" i="3"/>
  <c r="AO13" i="2"/>
  <c r="T9" i="3"/>
  <c r="AL15" i="2"/>
  <c r="AM15" i="2" s="1"/>
  <c r="X11" i="3"/>
  <c r="T18" i="3"/>
  <c r="S22" i="3"/>
  <c r="S21" i="3"/>
  <c r="G21" i="1"/>
  <c r="AO23" i="2"/>
  <c r="T10" i="3"/>
  <c r="AO14" i="2"/>
  <c r="AL32" i="2"/>
  <c r="AM32" i="2" s="1"/>
  <c r="X28" i="3"/>
  <c r="AL28" i="2"/>
  <c r="AM28" i="2" s="1"/>
  <c r="X24" i="3"/>
  <c r="X16" i="3"/>
  <c r="AL20" i="2"/>
  <c r="AM20" i="2" s="1"/>
  <c r="T6" i="3"/>
  <c r="AO22" i="2"/>
  <c r="X3" i="3"/>
  <c r="X12" i="3"/>
  <c r="AA26" i="2"/>
  <c r="AO26" i="2" s="1"/>
  <c r="N22" i="3"/>
  <c r="K22" i="1" s="1"/>
  <c r="N17" i="3"/>
  <c r="K17" i="1" s="1"/>
  <c r="T19" i="3"/>
  <c r="P18" i="3"/>
  <c r="P7" i="3"/>
  <c r="AA25" i="2"/>
  <c r="P12" i="3"/>
  <c r="T26" i="3"/>
  <c r="AL26" i="2"/>
  <c r="AM26" i="2" s="1"/>
  <c r="T29" i="3"/>
  <c r="I29" i="1" s="1"/>
  <c r="AL29" i="2"/>
  <c r="AM29" i="2" s="1"/>
  <c r="AA24" i="2"/>
  <c r="AO24" i="2" s="1"/>
  <c r="P20" i="3"/>
  <c r="AA34" i="2"/>
  <c r="AA18" i="2"/>
  <c r="AO18" i="2" s="1"/>
  <c r="AA12" i="2"/>
  <c r="P8" i="3"/>
  <c r="AL33" i="2"/>
  <c r="AM33" i="2" s="1"/>
  <c r="AL12" i="2"/>
  <c r="AM12" i="2" s="1"/>
  <c r="T2" i="3"/>
  <c r="N14" i="3"/>
  <c r="K14" i="1" s="1"/>
  <c r="X23" i="3"/>
  <c r="T14" i="3"/>
  <c r="I14" i="1" s="1"/>
  <c r="U34" i="2"/>
  <c r="U29" i="2"/>
  <c r="AO29" i="2" s="1"/>
  <c r="X6" i="3"/>
  <c r="X15" i="3"/>
  <c r="U10" i="2"/>
  <c r="AO10" i="2" s="1"/>
  <c r="AL18" i="2"/>
  <c r="AM18" i="2" s="1"/>
  <c r="P6" i="3"/>
  <c r="P16" i="3"/>
  <c r="AA27" i="2"/>
  <c r="AO27" i="2" s="1"/>
  <c r="S28" i="3" l="1"/>
  <c r="S17" i="3"/>
  <c r="AO17" i="2"/>
  <c r="I23" i="1"/>
  <c r="I28" i="1"/>
  <c r="AO32" i="2"/>
  <c r="I27" i="1"/>
  <c r="G27" i="1"/>
  <c r="I12" i="1"/>
  <c r="S11" i="3"/>
  <c r="S9" i="3"/>
  <c r="AO7" i="2"/>
  <c r="S26" i="3"/>
  <c r="I13" i="1"/>
  <c r="I10" i="1"/>
  <c r="S19" i="3"/>
  <c r="S24" i="3"/>
  <c r="I18" i="1"/>
  <c r="I24" i="1"/>
  <c r="S4" i="3"/>
  <c r="I9" i="1"/>
  <c r="AO8" i="2"/>
  <c r="I3" i="1"/>
  <c r="I30" i="1"/>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33" i="1" l="1"/>
  <c r="Y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sz val="9"/>
            <color indexed="81"/>
            <rFont val="Tahoma"/>
            <family val="2"/>
          </rPr>
          <t xml:space="preserve">
Cost/ unit updated based on current Invoice 27/05/2022</t>
        </r>
      </text>
    </comment>
    <comment ref="AM2" authorId="0" shapeId="0">
      <text>
        <r>
          <rPr>
            <sz val="9"/>
            <color indexed="81"/>
            <rFont val="Tahoma"/>
            <family val="2"/>
          </rPr>
          <t xml:space="preserve">
Cost/ unit updated based on current Invoice 27/05/2022</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<sst xmlns="http://schemas.openxmlformats.org/spreadsheetml/2006/main" count="220" uniqueCount="103">
  <si>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</si>
  <si>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</si>
  <si>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</si>
  <si>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</si>
  <si>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</si>
  <si>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</si>
  <si>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</si>
  <si>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</si>
  <si>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</si>
  <si>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</si>
  <si>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</si>
  <si>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</si>
  <si>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</si>
  <si>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</si>
  <si>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</si>
  <si>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</si>
  <si>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</si>
  <si>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</si>
  <si>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</si>
  <si>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</si>
  <si>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</si>
  <si>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</si>
  <si>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</si>
  <si>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</si>
  <si>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</si>
  <si>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</si>
  <si>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</si>
  <si>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</si>
  <si>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</si>
  <si>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</si>
  <si>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</si>
  <si>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</si>
  <si>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</si>
  <si>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</si>
  <si>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</si>
  <si>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</si>
  <si>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</si>
  <si>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</si>
  <si>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</si>
  <si>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</si>
  <si>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</si>
  <si>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</si>
  <si>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</si>
  <si>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</si>
  <si>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</si>
  <si>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</si>
  <si>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</si>
  <si>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</si>
  <si>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</si>
  <si>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</si>
  <si>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</si>
  <si>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</si>
  <si>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</si>
  <si>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</si>
  <si>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</si>
  <si>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</si>
  <si>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</si>
  <si>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</si>
  <si>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</si>
  <si>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</si>
  <si>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</si>
  <si>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</si>
  <si>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</si>
  <si>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</si>
  <si>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</si>
  <si>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</si>
  <si>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</si>
  <si>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</si>
  <si>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</si>
  <si>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</si>
  <si>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</si>
  <si>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</si>
  <si>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</si>
  <si>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</si>
  <si>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</si>
  <si>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</si>
  <si>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</si>
  <si>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</si>
  <si>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</si>
  <si>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</si>
  <si>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</si>
  <si>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</si>
  <si>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</si>
  <si>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</si>
  <si>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</si>
  <si>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</si>
  <si>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</si>
  <si>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</si>
  <si>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</si>
  <si>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</si>
  <si>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</si>
  <si>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</si>
  <si>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</si>
  <si>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</si>
  <si>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</si>
  <si>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</si>
  <si>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</si>
  <si>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</si>
  <si>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</si>
  <si>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</si>
  <si>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</si>
  <si>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</si>
  <si>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0.327899/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</si>
</sst>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34">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0"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1" fontId="0" fillId="0" borderId="19" xfId="0" applyNumberFormat="1" applyBorder="1" applyAlignment="1">
      <alignment horizontal="center"/>
    </xf>
    <xf numFmtId="0" fontId="1" fillId="0" borderId="20"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1" xfId="0" applyNumberFormat="1" applyBorder="1" applyAlignment="1">
      <alignment horizontal="center"/>
    </xf>
    <xf numFmtId="2" fontId="0" fillId="0" borderId="1"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tabSelected="1" workbookViewId="0">
      <selection activeCell="E17" sqref="E17"/>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1" t="s">
        <v>0</v>
      </c>
      <c r="B1" s="112" t="s">
        <v>1</v>
      </c>
      <c r="C1" s="113" t="s">
        <v>2</v>
      </c>
      <c r="D1" s="112" t="s">
        <v>3</v>
      </c>
      <c r="E1" s="114" t="s">
        <v>4</v>
      </c>
      <c r="F1" s="115" t="s">
        <v>5</v>
      </c>
      <c r="G1" s="114" t="s">
        <v>10</v>
      </c>
      <c r="H1" s="115" t="s">
        <v>11</v>
      </c>
      <c r="I1" s="116" t="s">
        <v>82</v>
      </c>
      <c r="J1" s="117" t="s">
        <v>83</v>
      </c>
      <c r="K1" s="114" t="s">
        <v>6</v>
      </c>
      <c r="L1" s="118" t="s">
        <v>7</v>
      </c>
      <c r="M1" s="114" t="s">
        <v>8</v>
      </c>
      <c r="N1" s="119" t="s">
        <v>9</v>
      </c>
    </row>
    <row r="2" spans="1:15" x14ac:dyDescent="0.25">
      <c r="A2" s="106" t="s">
        <v>80</v>
      </c>
      <c r="B2" s="107">
        <v>1</v>
      </c>
      <c r="C2" s="108">
        <v>8</v>
      </c>
      <c r="D2" s="107">
        <v>2022</v>
      </c>
      <c r="E2" s="101">
        <f>Submetering!E2+Submetering!F2+Submetering!G2+Submetering!H2+Submetering!I2+Submetering!J2+Submetering!K2</f>
        <v>32105</v>
      </c>
      <c r="F2" s="109">
        <v>0.2</v>
      </c>
      <c r="G2" s="101">
        <f>Submetering!P2</f>
        <v>594</v>
      </c>
      <c r="H2" s="109">
        <v>6.47</v>
      </c>
      <c r="I2" s="101">
        <f>Submetering!T2-Submetering!T2*15%-Submetering!X2</f>
        <v>58542.030200002919</v>
      </c>
      <c r="J2" s="100">
        <v>0.21</v>
      </c>
      <c r="K2" s="101">
        <f>Submetering!N2-Submetering!O2</f>
        <v>112.26500000000487</v>
      </c>
      <c r="L2" s="109">
        <v>7.84</v>
      </c>
      <c r="M2" s="101">
        <v>66</v>
      </c>
      <c r="N2" s="102">
        <f>Submetering!Z2</f>
        <v>104</v>
      </c>
    </row>
    <row r="3" spans="1:15" x14ac:dyDescent="0.25">
      <c r="A3" s="110" t="s">
        <v>80</v>
      </c>
      <c r="B3" s="72">
        <f>B2+1</f>
        <v>2</v>
      </c>
      <c r="C3" s="73">
        <v>8</v>
      </c>
      <c r="D3" s="72">
        <v>2022</v>
      </c>
      <c r="E3" s="71">
        <f>Submetering!E3+Submetering!F3+Submetering!G3+Submetering!H3+Submetering!I3+Submetering!J3+Submetering!K3</f>
        <v>32533</v>
      </c>
      <c r="F3" s="74">
        <v>0.2</v>
      </c>
      <c r="G3" s="71">
        <f>Submetering!P3</f>
        <v>624</v>
      </c>
      <c r="H3" s="74">
        <v>6.47</v>
      </c>
      <c r="I3" s="71">
        <f>Submetering!T3-Submetering!T3*15%-Submetering!X3</f>
        <v>61902.592800001468</v>
      </c>
      <c r="J3" s="70">
        <v>0.21</v>
      </c>
      <c r="K3" s="71">
        <f>Submetering!N3-Submetering!O3</f>
        <v>122.74599999999737</v>
      </c>
      <c r="L3" s="74">
        <v>7.84</v>
      </c>
      <c r="M3" s="71">
        <v>67</v>
      </c>
      <c r="N3" s="104">
        <f>Submetering!Z3</f>
        <v>104</v>
      </c>
    </row>
    <row r="4" spans="1:15" x14ac:dyDescent="0.25">
      <c r="A4" s="110" t="s">
        <v>80</v>
      </c>
      <c r="B4" s="72">
        <f t="shared" ref="B4:B32" si="0">B3+1</f>
        <v>3</v>
      </c>
      <c r="C4" s="73">
        <v>8</v>
      </c>
      <c r="D4" s="72">
        <v>2022</v>
      </c>
      <c r="E4" s="71">
        <f>Submetering!E4+Submetering!F4+Submetering!G4+Submetering!H4+Submetering!I4+Submetering!J4+Submetering!K4</f>
        <v>31830</v>
      </c>
      <c r="F4" s="74">
        <v>0.2</v>
      </c>
      <c r="G4" s="71">
        <f>Submetering!P4</f>
        <v>615</v>
      </c>
      <c r="H4" s="74">
        <v>6.47</v>
      </c>
      <c r="I4" s="71">
        <f>Submetering!T4-Submetering!T4*15%-Submetering!X4</f>
        <v>63341.054199998543</v>
      </c>
      <c r="J4" s="70">
        <v>0.21</v>
      </c>
      <c r="K4" s="71">
        <f>Submetering!N4-Submetering!O4</f>
        <v>104.73100000000068</v>
      </c>
      <c r="L4" s="74">
        <v>7.84</v>
      </c>
      <c r="M4" s="71">
        <v>58</v>
      </c>
      <c r="N4" s="104">
        <f>Submetering!Z4</f>
        <v>95</v>
      </c>
    </row>
    <row r="5" spans="1:15" x14ac:dyDescent="0.25">
      <c r="A5" s="110" t="s">
        <v>80</v>
      </c>
      <c r="B5" s="72">
        <f t="shared" si="0"/>
        <v>4</v>
      </c>
      <c r="C5" s="73">
        <v>8</v>
      </c>
      <c r="D5" s="72">
        <v>2022</v>
      </c>
      <c r="E5" s="71">
        <f>Submetering!E5+Submetering!F5+Submetering!G5+Submetering!H5+Submetering!I5+Submetering!J5+Submetering!K5</f>
        <v>32703</v>
      </c>
      <c r="F5" s="74">
        <v>0.2</v>
      </c>
      <c r="G5" s="71">
        <f>Submetering!P5</f>
        <v>659</v>
      </c>
      <c r="H5" s="74">
        <v>6.47</v>
      </c>
      <c r="I5" s="71">
        <f>Submetering!T5-Submetering!T5*15%-Submetering!X5</f>
        <v>72093.564599999998</v>
      </c>
      <c r="J5" s="70">
        <v>0.21</v>
      </c>
      <c r="K5" s="81">
        <f>Submetering!N5-Submetering!O5</f>
        <v>133.54499999999462</v>
      </c>
      <c r="L5" s="74">
        <v>7.84</v>
      </c>
      <c r="M5" s="71">
        <v>67</v>
      </c>
      <c r="N5" s="104">
        <f>Submetering!Z5</f>
        <v>121</v>
      </c>
    </row>
    <row r="6" spans="1:15" x14ac:dyDescent="0.25">
      <c r="A6" s="110" t="s">
        <v>80</v>
      </c>
      <c r="B6" s="72">
        <f t="shared" si="0"/>
        <v>5</v>
      </c>
      <c r="C6" s="73">
        <v>8</v>
      </c>
      <c r="D6" s="72">
        <v>2022</v>
      </c>
      <c r="E6" s="71">
        <f>Submetering!E6+Submetering!F6+Submetering!G6+Submetering!H6+Submetering!I6+Submetering!J6+Submetering!K6</f>
        <v>33163</v>
      </c>
      <c r="F6" s="74">
        <v>0.2</v>
      </c>
      <c r="G6" s="71">
        <f>Submetering!P6</f>
        <v>672</v>
      </c>
      <c r="H6" s="74">
        <v>6.47</v>
      </c>
      <c r="I6" s="71">
        <f>Submetering!T6-Submetering!T6*15%-Submetering!X6</f>
        <v>70924.313399998558</v>
      </c>
      <c r="J6" s="70">
        <v>0.21</v>
      </c>
      <c r="K6" s="71">
        <f>Submetering!N6-Submetering!O6</f>
        <v>144.70800000000236</v>
      </c>
      <c r="L6" s="74">
        <v>7.84</v>
      </c>
      <c r="M6" s="71">
        <v>76</v>
      </c>
      <c r="N6" s="104">
        <f>Submetering!Z6</f>
        <v>145</v>
      </c>
    </row>
    <row r="7" spans="1:15" x14ac:dyDescent="0.25">
      <c r="A7" s="110" t="s">
        <v>80</v>
      </c>
      <c r="B7" s="72">
        <f t="shared" si="0"/>
        <v>6</v>
      </c>
      <c r="C7" s="73">
        <v>8</v>
      </c>
      <c r="D7" s="72">
        <v>2022</v>
      </c>
      <c r="E7" s="71">
        <f>Submetering!E7+Submetering!F7+Submetering!G7+Submetering!H7+Submetering!I7+Submetering!J7+Submetering!K7</f>
        <v>33282</v>
      </c>
      <c r="F7" s="74">
        <v>0.2</v>
      </c>
      <c r="G7" s="71">
        <f>Submetering!P7</f>
        <v>681</v>
      </c>
      <c r="H7" s="74">
        <v>6.47</v>
      </c>
      <c r="I7" s="71">
        <f>Submetering!T7-Submetering!T7*15%-Submetering!X7</f>
        <v>66884.866200001459</v>
      </c>
      <c r="J7" s="70">
        <v>0.21</v>
      </c>
      <c r="K7" s="71">
        <f>Submetering!N7-Submetering!O7</f>
        <v>133.89699999999903</v>
      </c>
      <c r="L7" s="74">
        <v>7.84</v>
      </c>
      <c r="M7" s="71">
        <v>86</v>
      </c>
      <c r="N7" s="104">
        <f>Submetering!Z7</f>
        <v>168</v>
      </c>
    </row>
    <row r="8" spans="1:15" x14ac:dyDescent="0.25">
      <c r="A8" s="110" t="s">
        <v>80</v>
      </c>
      <c r="B8" s="72">
        <f t="shared" si="0"/>
        <v>7</v>
      </c>
      <c r="C8" s="73">
        <v>8</v>
      </c>
      <c r="D8" s="72">
        <v>2022</v>
      </c>
      <c r="E8" s="71">
        <f>Submetering!E8+Submetering!F8+Submetering!G8+Submetering!H8+Submetering!I8+Submetering!J8+Submetering!K8</f>
        <v>32519</v>
      </c>
      <c r="F8" s="74">
        <v>0.2</v>
      </c>
      <c r="G8" s="71">
        <f>Submetering!P8</f>
        <v>539</v>
      </c>
      <c r="H8" s="74">
        <v>6.47</v>
      </c>
      <c r="I8" s="71">
        <f>Submetering!T8-Submetering!T8*15%-Submetering!X8</f>
        <v>61589.929799997102</v>
      </c>
      <c r="J8" s="70">
        <v>0.21</v>
      </c>
      <c r="K8" s="71">
        <f>Submetering!N8-Submetering!O8</f>
        <v>101.28500000000167</v>
      </c>
      <c r="L8" s="74">
        <v>7.84</v>
      </c>
      <c r="M8" s="71">
        <v>63</v>
      </c>
      <c r="N8" s="104">
        <f>Submetering!Z8</f>
        <v>112</v>
      </c>
    </row>
    <row r="9" spans="1:15" x14ac:dyDescent="0.25">
      <c r="A9" s="110" t="s">
        <v>80</v>
      </c>
      <c r="B9" s="72">
        <f t="shared" si="0"/>
        <v>8</v>
      </c>
      <c r="C9" s="73">
        <v>8</v>
      </c>
      <c r="D9" s="72">
        <v>2022</v>
      </c>
      <c r="E9" s="71">
        <f>Submetering!E9+Submetering!F9+Submetering!G9+Submetering!H9+Submetering!I9+Submetering!J9+Submetering!K9</f>
        <v>32464</v>
      </c>
      <c r="F9" s="74">
        <v>0.2</v>
      </c>
      <c r="G9" s="71">
        <f>Submetering!P9</f>
        <v>611</v>
      </c>
      <c r="H9" s="74">
        <v>6.47</v>
      </c>
      <c r="I9" s="71">
        <f>Submetering!T9-Submetering!T9*15%-Submetering!X9</f>
        <v>71565.250000004366</v>
      </c>
      <c r="J9" s="70">
        <v>0.21</v>
      </c>
      <c r="K9" s="71">
        <f>Submetering!N9-Submetering!O9</f>
        <v>117.84899999999561</v>
      </c>
      <c r="L9" s="74">
        <v>7.84</v>
      </c>
      <c r="M9" s="71">
        <v>79</v>
      </c>
      <c r="N9" s="104">
        <f>Submetering!Z9</f>
        <v>141</v>
      </c>
      <c r="O9" s="1" t="s">
        <v>12</v>
      </c>
    </row>
    <row r="10" spans="1:15" x14ac:dyDescent="0.25">
      <c r="A10" s="110" t="s">
        <v>80</v>
      </c>
      <c r="B10" s="72">
        <f t="shared" si="0"/>
        <v>9</v>
      </c>
      <c r="C10" s="73">
        <v>8</v>
      </c>
      <c r="D10" s="72">
        <v>2022</v>
      </c>
      <c r="E10" s="71">
        <f>Submetering!E10+Submetering!F10+Submetering!G10+Submetering!H10+Submetering!I10+Submetering!J10+Submetering!K10</f>
        <v>33272</v>
      </c>
      <c r="F10" s="74">
        <v>0.2</v>
      </c>
      <c r="G10" s="71">
        <f>Submetering!P10</f>
        <v>618</v>
      </c>
      <c r="H10" s="74">
        <v>6.47</v>
      </c>
      <c r="I10" s="71">
        <f>Submetering!T10-Submetering!T10*15%-Submetering!X10</f>
        <v>66267.088799997087</v>
      </c>
      <c r="J10" s="70">
        <v>0.21</v>
      </c>
      <c r="K10" s="71">
        <f>Submetering!N10-Submetering!O10</f>
        <v>131.63500000000749</v>
      </c>
      <c r="L10" s="74">
        <v>7.84</v>
      </c>
      <c r="M10" s="71">
        <v>93</v>
      </c>
      <c r="N10" s="104">
        <f>Submetering!Z10</f>
        <v>169</v>
      </c>
    </row>
    <row r="11" spans="1:15" x14ac:dyDescent="0.25">
      <c r="A11" s="110" t="s">
        <v>80</v>
      </c>
      <c r="B11" s="72">
        <f t="shared" si="0"/>
        <v>10</v>
      </c>
      <c r="C11" s="73">
        <v>8</v>
      </c>
      <c r="D11" s="72">
        <v>2022</v>
      </c>
      <c r="E11" s="71">
        <f>Submetering!E11+Submetering!F11+Submetering!G11+Submetering!H11+Submetering!I11+Submetering!J11+Submetering!K11</f>
        <v>34233</v>
      </c>
      <c r="F11" s="74">
        <v>0.2</v>
      </c>
      <c r="G11" s="71">
        <f>Submetering!P11</f>
        <v>613</v>
      </c>
      <c r="H11" s="74">
        <v>6.47</v>
      </c>
      <c r="I11" s="71">
        <f>Submetering!T11-Submetering!T11*15%-Submetering!X11</f>
        <v>77603.166800001462</v>
      </c>
      <c r="J11" s="70">
        <v>0.21</v>
      </c>
      <c r="K11" s="71">
        <f>Submetering!N11-Submetering!O11</f>
        <v>113.97599999999784</v>
      </c>
      <c r="L11" s="74">
        <v>7.84</v>
      </c>
      <c r="M11" s="71">
        <v>87</v>
      </c>
      <c r="N11" s="104">
        <f>Submetering!Z11</f>
        <v>152</v>
      </c>
    </row>
    <row r="12" spans="1:15" x14ac:dyDescent="0.25">
      <c r="A12" s="110" t="s">
        <v>80</v>
      </c>
      <c r="B12" s="72">
        <f t="shared" si="0"/>
        <v>11</v>
      </c>
      <c r="C12" s="73">
        <v>8</v>
      </c>
      <c r="D12" s="72">
        <v>2022</v>
      </c>
      <c r="E12" s="71">
        <f>Submetering!E12+Submetering!F12+Submetering!G12+Submetering!H12+Submetering!I12+Submetering!J12+Submetering!K12</f>
        <v>35189</v>
      </c>
      <c r="F12" s="74">
        <v>0.2</v>
      </c>
      <c r="G12" s="71">
        <f>Submetering!P12</f>
        <v>627</v>
      </c>
      <c r="H12" s="74">
        <v>6.47</v>
      </c>
      <c r="I12" s="71">
        <f>Submetering!T12-Submetering!T12*15%-Submetering!X12</f>
        <v>80193.379200001451</v>
      </c>
      <c r="J12" s="70">
        <v>0.21</v>
      </c>
      <c r="K12" s="71">
        <f>Submetering!N12-Submetering!O12</f>
        <v>114.41599999999835</v>
      </c>
      <c r="L12" s="74">
        <v>7.84</v>
      </c>
      <c r="M12" s="71">
        <v>73</v>
      </c>
      <c r="N12" s="104">
        <f>Submetering!Z12</f>
        <v>125</v>
      </c>
    </row>
    <row r="13" spans="1:15" x14ac:dyDescent="0.25">
      <c r="A13" s="110" t="s">
        <v>80</v>
      </c>
      <c r="B13" s="72">
        <f t="shared" si="0"/>
        <v>12</v>
      </c>
      <c r="C13" s="73">
        <v>8</v>
      </c>
      <c r="D13" s="72">
        <v>2022</v>
      </c>
      <c r="E13" s="71">
        <f>Submetering!E13+Submetering!F13+Submetering!G13+Submetering!H13+Submetering!I13+Submetering!J13+Submetering!K13</f>
        <v>34414</v>
      </c>
      <c r="F13" s="74">
        <v>0.2</v>
      </c>
      <c r="G13" s="71">
        <f>Submetering!P13</f>
        <v>638</v>
      </c>
      <c r="H13" s="74">
        <v>6.47</v>
      </c>
      <c r="I13" s="71">
        <f>Submetering!T13-Submetering!T13*15%-Submetering!X13</f>
        <v>84139.47119999709</v>
      </c>
      <c r="J13" s="70">
        <v>0.21</v>
      </c>
      <c r="K13" s="71">
        <f>Submetering!N13-Submetering!O13</f>
        <v>108.94599999999809</v>
      </c>
      <c r="L13" s="74">
        <v>7.84</v>
      </c>
      <c r="M13" s="71">
        <v>82</v>
      </c>
      <c r="N13" s="104">
        <f>Submetering!Z13</f>
        <v>147</v>
      </c>
    </row>
    <row r="14" spans="1:15" x14ac:dyDescent="0.25">
      <c r="A14" s="110" t="s">
        <v>80</v>
      </c>
      <c r="B14" s="72">
        <f t="shared" si="0"/>
        <v>13</v>
      </c>
      <c r="C14" s="73">
        <v>8</v>
      </c>
      <c r="D14" s="72">
        <v>2022</v>
      </c>
      <c r="E14" s="71">
        <f>Submetering!E14+Submetering!F14+Submetering!G14+Submetering!H14+Submetering!I14+Submetering!J14+Submetering!K14</f>
        <v>34092</v>
      </c>
      <c r="F14" s="74">
        <v>0.2</v>
      </c>
      <c r="G14" s="71">
        <f>Submetering!P14</f>
        <v>660</v>
      </c>
      <c r="H14" s="74">
        <v>6.47</v>
      </c>
      <c r="I14" s="71">
        <f>Submetering!T14-Submetering!T14*15%-Submetering!X14</f>
        <v>58219.733800001457</v>
      </c>
      <c r="J14" s="70">
        <v>0.21</v>
      </c>
      <c r="K14" s="71">
        <f>Submetering!N14-Submetering!O14</f>
        <v>109.02600000000712</v>
      </c>
      <c r="L14" s="74">
        <v>7.84</v>
      </c>
      <c r="M14" s="71">
        <v>64</v>
      </c>
      <c r="N14" s="104">
        <f>Submetering!Z14</f>
        <v>116</v>
      </c>
    </row>
    <row r="15" spans="1:15" x14ac:dyDescent="0.25">
      <c r="A15" s="110" t="s">
        <v>80</v>
      </c>
      <c r="B15" s="72">
        <f t="shared" si="0"/>
        <v>14</v>
      </c>
      <c r="C15" s="73">
        <v>8</v>
      </c>
      <c r="D15" s="72">
        <v>2022</v>
      </c>
      <c r="E15" s="71">
        <f>Submetering!E15+Submetering!F15+Submetering!G15+Submetering!H15+Submetering!I15+Submetering!J15+Submetering!K15</f>
        <v>33255</v>
      </c>
      <c r="F15" s="74">
        <v>0.2</v>
      </c>
      <c r="G15" s="71">
        <f>Submetering!P15</f>
        <v>624</v>
      </c>
      <c r="H15" s="74">
        <v>6.47</v>
      </c>
      <c r="I15" s="71">
        <f>Submetering!T15-Submetering!T15*15%-Submetering!X15</f>
        <v>78415.080199999997</v>
      </c>
      <c r="J15" s="70">
        <v>0.21</v>
      </c>
      <c r="K15" s="81">
        <f>Submetering!N15-Submetering!O15</f>
        <v>108.1399999999976</v>
      </c>
      <c r="L15" s="74">
        <v>7.84</v>
      </c>
      <c r="M15" s="71">
        <v>45</v>
      </c>
      <c r="N15" s="104">
        <f>Submetering!Z15</f>
        <v>87</v>
      </c>
    </row>
    <row r="16" spans="1:15" x14ac:dyDescent="0.25">
      <c r="A16" s="110" t="s">
        <v>80</v>
      </c>
      <c r="B16" s="72">
        <f t="shared" si="0"/>
        <v>15</v>
      </c>
      <c r="C16" s="73">
        <v>8</v>
      </c>
      <c r="D16" s="72">
        <v>2022</v>
      </c>
      <c r="E16" s="71">
        <f>Submetering!E16+Submetering!F16+Submetering!G16+Submetering!H16+Submetering!I16+Submetering!J16+Submetering!K16</f>
        <v>33172</v>
      </c>
      <c r="F16" s="74">
        <v>0.2</v>
      </c>
      <c r="G16" s="71">
        <f>Submetering!P16</f>
        <v>598</v>
      </c>
      <c r="H16" s="74">
        <v>6.47</v>
      </c>
      <c r="I16" s="71">
        <f>Submetering!T16-Submetering!T16*15%-Submetering!X16</f>
        <v>63180.809800001443</v>
      </c>
      <c r="J16" s="70">
        <v>0.21</v>
      </c>
      <c r="K16" s="71">
        <f>Submetering!N16-Submetering!O16</f>
        <v>92.975999999999658</v>
      </c>
      <c r="L16" s="74">
        <v>7.84</v>
      </c>
      <c r="M16" s="71">
        <v>65</v>
      </c>
      <c r="N16" s="104">
        <f>Submetering!Z16</f>
        <v>131</v>
      </c>
    </row>
    <row r="17" spans="1:14" x14ac:dyDescent="0.25">
      <c r="A17" s="110" t="s">
        <v>80</v>
      </c>
      <c r="B17" s="72">
        <f t="shared" si="0"/>
        <v>16</v>
      </c>
      <c r="C17" s="73">
        <v>8</v>
      </c>
      <c r="D17" s="72">
        <v>2022</v>
      </c>
      <c r="E17" s="71">
        <f>Submetering!E17+Submetering!F17+Submetering!G17+Submetering!H17+Submetering!I17+Submetering!J17+Submetering!K17</f>
        <v>33174</v>
      </c>
      <c r="F17" s="74">
        <v>0.2</v>
      </c>
      <c r="G17" s="71">
        <f>Submetering!P17</f>
        <v>645</v>
      </c>
      <c r="H17" s="74">
        <v>6.47</v>
      </c>
      <c r="I17" s="71">
        <f>Submetering!T17-Submetering!T17*15%-Submetering!X17</f>
        <v>68279.084200001467</v>
      </c>
      <c r="J17" s="70">
        <v>0.21</v>
      </c>
      <c r="K17" s="71">
        <f>Submetering!N17-Submetering!O17</f>
        <v>130.39400000000023</v>
      </c>
      <c r="L17" s="74">
        <v>7.84</v>
      </c>
      <c r="M17" s="71">
        <v>70</v>
      </c>
      <c r="N17" s="104">
        <f>Submetering!Z17</f>
        <v>134</v>
      </c>
    </row>
    <row r="18" spans="1:14" x14ac:dyDescent="0.25">
      <c r="A18" s="110" t="s">
        <v>80</v>
      </c>
      <c r="B18" s="72">
        <f t="shared" si="0"/>
        <v>17</v>
      </c>
      <c r="C18" s="73">
        <v>8</v>
      </c>
      <c r="D18" s="72">
        <v>2022</v>
      </c>
      <c r="E18" s="71">
        <f>Submetering!E18+Submetering!F18+Submetering!G18+Submetering!H18+Submetering!I18+Submetering!J18+Submetering!K18</f>
        <v>33326</v>
      </c>
      <c r="F18" s="74">
        <v>0.2</v>
      </c>
      <c r="G18" s="71">
        <f>Submetering!P18</f>
        <v>663</v>
      </c>
      <c r="H18" s="74">
        <v>6.47</v>
      </c>
      <c r="I18" s="71">
        <f>Submetering!T18-Submetering!T18*15%-Submetering!X18</f>
        <v>70439.882999998546</v>
      </c>
      <c r="J18" s="70">
        <v>0.21</v>
      </c>
      <c r="K18" s="71">
        <f>Submetering!N18-Submetering!O18</f>
        <v>136.79199999999764</v>
      </c>
      <c r="L18" s="74">
        <v>7.84</v>
      </c>
      <c r="M18" s="71">
        <v>75</v>
      </c>
      <c r="N18" s="104">
        <f>Submetering!Z18</f>
        <v>131</v>
      </c>
    </row>
    <row r="19" spans="1:14" x14ac:dyDescent="0.25">
      <c r="A19" s="110" t="s">
        <v>80</v>
      </c>
      <c r="B19" s="72">
        <f t="shared" si="0"/>
        <v>18</v>
      </c>
      <c r="C19" s="73">
        <v>8</v>
      </c>
      <c r="D19" s="72">
        <v>2022</v>
      </c>
      <c r="E19" s="71">
        <f>Submetering!E19+Submetering!F19+Submetering!G19+Submetering!H19+Submetering!I19+Submetering!J19+Submetering!K19</f>
        <v>33699</v>
      </c>
      <c r="F19" s="74">
        <v>0.2</v>
      </c>
      <c r="G19" s="71">
        <f>Submetering!P19</f>
        <v>608</v>
      </c>
      <c r="H19" s="74">
        <v>6.47</v>
      </c>
      <c r="I19" s="71">
        <f>Submetering!T19-Submetering!T19*15%-Submetering!X19</f>
        <v>67711.722599999994</v>
      </c>
      <c r="J19" s="70">
        <v>0.21</v>
      </c>
      <c r="K19" s="71">
        <f>Submetering!N19-Submetering!O19</f>
        <v>123.12100000000191</v>
      </c>
      <c r="L19" s="74">
        <v>7.84</v>
      </c>
      <c r="M19" s="71">
        <v>79</v>
      </c>
      <c r="N19" s="104">
        <f>Submetering!Z19</f>
        <v>156</v>
      </c>
    </row>
    <row r="20" spans="1:14" x14ac:dyDescent="0.25">
      <c r="A20" s="110" t="s">
        <v>80</v>
      </c>
      <c r="B20" s="72">
        <f t="shared" si="0"/>
        <v>19</v>
      </c>
      <c r="C20" s="73">
        <v>8</v>
      </c>
      <c r="D20" s="72">
        <v>2022</v>
      </c>
      <c r="E20" s="71">
        <f>Submetering!E20+Submetering!F20+Submetering!G20+Submetering!H20+Submetering!I20+Submetering!J20+Submetering!K20</f>
        <v>33273</v>
      </c>
      <c r="F20" s="74">
        <v>0.2</v>
      </c>
      <c r="G20" s="71">
        <f>Submetering!P20</f>
        <v>666</v>
      </c>
      <c r="H20" s="74">
        <v>6.47</v>
      </c>
      <c r="I20" s="71">
        <f>Submetering!T20-Submetering!T20*15%-Submetering!X20</f>
        <v>47923.061999997095</v>
      </c>
      <c r="J20" s="70">
        <v>0.21</v>
      </c>
      <c r="K20" s="71">
        <f>Submetering!N20-Submetering!O20</f>
        <v>121.17999999999574</v>
      </c>
      <c r="L20" s="74">
        <v>7.84</v>
      </c>
      <c r="M20" s="71">
        <v>73</v>
      </c>
      <c r="N20" s="104">
        <f>Submetering!Z20</f>
        <v>144</v>
      </c>
    </row>
    <row r="21" spans="1:14" x14ac:dyDescent="0.25">
      <c r="A21" s="110" t="s">
        <v>80</v>
      </c>
      <c r="B21" s="72">
        <f t="shared" si="0"/>
        <v>20</v>
      </c>
      <c r="C21" s="73">
        <v>8</v>
      </c>
      <c r="D21" s="72">
        <v>2022</v>
      </c>
      <c r="E21" s="71">
        <f>Submetering!E21+Submetering!F21+Submetering!G21+Submetering!H21+Submetering!I21+Submetering!J21+Submetering!K21</f>
        <v>33376</v>
      </c>
      <c r="F21" s="74">
        <v>0.2</v>
      </c>
      <c r="G21" s="71">
        <f>Submetering!P21</f>
        <v>700</v>
      </c>
      <c r="H21" s="74">
        <v>6.47</v>
      </c>
      <c r="I21" s="71">
        <f>Submetering!T21-Submetering!T21*15%-Submetering!X21</f>
        <v>70408.148400001461</v>
      </c>
      <c r="J21" s="70">
        <v>0.21</v>
      </c>
      <c r="K21" s="71">
        <f>Submetering!N21-Submetering!O21</f>
        <v>117.53699999999935</v>
      </c>
      <c r="L21" s="74">
        <v>7.84</v>
      </c>
      <c r="M21" s="71">
        <v>55</v>
      </c>
      <c r="N21" s="104">
        <f>Submetering!Z21</f>
        <v>104</v>
      </c>
    </row>
    <row r="22" spans="1:14" x14ac:dyDescent="0.25">
      <c r="A22" s="110" t="s">
        <v>80</v>
      </c>
      <c r="B22" s="72">
        <f t="shared" si="0"/>
        <v>21</v>
      </c>
      <c r="C22" s="73">
        <v>8</v>
      </c>
      <c r="D22" s="72">
        <v>2022</v>
      </c>
      <c r="E22" s="71">
        <f>Submetering!E22+Submetering!F22+Submetering!G22+Submetering!H22+Submetering!I22+Submetering!J22+Submetering!K22</f>
        <v>31929</v>
      </c>
      <c r="F22" s="74">
        <v>0.2</v>
      </c>
      <c r="G22" s="71">
        <f>Submetering!P22</f>
        <v>615</v>
      </c>
      <c r="H22" s="74">
        <v>6.47</v>
      </c>
      <c r="I22" s="71">
        <f>Submetering!T22-Submetering!T22*15%-Submetering!X22</f>
        <v>59509.823199999999</v>
      </c>
      <c r="J22" s="70">
        <v>0.21</v>
      </c>
      <c r="K22" s="71">
        <f>Submetering!N22-Submetering!O22</f>
        <v>113.14200000000255</v>
      </c>
      <c r="L22" s="74">
        <v>7.84</v>
      </c>
      <c r="M22" s="71">
        <v>47</v>
      </c>
      <c r="N22" s="104">
        <f>Submetering!Z22</f>
        <v>76</v>
      </c>
    </row>
    <row r="23" spans="1:14" x14ac:dyDescent="0.25">
      <c r="A23" s="110" t="s">
        <v>80</v>
      </c>
      <c r="B23" s="72">
        <f t="shared" si="0"/>
        <v>22</v>
      </c>
      <c r="C23" s="73">
        <v>8</v>
      </c>
      <c r="D23" s="72">
        <v>2022</v>
      </c>
      <c r="E23" s="71">
        <f>Submetering!E23+Submetering!F23+Submetering!G23+Submetering!H23+Submetering!I23+Submetering!J23+Submetering!K23</f>
        <v>32401</v>
      </c>
      <c r="F23" s="74">
        <v>0.2</v>
      </c>
      <c r="G23" s="71">
        <f>Submetering!P23</f>
        <v>547</v>
      </c>
      <c r="H23" s="74">
        <v>6.47</v>
      </c>
      <c r="I23" s="71">
        <f>Submetering!T23-Submetering!T23*15%-Submetering!X23</f>
        <v>58473.015200002919</v>
      </c>
      <c r="J23" s="70">
        <v>0.21</v>
      </c>
      <c r="K23" s="71">
        <f>Submetering!N23-Submetering!O23</f>
        <v>111.23300000000108</v>
      </c>
      <c r="L23" s="74">
        <v>7.84</v>
      </c>
      <c r="M23" s="71">
        <v>67</v>
      </c>
      <c r="N23" s="104">
        <f>Submetering!Z23</f>
        <v>114</v>
      </c>
    </row>
    <row r="24" spans="1:14" x14ac:dyDescent="0.25">
      <c r="A24" s="110" t="s">
        <v>80</v>
      </c>
      <c r="B24" s="72">
        <f t="shared" si="0"/>
        <v>23</v>
      </c>
      <c r="C24" s="73">
        <v>8</v>
      </c>
      <c r="D24" s="72">
        <v>2022</v>
      </c>
      <c r="E24" s="71">
        <f>Submetering!E24+Submetering!F24+Submetering!G24+Submetering!H24+Submetering!I24+Submetering!J24+Submetering!K24</f>
        <v>32512</v>
      </c>
      <c r="F24" s="74">
        <v>0.2</v>
      </c>
      <c r="G24" s="71">
        <f>Submetering!P24</f>
        <v>665</v>
      </c>
      <c r="H24" s="74">
        <v>6.47</v>
      </c>
      <c r="I24" s="71">
        <f>Submetering!T24-Submetering!T24*15%-Submetering!X24</f>
        <v>70382.154799994183</v>
      </c>
      <c r="J24" s="70">
        <v>0.21</v>
      </c>
      <c r="K24" s="71">
        <f>Submetering!N24-Submetering!O24</f>
        <v>86.792000000001281</v>
      </c>
      <c r="L24" s="74">
        <v>7.84</v>
      </c>
      <c r="M24" s="71">
        <v>78</v>
      </c>
      <c r="N24" s="104">
        <f>Submetering!Z24</f>
        <v>141</v>
      </c>
    </row>
    <row r="25" spans="1:14" x14ac:dyDescent="0.25">
      <c r="A25" s="110" t="s">
        <v>80</v>
      </c>
      <c r="B25" s="72">
        <f t="shared" si="0"/>
        <v>24</v>
      </c>
      <c r="C25" s="73">
        <v>8</v>
      </c>
      <c r="D25" s="72">
        <v>2022</v>
      </c>
      <c r="E25" s="71">
        <f>Submetering!E25+Submetering!F25+Submetering!G25+Submetering!H25+Submetering!I25+Submetering!J25+Submetering!K25</f>
        <v>33008</v>
      </c>
      <c r="F25" s="74">
        <v>0.2</v>
      </c>
      <c r="G25" s="71">
        <f>Submetering!P25</f>
        <v>606</v>
      </c>
      <c r="H25" s="74">
        <v>6.47</v>
      </c>
      <c r="I25" s="71">
        <f>Submetering!T25-Submetering!T25*15%-Submetering!X25</f>
        <v>66894.22240000582</v>
      </c>
      <c r="J25" s="70">
        <v>0.21</v>
      </c>
      <c r="K25" s="71">
        <f>Submetering!N25-Submetering!O25</f>
        <v>115.74300000000494</v>
      </c>
      <c r="L25" s="74">
        <v>7.84</v>
      </c>
      <c r="M25" s="71">
        <v>77</v>
      </c>
      <c r="N25" s="104">
        <f>Submetering!Z25</f>
        <v>118</v>
      </c>
    </row>
    <row r="26" spans="1:14" x14ac:dyDescent="0.25">
      <c r="A26" s="110" t="s">
        <v>80</v>
      </c>
      <c r="B26" s="72">
        <f>B25+1</f>
        <v>25</v>
      </c>
      <c r="C26" s="73">
        <v>8</v>
      </c>
      <c r="D26" s="72">
        <v>2022</v>
      </c>
      <c r="E26" s="71">
        <f>Submetering!E26+Submetering!F26+Submetering!G26+Submetering!H26+Submetering!I26+Submetering!J26+Submetering!K26</f>
        <v>33123</v>
      </c>
      <c r="F26" s="74">
        <v>0.2</v>
      </c>
      <c r="G26" s="71">
        <f>Submetering!P26</f>
        <v>619</v>
      </c>
      <c r="H26" s="74">
        <v>6.47</v>
      </c>
      <c r="I26" s="71">
        <f>Submetering!T26-Submetering!T26*15%-Submetering!X26</f>
        <v>64445.850399997085</v>
      </c>
      <c r="J26" s="70">
        <v>0.21</v>
      </c>
      <c r="K26" s="71">
        <f>Submetering!N26-Submetering!O26</f>
        <v>97.954999999996289</v>
      </c>
      <c r="L26" s="74">
        <v>7.84</v>
      </c>
      <c r="M26" s="71">
        <v>65</v>
      </c>
      <c r="N26" s="104">
        <f>Submetering!Z26</f>
        <v>107</v>
      </c>
    </row>
    <row r="27" spans="1:14" x14ac:dyDescent="0.25">
      <c r="A27" s="110" t="s">
        <v>80</v>
      </c>
      <c r="B27" s="72">
        <f t="shared" si="0"/>
        <v>26</v>
      </c>
      <c r="C27" s="73">
        <v>8</v>
      </c>
      <c r="D27" s="72">
        <v>2022</v>
      </c>
      <c r="E27" s="71">
        <f>Submetering!E27+Submetering!F27+Submetering!G27+Submetering!H27+Submetering!I27+Submetering!J27+Submetering!K27</f>
        <v>33002</v>
      </c>
      <c r="F27" s="74">
        <v>0.2</v>
      </c>
      <c r="G27" s="71">
        <f>Submetering!P27</f>
        <v>643</v>
      </c>
      <c r="H27" s="74">
        <v>6.47</v>
      </c>
      <c r="I27" s="71">
        <f>Submetering!T27-Submetering!T27*15%-Submetering!X27</f>
        <v>53247.525200000004</v>
      </c>
      <c r="J27" s="70">
        <v>0.21</v>
      </c>
      <c r="K27" s="71">
        <f>Submetering!N27-Submetering!O27</f>
        <v>120.24399999999787</v>
      </c>
      <c r="L27" s="74">
        <v>7.84</v>
      </c>
      <c r="M27" s="71">
        <v>55</v>
      </c>
      <c r="N27" s="104">
        <f>Submetering!Z27</f>
        <v>103</v>
      </c>
    </row>
    <row r="28" spans="1:14" x14ac:dyDescent="0.25">
      <c r="A28" s="110" t="s">
        <v>80</v>
      </c>
      <c r="B28" s="72">
        <f t="shared" si="0"/>
        <v>27</v>
      </c>
      <c r="C28" s="73">
        <v>8</v>
      </c>
      <c r="D28" s="72">
        <v>2022</v>
      </c>
      <c r="E28" s="71">
        <f>Submetering!E28+Submetering!F28+Submetering!G28+Submetering!H28+Submetering!I28+Submetering!J28+Submetering!K28</f>
        <v>32798</v>
      </c>
      <c r="F28" s="74">
        <v>0.2</v>
      </c>
      <c r="G28" s="71">
        <f>Submetering!P28</f>
        <v>664</v>
      </c>
      <c r="H28" s="74">
        <v>6.47</v>
      </c>
      <c r="I28" s="71">
        <f>Submetering!T28-Submetering!T28*15%-Submetering!X28</f>
        <v>52910.994400000011</v>
      </c>
      <c r="J28" s="70">
        <v>0.21</v>
      </c>
      <c r="K28" s="71">
        <f>Submetering!N28-Submetering!O28</f>
        <v>93.917000000000371</v>
      </c>
      <c r="L28" s="74">
        <v>7.84</v>
      </c>
      <c r="M28" s="71">
        <v>44</v>
      </c>
      <c r="N28" s="104">
        <f>Submetering!Z28</f>
        <v>85</v>
      </c>
    </row>
    <row r="29" spans="1:14" x14ac:dyDescent="0.25">
      <c r="A29" s="110" t="s">
        <v>80</v>
      </c>
      <c r="B29" s="72">
        <f t="shared" si="0"/>
        <v>28</v>
      </c>
      <c r="C29" s="73">
        <v>8</v>
      </c>
      <c r="D29" s="72">
        <v>2022</v>
      </c>
      <c r="E29" s="71">
        <f>Submetering!E29+Submetering!F29+Submetering!G29+Submetering!H29+Submetering!I29+Submetering!J29+Submetering!K29</f>
        <v>31994</v>
      </c>
      <c r="F29" s="74">
        <v>0.2</v>
      </c>
      <c r="G29" s="71">
        <f>Submetering!P29</f>
        <v>649</v>
      </c>
      <c r="H29" s="74">
        <v>6.47</v>
      </c>
      <c r="I29" s="71">
        <f>Submetering!T29-Submetering!T29*15%-Submetering!X29</f>
        <v>53786.654200000004</v>
      </c>
      <c r="J29" s="70">
        <v>0.21</v>
      </c>
      <c r="K29" s="71">
        <f>Submetering!N29-Submetering!O29</f>
        <v>98.65900000000147</v>
      </c>
      <c r="L29" s="74">
        <v>7.84</v>
      </c>
      <c r="M29" s="71">
        <v>51</v>
      </c>
      <c r="N29" s="104">
        <f>Submetering!Z29</f>
        <v>78</v>
      </c>
    </row>
    <row r="30" spans="1:14" x14ac:dyDescent="0.25">
      <c r="A30" s="110" t="s">
        <v>80</v>
      </c>
      <c r="B30" s="72">
        <f t="shared" si="0"/>
        <v>29</v>
      </c>
      <c r="C30" s="73">
        <v>8</v>
      </c>
      <c r="D30" s="72">
        <v>2022</v>
      </c>
      <c r="E30" s="71">
        <f>Submetering!E30+Submetering!F30+Submetering!G30+Submetering!H30+Submetering!I30+Submetering!J30+Submetering!K30</f>
        <v>32425</v>
      </c>
      <c r="F30" s="74">
        <v>0.2</v>
      </c>
      <c r="G30" s="71">
        <f>Submetering!P30</f>
        <v>640</v>
      </c>
      <c r="H30" s="74">
        <v>6.47</v>
      </c>
      <c r="I30" s="71">
        <f>Submetering!T30-Submetering!T30*15%-Submetering!X30</f>
        <v>57768.218999998542</v>
      </c>
      <c r="J30" s="70">
        <v>0.21</v>
      </c>
      <c r="K30" s="71">
        <f>Submetering!N30-Submetering!O30</f>
        <v>89.239000000000487</v>
      </c>
      <c r="L30" s="74">
        <v>7.84</v>
      </c>
      <c r="M30" s="71">
        <v>56</v>
      </c>
      <c r="N30" s="104">
        <f>Submetering!Z30</f>
        <v>89</v>
      </c>
    </row>
    <row r="31" spans="1:14" x14ac:dyDescent="0.25">
      <c r="A31" s="110" t="s">
        <v>80</v>
      </c>
      <c r="B31" s="72">
        <f t="shared" si="0"/>
        <v>30</v>
      </c>
      <c r="C31" s="73">
        <v>8</v>
      </c>
      <c r="D31" s="72">
        <v>2022</v>
      </c>
      <c r="E31" s="71">
        <f>Submetering!E31+Submetering!F31+Submetering!G31+Submetering!H31+Submetering!I31+Submetering!J31+Submetering!K31</f>
        <v>32197</v>
      </c>
      <c r="F31" s="74">
        <v>0.2</v>
      </c>
      <c r="G31" s="71">
        <f>Submetering!P31</f>
        <v>657</v>
      </c>
      <c r="H31" s="74">
        <v>6.47</v>
      </c>
      <c r="I31" s="71">
        <f>Submetering!T31-Submetering!T31*15%-Submetering!X31</f>
        <v>54719.569799998542</v>
      </c>
      <c r="J31" s="70">
        <v>0.21</v>
      </c>
      <c r="K31" s="71">
        <f>Submetering!N31-Submetering!O31</f>
        <v>146.96700000000146</v>
      </c>
      <c r="L31" s="74">
        <v>7.84</v>
      </c>
      <c r="M31" s="71">
        <v>55</v>
      </c>
      <c r="N31" s="104">
        <f>Submetering!Z31</f>
        <v>91</v>
      </c>
    </row>
    <row r="32" spans="1:14" x14ac:dyDescent="0.25">
      <c r="A32" s="110" t="s">
        <v>80</v>
      </c>
      <c r="B32" s="72">
        <f t="shared" si="0"/>
        <v>31</v>
      </c>
      <c r="C32" s="73">
        <v>8</v>
      </c>
      <c r="D32" s="72">
        <v>2022</v>
      </c>
      <c r="E32" s="71">
        <f>Submetering!E32+Submetering!F32+Submetering!G32+Submetering!H32+Submetering!I32+Submetering!J32+Submetering!K32</f>
        <v>32179</v>
      </c>
      <c r="F32" s="74">
        <v>0.2</v>
      </c>
      <c r="G32" s="71">
        <f>Submetering!P32</f>
        <v>720</v>
      </c>
      <c r="H32" s="74">
        <v>6.47</v>
      </c>
      <c r="I32" s="71">
        <f>Submetering!T32-Submetering!T32*15%-Submetering!X32</f>
        <v>58301.761200002918</v>
      </c>
      <c r="J32" s="70">
        <v>0.21</v>
      </c>
      <c r="K32" s="71">
        <f>Submetering!N32-Submetering!O32</f>
        <v>119.74699999999575</v>
      </c>
      <c r="L32" s="74">
        <v>7.84</v>
      </c>
      <c r="M32" s="71">
        <v>64</v>
      </c>
      <c r="N32" s="104">
        <f>Submetering!Z32</f>
        <v>102</v>
      </c>
    </row>
    <row r="33" spans="5:14" x14ac:dyDescent="0.25">
      <c r="E33" s="4">
        <f>SUM(E2:E32)</f>
        <v>1022642</v>
      </c>
      <c r="G33" s="4">
        <f>SUM(G2:G32)</f>
        <v>19680</v>
      </c>
      <c r="I33" s="4">
        <f>SUM(I2:I32)</f>
        <v>2010064.021000003</v>
      </c>
      <c r="K33" s="4">
        <f>SUM(K2:K32)</f>
        <v>3572.8030000000008</v>
      </c>
      <c r="M33" s="4">
        <f>SUM(M2:M32)</f>
        <v>2082</v>
      </c>
      <c r="N33" s="4">
        <f>SUM(N2:N32)</f>
        <v>3690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Y2" sqref="Y2:Y32"/>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8</v>
      </c>
      <c r="D2" s="99">
        <v>2022</v>
      </c>
      <c r="E2" s="101">
        <f>'FS-AD Daily '!B6</f>
        <v>5328</v>
      </c>
      <c r="F2" s="101">
        <f>'FS-AD Daily '!C6</f>
        <v>3217</v>
      </c>
      <c r="G2" s="101">
        <f>'FS-AD Daily '!D6</f>
        <v>861</v>
      </c>
      <c r="H2" s="101">
        <f>'FS-AD Daily '!E6</f>
        <v>7091</v>
      </c>
      <c r="I2" s="101">
        <f>'FS-AD Daily '!F6</f>
        <v>5995</v>
      </c>
      <c r="J2" s="101">
        <f>'FS-AD Daily '!G6</f>
        <v>2760</v>
      </c>
      <c r="K2" s="101">
        <f>'FS-AD Daily '!H6</f>
        <v>6853</v>
      </c>
      <c r="L2" s="101">
        <f>'FS-AD Daily '!I6</f>
        <v>2256</v>
      </c>
      <c r="M2" s="101">
        <f>'FS-AD Daily '!J6</f>
        <v>6806</v>
      </c>
      <c r="N2" s="101">
        <f>'FS-AD Daily '!T6</f>
        <v>178.28300000000309</v>
      </c>
      <c r="O2" s="101">
        <f>'FS-AD Daily '!R6</f>
        <v>66.01799999999821</v>
      </c>
      <c r="P2" s="101">
        <f>'FS-AD Daily '!Z6</f>
        <v>594</v>
      </c>
      <c r="Q2" s="101">
        <f>'FS-AD Daily '!V6</f>
        <v>158.10000000003492</v>
      </c>
      <c r="R2" s="101">
        <f>'FS-AD Daily '!W6</f>
        <v>173.17999999999302</v>
      </c>
      <c r="S2" s="101">
        <f>P2-Q2-R2</f>
        <v>262.71999999997206</v>
      </c>
      <c r="T2" s="101">
        <f>'FS-AD Daily '!AD6*3.516</f>
        <v>101461.212</v>
      </c>
      <c r="U2" s="101">
        <f>('FS-AD Daily '!AF6)*1000</f>
        <v>46300.00000000291</v>
      </c>
      <c r="V2" s="101">
        <f>('FS-AD Daily '!AG6)*1000</f>
        <v>0</v>
      </c>
      <c r="W2" s="101">
        <f>'FS-AD Daily '!AH6*1000</f>
        <v>17000</v>
      </c>
      <c r="X2" s="101">
        <f>('FS-AD Daily '!AK6)*1000</f>
        <v>27699.99999999709</v>
      </c>
      <c r="Y2" s="101">
        <v>66</v>
      </c>
      <c r="Z2" s="102">
        <v>104</v>
      </c>
    </row>
    <row r="3" spans="1:26" x14ac:dyDescent="0.25">
      <c r="A3" s="103" t="s">
        <v>80</v>
      </c>
      <c r="B3" s="69">
        <f>B2+1</f>
        <v>2</v>
      </c>
      <c r="C3" s="70">
        <v>8</v>
      </c>
      <c r="D3" s="69">
        <v>2022</v>
      </c>
      <c r="E3" s="71">
        <f>'FS-AD Daily '!B7</f>
        <v>5435</v>
      </c>
      <c r="F3" s="71">
        <f>'FS-AD Daily '!C7</f>
        <v>3304</v>
      </c>
      <c r="G3" s="71">
        <f>'FS-AD Daily '!D7</f>
        <v>881</v>
      </c>
      <c r="H3" s="71">
        <f>'FS-AD Daily '!E7</f>
        <v>7223</v>
      </c>
      <c r="I3" s="71">
        <f>'FS-AD Daily '!F7</f>
        <v>6163</v>
      </c>
      <c r="J3" s="71">
        <f>'FS-AD Daily '!G7</f>
        <v>2704</v>
      </c>
      <c r="K3" s="71">
        <f>'FS-AD Daily '!H7</f>
        <v>6823</v>
      </c>
      <c r="L3" s="71">
        <f>'FS-AD Daily '!I7</f>
        <v>2253</v>
      </c>
      <c r="M3" s="71">
        <f>'FS-AD Daily '!J7</f>
        <v>6826</v>
      </c>
      <c r="N3" s="71">
        <f>'FS-AD Daily '!T7</f>
        <v>195.45899999999892</v>
      </c>
      <c r="O3" s="71">
        <f>'FS-AD Daily '!R7</f>
        <v>72.713000000001557</v>
      </c>
      <c r="P3" s="71">
        <f>'FS-AD Daily '!Z7</f>
        <v>624</v>
      </c>
      <c r="Q3" s="71">
        <f>'FS-AD Daily '!V7</f>
        <v>175.5</v>
      </c>
      <c r="R3" s="71">
        <f>'FS-AD Daily '!W7</f>
        <v>180.88999999998487</v>
      </c>
      <c r="S3" s="71">
        <f t="shared" ref="S3:S30" si="0">P3-Q3-R3</f>
        <v>267.61000000001513</v>
      </c>
      <c r="T3" s="71">
        <f>'FS-AD Daily '!AD7*3.516</f>
        <v>105297.16800000001</v>
      </c>
      <c r="U3" s="71">
        <f>('FS-AD Daily '!AF7)*1000</f>
        <v>48600.000000005821</v>
      </c>
      <c r="V3" s="71">
        <f>('FS-AD Daily '!AG7)*1000</f>
        <v>0</v>
      </c>
      <c r="W3" s="71">
        <f>'FS-AD Daily '!AH7*1000</f>
        <v>17500</v>
      </c>
      <c r="X3" s="71">
        <f>('FS-AD Daily '!AK7)*1000</f>
        <v>27599.999999998545</v>
      </c>
      <c r="Y3" s="71">
        <v>67</v>
      </c>
      <c r="Z3" s="104">
        <v>104</v>
      </c>
    </row>
    <row r="4" spans="1:26" x14ac:dyDescent="0.25">
      <c r="A4" s="103" t="s">
        <v>80</v>
      </c>
      <c r="B4" s="69">
        <f t="shared" ref="B4:B32" si="1">B3+1</f>
        <v>3</v>
      </c>
      <c r="C4" s="70">
        <v>8</v>
      </c>
      <c r="D4" s="69">
        <v>2022</v>
      </c>
      <c r="E4" s="71">
        <f>'FS-AD Daily '!B8</f>
        <v>5316</v>
      </c>
      <c r="F4" s="71">
        <f>'FS-AD Daily '!C8</f>
        <v>3164</v>
      </c>
      <c r="G4" s="71">
        <f>'FS-AD Daily '!D8</f>
        <v>795</v>
      </c>
      <c r="H4" s="71">
        <f>'FS-AD Daily '!E8</f>
        <v>7010</v>
      </c>
      <c r="I4" s="71">
        <f>'FS-AD Daily '!F8</f>
        <v>6085</v>
      </c>
      <c r="J4" s="71">
        <f>'FS-AD Daily '!G8</f>
        <v>2748</v>
      </c>
      <c r="K4" s="71">
        <f>'FS-AD Daily '!H8</f>
        <v>6712</v>
      </c>
      <c r="L4" s="71">
        <f>'FS-AD Daily '!I8</f>
        <v>2261</v>
      </c>
      <c r="M4" s="71">
        <f>'FS-AD Daily '!J8</f>
        <v>6784</v>
      </c>
      <c r="N4" s="71">
        <f>'FS-AD Daily '!T8</f>
        <v>175.7400000000016</v>
      </c>
      <c r="O4" s="71">
        <f>'FS-AD Daily '!R8</f>
        <v>71.009000000000924</v>
      </c>
      <c r="P4" s="71">
        <f>'FS-AD Daily '!Z8</f>
        <v>615</v>
      </c>
      <c r="Q4" s="71">
        <f>'FS-AD Daily '!V8</f>
        <v>168</v>
      </c>
      <c r="R4" s="71">
        <f>'FS-AD Daily '!W8</f>
        <v>174.40000000002328</v>
      </c>
      <c r="S4" s="71">
        <f t="shared" si="0"/>
        <v>272.59999999997672</v>
      </c>
      <c r="T4" s="71">
        <f>'FS-AD Daily '!AD8*3.516</f>
        <v>107930.652</v>
      </c>
      <c r="U4" s="71">
        <f>('FS-AD Daily '!AF8)*1000</f>
        <v>49699.99999999709</v>
      </c>
      <c r="V4" s="71">
        <f>('FS-AD Daily '!AG8)*1000</f>
        <v>0</v>
      </c>
      <c r="W4" s="71">
        <f>'FS-AD Daily '!AH8*1000</f>
        <v>17500</v>
      </c>
      <c r="X4" s="71">
        <f>('FS-AD Daily '!AK8)*1000</f>
        <v>28400.000000001455</v>
      </c>
      <c r="Y4" s="71">
        <v>58</v>
      </c>
      <c r="Z4" s="104">
        <v>95</v>
      </c>
    </row>
    <row r="5" spans="1:26" x14ac:dyDescent="0.25">
      <c r="A5" s="103" t="s">
        <v>80</v>
      </c>
      <c r="B5" s="69">
        <f t="shared" si="1"/>
        <v>4</v>
      </c>
      <c r="C5" s="70">
        <v>8</v>
      </c>
      <c r="D5" s="69">
        <v>2022</v>
      </c>
      <c r="E5" s="71">
        <f>'FS-AD Daily '!B9</f>
        <v>5399</v>
      </c>
      <c r="F5" s="71">
        <f>'FS-AD Daily '!C9</f>
        <v>3541</v>
      </c>
      <c r="G5" s="71">
        <f>'FS-AD Daily '!D9</f>
        <v>883</v>
      </c>
      <c r="H5" s="71">
        <f>'FS-AD Daily '!E9</f>
        <v>6923</v>
      </c>
      <c r="I5" s="71">
        <f>'FS-AD Daily '!F9</f>
        <v>6243</v>
      </c>
      <c r="J5" s="71">
        <f>'FS-AD Daily '!G9</f>
        <v>2968</v>
      </c>
      <c r="K5" s="71">
        <f>'FS-AD Daily '!H9</f>
        <v>6746</v>
      </c>
      <c r="L5" s="71">
        <f>'FS-AD Daily '!I9</f>
        <v>2330</v>
      </c>
      <c r="M5" s="71">
        <f>'FS-AD Daily '!J9</f>
        <v>6903</v>
      </c>
      <c r="N5" s="71">
        <f>'FS-AD Daily '!T9</f>
        <v>208.34499999999389</v>
      </c>
      <c r="O5" s="71">
        <f>'FS-AD Daily '!R9</f>
        <v>74.799999999999272</v>
      </c>
      <c r="P5" s="71">
        <f>'FS-AD Daily '!Z9</f>
        <v>659</v>
      </c>
      <c r="Q5" s="71">
        <f>'FS-AD Daily '!V9</f>
        <v>202.59999999997672</v>
      </c>
      <c r="R5" s="71">
        <f>'FS-AD Daily '!W9</f>
        <v>180.09999999997672</v>
      </c>
      <c r="S5" s="71">
        <f t="shared" si="0"/>
        <v>276.30000000004657</v>
      </c>
      <c r="T5" s="71">
        <f>'FS-AD Daily '!AD9*3.516</f>
        <v>120110.076</v>
      </c>
      <c r="U5" s="71">
        <f>('FS-AD Daily '!AF9)*1000</f>
        <v>56199.99999999709</v>
      </c>
      <c r="V5" s="71">
        <f>('FS-AD Daily '!AG9)*1000</f>
        <v>0</v>
      </c>
      <c r="W5" s="71">
        <f>'FS-AD Daily '!AH9*1000</f>
        <v>17800.00000000291</v>
      </c>
      <c r="X5" s="71">
        <f>('FS-AD Daily '!AK9)*1000</f>
        <v>30000</v>
      </c>
      <c r="Y5" s="71">
        <v>67</v>
      </c>
      <c r="Z5" s="104">
        <v>121</v>
      </c>
    </row>
    <row r="6" spans="1:26" x14ac:dyDescent="0.25">
      <c r="A6" s="103" t="s">
        <v>80</v>
      </c>
      <c r="B6" s="69">
        <f t="shared" si="1"/>
        <v>5</v>
      </c>
      <c r="C6" s="70">
        <v>8</v>
      </c>
      <c r="D6" s="69">
        <v>2022</v>
      </c>
      <c r="E6" s="71">
        <f>'FS-AD Daily '!B10</f>
        <v>5394</v>
      </c>
      <c r="F6" s="71">
        <f>'FS-AD Daily '!C10</f>
        <v>3992</v>
      </c>
      <c r="G6" s="71">
        <f>'FS-AD Daily '!D10</f>
        <v>892</v>
      </c>
      <c r="H6" s="71">
        <f>'FS-AD Daily '!E10</f>
        <v>6869</v>
      </c>
      <c r="I6" s="71">
        <f>'FS-AD Daily '!F10</f>
        <v>6170</v>
      </c>
      <c r="J6" s="71">
        <f>'FS-AD Daily '!G10</f>
        <v>3097</v>
      </c>
      <c r="K6" s="71">
        <f>'FS-AD Daily '!H10</f>
        <v>6749</v>
      </c>
      <c r="L6" s="71">
        <f>'FS-AD Daily '!I10</f>
        <v>2259</v>
      </c>
      <c r="M6" s="71">
        <f>'FS-AD Daily '!J10</f>
        <v>6923</v>
      </c>
      <c r="N6" s="71">
        <f>'FS-AD Daily '!T10</f>
        <v>216.25300000000061</v>
      </c>
      <c r="O6" s="71">
        <f>'FS-AD Daily '!R10</f>
        <v>71.544999999998254</v>
      </c>
      <c r="P6" s="71">
        <f>'FS-AD Daily '!Z10</f>
        <v>672</v>
      </c>
      <c r="Q6" s="71">
        <f>'FS-AD Daily '!V10</f>
        <v>205.79999999998836</v>
      </c>
      <c r="R6" s="71">
        <f>'FS-AD Daily '!W10</f>
        <v>170.52999999999884</v>
      </c>
      <c r="S6" s="71">
        <f t="shared" si="0"/>
        <v>295.67000000001281</v>
      </c>
      <c r="T6" s="71">
        <f>'FS-AD Daily '!AD10*3.516</f>
        <v>118028.60400000001</v>
      </c>
      <c r="U6" s="71">
        <f>('FS-AD Daily '!AF10)*1000</f>
        <v>55800.00000000291</v>
      </c>
      <c r="V6" s="71">
        <f>('FS-AD Daily '!AG10)*1000</f>
        <v>0</v>
      </c>
      <c r="W6" s="71">
        <f>'FS-AD Daily '!AH10*1000</f>
        <v>17099.999999998545</v>
      </c>
      <c r="X6" s="71">
        <f>('FS-AD Daily '!AK10)*1000</f>
        <v>29400.000000001455</v>
      </c>
      <c r="Y6" s="71">
        <v>76</v>
      </c>
      <c r="Z6" s="104">
        <v>145</v>
      </c>
    </row>
    <row r="7" spans="1:26" x14ac:dyDescent="0.25">
      <c r="A7" s="103" t="s">
        <v>80</v>
      </c>
      <c r="B7" s="69">
        <f t="shared" si="1"/>
        <v>6</v>
      </c>
      <c r="C7" s="70">
        <v>8</v>
      </c>
      <c r="D7" s="69">
        <v>2022</v>
      </c>
      <c r="E7" s="71">
        <f>'FS-AD Daily '!B11</f>
        <v>5445</v>
      </c>
      <c r="F7" s="71">
        <f>'FS-AD Daily '!C11</f>
        <v>4134</v>
      </c>
      <c r="G7" s="71">
        <f>'FS-AD Daily '!D11</f>
        <v>856</v>
      </c>
      <c r="H7" s="71">
        <f>'FS-AD Daily '!E11</f>
        <v>6946</v>
      </c>
      <c r="I7" s="71">
        <f>'FS-AD Daily '!F11</f>
        <v>6290</v>
      </c>
      <c r="J7" s="71">
        <f>'FS-AD Daily '!G11</f>
        <v>2976</v>
      </c>
      <c r="K7" s="71">
        <f>'FS-AD Daily '!H11</f>
        <v>6635</v>
      </c>
      <c r="L7" s="71">
        <f>'FS-AD Daily '!I11</f>
        <v>2181</v>
      </c>
      <c r="M7" s="71">
        <f>'FS-AD Daily '!J11</f>
        <v>6924</v>
      </c>
      <c r="N7" s="71">
        <f>'FS-AD Daily '!T11</f>
        <v>211.71700000000055</v>
      </c>
      <c r="O7" s="71">
        <f>'FS-AD Daily '!R11</f>
        <v>77.820000000001528</v>
      </c>
      <c r="P7" s="71">
        <f>'FS-AD Daily '!Z11</f>
        <v>681</v>
      </c>
      <c r="Q7" s="71">
        <f>'FS-AD Daily '!V11</f>
        <v>192.60000000003492</v>
      </c>
      <c r="R7" s="71">
        <f>'FS-AD Daily '!W11</f>
        <v>170.70000000001164</v>
      </c>
      <c r="S7" s="71">
        <f t="shared" si="0"/>
        <v>317.69999999995343</v>
      </c>
      <c r="T7" s="71">
        <f>'FS-AD Daily '!AD11*3.516</f>
        <v>112923.372</v>
      </c>
      <c r="U7" s="71">
        <f>('FS-AD Daily '!AF11)*1000</f>
        <v>52899.999999994179</v>
      </c>
      <c r="V7" s="71">
        <f>('FS-AD Daily '!AG11)*1000</f>
        <v>0</v>
      </c>
      <c r="W7" s="71">
        <f>'FS-AD Daily '!AH11*1000</f>
        <v>17099.999999998545</v>
      </c>
      <c r="X7" s="71">
        <f>('FS-AD Daily '!AK11)*1000</f>
        <v>29099.999999998545</v>
      </c>
      <c r="Y7" s="71">
        <v>86</v>
      </c>
      <c r="Z7" s="104">
        <v>168</v>
      </c>
    </row>
    <row r="8" spans="1:26" x14ac:dyDescent="0.25">
      <c r="A8" s="103" t="s">
        <v>80</v>
      </c>
      <c r="B8" s="69">
        <f t="shared" si="1"/>
        <v>7</v>
      </c>
      <c r="C8" s="70">
        <v>8</v>
      </c>
      <c r="D8" s="69">
        <v>2022</v>
      </c>
      <c r="E8" s="71">
        <f>'FS-AD Daily '!B12</f>
        <v>5383</v>
      </c>
      <c r="F8" s="71">
        <f>'FS-AD Daily '!C12</f>
        <v>3800</v>
      </c>
      <c r="G8" s="71">
        <f>'FS-AD Daily '!D12</f>
        <v>830</v>
      </c>
      <c r="H8" s="71">
        <f>'FS-AD Daily '!E12</f>
        <v>7093</v>
      </c>
      <c r="I8" s="71">
        <f>'FS-AD Daily '!F12</f>
        <v>5955</v>
      </c>
      <c r="J8" s="71">
        <f>'FS-AD Daily '!G12</f>
        <v>2869</v>
      </c>
      <c r="K8" s="71">
        <f>'FS-AD Daily '!H12</f>
        <v>6589</v>
      </c>
      <c r="L8" s="71">
        <f>'FS-AD Daily '!I12</f>
        <v>2224</v>
      </c>
      <c r="M8" s="71">
        <f>'FS-AD Daily '!J12</f>
        <v>6770</v>
      </c>
      <c r="N8" s="71">
        <f>'FS-AD Daily '!T12</f>
        <v>170.67799999999988</v>
      </c>
      <c r="O8" s="71">
        <f>'FS-AD Daily '!R12</f>
        <v>69.39299999999821</v>
      </c>
      <c r="P8" s="71">
        <f>'FS-AD Daily '!Z12</f>
        <v>539</v>
      </c>
      <c r="Q8" s="71">
        <f>'FS-AD Daily '!V12</f>
        <v>166.09999999997672</v>
      </c>
      <c r="R8" s="71">
        <f>'FS-AD Daily '!W12</f>
        <v>146.30999999999767</v>
      </c>
      <c r="S8" s="71">
        <f t="shared" si="0"/>
        <v>226.59000000002561</v>
      </c>
      <c r="T8" s="71">
        <f>'FS-AD Daily '!AD12*3.516</f>
        <v>104576.38800000001</v>
      </c>
      <c r="U8" s="71">
        <f>('FS-AD Daily '!AF12)*1000</f>
        <v>49100.000000005821</v>
      </c>
      <c r="V8" s="71">
        <f>('FS-AD Daily '!AG12)*1000</f>
        <v>0</v>
      </c>
      <c r="W8" s="71">
        <f>'FS-AD Daily '!AH12*1000</f>
        <v>16700.000000004366</v>
      </c>
      <c r="X8" s="71">
        <f>('FS-AD Daily '!AK12)*1000</f>
        <v>27300.00000000291</v>
      </c>
      <c r="Y8" s="71">
        <v>63</v>
      </c>
      <c r="Z8" s="104">
        <v>112</v>
      </c>
    </row>
    <row r="9" spans="1:26" x14ac:dyDescent="0.25">
      <c r="A9" s="103" t="s">
        <v>80</v>
      </c>
      <c r="B9" s="69">
        <f t="shared" si="1"/>
        <v>8</v>
      </c>
      <c r="C9" s="70">
        <v>8</v>
      </c>
      <c r="D9" s="69">
        <v>2022</v>
      </c>
      <c r="E9" s="71">
        <f>'FS-AD Daily '!B13</f>
        <v>5190</v>
      </c>
      <c r="F9" s="71">
        <f>'FS-AD Daily '!C13</f>
        <v>4030</v>
      </c>
      <c r="G9" s="71">
        <f>'FS-AD Daily '!D13</f>
        <v>860</v>
      </c>
      <c r="H9" s="71">
        <f>'FS-AD Daily '!E13</f>
        <v>6925</v>
      </c>
      <c r="I9" s="71">
        <f>'FS-AD Daily '!F13</f>
        <v>5849</v>
      </c>
      <c r="J9" s="71">
        <f>'FS-AD Daily '!G13</f>
        <v>3070</v>
      </c>
      <c r="K9" s="71">
        <f>'FS-AD Daily '!H13</f>
        <v>6540</v>
      </c>
      <c r="L9" s="71">
        <f>'FS-AD Daily '!I13</f>
        <v>2233</v>
      </c>
      <c r="M9" s="71">
        <f>'FS-AD Daily '!J13</f>
        <v>6571</v>
      </c>
      <c r="N9" s="71">
        <f>'FS-AD Daily '!T13</f>
        <v>182.9539999999979</v>
      </c>
      <c r="O9" s="71">
        <f>'FS-AD Daily '!R13</f>
        <v>65.105000000002292</v>
      </c>
      <c r="P9" s="71">
        <f>'FS-AD Daily '!Z13</f>
        <v>611</v>
      </c>
      <c r="Q9" s="71">
        <f>'FS-AD Daily '!V13</f>
        <v>163.5</v>
      </c>
      <c r="R9" s="71">
        <f>'FS-AD Daily '!W13</f>
        <v>176.70000000001164</v>
      </c>
      <c r="S9" s="71">
        <f t="shared" si="0"/>
        <v>270.79999999998836</v>
      </c>
      <c r="T9" s="71">
        <f>'FS-AD Daily '!AD13*3.516</f>
        <v>118665</v>
      </c>
      <c r="U9" s="71">
        <f>('FS-AD Daily '!AF13)*1000</f>
        <v>56199.99999999709</v>
      </c>
      <c r="V9" s="71">
        <f>('FS-AD Daily '!AG13)*1000</f>
        <v>0</v>
      </c>
      <c r="W9" s="71">
        <f>'FS-AD Daily '!AH13*1000</f>
        <v>18199.99999999709</v>
      </c>
      <c r="X9" s="71">
        <f>('FS-AD Daily '!AK13)*1000</f>
        <v>29299.999999995634</v>
      </c>
      <c r="Y9" s="71">
        <v>79</v>
      </c>
      <c r="Z9" s="104">
        <v>141</v>
      </c>
    </row>
    <row r="10" spans="1:26" x14ac:dyDescent="0.25">
      <c r="A10" s="103" t="s">
        <v>80</v>
      </c>
      <c r="B10" s="69">
        <f t="shared" si="1"/>
        <v>9</v>
      </c>
      <c r="C10" s="70">
        <v>8</v>
      </c>
      <c r="D10" s="69">
        <v>2022</v>
      </c>
      <c r="E10" s="71">
        <f>'FS-AD Daily '!B14</f>
        <v>5312</v>
      </c>
      <c r="F10" s="71">
        <f>'FS-AD Daily '!C14</f>
        <v>4487</v>
      </c>
      <c r="G10" s="71">
        <f>'FS-AD Daily '!D14</f>
        <v>875</v>
      </c>
      <c r="H10" s="71">
        <f>'FS-AD Daily '!E14</f>
        <v>6947</v>
      </c>
      <c r="I10" s="71">
        <f>'FS-AD Daily '!F14</f>
        <v>5892</v>
      </c>
      <c r="J10" s="71">
        <f>'FS-AD Daily '!G14</f>
        <v>3054</v>
      </c>
      <c r="K10" s="71">
        <f>'FS-AD Daily '!H14</f>
        <v>6705</v>
      </c>
      <c r="L10" s="71">
        <f>'FS-AD Daily '!I14</f>
        <v>2215</v>
      </c>
      <c r="M10" s="71">
        <f>'FS-AD Daily '!J14</f>
        <v>6643</v>
      </c>
      <c r="N10" s="71">
        <f>'FS-AD Daily '!T14</f>
        <v>188.81800000000658</v>
      </c>
      <c r="O10" s="71">
        <f>'FS-AD Daily '!R14</f>
        <v>57.182999999999083</v>
      </c>
      <c r="P10" s="71">
        <f>'FS-AD Daily '!Z14</f>
        <v>618</v>
      </c>
      <c r="Q10" s="71">
        <f>'FS-AD Daily '!V14</f>
        <v>182.70000000001164</v>
      </c>
      <c r="R10" s="71">
        <f>'FS-AD Daily '!W14</f>
        <v>177.19999999998254</v>
      </c>
      <c r="S10" s="71">
        <f t="shared" si="0"/>
        <v>258.10000000000582</v>
      </c>
      <c r="T10" s="71">
        <f>'FS-AD Daily '!AD14*3.516</f>
        <v>110078.928</v>
      </c>
      <c r="U10" s="71">
        <f>('FS-AD Daily '!AF14)*1000</f>
        <v>52600.000000005821</v>
      </c>
      <c r="V10" s="71">
        <f>('FS-AD Daily '!AG14)*1000</f>
        <v>0</v>
      </c>
      <c r="W10" s="71">
        <f>'FS-AD Daily '!AH14*1000</f>
        <v>16699.99999999709</v>
      </c>
      <c r="X10" s="71">
        <f>('FS-AD Daily '!AK14)*1000</f>
        <v>27300.00000000291</v>
      </c>
      <c r="Y10" s="71">
        <v>93</v>
      </c>
      <c r="Z10" s="104">
        <v>169</v>
      </c>
    </row>
    <row r="11" spans="1:26" x14ac:dyDescent="0.25">
      <c r="A11" s="103" t="s">
        <v>80</v>
      </c>
      <c r="B11" s="69">
        <f t="shared" si="1"/>
        <v>10</v>
      </c>
      <c r="C11" s="70">
        <v>8</v>
      </c>
      <c r="D11" s="69">
        <v>2022</v>
      </c>
      <c r="E11" s="71">
        <f>'FS-AD Daily '!B15</f>
        <v>5365</v>
      </c>
      <c r="F11" s="71">
        <f>'FS-AD Daily '!C15</f>
        <v>4789</v>
      </c>
      <c r="G11" s="71">
        <f>'FS-AD Daily '!D15</f>
        <v>835</v>
      </c>
      <c r="H11" s="71">
        <f>'FS-AD Daily '!E15</f>
        <v>6940</v>
      </c>
      <c r="I11" s="71">
        <f>'FS-AD Daily '!F15</f>
        <v>6120</v>
      </c>
      <c r="J11" s="71">
        <f>'FS-AD Daily '!G15</f>
        <v>3074</v>
      </c>
      <c r="K11" s="71">
        <f>'FS-AD Daily '!H15</f>
        <v>7110</v>
      </c>
      <c r="L11" s="71">
        <f>'FS-AD Daily '!I15</f>
        <v>2216</v>
      </c>
      <c r="M11" s="71">
        <f>'FS-AD Daily '!J15</f>
        <v>6667</v>
      </c>
      <c r="N11" s="71">
        <f>'FS-AD Daily '!T15</f>
        <v>184.87199999999575</v>
      </c>
      <c r="O11" s="71">
        <f>'FS-AD Daily '!R15</f>
        <v>70.895999999997912</v>
      </c>
      <c r="P11" s="71">
        <f>'FS-AD Daily '!Z15</f>
        <v>613</v>
      </c>
      <c r="Q11" s="71">
        <f>'FS-AD Daily '!V15</f>
        <v>172.39999999996508</v>
      </c>
      <c r="R11" s="71">
        <f>'FS-AD Daily '!W15</f>
        <v>182.36000000001513</v>
      </c>
      <c r="S11" s="71">
        <f t="shared" si="0"/>
        <v>258.24000000001979</v>
      </c>
      <c r="T11" s="71">
        <f>'FS-AD Daily '!AD15*3.516</f>
        <v>126709.60800000001</v>
      </c>
      <c r="U11" s="71">
        <f>('FS-AD Daily '!AF15)*1000</f>
        <v>60599.999999991269</v>
      </c>
      <c r="V11" s="71">
        <f>('FS-AD Daily '!AG15)*1000</f>
        <v>0</v>
      </c>
      <c r="W11" s="71">
        <f>'FS-AD Daily '!AH15*1000</f>
        <v>17200.000000004366</v>
      </c>
      <c r="X11" s="71">
        <f>('FS-AD Daily '!AK15)*1000</f>
        <v>30099.999999998545</v>
      </c>
      <c r="Y11" s="71">
        <v>87</v>
      </c>
      <c r="Z11" s="104">
        <v>152</v>
      </c>
    </row>
    <row r="12" spans="1:26" x14ac:dyDescent="0.25">
      <c r="A12" s="103" t="s">
        <v>80</v>
      </c>
      <c r="B12" s="69">
        <f t="shared" si="1"/>
        <v>11</v>
      </c>
      <c r="C12" s="70">
        <v>8</v>
      </c>
      <c r="D12" s="69">
        <v>2022</v>
      </c>
      <c r="E12" s="71">
        <f>'FS-AD Daily '!B16</f>
        <v>5361</v>
      </c>
      <c r="F12" s="71">
        <f>'FS-AD Daily '!C16</f>
        <v>5414</v>
      </c>
      <c r="G12" s="71">
        <f>'FS-AD Daily '!D16</f>
        <v>848</v>
      </c>
      <c r="H12" s="71">
        <f>'FS-AD Daily '!E16</f>
        <v>7223</v>
      </c>
      <c r="I12" s="71">
        <f>'FS-AD Daily '!F16</f>
        <v>6146</v>
      </c>
      <c r="J12" s="71">
        <f>'FS-AD Daily '!G16</f>
        <v>3042</v>
      </c>
      <c r="K12" s="71">
        <f>'FS-AD Daily '!H16</f>
        <v>7155</v>
      </c>
      <c r="L12" s="71">
        <f>'FS-AD Daily '!I16</f>
        <v>2266</v>
      </c>
      <c r="M12" s="71">
        <f>'FS-AD Daily '!J16</f>
        <v>6799</v>
      </c>
      <c r="N12" s="71">
        <f>'FS-AD Daily '!T16</f>
        <v>191.84400000000096</v>
      </c>
      <c r="O12" s="71">
        <f>'FS-AD Daily '!R16</f>
        <v>77.428000000002612</v>
      </c>
      <c r="P12" s="71">
        <f>'FS-AD Daily '!Z16</f>
        <v>627</v>
      </c>
      <c r="Q12" s="71">
        <f>'FS-AD Daily '!V16</f>
        <v>170.30000000004657</v>
      </c>
      <c r="R12" s="71">
        <f>'FS-AD Daily '!W16</f>
        <v>180.22999999998137</v>
      </c>
      <c r="S12" s="71">
        <f t="shared" si="0"/>
        <v>276.46999999997206</v>
      </c>
      <c r="T12" s="71">
        <f>'FS-AD Daily '!AD16*3.516</f>
        <v>130345.152</v>
      </c>
      <c r="U12" s="71">
        <f>('FS-AD Daily '!AF16)*1000</f>
        <v>63100.000000005821</v>
      </c>
      <c r="V12" s="71">
        <f>('FS-AD Daily '!AG16)*1000</f>
        <v>0</v>
      </c>
      <c r="W12" s="71">
        <f>'FS-AD Daily '!AH16*1000</f>
        <v>17699.99999999709</v>
      </c>
      <c r="X12" s="71">
        <f>('FS-AD Daily '!AK16)*1000</f>
        <v>30599.999999998545</v>
      </c>
      <c r="Y12" s="71">
        <v>73</v>
      </c>
      <c r="Z12" s="104">
        <v>125</v>
      </c>
    </row>
    <row r="13" spans="1:26" x14ac:dyDescent="0.25">
      <c r="A13" s="103" t="s">
        <v>80</v>
      </c>
      <c r="B13" s="69">
        <f t="shared" si="1"/>
        <v>12</v>
      </c>
      <c r="C13" s="70">
        <v>8</v>
      </c>
      <c r="D13" s="69">
        <v>2022</v>
      </c>
      <c r="E13" s="71">
        <f>'FS-AD Daily '!B17</f>
        <v>5410</v>
      </c>
      <c r="F13" s="71">
        <f>'FS-AD Daily '!C17</f>
        <v>4982</v>
      </c>
      <c r="G13" s="71">
        <f>'FS-AD Daily '!D17</f>
        <v>852</v>
      </c>
      <c r="H13" s="71">
        <f>'FS-AD Daily '!E17</f>
        <v>6940</v>
      </c>
      <c r="I13" s="71">
        <f>'FS-AD Daily '!F17</f>
        <v>6085</v>
      </c>
      <c r="J13" s="71">
        <f>'FS-AD Daily '!G17</f>
        <v>3005</v>
      </c>
      <c r="K13" s="71">
        <f>'FS-AD Daily '!H17</f>
        <v>7140</v>
      </c>
      <c r="L13" s="71">
        <f>'FS-AD Daily '!I17</f>
        <v>2187</v>
      </c>
      <c r="M13" s="71">
        <f>'FS-AD Daily '!J17</f>
        <v>6784</v>
      </c>
      <c r="N13" s="71">
        <f>'FS-AD Daily '!T17</f>
        <v>181.00599999999758</v>
      </c>
      <c r="O13" s="71">
        <f>'FS-AD Daily '!R17</f>
        <v>72.059999999999491</v>
      </c>
      <c r="P13" s="71">
        <f>'FS-AD Daily '!Z17</f>
        <v>638</v>
      </c>
      <c r="Q13" s="71">
        <f>'FS-AD Daily '!V17</f>
        <v>181.5</v>
      </c>
      <c r="R13" s="71">
        <f>'FS-AD Daily '!W17</f>
        <v>183.02000000001863</v>
      </c>
      <c r="S13" s="71">
        <f t="shared" si="0"/>
        <v>273.47999999998137</v>
      </c>
      <c r="T13" s="71">
        <f>'FS-AD Daily '!AD17*3.516</f>
        <v>134634.67199999999</v>
      </c>
      <c r="U13" s="71">
        <f>('FS-AD Daily '!AF17)*1000</f>
        <v>66699.99999999709</v>
      </c>
      <c r="V13" s="71">
        <f>('FS-AD Daily '!AG17)*1000</f>
        <v>0</v>
      </c>
      <c r="W13" s="71">
        <f>'FS-AD Daily '!AH17*1000</f>
        <v>16900.000000001455</v>
      </c>
      <c r="X13" s="71">
        <f>('FS-AD Daily '!AK17)*1000</f>
        <v>30300.00000000291</v>
      </c>
      <c r="Y13" s="71">
        <v>82</v>
      </c>
      <c r="Z13" s="104">
        <v>147</v>
      </c>
    </row>
    <row r="14" spans="1:26" x14ac:dyDescent="0.25">
      <c r="A14" s="103" t="s">
        <v>80</v>
      </c>
      <c r="B14" s="69">
        <f t="shared" si="1"/>
        <v>13</v>
      </c>
      <c r="C14" s="70">
        <v>8</v>
      </c>
      <c r="D14" s="69">
        <v>2022</v>
      </c>
      <c r="E14" s="71">
        <f>'FS-AD Daily '!B18</f>
        <v>5531</v>
      </c>
      <c r="F14" s="71">
        <f>'FS-AD Daily '!C18</f>
        <v>4490</v>
      </c>
      <c r="G14" s="71">
        <f>'FS-AD Daily '!D18</f>
        <v>857</v>
      </c>
      <c r="H14" s="71">
        <f>'FS-AD Daily '!E18</f>
        <v>7020</v>
      </c>
      <c r="I14" s="71">
        <f>'FS-AD Daily '!F18</f>
        <v>6085</v>
      </c>
      <c r="J14" s="71">
        <f>'FS-AD Daily '!G18</f>
        <v>2949</v>
      </c>
      <c r="K14" s="71">
        <f>'FS-AD Daily '!H18</f>
        <v>7160</v>
      </c>
      <c r="L14" s="71">
        <f>'FS-AD Daily '!I18</f>
        <v>2238</v>
      </c>
      <c r="M14" s="71">
        <f>'FS-AD Daily '!J18</f>
        <v>6925</v>
      </c>
      <c r="N14" s="71">
        <f>'FS-AD Daily '!T18</f>
        <v>188.06200000000536</v>
      </c>
      <c r="O14" s="71">
        <f>'FS-AD Daily '!R18</f>
        <v>79.035999999998239</v>
      </c>
      <c r="P14" s="71">
        <f>'FS-AD Daily '!Z18</f>
        <v>660</v>
      </c>
      <c r="Q14" s="71">
        <f>'FS-AD Daily '!V18</f>
        <v>177.59999999997672</v>
      </c>
      <c r="R14" s="71">
        <f>'FS-AD Daily '!W18</f>
        <v>181.17999999999302</v>
      </c>
      <c r="S14" s="71">
        <f t="shared" si="0"/>
        <v>301.22000000003027</v>
      </c>
      <c r="T14" s="71">
        <f>'FS-AD Daily '!AD18*3.516</f>
        <v>101552.628</v>
      </c>
      <c r="U14" s="71">
        <f>('FS-AD Daily '!AF18)*1000</f>
        <v>56000</v>
      </c>
      <c r="V14" s="71">
        <f>('FS-AD Daily '!AG18)*1000</f>
        <v>0</v>
      </c>
      <c r="W14" s="71">
        <f>'FS-AD Daily '!AH18*1000</f>
        <v>18000</v>
      </c>
      <c r="X14" s="71">
        <f>('FS-AD Daily '!AK18)*1000</f>
        <v>28099.999999998545</v>
      </c>
      <c r="Y14" s="71">
        <v>64</v>
      </c>
      <c r="Z14" s="104">
        <v>116</v>
      </c>
    </row>
    <row r="15" spans="1:26" x14ac:dyDescent="0.25">
      <c r="A15" s="103" t="s">
        <v>80</v>
      </c>
      <c r="B15" s="69">
        <f t="shared" si="1"/>
        <v>14</v>
      </c>
      <c r="C15" s="70">
        <v>8</v>
      </c>
      <c r="D15" s="69">
        <v>2022</v>
      </c>
      <c r="E15" s="71">
        <f>'FS-AD Daily '!B19</f>
        <v>5476</v>
      </c>
      <c r="F15" s="71">
        <f>'FS-AD Daily '!C19</f>
        <v>4147</v>
      </c>
      <c r="G15" s="71">
        <f>'FS-AD Daily '!D19</f>
        <v>923</v>
      </c>
      <c r="H15" s="71">
        <f>'FS-AD Daily '!E19</f>
        <v>6985</v>
      </c>
      <c r="I15" s="71">
        <f>'FS-AD Daily '!F19</f>
        <v>5994</v>
      </c>
      <c r="J15" s="71">
        <f>'FS-AD Daily '!G19</f>
        <v>2804</v>
      </c>
      <c r="K15" s="71">
        <f>'FS-AD Daily '!H19</f>
        <v>6926</v>
      </c>
      <c r="L15" s="71">
        <f>'FS-AD Daily '!I19</f>
        <v>2327</v>
      </c>
      <c r="M15" s="71">
        <f>'FS-AD Daily '!J19</f>
        <v>6843</v>
      </c>
      <c r="N15" s="71">
        <f>'FS-AD Daily '!T19</f>
        <v>181.62999999999738</v>
      </c>
      <c r="O15" s="71">
        <f>'FS-AD Daily '!R19</f>
        <v>73.489999999999782</v>
      </c>
      <c r="P15" s="71">
        <f>'FS-AD Daily '!Z19</f>
        <v>624</v>
      </c>
      <c r="Q15" s="71">
        <f>'FS-AD Daily '!V19</f>
        <v>164.29999999998836</v>
      </c>
      <c r="R15" s="71">
        <f>'FS-AD Daily '!W19</f>
        <v>181.17999999999302</v>
      </c>
      <c r="S15" s="71">
        <f t="shared" si="0"/>
        <v>278.52000000001863</v>
      </c>
      <c r="T15" s="71">
        <f>'FS-AD Daily '!AD19*3.516</f>
        <v>125194.212</v>
      </c>
      <c r="U15" s="71">
        <f>('FS-AD Daily '!AF19)*1000</f>
        <v>54000</v>
      </c>
      <c r="V15" s="71">
        <f>('FS-AD Daily '!AG19)*1000</f>
        <v>0</v>
      </c>
      <c r="W15" s="71">
        <f>'FS-AD Daily '!AH19*1000</f>
        <v>17000</v>
      </c>
      <c r="X15" s="71">
        <f>('FS-AD Daily '!AK19)*1000</f>
        <v>28000</v>
      </c>
      <c r="Y15" s="71">
        <v>45</v>
      </c>
      <c r="Z15" s="104">
        <v>87</v>
      </c>
    </row>
    <row r="16" spans="1:26" x14ac:dyDescent="0.25">
      <c r="A16" s="103" t="s">
        <v>80</v>
      </c>
      <c r="B16" s="69">
        <f t="shared" si="1"/>
        <v>15</v>
      </c>
      <c r="C16" s="70">
        <v>8</v>
      </c>
      <c r="D16" s="69">
        <v>2022</v>
      </c>
      <c r="E16" s="71">
        <f>'FS-AD Daily '!B20</f>
        <v>5579</v>
      </c>
      <c r="F16" s="71">
        <f>'FS-AD Daily '!C20</f>
        <v>4321</v>
      </c>
      <c r="G16" s="71">
        <f>'FS-AD Daily '!D20</f>
        <v>748</v>
      </c>
      <c r="H16" s="71">
        <f>'FS-AD Daily '!E20</f>
        <v>7053</v>
      </c>
      <c r="I16" s="71">
        <f>'FS-AD Daily '!F20</f>
        <v>6046</v>
      </c>
      <c r="J16" s="71">
        <f>'FS-AD Daily '!G20</f>
        <v>2808</v>
      </c>
      <c r="K16" s="71">
        <f>'FS-AD Daily '!H20</f>
        <v>6617</v>
      </c>
      <c r="L16" s="71">
        <f>'FS-AD Daily '!I20</f>
        <v>2371</v>
      </c>
      <c r="M16" s="71">
        <f>'FS-AD Daily '!J20</f>
        <v>6664</v>
      </c>
      <c r="N16" s="71">
        <f>'FS-AD Daily '!T20</f>
        <v>156.46099999999933</v>
      </c>
      <c r="O16" s="71">
        <f>'FS-AD Daily '!R20</f>
        <v>63.484999999999673</v>
      </c>
      <c r="P16" s="71">
        <f>'FS-AD Daily '!Z20</f>
        <v>598</v>
      </c>
      <c r="Q16" s="71">
        <f>'FS-AD Daily '!V20</f>
        <v>154.90000000002328</v>
      </c>
      <c r="R16" s="71">
        <f>'FS-AD Daily '!W20</f>
        <v>174.51000000000931</v>
      </c>
      <c r="S16" s="71">
        <f t="shared" si="0"/>
        <v>268.5899999999674</v>
      </c>
      <c r="T16" s="71">
        <f>'FS-AD Daily '!AD20*3.516</f>
        <v>107389.18799999999</v>
      </c>
      <c r="U16" s="71">
        <f>('FS-AD Daily '!AF20)*1000</f>
        <v>55100.000000005821</v>
      </c>
      <c r="V16" s="71">
        <f>('FS-AD Daily '!AG20)*1000</f>
        <v>0</v>
      </c>
      <c r="W16" s="71">
        <f>'FS-AD Daily '!AH20*1000</f>
        <v>27400.000000001455</v>
      </c>
      <c r="X16" s="71">
        <f>('FS-AD Daily '!AK20)*1000</f>
        <v>28099.999999998545</v>
      </c>
      <c r="Y16" s="71">
        <v>65</v>
      </c>
      <c r="Z16" s="104">
        <v>131</v>
      </c>
    </row>
    <row r="17" spans="1:26" x14ac:dyDescent="0.25">
      <c r="A17" s="103" t="s">
        <v>80</v>
      </c>
      <c r="B17" s="69">
        <f t="shared" si="1"/>
        <v>16</v>
      </c>
      <c r="C17" s="70">
        <v>8</v>
      </c>
      <c r="D17" s="69">
        <v>2022</v>
      </c>
      <c r="E17" s="71">
        <f>'FS-AD Daily '!B21</f>
        <v>5563</v>
      </c>
      <c r="F17" s="71">
        <f>'FS-AD Daily '!C21</f>
        <v>4146</v>
      </c>
      <c r="G17" s="71">
        <f>'FS-AD Daily '!D21</f>
        <v>886</v>
      </c>
      <c r="H17" s="71">
        <f>'FS-AD Daily '!E21</f>
        <v>7149</v>
      </c>
      <c r="I17" s="71">
        <f>'FS-AD Daily '!F21</f>
        <v>6053</v>
      </c>
      <c r="J17" s="71">
        <f>'FS-AD Daily '!G21</f>
        <v>2812</v>
      </c>
      <c r="K17" s="71">
        <f>'FS-AD Daily '!H21</f>
        <v>6565</v>
      </c>
      <c r="L17" s="71">
        <f>'FS-AD Daily '!I21</f>
        <v>2339</v>
      </c>
      <c r="M17" s="71">
        <f>'FS-AD Daily '!J21</f>
        <v>6727</v>
      </c>
      <c r="N17" s="71">
        <f>'FS-AD Daily '!T21</f>
        <v>207.76900000000387</v>
      </c>
      <c r="O17" s="71">
        <f>'FS-AD Daily '!R21</f>
        <v>77.375000000003638</v>
      </c>
      <c r="P17" s="71">
        <f>'FS-AD Daily '!Z21</f>
        <v>645</v>
      </c>
      <c r="Q17" s="71">
        <f>'FS-AD Daily '!V21</f>
        <v>172.89999999996508</v>
      </c>
      <c r="R17" s="71">
        <f>'FS-AD Daily '!W21</f>
        <v>180.92999999999302</v>
      </c>
      <c r="S17" s="71">
        <f t="shared" si="0"/>
        <v>291.17000000004191</v>
      </c>
      <c r="T17" s="71">
        <f>'FS-AD Daily '!AD21*3.516</f>
        <v>111622.452</v>
      </c>
      <c r="U17" s="71">
        <f>('FS-AD Daily '!AF21)*1000</f>
        <v>60299.999999988358</v>
      </c>
      <c r="V17" s="71">
        <f>('FS-AD Daily '!AG21)*1000</f>
        <v>0</v>
      </c>
      <c r="W17" s="71">
        <f>'FS-AD Daily '!AH21*1000</f>
        <v>7000</v>
      </c>
      <c r="X17" s="71">
        <f>('FS-AD Daily '!AK21)*1000</f>
        <v>26599.999999998545</v>
      </c>
      <c r="Y17" s="71">
        <v>70</v>
      </c>
      <c r="Z17" s="104">
        <v>134</v>
      </c>
    </row>
    <row r="18" spans="1:26" x14ac:dyDescent="0.25">
      <c r="A18" s="103" t="s">
        <v>80</v>
      </c>
      <c r="B18" s="69">
        <f t="shared" si="1"/>
        <v>17</v>
      </c>
      <c r="C18" s="70">
        <v>8</v>
      </c>
      <c r="D18" s="69">
        <v>2022</v>
      </c>
      <c r="E18" s="71">
        <f>'FS-AD Daily '!B22</f>
        <v>5525</v>
      </c>
      <c r="F18" s="71">
        <f>'FS-AD Daily '!C22</f>
        <v>4308</v>
      </c>
      <c r="G18" s="71">
        <f>'FS-AD Daily '!D22</f>
        <v>901</v>
      </c>
      <c r="H18" s="71">
        <f>'FS-AD Daily '!E22</f>
        <v>7080</v>
      </c>
      <c r="I18" s="71">
        <f>'FS-AD Daily '!F22</f>
        <v>6101</v>
      </c>
      <c r="J18" s="71">
        <f>'FS-AD Daily '!G22</f>
        <v>2862</v>
      </c>
      <c r="K18" s="71">
        <f>'FS-AD Daily '!H22</f>
        <v>6549</v>
      </c>
      <c r="L18" s="71">
        <f>'FS-AD Daily '!I22</f>
        <v>2306</v>
      </c>
      <c r="M18" s="71">
        <f>'FS-AD Daily '!J22</f>
        <v>6779</v>
      </c>
      <c r="N18" s="71">
        <f>'FS-AD Daily '!T22</f>
        <v>207.23299999999654</v>
      </c>
      <c r="O18" s="71">
        <f>'FS-AD Daily '!R22</f>
        <v>70.440999999998894</v>
      </c>
      <c r="P18" s="71">
        <f>'FS-AD Daily '!Z22</f>
        <v>663</v>
      </c>
      <c r="Q18" s="71">
        <f>'FS-AD Daily '!V22</f>
        <v>181.5</v>
      </c>
      <c r="R18" s="71">
        <f>'FS-AD Daily '!W22</f>
        <v>180.67000000001281</v>
      </c>
      <c r="S18" s="71">
        <f t="shared" si="0"/>
        <v>300.82999999998719</v>
      </c>
      <c r="T18" s="71">
        <f>'FS-AD Daily '!AD22*3.516</f>
        <v>115693.98</v>
      </c>
      <c r="U18" s="71">
        <f>('FS-AD Daily '!AF22)*1000</f>
        <v>62200.000000011642</v>
      </c>
      <c r="V18" s="71">
        <f>('FS-AD Daily '!AG22)*1000</f>
        <v>0</v>
      </c>
      <c r="W18" s="71">
        <f>'FS-AD Daily '!AH22*1000</f>
        <v>16900.000000001455</v>
      </c>
      <c r="X18" s="71">
        <f>('FS-AD Daily '!AK22)*1000</f>
        <v>27900.000000001455</v>
      </c>
      <c r="Y18" s="71">
        <v>75</v>
      </c>
      <c r="Z18" s="104">
        <v>131</v>
      </c>
    </row>
    <row r="19" spans="1:26" x14ac:dyDescent="0.25">
      <c r="A19" s="103" t="s">
        <v>80</v>
      </c>
      <c r="B19" s="69">
        <f t="shared" si="1"/>
        <v>18</v>
      </c>
      <c r="C19" s="70">
        <v>8</v>
      </c>
      <c r="D19" s="69">
        <v>2022</v>
      </c>
      <c r="E19" s="71">
        <f>'FS-AD Daily '!B23</f>
        <v>5520</v>
      </c>
      <c r="F19" s="71">
        <f>'FS-AD Daily '!C23</f>
        <v>4630</v>
      </c>
      <c r="G19" s="71">
        <f>'FS-AD Daily '!D23</f>
        <v>919</v>
      </c>
      <c r="H19" s="71">
        <f>'FS-AD Daily '!E23</f>
        <v>7129</v>
      </c>
      <c r="I19" s="71">
        <f>'FS-AD Daily '!F23</f>
        <v>6040</v>
      </c>
      <c r="J19" s="71">
        <f>'FS-AD Daily '!G23</f>
        <v>2890</v>
      </c>
      <c r="K19" s="71">
        <f>'FS-AD Daily '!H23</f>
        <v>6571</v>
      </c>
      <c r="L19" s="71">
        <f>'FS-AD Daily '!I23</f>
        <v>2340</v>
      </c>
      <c r="M19" s="71">
        <f>'FS-AD Daily '!J23</f>
        <v>6944</v>
      </c>
      <c r="N19" s="71">
        <f>'FS-AD Daily '!T23</f>
        <v>189.3080000000009</v>
      </c>
      <c r="O19" s="71">
        <f>'FS-AD Daily '!R23</f>
        <v>66.186999999998989</v>
      </c>
      <c r="P19" s="71">
        <f>'FS-AD Daily '!Z23</f>
        <v>608</v>
      </c>
      <c r="Q19" s="71">
        <f>'FS-AD Daily '!V23</f>
        <v>185.10000000003492</v>
      </c>
      <c r="R19" s="71">
        <f>'FS-AD Daily '!W23</f>
        <v>114.36999999999534</v>
      </c>
      <c r="S19" s="71">
        <f t="shared" si="0"/>
        <v>308.52999999996973</v>
      </c>
      <c r="T19" s="71">
        <f>'FS-AD Daily '!AD23*3.516</f>
        <v>111425.556</v>
      </c>
      <c r="U19" s="71">
        <f>('FS-AD Daily '!AF23)*1000</f>
        <v>59899.999999994179</v>
      </c>
      <c r="V19" s="71">
        <f>('FS-AD Daily '!AG23)*1000</f>
        <v>0</v>
      </c>
      <c r="W19" s="71">
        <f>'FS-AD Daily '!AH23*1000</f>
        <v>16699.99999999709</v>
      </c>
      <c r="X19" s="71">
        <f>('FS-AD Daily '!AK23)*1000</f>
        <v>27000</v>
      </c>
      <c r="Y19" s="71">
        <v>79</v>
      </c>
      <c r="Z19" s="104">
        <v>156</v>
      </c>
    </row>
    <row r="20" spans="1:26" x14ac:dyDescent="0.25">
      <c r="A20" s="103" t="s">
        <v>80</v>
      </c>
      <c r="B20" s="69">
        <f t="shared" si="1"/>
        <v>19</v>
      </c>
      <c r="C20" s="70">
        <v>8</v>
      </c>
      <c r="D20" s="69">
        <v>2022</v>
      </c>
      <c r="E20" s="71">
        <f>'FS-AD Daily '!B24</f>
        <v>5523</v>
      </c>
      <c r="F20" s="71">
        <f>'FS-AD Daily '!C24</f>
        <v>4004</v>
      </c>
      <c r="G20" s="71">
        <f>'FS-AD Daily '!D24</f>
        <v>879</v>
      </c>
      <c r="H20" s="71">
        <f>'FS-AD Daily '!E24</f>
        <v>7169</v>
      </c>
      <c r="I20" s="71">
        <f>'FS-AD Daily '!F24</f>
        <v>6146</v>
      </c>
      <c r="J20" s="71">
        <f>'FS-AD Daily '!G24</f>
        <v>2948</v>
      </c>
      <c r="K20" s="71">
        <f>'FS-AD Daily '!H24</f>
        <v>6604</v>
      </c>
      <c r="L20" s="71">
        <f>'FS-AD Daily '!I24</f>
        <v>2277</v>
      </c>
      <c r="M20" s="71">
        <f>'FS-AD Daily '!J24</f>
        <v>6862</v>
      </c>
      <c r="N20" s="71">
        <f>'FS-AD Daily '!T24</f>
        <v>199.56299999999828</v>
      </c>
      <c r="O20" s="71">
        <f>'FS-AD Daily '!R24</f>
        <v>78.383000000002539</v>
      </c>
      <c r="P20" s="71">
        <f>'FS-AD Daily '!Z24</f>
        <v>666</v>
      </c>
      <c r="Q20" s="71">
        <f>'FS-AD Daily '!V24</f>
        <v>175.29999999998836</v>
      </c>
      <c r="R20" s="71">
        <f>'FS-AD Daily '!W24</f>
        <v>174.14999999999418</v>
      </c>
      <c r="S20" s="71">
        <f t="shared" si="0"/>
        <v>316.55000000001746</v>
      </c>
      <c r="T20" s="71">
        <f>'FS-AD Daily '!AD24*3.516</f>
        <v>88497.72</v>
      </c>
      <c r="U20" s="71">
        <f>('FS-AD Daily '!AF24)*1000</f>
        <v>57800.00000000291</v>
      </c>
      <c r="V20" s="71">
        <f>('FS-AD Daily '!AG24)*1000</f>
        <v>0</v>
      </c>
      <c r="W20" s="71">
        <f>'FS-AD Daily '!AH24*1000</f>
        <v>16699.99999999709</v>
      </c>
      <c r="X20" s="71">
        <f>('FS-AD Daily '!AK24)*1000</f>
        <v>27300.00000000291</v>
      </c>
      <c r="Y20" s="71">
        <v>73</v>
      </c>
      <c r="Z20" s="104">
        <v>144</v>
      </c>
    </row>
    <row r="21" spans="1:26" x14ac:dyDescent="0.25">
      <c r="A21" s="103" t="s">
        <v>80</v>
      </c>
      <c r="B21" s="69">
        <f t="shared" si="1"/>
        <v>20</v>
      </c>
      <c r="C21" s="70">
        <v>8</v>
      </c>
      <c r="D21" s="69">
        <v>2022</v>
      </c>
      <c r="E21" s="71">
        <f>'FS-AD Daily '!B25</f>
        <v>5616</v>
      </c>
      <c r="F21" s="71">
        <f>'FS-AD Daily '!C25</f>
        <v>3923</v>
      </c>
      <c r="G21" s="71">
        <f>'FS-AD Daily '!D25</f>
        <v>858</v>
      </c>
      <c r="H21" s="71">
        <f>'FS-AD Daily '!E25</f>
        <v>7143</v>
      </c>
      <c r="I21" s="71">
        <f>'FS-AD Daily '!F25</f>
        <v>6275</v>
      </c>
      <c r="J21" s="71">
        <f>'FS-AD Daily '!G25</f>
        <v>3041</v>
      </c>
      <c r="K21" s="71">
        <f>'FS-AD Daily '!H25</f>
        <v>6520</v>
      </c>
      <c r="L21" s="71">
        <f>'FS-AD Daily '!I25</f>
        <v>2262</v>
      </c>
      <c r="M21" s="71">
        <f>'FS-AD Daily '!J25</f>
        <v>6863</v>
      </c>
      <c r="N21" s="71">
        <f>'FS-AD Daily '!T25</f>
        <v>199.32499999999709</v>
      </c>
      <c r="O21" s="71">
        <f>'FS-AD Daily '!R25</f>
        <v>81.787999999997737</v>
      </c>
      <c r="P21" s="71">
        <f>'FS-AD Daily '!Z25</f>
        <v>700</v>
      </c>
      <c r="Q21" s="71">
        <f>'FS-AD Daily '!V25</f>
        <v>193.09999999997672</v>
      </c>
      <c r="R21" s="71">
        <f>'FS-AD Daily '!W25</f>
        <v>185.13000000000466</v>
      </c>
      <c r="S21" s="71">
        <f t="shared" si="0"/>
        <v>321.77000000001863</v>
      </c>
      <c r="T21" s="71">
        <f>'FS-AD Daily '!AD25*3.516</f>
        <v>115303.704</v>
      </c>
      <c r="U21" s="71">
        <f>('FS-AD Daily '!AF25)*1000</f>
        <v>62500</v>
      </c>
      <c r="V21" s="71">
        <f>('FS-AD Daily '!AG25)*1000</f>
        <v>0</v>
      </c>
      <c r="W21" s="71">
        <f>'FS-AD Daily '!AH25*1000</f>
        <v>17500</v>
      </c>
      <c r="X21" s="71">
        <f>('FS-AD Daily '!AK25)*1000</f>
        <v>27599.999999998545</v>
      </c>
      <c r="Y21" s="71">
        <v>55</v>
      </c>
      <c r="Z21" s="104">
        <v>104</v>
      </c>
    </row>
    <row r="22" spans="1:26" x14ac:dyDescent="0.25">
      <c r="A22" s="103" t="s">
        <v>80</v>
      </c>
      <c r="B22" s="69">
        <f t="shared" si="1"/>
        <v>21</v>
      </c>
      <c r="C22" s="70">
        <v>8</v>
      </c>
      <c r="D22" s="69">
        <v>2022</v>
      </c>
      <c r="E22" s="71">
        <f>'FS-AD Daily '!B26</f>
        <v>5379</v>
      </c>
      <c r="F22" s="71">
        <f>'FS-AD Daily '!C26</f>
        <v>3674</v>
      </c>
      <c r="G22" s="71">
        <f>'FS-AD Daily '!D26</f>
        <v>879</v>
      </c>
      <c r="H22" s="71">
        <f>'FS-AD Daily '!E26</f>
        <v>6914</v>
      </c>
      <c r="I22" s="71">
        <f>'FS-AD Daily '!F26</f>
        <v>5919</v>
      </c>
      <c r="J22" s="71">
        <f>'FS-AD Daily '!G26</f>
        <v>2759</v>
      </c>
      <c r="K22" s="71">
        <f>'FS-AD Daily '!H26</f>
        <v>6405</v>
      </c>
      <c r="L22" s="71">
        <f>'FS-AD Daily '!I26</f>
        <v>2202</v>
      </c>
      <c r="M22" s="71">
        <f>'FS-AD Daily '!J26</f>
        <v>6709</v>
      </c>
      <c r="N22" s="71">
        <f>'FS-AD Daily '!T26</f>
        <v>184.22600000000239</v>
      </c>
      <c r="O22" s="71">
        <f>'FS-AD Daily '!R26</f>
        <v>71.083999999999833</v>
      </c>
      <c r="P22" s="71">
        <f>'FS-AD Daily '!Z26</f>
        <v>615</v>
      </c>
      <c r="Q22" s="71">
        <f>'FS-AD Daily '!V26</f>
        <v>167.10000000003492</v>
      </c>
      <c r="R22" s="71">
        <f>'FS-AD Daily '!W26</f>
        <v>156.77999999999884</v>
      </c>
      <c r="S22" s="71">
        <f t="shared" si="0"/>
        <v>291.11999999996624</v>
      </c>
      <c r="T22" s="71">
        <f>'FS-AD Daily '!AD26*3.516</f>
        <v>100599.792</v>
      </c>
      <c r="U22" s="71">
        <f>('FS-AD Daily '!AF26)*1000</f>
        <v>53800.00000000291</v>
      </c>
      <c r="V22" s="71">
        <f>('FS-AD Daily '!AG26)*1000</f>
        <v>0</v>
      </c>
      <c r="W22" s="71">
        <f>'FS-AD Daily '!AH26*1000</f>
        <v>16200.000000004366</v>
      </c>
      <c r="X22" s="71">
        <f>('FS-AD Daily '!AK26)*1000</f>
        <v>26000</v>
      </c>
      <c r="Y22" s="71">
        <v>47</v>
      </c>
      <c r="Z22" s="104">
        <v>76</v>
      </c>
    </row>
    <row r="23" spans="1:26" x14ac:dyDescent="0.25">
      <c r="A23" s="103" t="s">
        <v>80</v>
      </c>
      <c r="B23" s="69">
        <f t="shared" si="1"/>
        <v>22</v>
      </c>
      <c r="C23" s="70">
        <v>8</v>
      </c>
      <c r="D23" s="69">
        <v>2022</v>
      </c>
      <c r="E23" s="71">
        <f>'FS-AD Daily '!B27</f>
        <v>5578</v>
      </c>
      <c r="F23" s="71">
        <f>'FS-AD Daily '!C27</f>
        <v>3939</v>
      </c>
      <c r="G23" s="71">
        <f>'FS-AD Daily '!D27</f>
        <v>850</v>
      </c>
      <c r="H23" s="71">
        <f>'FS-AD Daily '!E27</f>
        <v>6654</v>
      </c>
      <c r="I23" s="71">
        <f>'FS-AD Daily '!F27</f>
        <v>6150</v>
      </c>
      <c r="J23" s="71">
        <f>'FS-AD Daily '!G27</f>
        <v>2802</v>
      </c>
      <c r="K23" s="71">
        <f>'FS-AD Daily '!H27</f>
        <v>6428</v>
      </c>
      <c r="L23" s="71">
        <f>'FS-AD Daily '!I27</f>
        <v>2290</v>
      </c>
      <c r="M23" s="71">
        <f>'FS-AD Daily '!J27</f>
        <v>6710</v>
      </c>
      <c r="N23" s="71">
        <f>'FS-AD Daily '!T27</f>
        <v>177.48700000000099</v>
      </c>
      <c r="O23" s="71">
        <f>'FS-AD Daily '!R27</f>
        <v>66.253999999999905</v>
      </c>
      <c r="P23" s="71">
        <f>'FS-AD Daily '!Z27</f>
        <v>547</v>
      </c>
      <c r="Q23" s="71">
        <f>'FS-AD Daily '!V27</f>
        <v>195.39999999996508</v>
      </c>
      <c r="R23" s="71">
        <f>'FS-AD Daily '!W27</f>
        <v>67.350000000005821</v>
      </c>
      <c r="S23" s="71">
        <f t="shared" si="0"/>
        <v>284.2500000000291</v>
      </c>
      <c r="T23" s="71">
        <f>'FS-AD Daily '!AD27*3.516</f>
        <v>99615.312000000005</v>
      </c>
      <c r="U23" s="71">
        <f>('FS-AD Daily '!AF27)*1000</f>
        <v>52699.99999999709</v>
      </c>
      <c r="V23" s="71">
        <f>('FS-AD Daily '!AG27)*1000</f>
        <v>0</v>
      </c>
      <c r="W23" s="71">
        <f>'FS-AD Daily '!AH27*1000</f>
        <v>16599.999999998545</v>
      </c>
      <c r="X23" s="71">
        <f>('FS-AD Daily '!AK27)*1000</f>
        <v>26199.99999999709</v>
      </c>
      <c r="Y23" s="71">
        <v>67</v>
      </c>
      <c r="Z23" s="104">
        <v>114</v>
      </c>
    </row>
    <row r="24" spans="1:26" x14ac:dyDescent="0.25">
      <c r="A24" s="103" t="s">
        <v>80</v>
      </c>
      <c r="B24" s="69">
        <f t="shared" si="1"/>
        <v>23</v>
      </c>
      <c r="C24" s="70">
        <v>8</v>
      </c>
      <c r="D24" s="69">
        <v>2022</v>
      </c>
      <c r="E24" s="71">
        <f>'FS-AD Daily '!B28</f>
        <v>5414</v>
      </c>
      <c r="F24" s="71">
        <f>'FS-AD Daily '!C28</f>
        <v>4020</v>
      </c>
      <c r="G24" s="71">
        <f>'FS-AD Daily '!D28</f>
        <v>878</v>
      </c>
      <c r="H24" s="71">
        <f>'FS-AD Daily '!E28</f>
        <v>6814</v>
      </c>
      <c r="I24" s="71">
        <f>'FS-AD Daily '!F28</f>
        <v>6087</v>
      </c>
      <c r="J24" s="71">
        <f>'FS-AD Daily '!G28</f>
        <v>2940</v>
      </c>
      <c r="K24" s="71">
        <f>'FS-AD Daily '!H28</f>
        <v>6359</v>
      </c>
      <c r="L24" s="71">
        <f>'FS-AD Daily '!I28</f>
        <v>2292</v>
      </c>
      <c r="M24" s="71">
        <f>'FS-AD Daily '!J28</f>
        <v>6692</v>
      </c>
      <c r="N24" s="71">
        <f>'FS-AD Daily '!T28</f>
        <v>160.03900000000067</v>
      </c>
      <c r="O24" s="71">
        <f>'FS-AD Daily '!R28</f>
        <v>73.246999999999389</v>
      </c>
      <c r="P24" s="71">
        <f>'FS-AD Daily '!Z28</f>
        <v>665</v>
      </c>
      <c r="Q24" s="71">
        <f>'FS-AD Daily '!V28</f>
        <v>191.70000000001164</v>
      </c>
      <c r="R24" s="71">
        <f>'FS-AD Daily '!W28</f>
        <v>172.26999999998952</v>
      </c>
      <c r="S24" s="71">
        <f t="shared" si="0"/>
        <v>301.02999999999884</v>
      </c>
      <c r="T24" s="71">
        <f>'FS-AD Daily '!AD28*3.516</f>
        <v>114684.88800000001</v>
      </c>
      <c r="U24" s="71">
        <f>('FS-AD Daily '!AF28)*1000</f>
        <v>63500</v>
      </c>
      <c r="V24" s="71">
        <f>('FS-AD Daily '!AG28)*1000</f>
        <v>0</v>
      </c>
      <c r="W24" s="71">
        <f>'FS-AD Daily '!AH28*1000</f>
        <v>16900.000000001455</v>
      </c>
      <c r="X24" s="71">
        <f>('FS-AD Daily '!AK28)*1000</f>
        <v>27100.000000005821</v>
      </c>
      <c r="Y24" s="71">
        <v>78</v>
      </c>
      <c r="Z24" s="104">
        <v>141</v>
      </c>
    </row>
    <row r="25" spans="1:26" x14ac:dyDescent="0.25">
      <c r="A25" s="103" t="s">
        <v>80</v>
      </c>
      <c r="B25" s="69">
        <f t="shared" si="1"/>
        <v>24</v>
      </c>
      <c r="C25" s="70">
        <v>8</v>
      </c>
      <c r="D25" s="69">
        <v>2022</v>
      </c>
      <c r="E25" s="71">
        <f>'FS-AD Daily '!B29</f>
        <v>5460</v>
      </c>
      <c r="F25" s="71">
        <f>'FS-AD Daily '!C29</f>
        <v>4167</v>
      </c>
      <c r="G25" s="71">
        <f>'FS-AD Daily '!D29</f>
        <v>877</v>
      </c>
      <c r="H25" s="71">
        <f>'FS-AD Daily '!E29</f>
        <v>7008</v>
      </c>
      <c r="I25" s="71">
        <f>'FS-AD Daily '!F29</f>
        <v>6137</v>
      </c>
      <c r="J25" s="71">
        <f>'FS-AD Daily '!G29</f>
        <v>2904</v>
      </c>
      <c r="K25" s="71">
        <f>'FS-AD Daily '!H29</f>
        <v>6455</v>
      </c>
      <c r="L25" s="71">
        <f>'FS-AD Daily '!I29</f>
        <v>2276</v>
      </c>
      <c r="M25" s="71">
        <f>'FS-AD Daily '!J29</f>
        <v>6770</v>
      </c>
      <c r="N25" s="71">
        <f>'FS-AD Daily '!T29</f>
        <v>186.73600000000442</v>
      </c>
      <c r="O25" s="71">
        <f>'FS-AD Daily '!R29</f>
        <v>70.992999999999483</v>
      </c>
      <c r="P25" s="71">
        <f>'FS-AD Daily '!Z29</f>
        <v>606</v>
      </c>
      <c r="Q25" s="71">
        <f>'FS-AD Daily '!V29</f>
        <v>196.40000000002328</v>
      </c>
      <c r="R25" s="71">
        <f>'FS-AD Daily '!W29</f>
        <v>135.36999999999534</v>
      </c>
      <c r="S25" s="71">
        <f t="shared" si="0"/>
        <v>274.22999999998137</v>
      </c>
      <c r="T25" s="71">
        <f>'FS-AD Daily '!AD29*3.516</f>
        <v>110346.144</v>
      </c>
      <c r="U25" s="71">
        <f>('FS-AD Daily '!AF29)*1000</f>
        <v>59800.00000000291</v>
      </c>
      <c r="V25" s="71">
        <f>('FS-AD Daily '!AG29)*1000</f>
        <v>0</v>
      </c>
      <c r="W25" s="71">
        <f>'FS-AD Daily '!AH29*1000</f>
        <v>17000</v>
      </c>
      <c r="X25" s="71">
        <f>('FS-AD Daily '!AK29)*1000</f>
        <v>26899.999999994179</v>
      </c>
      <c r="Y25" s="71">
        <v>77</v>
      </c>
      <c r="Z25" s="104">
        <v>118</v>
      </c>
    </row>
    <row r="26" spans="1:26" x14ac:dyDescent="0.25">
      <c r="A26" s="103" t="s">
        <v>80</v>
      </c>
      <c r="B26" s="69">
        <f>B25+1</f>
        <v>25</v>
      </c>
      <c r="C26" s="70">
        <v>8</v>
      </c>
      <c r="D26" s="69">
        <v>2022</v>
      </c>
      <c r="E26" s="71">
        <f>'FS-AD Daily '!B30</f>
        <v>5572</v>
      </c>
      <c r="F26" s="71">
        <f>'FS-AD Daily '!C30</f>
        <v>4065</v>
      </c>
      <c r="G26" s="71">
        <f>'FS-AD Daily '!D30</f>
        <v>845</v>
      </c>
      <c r="H26" s="71">
        <f>'FS-AD Daily '!E30</f>
        <v>7072</v>
      </c>
      <c r="I26" s="71">
        <f>'FS-AD Daily '!F30</f>
        <v>6175</v>
      </c>
      <c r="J26" s="71">
        <f>'FS-AD Daily '!G30</f>
        <v>2948</v>
      </c>
      <c r="K26" s="71">
        <f>'FS-AD Daily '!H30</f>
        <v>6446</v>
      </c>
      <c r="L26" s="71">
        <f>'FS-AD Daily '!I30</f>
        <v>2275</v>
      </c>
      <c r="M26" s="71">
        <f>'FS-AD Daily '!J30</f>
        <v>6742</v>
      </c>
      <c r="N26" s="71">
        <f>'FS-AD Daily '!T30</f>
        <v>170.15899999999965</v>
      </c>
      <c r="O26" s="71">
        <f>'FS-AD Daily '!R30</f>
        <v>72.204000000003361</v>
      </c>
      <c r="P26" s="71">
        <f>'FS-AD Daily '!Z30</f>
        <v>619</v>
      </c>
      <c r="Q26" s="71">
        <f>'FS-AD Daily '!V30</f>
        <v>196.79999999998836</v>
      </c>
      <c r="R26" s="71">
        <f>'FS-AD Daily '!W30</f>
        <v>101.55000000001746</v>
      </c>
      <c r="S26" s="71">
        <f t="shared" si="0"/>
        <v>320.64999999999418</v>
      </c>
      <c r="T26" s="71">
        <f>'FS-AD Daily '!AD30*3.516</f>
        <v>106759.82399999999</v>
      </c>
      <c r="U26" s="71">
        <f>('FS-AD Daily '!AF30)*1000</f>
        <v>56399.999999994179</v>
      </c>
      <c r="V26" s="71">
        <f>('FS-AD Daily '!AG30)*1000</f>
        <v>0</v>
      </c>
      <c r="W26" s="71">
        <f>'FS-AD Daily '!AH30*1000</f>
        <v>17099.999999998545</v>
      </c>
      <c r="X26" s="71">
        <f>('FS-AD Daily '!AK30)*1000</f>
        <v>26300.00000000291</v>
      </c>
      <c r="Y26" s="71">
        <v>65</v>
      </c>
      <c r="Z26" s="104">
        <v>107</v>
      </c>
    </row>
    <row r="27" spans="1:26" x14ac:dyDescent="0.25">
      <c r="A27" s="103" t="s">
        <v>80</v>
      </c>
      <c r="B27" s="69">
        <f t="shared" si="1"/>
        <v>26</v>
      </c>
      <c r="C27" s="70">
        <v>8</v>
      </c>
      <c r="D27" s="69">
        <v>2022</v>
      </c>
      <c r="E27" s="71">
        <f>'FS-AD Daily '!B31</f>
        <v>5513</v>
      </c>
      <c r="F27" s="71">
        <f>'FS-AD Daily '!C31</f>
        <v>4180</v>
      </c>
      <c r="G27" s="71">
        <f>'FS-AD Daily '!D31</f>
        <v>882</v>
      </c>
      <c r="H27" s="71">
        <f>'FS-AD Daily '!E31</f>
        <v>6982</v>
      </c>
      <c r="I27" s="71">
        <f>'FS-AD Daily '!F31</f>
        <v>6199</v>
      </c>
      <c r="J27" s="71">
        <f>'FS-AD Daily '!G31</f>
        <v>2806</v>
      </c>
      <c r="K27" s="71">
        <f>'FS-AD Daily '!H31</f>
        <v>6440</v>
      </c>
      <c r="L27" s="71">
        <f>'FS-AD Daily '!I31</f>
        <v>2263</v>
      </c>
      <c r="M27" s="71">
        <f>'FS-AD Daily '!J31</f>
        <v>6849</v>
      </c>
      <c r="N27" s="71">
        <f>'FS-AD Daily '!T31</f>
        <v>185.88599999999497</v>
      </c>
      <c r="O27" s="71">
        <f>'FS-AD Daily '!R31</f>
        <v>65.641999999997097</v>
      </c>
      <c r="P27" s="71">
        <f>'FS-AD Daily '!Z31</f>
        <v>643</v>
      </c>
      <c r="Q27" s="71">
        <f>'FS-AD Daily '!V31</f>
        <v>187.5</v>
      </c>
      <c r="R27" s="71">
        <f>'FS-AD Daily '!W31</f>
        <v>138.54999999998836</v>
      </c>
      <c r="S27" s="71">
        <f t="shared" si="0"/>
        <v>316.95000000001164</v>
      </c>
      <c r="T27" s="71">
        <f>'FS-AD Daily '!AD31*3.516</f>
        <v>92055.911999999997</v>
      </c>
      <c r="U27" s="71">
        <f>('FS-AD Daily '!AF31)*1000</f>
        <v>48000</v>
      </c>
      <c r="V27" s="71">
        <f>('FS-AD Daily '!AG31)*1000</f>
        <v>0</v>
      </c>
      <c r="W27" s="71">
        <f>'FS-AD Daily '!AH31*1000</f>
        <v>16000</v>
      </c>
      <c r="X27" s="71">
        <f>('FS-AD Daily '!AK31)*1000</f>
        <v>25000</v>
      </c>
      <c r="Y27" s="71">
        <v>55</v>
      </c>
      <c r="Z27" s="104">
        <v>103</v>
      </c>
    </row>
    <row r="28" spans="1:26" x14ac:dyDescent="0.25">
      <c r="A28" s="103" t="s">
        <v>80</v>
      </c>
      <c r="B28" s="69">
        <f t="shared" si="1"/>
        <v>27</v>
      </c>
      <c r="C28" s="70">
        <v>8</v>
      </c>
      <c r="D28" s="69">
        <v>2022</v>
      </c>
      <c r="E28" s="71">
        <f>'FS-AD Daily '!B32</f>
        <v>5601</v>
      </c>
      <c r="F28" s="71">
        <f>'FS-AD Daily '!C32</f>
        <v>4103</v>
      </c>
      <c r="G28" s="71">
        <f>'FS-AD Daily '!D32</f>
        <v>894</v>
      </c>
      <c r="H28" s="71">
        <f>'FS-AD Daily '!E32</f>
        <v>6934</v>
      </c>
      <c r="I28" s="71">
        <f>'FS-AD Daily '!F32</f>
        <v>6272</v>
      </c>
      <c r="J28" s="71">
        <f>'FS-AD Daily '!G32</f>
        <v>2715</v>
      </c>
      <c r="K28" s="71">
        <f>'FS-AD Daily '!H32</f>
        <v>6279</v>
      </c>
      <c r="L28" s="71">
        <f>'FS-AD Daily '!I32</f>
        <v>2252</v>
      </c>
      <c r="M28" s="71">
        <f>'FS-AD Daily '!J32</f>
        <v>6849</v>
      </c>
      <c r="N28" s="71">
        <f>'FS-AD Daily '!T32</f>
        <v>177.27700000000186</v>
      </c>
      <c r="O28" s="71">
        <f>'FS-AD Daily '!R32</f>
        <v>83.360000000001492</v>
      </c>
      <c r="P28" s="71">
        <f>'FS-AD Daily '!Z32</f>
        <v>664</v>
      </c>
      <c r="Q28" s="71">
        <f>'FS-AD Daily '!V32</f>
        <v>195</v>
      </c>
      <c r="R28" s="71">
        <f>'FS-AD Daily '!W32</f>
        <v>147.11000000001513</v>
      </c>
      <c r="S28" s="71">
        <f t="shared" si="0"/>
        <v>321.88999999998487</v>
      </c>
      <c r="T28" s="71">
        <f>'FS-AD Daily '!AD32*3.516</f>
        <v>92836.464000000007</v>
      </c>
      <c r="U28" s="71">
        <f>('FS-AD Daily '!AF32)*1000</f>
        <v>47000</v>
      </c>
      <c r="V28" s="71">
        <f>('FS-AD Daily '!AG32)*1000</f>
        <v>0</v>
      </c>
      <c r="W28" s="71">
        <f>'FS-AD Daily '!AH32*1000</f>
        <v>16000</v>
      </c>
      <c r="X28" s="71">
        <f>('FS-AD Daily '!AK32)*1000</f>
        <v>26000</v>
      </c>
      <c r="Y28" s="71">
        <v>44</v>
      </c>
      <c r="Z28" s="104">
        <v>85</v>
      </c>
    </row>
    <row r="29" spans="1:26" x14ac:dyDescent="0.25">
      <c r="A29" s="103" t="s">
        <v>80</v>
      </c>
      <c r="B29" s="69">
        <f t="shared" si="1"/>
        <v>28</v>
      </c>
      <c r="C29" s="70">
        <v>8</v>
      </c>
      <c r="D29" s="69">
        <v>2022</v>
      </c>
      <c r="E29" s="71">
        <f>'FS-AD Daily '!B33</f>
        <v>5602</v>
      </c>
      <c r="F29" s="71">
        <f>'FS-AD Daily '!C33</f>
        <v>3747</v>
      </c>
      <c r="G29" s="71">
        <f>'FS-AD Daily '!D33</f>
        <v>876</v>
      </c>
      <c r="H29" s="71">
        <f>'FS-AD Daily '!E33</f>
        <v>6896</v>
      </c>
      <c r="I29" s="71">
        <f>'FS-AD Daily '!F33</f>
        <v>5964</v>
      </c>
      <c r="J29" s="71">
        <f>'FS-AD Daily '!G33</f>
        <v>2642</v>
      </c>
      <c r="K29" s="71">
        <f>'FS-AD Daily '!H33</f>
        <v>6267</v>
      </c>
      <c r="L29" s="71">
        <f>'FS-AD Daily '!I33</f>
        <v>2348</v>
      </c>
      <c r="M29" s="71">
        <f>'FS-AD Daily '!J33</f>
        <v>6700</v>
      </c>
      <c r="N29" s="71">
        <f>'FS-AD Daily '!T33</f>
        <v>173.67000000000189</v>
      </c>
      <c r="O29" s="71">
        <f>'FS-AD Daily '!R33</f>
        <v>75.011000000000422</v>
      </c>
      <c r="P29" s="71">
        <f>'FS-AD Daily '!Z33</f>
        <v>649</v>
      </c>
      <c r="Q29" s="71">
        <f>'FS-AD Daily '!V33</f>
        <v>181.40000000002328</v>
      </c>
      <c r="R29" s="71">
        <f>'FS-AD Daily '!W33</f>
        <v>172</v>
      </c>
      <c r="S29" s="71">
        <f t="shared" si="0"/>
        <v>295.59999999997672</v>
      </c>
      <c r="T29" s="71">
        <f>'FS-AD Daily '!AD33*3.516</f>
        <v>93866.652000000002</v>
      </c>
      <c r="U29" s="71">
        <f>('FS-AD Daily '!AF33)*1000</f>
        <v>48000</v>
      </c>
      <c r="V29" s="71">
        <f>('FS-AD Daily '!AG33)*1000</f>
        <v>0</v>
      </c>
      <c r="W29" s="71">
        <f>'FS-AD Daily '!AH33*1000</f>
        <v>16000</v>
      </c>
      <c r="X29" s="71">
        <f>('FS-AD Daily '!AK33)*1000</f>
        <v>26000</v>
      </c>
      <c r="Y29" s="71">
        <v>51</v>
      </c>
      <c r="Z29" s="104">
        <v>78</v>
      </c>
    </row>
    <row r="30" spans="1:26" x14ac:dyDescent="0.25">
      <c r="A30" s="103" t="s">
        <v>80</v>
      </c>
      <c r="B30" s="69">
        <f t="shared" si="1"/>
        <v>29</v>
      </c>
      <c r="C30" s="70">
        <v>8</v>
      </c>
      <c r="D30" s="69">
        <v>2022</v>
      </c>
      <c r="E30" s="71">
        <f>'FS-AD Daily '!B34</f>
        <v>5622</v>
      </c>
      <c r="F30" s="71">
        <f>'FS-AD Daily '!C34</f>
        <v>4267</v>
      </c>
      <c r="G30" s="71">
        <f>'FS-AD Daily '!D34</f>
        <v>873</v>
      </c>
      <c r="H30" s="71">
        <f>'FS-AD Daily '!E34</f>
        <v>6668</v>
      </c>
      <c r="I30" s="71">
        <f>'FS-AD Daily '!F34</f>
        <v>5974</v>
      </c>
      <c r="J30" s="71">
        <f>'FS-AD Daily '!G34</f>
        <v>2666</v>
      </c>
      <c r="K30" s="71">
        <f>'FS-AD Daily '!H34</f>
        <v>6355</v>
      </c>
      <c r="L30" s="71">
        <f>'FS-AD Daily '!I34</f>
        <v>2419</v>
      </c>
      <c r="M30" s="71">
        <f>'FS-AD Daily '!J34</f>
        <v>6518</v>
      </c>
      <c r="N30" s="71">
        <f>'FS-AD Daily '!T34</f>
        <v>156.2489999999998</v>
      </c>
      <c r="O30" s="71">
        <f>'FS-AD Daily '!R34</f>
        <v>67.009999999999309</v>
      </c>
      <c r="P30" s="71">
        <f>'FS-AD Daily '!Z34</f>
        <v>640</v>
      </c>
      <c r="Q30" s="71">
        <f>'FS-AD Daily '!V34</f>
        <v>196.09999999997672</v>
      </c>
      <c r="R30" s="71">
        <f>'FS-AD Daily '!W34</f>
        <v>162.69999999998254</v>
      </c>
      <c r="S30" s="71">
        <f t="shared" si="0"/>
        <v>281.20000000004075</v>
      </c>
      <c r="T30" s="71">
        <f>'FS-AD Daily '!AD34*3.516</f>
        <v>100786.14</v>
      </c>
      <c r="U30" s="71">
        <f>('FS-AD Daily '!AF34)*1000</f>
        <v>52300.00000000291</v>
      </c>
      <c r="V30" s="71">
        <f>('FS-AD Daily '!AG34)*1000</f>
        <v>0</v>
      </c>
      <c r="W30" s="71">
        <f>'FS-AD Daily '!AH34*1000</f>
        <v>17199.99999999709</v>
      </c>
      <c r="X30" s="71">
        <f>('FS-AD Daily '!AK34)*1000</f>
        <v>27900.000000001455</v>
      </c>
      <c r="Y30" s="71">
        <v>56</v>
      </c>
      <c r="Z30" s="104">
        <v>89</v>
      </c>
    </row>
    <row r="31" spans="1:26" x14ac:dyDescent="0.25">
      <c r="A31" s="103" t="s">
        <v>80</v>
      </c>
      <c r="B31" s="69">
        <f t="shared" si="1"/>
        <v>30</v>
      </c>
      <c r="C31" s="70">
        <v>8</v>
      </c>
      <c r="D31" s="69">
        <v>2022</v>
      </c>
      <c r="E31" s="71">
        <f>'FS-AD Daily '!B35</f>
        <v>5605</v>
      </c>
      <c r="F31" s="71">
        <f>'FS-AD Daily '!C35</f>
        <v>3739</v>
      </c>
      <c r="G31" s="71">
        <f>'FS-AD Daily '!D35</f>
        <v>945</v>
      </c>
      <c r="H31" s="71">
        <f>'FS-AD Daily '!E35</f>
        <v>6874</v>
      </c>
      <c r="I31" s="71">
        <f>'FS-AD Daily '!F35</f>
        <v>6092</v>
      </c>
      <c r="J31" s="71">
        <f>'FS-AD Daily '!G35</f>
        <v>2610</v>
      </c>
      <c r="K31" s="71">
        <f>'FS-AD Daily '!H35</f>
        <v>6332</v>
      </c>
      <c r="L31" s="71">
        <f>'FS-AD Daily '!I35</f>
        <v>2522</v>
      </c>
      <c r="M31" s="71">
        <f>'FS-AD Daily '!J35</f>
        <v>6457</v>
      </c>
      <c r="N31" s="71">
        <f>'FS-AD Daily '!T35</f>
        <v>195.77700000000186</v>
      </c>
      <c r="O31" s="71">
        <f>'FS-AD Daily '!R35</f>
        <v>48.8100000000004</v>
      </c>
      <c r="P31" s="71">
        <f>'FS-AD Daily '!Z35</f>
        <v>657</v>
      </c>
      <c r="Q31" s="71">
        <f>'FS-AD Daily '!V35</f>
        <v>198.79999999998836</v>
      </c>
      <c r="R31" s="71">
        <f>'FS-AD Daily '!W35</f>
        <v>177.52000000001863</v>
      </c>
      <c r="S31" s="71">
        <f t="shared" ref="S31:S32" si="2">P31-Q31-R31</f>
        <v>280.67999999999302</v>
      </c>
      <c r="T31" s="71">
        <f>'FS-AD Daily '!AD35*3.516</f>
        <v>95434.788</v>
      </c>
      <c r="U31" s="71">
        <f>('FS-AD Daily '!AF35)*1000</f>
        <v>49099.999999991269</v>
      </c>
      <c r="V31" s="71">
        <f>('FS-AD Daily '!AG35)*1000</f>
        <v>0</v>
      </c>
      <c r="W31" s="71">
        <f>'FS-AD Daily '!AH35*1000</f>
        <v>16200.000000004366</v>
      </c>
      <c r="X31" s="71">
        <f>('FS-AD Daily '!AK35)*1000</f>
        <v>26400.000000001455</v>
      </c>
      <c r="Y31" s="71">
        <v>55</v>
      </c>
      <c r="Z31" s="121">
        <v>91</v>
      </c>
    </row>
    <row r="32" spans="1:26" ht="15.75" thickBot="1" x14ac:dyDescent="0.3">
      <c r="A32" s="103" t="s">
        <v>80</v>
      </c>
      <c r="B32" s="69">
        <f t="shared" si="1"/>
        <v>31</v>
      </c>
      <c r="C32" s="70">
        <v>8</v>
      </c>
      <c r="D32" s="69">
        <v>2022</v>
      </c>
      <c r="E32" s="71">
        <f>'FS-AD Daily '!B36</f>
        <v>5572</v>
      </c>
      <c r="F32" s="71">
        <f>'FS-AD Daily '!C36</f>
        <v>4022</v>
      </c>
      <c r="G32" s="71">
        <f>'FS-AD Daily '!D36</f>
        <v>898</v>
      </c>
      <c r="H32" s="71">
        <f>'FS-AD Daily '!E36</f>
        <v>6532</v>
      </c>
      <c r="I32" s="71">
        <f>'FS-AD Daily '!F36</f>
        <v>6118</v>
      </c>
      <c r="J32" s="71">
        <f>'FS-AD Daily '!G36</f>
        <v>2665</v>
      </c>
      <c r="K32" s="71">
        <f>'FS-AD Daily '!H36</f>
        <v>6372</v>
      </c>
      <c r="L32" s="71">
        <f>'FS-AD Daily '!I36</f>
        <v>2461</v>
      </c>
      <c r="M32" s="71">
        <f>'FS-AD Daily '!J36</f>
        <v>6626</v>
      </c>
      <c r="N32" s="71">
        <f>'FS-AD Daily '!T36</f>
        <v>184.67999999999665</v>
      </c>
      <c r="O32" s="71">
        <f>'FS-AD Daily '!R36</f>
        <v>64.933000000000902</v>
      </c>
      <c r="P32" s="71">
        <f>'FS-AD Daily '!Z36</f>
        <v>720</v>
      </c>
      <c r="Q32" s="71">
        <f>'FS-AD Daily '!V36</f>
        <v>232.79999999998836</v>
      </c>
      <c r="R32" s="71">
        <f>'FS-AD Daily '!W36</f>
        <v>181.40999999997439</v>
      </c>
      <c r="S32" s="71">
        <f t="shared" si="2"/>
        <v>305.79000000003725</v>
      </c>
      <c r="T32" s="71">
        <f>'FS-AD Daily '!AD36*3.516</f>
        <v>100002.072</v>
      </c>
      <c r="U32" s="71">
        <f>('FS-AD Daily '!AF36)*1000</f>
        <v>52100.000000005821</v>
      </c>
      <c r="V32" s="71">
        <f>('FS-AD Daily '!AG36)*1000</f>
        <v>0</v>
      </c>
      <c r="W32" s="71">
        <f>'FS-AD Daily '!AH36*1000</f>
        <v>16199.99999999709</v>
      </c>
      <c r="X32" s="71">
        <f>('FS-AD Daily '!AK36)*1000</f>
        <v>26699.99999999709</v>
      </c>
      <c r="Y32" s="71">
        <v>64</v>
      </c>
      <c r="Z32" s="105">
        <v>102</v>
      </c>
    </row>
    <row r="33" spans="9:26" x14ac:dyDescent="0.25">
      <c r="I33" s="4">
        <f t="shared" ref="I33:W33" si="3">SUM(I2:I32)</f>
        <v>188820</v>
      </c>
      <c r="J33" s="4">
        <f t="shared" si="3"/>
        <v>88938</v>
      </c>
      <c r="K33" s="4">
        <f t="shared" si="3"/>
        <v>205407</v>
      </c>
      <c r="L33" s="4">
        <f t="shared" si="3"/>
        <v>70941</v>
      </c>
      <c r="M33" s="4">
        <f t="shared" si="3"/>
        <v>209629</v>
      </c>
      <c r="N33" s="4">
        <f t="shared" si="3"/>
        <v>5767.5060000000012</v>
      </c>
      <c r="O33" s="4">
        <f t="shared" si="3"/>
        <v>2194.7030000000004</v>
      </c>
      <c r="P33" s="4">
        <f t="shared" si="3"/>
        <v>19680</v>
      </c>
      <c r="Q33" s="4">
        <f t="shared" si="3"/>
        <v>5682.7999999999884</v>
      </c>
      <c r="R33" s="4">
        <f t="shared" si="3"/>
        <v>5080.3499999999767</v>
      </c>
      <c r="S33" s="4">
        <f t="shared" si="3"/>
        <v>8916.8500000000349</v>
      </c>
      <c r="T33" s="4">
        <f t="shared" si="3"/>
        <v>3374428.2600000002</v>
      </c>
      <c r="U33" s="4">
        <f t="shared" si="3"/>
        <v>1708300.000000003</v>
      </c>
      <c r="V33" s="4">
        <f t="shared" si="3"/>
        <v>0</v>
      </c>
      <c r="W33" s="4">
        <f t="shared" si="3"/>
        <v>526000</v>
      </c>
      <c r="X33" s="4">
        <f>'FS-AD Daily '!U38</f>
        <v>28010.775520000007</v>
      </c>
      <c r="Y33" s="4">
        <f>SUM(Y2:Y32)</f>
        <v>2082</v>
      </c>
      <c r="Z33" s="4">
        <f>SUM(Z2:Z32)</f>
        <v>3690</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opLeftCell="X1" zoomScale="85" zoomScaleNormal="85" workbookViewId="0">
      <pane ySplit="5" topLeftCell="A6" activePane="bottomLeft" state="frozen"/>
      <selection pane="bottomLeft" activeCell="AN36" sqref="AN36"/>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3" t="s">
        <v>14</v>
      </c>
      <c r="C1" s="123"/>
      <c r="D1" s="123"/>
      <c r="E1" s="123"/>
      <c r="F1" s="123"/>
      <c r="G1" s="123"/>
      <c r="H1" s="123"/>
      <c r="I1" s="123"/>
      <c r="J1" s="123"/>
      <c r="K1" s="25" t="s">
        <v>15</v>
      </c>
      <c r="L1" s="26" t="s">
        <v>16</v>
      </c>
      <c r="M1" s="27" t="s">
        <v>17</v>
      </c>
      <c r="N1" s="28" t="s">
        <v>18</v>
      </c>
      <c r="O1" s="28" t="s">
        <v>19</v>
      </c>
      <c r="P1" s="65" t="s">
        <v>20</v>
      </c>
      <c r="Q1" s="30" t="s">
        <v>21</v>
      </c>
      <c r="R1" s="31" t="s">
        <v>22</v>
      </c>
      <c r="S1" s="29" t="s">
        <v>23</v>
      </c>
      <c r="T1" s="32" t="s">
        <v>24</v>
      </c>
      <c r="U1" s="33" t="s">
        <v>25</v>
      </c>
      <c r="V1" s="32" t="s">
        <v>26</v>
      </c>
      <c r="W1" s="32" t="s">
        <v>27</v>
      </c>
      <c r="X1" s="124" t="s">
        <v>28</v>
      </c>
      <c r="Y1" s="124"/>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2022</v>
      </c>
      <c r="B2" s="22">
        <v>1</v>
      </c>
      <c r="C2" s="22">
        <v>2</v>
      </c>
      <c r="D2" s="22">
        <v>3</v>
      </c>
      <c r="E2" s="22">
        <v>4</v>
      </c>
      <c r="F2" s="22">
        <v>5</v>
      </c>
      <c r="G2" s="22">
        <v>6</v>
      </c>
      <c r="H2" s="22">
        <v>7</v>
      </c>
      <c r="I2" s="22">
        <v>8</v>
      </c>
      <c r="J2" s="22">
        <v>9</v>
      </c>
      <c r="K2" s="125" t="s">
        <v>41</v>
      </c>
      <c r="L2" s="127" t="s">
        <v>42</v>
      </c>
      <c r="M2" s="10"/>
      <c r="N2" s="10"/>
      <c r="O2" s="10"/>
      <c r="P2" s="10"/>
      <c r="Q2" s="10"/>
      <c r="R2" s="10"/>
      <c r="S2" s="129"/>
      <c r="T2" s="47"/>
      <c r="U2" s="130"/>
      <c r="V2" s="45"/>
      <c r="W2" s="45"/>
      <c r="X2" s="22">
        <v>1</v>
      </c>
      <c r="Y2" s="22">
        <v>2</v>
      </c>
      <c r="Z2" s="23"/>
      <c r="AA2" s="127" t="s">
        <v>100</v>
      </c>
      <c r="AB2" s="43"/>
      <c r="AC2" s="125" t="s">
        <v>43</v>
      </c>
      <c r="AD2" s="132"/>
      <c r="AE2" s="130" t="s">
        <v>102</v>
      </c>
      <c r="AF2" s="45"/>
      <c r="AG2" s="45"/>
      <c r="AH2" s="45"/>
      <c r="AI2" s="44"/>
      <c r="AJ2" s="44"/>
      <c r="AK2" s="44"/>
      <c r="AL2" s="44"/>
      <c r="AM2" s="130" t="s">
        <v>102</v>
      </c>
      <c r="AN2" s="133"/>
      <c r="AO2" s="131"/>
    </row>
    <row r="3" spans="1:44" ht="15" customHeight="1" x14ac:dyDescent="0.25">
      <c r="A3" s="9"/>
      <c r="B3" s="11" t="s">
        <v>44</v>
      </c>
      <c r="C3" s="11" t="s">
        <v>45</v>
      </c>
      <c r="D3" s="11" t="s">
        <v>46</v>
      </c>
      <c r="E3" s="11" t="s">
        <v>47</v>
      </c>
      <c r="F3" s="11" t="s">
        <v>48</v>
      </c>
      <c r="G3" s="11" t="s">
        <v>49</v>
      </c>
      <c r="H3" s="11" t="s">
        <v>50</v>
      </c>
      <c r="I3" s="11" t="s">
        <v>51</v>
      </c>
      <c r="J3" s="11" t="s">
        <v>52</v>
      </c>
      <c r="K3" s="126"/>
      <c r="L3" s="128"/>
      <c r="M3" s="10"/>
      <c r="N3" s="10"/>
      <c r="O3" s="10"/>
      <c r="P3" s="10"/>
      <c r="Q3" s="10"/>
      <c r="R3" s="10"/>
      <c r="S3" s="129"/>
      <c r="T3" s="47"/>
      <c r="U3" s="130"/>
      <c r="V3" s="45"/>
      <c r="W3" s="45"/>
      <c r="X3" s="11"/>
      <c r="Y3" s="11"/>
      <c r="Z3" s="12"/>
      <c r="AA3" s="127"/>
      <c r="AB3" s="43"/>
      <c r="AC3" s="125"/>
      <c r="AD3" s="132"/>
      <c r="AE3" s="130"/>
      <c r="AF3" s="45"/>
      <c r="AG3" s="45"/>
      <c r="AH3" s="45"/>
      <c r="AI3" s="13"/>
      <c r="AJ3" s="44"/>
      <c r="AK3" s="44"/>
      <c r="AL3" s="44"/>
      <c r="AM3" s="130"/>
      <c r="AN3" s="133"/>
      <c r="AO3" s="131"/>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29"/>
      <c r="T4" s="47"/>
      <c r="U4" s="130"/>
      <c r="V4" s="45"/>
      <c r="W4" s="45"/>
      <c r="X4" s="52"/>
      <c r="Y4" s="87">
        <v>1115587</v>
      </c>
      <c r="Z4" s="12"/>
      <c r="AA4" s="127"/>
      <c r="AB4" s="86">
        <v>15191348</v>
      </c>
      <c r="AC4" s="125"/>
      <c r="AD4" s="132"/>
      <c r="AE4" s="130"/>
      <c r="AF4" s="45"/>
      <c r="AG4" s="45"/>
      <c r="AH4" s="45"/>
      <c r="AI4" s="43">
        <v>56284.800000000003</v>
      </c>
      <c r="AJ4" s="43"/>
      <c r="AK4" s="43"/>
      <c r="AL4" s="43"/>
      <c r="AM4" s="130"/>
      <c r="AN4" s="133"/>
      <c r="AO4" s="131"/>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44774</v>
      </c>
      <c r="B6" s="86">
        <f>14583308-14577980</f>
        <v>5328</v>
      </c>
      <c r="C6" s="86">
        <f>9352265-9349048</f>
        <v>3217</v>
      </c>
      <c r="D6" s="86">
        <f>1864703-1863842</f>
        <v>861</v>
      </c>
      <c r="E6" s="86">
        <f>14143681-14136590</f>
        <v>7091</v>
      </c>
      <c r="F6" s="86">
        <f>13812909-13806914</f>
        <v>5995</v>
      </c>
      <c r="G6" s="86">
        <f>9453998-9451238</f>
        <v>2760</v>
      </c>
      <c r="H6" s="86">
        <f>10914839-10907986</f>
        <v>6853</v>
      </c>
      <c r="I6" s="86">
        <f>6116092-6113836</f>
        <v>2256</v>
      </c>
      <c r="J6" s="86">
        <f>14280639-14273833</f>
        <v>6806</v>
      </c>
      <c r="K6" s="63">
        <f>SUM(B6:H6)</f>
        <v>32105</v>
      </c>
      <c r="L6" s="40">
        <f>K6*0.2</f>
        <v>6421</v>
      </c>
      <c r="M6" s="83">
        <f>44975.616-44813.964</f>
        <v>161.65200000000186</v>
      </c>
      <c r="N6" s="83">
        <f>5209.939-5206.6</f>
        <v>3.3389999999999418</v>
      </c>
      <c r="O6" s="83">
        <f>10506.855-10506.709</f>
        <v>0.14599999999882129</v>
      </c>
      <c r="P6" s="82">
        <f>18845.64-18783.107</f>
        <v>62.532999999999447</v>
      </c>
      <c r="Q6" s="83">
        <f>30649.092-30632.461</f>
        <v>16.631000000001222</v>
      </c>
      <c r="R6" s="84">
        <f t="shared" ref="R6:R34" si="0">N6+O6+P6</f>
        <v>66.01799999999821</v>
      </c>
      <c r="S6" s="84">
        <f t="shared" ref="S6:S34" si="1">(N6+O6+P6)*7.84</f>
        <v>517.58111999998596</v>
      </c>
      <c r="T6" s="64">
        <f t="shared" ref="T6:T34" si="2">M6+Q6</f>
        <v>178.28300000000309</v>
      </c>
      <c r="U6" s="84">
        <f>T6*7.84</f>
        <v>1397.7387200000242</v>
      </c>
      <c r="V6" s="83">
        <f>432404.4-432246.3</f>
        <v>158.10000000003492</v>
      </c>
      <c r="W6" s="83">
        <f>175196.88-175023.7</f>
        <v>173.17999999999302</v>
      </c>
      <c r="X6" s="85" t="s">
        <v>63</v>
      </c>
      <c r="Y6" s="85">
        <v>1116181</v>
      </c>
      <c r="Z6" s="61">
        <f>IF((Y6-Y5&lt;0), "0",Y6-Y4)</f>
        <v>594</v>
      </c>
      <c r="AA6" s="90">
        <f>Z6*6.47</f>
        <v>3843.18</v>
      </c>
      <c r="AB6" s="75">
        <v>15220205</v>
      </c>
      <c r="AC6" s="75">
        <f>AB4</f>
        <v>15191348</v>
      </c>
      <c r="AD6" s="41">
        <f t="shared" ref="AD6:AD34" si="3">IF((AB6-AC6&lt;0), "0",AB6-AC6)</f>
        <v>28857</v>
      </c>
      <c r="AE6" s="84">
        <f>AD6*0.327899</f>
        <v>9462.1814429999995</v>
      </c>
      <c r="AF6" s="84">
        <f>103674.5-103628.2</f>
        <v>46.30000000000291</v>
      </c>
      <c r="AG6" s="64">
        <f t="shared" ref="AG6:AG36" si="4">50692.5-50692.5</f>
        <v>0</v>
      </c>
      <c r="AH6" s="84">
        <f>32716.6-32699.6</f>
        <v>17</v>
      </c>
      <c r="AI6" s="75">
        <f>AI4</f>
        <v>56284.800000000003</v>
      </c>
      <c r="AJ6" s="75">
        <v>56312.5</v>
      </c>
      <c r="AK6" s="59">
        <f>IF((AJ6-AI6)&lt;0, "0",AJ6-AI6)</f>
        <v>27.69999999999709</v>
      </c>
      <c r="AL6" s="120">
        <f t="shared" ref="AL6:AL34" si="5">AK6*(284.34513609)</f>
        <v>7876.3602696921716</v>
      </c>
      <c r="AM6" s="84">
        <f>AL6*0.327899</f>
        <v>2582.6506560717935</v>
      </c>
      <c r="AN6" s="101"/>
      <c r="AO6" s="77">
        <f t="shared" ref="AO6:AO36" si="6">L6+U6+AA6+AE6</f>
        <v>21124.100163000025</v>
      </c>
    </row>
    <row r="7" spans="1:44" x14ac:dyDescent="0.25">
      <c r="A7" s="79">
        <v>44775</v>
      </c>
      <c r="B7" s="86">
        <f>14588743-14583308</f>
        <v>5435</v>
      </c>
      <c r="C7" s="86">
        <f>9355569-9352265</f>
        <v>3304</v>
      </c>
      <c r="D7" s="86">
        <f>1865584-1864703</f>
        <v>881</v>
      </c>
      <c r="E7" s="86">
        <f>14150904-14143681</f>
        <v>7223</v>
      </c>
      <c r="F7" s="86">
        <f>13819072-13812909</f>
        <v>6163</v>
      </c>
      <c r="G7" s="86">
        <f>9456702-9453998</f>
        <v>2704</v>
      </c>
      <c r="H7" s="86">
        <f>10921662-10914839</f>
        <v>6823</v>
      </c>
      <c r="I7" s="86">
        <f>6118345-6116092</f>
        <v>2253</v>
      </c>
      <c r="J7" s="86">
        <f>14287465-14280639</f>
        <v>6826</v>
      </c>
      <c r="K7" s="86">
        <f>SUM(B7:H7)</f>
        <v>32533</v>
      </c>
      <c r="L7" s="14">
        <f>K7*0.2</f>
        <v>6506.6</v>
      </c>
      <c r="M7" s="83">
        <f>45143.832-44975.616</f>
        <v>168.21600000000035</v>
      </c>
      <c r="N7" s="83">
        <f>5213.49-5209.939</f>
        <v>3.5509999999994761</v>
      </c>
      <c r="O7" s="83">
        <f>10507.096-10506.855</f>
        <v>0.24099999999998545</v>
      </c>
      <c r="P7" s="82">
        <f>18914.561-18845.64</f>
        <v>68.921000000002095</v>
      </c>
      <c r="Q7" s="83">
        <f>30676.335-30649.092</f>
        <v>27.242999999998574</v>
      </c>
      <c r="R7" s="83">
        <f t="shared" si="0"/>
        <v>72.713000000001557</v>
      </c>
      <c r="S7" s="83">
        <f>(N7+O7+P7)*7.84</f>
        <v>570.06992000001219</v>
      </c>
      <c r="T7" s="83">
        <f>M7+Q7</f>
        <v>195.45899999999892</v>
      </c>
      <c r="U7" s="83">
        <f>T7*7.84</f>
        <v>1532.3985599999914</v>
      </c>
      <c r="V7" s="83">
        <f>432579.9-432404.4</f>
        <v>175.5</v>
      </c>
      <c r="W7" s="83">
        <f>175377.77-175196.88</f>
        <v>180.88999999998487</v>
      </c>
      <c r="X7" s="86" t="s">
        <v>63</v>
      </c>
      <c r="Y7" s="86">
        <v>1116805</v>
      </c>
      <c r="Z7" s="5">
        <f>IF((Y7-Y6&lt;0), "0",Y7-Y6)</f>
        <v>624</v>
      </c>
      <c r="AA7" s="14">
        <f t="shared" ref="AA7:AA34" si="7">Z7*6.47</f>
        <v>4037.2799999999997</v>
      </c>
      <c r="AB7" s="87">
        <v>15250153</v>
      </c>
      <c r="AC7" s="87">
        <f>AB6</f>
        <v>15220205</v>
      </c>
      <c r="AD7" s="5">
        <f t="shared" si="3"/>
        <v>29948</v>
      </c>
      <c r="AE7" s="83">
        <f>AD7*0.327899</f>
        <v>9819.9192519999997</v>
      </c>
      <c r="AF7" s="83">
        <f>103723.1-103674.5</f>
        <v>48.600000000005821</v>
      </c>
      <c r="AG7" s="83">
        <f t="shared" si="4"/>
        <v>0</v>
      </c>
      <c r="AH7" s="83">
        <f>32734.1-32716.6</f>
        <v>17.5</v>
      </c>
      <c r="AI7" s="87">
        <f>AJ6</f>
        <v>56312.5</v>
      </c>
      <c r="AJ7" s="86">
        <v>56340.1</v>
      </c>
      <c r="AK7" s="48">
        <f t="shared" ref="AK7:AK34" si="8">IF((AJ7-AI7)&lt;0, "0",AJ7-AI7)</f>
        <v>27.599999999998545</v>
      </c>
      <c r="AL7" s="89">
        <f t="shared" si="5"/>
        <v>7847.9257560835858</v>
      </c>
      <c r="AM7" s="83">
        <f>AL7*0.327899</f>
        <v>2573.3270074940515</v>
      </c>
      <c r="AN7" s="71"/>
      <c r="AO7" s="78">
        <f t="shared" si="6"/>
        <v>21896.197811999991</v>
      </c>
    </row>
    <row r="8" spans="1:44" x14ac:dyDescent="0.25">
      <c r="A8" s="79">
        <v>44776</v>
      </c>
      <c r="B8" s="86">
        <f>14594059-14588743</f>
        <v>5316</v>
      </c>
      <c r="C8" s="86">
        <f>9358733-9355569</f>
        <v>3164</v>
      </c>
      <c r="D8" s="86">
        <f>1866379-1865584</f>
        <v>795</v>
      </c>
      <c r="E8" s="86">
        <f>14157914-14150904</f>
        <v>7010</v>
      </c>
      <c r="F8" s="86">
        <f>13825157-13819072</f>
        <v>6085</v>
      </c>
      <c r="G8" s="86">
        <f>9459450-9456702</f>
        <v>2748</v>
      </c>
      <c r="H8" s="86">
        <f>10928374-10921662</f>
        <v>6712</v>
      </c>
      <c r="I8" s="86">
        <f>6120606-6118345</f>
        <v>2261</v>
      </c>
      <c r="J8" s="86">
        <f>14294249-14287465</f>
        <v>6784</v>
      </c>
      <c r="K8" s="86">
        <f>SUM(B8:H8)</f>
        <v>31830</v>
      </c>
      <c r="L8" s="14">
        <f t="shared" ref="L8:L34" si="9">K8*0.2</f>
        <v>6366</v>
      </c>
      <c r="M8" s="83">
        <f>45302.173-45143.832</f>
        <v>158.34100000000035</v>
      </c>
      <c r="N8" s="83">
        <f>5216.87-5213.49</f>
        <v>3.3800000000001091</v>
      </c>
      <c r="O8" s="83">
        <f>10507.296-10507.096</f>
        <v>0.2000000000007276</v>
      </c>
      <c r="P8" s="82">
        <f>18981.99-18914.561</f>
        <v>67.429000000000087</v>
      </c>
      <c r="Q8" s="83">
        <f>30693.734-30676.335</f>
        <v>17.399000000001251</v>
      </c>
      <c r="R8" s="83">
        <f t="shared" si="0"/>
        <v>71.009000000000924</v>
      </c>
      <c r="S8" s="83">
        <f>(N8+O8+P8)*7.84</f>
        <v>556.71056000000726</v>
      </c>
      <c r="T8" s="83">
        <f>M8+Q8</f>
        <v>175.7400000000016</v>
      </c>
      <c r="U8" s="83">
        <f>T8*7.84</f>
        <v>1377.8016000000125</v>
      </c>
      <c r="V8" s="83">
        <f>432747.9-432579.9</f>
        <v>168</v>
      </c>
      <c r="W8" s="83">
        <f>175552.17-175377.77</f>
        <v>174.40000000002328</v>
      </c>
      <c r="X8" s="86" t="s">
        <v>63</v>
      </c>
      <c r="Y8" s="86">
        <v>1117420</v>
      </c>
      <c r="Z8" s="5">
        <f t="shared" ref="Z8:Z34" si="10">IF((Y8-Y7&lt;0), "0",Y8-Y7)</f>
        <v>615</v>
      </c>
      <c r="AA8" s="14">
        <f t="shared" si="7"/>
        <v>3979.0499999999997</v>
      </c>
      <c r="AB8" s="87">
        <v>15280850</v>
      </c>
      <c r="AC8" s="87">
        <f t="shared" ref="AC8:AC34" si="11">AB7</f>
        <v>15250153</v>
      </c>
      <c r="AD8" s="5">
        <f t="shared" si="3"/>
        <v>30697</v>
      </c>
      <c r="AE8" s="83">
        <f t="shared" ref="AE8:AE36" si="12">AD8*0.327899</f>
        <v>10065.515603</v>
      </c>
      <c r="AF8" s="83">
        <f>103772.8-103723.1</f>
        <v>49.69999999999709</v>
      </c>
      <c r="AG8" s="83">
        <f t="shared" si="4"/>
        <v>0</v>
      </c>
      <c r="AH8" s="83">
        <f>32751.6-32734.1</f>
        <v>17.5</v>
      </c>
      <c r="AI8" s="87">
        <f t="shared" ref="AI8:AI36" si="13">AJ7</f>
        <v>56340.1</v>
      </c>
      <c r="AJ8" s="86">
        <v>56368.5</v>
      </c>
      <c r="AK8" s="48">
        <f t="shared" si="8"/>
        <v>28.400000000001455</v>
      </c>
      <c r="AL8" s="89">
        <f t="shared" si="5"/>
        <v>8075.4018649564132</v>
      </c>
      <c r="AM8" s="83">
        <f t="shared" ref="AM8:AM36" si="14">AL8*0.327899</f>
        <v>2647.9161961173427</v>
      </c>
      <c r="AN8" s="71"/>
      <c r="AO8" s="78">
        <f t="shared" si="6"/>
        <v>21788.367203000013</v>
      </c>
    </row>
    <row r="9" spans="1:44" x14ac:dyDescent="0.25">
      <c r="A9" s="79">
        <v>44777</v>
      </c>
      <c r="B9" s="86">
        <f>14599458-14594059</f>
        <v>5399</v>
      </c>
      <c r="C9" s="86">
        <f>9362274-9358733</f>
        <v>3541</v>
      </c>
      <c r="D9" s="86">
        <f>1867262-1866379</f>
        <v>883</v>
      </c>
      <c r="E9" s="86">
        <f>14164837-14157914</f>
        <v>6923</v>
      </c>
      <c r="F9" s="86">
        <f>13831400-13825157</f>
        <v>6243</v>
      </c>
      <c r="G9" s="86">
        <f>9462418-9459450</f>
        <v>2968</v>
      </c>
      <c r="H9" s="86">
        <f>10935120-10928374</f>
        <v>6746</v>
      </c>
      <c r="I9" s="86">
        <f>6122936-6120606</f>
        <v>2330</v>
      </c>
      <c r="J9" s="86">
        <f>14301152-14294249</f>
        <v>6903</v>
      </c>
      <c r="K9" s="86">
        <f t="shared" ref="K9:K34" si="15">SUM(B9:H9)</f>
        <v>32703</v>
      </c>
      <c r="L9" s="14">
        <f t="shared" si="9"/>
        <v>6540.6</v>
      </c>
      <c r="M9" s="83">
        <f>45492.435-45302.173</f>
        <v>190.26199999999517</v>
      </c>
      <c r="N9" s="83">
        <f>5220.504-5216.87</f>
        <v>3.6340000000000146</v>
      </c>
      <c r="O9" s="83">
        <f>10507.467-10507.296</f>
        <v>0.17100000000027649</v>
      </c>
      <c r="P9" s="82">
        <f>19052.985-18981.99</f>
        <v>70.994999999998981</v>
      </c>
      <c r="Q9" s="83">
        <f>30711.817-30693.734</f>
        <v>18.082999999998719</v>
      </c>
      <c r="R9" s="83">
        <f t="shared" si="0"/>
        <v>74.799999999999272</v>
      </c>
      <c r="S9" s="83">
        <f t="shared" si="1"/>
        <v>586.43199999999433</v>
      </c>
      <c r="T9" s="83">
        <f t="shared" si="2"/>
        <v>208.34499999999389</v>
      </c>
      <c r="U9" s="83">
        <f t="shared" ref="U9:U37" si="16">T9*7.84</f>
        <v>1633.424799999952</v>
      </c>
      <c r="V9" s="83">
        <f>432950.5-432747.9</f>
        <v>202.59999999997672</v>
      </c>
      <c r="W9" s="83">
        <f>175732.27-175552.17</f>
        <v>180.09999999997672</v>
      </c>
      <c r="X9" s="86" t="s">
        <v>63</v>
      </c>
      <c r="Y9" s="86">
        <v>1118079</v>
      </c>
      <c r="Z9" s="5">
        <f t="shared" si="10"/>
        <v>659</v>
      </c>
      <c r="AA9" s="14">
        <f t="shared" si="7"/>
        <v>4263.7299999999996</v>
      </c>
      <c r="AB9" s="87">
        <v>15315011</v>
      </c>
      <c r="AC9" s="87">
        <f t="shared" si="11"/>
        <v>15280850</v>
      </c>
      <c r="AD9" s="5">
        <f t="shared" si="3"/>
        <v>34161</v>
      </c>
      <c r="AE9" s="83">
        <f t="shared" si="12"/>
        <v>11201.357738999999</v>
      </c>
      <c r="AF9" s="83">
        <f>103829-103772.8</f>
        <v>56.19999999999709</v>
      </c>
      <c r="AG9" s="83">
        <f t="shared" si="4"/>
        <v>0</v>
      </c>
      <c r="AH9" s="83">
        <f>32769.4-32751.6</f>
        <v>17.80000000000291</v>
      </c>
      <c r="AI9" s="87">
        <f t="shared" si="13"/>
        <v>56368.5</v>
      </c>
      <c r="AJ9" s="86">
        <v>56398.5</v>
      </c>
      <c r="AK9" s="48">
        <f t="shared" si="8"/>
        <v>30</v>
      </c>
      <c r="AL9" s="89">
        <f t="shared" si="5"/>
        <v>8530.3540826999997</v>
      </c>
      <c r="AM9" s="83">
        <f t="shared" si="14"/>
        <v>2797.094573363247</v>
      </c>
      <c r="AN9" s="71"/>
      <c r="AO9" s="78">
        <f t="shared" si="6"/>
        <v>23639.112538999951</v>
      </c>
    </row>
    <row r="10" spans="1:44" x14ac:dyDescent="0.25">
      <c r="A10" s="79">
        <v>44778</v>
      </c>
      <c r="B10" s="86">
        <f>14604852-14599458</f>
        <v>5394</v>
      </c>
      <c r="C10" s="86">
        <f>9366266-9362274</f>
        <v>3992</v>
      </c>
      <c r="D10" s="86">
        <f>1868154-1867262</f>
        <v>892</v>
      </c>
      <c r="E10" s="86">
        <f>14171706-14164837</f>
        <v>6869</v>
      </c>
      <c r="F10" s="86">
        <f>13837570-13831400</f>
        <v>6170</v>
      </c>
      <c r="G10" s="86">
        <f>9465515-9462418</f>
        <v>3097</v>
      </c>
      <c r="H10" s="86">
        <f>10941869-10935120</f>
        <v>6749</v>
      </c>
      <c r="I10" s="86">
        <f>6125195-6122936</f>
        <v>2259</v>
      </c>
      <c r="J10" s="86">
        <f>14308075-14301152</f>
        <v>6923</v>
      </c>
      <c r="K10" s="86">
        <f t="shared" si="15"/>
        <v>33163</v>
      </c>
      <c r="L10" s="14">
        <f t="shared" si="9"/>
        <v>6632.6</v>
      </c>
      <c r="M10" s="83">
        <f>45678.287-45492.435</f>
        <v>185.85199999999895</v>
      </c>
      <c r="N10" s="83">
        <f>5222.869-5220.504</f>
        <v>2.3649999999997817</v>
      </c>
      <c r="O10" s="83">
        <f>10507.512-10507.467</f>
        <v>4.500000000007276E-2</v>
      </c>
      <c r="P10" s="82">
        <f>19122.12-19052.985</f>
        <v>69.134999999998399</v>
      </c>
      <c r="Q10" s="83">
        <f>30742.218-30711.817</f>
        <v>30.401000000001659</v>
      </c>
      <c r="R10" s="83">
        <f t="shared" si="0"/>
        <v>71.544999999998254</v>
      </c>
      <c r="S10" s="83">
        <f t="shared" si="1"/>
        <v>560.91279999998631</v>
      </c>
      <c r="T10" s="83">
        <f t="shared" si="2"/>
        <v>216.25300000000061</v>
      </c>
      <c r="U10" s="83">
        <f t="shared" si="16"/>
        <v>1695.4235200000048</v>
      </c>
      <c r="V10" s="83">
        <f>433156.3-432950.5</f>
        <v>205.79999999998836</v>
      </c>
      <c r="W10" s="83">
        <f>175902.8-175732.27</f>
        <v>170.52999999999884</v>
      </c>
      <c r="X10" s="86" t="s">
        <v>63</v>
      </c>
      <c r="Y10" s="86">
        <v>1118751</v>
      </c>
      <c r="Z10" s="5">
        <f t="shared" si="10"/>
        <v>672</v>
      </c>
      <c r="AA10" s="14">
        <f t="shared" si="7"/>
        <v>4347.84</v>
      </c>
      <c r="AB10" s="87">
        <v>15348580</v>
      </c>
      <c r="AC10" s="87">
        <f t="shared" si="11"/>
        <v>15315011</v>
      </c>
      <c r="AD10" s="5">
        <f t="shared" si="3"/>
        <v>33569</v>
      </c>
      <c r="AE10" s="83">
        <f t="shared" si="12"/>
        <v>11007.241531</v>
      </c>
      <c r="AF10" s="83">
        <f>103884.8-103829</f>
        <v>55.80000000000291</v>
      </c>
      <c r="AG10" s="83">
        <f t="shared" si="4"/>
        <v>0</v>
      </c>
      <c r="AH10" s="83">
        <f>32786.5-32769.4</f>
        <v>17.099999999998545</v>
      </c>
      <c r="AI10" s="87">
        <f t="shared" si="13"/>
        <v>56398.5</v>
      </c>
      <c r="AJ10" s="87">
        <v>56427.9</v>
      </c>
      <c r="AK10" s="48">
        <f t="shared" si="8"/>
        <v>29.400000000001455</v>
      </c>
      <c r="AL10" s="89">
        <f t="shared" si="5"/>
        <v>8359.7470010464131</v>
      </c>
      <c r="AM10" s="83">
        <f t="shared" si="14"/>
        <v>2741.1526818961179</v>
      </c>
      <c r="AN10" s="71"/>
      <c r="AO10" s="78">
        <f t="shared" si="6"/>
        <v>23683.105051000006</v>
      </c>
    </row>
    <row r="11" spans="1:44" x14ac:dyDescent="0.25">
      <c r="A11" s="79">
        <v>44779</v>
      </c>
      <c r="B11" s="86">
        <f>14610297-14604852</f>
        <v>5445</v>
      </c>
      <c r="C11" s="86">
        <f>9370400-9366266</f>
        <v>4134</v>
      </c>
      <c r="D11" s="86">
        <f>1869010-1868154</f>
        <v>856</v>
      </c>
      <c r="E11" s="86">
        <f>14178652-14171706</f>
        <v>6946</v>
      </c>
      <c r="F11" s="86">
        <f>13843860-13837570</f>
        <v>6290</v>
      </c>
      <c r="G11" s="86">
        <f>9468491-9465515</f>
        <v>2976</v>
      </c>
      <c r="H11" s="86">
        <f>10948504-10941869</f>
        <v>6635</v>
      </c>
      <c r="I11" s="86">
        <f>6127376-6125195</f>
        <v>2181</v>
      </c>
      <c r="J11" s="86">
        <f>14314999-14308075</f>
        <v>6924</v>
      </c>
      <c r="K11" s="86">
        <f t="shared" si="15"/>
        <v>33282</v>
      </c>
      <c r="L11" s="14">
        <f t="shared" si="9"/>
        <v>6656.4000000000005</v>
      </c>
      <c r="M11" s="83">
        <f>45881.772-45678.287</f>
        <v>203.48500000000058</v>
      </c>
      <c r="N11" s="83">
        <f>5225.542-5222.869</f>
        <v>2.6730000000006839</v>
      </c>
      <c r="O11" s="83">
        <f>10507.791-10507.512</f>
        <v>0.27899999999863212</v>
      </c>
      <c r="P11" s="82">
        <f>19196.988-19122.12</f>
        <v>74.868000000002212</v>
      </c>
      <c r="Q11" s="83">
        <f>30750.45-30742.218</f>
        <v>8.2319999999999709</v>
      </c>
      <c r="R11" s="83">
        <f t="shared" si="0"/>
        <v>77.820000000001528</v>
      </c>
      <c r="S11" s="83">
        <f t="shared" si="1"/>
        <v>610.10880000001202</v>
      </c>
      <c r="T11" s="83">
        <f t="shared" si="2"/>
        <v>211.71700000000055</v>
      </c>
      <c r="U11" s="83">
        <f t="shared" si="16"/>
        <v>1659.8612800000044</v>
      </c>
      <c r="V11" s="83">
        <f>433348.9-433156.3</f>
        <v>192.60000000003492</v>
      </c>
      <c r="W11" s="83">
        <f>176073.5-175902.8</f>
        <v>170.70000000001164</v>
      </c>
      <c r="X11" s="86" t="s">
        <v>63</v>
      </c>
      <c r="Y11" s="86">
        <v>1119432</v>
      </c>
      <c r="Z11" s="5">
        <f t="shared" si="10"/>
        <v>681</v>
      </c>
      <c r="AA11" s="14">
        <f t="shared" si="7"/>
        <v>4406.07</v>
      </c>
      <c r="AB11" s="87">
        <v>15380697</v>
      </c>
      <c r="AC11" s="86">
        <f t="shared" si="11"/>
        <v>15348580</v>
      </c>
      <c r="AD11" s="5">
        <f t="shared" si="3"/>
        <v>32117</v>
      </c>
      <c r="AE11" s="83">
        <f t="shared" si="12"/>
        <v>10531.132183</v>
      </c>
      <c r="AF11" s="83">
        <f>103937.7-103884.8</f>
        <v>52.899999999994179</v>
      </c>
      <c r="AG11" s="83">
        <f t="shared" si="4"/>
        <v>0</v>
      </c>
      <c r="AH11" s="83">
        <f>32803.6-32786.5</f>
        <v>17.099999999998545</v>
      </c>
      <c r="AI11" s="87">
        <f t="shared" si="13"/>
        <v>56427.9</v>
      </c>
      <c r="AJ11" s="87">
        <v>56457</v>
      </c>
      <c r="AK11" s="48">
        <f t="shared" si="8"/>
        <v>29.099999999998545</v>
      </c>
      <c r="AL11" s="89">
        <f t="shared" si="5"/>
        <v>8274.4434602185866</v>
      </c>
      <c r="AM11" s="83">
        <f t="shared" si="14"/>
        <v>2713.1817361622143</v>
      </c>
      <c r="AN11" s="71"/>
      <c r="AO11" s="78">
        <f t="shared" si="6"/>
        <v>23253.463463000004</v>
      </c>
    </row>
    <row r="12" spans="1:44" x14ac:dyDescent="0.25">
      <c r="A12" s="79">
        <v>44780</v>
      </c>
      <c r="B12" s="86">
        <f>14615680-14610297</f>
        <v>5383</v>
      </c>
      <c r="C12" s="86">
        <f>9374200-9370400</f>
        <v>3800</v>
      </c>
      <c r="D12" s="86">
        <f>1869840-1869010</f>
        <v>830</v>
      </c>
      <c r="E12" s="86">
        <f>14185745-14178652</f>
        <v>7093</v>
      </c>
      <c r="F12" s="86">
        <f>13849815-13843860</f>
        <v>5955</v>
      </c>
      <c r="G12" s="86">
        <f>9471360-9468491</f>
        <v>2869</v>
      </c>
      <c r="H12" s="86">
        <f>10955093-10948504</f>
        <v>6589</v>
      </c>
      <c r="I12" s="86">
        <f>6129600-6127376</f>
        <v>2224</v>
      </c>
      <c r="J12" s="86">
        <f>14321769-14314999</f>
        <v>6770</v>
      </c>
      <c r="K12" s="86">
        <f t="shared" si="15"/>
        <v>32519</v>
      </c>
      <c r="L12" s="14">
        <f t="shared" si="9"/>
        <v>6503.8</v>
      </c>
      <c r="M12" s="83">
        <f>46024.109-45881.772</f>
        <v>142.33699999999953</v>
      </c>
      <c r="N12" s="83">
        <f>5228.084-5225.542</f>
        <v>2.5419999999994616</v>
      </c>
      <c r="O12" s="83">
        <f>10507.955-10507.791</f>
        <v>0.16400000000066939</v>
      </c>
      <c r="P12" s="82">
        <f>19263.675-19196.988</f>
        <v>66.686999999998079</v>
      </c>
      <c r="Q12" s="83">
        <f>30778.791-30750.45</f>
        <v>28.341000000000349</v>
      </c>
      <c r="R12" s="83">
        <f t="shared" si="0"/>
        <v>69.39299999999821</v>
      </c>
      <c r="S12" s="83">
        <f t="shared" si="1"/>
        <v>544.04111999998599</v>
      </c>
      <c r="T12" s="83">
        <f t="shared" si="2"/>
        <v>170.67799999999988</v>
      </c>
      <c r="U12" s="83">
        <f t="shared" si="16"/>
        <v>1338.1155199999992</v>
      </c>
      <c r="V12" s="83">
        <f>433515-433348.9</f>
        <v>166.09999999997672</v>
      </c>
      <c r="W12" s="83">
        <f>176219.81-176073.5</f>
        <v>146.30999999999767</v>
      </c>
      <c r="X12" s="86" t="s">
        <v>63</v>
      </c>
      <c r="Y12" s="86">
        <v>1119971</v>
      </c>
      <c r="Z12" s="5">
        <f t="shared" si="10"/>
        <v>539</v>
      </c>
      <c r="AA12" s="14">
        <f t="shared" si="7"/>
        <v>3487.33</v>
      </c>
      <c r="AB12" s="87">
        <v>15410440</v>
      </c>
      <c r="AC12" s="86">
        <f t="shared" si="11"/>
        <v>15380697</v>
      </c>
      <c r="AD12" s="5">
        <f t="shared" si="3"/>
        <v>29743</v>
      </c>
      <c r="AE12" s="83">
        <f t="shared" si="12"/>
        <v>9752.6999570000007</v>
      </c>
      <c r="AF12" s="83">
        <f>103986.8-103937.7</f>
        <v>49.100000000005821</v>
      </c>
      <c r="AG12" s="83">
        <f t="shared" si="4"/>
        <v>0</v>
      </c>
      <c r="AH12" s="83">
        <f>32820.3-32803.6</f>
        <v>16.700000000004366</v>
      </c>
      <c r="AI12" s="87">
        <f t="shared" si="13"/>
        <v>56457</v>
      </c>
      <c r="AJ12" s="87">
        <v>56484.3</v>
      </c>
      <c r="AK12" s="48">
        <f t="shared" si="8"/>
        <v>27.30000000000291</v>
      </c>
      <c r="AL12" s="89">
        <f t="shared" si="5"/>
        <v>7762.6222152578275</v>
      </c>
      <c r="AM12" s="83">
        <f t="shared" si="14"/>
        <v>2545.3560617608264</v>
      </c>
      <c r="AN12" s="71"/>
      <c r="AO12" s="78">
        <f t="shared" si="6"/>
        <v>21081.945477000001</v>
      </c>
    </row>
    <row r="13" spans="1:44" x14ac:dyDescent="0.25">
      <c r="A13" s="79">
        <v>44781</v>
      </c>
      <c r="B13" s="86">
        <f>14620870-14615680</f>
        <v>5190</v>
      </c>
      <c r="C13" s="86">
        <f>9378230-9374200</f>
        <v>4030</v>
      </c>
      <c r="D13" s="86">
        <f>1870700-1869840</f>
        <v>860</v>
      </c>
      <c r="E13" s="86">
        <f>14192670-14185745</f>
        <v>6925</v>
      </c>
      <c r="F13" s="86">
        <f>13855664-13849815</f>
        <v>5849</v>
      </c>
      <c r="G13" s="86">
        <f>9474430-9471360</f>
        <v>3070</v>
      </c>
      <c r="H13" s="86">
        <f>10961633-10955093</f>
        <v>6540</v>
      </c>
      <c r="I13" s="86">
        <f>6131833-6129600</f>
        <v>2233</v>
      </c>
      <c r="J13" s="86">
        <f>14328340-14321769</f>
        <v>6571</v>
      </c>
      <c r="K13" s="86">
        <f t="shared" si="15"/>
        <v>32464</v>
      </c>
      <c r="L13" s="14">
        <f t="shared" si="9"/>
        <v>6492.8</v>
      </c>
      <c r="M13" s="83">
        <f>46186.412-46024.109</f>
        <v>162.30299999999988</v>
      </c>
      <c r="N13" s="83">
        <f>5230.714-5228.084</f>
        <v>2.6300000000001091</v>
      </c>
      <c r="O13" s="83">
        <f>10508.115-10507.955</f>
        <v>0.15999999999985448</v>
      </c>
      <c r="P13" s="82">
        <f>19325.99-19263.675</f>
        <v>62.315000000002328</v>
      </c>
      <c r="Q13" s="83">
        <f>30799.442-30778.791</f>
        <v>20.650999999998021</v>
      </c>
      <c r="R13" s="83">
        <f t="shared" si="0"/>
        <v>65.105000000002292</v>
      </c>
      <c r="S13" s="83">
        <f t="shared" si="1"/>
        <v>510.42320000001797</v>
      </c>
      <c r="T13" s="83">
        <f t="shared" si="2"/>
        <v>182.9539999999979</v>
      </c>
      <c r="U13" s="83">
        <f t="shared" si="16"/>
        <v>1434.3593599999836</v>
      </c>
      <c r="V13" s="83">
        <f>433678.5-433515</f>
        <v>163.5</v>
      </c>
      <c r="W13" s="83">
        <f>176396.51-176219.81</f>
        <v>176.70000000001164</v>
      </c>
      <c r="X13" s="86" t="s">
        <v>63</v>
      </c>
      <c r="Y13" s="86">
        <v>1120582</v>
      </c>
      <c r="Z13" s="5">
        <f t="shared" si="10"/>
        <v>611</v>
      </c>
      <c r="AA13" s="14">
        <f t="shared" si="7"/>
        <v>3953.17</v>
      </c>
      <c r="AB13" s="87">
        <v>15444190</v>
      </c>
      <c r="AC13" s="86">
        <f t="shared" si="11"/>
        <v>15410440</v>
      </c>
      <c r="AD13" s="5">
        <f t="shared" si="3"/>
        <v>33750</v>
      </c>
      <c r="AE13" s="83">
        <f t="shared" si="12"/>
        <v>11066.591249999999</v>
      </c>
      <c r="AF13" s="83">
        <f>104043-103986.8</f>
        <v>56.19999999999709</v>
      </c>
      <c r="AG13" s="83">
        <f t="shared" si="4"/>
        <v>0</v>
      </c>
      <c r="AH13" s="83">
        <f>32838.5-32820.3</f>
        <v>18.19999999999709</v>
      </c>
      <c r="AI13" s="87">
        <f t="shared" si="13"/>
        <v>56484.3</v>
      </c>
      <c r="AJ13" s="87">
        <v>56513.599999999999</v>
      </c>
      <c r="AK13" s="48">
        <f t="shared" si="8"/>
        <v>29.299999999995634</v>
      </c>
      <c r="AL13" s="89">
        <f t="shared" si="5"/>
        <v>8331.3124874357582</v>
      </c>
      <c r="AM13" s="83">
        <f t="shared" si="14"/>
        <v>2731.8290333176978</v>
      </c>
      <c r="AN13" s="71"/>
      <c r="AO13" s="78">
        <f t="shared" si="6"/>
        <v>22946.920609999983</v>
      </c>
    </row>
    <row r="14" spans="1:44" x14ac:dyDescent="0.25">
      <c r="A14" s="79">
        <v>44782</v>
      </c>
      <c r="B14" s="86">
        <f>14626182-14620870</f>
        <v>5312</v>
      </c>
      <c r="C14" s="86">
        <f>9382717-9378230</f>
        <v>4487</v>
      </c>
      <c r="D14" s="86">
        <f>1871575-1870700</f>
        <v>875</v>
      </c>
      <c r="E14" s="86">
        <f>14199617-14192670</f>
        <v>6947</v>
      </c>
      <c r="F14" s="86">
        <f>13861556-13855664</f>
        <v>5892</v>
      </c>
      <c r="G14" s="86">
        <f>9477484-9474430</f>
        <v>3054</v>
      </c>
      <c r="H14" s="86">
        <f>10968338-10961633</f>
        <v>6705</v>
      </c>
      <c r="I14" s="86">
        <f>6134048-6131833</f>
        <v>2215</v>
      </c>
      <c r="J14" s="86">
        <f>14334983-14328340</f>
        <v>6643</v>
      </c>
      <c r="K14" s="86">
        <f t="shared" si="15"/>
        <v>33272</v>
      </c>
      <c r="L14" s="14">
        <f t="shared" si="9"/>
        <v>6654.4000000000005</v>
      </c>
      <c r="M14" s="83">
        <f>46356.535-46186.412</f>
        <v>170.12300000000687</v>
      </c>
      <c r="N14" s="83">
        <f>5233.32-5230.714</f>
        <v>2.6059999999997672</v>
      </c>
      <c r="O14" s="83">
        <f>10508.323-10508.115</f>
        <v>0.20800000000053842</v>
      </c>
      <c r="P14" s="82">
        <f>19380.359-19325.99</f>
        <v>54.368999999998778</v>
      </c>
      <c r="Q14" s="83">
        <f>30818.137-30799.442</f>
        <v>18.694999999999709</v>
      </c>
      <c r="R14" s="83">
        <f>N14+O14+P14</f>
        <v>57.182999999999083</v>
      </c>
      <c r="S14" s="83">
        <f t="shared" si="1"/>
        <v>448.3147199999928</v>
      </c>
      <c r="T14" s="83">
        <f t="shared" si="2"/>
        <v>188.81800000000658</v>
      </c>
      <c r="U14" s="83">
        <f t="shared" si="16"/>
        <v>1480.3331200000516</v>
      </c>
      <c r="V14" s="83">
        <f>433861.2-433678.5</f>
        <v>182.70000000001164</v>
      </c>
      <c r="W14" s="83">
        <f>176573.71-176396.51</f>
        <v>177.19999999998254</v>
      </c>
      <c r="X14" s="86" t="s">
        <v>63</v>
      </c>
      <c r="Y14" s="87">
        <v>1121200</v>
      </c>
      <c r="Z14" s="5">
        <f>IF((Y14-Y13&lt;0), "0",Y14-Y13)</f>
        <v>618</v>
      </c>
      <c r="AA14" s="14">
        <f t="shared" si="7"/>
        <v>3998.46</v>
      </c>
      <c r="AB14" s="87">
        <v>15475498</v>
      </c>
      <c r="AC14" s="86">
        <f t="shared" si="11"/>
        <v>15444190</v>
      </c>
      <c r="AD14" s="5">
        <f t="shared" si="3"/>
        <v>31308</v>
      </c>
      <c r="AE14" s="83">
        <f t="shared" si="12"/>
        <v>10265.861891999999</v>
      </c>
      <c r="AF14" s="83">
        <f>104095.6-104043</f>
        <v>52.600000000005821</v>
      </c>
      <c r="AG14" s="83">
        <f t="shared" si="4"/>
        <v>0</v>
      </c>
      <c r="AH14" s="83">
        <f>32855.2-32838.5</f>
        <v>16.69999999999709</v>
      </c>
      <c r="AI14" s="87">
        <f t="shared" si="13"/>
        <v>56513.599999999999</v>
      </c>
      <c r="AJ14" s="87">
        <v>56540.9</v>
      </c>
      <c r="AK14" s="48">
        <f t="shared" si="8"/>
        <v>27.30000000000291</v>
      </c>
      <c r="AL14" s="89">
        <f t="shared" si="5"/>
        <v>7762.6222152578275</v>
      </c>
      <c r="AM14" s="83">
        <f t="shared" si="14"/>
        <v>2545.3560617608264</v>
      </c>
      <c r="AN14" s="71"/>
      <c r="AO14" s="78">
        <f t="shared" si="6"/>
        <v>22399.055012000048</v>
      </c>
    </row>
    <row r="15" spans="1:44" x14ac:dyDescent="0.25">
      <c r="A15" s="79">
        <v>44783</v>
      </c>
      <c r="B15" s="86">
        <f>14631547-14626182</f>
        <v>5365</v>
      </c>
      <c r="C15" s="86">
        <f>9387506-9382717</f>
        <v>4789</v>
      </c>
      <c r="D15" s="86">
        <f>1872410-1871575</f>
        <v>835</v>
      </c>
      <c r="E15" s="86">
        <f>14206557-14199617</f>
        <v>6940</v>
      </c>
      <c r="F15" s="86">
        <f>13867676-13861556</f>
        <v>6120</v>
      </c>
      <c r="G15" s="86">
        <f>9480558-9477484</f>
        <v>3074</v>
      </c>
      <c r="H15" s="86">
        <f>10975448-10968338</f>
        <v>7110</v>
      </c>
      <c r="I15" s="86">
        <f>6136264-6134048</f>
        <v>2216</v>
      </c>
      <c r="J15" s="86">
        <f>14341650-14334983</f>
        <v>6667</v>
      </c>
      <c r="K15" s="86">
        <f t="shared" si="15"/>
        <v>34233</v>
      </c>
      <c r="L15" s="14">
        <f t="shared" si="9"/>
        <v>6846.6</v>
      </c>
      <c r="M15" s="83">
        <f>46516.155-46356.535</f>
        <v>159.61999999999534</v>
      </c>
      <c r="N15" s="83">
        <f>5235.389-5233.32</f>
        <v>2.0690000000004147</v>
      </c>
      <c r="O15" s="83">
        <f>10508.427-10508.323</f>
        <v>0.10399999999935972</v>
      </c>
      <c r="P15" s="82">
        <f>19449.082-19380.359</f>
        <v>68.722999999998137</v>
      </c>
      <c r="Q15" s="83">
        <f>30843.389-30818.137</f>
        <v>25.252000000000407</v>
      </c>
      <c r="R15" s="83">
        <f t="shared" si="0"/>
        <v>70.895999999997912</v>
      </c>
      <c r="S15" s="83">
        <f t="shared" si="1"/>
        <v>555.82463999998367</v>
      </c>
      <c r="T15" s="83">
        <f t="shared" si="2"/>
        <v>184.87199999999575</v>
      </c>
      <c r="U15" s="83">
        <f t="shared" si="16"/>
        <v>1449.3964799999667</v>
      </c>
      <c r="V15" s="83">
        <f>434033.6-433861.2</f>
        <v>172.39999999996508</v>
      </c>
      <c r="W15" s="83">
        <f>176756.07-176573.71</f>
        <v>182.36000000001513</v>
      </c>
      <c r="X15" s="86" t="s">
        <v>63</v>
      </c>
      <c r="Y15" s="87">
        <v>1121813</v>
      </c>
      <c r="Z15" s="5">
        <f t="shared" si="10"/>
        <v>613</v>
      </c>
      <c r="AA15" s="14">
        <f t="shared" si="7"/>
        <v>3966.1099999999997</v>
      </c>
      <c r="AB15" s="87">
        <v>15511536</v>
      </c>
      <c r="AC15" s="86">
        <f t="shared" si="11"/>
        <v>15475498</v>
      </c>
      <c r="AD15" s="5">
        <f t="shared" si="3"/>
        <v>36038</v>
      </c>
      <c r="AE15" s="83">
        <f t="shared" si="12"/>
        <v>11816.824161999999</v>
      </c>
      <c r="AF15" s="83">
        <f>104156.2-104095.6</f>
        <v>60.599999999991269</v>
      </c>
      <c r="AG15" s="83">
        <f t="shared" si="4"/>
        <v>0</v>
      </c>
      <c r="AH15" s="83">
        <f>32872.4-32855.2</f>
        <v>17.200000000004366</v>
      </c>
      <c r="AI15" s="87">
        <f t="shared" si="13"/>
        <v>56540.9</v>
      </c>
      <c r="AJ15" s="87">
        <v>56571</v>
      </c>
      <c r="AK15" s="48">
        <f t="shared" si="8"/>
        <v>30.099999999998545</v>
      </c>
      <c r="AL15" s="89">
        <f t="shared" si="5"/>
        <v>8558.7885963085864</v>
      </c>
      <c r="AM15" s="83">
        <f t="shared" si="14"/>
        <v>2806.418221940989</v>
      </c>
      <c r="AN15" s="71"/>
      <c r="AO15" s="88">
        <f t="shared" si="6"/>
        <v>24078.930641999963</v>
      </c>
    </row>
    <row r="16" spans="1:44" x14ac:dyDescent="0.25">
      <c r="A16" s="79">
        <v>44784</v>
      </c>
      <c r="B16" s="86">
        <f>14636908-14631547</f>
        <v>5361</v>
      </c>
      <c r="C16" s="86">
        <f>9392920-9387506</f>
        <v>5414</v>
      </c>
      <c r="D16" s="86">
        <f>1873258-1872410</f>
        <v>848</v>
      </c>
      <c r="E16" s="86">
        <f>14213780-14206557</f>
        <v>7223</v>
      </c>
      <c r="F16" s="86">
        <f>13873822-13867676</f>
        <v>6146</v>
      </c>
      <c r="G16" s="86">
        <f>9483600-9480558</f>
        <v>3042</v>
      </c>
      <c r="H16" s="86">
        <f>10982603-10975448</f>
        <v>7155</v>
      </c>
      <c r="I16" s="86">
        <f>6138530-6136264</f>
        <v>2266</v>
      </c>
      <c r="J16" s="86">
        <f>14348449-14341650</f>
        <v>6799</v>
      </c>
      <c r="K16" s="86">
        <f t="shared" si="15"/>
        <v>35189</v>
      </c>
      <c r="L16" s="14">
        <f t="shared" si="9"/>
        <v>7037.8</v>
      </c>
      <c r="M16" s="83">
        <f>46688.519-46516.155</f>
        <v>172.3640000000014</v>
      </c>
      <c r="N16" s="83">
        <f>5238.383-5235.389</f>
        <v>2.9939999999996871</v>
      </c>
      <c r="O16" s="83">
        <f>10508.459-10508.427</f>
        <v>3.200000000106229E-2</v>
      </c>
      <c r="P16" s="82">
        <f>19523.484-19449.082</f>
        <v>74.402000000001863</v>
      </c>
      <c r="Q16" s="83">
        <f>30862.869-30843.389</f>
        <v>19.479999999999563</v>
      </c>
      <c r="R16" s="83">
        <f t="shared" si="0"/>
        <v>77.428000000002612</v>
      </c>
      <c r="S16" s="83">
        <f t="shared" si="1"/>
        <v>607.03552000002048</v>
      </c>
      <c r="T16" s="83">
        <f t="shared" si="2"/>
        <v>191.84400000000096</v>
      </c>
      <c r="U16" s="83">
        <f t="shared" si="16"/>
        <v>1504.0569600000074</v>
      </c>
      <c r="V16" s="83">
        <f>434203.9-434033.6</f>
        <v>170.30000000004657</v>
      </c>
      <c r="W16" s="83">
        <f>176936.3-176756.07</f>
        <v>180.22999999998137</v>
      </c>
      <c r="X16" s="86" t="s">
        <v>63</v>
      </c>
      <c r="Y16" s="87">
        <v>1122440</v>
      </c>
      <c r="Z16" s="5">
        <f t="shared" si="10"/>
        <v>627</v>
      </c>
      <c r="AA16" s="14">
        <f t="shared" si="7"/>
        <v>4056.69</v>
      </c>
      <c r="AB16" s="87">
        <v>15548608</v>
      </c>
      <c r="AC16" s="86">
        <f t="shared" si="11"/>
        <v>15511536</v>
      </c>
      <c r="AD16" s="5">
        <f t="shared" si="3"/>
        <v>37072</v>
      </c>
      <c r="AE16" s="83">
        <f t="shared" si="12"/>
        <v>12155.871728</v>
      </c>
      <c r="AF16" s="83">
        <f>104219.3-104156.2</f>
        <v>63.100000000005821</v>
      </c>
      <c r="AG16" s="83">
        <f t="shared" si="4"/>
        <v>0</v>
      </c>
      <c r="AH16" s="83">
        <f>32890.1-32872.4</f>
        <v>17.69999999999709</v>
      </c>
      <c r="AI16" s="87">
        <f t="shared" si="13"/>
        <v>56571</v>
      </c>
      <c r="AJ16" s="87">
        <v>56601.599999999999</v>
      </c>
      <c r="AK16" s="48">
        <f t="shared" si="8"/>
        <v>30.599999999998545</v>
      </c>
      <c r="AL16" s="89">
        <f t="shared" si="5"/>
        <v>8700.9611643535864</v>
      </c>
      <c r="AM16" s="83">
        <f t="shared" si="14"/>
        <v>2853.0364648303766</v>
      </c>
      <c r="AN16" s="5"/>
      <c r="AO16" s="78">
        <f t="shared" si="6"/>
        <v>24754.418688000009</v>
      </c>
    </row>
    <row r="17" spans="1:41" x14ac:dyDescent="0.25">
      <c r="A17" s="79">
        <v>44785</v>
      </c>
      <c r="B17" s="86">
        <f>14642318-14636908</f>
        <v>5410</v>
      </c>
      <c r="C17" s="86">
        <f>9397902-9392920</f>
        <v>4982</v>
      </c>
      <c r="D17" s="86">
        <f>1874110-1873258</f>
        <v>852</v>
      </c>
      <c r="E17" s="86">
        <f>14220720-14213780</f>
        <v>6940</v>
      </c>
      <c r="F17" s="86">
        <f>13879907-13873822</f>
        <v>6085</v>
      </c>
      <c r="G17" s="86">
        <f>9486605-9483600</f>
        <v>3005</v>
      </c>
      <c r="H17" s="86">
        <f>10989743-10982603</f>
        <v>7140</v>
      </c>
      <c r="I17" s="86">
        <f>6140717-6138530</f>
        <v>2187</v>
      </c>
      <c r="J17" s="86">
        <f>14355233-14348449</f>
        <v>6784</v>
      </c>
      <c r="K17" s="86">
        <f t="shared" si="15"/>
        <v>34414</v>
      </c>
      <c r="L17" s="14">
        <f t="shared" si="9"/>
        <v>6882.8</v>
      </c>
      <c r="M17" s="83">
        <f>46848.2-46688.519</f>
        <v>159.68099999999686</v>
      </c>
      <c r="N17" s="83">
        <f>5240.402-5238.383</f>
        <v>2.0190000000002328</v>
      </c>
      <c r="O17" s="83">
        <f>10508.502-10508.459</f>
        <v>4.2999999999665306E-2</v>
      </c>
      <c r="P17" s="82">
        <f>19593.482-19523.484</f>
        <v>69.997999999999593</v>
      </c>
      <c r="Q17" s="83">
        <f>30884.194-30862.869</f>
        <v>21.325000000000728</v>
      </c>
      <c r="R17" s="83">
        <f t="shared" si="0"/>
        <v>72.059999999999491</v>
      </c>
      <c r="S17" s="83">
        <f t="shared" si="1"/>
        <v>564.95039999999597</v>
      </c>
      <c r="T17" s="83">
        <f t="shared" si="2"/>
        <v>181.00599999999758</v>
      </c>
      <c r="U17" s="83">
        <f t="shared" si="16"/>
        <v>1419.087039999981</v>
      </c>
      <c r="V17" s="83">
        <f>434385.4-434203.9</f>
        <v>181.5</v>
      </c>
      <c r="W17" s="83">
        <f>177119.32-176936.3</f>
        <v>183.02000000001863</v>
      </c>
      <c r="X17" s="86" t="s">
        <v>63</v>
      </c>
      <c r="Y17" s="87">
        <v>1123078</v>
      </c>
      <c r="Z17" s="5">
        <f t="shared" si="10"/>
        <v>638</v>
      </c>
      <c r="AA17" s="14">
        <f t="shared" si="7"/>
        <v>4127.8599999999997</v>
      </c>
      <c r="AB17" s="87">
        <v>15586900</v>
      </c>
      <c r="AC17" s="86">
        <f t="shared" si="11"/>
        <v>15548608</v>
      </c>
      <c r="AD17" s="5">
        <f t="shared" si="3"/>
        <v>38292</v>
      </c>
      <c r="AE17" s="83">
        <f t="shared" si="12"/>
        <v>12555.908508</v>
      </c>
      <c r="AF17" s="83">
        <f>104286-104219.3</f>
        <v>66.69999999999709</v>
      </c>
      <c r="AG17" s="83">
        <f t="shared" si="4"/>
        <v>0</v>
      </c>
      <c r="AH17" s="83">
        <f>32907-32890.1</f>
        <v>16.900000000001455</v>
      </c>
      <c r="AI17" s="87">
        <f t="shared" si="13"/>
        <v>56601.599999999999</v>
      </c>
      <c r="AJ17" s="87">
        <v>56631.9</v>
      </c>
      <c r="AK17" s="48">
        <f t="shared" si="8"/>
        <v>30.30000000000291</v>
      </c>
      <c r="AL17" s="89">
        <f t="shared" si="5"/>
        <v>8615.6576235278262</v>
      </c>
      <c r="AM17" s="83">
        <f t="shared" si="14"/>
        <v>2825.0655190971506</v>
      </c>
      <c r="AN17" s="5"/>
      <c r="AO17" s="78">
        <f t="shared" si="6"/>
        <v>24985.655547999981</v>
      </c>
    </row>
    <row r="18" spans="1:41" x14ac:dyDescent="0.25">
      <c r="A18" s="79">
        <v>44786</v>
      </c>
      <c r="B18" s="86">
        <f>14647849-14642318</f>
        <v>5531</v>
      </c>
      <c r="C18" s="86">
        <f>9402392-9397902</f>
        <v>4490</v>
      </c>
      <c r="D18" s="86">
        <f>1874967-1874110</f>
        <v>857</v>
      </c>
      <c r="E18" s="86">
        <f>14227740-14220720</f>
        <v>7020</v>
      </c>
      <c r="F18" s="86">
        <f>13885992-13879907</f>
        <v>6085</v>
      </c>
      <c r="G18" s="86">
        <f>9489554-9486605</f>
        <v>2949</v>
      </c>
      <c r="H18" s="86">
        <f>10996903-10989743</f>
        <v>7160</v>
      </c>
      <c r="I18" s="86">
        <f>6142955-6140717</f>
        <v>2238</v>
      </c>
      <c r="J18" s="86">
        <f>14362158-14355233</f>
        <v>6925</v>
      </c>
      <c r="K18" s="86">
        <f t="shared" si="15"/>
        <v>34092</v>
      </c>
      <c r="L18" s="14">
        <f t="shared" si="9"/>
        <v>6818.4000000000005</v>
      </c>
      <c r="M18" s="83">
        <f>47027.525-46848.2</f>
        <v>179.32500000000437</v>
      </c>
      <c r="N18" s="83">
        <f>5246.456-5240.402</f>
        <v>6.0540000000000873</v>
      </c>
      <c r="O18" s="83">
        <f>10508.9-10508.502</f>
        <v>0.39799999999922875</v>
      </c>
      <c r="P18" s="82">
        <f>19666.066-19593.482</f>
        <v>72.583999999998923</v>
      </c>
      <c r="Q18" s="83">
        <f>30892.931-30884.194</f>
        <v>8.7370000000009895</v>
      </c>
      <c r="R18" s="83">
        <f t="shared" si="0"/>
        <v>79.035999999998239</v>
      </c>
      <c r="S18" s="83">
        <f t="shared" si="1"/>
        <v>619.64223999998615</v>
      </c>
      <c r="T18" s="83">
        <f t="shared" si="2"/>
        <v>188.06200000000536</v>
      </c>
      <c r="U18" s="83">
        <f t="shared" si="16"/>
        <v>1474.406080000042</v>
      </c>
      <c r="V18" s="83">
        <f>434563-434385.4</f>
        <v>177.59999999997672</v>
      </c>
      <c r="W18" s="83">
        <f>177300.5-177119.32</f>
        <v>181.17999999999302</v>
      </c>
      <c r="X18" s="86" t="s">
        <v>63</v>
      </c>
      <c r="Y18" s="87">
        <v>1123738</v>
      </c>
      <c r="Z18" s="5">
        <f t="shared" si="10"/>
        <v>660</v>
      </c>
      <c r="AA18" s="14">
        <f t="shared" si="7"/>
        <v>4270.2</v>
      </c>
      <c r="AB18" s="87">
        <v>15615783</v>
      </c>
      <c r="AC18" s="86">
        <f t="shared" si="11"/>
        <v>15586900</v>
      </c>
      <c r="AD18" s="5">
        <f t="shared" si="3"/>
        <v>28883</v>
      </c>
      <c r="AE18" s="83">
        <f t="shared" si="12"/>
        <v>9470.7068170000002</v>
      </c>
      <c r="AF18" s="82">
        <f>104342-104286</f>
        <v>56</v>
      </c>
      <c r="AG18" s="83">
        <f t="shared" si="4"/>
        <v>0</v>
      </c>
      <c r="AH18" s="82">
        <f>32925-32907</f>
        <v>18</v>
      </c>
      <c r="AI18" s="87">
        <f t="shared" si="13"/>
        <v>56631.9</v>
      </c>
      <c r="AJ18" s="87">
        <v>56660</v>
      </c>
      <c r="AK18" s="48">
        <f t="shared" si="8"/>
        <v>28.099999999998545</v>
      </c>
      <c r="AL18" s="89">
        <f t="shared" si="5"/>
        <v>7990.0983241285858</v>
      </c>
      <c r="AM18" s="83">
        <f t="shared" si="14"/>
        <v>2619.9452503834391</v>
      </c>
      <c r="AN18" s="5"/>
      <c r="AO18" s="78">
        <f t="shared" si="6"/>
        <v>22033.712897000041</v>
      </c>
    </row>
    <row r="19" spans="1:41" x14ac:dyDescent="0.25">
      <c r="A19" s="79">
        <v>44787</v>
      </c>
      <c r="B19" s="86">
        <f>14653325-14647849</f>
        <v>5476</v>
      </c>
      <c r="C19" s="86">
        <f>9406539-9402392</f>
        <v>4147</v>
      </c>
      <c r="D19" s="86">
        <f>1875890-1874967</f>
        <v>923</v>
      </c>
      <c r="E19" s="86">
        <f>14234725-14227740</f>
        <v>6985</v>
      </c>
      <c r="F19" s="86">
        <f>13891986-13885992</f>
        <v>5994</v>
      </c>
      <c r="G19" s="86">
        <f>9492358-9489554</f>
        <v>2804</v>
      </c>
      <c r="H19" s="86">
        <f>11003829-10996903</f>
        <v>6926</v>
      </c>
      <c r="I19" s="86">
        <f>6145282-6142955</f>
        <v>2327</v>
      </c>
      <c r="J19" s="86">
        <f>14369001-14362158</f>
        <v>6843</v>
      </c>
      <c r="K19" s="86">
        <f t="shared" si="15"/>
        <v>33255</v>
      </c>
      <c r="L19" s="14">
        <f t="shared" si="9"/>
        <v>6651</v>
      </c>
      <c r="M19" s="83">
        <f>47177.555-47027.525</f>
        <v>150.02999999999884</v>
      </c>
      <c r="N19" s="83">
        <f>5248.358-5246.456</f>
        <v>1.9020000000000437</v>
      </c>
      <c r="O19" s="83">
        <f>10508.954-10508.9</f>
        <v>5.4000000000087311E-2</v>
      </c>
      <c r="P19" s="82">
        <f>19737.6-19666.066</f>
        <v>71.533999999999651</v>
      </c>
      <c r="Q19" s="83">
        <f>30924.531-30892.931</f>
        <v>31.599999999998545</v>
      </c>
      <c r="R19" s="83">
        <f t="shared" si="0"/>
        <v>73.489999999999782</v>
      </c>
      <c r="S19" s="83">
        <f t="shared" si="1"/>
        <v>576.16159999999832</v>
      </c>
      <c r="T19" s="83">
        <f t="shared" si="2"/>
        <v>181.62999999999738</v>
      </c>
      <c r="U19" s="83">
        <f t="shared" si="16"/>
        <v>1423.9791999999795</v>
      </c>
      <c r="V19" s="83">
        <f>434727.3-434563</f>
        <v>164.29999999998836</v>
      </c>
      <c r="W19" s="83">
        <f>177481.68-177300.5</f>
        <v>181.17999999999302</v>
      </c>
      <c r="X19" s="86" t="s">
        <v>63</v>
      </c>
      <c r="Y19" s="87">
        <v>1124362</v>
      </c>
      <c r="Z19" s="5">
        <f t="shared" si="10"/>
        <v>624</v>
      </c>
      <c r="AA19" s="14">
        <f t="shared" si="7"/>
        <v>4037.2799999999997</v>
      </c>
      <c r="AB19" s="87">
        <v>15651390</v>
      </c>
      <c r="AC19" s="86">
        <f t="shared" si="11"/>
        <v>15615783</v>
      </c>
      <c r="AD19" s="5">
        <f t="shared" si="3"/>
        <v>35607</v>
      </c>
      <c r="AE19" s="83">
        <f t="shared" si="12"/>
        <v>11675.499693</v>
      </c>
      <c r="AF19" s="83">
        <f>104396-104342</f>
        <v>54</v>
      </c>
      <c r="AG19" s="83">
        <f t="shared" si="4"/>
        <v>0</v>
      </c>
      <c r="AH19" s="83">
        <f>32942-32925</f>
        <v>17</v>
      </c>
      <c r="AI19" s="87">
        <f t="shared" si="13"/>
        <v>56660</v>
      </c>
      <c r="AJ19" s="87">
        <v>56688</v>
      </c>
      <c r="AK19" s="48">
        <f t="shared" si="8"/>
        <v>28</v>
      </c>
      <c r="AL19" s="89">
        <f t="shared" si="5"/>
        <v>7961.66381052</v>
      </c>
      <c r="AM19" s="83">
        <f t="shared" si="14"/>
        <v>2610.6216018056975</v>
      </c>
      <c r="AN19" s="5"/>
      <c r="AO19" s="78">
        <f t="shared" si="6"/>
        <v>23787.758892999977</v>
      </c>
    </row>
    <row r="20" spans="1:41" x14ac:dyDescent="0.25">
      <c r="A20" s="79">
        <v>44788</v>
      </c>
      <c r="B20" s="86">
        <f>14658904-14653325</f>
        <v>5579</v>
      </c>
      <c r="C20" s="86">
        <f>9410860-9406539</f>
        <v>4321</v>
      </c>
      <c r="D20" s="86">
        <f>1876638-1875890</f>
        <v>748</v>
      </c>
      <c r="E20" s="86">
        <f>14241778-14234725</f>
        <v>7053</v>
      </c>
      <c r="F20" s="86">
        <f>13898032-13891986</f>
        <v>6046</v>
      </c>
      <c r="G20" s="86">
        <f>9495166-9492358</f>
        <v>2808</v>
      </c>
      <c r="H20" s="86">
        <f>11010446-11003829</f>
        <v>6617</v>
      </c>
      <c r="I20" s="86">
        <f>6147653-6145282</f>
        <v>2371</v>
      </c>
      <c r="J20" s="86">
        <f>14375665-14369001</f>
        <v>6664</v>
      </c>
      <c r="K20" s="86">
        <f t="shared" si="15"/>
        <v>33172</v>
      </c>
      <c r="L20" s="14">
        <f t="shared" si="9"/>
        <v>6634.4000000000005</v>
      </c>
      <c r="M20" s="83">
        <f>47332.786-47177.555</f>
        <v>155.23099999999977</v>
      </c>
      <c r="N20" s="83">
        <f>5250.924-5248.358</f>
        <v>2.5659999999998035</v>
      </c>
      <c r="O20" s="83">
        <f>10509.104-10508.954</f>
        <v>0.1499999999996362</v>
      </c>
      <c r="P20" s="82">
        <f>19798.369-19737.6</f>
        <v>60.769000000000233</v>
      </c>
      <c r="Q20" s="83">
        <f>30925.761-30924.531</f>
        <v>1.2299999999995634</v>
      </c>
      <c r="R20" s="83">
        <f t="shared" si="0"/>
        <v>63.484999999999673</v>
      </c>
      <c r="S20" s="83">
        <f t="shared" si="1"/>
        <v>497.72239999999744</v>
      </c>
      <c r="T20" s="83">
        <f t="shared" si="2"/>
        <v>156.46099999999933</v>
      </c>
      <c r="U20" s="83">
        <f t="shared" si="16"/>
        <v>1226.6542399999948</v>
      </c>
      <c r="V20" s="83">
        <f>434882.2-434727.3</f>
        <v>154.90000000002328</v>
      </c>
      <c r="W20" s="83">
        <f>177656.19-177481.68</f>
        <v>174.51000000000931</v>
      </c>
      <c r="X20" s="86" t="s">
        <v>63</v>
      </c>
      <c r="Y20" s="87">
        <v>1124960</v>
      </c>
      <c r="Z20" s="5">
        <f t="shared" si="10"/>
        <v>598</v>
      </c>
      <c r="AA20" s="14">
        <f t="shared" si="7"/>
        <v>3869.06</v>
      </c>
      <c r="AB20" s="87">
        <v>15681933</v>
      </c>
      <c r="AC20" s="86">
        <f t="shared" si="11"/>
        <v>15651390</v>
      </c>
      <c r="AD20" s="5">
        <f t="shared" si="3"/>
        <v>30543</v>
      </c>
      <c r="AE20" s="83">
        <f t="shared" si="12"/>
        <v>10015.019157000001</v>
      </c>
      <c r="AF20" s="83">
        <f>104451.1-104396</f>
        <v>55.100000000005821</v>
      </c>
      <c r="AG20" s="83">
        <f t="shared" si="4"/>
        <v>0</v>
      </c>
      <c r="AH20" s="83">
        <f>32969.4-32942</f>
        <v>27.400000000001455</v>
      </c>
      <c r="AI20" s="87">
        <f t="shared" si="13"/>
        <v>56688</v>
      </c>
      <c r="AJ20" s="87">
        <v>56716.1</v>
      </c>
      <c r="AK20" s="48">
        <f t="shared" si="8"/>
        <v>28.099999999998545</v>
      </c>
      <c r="AL20" s="89">
        <f t="shared" si="5"/>
        <v>7990.0983241285858</v>
      </c>
      <c r="AM20" s="83">
        <f t="shared" si="14"/>
        <v>2619.9452503834391</v>
      </c>
      <c r="AN20" s="5"/>
      <c r="AO20" s="78">
        <f t="shared" si="6"/>
        <v>21745.133396999998</v>
      </c>
    </row>
    <row r="21" spans="1:41" x14ac:dyDescent="0.25">
      <c r="A21" s="79">
        <v>44789</v>
      </c>
      <c r="B21" s="86">
        <f>14664467-14658904</f>
        <v>5563</v>
      </c>
      <c r="C21" s="86">
        <f>9415006-9410860</f>
        <v>4146</v>
      </c>
      <c r="D21" s="86">
        <f>1877524-1876638</f>
        <v>886</v>
      </c>
      <c r="E21" s="86">
        <f>14248927-14241778</f>
        <v>7149</v>
      </c>
      <c r="F21" s="86">
        <f>13904085-13898032</f>
        <v>6053</v>
      </c>
      <c r="G21" s="86">
        <f>9497978-9495166</f>
        <v>2812</v>
      </c>
      <c r="H21" s="86">
        <f>11017011-11010446</f>
        <v>6565</v>
      </c>
      <c r="I21" s="86">
        <f>6149992-6147653</f>
        <v>2339</v>
      </c>
      <c r="J21" s="86">
        <f>14382392-14375665</f>
        <v>6727</v>
      </c>
      <c r="K21" s="86">
        <f t="shared" si="15"/>
        <v>33174</v>
      </c>
      <c r="L21" s="14">
        <f t="shared" si="9"/>
        <v>6634.8</v>
      </c>
      <c r="M21" s="83">
        <f>47507.961-47332.786</f>
        <v>175.17500000000291</v>
      </c>
      <c r="N21" s="83">
        <f>5265.111-5250.924</f>
        <v>14.186999999999898</v>
      </c>
      <c r="O21" s="83">
        <f>10509.35-10509.104</f>
        <v>0.24600000000100408</v>
      </c>
      <c r="P21" s="82">
        <f>19861.311-19798.369</f>
        <v>62.942000000002736</v>
      </c>
      <c r="Q21" s="83">
        <f>30958.355-30925.761</f>
        <v>32.59400000000096</v>
      </c>
      <c r="R21" s="83">
        <f t="shared" si="0"/>
        <v>77.375000000003638</v>
      </c>
      <c r="S21" s="83">
        <f t="shared" si="1"/>
        <v>606.62000000002854</v>
      </c>
      <c r="T21" s="83">
        <f t="shared" si="2"/>
        <v>207.76900000000387</v>
      </c>
      <c r="U21" s="83">
        <f t="shared" si="16"/>
        <v>1628.9089600000302</v>
      </c>
      <c r="V21" s="83">
        <f>435055.1-434882.2</f>
        <v>172.89999999996508</v>
      </c>
      <c r="W21" s="83">
        <f>177837.12-177656.19</f>
        <v>180.92999999999302</v>
      </c>
      <c r="X21" s="86" t="s">
        <v>63</v>
      </c>
      <c r="Y21" s="87">
        <v>1125605</v>
      </c>
      <c r="Z21" s="5">
        <f t="shared" si="10"/>
        <v>645</v>
      </c>
      <c r="AA21" s="14">
        <f t="shared" si="7"/>
        <v>4173.1499999999996</v>
      </c>
      <c r="AB21" s="87">
        <v>15713680</v>
      </c>
      <c r="AC21" s="86">
        <f t="shared" si="11"/>
        <v>15681933</v>
      </c>
      <c r="AD21" s="5">
        <f t="shared" si="3"/>
        <v>31747</v>
      </c>
      <c r="AE21" s="83">
        <f t="shared" si="12"/>
        <v>10409.809552999999</v>
      </c>
      <c r="AF21" s="83">
        <f>104511.4-104451.1</f>
        <v>60.299999999988358</v>
      </c>
      <c r="AG21" s="83">
        <f t="shared" si="4"/>
        <v>0</v>
      </c>
      <c r="AH21" s="83">
        <f>32976.4-32969.4</f>
        <v>7</v>
      </c>
      <c r="AI21" s="87">
        <f t="shared" si="13"/>
        <v>56716.1</v>
      </c>
      <c r="AJ21" s="87">
        <v>56742.7</v>
      </c>
      <c r="AK21" s="48">
        <f t="shared" si="8"/>
        <v>26.599999999998545</v>
      </c>
      <c r="AL21" s="89">
        <f t="shared" si="5"/>
        <v>7563.580619993586</v>
      </c>
      <c r="AM21" s="83">
        <f t="shared" si="14"/>
        <v>2480.0905217152767</v>
      </c>
      <c r="AN21" s="5"/>
      <c r="AO21" s="78">
        <f t="shared" si="6"/>
        <v>22846.66851300003</v>
      </c>
    </row>
    <row r="22" spans="1:41" x14ac:dyDescent="0.25">
      <c r="A22" s="79">
        <v>44790</v>
      </c>
      <c r="B22" s="86">
        <f>14669992-14664467</f>
        <v>5525</v>
      </c>
      <c r="C22" s="86">
        <f>9419314-9415006</f>
        <v>4308</v>
      </c>
      <c r="D22" s="86">
        <f>1878425-1877524</f>
        <v>901</v>
      </c>
      <c r="E22" s="86">
        <f>14256007-14248927</f>
        <v>7080</v>
      </c>
      <c r="F22" s="86">
        <f>13910186-13904085</f>
        <v>6101</v>
      </c>
      <c r="G22" s="86">
        <f>9500840-9497978</f>
        <v>2862</v>
      </c>
      <c r="H22" s="86">
        <f>11023560-11017011</f>
        <v>6549</v>
      </c>
      <c r="I22" s="86">
        <f>6152298-6149992</f>
        <v>2306</v>
      </c>
      <c r="J22" s="86">
        <f>14389171-14382392</f>
        <v>6779</v>
      </c>
      <c r="K22" s="86">
        <f t="shared" si="15"/>
        <v>33326</v>
      </c>
      <c r="L22" s="14">
        <f t="shared" si="9"/>
        <v>6665.2000000000007</v>
      </c>
      <c r="M22" s="83">
        <f>47696.699-47507.961</f>
        <v>188.73799999999756</v>
      </c>
      <c r="N22" s="83">
        <f>5268.325-5265.111</f>
        <v>3.2139999999999418</v>
      </c>
      <c r="O22" s="83">
        <f>10509.405-10509.35</f>
        <v>5.5000000000291038E-2</v>
      </c>
      <c r="P22" s="82">
        <f>19928.483-19861.311</f>
        <v>67.171999999998661</v>
      </c>
      <c r="Q22" s="83">
        <f>30976.85-30958.355</f>
        <v>18.494999999998981</v>
      </c>
      <c r="R22" s="83">
        <f t="shared" si="0"/>
        <v>70.440999999998894</v>
      </c>
      <c r="S22" s="83">
        <f t="shared" si="1"/>
        <v>552.25743999999133</v>
      </c>
      <c r="T22" s="83">
        <f t="shared" si="2"/>
        <v>207.23299999999654</v>
      </c>
      <c r="U22" s="83">
        <f t="shared" si="16"/>
        <v>1624.7067199999728</v>
      </c>
      <c r="V22" s="83">
        <f>435236.6-435055.1</f>
        <v>181.5</v>
      </c>
      <c r="W22" s="83">
        <f>178017.79-177837.12</f>
        <v>180.67000000001281</v>
      </c>
      <c r="X22" s="86" t="s">
        <v>63</v>
      </c>
      <c r="Y22" s="87">
        <v>1126268</v>
      </c>
      <c r="Z22" s="5">
        <f t="shared" si="10"/>
        <v>663</v>
      </c>
      <c r="AA22" s="14">
        <f t="shared" si="7"/>
        <v>4289.6099999999997</v>
      </c>
      <c r="AB22" s="87">
        <v>15746585</v>
      </c>
      <c r="AC22" s="86">
        <f t="shared" si="11"/>
        <v>15713680</v>
      </c>
      <c r="AD22" s="5">
        <f t="shared" si="3"/>
        <v>32905</v>
      </c>
      <c r="AE22" s="83">
        <f t="shared" si="12"/>
        <v>10789.516594999999</v>
      </c>
      <c r="AF22" s="83">
        <f>104573.6-104511.4</f>
        <v>62.200000000011642</v>
      </c>
      <c r="AG22" s="83">
        <f t="shared" si="4"/>
        <v>0</v>
      </c>
      <c r="AH22" s="83">
        <f>32993.3-32976.4</f>
        <v>16.900000000001455</v>
      </c>
      <c r="AI22" s="87">
        <f t="shared" si="13"/>
        <v>56742.7</v>
      </c>
      <c r="AJ22" s="87">
        <v>56770.6</v>
      </c>
      <c r="AK22" s="48">
        <f t="shared" si="8"/>
        <v>27.900000000001455</v>
      </c>
      <c r="AL22" s="89">
        <f t="shared" si="5"/>
        <v>7933.2292969114133</v>
      </c>
      <c r="AM22" s="83">
        <f t="shared" si="14"/>
        <v>2601.2979532279555</v>
      </c>
      <c r="AN22" s="5"/>
      <c r="AO22" s="78">
        <f t="shared" si="6"/>
        <v>23369.033314999971</v>
      </c>
    </row>
    <row r="23" spans="1:41" x14ac:dyDescent="0.25">
      <c r="A23" s="79">
        <v>44791</v>
      </c>
      <c r="B23" s="86">
        <f>14675512-14669992</f>
        <v>5520</v>
      </c>
      <c r="C23" s="86">
        <f>9423944-9419314</f>
        <v>4630</v>
      </c>
      <c r="D23" s="86">
        <f>1879344-1878425</f>
        <v>919</v>
      </c>
      <c r="E23" s="86">
        <f>14263136-14256007</f>
        <v>7129</v>
      </c>
      <c r="F23" s="86">
        <f>13916226-13910186</f>
        <v>6040</v>
      </c>
      <c r="G23" s="86">
        <f>9503730-9500840</f>
        <v>2890</v>
      </c>
      <c r="H23" s="86">
        <f>11030131-11023560</f>
        <v>6571</v>
      </c>
      <c r="I23" s="86">
        <f>6154638-6152298</f>
        <v>2340</v>
      </c>
      <c r="J23" s="86">
        <f>14396115-14389171</f>
        <v>6944</v>
      </c>
      <c r="K23" s="86">
        <f t="shared" si="15"/>
        <v>33699</v>
      </c>
      <c r="L23" s="14">
        <f t="shared" si="9"/>
        <v>6739.8</v>
      </c>
      <c r="M23" s="83">
        <f>47872.396-47696.699</f>
        <v>175.69700000000012</v>
      </c>
      <c r="N23" s="83">
        <f>5271.591-5268.325</f>
        <v>3.2660000000005311</v>
      </c>
      <c r="O23" s="83">
        <f>10509.473-10509.405</f>
        <v>6.7999999999301508E-2</v>
      </c>
      <c r="P23" s="82">
        <f>19991.336-19928.483</f>
        <v>62.852999999999156</v>
      </c>
      <c r="Q23" s="83">
        <f>30990.461-30976.85</f>
        <v>13.611000000000786</v>
      </c>
      <c r="R23" s="83">
        <f t="shared" si="0"/>
        <v>66.186999999998989</v>
      </c>
      <c r="S23" s="83">
        <f t="shared" si="1"/>
        <v>518.90607999999202</v>
      </c>
      <c r="T23" s="83">
        <f t="shared" si="2"/>
        <v>189.3080000000009</v>
      </c>
      <c r="U23" s="83">
        <f t="shared" si="16"/>
        <v>1484.174720000007</v>
      </c>
      <c r="V23" s="83">
        <f>435421.7-435236.6</f>
        <v>185.10000000003492</v>
      </c>
      <c r="W23" s="83">
        <f>178132.16-178017.79</f>
        <v>114.36999999999534</v>
      </c>
      <c r="X23" s="86" t="s">
        <v>63</v>
      </c>
      <c r="Y23" s="87">
        <v>1126876</v>
      </c>
      <c r="Z23" s="5">
        <f t="shared" si="10"/>
        <v>608</v>
      </c>
      <c r="AA23" s="14">
        <f t="shared" si="7"/>
        <v>3933.7599999999998</v>
      </c>
      <c r="AB23" s="87">
        <v>15778276</v>
      </c>
      <c r="AC23" s="86">
        <f t="shared" si="11"/>
        <v>15746585</v>
      </c>
      <c r="AD23" s="5">
        <f t="shared" si="3"/>
        <v>31691</v>
      </c>
      <c r="AE23" s="83">
        <f t="shared" si="12"/>
        <v>10391.447209</v>
      </c>
      <c r="AF23" s="83">
        <f>104633.5-104573.6</f>
        <v>59.899999999994179</v>
      </c>
      <c r="AG23" s="83">
        <f t="shared" si="4"/>
        <v>0</v>
      </c>
      <c r="AH23" s="83">
        <f>33010-32993.3</f>
        <v>16.69999999999709</v>
      </c>
      <c r="AI23" s="87">
        <f t="shared" si="13"/>
        <v>56770.6</v>
      </c>
      <c r="AJ23" s="87">
        <v>56797.599999999999</v>
      </c>
      <c r="AK23" s="48">
        <f t="shared" si="8"/>
        <v>27</v>
      </c>
      <c r="AL23" s="89">
        <f t="shared" si="5"/>
        <v>7677.3186744299992</v>
      </c>
      <c r="AM23" s="83">
        <f t="shared" si="14"/>
        <v>2517.3851160269223</v>
      </c>
      <c r="AN23" s="5"/>
      <c r="AO23" s="78">
        <f t="shared" si="6"/>
        <v>22549.181929000006</v>
      </c>
    </row>
    <row r="24" spans="1:41" x14ac:dyDescent="0.25">
      <c r="A24" s="79">
        <v>44792</v>
      </c>
      <c r="B24" s="86">
        <f>14681035-14675512</f>
        <v>5523</v>
      </c>
      <c r="C24" s="86">
        <f>9427948-9423944</f>
        <v>4004</v>
      </c>
      <c r="D24" s="86">
        <f>1880223-1879344</f>
        <v>879</v>
      </c>
      <c r="E24" s="86">
        <f>14270305-14263136</f>
        <v>7169</v>
      </c>
      <c r="F24" s="86">
        <f>13922372-13916226</f>
        <v>6146</v>
      </c>
      <c r="G24" s="86">
        <f>9506678-9503730</f>
        <v>2948</v>
      </c>
      <c r="H24" s="86">
        <f>11036735-11030131</f>
        <v>6604</v>
      </c>
      <c r="I24" s="86">
        <f>6156915-6154638</f>
        <v>2277</v>
      </c>
      <c r="J24" s="86">
        <f>14402977-14396115</f>
        <v>6862</v>
      </c>
      <c r="K24" s="86">
        <f t="shared" si="15"/>
        <v>33273</v>
      </c>
      <c r="L24" s="14">
        <f t="shared" si="9"/>
        <v>6654.6</v>
      </c>
      <c r="M24" s="83">
        <f>48039.816-47872.396</f>
        <v>167.41999999999825</v>
      </c>
      <c r="N24" s="83">
        <f>5274.681-5271.591</f>
        <v>3.089999999999236</v>
      </c>
      <c r="O24" s="83">
        <f>10509.522-10509.473</f>
        <v>4.9000000000887667E-2</v>
      </c>
      <c r="P24" s="82">
        <f>20066.58-19991.336</f>
        <v>75.244000000002416</v>
      </c>
      <c r="Q24" s="83">
        <f>31022.604-30990.461</f>
        <v>32.143000000000029</v>
      </c>
      <c r="R24" s="83">
        <f t="shared" si="0"/>
        <v>78.383000000002539</v>
      </c>
      <c r="S24" s="83">
        <f t="shared" si="1"/>
        <v>614.52272000001994</v>
      </c>
      <c r="T24" s="83">
        <f t="shared" si="2"/>
        <v>199.56299999999828</v>
      </c>
      <c r="U24" s="83">
        <f t="shared" si="16"/>
        <v>1564.5739199999864</v>
      </c>
      <c r="V24" s="83">
        <f>435597-435421.7</f>
        <v>175.29999999998836</v>
      </c>
      <c r="W24" s="83">
        <f>178306.31-178132.16</f>
        <v>174.14999999999418</v>
      </c>
      <c r="X24" s="86" t="s">
        <v>63</v>
      </c>
      <c r="Y24" s="87">
        <v>1127542</v>
      </c>
      <c r="Z24" s="5">
        <f t="shared" si="10"/>
        <v>666</v>
      </c>
      <c r="AA24" s="14">
        <f t="shared" si="7"/>
        <v>4309.0199999999995</v>
      </c>
      <c r="AB24" s="87">
        <v>15803446</v>
      </c>
      <c r="AC24" s="86">
        <f t="shared" si="11"/>
        <v>15778276</v>
      </c>
      <c r="AD24" s="5">
        <f t="shared" si="3"/>
        <v>25170</v>
      </c>
      <c r="AE24" s="83">
        <f t="shared" si="12"/>
        <v>8253.2178299999996</v>
      </c>
      <c r="AF24" s="83">
        <f>104691.3-104633.5</f>
        <v>57.80000000000291</v>
      </c>
      <c r="AG24" s="83">
        <f t="shared" si="4"/>
        <v>0</v>
      </c>
      <c r="AH24" s="83">
        <f>33026.7-33010</f>
        <v>16.69999999999709</v>
      </c>
      <c r="AI24" s="87">
        <f t="shared" si="13"/>
        <v>56797.599999999999</v>
      </c>
      <c r="AJ24" s="87">
        <v>56824.9</v>
      </c>
      <c r="AK24" s="48">
        <f t="shared" si="8"/>
        <v>27.30000000000291</v>
      </c>
      <c r="AL24" s="89">
        <f t="shared" si="5"/>
        <v>7762.6222152578275</v>
      </c>
      <c r="AM24" s="83">
        <f t="shared" si="14"/>
        <v>2545.3560617608264</v>
      </c>
      <c r="AN24" s="5"/>
      <c r="AO24" s="78">
        <f t="shared" si="6"/>
        <v>20781.411749999985</v>
      </c>
    </row>
    <row r="25" spans="1:41" x14ac:dyDescent="0.25">
      <c r="A25" s="79">
        <v>44793</v>
      </c>
      <c r="B25" s="86">
        <f>14686651-14681035</f>
        <v>5616</v>
      </c>
      <c r="C25" s="86">
        <f>9431871-9427948</f>
        <v>3923</v>
      </c>
      <c r="D25" s="86">
        <f>1881081-1880223</f>
        <v>858</v>
      </c>
      <c r="E25" s="86">
        <f>14277448-14270305</f>
        <v>7143</v>
      </c>
      <c r="F25" s="86">
        <f>13928647-13922372</f>
        <v>6275</v>
      </c>
      <c r="G25" s="86">
        <f>9509719-9506678</f>
        <v>3041</v>
      </c>
      <c r="H25" s="86">
        <f>11043255-11036735</f>
        <v>6520</v>
      </c>
      <c r="I25" s="86">
        <f>6159177-6156915</f>
        <v>2262</v>
      </c>
      <c r="J25" s="86">
        <f>14409840-14402977</f>
        <v>6863</v>
      </c>
      <c r="K25" s="86">
        <f t="shared" si="15"/>
        <v>33376</v>
      </c>
      <c r="L25" s="14">
        <f t="shared" si="9"/>
        <v>6675.2000000000007</v>
      </c>
      <c r="M25" s="83">
        <f>48230.378-48039.816</f>
        <v>190.56199999999808</v>
      </c>
      <c r="N25" s="83">
        <f>5277.713-5274.681</f>
        <v>3.0320000000001528</v>
      </c>
      <c r="O25" s="83">
        <f>10509.824-10509.522</f>
        <v>0.30199999999967986</v>
      </c>
      <c r="P25" s="82">
        <f>20145.034-20066.58</f>
        <v>78.453999999997905</v>
      </c>
      <c r="Q25" s="83">
        <f>31031.367-31022.604</f>
        <v>8.7629999999990105</v>
      </c>
      <c r="R25" s="83">
        <f t="shared" si="0"/>
        <v>81.787999999997737</v>
      </c>
      <c r="S25" s="83">
        <f t="shared" si="1"/>
        <v>641.2179199999822</v>
      </c>
      <c r="T25" s="83">
        <f t="shared" si="2"/>
        <v>199.32499999999709</v>
      </c>
      <c r="U25" s="83">
        <f t="shared" si="16"/>
        <v>1562.7079999999771</v>
      </c>
      <c r="V25" s="83">
        <f>435790.1-435597</f>
        <v>193.09999999997672</v>
      </c>
      <c r="W25" s="83">
        <f>178491.44-178306.31</f>
        <v>185.13000000000466</v>
      </c>
      <c r="X25" s="86" t="s">
        <v>63</v>
      </c>
      <c r="Y25" s="87">
        <v>1128242</v>
      </c>
      <c r="Z25" s="5">
        <f t="shared" si="10"/>
        <v>700</v>
      </c>
      <c r="AA25" s="14">
        <f t="shared" si="7"/>
        <v>4529</v>
      </c>
      <c r="AB25" s="87">
        <v>15836240</v>
      </c>
      <c r="AC25" s="86">
        <f t="shared" si="11"/>
        <v>15803446</v>
      </c>
      <c r="AD25" s="5">
        <f t="shared" si="3"/>
        <v>32794</v>
      </c>
      <c r="AE25" s="83">
        <f t="shared" si="12"/>
        <v>10753.119806000001</v>
      </c>
      <c r="AF25" s="83">
        <f>104753.8-104691.3</f>
        <v>62.5</v>
      </c>
      <c r="AG25" s="83">
        <f t="shared" si="4"/>
        <v>0</v>
      </c>
      <c r="AH25" s="83">
        <f>33044.2-33026.7</f>
        <v>17.5</v>
      </c>
      <c r="AI25" s="87">
        <f t="shared" si="13"/>
        <v>56824.9</v>
      </c>
      <c r="AJ25" s="87">
        <v>56852.5</v>
      </c>
      <c r="AK25" s="48">
        <f t="shared" si="8"/>
        <v>27.599999999998545</v>
      </c>
      <c r="AL25" s="89">
        <f t="shared" si="5"/>
        <v>7847.9257560835858</v>
      </c>
      <c r="AM25" s="83">
        <f t="shared" si="14"/>
        <v>2573.3270074940515</v>
      </c>
      <c r="AN25" s="5"/>
      <c r="AO25" s="78">
        <f t="shared" si="6"/>
        <v>23520.027805999976</v>
      </c>
    </row>
    <row r="26" spans="1:41" x14ac:dyDescent="0.25">
      <c r="A26" s="79">
        <v>44794</v>
      </c>
      <c r="B26" s="86">
        <f>14692030-14686651</f>
        <v>5379</v>
      </c>
      <c r="C26" s="86">
        <f>9435545-9431871</f>
        <v>3674</v>
      </c>
      <c r="D26" s="86">
        <f>1881960-1881081</f>
        <v>879</v>
      </c>
      <c r="E26" s="86">
        <f>14284362-14277448</f>
        <v>6914</v>
      </c>
      <c r="F26" s="86">
        <f>13934566-13928647</f>
        <v>5919</v>
      </c>
      <c r="G26" s="86">
        <f>9512478-9509719</f>
        <v>2759</v>
      </c>
      <c r="H26" s="86">
        <f>11049660-11043255</f>
        <v>6405</v>
      </c>
      <c r="I26" s="86">
        <f>6161379-6159177</f>
        <v>2202</v>
      </c>
      <c r="J26" s="86">
        <f>14416549-14409840</f>
        <v>6709</v>
      </c>
      <c r="K26" s="86">
        <f t="shared" si="15"/>
        <v>31929</v>
      </c>
      <c r="L26" s="14">
        <f t="shared" si="9"/>
        <v>6385.8</v>
      </c>
      <c r="M26" s="83">
        <f>48383.937-48230.378</f>
        <v>153.55900000000111</v>
      </c>
      <c r="N26" s="83">
        <f>5280.149-5277.713</f>
        <v>2.4360000000006039</v>
      </c>
      <c r="O26" s="83">
        <f>10510.097-10509.824</f>
        <v>0.27299999999922875</v>
      </c>
      <c r="P26" s="82">
        <f>20213.409-20145.034</f>
        <v>68.375</v>
      </c>
      <c r="Q26" s="83">
        <f>31062.034-31031.367</f>
        <v>30.667000000001281</v>
      </c>
      <c r="R26" s="83">
        <f t="shared" si="0"/>
        <v>71.083999999999833</v>
      </c>
      <c r="S26" s="83">
        <f t="shared" si="1"/>
        <v>557.2985599999987</v>
      </c>
      <c r="T26" s="83">
        <f t="shared" si="2"/>
        <v>184.22600000000239</v>
      </c>
      <c r="U26" s="83">
        <f t="shared" si="16"/>
        <v>1444.3318400000187</v>
      </c>
      <c r="V26" s="83">
        <f>435957.2-435790.1</f>
        <v>167.10000000003492</v>
      </c>
      <c r="W26" s="83">
        <f>178648.22-178491.44</f>
        <v>156.77999999999884</v>
      </c>
      <c r="X26" s="86" t="s">
        <v>63</v>
      </c>
      <c r="Y26" s="87">
        <v>1128857</v>
      </c>
      <c r="Z26" s="5">
        <f t="shared" si="10"/>
        <v>615</v>
      </c>
      <c r="AA26" s="14">
        <f t="shared" si="7"/>
        <v>3979.0499999999997</v>
      </c>
      <c r="AB26" s="87">
        <v>15864852</v>
      </c>
      <c r="AC26" s="86">
        <f t="shared" si="11"/>
        <v>15836240</v>
      </c>
      <c r="AD26" s="5">
        <f t="shared" si="3"/>
        <v>28612</v>
      </c>
      <c r="AE26" s="83">
        <f t="shared" si="12"/>
        <v>9381.8461879999995</v>
      </c>
      <c r="AF26" s="83">
        <f>104807.6-104753.8</f>
        <v>53.80000000000291</v>
      </c>
      <c r="AG26" s="83">
        <f t="shared" si="4"/>
        <v>0</v>
      </c>
      <c r="AH26" s="83">
        <f>33060.4-33044.2</f>
        <v>16.200000000004366</v>
      </c>
      <c r="AI26" s="87">
        <f t="shared" si="13"/>
        <v>56852.5</v>
      </c>
      <c r="AJ26" s="87">
        <v>56878.5</v>
      </c>
      <c r="AK26" s="48">
        <f t="shared" si="8"/>
        <v>26</v>
      </c>
      <c r="AL26" s="89">
        <f t="shared" si="5"/>
        <v>7392.9735383399993</v>
      </c>
      <c r="AM26" s="83">
        <f t="shared" si="14"/>
        <v>2424.1486302481476</v>
      </c>
      <c r="AN26" s="5"/>
      <c r="AO26" s="78">
        <f t="shared" si="6"/>
        <v>21191.028028000019</v>
      </c>
    </row>
    <row r="27" spans="1:41" x14ac:dyDescent="0.25">
      <c r="A27" s="79">
        <v>44795</v>
      </c>
      <c r="B27" s="86">
        <f>14697608-14692030</f>
        <v>5578</v>
      </c>
      <c r="C27" s="86">
        <f>9439484-9435545</f>
        <v>3939</v>
      </c>
      <c r="D27" s="86">
        <f>1882810-1881960</f>
        <v>850</v>
      </c>
      <c r="E27" s="86">
        <f>14291016-14284362</f>
        <v>6654</v>
      </c>
      <c r="F27" s="86">
        <f>13940716-13934566</f>
        <v>6150</v>
      </c>
      <c r="G27" s="86">
        <f>9515280-9512478</f>
        <v>2802</v>
      </c>
      <c r="H27" s="86">
        <f>11056088-11049660</f>
        <v>6428</v>
      </c>
      <c r="I27" s="86">
        <f>6163669-6161379</f>
        <v>2290</v>
      </c>
      <c r="J27" s="86">
        <f>14423259-14416549</f>
        <v>6710</v>
      </c>
      <c r="K27" s="86">
        <f t="shared" si="15"/>
        <v>32401</v>
      </c>
      <c r="L27" s="14">
        <f t="shared" si="9"/>
        <v>6480.2000000000007</v>
      </c>
      <c r="M27" s="83">
        <f>48541.793-48383.937</f>
        <v>157.85599999999977</v>
      </c>
      <c r="N27" s="83">
        <f>5282.84-5280.149</f>
        <v>2.6909999999998035</v>
      </c>
      <c r="O27" s="83">
        <f>10510.302-10510.097</f>
        <v>0.20499999999992724</v>
      </c>
      <c r="P27" s="82">
        <f>20276.767-20213.409</f>
        <v>63.358000000000175</v>
      </c>
      <c r="Q27" s="83">
        <f>31081.665-31062.034</f>
        <v>19.631000000001222</v>
      </c>
      <c r="R27" s="83">
        <f t="shared" si="0"/>
        <v>66.253999999999905</v>
      </c>
      <c r="S27" s="83">
        <f t="shared" si="1"/>
        <v>519.43135999999924</v>
      </c>
      <c r="T27" s="83">
        <f t="shared" si="2"/>
        <v>177.48700000000099</v>
      </c>
      <c r="U27" s="83">
        <f t="shared" si="16"/>
        <v>1391.4980800000078</v>
      </c>
      <c r="V27" s="83">
        <f>436152.6-435957.2</f>
        <v>195.39999999996508</v>
      </c>
      <c r="W27" s="83">
        <f>178715.57-178648.22</f>
        <v>67.350000000005821</v>
      </c>
      <c r="X27" s="86" t="s">
        <v>63</v>
      </c>
      <c r="Y27" s="87">
        <v>1129404</v>
      </c>
      <c r="Z27" s="5">
        <f t="shared" si="10"/>
        <v>547</v>
      </c>
      <c r="AA27" s="14">
        <f t="shared" si="7"/>
        <v>3539.0899999999997</v>
      </c>
      <c r="AB27" s="87">
        <v>15893184</v>
      </c>
      <c r="AC27" s="86">
        <f t="shared" si="11"/>
        <v>15864852</v>
      </c>
      <c r="AD27" s="5">
        <f t="shared" si="3"/>
        <v>28332</v>
      </c>
      <c r="AE27" s="83">
        <f t="shared" si="12"/>
        <v>9290.0344679999998</v>
      </c>
      <c r="AF27" s="83">
        <f>104860.3-104807.6</f>
        <v>52.69999999999709</v>
      </c>
      <c r="AG27" s="83">
        <f t="shared" si="4"/>
        <v>0</v>
      </c>
      <c r="AH27" s="83">
        <f>33077-33060.4</f>
        <v>16.599999999998545</v>
      </c>
      <c r="AI27" s="87">
        <f t="shared" si="13"/>
        <v>56878.5</v>
      </c>
      <c r="AJ27" s="87">
        <v>56904.7</v>
      </c>
      <c r="AK27" s="48">
        <f t="shared" si="8"/>
        <v>26.19999999999709</v>
      </c>
      <c r="AL27" s="89">
        <f t="shared" si="5"/>
        <v>7449.8425655571718</v>
      </c>
      <c r="AM27" s="83">
        <f t="shared" si="14"/>
        <v>2442.7959274036311</v>
      </c>
      <c r="AN27" s="5"/>
      <c r="AO27" s="78">
        <f t="shared" si="6"/>
        <v>20700.822548000007</v>
      </c>
    </row>
    <row r="28" spans="1:41" x14ac:dyDescent="0.25">
      <c r="A28" s="79">
        <v>44796</v>
      </c>
      <c r="B28" s="86">
        <f>14703022-14697608</f>
        <v>5414</v>
      </c>
      <c r="C28" s="86">
        <f>9443504-9439484</f>
        <v>4020</v>
      </c>
      <c r="D28" s="86">
        <f>1883688-1882810</f>
        <v>878</v>
      </c>
      <c r="E28" s="86">
        <f>14297830-14291016</f>
        <v>6814</v>
      </c>
      <c r="F28" s="86">
        <f>13946803-13940716</f>
        <v>6087</v>
      </c>
      <c r="G28" s="86">
        <f>9518220-9515280</f>
        <v>2940</v>
      </c>
      <c r="H28" s="86">
        <f>11062447-11056088</f>
        <v>6359</v>
      </c>
      <c r="I28" s="86">
        <f>6165961-6163669</f>
        <v>2292</v>
      </c>
      <c r="J28" s="86">
        <f>14429951-14423259</f>
        <v>6692</v>
      </c>
      <c r="K28" s="86">
        <f t="shared" si="15"/>
        <v>32512</v>
      </c>
      <c r="L28" s="14">
        <f t="shared" si="9"/>
        <v>6502.4000000000005</v>
      </c>
      <c r="M28" s="83">
        <f>48676.193-48541.793</f>
        <v>134.40000000000146</v>
      </c>
      <c r="N28" s="83">
        <f>5285.597-5282.84</f>
        <v>2.7569999999996071</v>
      </c>
      <c r="O28" s="83">
        <f>10510.459-10510.302</f>
        <v>0.15700000000106229</v>
      </c>
      <c r="P28" s="82">
        <f>20347.1-20276.767</f>
        <v>70.332999999998719</v>
      </c>
      <c r="Q28" s="83">
        <f>31107.304-31081.665</f>
        <v>25.638999999999214</v>
      </c>
      <c r="R28" s="83">
        <f t="shared" si="0"/>
        <v>73.246999999999389</v>
      </c>
      <c r="S28" s="83">
        <f t="shared" si="1"/>
        <v>574.25647999999524</v>
      </c>
      <c r="T28" s="83">
        <f t="shared" si="2"/>
        <v>160.03900000000067</v>
      </c>
      <c r="U28" s="83">
        <f t="shared" si="16"/>
        <v>1254.7057600000053</v>
      </c>
      <c r="V28" s="83">
        <f>436344.3-436152.6</f>
        <v>191.70000000001164</v>
      </c>
      <c r="W28" s="83">
        <f>178887.84-178715.57</f>
        <v>172.26999999998952</v>
      </c>
      <c r="X28" s="86" t="s">
        <v>63</v>
      </c>
      <c r="Y28" s="87">
        <v>1130069</v>
      </c>
      <c r="Z28" s="5">
        <f t="shared" si="10"/>
        <v>665</v>
      </c>
      <c r="AA28" s="14">
        <f t="shared" si="7"/>
        <v>4302.55</v>
      </c>
      <c r="AB28" s="87">
        <v>15925802</v>
      </c>
      <c r="AC28" s="86">
        <f t="shared" si="11"/>
        <v>15893184</v>
      </c>
      <c r="AD28" s="5">
        <f t="shared" si="3"/>
        <v>32618</v>
      </c>
      <c r="AE28" s="83">
        <f t="shared" si="12"/>
        <v>10695.409582</v>
      </c>
      <c r="AF28" s="83">
        <f>104923.8-104860.3</f>
        <v>63.5</v>
      </c>
      <c r="AG28" s="83">
        <f t="shared" si="4"/>
        <v>0</v>
      </c>
      <c r="AH28" s="83">
        <f>33093.9-33077</f>
        <v>16.900000000001455</v>
      </c>
      <c r="AI28" s="87">
        <f t="shared" si="13"/>
        <v>56904.7</v>
      </c>
      <c r="AJ28" s="87">
        <v>56931.8</v>
      </c>
      <c r="AK28" s="48">
        <f t="shared" si="8"/>
        <v>27.100000000005821</v>
      </c>
      <c r="AL28" s="89">
        <f t="shared" si="5"/>
        <v>7705.753188040655</v>
      </c>
      <c r="AM28" s="83">
        <f t="shared" si="14"/>
        <v>2526.7087646053428</v>
      </c>
      <c r="AN28" s="5"/>
      <c r="AO28" s="78">
        <f t="shared" si="6"/>
        <v>22755.065342000005</v>
      </c>
    </row>
    <row r="29" spans="1:41" x14ac:dyDescent="0.25">
      <c r="A29" s="79">
        <v>44797</v>
      </c>
      <c r="B29" s="86">
        <f>14708482-14703022</f>
        <v>5460</v>
      </c>
      <c r="C29" s="86">
        <f>9447671-9443504</f>
        <v>4167</v>
      </c>
      <c r="D29" s="86">
        <f>1884565-1883688</f>
        <v>877</v>
      </c>
      <c r="E29" s="86">
        <f>14304838-14297830</f>
        <v>7008</v>
      </c>
      <c r="F29" s="86">
        <f>13952940-13946803</f>
        <v>6137</v>
      </c>
      <c r="G29" s="86">
        <f>9521124-9518220</f>
        <v>2904</v>
      </c>
      <c r="H29" s="86">
        <f>11068902-11062447</f>
        <v>6455</v>
      </c>
      <c r="I29" s="86">
        <f>6168237-6165961</f>
        <v>2276</v>
      </c>
      <c r="J29" s="86">
        <f>14436721-14429951</f>
        <v>6770</v>
      </c>
      <c r="K29" s="86">
        <f t="shared" si="15"/>
        <v>33008</v>
      </c>
      <c r="L29" s="14">
        <f t="shared" si="9"/>
        <v>6601.6</v>
      </c>
      <c r="M29" s="83">
        <f>48849.94-48676.193</f>
        <v>173.74700000000303</v>
      </c>
      <c r="N29" s="83">
        <f>5288.851-5285.599</f>
        <v>3.251999999999498</v>
      </c>
      <c r="O29" s="83">
        <f>10510.575-10510.459</f>
        <v>0.11599999999998545</v>
      </c>
      <c r="P29" s="82">
        <f>20414.725-20347.1</f>
        <v>67.625</v>
      </c>
      <c r="Q29" s="83">
        <f>31120.293-31107.304</f>
        <v>12.989000000001397</v>
      </c>
      <c r="R29" s="83">
        <f t="shared" si="0"/>
        <v>70.992999999999483</v>
      </c>
      <c r="S29" s="83">
        <f t="shared" si="1"/>
        <v>556.58511999999598</v>
      </c>
      <c r="T29" s="83">
        <f t="shared" si="2"/>
        <v>186.73600000000442</v>
      </c>
      <c r="U29" s="83">
        <f t="shared" si="16"/>
        <v>1464.0102400000346</v>
      </c>
      <c r="V29" s="83">
        <f>436540.7-436344.3</f>
        <v>196.40000000002328</v>
      </c>
      <c r="W29" s="83">
        <f>179023.21-178887.84</f>
        <v>135.36999999999534</v>
      </c>
      <c r="X29" s="86" t="s">
        <v>63</v>
      </c>
      <c r="Y29" s="87">
        <v>1130675</v>
      </c>
      <c r="Z29" s="5">
        <f t="shared" si="10"/>
        <v>606</v>
      </c>
      <c r="AA29" s="14">
        <f t="shared" si="7"/>
        <v>3920.8199999999997</v>
      </c>
      <c r="AB29" s="87">
        <v>15957186</v>
      </c>
      <c r="AC29" s="86">
        <f t="shared" si="11"/>
        <v>15925802</v>
      </c>
      <c r="AD29" s="5">
        <f t="shared" si="3"/>
        <v>31384</v>
      </c>
      <c r="AE29" s="83">
        <f t="shared" si="12"/>
        <v>10290.782216</v>
      </c>
      <c r="AF29" s="83">
        <f>104983.6-104923.8</f>
        <v>59.80000000000291</v>
      </c>
      <c r="AG29" s="83">
        <f t="shared" si="4"/>
        <v>0</v>
      </c>
      <c r="AH29" s="83">
        <f>33110.9-33093.9</f>
        <v>17</v>
      </c>
      <c r="AI29" s="87">
        <f t="shared" si="13"/>
        <v>56931.8</v>
      </c>
      <c r="AJ29" s="87">
        <v>56958.7</v>
      </c>
      <c r="AK29" s="48">
        <f t="shared" si="8"/>
        <v>26.899999999994179</v>
      </c>
      <c r="AL29" s="89">
        <f t="shared" si="5"/>
        <v>7648.8841608193443</v>
      </c>
      <c r="AM29" s="83">
        <f t="shared" si="14"/>
        <v>2508.0614674485023</v>
      </c>
      <c r="AN29" s="5"/>
      <c r="AO29" s="78">
        <f t="shared" si="6"/>
        <v>22277.212456000034</v>
      </c>
    </row>
    <row r="30" spans="1:41" x14ac:dyDescent="0.25">
      <c r="A30" s="79">
        <v>44798</v>
      </c>
      <c r="B30" s="86">
        <f>14714054-14708482</f>
        <v>5572</v>
      </c>
      <c r="C30" s="86">
        <f>9451736-9447671</f>
        <v>4065</v>
      </c>
      <c r="D30" s="86">
        <f>1885410-1884565</f>
        <v>845</v>
      </c>
      <c r="E30" s="86">
        <f>14311910-14304838</f>
        <v>7072</v>
      </c>
      <c r="F30" s="86">
        <f>13959115-13952940</f>
        <v>6175</v>
      </c>
      <c r="G30" s="86">
        <f>9524072-9521124</f>
        <v>2948</v>
      </c>
      <c r="H30" s="86">
        <f>11075348-11068902</f>
        <v>6446</v>
      </c>
      <c r="I30" s="86">
        <f>6170512-6168237</f>
        <v>2275</v>
      </c>
      <c r="J30" s="86">
        <f>14443463-14436721</f>
        <v>6742</v>
      </c>
      <c r="K30" s="86">
        <f t="shared" si="15"/>
        <v>33123</v>
      </c>
      <c r="L30" s="14">
        <f t="shared" si="9"/>
        <v>6624.6</v>
      </c>
      <c r="M30" s="83">
        <f>48998.58-48849.94</f>
        <v>148.63999999999942</v>
      </c>
      <c r="N30" s="83">
        <f>5291.372-5288.851</f>
        <v>2.5210000000006403</v>
      </c>
      <c r="O30" s="83">
        <f>10510.816-10510.575</f>
        <v>0.24099999999998545</v>
      </c>
      <c r="P30" s="82">
        <f>20484.167-20414.725</f>
        <v>69.442000000002736</v>
      </c>
      <c r="Q30" s="83">
        <f>31141.812-31120.293</f>
        <v>21.519000000000233</v>
      </c>
      <c r="R30" s="83">
        <f t="shared" si="0"/>
        <v>72.204000000003361</v>
      </c>
      <c r="S30" s="83">
        <f t="shared" si="1"/>
        <v>566.07936000002633</v>
      </c>
      <c r="T30" s="83">
        <f t="shared" si="2"/>
        <v>170.15899999999965</v>
      </c>
      <c r="U30" s="83">
        <f t="shared" si="16"/>
        <v>1334.0465599999973</v>
      </c>
      <c r="V30" s="83">
        <f>436737.5-436540.7</f>
        <v>196.79999999998836</v>
      </c>
      <c r="W30" s="83">
        <f>179124.76-179023.21</f>
        <v>101.55000000001746</v>
      </c>
      <c r="X30" s="86" t="s">
        <v>63</v>
      </c>
      <c r="Y30" s="87">
        <v>1131294</v>
      </c>
      <c r="Z30" s="5">
        <f t="shared" si="10"/>
        <v>619</v>
      </c>
      <c r="AA30" s="14">
        <f t="shared" si="7"/>
        <v>4004.93</v>
      </c>
      <c r="AB30" s="87">
        <v>15987550</v>
      </c>
      <c r="AC30" s="86">
        <f t="shared" si="11"/>
        <v>15957186</v>
      </c>
      <c r="AD30" s="5">
        <f t="shared" si="3"/>
        <v>30364</v>
      </c>
      <c r="AE30" s="83">
        <f t="shared" si="12"/>
        <v>9956.3252360000006</v>
      </c>
      <c r="AF30" s="83">
        <f>105040-104983.6</f>
        <v>56.399999999994179</v>
      </c>
      <c r="AG30" s="83">
        <f t="shared" si="4"/>
        <v>0</v>
      </c>
      <c r="AH30" s="83">
        <f>33128-33110.9</f>
        <v>17.099999999998545</v>
      </c>
      <c r="AI30" s="87">
        <f t="shared" si="13"/>
        <v>56958.7</v>
      </c>
      <c r="AJ30" s="87">
        <v>56985</v>
      </c>
      <c r="AK30" s="48">
        <f t="shared" si="8"/>
        <v>26.30000000000291</v>
      </c>
      <c r="AL30" s="89">
        <f t="shared" si="5"/>
        <v>7478.2770791678267</v>
      </c>
      <c r="AM30" s="83">
        <f t="shared" si="14"/>
        <v>2452.1195759820512</v>
      </c>
      <c r="AN30" s="5"/>
      <c r="AO30" s="78">
        <f t="shared" si="6"/>
        <v>21919.901795999998</v>
      </c>
    </row>
    <row r="31" spans="1:41" x14ac:dyDescent="0.25">
      <c r="A31" s="79">
        <v>44799</v>
      </c>
      <c r="B31" s="86">
        <f>14719567-14714054</f>
        <v>5513</v>
      </c>
      <c r="C31" s="86">
        <f>9455916-9451736</f>
        <v>4180</v>
      </c>
      <c r="D31" s="86">
        <f>1886292-1885410</f>
        <v>882</v>
      </c>
      <c r="E31" s="86">
        <f>14318892-14311910</f>
        <v>6982</v>
      </c>
      <c r="F31" s="86">
        <f>13965314-13959115</f>
        <v>6199</v>
      </c>
      <c r="G31" s="86">
        <f>9526878-9524072</f>
        <v>2806</v>
      </c>
      <c r="H31" s="86">
        <f>11081788-11075348</f>
        <v>6440</v>
      </c>
      <c r="I31" s="86">
        <f>6172775-6170512</f>
        <v>2263</v>
      </c>
      <c r="J31" s="86">
        <f>14450312-14443463</f>
        <v>6849</v>
      </c>
      <c r="K31" s="86">
        <f t="shared" si="15"/>
        <v>33002</v>
      </c>
      <c r="L31" s="14">
        <f t="shared" si="9"/>
        <v>6600.4000000000005</v>
      </c>
      <c r="M31" s="83">
        <f>49156.668-48998.58</f>
        <v>158.0879999999961</v>
      </c>
      <c r="N31" s="83">
        <f>5294.135-5291.372</f>
        <v>2.76299999999992</v>
      </c>
      <c r="O31" s="83">
        <f>10510.866-10510.816</f>
        <v>4.9999999999272404E-2</v>
      </c>
      <c r="P31" s="82">
        <f>20546.996-20484.167</f>
        <v>62.828999999997905</v>
      </c>
      <c r="Q31" s="83">
        <f>31169.61-31141.812</f>
        <v>27.797999999998865</v>
      </c>
      <c r="R31" s="83">
        <f t="shared" si="0"/>
        <v>65.641999999997097</v>
      </c>
      <c r="S31" s="83">
        <f t="shared" si="1"/>
        <v>514.63327999997728</v>
      </c>
      <c r="T31" s="83">
        <f t="shared" si="2"/>
        <v>185.88599999999497</v>
      </c>
      <c r="U31" s="83">
        <f t="shared" si="16"/>
        <v>1457.3462399999605</v>
      </c>
      <c r="V31" s="83">
        <f>436925-436737.5</f>
        <v>187.5</v>
      </c>
      <c r="W31" s="83">
        <f>179263.31-179124.76</f>
        <v>138.54999999998836</v>
      </c>
      <c r="X31" s="86" t="s">
        <v>63</v>
      </c>
      <c r="Y31" s="87">
        <v>1131937</v>
      </c>
      <c r="Z31" s="5">
        <f t="shared" si="10"/>
        <v>643</v>
      </c>
      <c r="AA31" s="14">
        <f t="shared" si="7"/>
        <v>4160.21</v>
      </c>
      <c r="AB31" s="87">
        <v>16013732</v>
      </c>
      <c r="AC31" s="86">
        <f t="shared" si="11"/>
        <v>15987550</v>
      </c>
      <c r="AD31" s="5">
        <f t="shared" si="3"/>
        <v>26182</v>
      </c>
      <c r="AE31" s="83">
        <f t="shared" si="12"/>
        <v>8585.0516179999995</v>
      </c>
      <c r="AF31" s="83">
        <f>105088-105040</f>
        <v>48</v>
      </c>
      <c r="AG31" s="83">
        <f t="shared" si="4"/>
        <v>0</v>
      </c>
      <c r="AH31" s="83">
        <f>33144-33128</f>
        <v>16</v>
      </c>
      <c r="AI31" s="87">
        <f t="shared" si="13"/>
        <v>56985</v>
      </c>
      <c r="AJ31" s="87">
        <v>57010</v>
      </c>
      <c r="AK31" s="48">
        <f t="shared" si="8"/>
        <v>25</v>
      </c>
      <c r="AL31" s="89">
        <f t="shared" si="5"/>
        <v>7108.6284022499995</v>
      </c>
      <c r="AM31" s="83">
        <f t="shared" si="14"/>
        <v>2330.9121444693724</v>
      </c>
      <c r="AN31" s="5"/>
      <c r="AO31" s="78">
        <f t="shared" si="6"/>
        <v>20803.007857999961</v>
      </c>
    </row>
    <row r="32" spans="1:41" x14ac:dyDescent="0.25">
      <c r="A32" s="79">
        <v>44800</v>
      </c>
      <c r="B32" s="86">
        <f>14725168-14719567</f>
        <v>5601</v>
      </c>
      <c r="C32" s="86">
        <f>9460019-9455916</f>
        <v>4103</v>
      </c>
      <c r="D32" s="86">
        <f>1887186-1886292</f>
        <v>894</v>
      </c>
      <c r="E32" s="86">
        <f>14325826-14318892</f>
        <v>6934</v>
      </c>
      <c r="F32" s="86">
        <f>13971586-13965314</f>
        <v>6272</v>
      </c>
      <c r="G32" s="86">
        <f>9529593-9526878</f>
        <v>2715</v>
      </c>
      <c r="H32" s="86">
        <f>11088067-11081788</f>
        <v>6279</v>
      </c>
      <c r="I32" s="86">
        <f>6175027-6172775</f>
        <v>2252</v>
      </c>
      <c r="J32" s="86">
        <f>14457161-14450312</f>
        <v>6849</v>
      </c>
      <c r="K32" s="86">
        <f t="shared" si="15"/>
        <v>32798</v>
      </c>
      <c r="L32" s="14">
        <f t="shared" si="9"/>
        <v>6559.6</v>
      </c>
      <c r="M32" s="83">
        <f>49323.885-49156.668</f>
        <v>167.21700000000419</v>
      </c>
      <c r="N32" s="83">
        <f>5297.44-5294.135</f>
        <v>3.3049999999993815</v>
      </c>
      <c r="O32" s="83">
        <f>10511.107-10510.866</f>
        <v>0.24099999999998545</v>
      </c>
      <c r="P32" s="82">
        <f>20626.81-20546.996</f>
        <v>79.814000000002125</v>
      </c>
      <c r="Q32" s="83">
        <f>31179.67-31169.61</f>
        <v>10.059999999997672</v>
      </c>
      <c r="R32" s="83">
        <f t="shared" si="0"/>
        <v>83.360000000001492</v>
      </c>
      <c r="S32" s="83">
        <f t="shared" si="1"/>
        <v>653.54240000001164</v>
      </c>
      <c r="T32" s="83">
        <f t="shared" si="2"/>
        <v>177.27700000000186</v>
      </c>
      <c r="U32" s="83">
        <f t="shared" si="16"/>
        <v>1389.8516800000145</v>
      </c>
      <c r="V32" s="83">
        <f>437120-436925</f>
        <v>195</v>
      </c>
      <c r="W32" s="83">
        <f>179410.42-179263.31</f>
        <v>147.11000000001513</v>
      </c>
      <c r="X32" s="86" t="s">
        <v>63</v>
      </c>
      <c r="Y32" s="87">
        <v>1132601</v>
      </c>
      <c r="Z32" s="5">
        <f t="shared" si="10"/>
        <v>664</v>
      </c>
      <c r="AA32" s="14">
        <f t="shared" si="7"/>
        <v>4296.08</v>
      </c>
      <c r="AB32" s="87">
        <v>16040136</v>
      </c>
      <c r="AC32" s="86">
        <f t="shared" si="11"/>
        <v>16013732</v>
      </c>
      <c r="AD32" s="5">
        <f t="shared" si="3"/>
        <v>26404</v>
      </c>
      <c r="AE32" s="83">
        <f t="shared" si="12"/>
        <v>8657.8451960000002</v>
      </c>
      <c r="AF32" s="83">
        <f>105135-105088</f>
        <v>47</v>
      </c>
      <c r="AG32" s="83">
        <f t="shared" si="4"/>
        <v>0</v>
      </c>
      <c r="AH32" s="83">
        <f>33160-33144</f>
        <v>16</v>
      </c>
      <c r="AI32" s="87">
        <f t="shared" si="13"/>
        <v>57010</v>
      </c>
      <c r="AJ32" s="87">
        <v>57036</v>
      </c>
      <c r="AK32" s="48">
        <f t="shared" si="8"/>
        <v>26</v>
      </c>
      <c r="AL32" s="89">
        <f t="shared" si="5"/>
        <v>7392.9735383399993</v>
      </c>
      <c r="AM32" s="83">
        <f t="shared" si="14"/>
        <v>2424.1486302481476</v>
      </c>
      <c r="AN32" s="5"/>
      <c r="AO32" s="78">
        <f t="shared" si="6"/>
        <v>20903.376876000017</v>
      </c>
    </row>
    <row r="33" spans="1:41" x14ac:dyDescent="0.25">
      <c r="A33" s="79">
        <v>44801</v>
      </c>
      <c r="B33" s="86">
        <f>14730770-14725168</f>
        <v>5602</v>
      </c>
      <c r="C33" s="86">
        <f>9463766-9460019</f>
        <v>3747</v>
      </c>
      <c r="D33" s="86">
        <f>1888062-1887186</f>
        <v>876</v>
      </c>
      <c r="E33" s="86">
        <f>14332722-14325826</f>
        <v>6896</v>
      </c>
      <c r="F33" s="86">
        <f>13977550-13971586</f>
        <v>5964</v>
      </c>
      <c r="G33" s="86">
        <f>9532235-9529593</f>
        <v>2642</v>
      </c>
      <c r="H33" s="86">
        <f>11094334-11088067</f>
        <v>6267</v>
      </c>
      <c r="I33" s="86">
        <f>6177375-6175027</f>
        <v>2348</v>
      </c>
      <c r="J33" s="86">
        <f>14463861-14457161</f>
        <v>6700</v>
      </c>
      <c r="K33" s="86">
        <f t="shared" si="15"/>
        <v>31994</v>
      </c>
      <c r="L33" s="14">
        <f t="shared" si="9"/>
        <v>6398.8</v>
      </c>
      <c r="M33" s="83">
        <f>49470.834-49323.885</f>
        <v>146.94900000000052</v>
      </c>
      <c r="N33" s="83">
        <f>5299.194-5297.44</f>
        <v>1.7540000000008149</v>
      </c>
      <c r="O33" s="83">
        <f>10511.237-10511.107</f>
        <v>0.12999999999919964</v>
      </c>
      <c r="P33" s="82">
        <f>20699.937-20626.81</f>
        <v>73.127000000000407</v>
      </c>
      <c r="Q33" s="83">
        <f>31206.391-31179.67</f>
        <v>26.721000000001368</v>
      </c>
      <c r="R33" s="83">
        <f t="shared" si="0"/>
        <v>75.011000000000422</v>
      </c>
      <c r="S33" s="83">
        <f t="shared" si="1"/>
        <v>588.08624000000327</v>
      </c>
      <c r="T33" s="83">
        <f t="shared" si="2"/>
        <v>173.67000000000189</v>
      </c>
      <c r="U33" s="83">
        <f t="shared" si="16"/>
        <v>1361.5728000000147</v>
      </c>
      <c r="V33" s="83">
        <f>437301.4-437120</f>
        <v>181.40000000002328</v>
      </c>
      <c r="W33" s="83">
        <f>179582.42-179410.42</f>
        <v>172</v>
      </c>
      <c r="X33" s="86" t="s">
        <v>63</v>
      </c>
      <c r="Y33" s="87">
        <v>1133250</v>
      </c>
      <c r="Z33" s="5">
        <f t="shared" si="10"/>
        <v>649</v>
      </c>
      <c r="AA33" s="14">
        <f t="shared" si="7"/>
        <v>4199.03</v>
      </c>
      <c r="AB33" s="87">
        <v>16066833</v>
      </c>
      <c r="AC33" s="86">
        <f t="shared" si="11"/>
        <v>16040136</v>
      </c>
      <c r="AD33" s="5">
        <f t="shared" si="3"/>
        <v>26697</v>
      </c>
      <c r="AE33" s="83">
        <f t="shared" si="12"/>
        <v>8753.9196030000003</v>
      </c>
      <c r="AF33" s="83">
        <f>105183-105135</f>
        <v>48</v>
      </c>
      <c r="AG33" s="83">
        <f t="shared" si="4"/>
        <v>0</v>
      </c>
      <c r="AH33" s="83">
        <f>33176-33160</f>
        <v>16</v>
      </c>
      <c r="AI33" s="87">
        <f t="shared" si="13"/>
        <v>57036</v>
      </c>
      <c r="AJ33" s="87">
        <v>57062</v>
      </c>
      <c r="AK33" s="48">
        <f t="shared" si="8"/>
        <v>26</v>
      </c>
      <c r="AL33" s="89">
        <f t="shared" si="5"/>
        <v>7392.9735383399993</v>
      </c>
      <c r="AM33" s="83">
        <f t="shared" si="14"/>
        <v>2424.1486302481476</v>
      </c>
      <c r="AN33" s="5"/>
      <c r="AO33" s="78">
        <f t="shared" si="6"/>
        <v>20713.322403000013</v>
      </c>
    </row>
    <row r="34" spans="1:41" x14ac:dyDescent="0.25">
      <c r="A34" s="79">
        <v>44802</v>
      </c>
      <c r="B34" s="86">
        <f>14736392-14730770</f>
        <v>5622</v>
      </c>
      <c r="C34" s="86">
        <f>9468033-9463766</f>
        <v>4267</v>
      </c>
      <c r="D34" s="86">
        <f>1888935-1888062</f>
        <v>873</v>
      </c>
      <c r="E34" s="86">
        <f>14339390-14332722</f>
        <v>6668</v>
      </c>
      <c r="F34" s="86">
        <f>13983524-13977550</f>
        <v>5974</v>
      </c>
      <c r="G34" s="86">
        <f>9534901-9532235</f>
        <v>2666</v>
      </c>
      <c r="H34" s="86">
        <f>11100689-11094334</f>
        <v>6355</v>
      </c>
      <c r="I34" s="86">
        <f>6179794-6177375</f>
        <v>2419</v>
      </c>
      <c r="J34" s="86">
        <f>14470379-14463861</f>
        <v>6518</v>
      </c>
      <c r="K34" s="86">
        <f t="shared" si="15"/>
        <v>32425</v>
      </c>
      <c r="L34" s="14">
        <f t="shared" si="9"/>
        <v>6485</v>
      </c>
      <c r="M34" s="83">
        <f>49617.171-49470.834</f>
        <v>146.33699999999953</v>
      </c>
      <c r="N34" s="83">
        <f>5301.973-5299.194</f>
        <v>2.7789999999995416</v>
      </c>
      <c r="O34" s="83">
        <f>10511.435-10511.237</f>
        <v>0.19800000000032014</v>
      </c>
      <c r="P34" s="82">
        <f>20763.97-20699.937</f>
        <v>64.032999999999447</v>
      </c>
      <c r="Q34" s="83">
        <f>31216.303-31206.391</f>
        <v>9.9120000000002619</v>
      </c>
      <c r="R34" s="83">
        <f t="shared" si="0"/>
        <v>67.009999999999309</v>
      </c>
      <c r="S34" s="83">
        <f t="shared" si="1"/>
        <v>525.35839999999462</v>
      </c>
      <c r="T34" s="83">
        <f t="shared" si="2"/>
        <v>156.2489999999998</v>
      </c>
      <c r="U34" s="83">
        <f t="shared" si="16"/>
        <v>1224.9921599999984</v>
      </c>
      <c r="V34" s="83">
        <f>437497.5-437301.4</f>
        <v>196.09999999997672</v>
      </c>
      <c r="W34" s="83">
        <f>179745.12-179582.42</f>
        <v>162.69999999998254</v>
      </c>
      <c r="X34" s="86" t="s">
        <v>63</v>
      </c>
      <c r="Y34" s="87">
        <v>1133890</v>
      </c>
      <c r="Z34" s="5">
        <f t="shared" si="10"/>
        <v>640</v>
      </c>
      <c r="AA34" s="14">
        <f t="shared" si="7"/>
        <v>4140.8</v>
      </c>
      <c r="AB34" s="87">
        <v>16095498</v>
      </c>
      <c r="AC34" s="86">
        <f t="shared" si="11"/>
        <v>16066833</v>
      </c>
      <c r="AD34" s="5">
        <f t="shared" si="3"/>
        <v>28665</v>
      </c>
      <c r="AE34" s="83">
        <f t="shared" si="12"/>
        <v>9399.2248349999991</v>
      </c>
      <c r="AF34" s="83">
        <f>105235.3-105183</f>
        <v>52.30000000000291</v>
      </c>
      <c r="AG34" s="83">
        <f t="shared" si="4"/>
        <v>0</v>
      </c>
      <c r="AH34" s="83">
        <f>33193.2-33176</f>
        <v>17.19999999999709</v>
      </c>
      <c r="AI34" s="87">
        <f t="shared" si="13"/>
        <v>57062</v>
      </c>
      <c r="AJ34" s="87">
        <v>57089.9</v>
      </c>
      <c r="AK34" s="48">
        <f t="shared" si="8"/>
        <v>27.900000000001455</v>
      </c>
      <c r="AL34" s="89">
        <f t="shared" si="5"/>
        <v>7933.2292969114133</v>
      </c>
      <c r="AM34" s="83">
        <f t="shared" si="14"/>
        <v>2601.2979532279555</v>
      </c>
      <c r="AN34" s="5"/>
      <c r="AO34" s="78">
        <f t="shared" si="6"/>
        <v>21250.016994999998</v>
      </c>
    </row>
    <row r="35" spans="1:41" x14ac:dyDescent="0.25">
      <c r="A35" s="79">
        <v>44803</v>
      </c>
      <c r="B35" s="86">
        <f>14741997-14736392</f>
        <v>5605</v>
      </c>
      <c r="C35" s="86">
        <f>9471772-9468033</f>
        <v>3739</v>
      </c>
      <c r="D35" s="86">
        <f>1889880-1888935</f>
        <v>945</v>
      </c>
      <c r="E35" s="86">
        <f>14346264-14339390</f>
        <v>6874</v>
      </c>
      <c r="F35" s="86">
        <f>13989616-13983524</f>
        <v>6092</v>
      </c>
      <c r="G35" s="86">
        <f>9537511-9534901</f>
        <v>2610</v>
      </c>
      <c r="H35" s="86">
        <f>11107021-11100689</f>
        <v>6332</v>
      </c>
      <c r="I35" s="86">
        <f>6182316-6179794</f>
        <v>2522</v>
      </c>
      <c r="J35" s="86">
        <f>14476836-14470379</f>
        <v>6457</v>
      </c>
      <c r="K35" s="86">
        <f t="shared" ref="K35:K36" si="17">SUM(B35:H35)</f>
        <v>32197</v>
      </c>
      <c r="L35" s="14">
        <f t="shared" ref="L35:L36" si="18">K35*0.2</f>
        <v>6439.4000000000005</v>
      </c>
      <c r="M35" s="83">
        <f>49787.067-49617.171</f>
        <v>169.89600000000064</v>
      </c>
      <c r="N35" s="83">
        <f>5304.496-5301.973</f>
        <v>2.5230000000001382</v>
      </c>
      <c r="O35" s="83">
        <f>10511.577-10511.435</f>
        <v>0.14199999999982538</v>
      </c>
      <c r="P35" s="82">
        <f>20810.115-20763.97</f>
        <v>46.145000000000437</v>
      </c>
      <c r="Q35" s="83">
        <f>31242.184-31216.303</f>
        <v>25.881000000001222</v>
      </c>
      <c r="R35" s="83">
        <f t="shared" ref="R35:R36" si="19">N35+O35+P35</f>
        <v>48.8100000000004</v>
      </c>
      <c r="S35" s="83">
        <f t="shared" ref="S35:S36" si="20">(N35+O35+P35)*7.84</f>
        <v>382.67040000000316</v>
      </c>
      <c r="T35" s="83">
        <f t="shared" ref="T35:T36" si="21">M35+Q35</f>
        <v>195.77700000000186</v>
      </c>
      <c r="U35" s="83">
        <f t="shared" ref="U35:U36" si="22">T35*7.84</f>
        <v>1534.8916800000145</v>
      </c>
      <c r="V35" s="122">
        <f>437696.3-437497.5</f>
        <v>198.79999999998836</v>
      </c>
      <c r="W35" s="122">
        <f>179922.64-179745.12</f>
        <v>177.52000000001863</v>
      </c>
      <c r="X35" s="86" t="s">
        <v>63</v>
      </c>
      <c r="Y35" s="87">
        <v>1134547</v>
      </c>
      <c r="Z35" s="5">
        <f t="shared" ref="Z35:Z36" si="23">IF((Y35-Y34&lt;0), "0",Y35-Y34)</f>
        <v>657</v>
      </c>
      <c r="AA35" s="14">
        <f t="shared" ref="AA35:AA36" si="24">Z35*6.47</f>
        <v>4250.79</v>
      </c>
      <c r="AB35" s="87">
        <v>16122641</v>
      </c>
      <c r="AC35" s="86">
        <f t="shared" ref="AC35:AC36" si="25">AB34</f>
        <v>16095498</v>
      </c>
      <c r="AD35" s="5">
        <f t="shared" ref="AD35:AD36" si="26">IF((AB35-AC35&lt;0), "0",AB35-AC35)</f>
        <v>27143</v>
      </c>
      <c r="AE35" s="83">
        <f t="shared" si="12"/>
        <v>8900.1625569999997</v>
      </c>
      <c r="AF35" s="83">
        <f>105284.4-105235.3</f>
        <v>49.099999999991269</v>
      </c>
      <c r="AG35" s="83">
        <f t="shared" si="4"/>
        <v>0</v>
      </c>
      <c r="AH35" s="83">
        <f>33209.4-33193.2</f>
        <v>16.200000000004366</v>
      </c>
      <c r="AI35" s="87">
        <f t="shared" si="13"/>
        <v>57089.9</v>
      </c>
      <c r="AJ35" s="87">
        <v>57116.3</v>
      </c>
      <c r="AK35" s="48">
        <f t="shared" ref="AK35:AK36" si="27">IF((AJ35-AI35)&lt;0, "0",AJ35-AI35)</f>
        <v>26.400000000001455</v>
      </c>
      <c r="AL35" s="89">
        <f t="shared" ref="AL35:AL36" si="28">AK35*(284.34513609)</f>
        <v>7506.7115927764135</v>
      </c>
      <c r="AM35" s="83">
        <f t="shared" si="14"/>
        <v>2461.4432245597932</v>
      </c>
      <c r="AN35" s="5"/>
      <c r="AO35" s="78">
        <f t="shared" si="6"/>
        <v>21125.244237000014</v>
      </c>
    </row>
    <row r="36" spans="1:41" x14ac:dyDescent="0.25">
      <c r="A36" s="79">
        <v>44804</v>
      </c>
      <c r="B36" s="86">
        <f>14747569-14741997</f>
        <v>5572</v>
      </c>
      <c r="C36" s="86">
        <f>9475794-9471772</f>
        <v>4022</v>
      </c>
      <c r="D36" s="86">
        <f>1890778-1889880</f>
        <v>898</v>
      </c>
      <c r="E36" s="86">
        <f>14352796-14346264</f>
        <v>6532</v>
      </c>
      <c r="F36" s="86">
        <f>13995734-13989616</f>
        <v>6118</v>
      </c>
      <c r="G36" s="86">
        <f>9540176-9537511</f>
        <v>2665</v>
      </c>
      <c r="H36" s="86">
        <f>11113393-11107021</f>
        <v>6372</v>
      </c>
      <c r="I36" s="86">
        <f>6184777-6182316</f>
        <v>2461</v>
      </c>
      <c r="J36" s="86">
        <f>14483462-14476836</f>
        <v>6626</v>
      </c>
      <c r="K36" s="86">
        <f t="shared" si="17"/>
        <v>32179</v>
      </c>
      <c r="L36" s="14">
        <f t="shared" si="18"/>
        <v>6435.8</v>
      </c>
      <c r="M36" s="83">
        <f>49955.265-49787.067</f>
        <v>168.19799999999668</v>
      </c>
      <c r="N36" s="83">
        <f>5306.836-5304.496</f>
        <v>2.3400000000001455</v>
      </c>
      <c r="O36" s="83">
        <f>10511.637-10511.577</f>
        <v>6.0000000001309672E-2</v>
      </c>
      <c r="P36" s="82">
        <f>20872.648-20810.115</f>
        <v>62.532999999999447</v>
      </c>
      <c r="Q36" s="83">
        <f>31258.666-31242.184</f>
        <v>16.481999999999971</v>
      </c>
      <c r="R36" s="83">
        <f t="shared" si="19"/>
        <v>64.933000000000902</v>
      </c>
      <c r="S36" s="83">
        <f t="shared" si="20"/>
        <v>509.07472000000706</v>
      </c>
      <c r="T36" s="83">
        <f t="shared" si="21"/>
        <v>184.67999999999665</v>
      </c>
      <c r="U36" s="83">
        <f t="shared" si="22"/>
        <v>1447.8911999999737</v>
      </c>
      <c r="V36" s="122">
        <f>437929.1-437696.3</f>
        <v>232.79999999998836</v>
      </c>
      <c r="W36" s="122">
        <f>180104.05-179922.64</f>
        <v>181.40999999997439</v>
      </c>
      <c r="X36" s="86" t="s">
        <v>63</v>
      </c>
      <c r="Y36" s="87">
        <v>1135267</v>
      </c>
      <c r="Z36" s="5">
        <f t="shared" si="23"/>
        <v>720</v>
      </c>
      <c r="AA36" s="14">
        <f t="shared" si="24"/>
        <v>4658.3999999999996</v>
      </c>
      <c r="AB36" s="87">
        <v>16151083</v>
      </c>
      <c r="AC36" s="86">
        <f t="shared" si="25"/>
        <v>16122641</v>
      </c>
      <c r="AD36" s="5">
        <f t="shared" si="26"/>
        <v>28442</v>
      </c>
      <c r="AE36" s="83">
        <f t="shared" si="12"/>
        <v>9326.1033580000003</v>
      </c>
      <c r="AF36" s="83">
        <f>105336.5-105284.4</f>
        <v>52.100000000005821</v>
      </c>
      <c r="AG36" s="83">
        <f t="shared" si="4"/>
        <v>0</v>
      </c>
      <c r="AH36" s="83">
        <f>33225.6-33209.4</f>
        <v>16.19999999999709</v>
      </c>
      <c r="AI36" s="87">
        <f t="shared" si="13"/>
        <v>57116.3</v>
      </c>
      <c r="AJ36" s="87">
        <v>57143</v>
      </c>
      <c r="AK36" s="48">
        <f t="shared" si="27"/>
        <v>26.69999999999709</v>
      </c>
      <c r="AL36" s="89">
        <f t="shared" si="28"/>
        <v>7592.0151336021718</v>
      </c>
      <c r="AM36" s="83">
        <f t="shared" si="14"/>
        <v>2489.4141702930183</v>
      </c>
      <c r="AN36" s="5"/>
      <c r="AO36" s="78">
        <f t="shared" si="6"/>
        <v>21868.194557999974</v>
      </c>
    </row>
    <row r="37" spans="1:41" x14ac:dyDescent="0.25">
      <c r="A37" s="76"/>
      <c r="D37" s="6">
        <f>SUM(D6:D36)</f>
        <v>26936</v>
      </c>
      <c r="E37" s="6" t="s">
        <v>93</v>
      </c>
      <c r="G37" s="6">
        <f t="shared" ref="G37:L37" si="29">SUM(G6:G36)</f>
        <v>88938</v>
      </c>
      <c r="H37" s="6">
        <f t="shared" si="29"/>
        <v>205407</v>
      </c>
      <c r="I37" s="6">
        <f t="shared" si="29"/>
        <v>70941</v>
      </c>
      <c r="J37" s="6">
        <f t="shared" si="29"/>
        <v>209629</v>
      </c>
      <c r="K37" s="6">
        <f t="shared" si="29"/>
        <v>1022642</v>
      </c>
      <c r="L37" s="15">
        <f t="shared" si="29"/>
        <v>204528.4</v>
      </c>
      <c r="R37" s="16">
        <f>SUM(R6:R36)</f>
        <v>2194.7030000000004</v>
      </c>
      <c r="T37" s="16">
        <f>SUM(T6:T36)</f>
        <v>5767.5060000000012</v>
      </c>
      <c r="U37" s="16">
        <f t="shared" si="16"/>
        <v>45217.247040000009</v>
      </c>
      <c r="Z37" s="17">
        <f>SUM(Z6:Z36)</f>
        <v>19680</v>
      </c>
      <c r="AA37" s="17">
        <f>SUM(AA6:AA36)</f>
        <v>127329.59999999998</v>
      </c>
      <c r="AD37" s="17">
        <f>SUM(AD6:AD36)</f>
        <v>959735</v>
      </c>
      <c r="AE37" s="16">
        <f>AD37*0.334569</f>
        <v>321097.57921499998</v>
      </c>
      <c r="AF37" s="16">
        <f>SUM(AF6:AF36)</f>
        <v>1708.3000000000029</v>
      </c>
      <c r="AG37" s="16">
        <f>SUM(AG6:AG36)</f>
        <v>0</v>
      </c>
      <c r="AH37" s="16">
        <f>SUM(AH6:AH36)</f>
        <v>526</v>
      </c>
      <c r="AK37" s="42">
        <f>SUM(AK6:AK36)</f>
        <v>858.19999999999709</v>
      </c>
      <c r="AL37" s="42">
        <f>SUM(AL6:AL36)</f>
        <v>244024.99579243723</v>
      </c>
      <c r="AM37" s="42">
        <f>SUM(AM6:AM36)</f>
        <v>80015.552095344363</v>
      </c>
      <c r="AN37" s="42">
        <f>SUM(AN6:AN36)</f>
        <v>0</v>
      </c>
      <c r="AO37" s="42">
        <f>SUM(AO6:AO36)</f>
        <v>691771.39380499977</v>
      </c>
    </row>
    <row r="38" spans="1:41" x14ac:dyDescent="0.25">
      <c r="D38" s="6" t="e">
        <f>#REF!*24</f>
        <v>#REF!</v>
      </c>
      <c r="E38" s="6" t="s">
        <v>1</v>
      </c>
      <c r="R38" s="16">
        <v>7.84</v>
      </c>
      <c r="T38" s="16" t="s">
        <v>99</v>
      </c>
      <c r="U38" s="16">
        <f>U37-R39</f>
        <v>28010.775520000007</v>
      </c>
    </row>
    <row r="39" spans="1:41" x14ac:dyDescent="0.25">
      <c r="D39" s="6" t="e">
        <f>D38*31</f>
        <v>#REF!</v>
      </c>
      <c r="E39" s="6" t="s">
        <v>2</v>
      </c>
      <c r="F39" s="6" t="s">
        <v>94</v>
      </c>
      <c r="G39" s="6" t="e">
        <f>D39*0.2</f>
        <v>#REF!</v>
      </c>
      <c r="R39" s="16">
        <f>R37*R38</f>
        <v>17206.471520000003</v>
      </c>
      <c r="U39" s="16">
        <f>U38/R38</f>
        <v>3572.8030000000008</v>
      </c>
    </row>
    <row r="40" spans="1:41" x14ac:dyDescent="0.25">
      <c r="D40" s="15" t="e">
        <f>D39*0.2</f>
        <v>#REF!</v>
      </c>
    </row>
    <row r="41" spans="1:41" x14ac:dyDescent="0.25">
      <c r="E41" s="68" t="s">
        <v>98</v>
      </c>
    </row>
    <row r="42" spans="1:41" x14ac:dyDescent="0.25">
      <c r="AD42" s="6">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AABCC40F5CFC45BBCE981A278A7C4E" ma:contentTypeVersion="4" ma:contentTypeDescription="Create a new document." ma:contentTypeScope="" ma:versionID="b91eb22a3c415965adaa06a4ede6a68f">
  <xsd:schema xmlns:xsd="http://www.w3.org/2001/XMLSchema" xmlns:xs="http://www.w3.org/2001/XMLSchema" xmlns:p="http://schemas.microsoft.com/office/2006/metadata/properties" xmlns:ns2="999013b5-db2e-47f1-85a9-df7f954d7a13" xmlns:ns3="a21bcabd-71d1-4587-a317-3c23b4e73213" targetNamespace="http://schemas.microsoft.com/office/2006/metadata/properties" ma:root="true" ma:fieldsID="b499ca2ea6e613fe67e5797409ceb1a7" ns2:_="" ns3:_="">
    <xsd:import namespace="999013b5-db2e-47f1-85a9-df7f954d7a13"/>
    <xsd:import namespace="a21bcabd-71d1-4587-a317-3c23b4e732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013b5-db2e-47f1-85a9-df7f954d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1bcabd-71d1-4587-a317-3c23b4e732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8C7322-DDD4-4103-9BFC-E4E0AA6EEC1D}">
  <ds:schemaRefs>
    <ds:schemaRef ds:uri="http://schemas.microsoft.com/sharepoint/v3/contenttype/forms"/>
  </ds:schemaRefs>
</ds:datastoreItem>
</file>

<file path=customXml/itemProps2.xml><?xml version="1.0" encoding="utf-8"?>
<ds:datastoreItem xmlns:ds="http://schemas.openxmlformats.org/officeDocument/2006/customXml" ds:itemID="{4EB0F865-9138-4E1D-8771-8D60B0AC9DE3}">
  <ds:schemaRefs>
    <ds:schemaRef ds:uri="http://purl.org/dc/terms/"/>
    <ds:schemaRef ds:uri="http://purl.org/dc/dcmitype/"/>
    <ds:schemaRef ds:uri="http://schemas.microsoft.com/office/2006/metadata/properties"/>
    <ds:schemaRef ds:uri="http://purl.org/dc/elements/1.1/"/>
    <ds:schemaRef ds:uri="http://schemas.microsoft.com/office/2006/documentManagement/types"/>
    <ds:schemaRef ds:uri="999013b5-db2e-47f1-85a9-df7f954d7a13"/>
    <ds:schemaRef ds:uri="http://schemas.microsoft.com/office/infopath/2007/PartnerControls"/>
    <ds:schemaRef ds:uri="http://schemas.openxmlformats.org/package/2006/metadata/core-properties"/>
    <ds:schemaRef ds:uri="a21bcabd-71d1-4587-a317-3c23b4e73213"/>
    <ds:schemaRef ds:uri="http://www.w3.org/XML/1998/namespace"/>
  </ds:schemaRefs>
</ds:datastoreItem>
</file>

<file path=customXml/itemProps3.xml><?xml version="1.0" encoding="utf-8"?>
<ds:datastoreItem xmlns:ds="http://schemas.openxmlformats.org/officeDocument/2006/customXml" ds:itemID="{396C8D42-6205-48ED-A426-119B6942F6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013b5-db2e-47f1-85a9-df7f954d7a13"/>
    <ds:schemaRef ds:uri="a21bcabd-71d1-4587-a317-3c23b4e732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2022-09-05T12:12:24Z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0x010100B8AABCC40F5CFC45BBCE981A278A7C4E</vt:lpwstr>
  </property>
  <property fmtid="{D5CDD505-2E9C-101B-9397-08002B2CF9AE}" pid="3" name="Order">
    <vt:r8>13200</vt:r8>
  </property>
</Properties>
</file>