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<sst xmlns="http://schemas.openxmlformats.org/spreadsheetml/2006/main" count="575" uniqueCount="343">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</sst>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108608"/>
        <c:axId val="1291144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9116032"/>
        <c:axId val="129117568"/>
      </c:lineChart>
      <c:catAx>
        <c:axId val="12910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14496"/>
        <c:crosses val="autoZero"/>
        <c:auto val="1"/>
        <c:lblAlgn val="ctr"/>
        <c:lblOffset val="100"/>
      </c:catAx>
      <c:valAx>
        <c:axId val="1291144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08608"/>
        <c:crosses val="autoZero"/>
        <c:crossBetween val="between"/>
        <c:majorUnit val="200"/>
      </c:valAx>
      <c:catAx>
        <c:axId val="129116032"/>
        <c:scaling>
          <c:orientation val="minMax"/>
        </c:scaling>
        <c:delete val="1"/>
        <c:axPos val="b"/>
        <c:tickLblPos val="none"/>
        <c:crossAx val="129117568"/>
        <c:crosses val="autoZero"/>
        <c:auto val="1"/>
        <c:lblAlgn val="ctr"/>
        <c:lblOffset val="100"/>
      </c:catAx>
      <c:valAx>
        <c:axId val="129117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16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9159936"/>
        <c:axId val="1291614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9163264"/>
        <c:axId val="129164800"/>
      </c:lineChart>
      <c:catAx>
        <c:axId val="12915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61472"/>
        <c:crosses val="autoZero"/>
        <c:auto val="1"/>
        <c:lblAlgn val="ctr"/>
        <c:lblOffset val="100"/>
      </c:catAx>
      <c:valAx>
        <c:axId val="12916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59936"/>
        <c:crosses val="autoZero"/>
        <c:crossBetween val="between"/>
        <c:majorUnit val="200"/>
      </c:valAx>
      <c:catAx>
        <c:axId val="129163264"/>
        <c:scaling>
          <c:orientation val="minMax"/>
        </c:scaling>
        <c:delete val="1"/>
        <c:axPos val="b"/>
        <c:tickLblPos val="none"/>
        <c:crossAx val="129164800"/>
        <c:crosses val="autoZero"/>
        <c:auto val="1"/>
        <c:lblAlgn val="ctr"/>
        <c:lblOffset val="100"/>
      </c:catAx>
      <c:valAx>
        <c:axId val="1291648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63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9360256"/>
        <c:axId val="89361792"/>
      </c:lineChart>
      <c:catAx>
        <c:axId val="8936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61792"/>
        <c:crosses val="autoZero"/>
        <c:auto val="1"/>
        <c:lblAlgn val="ctr"/>
        <c:lblOffset val="200"/>
        <c:tickLblSkip val="1"/>
      </c:catAx>
      <c:valAx>
        <c:axId val="893617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6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9386368"/>
        <c:axId val="89810048"/>
      </c:lineChart>
      <c:catAx>
        <c:axId val="8938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10048"/>
        <c:crosses val="autoZero"/>
        <c:auto val="1"/>
        <c:lblAlgn val="ctr"/>
        <c:lblOffset val="100"/>
      </c:catAx>
      <c:valAx>
        <c:axId val="898100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8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867968"/>
        <c:axId val="88869888"/>
      </c:lineChart>
      <c:catAx>
        <c:axId val="88867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69888"/>
        <c:crosses val="autoZero"/>
        <c:auto val="1"/>
        <c:lblAlgn val="ctr"/>
        <c:lblOffset val="100"/>
      </c:catAx>
      <c:valAx>
        <c:axId val="888698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679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8923520"/>
        <c:axId val="89839104"/>
      </c:lineChart>
      <c:catAx>
        <c:axId val="88923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39104"/>
        <c:crosses val="autoZero"/>
        <c:auto val="1"/>
        <c:lblAlgn val="ctr"/>
        <c:lblOffset val="100"/>
      </c:catAx>
      <c:valAx>
        <c:axId val="898391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3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-334510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0392448"/>
        <c:axId val="90393984"/>
      </c:lineChart>
      <c:catAx>
        <c:axId val="9039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93984"/>
        <c:crosses val="autoZero"/>
        <c:auto val="1"/>
        <c:lblAlgn val="ctr"/>
        <c:lblOffset val="100"/>
      </c:catAx>
      <c:valAx>
        <c:axId val="90393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9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0431872"/>
        <c:axId val="90433408"/>
      </c:lineChart>
      <c:catAx>
        <c:axId val="904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3408"/>
        <c:crosses val="autoZero"/>
        <c:auto val="1"/>
        <c:lblAlgn val="ctr"/>
        <c:lblOffset val="100"/>
      </c:catAx>
      <c:valAx>
        <c:axId val="9043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0867200"/>
        <c:axId val="90868736"/>
      </c:lineChart>
      <c:catAx>
        <c:axId val="9086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68736"/>
        <c:crosses val="autoZero"/>
        <c:auto val="1"/>
        <c:lblAlgn val="ctr"/>
        <c:lblOffset val="100"/>
      </c:catAx>
      <c:valAx>
        <c:axId val="9086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6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512"/>
          <c:y val="7.47132470511213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0897408"/>
        <c:axId val="91640576"/>
      </c:lineChart>
      <c:catAx>
        <c:axId val="9089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40576"/>
        <c:crosses val="autoZero"/>
        <c:auto val="1"/>
        <c:lblAlgn val="ctr"/>
        <c:lblOffset val="200"/>
        <c:tickLblSkip val="1"/>
      </c:catAx>
      <c:valAx>
        <c:axId val="91640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9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1673728"/>
        <c:axId val="91675264"/>
      </c:lineChart>
      <c:catAx>
        <c:axId val="916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75264"/>
        <c:crosses val="autoZero"/>
        <c:auto val="1"/>
        <c:lblAlgn val="ctr"/>
        <c:lblOffset val="100"/>
      </c:catAx>
      <c:valAx>
        <c:axId val="9167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1433600"/>
        <c:axId val="91480832"/>
      </c:lineChart>
      <c:catAx>
        <c:axId val="91433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0832"/>
        <c:crosses val="autoZero"/>
        <c:auto val="1"/>
        <c:lblAlgn val="ctr"/>
        <c:lblOffset val="100"/>
      </c:catAx>
      <c:valAx>
        <c:axId val="91480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33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1993216"/>
        <c:axId val="91995136"/>
      </c:lineChart>
      <c:catAx>
        <c:axId val="9199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5136"/>
        <c:crosses val="autoZero"/>
        <c:auto val="1"/>
        <c:lblAlgn val="ctr"/>
        <c:lblOffset val="100"/>
      </c:catAx>
      <c:valAx>
        <c:axId val="91995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3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2351872"/>
        <c:axId val="92357760"/>
      </c:lineChart>
      <c:catAx>
        <c:axId val="9235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7760"/>
        <c:crosses val="autoZero"/>
        <c:auto val="1"/>
        <c:lblAlgn val="ctr"/>
        <c:lblOffset val="100"/>
      </c:catAx>
      <c:valAx>
        <c:axId val="9235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2395392"/>
        <c:axId val="92396928"/>
      </c:lineChart>
      <c:catAx>
        <c:axId val="9239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96928"/>
        <c:crosses val="autoZero"/>
        <c:auto val="1"/>
        <c:lblAlgn val="ctr"/>
        <c:lblOffset val="100"/>
      </c:catAx>
      <c:valAx>
        <c:axId val="9239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2167168"/>
        <c:axId val="92177152"/>
      </c:lineChart>
      <c:catAx>
        <c:axId val="9216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77152"/>
        <c:crosses val="autoZero"/>
        <c:auto val="1"/>
        <c:lblAlgn val="ctr"/>
        <c:lblOffset val="100"/>
      </c:catAx>
      <c:valAx>
        <c:axId val="9217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89"/>
          <c:y val="7.471324705112182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2669824"/>
        <c:axId val="926713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2677248"/>
        <c:axId val="92678784"/>
      </c:lineChart>
      <c:catAx>
        <c:axId val="926698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1360"/>
        <c:crosses val="autoZero"/>
        <c:lblAlgn val="ctr"/>
        <c:lblOffset val="100"/>
        <c:tickMarkSkip val="1"/>
      </c:catAx>
      <c:valAx>
        <c:axId val="92671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9824"/>
        <c:crosses val="autoZero"/>
        <c:crossBetween val="between"/>
      </c:valAx>
      <c:catAx>
        <c:axId val="92677248"/>
        <c:scaling>
          <c:orientation val="minMax"/>
        </c:scaling>
        <c:delete val="1"/>
        <c:axPos val="b"/>
        <c:numFmt formatCode="[$-409]d\-mmm\-yy;@" sourceLinked="1"/>
        <c:tickLblPos val="none"/>
        <c:crossAx val="92678784"/>
        <c:crosses val="autoZero"/>
        <c:lblAlgn val="ctr"/>
        <c:lblOffset val="100"/>
      </c:catAx>
      <c:valAx>
        <c:axId val="926787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7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719744"/>
        <c:axId val="93036928"/>
      </c:lineChart>
      <c:catAx>
        <c:axId val="9271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36928"/>
        <c:crosses val="autoZero"/>
        <c:auto val="1"/>
        <c:lblAlgn val="ctr"/>
        <c:lblOffset val="100"/>
      </c:catAx>
      <c:valAx>
        <c:axId val="930369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3131136"/>
        <c:axId val="93132672"/>
      </c:lineChart>
      <c:catAx>
        <c:axId val="9313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32672"/>
        <c:crosses val="autoZero"/>
        <c:auto val="1"/>
        <c:lblAlgn val="ctr"/>
        <c:lblOffset val="100"/>
      </c:catAx>
      <c:valAx>
        <c:axId val="931326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3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3172096"/>
        <c:axId val="931736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3175168"/>
        <c:axId val="89072768"/>
      </c:lineChart>
      <c:catAx>
        <c:axId val="931720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3632"/>
        <c:crosses val="autoZero"/>
        <c:lblAlgn val="ctr"/>
        <c:lblOffset val="100"/>
        <c:tickMarkSkip val="1"/>
      </c:catAx>
      <c:valAx>
        <c:axId val="9317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2096"/>
        <c:crosses val="autoZero"/>
        <c:crossBetween val="between"/>
      </c:valAx>
      <c:catAx>
        <c:axId val="93175168"/>
        <c:scaling>
          <c:orientation val="minMax"/>
        </c:scaling>
        <c:delete val="1"/>
        <c:axPos val="b"/>
        <c:numFmt formatCode="General" sourceLinked="1"/>
        <c:tickLblPos val="none"/>
        <c:crossAx val="89072768"/>
        <c:crosses val="autoZero"/>
        <c:lblAlgn val="ctr"/>
        <c:lblOffset val="100"/>
      </c:catAx>
      <c:valAx>
        <c:axId val="89072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5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9109248"/>
        <c:axId val="89110784"/>
      </c:lineChart>
      <c:catAx>
        <c:axId val="8910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10784"/>
        <c:crosses val="autoZero"/>
        <c:auto val="1"/>
        <c:lblAlgn val="ctr"/>
        <c:lblOffset val="100"/>
      </c:catAx>
      <c:valAx>
        <c:axId val="8911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0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5426816"/>
        <c:axId val="95444992"/>
      </c:lineChart>
      <c:catAx>
        <c:axId val="9542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44992"/>
        <c:crosses val="autoZero"/>
        <c:auto val="1"/>
        <c:lblAlgn val="ctr"/>
        <c:lblOffset val="100"/>
      </c:catAx>
      <c:valAx>
        <c:axId val="9544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2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9599360"/>
        <c:axId val="1296008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9614976"/>
        <c:axId val="129616512"/>
      </c:lineChart>
      <c:catAx>
        <c:axId val="129599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00896"/>
        <c:crosses val="autoZero"/>
        <c:lblAlgn val="ctr"/>
        <c:lblOffset val="100"/>
        <c:tickMarkSkip val="1"/>
      </c:catAx>
      <c:valAx>
        <c:axId val="1296008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99360"/>
        <c:crosses val="autoZero"/>
        <c:crossBetween val="between"/>
      </c:valAx>
      <c:catAx>
        <c:axId val="129614976"/>
        <c:scaling>
          <c:orientation val="minMax"/>
        </c:scaling>
        <c:delete val="1"/>
        <c:axPos val="b"/>
        <c:numFmt formatCode="[$-409]d\-mmm\-yy;@" sourceLinked="1"/>
        <c:tickLblPos val="none"/>
        <c:crossAx val="129616512"/>
        <c:crosses val="autoZero"/>
        <c:lblAlgn val="ctr"/>
        <c:lblOffset val="100"/>
      </c:catAx>
      <c:valAx>
        <c:axId val="1296165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14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3468544"/>
        <c:axId val="1334700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3471616"/>
        <c:axId val="133489792"/>
      </c:lineChart>
      <c:catAx>
        <c:axId val="1334685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0080"/>
        <c:crosses val="autoZero"/>
        <c:lblAlgn val="ctr"/>
        <c:lblOffset val="100"/>
        <c:tickMarkSkip val="1"/>
      </c:catAx>
      <c:valAx>
        <c:axId val="13347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68544"/>
        <c:crosses val="autoZero"/>
        <c:crossBetween val="between"/>
      </c:valAx>
      <c:catAx>
        <c:axId val="133471616"/>
        <c:scaling>
          <c:orientation val="minMax"/>
        </c:scaling>
        <c:delete val="1"/>
        <c:axPos val="b"/>
        <c:numFmt formatCode="General" sourceLinked="1"/>
        <c:tickLblPos val="none"/>
        <c:crossAx val="133489792"/>
        <c:crosses val="autoZero"/>
        <c:lblAlgn val="ctr"/>
        <c:lblOffset val="100"/>
      </c:catAx>
      <c:valAx>
        <c:axId val="1334897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1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3684608"/>
        <c:axId val="13368640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3687936"/>
        <c:axId val="133697920"/>
      </c:lineChart>
      <c:catAx>
        <c:axId val="1336846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6400"/>
        <c:crosses val="autoZero"/>
        <c:lblAlgn val="ctr"/>
        <c:lblOffset val="100"/>
        <c:tickMarkSkip val="1"/>
      </c:catAx>
      <c:valAx>
        <c:axId val="133686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4608"/>
        <c:crosses val="autoZero"/>
        <c:crossBetween val="between"/>
      </c:valAx>
      <c:catAx>
        <c:axId val="133687936"/>
        <c:scaling>
          <c:orientation val="minMax"/>
        </c:scaling>
        <c:delete val="1"/>
        <c:axPos val="b"/>
        <c:numFmt formatCode="[$-409]d\-mmm\-yy;@" sourceLinked="1"/>
        <c:tickLblPos val="none"/>
        <c:crossAx val="133697920"/>
        <c:crosses val="autoZero"/>
        <c:lblAlgn val="ctr"/>
        <c:lblOffset val="100"/>
      </c:catAx>
      <c:valAx>
        <c:axId val="1336979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7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3744512"/>
        <c:axId val="133746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3747840"/>
        <c:axId val="133749376"/>
      </c:lineChart>
      <c:catAx>
        <c:axId val="1337445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46048"/>
        <c:crosses val="autoZero"/>
        <c:lblAlgn val="ctr"/>
        <c:lblOffset val="100"/>
        <c:tickMarkSkip val="1"/>
      </c:catAx>
      <c:valAx>
        <c:axId val="13374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44512"/>
        <c:crosses val="autoZero"/>
        <c:crossBetween val="between"/>
      </c:valAx>
      <c:catAx>
        <c:axId val="133747840"/>
        <c:scaling>
          <c:orientation val="minMax"/>
        </c:scaling>
        <c:delete val="1"/>
        <c:axPos val="b"/>
        <c:numFmt formatCode="General" sourceLinked="1"/>
        <c:tickLblPos val="none"/>
        <c:crossAx val="133749376"/>
        <c:crosses val="autoZero"/>
        <c:lblAlgn val="ctr"/>
        <c:lblOffset val="100"/>
      </c:catAx>
      <c:valAx>
        <c:axId val="133749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47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628864"/>
        <c:axId val="158647424"/>
      </c:lineChart>
      <c:catAx>
        <c:axId val="15862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7424"/>
        <c:crosses val="autoZero"/>
        <c:auto val="1"/>
        <c:lblAlgn val="ctr"/>
        <c:lblOffset val="100"/>
      </c:catAx>
      <c:valAx>
        <c:axId val="158647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28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660096"/>
        <c:axId val="158662016"/>
      </c:lineChart>
      <c:catAx>
        <c:axId val="158660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62016"/>
        <c:crosses val="autoZero"/>
        <c:auto val="1"/>
        <c:lblAlgn val="ctr"/>
        <c:lblOffset val="100"/>
      </c:catAx>
      <c:valAx>
        <c:axId val="158662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60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252480"/>
        <c:axId val="159254016"/>
      </c:lineChart>
      <c:catAx>
        <c:axId val="15925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4016"/>
        <c:crosses val="autoZero"/>
        <c:auto val="1"/>
        <c:lblAlgn val="ctr"/>
        <c:lblOffset val="200"/>
        <c:tickLblSkip val="1"/>
      </c:catAx>
      <c:valAx>
        <c:axId val="1592540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282688"/>
        <c:axId val="159284224"/>
      </c:lineChart>
      <c:catAx>
        <c:axId val="15928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4224"/>
        <c:crosses val="autoZero"/>
        <c:auto val="1"/>
        <c:lblAlgn val="ctr"/>
        <c:lblOffset val="100"/>
      </c:catAx>
      <c:valAx>
        <c:axId val="1592842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9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-334510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308800"/>
        <c:axId val="159916800"/>
      </c:lineChart>
      <c:catAx>
        <c:axId val="15930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16800"/>
        <c:crosses val="autoZero"/>
        <c:auto val="1"/>
        <c:lblAlgn val="ctr"/>
        <c:lblOffset val="100"/>
      </c:catAx>
      <c:valAx>
        <c:axId val="159916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0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9453952"/>
        <c:axId val="159455872"/>
      </c:lineChart>
      <c:catAx>
        <c:axId val="159453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5872"/>
        <c:crosses val="autoZero"/>
        <c:auto val="1"/>
        <c:lblAlgn val="ctr"/>
        <c:lblOffset val="100"/>
      </c:catAx>
      <c:valAx>
        <c:axId val="159455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3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9480832"/>
        <c:axId val="160502912"/>
      </c:lineChart>
      <c:catAx>
        <c:axId val="159480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2912"/>
        <c:crosses val="autoZero"/>
        <c:auto val="1"/>
        <c:lblAlgn val="ctr"/>
        <c:lblOffset val="100"/>
      </c:catAx>
      <c:valAx>
        <c:axId val="160502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0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519680"/>
        <c:axId val="160521216"/>
      </c:lineChart>
      <c:catAx>
        <c:axId val="16051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1216"/>
        <c:crosses val="autoZero"/>
        <c:auto val="1"/>
        <c:lblAlgn val="ctr"/>
        <c:lblOffset val="200"/>
        <c:tickLblSkip val="1"/>
      </c:catAx>
      <c:valAx>
        <c:axId val="160521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1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549888"/>
        <c:axId val="160555776"/>
      </c:lineChart>
      <c:catAx>
        <c:axId val="1605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55776"/>
        <c:crosses val="autoZero"/>
        <c:auto val="1"/>
        <c:lblAlgn val="ctr"/>
        <c:lblOffset val="100"/>
      </c:catAx>
      <c:valAx>
        <c:axId val="160555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9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-334510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994048"/>
        <c:axId val="160995584"/>
      </c:lineChart>
      <c:catAx>
        <c:axId val="1609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5584"/>
        <c:crosses val="autoZero"/>
        <c:auto val="1"/>
        <c:lblAlgn val="ctr"/>
        <c:lblOffset val="100"/>
      </c:catAx>
      <c:valAx>
        <c:axId val="160995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085120"/>
        <c:axId val="162111872"/>
      </c:lineChart>
      <c:catAx>
        <c:axId val="16208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11872"/>
        <c:crosses val="autoZero"/>
        <c:auto val="1"/>
        <c:lblAlgn val="ctr"/>
        <c:lblOffset val="100"/>
      </c:catAx>
      <c:valAx>
        <c:axId val="162111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85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616640"/>
        <c:axId val="161618560"/>
      </c:lineChart>
      <c:catAx>
        <c:axId val="161616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18560"/>
        <c:crosses val="autoZero"/>
        <c:auto val="1"/>
        <c:lblAlgn val="ctr"/>
        <c:lblOffset val="100"/>
      </c:catAx>
      <c:valAx>
        <c:axId val="161618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1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651712"/>
        <c:axId val="161661696"/>
      </c:lineChart>
      <c:catAx>
        <c:axId val="16165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1696"/>
        <c:crosses val="autoZero"/>
        <c:auto val="1"/>
        <c:lblAlgn val="ctr"/>
        <c:lblOffset val="200"/>
        <c:tickLblSkip val="1"/>
      </c:catAx>
      <c:valAx>
        <c:axId val="161661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665216"/>
        <c:axId val="162666752"/>
      </c:lineChart>
      <c:catAx>
        <c:axId val="16266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66752"/>
        <c:crosses val="autoZero"/>
        <c:auto val="1"/>
        <c:lblAlgn val="ctr"/>
        <c:lblOffset val="100"/>
      </c:catAx>
      <c:valAx>
        <c:axId val="16266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6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15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695424"/>
        <c:axId val="162463744"/>
      </c:lineChart>
      <c:catAx>
        <c:axId val="16269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3744"/>
        <c:crosses val="autoZero"/>
        <c:auto val="1"/>
        <c:lblAlgn val="ctr"/>
        <c:lblOffset val="100"/>
      </c:catAx>
      <c:valAx>
        <c:axId val="16246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9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504704"/>
        <c:axId val="162506624"/>
      </c:lineChart>
      <c:catAx>
        <c:axId val="162504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6624"/>
        <c:crosses val="autoZero"/>
        <c:auto val="1"/>
        <c:lblAlgn val="ctr"/>
        <c:lblOffset val="100"/>
      </c:catAx>
      <c:valAx>
        <c:axId val="162506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4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215616"/>
        <c:axId val="163230080"/>
      </c:lineChart>
      <c:catAx>
        <c:axId val="163215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30080"/>
        <c:crosses val="autoZero"/>
        <c:auto val="1"/>
        <c:lblAlgn val="ctr"/>
        <c:lblOffset val="100"/>
      </c:catAx>
      <c:valAx>
        <c:axId val="1632300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15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992896"/>
        <c:axId val="162994432"/>
      </c:lineChart>
      <c:catAx>
        <c:axId val="16299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4432"/>
        <c:crosses val="autoZero"/>
        <c:auto val="1"/>
        <c:lblAlgn val="ctr"/>
        <c:lblOffset val="200"/>
        <c:tickLblSkip val="1"/>
      </c:catAx>
      <c:valAx>
        <c:axId val="162994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019008"/>
        <c:axId val="163028992"/>
      </c:lineChart>
      <c:catAx>
        <c:axId val="1630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28992"/>
        <c:crosses val="autoZero"/>
        <c:auto val="1"/>
        <c:lblAlgn val="ctr"/>
        <c:lblOffset val="100"/>
      </c:catAx>
      <c:valAx>
        <c:axId val="16302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15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520512"/>
        <c:axId val="163522048"/>
      </c:lineChart>
      <c:catAx>
        <c:axId val="16352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22048"/>
        <c:crosses val="autoZero"/>
        <c:auto val="1"/>
        <c:lblAlgn val="ctr"/>
        <c:lblOffset val="100"/>
      </c:catAx>
      <c:valAx>
        <c:axId val="16352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2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115.05999999997439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74.18400000000257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64.328000000043545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63.227999999979517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59.708000000030736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59.091999999969268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 t="str">
        <f>IF('Utility summery'!M20&lt;0,"0",'Utility summery'!M20)</f>
        <v>0</v>
      </c>
      <c r="H16" s="423">
        <v>0</v>
      </c>
      <c r="I16" s="418" t="str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 t="str">
        <f>IF('Kit report'!F18&lt;0,"0",'Kit report'!F18)</f>
        <v>0</v>
      </c>
      <c r="I16" s="456" t="str">
        <f>IF('Kit report'!X18&lt;0,"0",'Kit report'!X18)</f>
        <v>0</v>
      </c>
      <c r="J16" s="456" t="str">
        <f>IF('Utility summery'!H20&lt;0,"0",'Utility summery'!H20)</f>
        <v>0</v>
      </c>
      <c r="K16" s="457" t="str">
        <f>IF('UTILITY REPORT 1'!H17&lt;0,"0",'UTILITY REPORT 1'!H17)</f>
        <v>0</v>
      </c>
      <c r="L16" s="456" t="str">
        <f>'Water-Meter'!K20</f>
        <v>0</v>
      </c>
      <c r="M16" s="457" t="str">
        <f>'Water-Meter'!H20</f>
        <v>0</v>
      </c>
      <c r="N16" s="457" t="str">
        <f>'Water-Meter'!Q20</f>
        <v>0</v>
      </c>
      <c r="O16" s="456" t="e">
        <f>K16*E16+H16*I16+#REF!*#REF!+J16*L16</f>
        <v>#REF!</v>
      </c>
      <c r="P16" s="462" t="str">
        <f>'Water-Meter'!E20</f>
        <v>0</v>
      </c>
      <c r="Q16" s="242" t="str">
        <f>IF('Water-Meter'!U20&lt;0,"0",'Water-Meter'!U20)</f>
        <v>0</v>
      </c>
      <c r="R16" s="242" t="str">
        <f>IF('Water-Meter'!X20&lt;0,"0",'Water-Meter'!X20)</f>
        <v>0</v>
      </c>
      <c r="S16" s="242" t="str">
        <f>IF('Water-Meter'!AA20&lt;0,"0",'Water-Meter'!AA20)</f>
        <v>0</v>
      </c>
      <c r="T16" s="242" t="str">
        <f>IF('Water-Meter'!AD20&lt;0,"0",'Water-Meter'!AD20)</f>
        <v>0</v>
      </c>
      <c r="U16" s="242" t="str">
        <f>IF('Water-Meter'!AG20&lt;0,"0",'Water-Meter'!AG20)</f>
        <v>0</v>
      </c>
      <c r="V16" s="242" t="str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4" t="s">
        <v>314</v>
      </c>
      <c r="B1" s="864"/>
      <c r="C1" s="864"/>
      <c r="D1" s="864"/>
      <c r="E1" s="864"/>
      <c r="F1" s="864"/>
      <c r="G1" s="864"/>
      <c r="H1" s="86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 t="str">
        <f>'Water-Meter'!E20</f>
        <v>0</v>
      </c>
      <c r="H17" s="405">
        <f>'Utility report '!AC20</f>
        <v>-202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5" t="s">
        <v>135</v>
      </c>
      <c r="E4" s="865"/>
      <c r="F4" s="865"/>
      <c r="G4" s="866" t="s">
        <v>20</v>
      </c>
      <c r="H4" s="866"/>
      <c r="I4" s="866"/>
      <c r="J4" s="867" t="s">
        <v>54</v>
      </c>
      <c r="K4" s="867"/>
      <c r="L4" s="867"/>
      <c r="M4" s="867"/>
      <c r="N4" s="868" t="s">
        <v>143</v>
      </c>
      <c r="O4" s="868"/>
      <c r="P4" s="868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115.05999999997439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75</v>
      </c>
      <c r="M15" s="449">
        <f>'Lpg (2)'!G19</f>
        <v>74.18400000000257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65</v>
      </c>
      <c r="M16" s="449">
        <f>'Lpg (2)'!G20</f>
        <v>64.328000000043545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60</v>
      </c>
      <c r="M17" s="449">
        <f>'Lpg (2)'!G21</f>
        <v>63.227999999979517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55</v>
      </c>
      <c r="M18" s="449">
        <f>'Lpg (2)'!G22</f>
        <v>59.708000000030736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0</v>
      </c>
      <c r="L19" s="154">
        <f>'Lpg (2)'!D23</f>
        <v>51</v>
      </c>
      <c r="M19" s="449">
        <f>'Lpg (2)'!G23</f>
        <v>59.091999999969268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-202</v>
      </c>
      <c r="H20" s="153">
        <f>'Utility report '!AE20</f>
        <v>-214963</v>
      </c>
      <c r="I20" s="296" t="str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-334510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41186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1189</v>
      </c>
      <c r="J39" s="453">
        <f t="shared" si="3"/>
        <v>510</v>
      </c>
      <c r="K39" s="453">
        <f t="shared" si="3"/>
        <v>438</v>
      </c>
      <c r="L39" s="453">
        <f t="shared" si="3"/>
        <v>961</v>
      </c>
      <c r="M39" s="453">
        <f t="shared" si="3"/>
        <v>-333476.88</v>
      </c>
      <c r="N39" s="453">
        <f t="shared" si="3"/>
        <v>57660.399999999987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D22" sqref="AD2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6">
        <f>A6</f>
        <v>44287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8"/>
    </row>
    <row r="2" spans="1:37" ht="61.5" customHeight="1" thickBot="1">
      <c r="A2" s="137" t="s">
        <v>98</v>
      </c>
      <c r="B2" s="879" t="s">
        <v>99</v>
      </c>
      <c r="C2" s="880"/>
      <c r="D2" s="881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9" t="s">
        <v>103</v>
      </c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284" t="s">
        <v>104</v>
      </c>
      <c r="AB2" s="879" t="s">
        <v>164</v>
      </c>
      <c r="AC2" s="88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2">
        <f>SUM(D3/B3)</f>
        <v>1.3262195121951219</v>
      </c>
      <c r="G3" s="883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9" t="s">
        <v>112</v>
      </c>
      <c r="P3" s="869"/>
      <c r="Q3" s="869"/>
      <c r="R3" s="869"/>
      <c r="S3" s="870" t="s">
        <v>113</v>
      </c>
      <c r="T3" s="871"/>
      <c r="U3" s="871"/>
      <c r="V3" s="872"/>
      <c r="W3" s="873" t="s">
        <v>114</v>
      </c>
      <c r="X3" s="874"/>
      <c r="Y3" s="874"/>
      <c r="Z3" s="875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882.35294117647061</v>
      </c>
      <c r="AI15" s="722">
        <f t="shared" ref="AI15:AI35" si="18">SUM(AF15*2000)+(AG15*1000)+(AH15*1000)</f>
        <v>5882352.9411764704</v>
      </c>
      <c r="AJ15" s="428">
        <f t="shared" si="4"/>
        <v>-3952941.176470588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764.70588235294122</v>
      </c>
      <c r="AI16" s="722">
        <f t="shared" si="18"/>
        <v>5764705.8823529407</v>
      </c>
      <c r="AJ16" s="428">
        <f t="shared" si="4"/>
        <v>117647.05882352963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705.88235294117646</v>
      </c>
      <c r="AI17" s="722">
        <f t="shared" si="18"/>
        <v>5705882.3529411769</v>
      </c>
      <c r="AJ17" s="428">
        <f t="shared" si="4"/>
        <v>58823.529411763884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0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647.05882352941171</v>
      </c>
      <c r="AI18" s="722">
        <f t="shared" si="18"/>
        <v>5647058.823529412</v>
      </c>
      <c r="AJ18" s="428">
        <f t="shared" si="4"/>
        <v>58823.529411764815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600</v>
      </c>
      <c r="AI19" s="722">
        <f t="shared" si="18"/>
        <v>5600000</v>
      </c>
      <c r="AJ19" s="428">
        <f t="shared" si="4"/>
        <v>47058.823529412039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32808.420000000006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349.48945603113521</v>
      </c>
      <c r="N20" s="715" t="str">
        <f>'Water-Meter'!E20</f>
        <v>0</v>
      </c>
      <c r="O20" s="706"/>
      <c r="P20" s="713"/>
      <c r="Q20" s="725">
        <f t="shared" si="2"/>
        <v>-19032</v>
      </c>
      <c r="R20" s="426">
        <f t="shared" si="5"/>
        <v>0</v>
      </c>
      <c r="S20" s="701"/>
      <c r="T20" s="702"/>
      <c r="U20" s="725">
        <f t="shared" si="6"/>
        <v>-17893</v>
      </c>
      <c r="V20" s="427">
        <f t="shared" si="19"/>
        <v>0</v>
      </c>
      <c r="W20" s="701"/>
      <c r="X20" s="707"/>
      <c r="Y20" s="725">
        <f t="shared" si="8"/>
        <v>-27836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-202</v>
      </c>
      <c r="AD20" s="692"/>
      <c r="AE20" s="178">
        <f t="shared" si="15"/>
        <v>-214963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5600000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32808.420000000006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32808.420000000006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32808.420000000006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32808.420000000006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32808.420000000006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32808.420000000006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32808.420000000006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32808.420000000006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32808.420000000006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32808.420000000006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32808.420000000006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32808.420000000006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32808.420000000006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32808.420000000006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32808.420000000006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32808.420000000006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44361</v>
      </c>
      <c r="K37" s="770"/>
      <c r="L37" s="756">
        <f t="shared" si="17"/>
        <v>44361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1" sqref="W21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4" t="s">
        <v>150</v>
      </c>
      <c r="C1" s="885"/>
      <c r="D1" s="885"/>
      <c r="E1" s="885"/>
      <c r="F1" s="886"/>
      <c r="G1" s="157"/>
      <c r="H1" s="884" t="s">
        <v>151</v>
      </c>
      <c r="I1" s="885"/>
      <c r="J1" s="885"/>
      <c r="K1" s="885"/>
      <c r="L1" s="886"/>
      <c r="M1" s="884" t="s">
        <v>170</v>
      </c>
      <c r="N1" s="885"/>
      <c r="O1" s="885"/>
      <c r="P1" s="885"/>
      <c r="Q1" s="886"/>
      <c r="R1" s="157"/>
      <c r="T1" s="884" t="s">
        <v>166</v>
      </c>
      <c r="U1" s="885"/>
      <c r="V1" s="885"/>
      <c r="W1" s="885"/>
      <c r="X1" s="886"/>
      <c r="Y1" s="884" t="s">
        <v>169</v>
      </c>
      <c r="Z1" s="885"/>
      <c r="AA1" s="885"/>
      <c r="AB1" s="885"/>
      <c r="AC1" s="886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7" t="s">
        <v>156</v>
      </c>
      <c r="C3" s="888"/>
      <c r="D3" s="166"/>
      <c r="E3" s="577">
        <v>9204</v>
      </c>
      <c r="F3" s="584" t="s">
        <v>157</v>
      </c>
      <c r="G3" s="585"/>
      <c r="H3" s="887" t="s">
        <v>156</v>
      </c>
      <c r="I3" s="888"/>
      <c r="J3" s="611">
        <f>'Water-Meter'!G5</f>
        <v>75790</v>
      </c>
      <c r="K3" s="586">
        <f>'Water-Meter'!G5</f>
        <v>75790</v>
      </c>
      <c r="L3" s="241"/>
      <c r="M3" s="887" t="s">
        <v>156</v>
      </c>
      <c r="N3" s="888"/>
      <c r="O3" s="166"/>
      <c r="P3" s="587">
        <f>'Water-Meter'!J5</f>
        <v>8362</v>
      </c>
      <c r="Q3" s="165"/>
      <c r="R3" s="241"/>
      <c r="S3" s="640"/>
      <c r="T3" s="887" t="s">
        <v>156</v>
      </c>
      <c r="U3" s="888"/>
      <c r="V3" s="166"/>
      <c r="W3" s="578">
        <v>8073</v>
      </c>
      <c r="X3" s="588">
        <f t="shared" ref="X3:X35" si="0">(W3-V3)*200</f>
        <v>1614600</v>
      </c>
      <c r="Y3" s="887" t="s">
        <v>156</v>
      </c>
      <c r="Z3" s="888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/>
      <c r="F18" s="581">
        <f t="shared" ref="F18:F22" si="12">SUM(E18-D18)*120</f>
        <v>-1108236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8098.6</v>
      </c>
      <c r="W18" s="578"/>
      <c r="X18" s="581">
        <f t="shared" si="0"/>
        <v>-1619720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 t="s">
        <v>342</v>
      </c>
      <c r="X21" s="581" t="e">
        <f t="shared" si="0"/>
        <v>#VALUE!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9">
        <f>A5</f>
        <v>44287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</row>
    <row r="2" spans="1:13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115.05999999997439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74.18400000000257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64.328000000043545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63.227999999979517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0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59.708000000030736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59.091999999969268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-159254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 t="str">
        <f>'Water-Meter'!E20</f>
        <v>0</v>
      </c>
      <c r="L19" s="653">
        <f>'Lpg (2)'!G24</f>
        <v>-334510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32808.420000000006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32808.420000000006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32808.420000000006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32808.420000000006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32808.420000000006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32808.420000000006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32808.420000000006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32808.420000000006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32808.420000000006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32808.420000000006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32808.420000000006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32808.420000000006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32808.420000000006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32808.420000000006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32808.420000000006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32808.420000000006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32808.420000000006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4" sqref="AA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1">
        <f>A6</f>
        <v>44287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  <c r="AC1" s="19"/>
    </row>
    <row r="2" spans="1:29" ht="12" customHeight="1" thickBot="1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3" t="s">
        <v>298</v>
      </c>
      <c r="L3" s="894"/>
      <c r="M3" s="895"/>
      <c r="N3" s="893" t="s">
        <v>299</v>
      </c>
      <c r="O3" s="894"/>
      <c r="P3" s="895"/>
      <c r="Q3" s="893" t="s">
        <v>300</v>
      </c>
      <c r="R3" s="894"/>
      <c r="S3" s="895"/>
      <c r="T3" s="893" t="s">
        <v>301</v>
      </c>
      <c r="U3" s="894"/>
      <c r="V3" s="895"/>
      <c r="W3" s="893" t="s">
        <v>302</v>
      </c>
      <c r="X3" s="894"/>
      <c r="Y3" s="895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>
        <v>12242.97</v>
      </c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>
        <v>10771.09</v>
      </c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7">
        <f>Gen!A13</f>
        <v>44289</v>
      </c>
      <c r="B8" s="852"/>
      <c r="C8" s="851">
        <v>9237.36</v>
      </c>
      <c r="D8" s="145">
        <v>22273</v>
      </c>
      <c r="E8" s="853"/>
      <c r="F8" s="851"/>
      <c r="G8" s="145">
        <v>139.29</v>
      </c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7">
        <f>Gen!A15</f>
        <v>44291</v>
      </c>
      <c r="B10" s="852"/>
      <c r="C10" s="851">
        <v>6308.49</v>
      </c>
      <c r="D10" s="145">
        <v>22273</v>
      </c>
      <c r="E10" s="853"/>
      <c r="F10" s="145"/>
      <c r="G10" s="145">
        <v>218.51</v>
      </c>
      <c r="H10" s="145"/>
      <c r="I10" s="145">
        <v>31869.200000000001</v>
      </c>
      <c r="J10" s="849">
        <v>21239.8</v>
      </c>
      <c r="K10" s="859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7">
        <f>Gen!A16</f>
        <v>44292</v>
      </c>
      <c r="B11" s="852"/>
      <c r="C11" s="851">
        <v>4758.5</v>
      </c>
      <c r="D11" s="145">
        <v>22273</v>
      </c>
      <c r="E11" s="853"/>
      <c r="F11" s="145"/>
      <c r="G11" s="145">
        <v>42.44</v>
      </c>
      <c r="H11" s="145"/>
      <c r="I11" s="145">
        <v>31874.5</v>
      </c>
      <c r="J11" s="849">
        <v>21244.1</v>
      </c>
      <c r="K11" s="859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7">
        <f>Gen!A17</f>
        <v>44293</v>
      </c>
      <c r="B12" s="852"/>
      <c r="C12" s="851">
        <v>3448.96</v>
      </c>
      <c r="D12" s="145">
        <v>22273</v>
      </c>
      <c r="E12" s="853"/>
      <c r="F12" s="145"/>
      <c r="G12" s="145">
        <v>117.14</v>
      </c>
      <c r="H12" s="145"/>
      <c r="I12" s="145">
        <v>31879.8</v>
      </c>
      <c r="J12" s="849">
        <v>21247.599999999999</v>
      </c>
      <c r="K12" s="859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7">
        <f>Gen!A18</f>
        <v>44294</v>
      </c>
      <c r="B13" s="852"/>
      <c r="C13" s="851">
        <v>19981.400000000001</v>
      </c>
      <c r="D13" s="145">
        <v>22273</v>
      </c>
      <c r="E13" s="853"/>
      <c r="F13" s="145"/>
      <c r="G13" s="145">
        <v>156.32</v>
      </c>
      <c r="H13" s="145"/>
      <c r="I13" s="145">
        <v>31884.9</v>
      </c>
      <c r="J13" s="849">
        <v>21252.1</v>
      </c>
      <c r="K13" s="859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7">
        <f>Gen!A19</f>
        <v>44295</v>
      </c>
      <c r="B14" s="852"/>
      <c r="C14" s="851">
        <v>18558.759999999998</v>
      </c>
      <c r="D14" s="145">
        <v>22273</v>
      </c>
      <c r="E14" s="853"/>
      <c r="F14" s="145"/>
      <c r="G14" s="145">
        <v>302.12</v>
      </c>
      <c r="H14" s="145"/>
      <c r="I14" s="145">
        <v>31889.7</v>
      </c>
      <c r="J14" s="849">
        <v>21256.3</v>
      </c>
      <c r="K14" s="859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7">
        <f>Gen!A20</f>
        <v>44296</v>
      </c>
      <c r="B15" s="852"/>
      <c r="C15" s="851">
        <v>16950.36</v>
      </c>
      <c r="D15" s="145">
        <v>22273</v>
      </c>
      <c r="E15" s="853"/>
      <c r="F15" s="145"/>
      <c r="G15" s="863">
        <v>112</v>
      </c>
      <c r="H15" s="145"/>
      <c r="I15" s="145">
        <v>31894.5</v>
      </c>
      <c r="J15" s="849">
        <v>21260.799999999999</v>
      </c>
      <c r="K15" s="859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7">
        <f>Gen!A21</f>
        <v>44297</v>
      </c>
      <c r="B16" s="852"/>
      <c r="C16" s="851">
        <v>15592.55</v>
      </c>
      <c r="D16" s="145">
        <v>22273</v>
      </c>
      <c r="E16" s="853"/>
      <c r="F16" s="145"/>
      <c r="G16" s="145">
        <v>25</v>
      </c>
      <c r="H16" s="145"/>
      <c r="I16" s="145">
        <v>31899.200000000001</v>
      </c>
      <c r="J16" s="849">
        <v>21265.1</v>
      </c>
      <c r="K16" s="859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7">
        <f>Gen!A22</f>
        <v>44298</v>
      </c>
      <c r="B17" s="852"/>
      <c r="C17" s="851">
        <v>14283.57</v>
      </c>
      <c r="D17" s="145">
        <v>22273</v>
      </c>
      <c r="E17" s="853"/>
      <c r="F17" s="145"/>
      <c r="G17" s="145">
        <v>250.64</v>
      </c>
      <c r="H17" s="145"/>
      <c r="I17" s="145">
        <v>31903.9</v>
      </c>
      <c r="J17" s="849">
        <v>21269.5</v>
      </c>
      <c r="K17" s="859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7">
        <f>Gen!A23</f>
        <v>44299</v>
      </c>
      <c r="B18" s="852"/>
      <c r="C18" s="851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9">
        <v>21273.9</v>
      </c>
      <c r="K18" s="859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>
      <c r="A19" s="857">
        <f>Gen!A24</f>
        <v>44300</v>
      </c>
      <c r="B19" s="852"/>
      <c r="C19" s="851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9">
        <v>21276.9</v>
      </c>
      <c r="K19" s="859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>
      <c r="A20" s="857">
        <f>Gen!A25</f>
        <v>44301</v>
      </c>
      <c r="B20" s="852"/>
      <c r="C20" s="851">
        <v>10535.42</v>
      </c>
      <c r="D20" s="145">
        <v>22273</v>
      </c>
      <c r="E20" s="145"/>
      <c r="F20" s="145"/>
      <c r="G20" s="145"/>
      <c r="H20" s="145"/>
      <c r="I20" s="145">
        <v>31917.3</v>
      </c>
      <c r="J20" s="849">
        <v>21280.2</v>
      </c>
      <c r="K20" s="859">
        <f t="shared" si="0"/>
        <v>36165</v>
      </c>
      <c r="L20" s="305"/>
      <c r="M20" s="304">
        <f t="shared" si="1"/>
        <v>-36165</v>
      </c>
      <c r="N20" s="306">
        <f t="shared" si="2"/>
        <v>31100</v>
      </c>
      <c r="O20" s="125"/>
      <c r="P20" s="304">
        <f t="shared" si="3"/>
        <v>-31100</v>
      </c>
      <c r="Q20" s="304">
        <f t="shared" si="4"/>
        <v>36392</v>
      </c>
      <c r="R20" s="125"/>
      <c r="S20" s="304">
        <f t="shared" si="5"/>
        <v>-36392</v>
      </c>
      <c r="T20" s="304">
        <f t="shared" si="6"/>
        <v>33563</v>
      </c>
      <c r="U20" s="305"/>
      <c r="V20" s="304">
        <f t="shared" si="7"/>
        <v>-33563</v>
      </c>
      <c r="W20" s="306">
        <f t="shared" si="8"/>
        <v>22034</v>
      </c>
      <c r="X20" s="305"/>
      <c r="Y20" s="304">
        <f t="shared" si="9"/>
        <v>-22034</v>
      </c>
      <c r="Z20" s="307">
        <f t="shared" si="10"/>
        <v>-159254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4" workbookViewId="0">
      <pane xSplit="1" topLeftCell="B1" activePane="topRight" state="frozen"/>
      <selection pane="topRight" activeCell="E65" sqref="E65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5"/>
      <c r="B1" s="905"/>
    </row>
    <row r="2" spans="1:46" ht="26.25">
      <c r="A2" s="905"/>
      <c r="B2" s="905"/>
      <c r="D2" s="906">
        <f>A11</f>
        <v>44287</v>
      </c>
      <c r="E2" s="906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  <c r="AO2" s="907"/>
      <c r="AP2" s="907"/>
      <c r="AQ2" s="907"/>
      <c r="AR2" s="907"/>
      <c r="AS2" s="907"/>
      <c r="AT2" s="907"/>
    </row>
    <row r="3" spans="1:46" ht="12.75" customHeight="1">
      <c r="A3" s="905"/>
      <c r="B3" s="905"/>
      <c r="H3" s="908"/>
      <c r="I3" s="908"/>
      <c r="J3" s="908"/>
      <c r="K3" s="181"/>
      <c r="Q3" s="181"/>
    </row>
    <row r="4" spans="1:46" ht="11.25" customHeight="1">
      <c r="A4" s="905"/>
      <c r="B4" s="905"/>
      <c r="H4" s="908"/>
      <c r="I4" s="908"/>
      <c r="J4" s="908"/>
      <c r="K4" s="181"/>
      <c r="Q4" s="181"/>
    </row>
    <row r="5" spans="1:46" ht="12" thickBot="1">
      <c r="A5" s="905"/>
      <c r="B5" s="90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5"/>
      <c r="B6" s="905"/>
      <c r="C6" s="186"/>
      <c r="F6" s="909" t="s">
        <v>57</v>
      </c>
      <c r="G6" s="910"/>
      <c r="H6" s="910"/>
      <c r="I6" s="910"/>
      <c r="J6" s="910"/>
      <c r="K6" s="910"/>
      <c r="L6" s="91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2" t="s">
        <v>201</v>
      </c>
      <c r="G7" s="913"/>
      <c r="H7" s="913"/>
      <c r="I7" s="913"/>
      <c r="J7" s="913"/>
      <c r="K7" s="913"/>
      <c r="L7" s="914"/>
      <c r="M7" s="915" t="s">
        <v>40</v>
      </c>
      <c r="N7" s="916"/>
      <c r="O7" s="916"/>
      <c r="P7" s="916"/>
      <c r="Q7" s="916"/>
      <c r="R7" s="91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7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46"/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46"/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46"/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46"/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46"/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 t="shared" si="0"/>
        <v>1063.99</v>
      </c>
      <c r="T24" s="218">
        <f t="shared" si="1"/>
        <v>2643</v>
      </c>
      <c r="U24" s="571">
        <f t="shared" si="4"/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/>
      <c r="C25" s="802">
        <f t="shared" si="6"/>
        <v>32808.420000000006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/>
      <c r="C26" s="802">
        <f t="shared" si="6"/>
        <v>32808.420000000006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32808.420000000006</v>
      </c>
    </row>
    <row r="27" spans="1:46" ht="15.75">
      <c r="A27" s="575">
        <v>44303</v>
      </c>
      <c r="B27" s="826"/>
      <c r="C27" s="802">
        <f t="shared" si="6"/>
        <v>32808.420000000006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32808.420000000006</v>
      </c>
    </row>
    <row r="28" spans="1:46" ht="15.75">
      <c r="A28" s="575">
        <v>44304</v>
      </c>
      <c r="B28" s="826"/>
      <c r="C28" s="802">
        <f t="shared" si="6"/>
        <v>32808.420000000006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32808.420000000006</v>
      </c>
    </row>
    <row r="29" spans="1:46" ht="15.75">
      <c r="A29" s="575">
        <v>44305</v>
      </c>
      <c r="B29" s="826"/>
      <c r="C29" s="802">
        <f t="shared" si="6"/>
        <v>32808.420000000006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32808.420000000006</v>
      </c>
    </row>
    <row r="30" spans="1:46" ht="15.75">
      <c r="A30" s="575">
        <v>44306</v>
      </c>
      <c r="B30" s="826"/>
      <c r="C30" s="802">
        <f t="shared" si="6"/>
        <v>32808.420000000006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32808.420000000006</v>
      </c>
    </row>
    <row r="31" spans="1:46" ht="15.75">
      <c r="A31" s="575">
        <v>44307</v>
      </c>
      <c r="B31" s="826"/>
      <c r="C31" s="802">
        <f t="shared" si="6"/>
        <v>32808.420000000006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32808.420000000006</v>
      </c>
    </row>
    <row r="32" spans="1:46" ht="15.75">
      <c r="A32" s="575">
        <v>44308</v>
      </c>
      <c r="B32" s="826"/>
      <c r="C32" s="802">
        <f t="shared" si="6"/>
        <v>32808.420000000006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32808.420000000006</v>
      </c>
    </row>
    <row r="33" spans="1:46" ht="15.75">
      <c r="A33" s="575">
        <v>44309</v>
      </c>
      <c r="B33" s="826"/>
      <c r="C33" s="802">
        <f t="shared" si="6"/>
        <v>32808.420000000006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32808.420000000006</v>
      </c>
    </row>
    <row r="34" spans="1:46" ht="15.75">
      <c r="A34" s="575">
        <v>44310</v>
      </c>
      <c r="B34" s="826"/>
      <c r="C34" s="802">
        <f t="shared" si="6"/>
        <v>32808.420000000006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32808.420000000006</v>
      </c>
    </row>
    <row r="35" spans="1:46" ht="15.75">
      <c r="A35" s="575">
        <v>44311</v>
      </c>
      <c r="B35" s="826"/>
      <c r="C35" s="802">
        <f t="shared" si="6"/>
        <v>32808.420000000006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32808.420000000006</v>
      </c>
    </row>
    <row r="36" spans="1:46" ht="15.75">
      <c r="A36" s="575">
        <v>44312</v>
      </c>
      <c r="B36" s="826"/>
      <c r="C36" s="802">
        <f t="shared" si="6"/>
        <v>32808.420000000006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32808.420000000006</v>
      </c>
    </row>
    <row r="37" spans="1:46" ht="15.75">
      <c r="A37" s="575">
        <v>44313</v>
      </c>
      <c r="B37" s="826"/>
      <c r="C37" s="802">
        <f t="shared" si="6"/>
        <v>32808.420000000006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32808.420000000006</v>
      </c>
    </row>
    <row r="38" spans="1:46" ht="15.75">
      <c r="A38" s="575">
        <v>44314</v>
      </c>
      <c r="B38" s="826"/>
      <c r="C38" s="802">
        <f t="shared" si="6"/>
        <v>32808.420000000006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32808.420000000006</v>
      </c>
    </row>
    <row r="39" spans="1:46" ht="15.75">
      <c r="A39" s="575">
        <v>44315</v>
      </c>
      <c r="B39" s="826"/>
      <c r="C39" s="802">
        <f t="shared" si="6"/>
        <v>32808.420000000006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32808.420000000006</v>
      </c>
    </row>
    <row r="40" spans="1:46" ht="15.75">
      <c r="A40" s="575">
        <v>44316</v>
      </c>
      <c r="B40" s="826"/>
      <c r="C40" s="802">
        <f t="shared" si="6"/>
        <v>32808.420000000006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32808.420000000006</v>
      </c>
    </row>
    <row r="41" spans="1:46" ht="15.75">
      <c r="A41" s="575"/>
      <c r="B41" s="826"/>
      <c r="C41" s="802">
        <f t="shared" si="6"/>
        <v>32808.420000000006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32808.420000000006</v>
      </c>
    </row>
    <row r="42" spans="1:46" ht="14.25">
      <c r="A42" s="575"/>
      <c r="B42" s="574"/>
      <c r="C42" s="802">
        <f t="shared" si="6"/>
        <v>32808.420000000006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32808.420000000006</v>
      </c>
    </row>
    <row r="43" spans="1:46" ht="14.25">
      <c r="A43" s="495" t="s">
        <v>25</v>
      </c>
      <c r="B43" s="469">
        <f>AVERAGE(B11:B42)</f>
        <v>0.13822222222222222</v>
      </c>
      <c r="C43" s="798">
        <f t="shared" si="6"/>
        <v>32808.420000000006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32808.420000000006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4060.8700000000003</v>
      </c>
      <c r="H45" s="308">
        <f t="shared" si="8"/>
        <v>4903.3500000000004</v>
      </c>
      <c r="I45" s="313">
        <f t="shared" si="8"/>
        <v>0</v>
      </c>
      <c r="J45" s="308">
        <f t="shared" si="8"/>
        <v>5071.38</v>
      </c>
      <c r="K45" s="313">
        <f t="shared" si="8"/>
        <v>3753.1399999999994</v>
      </c>
      <c r="L45" s="308">
        <f t="shared" si="8"/>
        <v>0</v>
      </c>
      <c r="M45" s="313">
        <f t="shared" si="8"/>
        <v>13216</v>
      </c>
      <c r="N45" s="553">
        <f t="shared" si="8"/>
        <v>8986</v>
      </c>
      <c r="O45" s="313">
        <f t="shared" si="8"/>
        <v>0</v>
      </c>
      <c r="P45" s="308">
        <f>SUM(P11:P43)</f>
        <v>12852</v>
      </c>
      <c r="Q45" s="313">
        <f>SUM(Q11:Q44)</f>
        <v>9307</v>
      </c>
      <c r="R45" s="308">
        <f>SUM(R11:R44)</f>
        <v>0</v>
      </c>
      <c r="S45" s="551">
        <f>SUM(G45:L45)</f>
        <v>17788.740000000002</v>
      </c>
      <c r="T45" s="308">
        <f>SUM(M45:R45)</f>
        <v>44361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308.26</v>
      </c>
      <c r="Y45" s="234">
        <f t="shared" si="9"/>
        <v>213.5</v>
      </c>
      <c r="Z45" s="546">
        <f t="shared" si="9"/>
        <v>363.95000000000005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748</v>
      </c>
      <c r="AI45" s="234">
        <f>SUM(AI9:AI39)</f>
        <v>230.2</v>
      </c>
      <c r="AJ45" s="546">
        <f>SUM(AJ9:AJ44)</f>
        <v>1918.8100000000002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19707.549999999996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573.8303225806452</v>
      </c>
      <c r="T47" s="316">
        <f>S45*2315</f>
        <v>41180933.100000001</v>
      </c>
      <c r="U47" s="317" t="s">
        <v>244</v>
      </c>
      <c r="AR47" s="522">
        <f>AR45*2143</f>
        <v>42233279.649999991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17990.796461336828</v>
      </c>
      <c r="U48" s="317" t="s">
        <v>245</v>
      </c>
      <c r="W48" s="191"/>
      <c r="X48" s="191"/>
      <c r="Y48" s="191"/>
      <c r="Z48" s="191"/>
      <c r="AA48" s="191"/>
      <c r="AR48" s="316">
        <f>AR47/2289</f>
        <v>18450.537199650498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8" t="s">
        <v>241</v>
      </c>
      <c r="C50" s="919"/>
      <c r="D50" s="919"/>
      <c r="E50" s="919"/>
      <c r="F50" s="920"/>
      <c r="H50" s="896" t="s">
        <v>213</v>
      </c>
      <c r="I50" s="897"/>
      <c r="J50" s="897"/>
      <c r="K50" s="897"/>
      <c r="L50" s="898"/>
      <c r="N50" s="899" t="s">
        <v>309</v>
      </c>
      <c r="O50" s="900"/>
      <c r="P50" s="900"/>
      <c r="Q50" s="900"/>
      <c r="R50" s="901"/>
      <c r="T50" s="902" t="s">
        <v>226</v>
      </c>
      <c r="U50" s="903"/>
      <c r="V50" s="903"/>
      <c r="W50" s="903"/>
      <c r="X50" s="903"/>
      <c r="Y50" s="904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8" sqref="F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3"/>
      <c r="D6" s="924"/>
      <c r="E6" s="925"/>
      <c r="F6" s="925"/>
      <c r="G6" s="48" t="s">
        <v>4</v>
      </c>
      <c r="H6" s="46" t="s">
        <v>14</v>
      </c>
      <c r="I6" s="41"/>
      <c r="J6" s="113"/>
    </row>
    <row r="7" spans="1:15" ht="18" customHeight="1">
      <c r="A7" s="926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7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75952.149999999994</v>
      </c>
      <c r="G18" s="268">
        <f t="shared" si="0"/>
        <v>115.05999999997439</v>
      </c>
      <c r="H18" s="111">
        <f>[5]Gen!B19</f>
        <v>0.01</v>
      </c>
      <c r="I18" s="843">
        <f t="shared" si="2"/>
        <v>7595214.9999999991</v>
      </c>
      <c r="J18" s="844">
        <f t="shared" si="1"/>
        <v>1.5149011581630593E-5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75</v>
      </c>
      <c r="E19" s="268"/>
      <c r="F19" s="268">
        <v>75969.009999999995</v>
      </c>
      <c r="G19" s="268">
        <f t="shared" si="0"/>
        <v>74.18400000000257</v>
      </c>
      <c r="H19" s="111">
        <f>[5]Gen!B20</f>
        <v>0.01</v>
      </c>
      <c r="I19" s="843">
        <f t="shared" si="2"/>
        <v>7596900.9999999991</v>
      </c>
      <c r="J19" s="844">
        <f t="shared" si="1"/>
        <v>9.7650344528647373E-6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65</v>
      </c>
      <c r="E20" s="268"/>
      <c r="F20" s="268">
        <v>75983.63</v>
      </c>
      <c r="G20" s="268">
        <f t="shared" si="0"/>
        <v>64.328000000043545</v>
      </c>
      <c r="H20" s="111">
        <f>[5]Gen!B21</f>
        <v>0.01</v>
      </c>
      <c r="I20" s="843">
        <f t="shared" si="2"/>
        <v>7598363</v>
      </c>
      <c r="J20" s="844">
        <f t="shared" si="1"/>
        <v>8.466034065501154E-6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60</v>
      </c>
      <c r="E21" s="268"/>
      <c r="F21" s="268">
        <v>75998</v>
      </c>
      <c r="G21" s="268">
        <f t="shared" si="0"/>
        <v>63.227999999979517</v>
      </c>
      <c r="H21" s="111">
        <f>[5]Gen!B22</f>
        <v>0.03</v>
      </c>
      <c r="I21" s="843">
        <f t="shared" si="2"/>
        <v>2533266.666666667</v>
      </c>
      <c r="J21" s="844">
        <f t="shared" si="1"/>
        <v>2.4959077870462187E-5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55</v>
      </c>
      <c r="E22" s="268"/>
      <c r="F22" s="268">
        <v>76011.570000000007</v>
      </c>
      <c r="G22" s="268">
        <f t="shared" si="0"/>
        <v>59.708000000030736</v>
      </c>
      <c r="H22" s="111">
        <f>[5]Gen!B23</f>
        <v>0.22</v>
      </c>
      <c r="I22" s="843">
        <f t="shared" si="2"/>
        <v>345507.13636363641</v>
      </c>
      <c r="J22" s="844">
        <f t="shared" si="1"/>
        <v>1.7281263891808524E-4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51</v>
      </c>
      <c r="E23" s="268"/>
      <c r="F23" s="268">
        <v>76025</v>
      </c>
      <c r="G23" s="268">
        <f>(F23-F22)*4.4</f>
        <v>59.091999999969268</v>
      </c>
      <c r="H23" s="111">
        <f>[5]Gen!B24</f>
        <v>0.23</v>
      </c>
      <c r="I23" s="843">
        <f t="shared" si="2"/>
        <v>330543.47826086957</v>
      </c>
      <c r="J23" s="844">
        <f t="shared" si="1"/>
        <v>1.7877224597162686E-4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-334510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2" t="s">
        <v>6</v>
      </c>
      <c r="D42" s="922"/>
      <c r="E42" s="2">
        <f t="shared" ref="E42" si="4">SUM(E10:E40)</f>
        <v>0</v>
      </c>
      <c r="F42" s="2">
        <f>SUM(F10:F41)</f>
        <v>1062810.67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1"/>
      <c r="C45" s="921"/>
      <c r="D45" s="921"/>
      <c r="E45" s="921"/>
      <c r="F45" s="921"/>
      <c r="G45" s="921"/>
      <c r="H45" s="921"/>
      <c r="I45" s="831"/>
      <c r="J45" s="838"/>
    </row>
    <row r="46" spans="1:10">
      <c r="A46" s="19"/>
      <c r="B46" s="921"/>
      <c r="C46" s="921"/>
      <c r="D46" s="921"/>
      <c r="E46" s="921"/>
      <c r="F46" s="921"/>
      <c r="G46" s="921"/>
      <c r="H46" s="921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R1" activePane="topRight" state="frozen"/>
      <selection pane="topRight" activeCell="AI20" sqref="AI2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2" t="s">
        <v>315</v>
      </c>
      <c r="B1" s="933"/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  <c r="P1" s="933"/>
      <c r="Q1" s="933"/>
      <c r="R1" s="933"/>
      <c r="S1" s="933"/>
      <c r="T1" s="933"/>
      <c r="U1" s="933"/>
      <c r="V1" s="933"/>
      <c r="W1" s="933"/>
      <c r="X1" s="933"/>
      <c r="Y1" s="933"/>
      <c r="Z1" s="933"/>
      <c r="AA1" s="933"/>
      <c r="AB1" s="933"/>
      <c r="AC1" s="933"/>
      <c r="AD1" s="933"/>
      <c r="AE1" s="933"/>
      <c r="AF1" s="933"/>
      <c r="AG1" s="933"/>
      <c r="AH1" s="933"/>
      <c r="AI1" s="933"/>
      <c r="AJ1" s="933"/>
      <c r="AK1" s="933"/>
      <c r="AL1" s="933"/>
      <c r="AM1" s="933"/>
      <c r="AN1" s="933"/>
    </row>
    <row r="2" spans="1:40" ht="13.5" customHeight="1" thickTop="1">
      <c r="A2" s="29"/>
      <c r="B2" s="29"/>
      <c r="C2" s="929" t="s">
        <v>52</v>
      </c>
      <c r="D2" s="929"/>
      <c r="E2" s="929"/>
      <c r="F2" s="929" t="s">
        <v>17</v>
      </c>
      <c r="G2" s="929"/>
      <c r="H2" s="929"/>
      <c r="I2" s="929" t="s">
        <v>131</v>
      </c>
      <c r="J2" s="929"/>
      <c r="K2" s="929"/>
      <c r="L2" s="929" t="s">
        <v>134</v>
      </c>
      <c r="M2" s="929"/>
      <c r="N2" s="929"/>
      <c r="O2" s="929" t="s">
        <v>132</v>
      </c>
      <c r="P2" s="929"/>
      <c r="Q2" s="929"/>
      <c r="R2" s="252"/>
      <c r="S2" s="940" t="s">
        <v>181</v>
      </c>
      <c r="T2" s="941"/>
      <c r="U2" s="942"/>
      <c r="V2" s="940" t="s">
        <v>182</v>
      </c>
      <c r="W2" s="941"/>
      <c r="X2" s="942"/>
      <c r="Y2" s="940" t="s">
        <v>183</v>
      </c>
      <c r="Z2" s="941"/>
      <c r="AA2" s="942"/>
      <c r="AB2" s="940" t="s">
        <v>184</v>
      </c>
      <c r="AC2" s="941"/>
      <c r="AD2" s="942"/>
      <c r="AE2" s="934" t="s">
        <v>239</v>
      </c>
      <c r="AF2" s="935"/>
      <c r="AG2" s="946"/>
      <c r="AH2" s="934" t="s">
        <v>243</v>
      </c>
      <c r="AI2" s="935"/>
      <c r="AJ2" s="946"/>
      <c r="AK2" s="934" t="s">
        <v>240</v>
      </c>
      <c r="AL2" s="935"/>
      <c r="AM2" s="935"/>
      <c r="AN2" s="938" t="s">
        <v>189</v>
      </c>
    </row>
    <row r="3" spans="1:40" ht="21.75" customHeight="1" thickBot="1">
      <c r="A3" s="930" t="s">
        <v>7</v>
      </c>
      <c r="B3" s="29"/>
      <c r="C3" s="929" t="s">
        <v>133</v>
      </c>
      <c r="D3" s="929" t="s">
        <v>15</v>
      </c>
      <c r="E3" s="929" t="s">
        <v>16</v>
      </c>
      <c r="F3" s="929" t="s">
        <v>133</v>
      </c>
      <c r="G3" s="929" t="s">
        <v>15</v>
      </c>
      <c r="H3" s="929" t="s">
        <v>16</v>
      </c>
      <c r="I3" s="929" t="s">
        <v>133</v>
      </c>
      <c r="J3" s="929" t="s">
        <v>15</v>
      </c>
      <c r="K3" s="929" t="s">
        <v>16</v>
      </c>
      <c r="L3" s="929" t="s">
        <v>133</v>
      </c>
      <c r="M3" s="929" t="s">
        <v>15</v>
      </c>
      <c r="N3" s="929" t="s">
        <v>16</v>
      </c>
      <c r="O3" s="929" t="s">
        <v>133</v>
      </c>
      <c r="P3" s="929" t="s">
        <v>15</v>
      </c>
      <c r="Q3" s="929" t="s">
        <v>16</v>
      </c>
      <c r="R3" s="948" t="s">
        <v>185</v>
      </c>
      <c r="S3" s="943"/>
      <c r="T3" s="944"/>
      <c r="U3" s="945"/>
      <c r="V3" s="943"/>
      <c r="W3" s="944"/>
      <c r="X3" s="945"/>
      <c r="Y3" s="943"/>
      <c r="Z3" s="944"/>
      <c r="AA3" s="945"/>
      <c r="AB3" s="943"/>
      <c r="AC3" s="944"/>
      <c r="AD3" s="945"/>
      <c r="AE3" s="936"/>
      <c r="AF3" s="937"/>
      <c r="AG3" s="947"/>
      <c r="AH3" s="936"/>
      <c r="AI3" s="937"/>
      <c r="AJ3" s="947"/>
      <c r="AK3" s="936"/>
      <c r="AL3" s="937"/>
      <c r="AM3" s="937"/>
      <c r="AN3" s="939"/>
    </row>
    <row r="4" spans="1:40" ht="15.75" thickTop="1">
      <c r="A4" s="931"/>
      <c r="B4" s="244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48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/>
      <c r="E20" s="474" t="str">
        <f t="shared" si="29"/>
        <v>0</v>
      </c>
      <c r="F20" s="95">
        <f t="shared" si="2"/>
        <v>75790</v>
      </c>
      <c r="G20" s="387"/>
      <c r="H20" s="474" t="str">
        <f t="shared" si="13"/>
        <v>0</v>
      </c>
      <c r="I20" s="95">
        <f t="shared" si="3"/>
        <v>8384</v>
      </c>
      <c r="J20" s="1"/>
      <c r="K20" s="474" t="str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/>
      <c r="Q20" s="474" t="str">
        <f t="shared" si="7"/>
        <v>0</v>
      </c>
      <c r="R20" s="250"/>
      <c r="S20" s="245">
        <f t="shared" si="15"/>
        <v>68283</v>
      </c>
      <c r="T20" s="384"/>
      <c r="U20" s="475" t="str">
        <f t="shared" si="16"/>
        <v>0</v>
      </c>
      <c r="V20" s="245">
        <f t="shared" si="8"/>
        <v>73031</v>
      </c>
      <c r="W20" s="384"/>
      <c r="X20" s="475" t="str">
        <f t="shared" si="17"/>
        <v>0</v>
      </c>
      <c r="Y20" s="245">
        <f t="shared" si="9"/>
        <v>90129</v>
      </c>
      <c r="Z20" s="384"/>
      <c r="AA20" s="475" t="str">
        <f t="shared" si="18"/>
        <v>0</v>
      </c>
      <c r="AB20" s="606">
        <f t="shared" si="22"/>
        <v>19001</v>
      </c>
      <c r="AC20" s="610"/>
      <c r="AD20" s="609" t="str">
        <f t="shared" si="23"/>
        <v>0</v>
      </c>
      <c r="AE20" s="245">
        <f t="shared" si="27"/>
        <v>0</v>
      </c>
      <c r="AF20" s="385"/>
      <c r="AG20" s="475" t="str">
        <f t="shared" si="19"/>
        <v>0</v>
      </c>
      <c r="AH20" s="245">
        <f t="shared" si="11"/>
        <v>30691</v>
      </c>
      <c r="AI20" s="385"/>
      <c r="AJ20" s="475" t="str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827</v>
      </c>
    </row>
    <row r="38" spans="1:41" ht="18.75">
      <c r="A38" s="57"/>
      <c r="B38" s="21"/>
      <c r="C38" s="928" t="s">
        <v>6</v>
      </c>
      <c r="D38" s="928"/>
      <c r="E38" s="22">
        <f>SUM(E6:E36)</f>
        <v>1278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22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1278</v>
      </c>
      <c r="S38" s="247"/>
      <c r="T38" s="247"/>
      <c r="U38" s="257">
        <f>SUM(U6:U37)</f>
        <v>827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827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4"/>
      <c r="B42" s="277"/>
      <c r="C42" s="951" t="s">
        <v>222</v>
      </c>
      <c r="D42" s="952"/>
      <c r="E42" s="952"/>
      <c r="F42" s="952"/>
      <c r="G42" s="952"/>
      <c r="H42" s="952"/>
      <c r="I42" s="952"/>
      <c r="J42" s="952"/>
      <c r="K42" s="953"/>
      <c r="R42" s="19"/>
    </row>
    <row r="43" spans="1:41" ht="24.75" customHeight="1">
      <c r="A43" s="955"/>
      <c r="B43" s="19"/>
      <c r="C43" s="957" t="s">
        <v>216</v>
      </c>
      <c r="D43" s="958"/>
      <c r="E43" s="959" t="s">
        <v>237</v>
      </c>
      <c r="F43" s="960"/>
      <c r="G43" s="961" t="s">
        <v>217</v>
      </c>
      <c r="H43" s="962"/>
      <c r="I43" s="961" t="s">
        <v>238</v>
      </c>
      <c r="J43" s="962"/>
      <c r="K43" s="94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5"/>
      <c r="B44" s="19"/>
      <c r="C44" s="963" t="s">
        <v>218</v>
      </c>
      <c r="D44" s="964"/>
      <c r="E44" s="963" t="s">
        <v>219</v>
      </c>
      <c r="F44" s="964"/>
      <c r="G44" s="963" t="s">
        <v>220</v>
      </c>
      <c r="H44" s="964"/>
      <c r="I44" s="963" t="s">
        <v>221</v>
      </c>
      <c r="J44" s="964"/>
      <c r="K44" s="95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5" t="s">
        <v>316</v>
      </c>
      <c r="B2" s="966"/>
      <c r="C2" s="966"/>
      <c r="D2" s="966"/>
      <c r="E2" s="96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115.05999999997439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142.59013888885715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74.18400000000257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91.933833333336523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64.328000000043545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79.719611111165079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63.227999999979517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78.35641666664128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59.708000000030736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73.994194444482531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59.091999999969268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73.230805555517463</v>
      </c>
      <c r="V18" s="17">
        <f t="shared" si="7"/>
        <v>7161979.0579267675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 t="str">
        <f>'Water-Meter'!E20</f>
        <v>0</v>
      </c>
      <c r="L19" s="447">
        <f>'Lpg (2)'!G24</f>
        <v>-334510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-414547.43055555556</v>
      </c>
      <c r="V19" s="17">
        <f t="shared" si="7"/>
        <v>88701.709944444476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1278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8" t="s">
        <v>180</v>
      </c>
      <c r="B1" s="969"/>
      <c r="C1" s="969"/>
      <c r="D1" s="969"/>
      <c r="E1" s="969"/>
      <c r="F1" s="969"/>
      <c r="G1" s="970"/>
    </row>
    <row r="2" spans="1:7" ht="13.5" thickBot="1">
      <c r="A2" s="300"/>
      <c r="B2" s="971" t="s">
        <v>175</v>
      </c>
      <c r="C2" s="972"/>
      <c r="D2" s="973"/>
      <c r="E2" s="971" t="s">
        <v>176</v>
      </c>
      <c r="F2" s="972"/>
      <c r="G2" s="97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8" t="s">
        <v>230</v>
      </c>
      <c r="B1" s="969"/>
      <c r="C1" s="969"/>
      <c r="D1" s="969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4"/>
      <c r="C76" s="975"/>
      <c r="D76" s="975"/>
      <c r="E76" s="976"/>
      <c r="H76" s="974"/>
      <c r="I76" s="975"/>
      <c r="J76" s="975"/>
      <c r="K76" s="975"/>
      <c r="L76" s="976"/>
    </row>
    <row r="77" spans="1:12">
      <c r="B77" s="977"/>
      <c r="C77" s="978"/>
      <c r="D77" s="978"/>
      <c r="E77" s="979"/>
      <c r="H77" s="977"/>
      <c r="I77" s="978"/>
      <c r="J77" s="978"/>
      <c r="K77" s="978"/>
      <c r="L77" s="979"/>
    </row>
    <row r="78" spans="1:12">
      <c r="B78" s="977"/>
      <c r="C78" s="978"/>
      <c r="D78" s="978"/>
      <c r="E78" s="979"/>
      <c r="H78" s="977"/>
      <c r="I78" s="978"/>
      <c r="J78" s="978"/>
      <c r="K78" s="978"/>
      <c r="L78" s="979"/>
    </row>
    <row r="79" spans="1:12">
      <c r="B79" s="977"/>
      <c r="C79" s="978"/>
      <c r="D79" s="978"/>
      <c r="E79" s="979"/>
      <c r="H79" s="977"/>
      <c r="I79" s="978"/>
      <c r="J79" s="978"/>
      <c r="K79" s="978"/>
      <c r="L79" s="979"/>
    </row>
    <row r="80" spans="1:12">
      <c r="B80" s="977"/>
      <c r="C80" s="978"/>
      <c r="D80" s="978"/>
      <c r="E80" s="979"/>
      <c r="H80" s="977"/>
      <c r="I80" s="978"/>
      <c r="J80" s="978"/>
      <c r="K80" s="978"/>
      <c r="L80" s="979"/>
    </row>
    <row r="81" spans="2:12">
      <c r="B81" s="977"/>
      <c r="C81" s="978"/>
      <c r="D81" s="978"/>
      <c r="E81" s="979"/>
      <c r="H81" s="977"/>
      <c r="I81" s="978"/>
      <c r="J81" s="978"/>
      <c r="K81" s="978"/>
      <c r="L81" s="979"/>
    </row>
    <row r="82" spans="2:12">
      <c r="B82" s="977"/>
      <c r="C82" s="978"/>
      <c r="D82" s="978"/>
      <c r="E82" s="979"/>
      <c r="H82" s="977"/>
      <c r="I82" s="978"/>
      <c r="J82" s="978"/>
      <c r="K82" s="978"/>
      <c r="L82" s="979"/>
    </row>
    <row r="83" spans="2:12">
      <c r="B83" s="977"/>
      <c r="C83" s="978"/>
      <c r="D83" s="978"/>
      <c r="E83" s="979"/>
      <c r="H83" s="977"/>
      <c r="I83" s="978"/>
      <c r="J83" s="978"/>
      <c r="K83" s="978"/>
      <c r="L83" s="979"/>
    </row>
    <row r="84" spans="2:12">
      <c r="B84" s="977"/>
      <c r="C84" s="978"/>
      <c r="D84" s="978"/>
      <c r="E84" s="979"/>
      <c r="H84" s="977"/>
      <c r="I84" s="978"/>
      <c r="J84" s="978"/>
      <c r="K84" s="978"/>
      <c r="L84" s="979"/>
    </row>
    <row r="85" spans="2:12">
      <c r="B85" s="977"/>
      <c r="C85" s="978"/>
      <c r="D85" s="978"/>
      <c r="E85" s="979"/>
      <c r="H85" s="977"/>
      <c r="I85" s="978"/>
      <c r="J85" s="978"/>
      <c r="K85" s="978"/>
      <c r="L85" s="979"/>
    </row>
    <row r="86" spans="2:12">
      <c r="B86" s="977"/>
      <c r="C86" s="978"/>
      <c r="D86" s="978"/>
      <c r="E86" s="979"/>
      <c r="H86" s="977"/>
      <c r="I86" s="978"/>
      <c r="J86" s="978"/>
      <c r="K86" s="978"/>
      <c r="L86" s="979"/>
    </row>
    <row r="87" spans="2:12">
      <c r="B87" s="977"/>
      <c r="C87" s="978"/>
      <c r="D87" s="978"/>
      <c r="E87" s="979"/>
      <c r="H87" s="977"/>
      <c r="I87" s="978"/>
      <c r="J87" s="978"/>
      <c r="K87" s="978"/>
      <c r="L87" s="979"/>
    </row>
    <row r="88" spans="2:12">
      <c r="B88" s="977"/>
      <c r="C88" s="978"/>
      <c r="D88" s="978"/>
      <c r="E88" s="979"/>
      <c r="H88" s="977"/>
      <c r="I88" s="978"/>
      <c r="J88" s="978"/>
      <c r="K88" s="978"/>
      <c r="L88" s="979"/>
    </row>
    <row r="89" spans="2:12">
      <c r="B89" s="977"/>
      <c r="C89" s="978"/>
      <c r="D89" s="978"/>
      <c r="E89" s="979"/>
      <c r="H89" s="977"/>
      <c r="I89" s="978"/>
      <c r="J89" s="978"/>
      <c r="K89" s="978"/>
      <c r="L89" s="979"/>
    </row>
    <row r="90" spans="2:12" ht="13.5" thickBot="1">
      <c r="B90" s="980"/>
      <c r="C90" s="981"/>
      <c r="D90" s="981"/>
      <c r="E90" s="982"/>
      <c r="H90" s="980"/>
      <c r="I90" s="981"/>
      <c r="J90" s="981"/>
      <c r="K90" s="981"/>
      <c r="L90" s="982"/>
    </row>
    <row r="91" spans="2:12">
      <c r="B91" s="983" t="s">
        <v>312</v>
      </c>
      <c r="C91" s="984"/>
      <c r="D91" s="984"/>
      <c r="E91" s="985"/>
      <c r="H91" s="983" t="s">
        <v>313</v>
      </c>
      <c r="I91" s="984"/>
      <c r="J91" s="984"/>
      <c r="K91" s="984"/>
      <c r="L91" s="985"/>
    </row>
    <row r="92" spans="2:12">
      <c r="B92" s="986"/>
      <c r="C92" s="987"/>
      <c r="D92" s="987"/>
      <c r="E92" s="988"/>
      <c r="H92" s="986"/>
      <c r="I92" s="987"/>
      <c r="J92" s="987"/>
      <c r="K92" s="987"/>
      <c r="L92" s="988"/>
    </row>
    <row r="93" spans="2:12" ht="13.5" thickBot="1">
      <c r="B93" s="989"/>
      <c r="C93" s="990"/>
      <c r="D93" s="990"/>
      <c r="E93" s="991"/>
      <c r="H93" s="989"/>
      <c r="I93" s="990"/>
      <c r="J93" s="990"/>
      <c r="K93" s="990"/>
      <c r="L93" s="99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G25" sqref="G2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2" t="s">
        <v>254</v>
      </c>
      <c r="B1" s="992"/>
      <c r="C1" s="992"/>
      <c r="D1" s="992"/>
      <c r="E1" s="992"/>
      <c r="F1" s="992"/>
      <c r="G1" s="992"/>
      <c r="H1" s="992"/>
      <c r="I1" s="992"/>
      <c r="J1" s="992"/>
    </row>
    <row r="2" spans="1:10" ht="19.5" thickBot="1">
      <c r="A2" s="1001">
        <f>A5</f>
        <v>44287</v>
      </c>
      <c r="B2" s="1002"/>
      <c r="C2" s="1002"/>
      <c r="D2" s="1002"/>
      <c r="E2" s="1002"/>
      <c r="F2" s="1002"/>
      <c r="G2" s="1002"/>
      <c r="H2" s="1002"/>
      <c r="I2" s="1002"/>
      <c r="J2" s="1002"/>
    </row>
    <row r="3" spans="1:10" ht="15.75" thickBot="1">
      <c r="A3" s="993" t="s">
        <v>7</v>
      </c>
      <c r="B3" s="995" t="s">
        <v>255</v>
      </c>
      <c r="C3" s="440"/>
      <c r="D3" s="997" t="s">
        <v>256</v>
      </c>
      <c r="E3" s="998"/>
      <c r="F3" s="999" t="s">
        <v>257</v>
      </c>
      <c r="G3" s="1000"/>
      <c r="H3" s="998"/>
      <c r="I3" s="999" t="s">
        <v>258</v>
      </c>
      <c r="J3" s="998"/>
    </row>
    <row r="4" spans="1:10" ht="30.75" thickBot="1">
      <c r="A4" s="994"/>
      <c r="B4" s="996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32808.420000000006</v>
      </c>
      <c r="F19" s="396" t="str">
        <f>'Water-Meter'!E20</f>
        <v>0</v>
      </c>
      <c r="G19" s="397">
        <f>'Water-Meter'!AN20</f>
        <v>0</v>
      </c>
      <c r="H19" s="395">
        <f>'Utility report '!AC20</f>
        <v>-202</v>
      </c>
      <c r="I19" s="394">
        <f>'Kit report'!F18</f>
        <v>-1108236</v>
      </c>
      <c r="J19" s="395">
        <f>'Kit report'!X18</f>
        <v>-1619720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32808.420000000006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32808.420000000006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32808.420000000006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 t="e">
        <f>'Kit report'!X21</f>
        <v>#VALUE!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32808.420000000006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 t="e">
        <f>'Kit report'!X22</f>
        <v>#VALUE!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32808.420000000006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32808.420000000006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32808.420000000006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32808.420000000006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32808.420000000006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32808.420000000006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32808.420000000006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32808.420000000006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32808.420000000006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32808.420000000006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32808.420000000006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32808.420000000006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32808.420000000006</v>
      </c>
      <c r="F36" s="396">
        <f>'Water-Meter'!E37</f>
        <v>0</v>
      </c>
      <c r="G36" s="397">
        <f>'Water-Meter'!AN37</f>
        <v>827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2021-04-15T05:24:15Z</dcterms:modified>
</cp:coreProperties>
</file>