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356" documentId="13_ncr:1_{76C55D63-F869-4AF5-AAA3-3D809A91432B}" xr6:coauthVersionLast="47" xr6:coauthVersionMax="47" xr10:uidLastSave="{D7A4CFBF-E65B-47F5-AB22-203CB57A99BB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7" l="1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<sst xmlns="http://schemas.openxmlformats.org/spreadsheetml/2006/main" count="72" uniqueCount="33">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</sst>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21722.499999996217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3980</v>
      </c>
      <c r="J2" s="77">
        <v>0.21186441</v>
      </c>
      <c r="K2" s="11">
        <f>IF('Water, Gas, Diesel'!F6&lt;0,0,'Water, Gas, Diesel'!F6)</f>
        <v>0</v>
      </c>
      <c r="L2" s="77">
        <v>1.6949000000000001</v>
      </c>
      <c r="M2" s="11">
        <f>Electricity!H8</f>
        <v>68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19192.499999990105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3712</v>
      </c>
      <c r="J3" s="77">
        <v>0.21186441</v>
      </c>
      <c r="K3" s="11">
        <f>IF('Water, Gas, Diesel'!F7&lt;0,0,'Water, Gas, Diesel'!F7)</f>
        <v>0</v>
      </c>
      <c r="L3" s="77">
        <v>1.6949000000000001</v>
      </c>
      <c r="M3" s="11">
        <f>Electricity!H9</f>
        <v>119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511087.50000000326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3661</v>
      </c>
      <c r="J4" s="77">
        <v>0.21186441</v>
      </c>
      <c r="K4" s="11">
        <f>IF('Water, Gas, Diesel'!F8&lt;0,0,'Water, Gas, Diesel'!F8)</f>
        <v>306</v>
      </c>
      <c r="L4" s="77">
        <v>1.6949000000000001</v>
      </c>
      <c r="M4" s="11">
        <f>Electricity!H10</f>
        <v>130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23745.000000008076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3293</v>
      </c>
      <c r="J5" s="77">
        <v>0.21186441</v>
      </c>
      <c r="K5" s="11">
        <f>IF('Water, Gas, Diesel'!F9&lt;0,0,'Water, Gas, Diesel'!F9)</f>
        <v>305</v>
      </c>
      <c r="L5" s="77">
        <v>1.6949000000000001</v>
      </c>
      <c r="M5" s="11">
        <f>Electricity!H11</f>
        <v>70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0</v>
      </c>
      <c r="F6" s="77">
        <v>9.3200000000000005E-2</v>
      </c>
      <c r="G6" s="11">
        <f>IF('Water, Gas, Diesel'!K10&lt;0,0,'Water, Gas, Diesel'!K10)</f>
        <v>16400</v>
      </c>
      <c r="H6" s="77">
        <v>0.7</v>
      </c>
      <c r="I6" s="11">
        <f>IF('Water, Gas, Diesel'!C10&lt;0,0,'Water, Gas, Diesel'!C10)</f>
        <v>0</v>
      </c>
      <c r="J6" s="77">
        <v>0.21186441</v>
      </c>
      <c r="K6" s="11">
        <f>IF('Water, Gas, Diesel'!F10&lt;0,0,'Water, Gas, Diesel'!F10)</f>
        <v>0</v>
      </c>
      <c r="L6" s="77">
        <v>1.6949000000000001</v>
      </c>
      <c r="M6" s="11">
        <f>Electricity!H12</f>
        <v>88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0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0</v>
      </c>
      <c r="J7" s="77">
        <v>0.21186441</v>
      </c>
      <c r="K7" s="11">
        <f>IF('Water, Gas, Diesel'!F11&lt;0,0,'Water, Gas, Diesel'!F11)</f>
        <v>0</v>
      </c>
      <c r="L7" s="77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0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0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0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0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0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0</v>
      </c>
      <c r="J10" s="77">
        <v>0.21186441</v>
      </c>
      <c r="K10" s="11">
        <f>IF('Water, Gas, Diesel'!F14&lt;0,0,'Water, Gas, Diesel'!F14)</f>
        <v>0</v>
      </c>
      <c r="L10" s="77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0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0</v>
      </c>
      <c r="J11" s="77">
        <v>0.21186441</v>
      </c>
      <c r="K11" s="11">
        <f>IF('Water, Gas, Diesel'!F15&lt;0,0,'Water, Gas, Diesel'!F15)</f>
        <v>0</v>
      </c>
      <c r="L11" s="77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0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0</v>
      </c>
      <c r="J12" s="77">
        <v>0.21186441</v>
      </c>
      <c r="K12" s="11">
        <f>IF('Water, Gas, Diesel'!F16&lt;0,0,'Water, Gas, Diesel'!F16)</f>
        <v>0</v>
      </c>
      <c r="L12" s="77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77">
        <v>9.3200000000000005E-2</v>
      </c>
      <c r="G13" s="11">
        <f>IF('Water, Gas, Diesel'!K17&lt;0,0,'Water, Gas, Diesel'!K17)</f>
        <v>0</v>
      </c>
      <c r="H13" s="77">
        <v>0.7</v>
      </c>
      <c r="I13" s="11">
        <f>IF('Water, Gas, Diesel'!C17&lt;0,0,'Water, Gas, Diesel'!C17)</f>
        <v>0</v>
      </c>
      <c r="J13" s="77">
        <v>0.21186441</v>
      </c>
      <c r="K13" s="11">
        <f>IF('Water, Gas, Diesel'!F17&lt;0,0,'Water, Gas, Diesel'!F17)</f>
        <v>0</v>
      </c>
      <c r="L13" s="77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0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J9" sqref="J9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5"/>
      <c r="C1" s="166"/>
      <c r="D1" s="166"/>
      <c r="E1" s="166"/>
      <c r="F1" s="166"/>
      <c r="G1" s="166"/>
      <c r="H1" s="167"/>
    </row>
    <row r="2" spans="1:8" ht="15.75" customHeight="1">
      <c r="A2" s="170" t="s">
        <v>15</v>
      </c>
      <c r="B2" s="173" t="s">
        <v>16</v>
      </c>
      <c r="C2" s="174"/>
      <c r="D2" s="174"/>
      <c r="E2" s="175"/>
      <c r="F2" s="176" t="s">
        <v>17</v>
      </c>
      <c r="G2" s="178" t="s">
        <v>18</v>
      </c>
      <c r="H2" s="168" t="s">
        <v>19</v>
      </c>
    </row>
    <row r="3" spans="1:8">
      <c r="A3" s="171"/>
      <c r="B3" s="180" t="s">
        <v>20</v>
      </c>
      <c r="C3" s="181"/>
      <c r="D3" s="180" t="s">
        <v>21</v>
      </c>
      <c r="E3" s="181"/>
      <c r="F3" s="176"/>
      <c r="G3" s="178"/>
      <c r="H3" s="168"/>
    </row>
    <row r="4" spans="1:8">
      <c r="A4" s="171"/>
      <c r="B4" s="182"/>
      <c r="C4" s="183"/>
      <c r="D4" s="182"/>
      <c r="E4" s="183"/>
      <c r="F4" s="176"/>
      <c r="G4" s="178"/>
      <c r="H4" s="168"/>
    </row>
    <row r="5" spans="1:8">
      <c r="A5" s="172"/>
      <c r="B5" s="15" t="s">
        <v>22</v>
      </c>
      <c r="C5" s="59" t="s">
        <v>23</v>
      </c>
      <c r="D5" s="60" t="s">
        <v>22</v>
      </c>
      <c r="E5" s="59" t="s">
        <v>23</v>
      </c>
      <c r="F5" s="177"/>
      <c r="G5" s="179"/>
      <c r="H5" s="169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31</v>
      </c>
      <c r="B7" s="153">
        <v>16380.903</v>
      </c>
      <c r="C7" s="154">
        <f t="shared" ref="C7:C24" si="0">(B8-B7)*2500</f>
        <v>8607.5000000028012</v>
      </c>
      <c r="D7" s="155">
        <v>16608.582999999999</v>
      </c>
      <c r="E7" s="65">
        <f t="shared" ref="E7:E24" si="1">(D8-D7)*2500</f>
        <v>9757.5000000051659</v>
      </c>
      <c r="F7" s="87">
        <f t="shared" ref="F7:F38" si="2">C7+E7</f>
        <v>18365.000000007967</v>
      </c>
      <c r="G7" s="64">
        <f>F7*0.0932</f>
        <v>1711.6180000007425</v>
      </c>
      <c r="H7" s="132">
        <v>51</v>
      </c>
    </row>
    <row r="8" spans="1:8" ht="30.95" customHeight="1">
      <c r="A8" s="92">
        <v>1</v>
      </c>
      <c r="B8" s="156">
        <v>16384.346000000001</v>
      </c>
      <c r="C8" s="154">
        <f t="shared" si="0"/>
        <v>9592.4999999988358</v>
      </c>
      <c r="D8" s="155">
        <v>16612.486000000001</v>
      </c>
      <c r="E8" s="66">
        <f t="shared" si="1"/>
        <v>12129.999999997381</v>
      </c>
      <c r="F8" s="48">
        <f t="shared" si="2"/>
        <v>21722.499999996217</v>
      </c>
      <c r="G8" s="64">
        <f t="shared" ref="G8:G39" si="3">F8*0.0932</f>
        <v>2024.5369999996474</v>
      </c>
      <c r="H8" s="93">
        <v>68</v>
      </c>
    </row>
    <row r="9" spans="1:8" ht="30.95" customHeight="1">
      <c r="A9" s="94">
        <v>2</v>
      </c>
      <c r="B9" s="68">
        <v>16388.183000000001</v>
      </c>
      <c r="C9" s="65">
        <f t="shared" si="0"/>
        <v>8584.9999999936699</v>
      </c>
      <c r="D9" s="67">
        <v>16617.338</v>
      </c>
      <c r="E9" s="37">
        <f t="shared" si="1"/>
        <v>10607.499999996435</v>
      </c>
      <c r="F9" s="45">
        <f t="shared" si="2"/>
        <v>19192.499999990105</v>
      </c>
      <c r="G9" s="64">
        <f t="shared" si="3"/>
        <v>1788.7409999990778</v>
      </c>
      <c r="H9" s="95">
        <v>119</v>
      </c>
    </row>
    <row r="10" spans="1:8" ht="30.95" customHeight="1">
      <c r="A10" s="92">
        <v>3</v>
      </c>
      <c r="B10" s="69">
        <v>16391.616999999998</v>
      </c>
      <c r="C10" s="66">
        <f t="shared" si="0"/>
        <v>3007.5000000033469</v>
      </c>
      <c r="D10" s="70">
        <v>16621.580999999998</v>
      </c>
      <c r="E10" s="66">
        <f t="shared" si="1"/>
        <v>508079.99999999994</v>
      </c>
      <c r="F10" s="48">
        <f t="shared" si="2"/>
        <v>511087.50000000326</v>
      </c>
      <c r="G10" s="64">
        <f t="shared" si="3"/>
        <v>47633.355000000309</v>
      </c>
      <c r="H10" s="95">
        <v>130</v>
      </c>
    </row>
    <row r="11" spans="1:8" ht="30.95" customHeight="1">
      <c r="A11" s="94">
        <v>4</v>
      </c>
      <c r="B11" s="71">
        <v>16392.82</v>
      </c>
      <c r="C11" s="37">
        <f t="shared" si="0"/>
        <v>19475.000000002183</v>
      </c>
      <c r="D11" s="72">
        <v>16824.812999999998</v>
      </c>
      <c r="E11" s="37">
        <f t="shared" si="1"/>
        <v>4270.0000000058935</v>
      </c>
      <c r="F11" s="45">
        <f t="shared" si="2"/>
        <v>23745.000000008076</v>
      </c>
      <c r="G11" s="64">
        <f t="shared" si="3"/>
        <v>2213.0340000007527</v>
      </c>
      <c r="H11" s="95">
        <v>70</v>
      </c>
    </row>
    <row r="12" spans="1:8" ht="30.95" customHeight="1">
      <c r="A12" s="92">
        <v>5</v>
      </c>
      <c r="B12" s="193">
        <v>16400.61</v>
      </c>
      <c r="C12" s="66">
        <f t="shared" si="0"/>
        <v>-41001525</v>
      </c>
      <c r="D12" s="193">
        <v>16826.521000000001</v>
      </c>
      <c r="E12" s="66">
        <f t="shared" si="1"/>
        <v>-42066302.5</v>
      </c>
      <c r="F12" s="48">
        <f t="shared" si="2"/>
        <v>-83067827.5</v>
      </c>
      <c r="G12" s="64">
        <f t="shared" si="3"/>
        <v>-7741921.523</v>
      </c>
      <c r="H12" s="95">
        <v>88</v>
      </c>
    </row>
    <row r="13" spans="1:8" ht="30.95" customHeight="1">
      <c r="A13" s="94">
        <v>6</v>
      </c>
      <c r="B13" s="71"/>
      <c r="C13" s="37">
        <f t="shared" si="0"/>
        <v>0</v>
      </c>
      <c r="D13" s="72"/>
      <c r="E13" s="37">
        <f t="shared" si="1"/>
        <v>0</v>
      </c>
      <c r="F13" s="45">
        <f t="shared" si="2"/>
        <v>0</v>
      </c>
      <c r="G13" s="64">
        <f t="shared" si="3"/>
        <v>0</v>
      </c>
      <c r="H13" s="95"/>
    </row>
    <row r="14" spans="1:8" ht="30.95" customHeight="1">
      <c r="A14" s="92">
        <v>7</v>
      </c>
      <c r="B14" s="73"/>
      <c r="C14" s="66">
        <f t="shared" si="0"/>
        <v>0</v>
      </c>
      <c r="D14" s="96"/>
      <c r="E14" s="66">
        <f t="shared" si="1"/>
        <v>0</v>
      </c>
      <c r="F14" s="48">
        <f t="shared" si="2"/>
        <v>0</v>
      </c>
      <c r="G14" s="64">
        <f t="shared" si="3"/>
        <v>0</v>
      </c>
      <c r="H14" s="95"/>
    </row>
    <row r="15" spans="1:8" ht="30.95" customHeight="1">
      <c r="A15" s="94">
        <v>8</v>
      </c>
      <c r="B15" s="71"/>
      <c r="C15" s="37">
        <f t="shared" si="0"/>
        <v>0</v>
      </c>
      <c r="D15" s="74"/>
      <c r="E15" s="37">
        <f t="shared" si="1"/>
        <v>0</v>
      </c>
      <c r="F15" s="45">
        <f t="shared" si="2"/>
        <v>0</v>
      </c>
      <c r="G15" s="64">
        <f t="shared" si="3"/>
        <v>0</v>
      </c>
      <c r="H15" s="95"/>
    </row>
    <row r="16" spans="1:8" ht="30.95" customHeight="1">
      <c r="A16" s="92">
        <v>9</v>
      </c>
      <c r="B16" s="133"/>
      <c r="C16" s="66">
        <f t="shared" si="0"/>
        <v>0</v>
      </c>
      <c r="D16" s="75"/>
      <c r="E16" s="66">
        <f t="shared" si="1"/>
        <v>0</v>
      </c>
      <c r="F16" s="48">
        <f t="shared" si="2"/>
        <v>0</v>
      </c>
      <c r="G16" s="64">
        <f t="shared" si="3"/>
        <v>0</v>
      </c>
      <c r="H16" s="95"/>
    </row>
    <row r="17" spans="1:8" ht="30.95" customHeight="1">
      <c r="A17" s="94">
        <v>10</v>
      </c>
      <c r="B17" s="73"/>
      <c r="C17" s="37">
        <f t="shared" si="0"/>
        <v>0</v>
      </c>
      <c r="D17" s="96"/>
      <c r="E17" s="37">
        <f t="shared" si="1"/>
        <v>0</v>
      </c>
      <c r="F17" s="45">
        <f t="shared" si="2"/>
        <v>0</v>
      </c>
      <c r="G17" s="64">
        <f t="shared" si="3"/>
        <v>0</v>
      </c>
      <c r="H17" s="95"/>
    </row>
    <row r="18" spans="1:8" ht="30.95" customHeight="1">
      <c r="A18" s="92">
        <v>11</v>
      </c>
      <c r="B18" s="71"/>
      <c r="C18" s="66">
        <f t="shared" si="0"/>
        <v>0</v>
      </c>
      <c r="D18" s="74"/>
      <c r="E18" s="66">
        <f t="shared" si="1"/>
        <v>0</v>
      </c>
      <c r="F18" s="48">
        <f t="shared" si="2"/>
        <v>0</v>
      </c>
      <c r="G18" s="64">
        <f t="shared" si="3"/>
        <v>0</v>
      </c>
      <c r="H18" s="95"/>
    </row>
    <row r="19" spans="1:8" ht="30.95" customHeight="1">
      <c r="A19" s="94">
        <v>12</v>
      </c>
      <c r="B19" s="73"/>
      <c r="C19" s="37">
        <f t="shared" si="0"/>
        <v>0</v>
      </c>
      <c r="D19" s="96"/>
      <c r="E19" s="37">
        <f t="shared" si="1"/>
        <v>0</v>
      </c>
      <c r="F19" s="45">
        <f t="shared" si="2"/>
        <v>0</v>
      </c>
      <c r="G19" s="64">
        <f t="shared" si="3"/>
        <v>0</v>
      </c>
      <c r="H19" s="95"/>
    </row>
    <row r="20" spans="1:8" ht="30.95" customHeight="1">
      <c r="A20" s="92">
        <v>13</v>
      </c>
      <c r="B20" s="71"/>
      <c r="C20" s="66">
        <f t="shared" si="0"/>
        <v>0</v>
      </c>
      <c r="D20" s="76"/>
      <c r="E20" s="66">
        <f t="shared" si="1"/>
        <v>0</v>
      </c>
      <c r="F20" s="48">
        <f t="shared" si="2"/>
        <v>0</v>
      </c>
      <c r="G20" s="64">
        <f t="shared" si="3"/>
        <v>0</v>
      </c>
      <c r="H20" s="95"/>
    </row>
    <row r="21" spans="1:8" ht="30.95" customHeight="1">
      <c r="A21" s="94">
        <v>14</v>
      </c>
      <c r="B21" s="71"/>
      <c r="C21" s="37">
        <f t="shared" si="0"/>
        <v>0</v>
      </c>
      <c r="D21" s="74"/>
      <c r="E21" s="37">
        <f t="shared" si="1"/>
        <v>0</v>
      </c>
      <c r="F21" s="45">
        <f t="shared" si="2"/>
        <v>0</v>
      </c>
      <c r="G21" s="64">
        <f t="shared" si="3"/>
        <v>0</v>
      </c>
      <c r="H21" s="95"/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80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8" activePane="bottomLeft" state="frozen"/>
      <selection pane="bottomLeft" activeCell="N10" sqref="N10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0" t="s">
        <v>14</v>
      </c>
      <c r="B1" s="185" t="s">
        <v>24</v>
      </c>
      <c r="C1" s="186"/>
      <c r="D1" s="187"/>
      <c r="E1" s="188" t="s">
        <v>25</v>
      </c>
      <c r="F1" s="186"/>
      <c r="G1" s="186"/>
      <c r="H1" s="186"/>
      <c r="I1" s="187"/>
      <c r="J1" s="188" t="s">
        <v>26</v>
      </c>
      <c r="K1" s="186"/>
      <c r="L1" s="189"/>
    </row>
    <row r="2" spans="1:12" ht="27" customHeight="1">
      <c r="A2" s="184"/>
      <c r="B2" s="190"/>
      <c r="C2" s="191"/>
      <c r="D2" s="192"/>
      <c r="E2" s="190"/>
      <c r="F2" s="191"/>
      <c r="G2" s="191"/>
      <c r="H2" s="191"/>
      <c r="I2" s="192"/>
      <c r="J2" s="190"/>
      <c r="K2" s="191"/>
      <c r="L2" s="192"/>
    </row>
    <row r="3" spans="1:12" ht="59.25" customHeight="1">
      <c r="A3" s="86" t="s">
        <v>15</v>
      </c>
      <c r="B3" s="15" t="s">
        <v>22</v>
      </c>
      <c r="C3" s="16" t="s">
        <v>27</v>
      </c>
      <c r="D3" s="17" t="s">
        <v>28</v>
      </c>
      <c r="E3" s="83" t="s">
        <v>22</v>
      </c>
      <c r="F3" s="18" t="s">
        <v>23</v>
      </c>
      <c r="G3" s="19" t="s">
        <v>29</v>
      </c>
      <c r="H3" s="19" t="s">
        <v>30</v>
      </c>
      <c r="I3" s="82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31</v>
      </c>
      <c r="B5" s="84">
        <v>7439948</v>
      </c>
      <c r="C5" s="97">
        <f>B6-B5</f>
        <v>2698</v>
      </c>
      <c r="D5" s="32">
        <f>C5*0.21186441</f>
        <v>571.61017818000005</v>
      </c>
      <c r="E5" s="33">
        <v>594767</v>
      </c>
      <c r="F5" s="98">
        <f>E6-E5</f>
        <v>152</v>
      </c>
      <c r="G5" s="34">
        <f>F5*0.84746</f>
        <v>128.81392</v>
      </c>
      <c r="H5" s="34">
        <f>F5*0.84746</f>
        <v>128.81392</v>
      </c>
      <c r="I5" s="85">
        <f>G5+H5</f>
        <v>257.62783999999999</v>
      </c>
      <c r="J5" s="35">
        <f>10000+6220</f>
        <v>16220</v>
      </c>
      <c r="K5" s="36">
        <f>J5-J6</f>
        <v>-100</v>
      </c>
      <c r="L5" s="37">
        <f>K5*0.7</f>
        <v>-70</v>
      </c>
    </row>
    <row r="6" spans="1:12" ht="32.450000000000003" customHeight="1">
      <c r="A6" s="38">
        <v>1</v>
      </c>
      <c r="B6" s="84">
        <v>7442646</v>
      </c>
      <c r="C6" s="50">
        <f t="shared" ref="C6:C15" si="0">B7-B6</f>
        <v>3980</v>
      </c>
      <c r="D6" s="39">
        <f>C6*0.21186441</f>
        <v>843.2203518</v>
      </c>
      <c r="E6" s="40">
        <v>594919</v>
      </c>
      <c r="F6" s="51">
        <f t="shared" ref="F6:F15" si="1">E7-E6</f>
        <v>0</v>
      </c>
      <c r="G6" s="41">
        <f>F6*0.84746</f>
        <v>0</v>
      </c>
      <c r="H6" s="41">
        <f>F6*0.84746</f>
        <v>0</v>
      </c>
      <c r="I6" s="42">
        <f t="shared" ref="I6:I36" si="2">G6+H6</f>
        <v>0</v>
      </c>
      <c r="J6" s="35">
        <f>10100+6220</f>
        <v>16320</v>
      </c>
      <c r="K6" s="36">
        <f t="shared" ref="K6:K35" si="3">J6-J7</f>
        <v>-60</v>
      </c>
      <c r="L6" s="37">
        <f>K6*0.7</f>
        <v>-42</v>
      </c>
    </row>
    <row r="7" spans="1:12" ht="32.450000000000003" customHeight="1">
      <c r="A7" s="43">
        <v>2</v>
      </c>
      <c r="B7" s="43">
        <v>7446626</v>
      </c>
      <c r="C7" s="52">
        <f t="shared" si="0"/>
        <v>3712</v>
      </c>
      <c r="D7" s="44">
        <f>C7*0.21186441</f>
        <v>786.44068992000007</v>
      </c>
      <c r="E7" s="45">
        <v>594919</v>
      </c>
      <c r="F7" s="53">
        <f t="shared" si="1"/>
        <v>0</v>
      </c>
      <c r="G7" s="46">
        <f t="shared" ref="G7:G36" si="4">F7*0.84746</f>
        <v>0</v>
      </c>
      <c r="H7" s="46">
        <f t="shared" ref="H7:H36" si="5">F7*0.84746</f>
        <v>0</v>
      </c>
      <c r="I7" s="47">
        <f t="shared" si="2"/>
        <v>0</v>
      </c>
      <c r="J7" s="35">
        <f>10100+6280</f>
        <v>16380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7450338</v>
      </c>
      <c r="C8" s="50">
        <f t="shared" si="0"/>
        <v>3661</v>
      </c>
      <c r="D8" s="44">
        <f t="shared" ref="D8:D36" si="7">C8*0.21186441</f>
        <v>775.63560501000006</v>
      </c>
      <c r="E8" s="45">
        <v>594919</v>
      </c>
      <c r="F8" s="51">
        <f t="shared" si="1"/>
        <v>306</v>
      </c>
      <c r="G8" s="41">
        <f t="shared" si="4"/>
        <v>259.32276000000002</v>
      </c>
      <c r="H8" s="41">
        <f t="shared" si="5"/>
        <v>259.32276000000002</v>
      </c>
      <c r="I8" s="47">
        <f t="shared" si="2"/>
        <v>518.64552000000003</v>
      </c>
      <c r="J8" s="35">
        <f>10100+6280</f>
        <v>16380</v>
      </c>
      <c r="K8" s="36">
        <f t="shared" si="3"/>
        <v>-20</v>
      </c>
      <c r="L8" s="37">
        <f t="shared" si="6"/>
        <v>-14</v>
      </c>
    </row>
    <row r="9" spans="1:12" ht="32.450000000000003" customHeight="1">
      <c r="A9" s="43">
        <v>4</v>
      </c>
      <c r="B9" s="43">
        <v>7453999</v>
      </c>
      <c r="C9" s="52">
        <f t="shared" si="0"/>
        <v>3293</v>
      </c>
      <c r="D9" s="44">
        <f t="shared" si="7"/>
        <v>697.66950212999996</v>
      </c>
      <c r="E9" s="45">
        <v>595225</v>
      </c>
      <c r="F9" s="53">
        <f t="shared" si="1"/>
        <v>305</v>
      </c>
      <c r="G9" s="46">
        <f t="shared" si="4"/>
        <v>258.4753</v>
      </c>
      <c r="H9" s="46">
        <f t="shared" si="5"/>
        <v>258.4753</v>
      </c>
      <c r="I9" s="47">
        <f t="shared" si="2"/>
        <v>516.95060000000001</v>
      </c>
      <c r="J9" s="35">
        <f>10100+6300</f>
        <v>16400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7457292</v>
      </c>
      <c r="C10" s="50">
        <f t="shared" si="0"/>
        <v>-7457292</v>
      </c>
      <c r="D10" s="44">
        <f t="shared" si="7"/>
        <v>-1579934.7697777201</v>
      </c>
      <c r="E10" s="45">
        <v>595530</v>
      </c>
      <c r="F10" s="51">
        <f t="shared" si="1"/>
        <v>-595530</v>
      </c>
      <c r="G10" s="41">
        <f t="shared" si="4"/>
        <v>-504687.85379999998</v>
      </c>
      <c r="H10" s="41">
        <f t="shared" si="5"/>
        <v>-504687.85379999998</v>
      </c>
      <c r="I10" s="47">
        <f t="shared" si="2"/>
        <v>-1009375.7076</v>
      </c>
      <c r="J10" s="35">
        <f>10100+6300</f>
        <v>16400</v>
      </c>
      <c r="K10" s="36">
        <f t="shared" si="3"/>
        <v>16400</v>
      </c>
      <c r="L10" s="37">
        <f t="shared" si="6"/>
        <v>11480</v>
      </c>
    </row>
    <row r="11" spans="1:12" ht="32.450000000000003" customHeight="1">
      <c r="A11" s="43">
        <v>6</v>
      </c>
      <c r="B11" s="43"/>
      <c r="C11" s="52">
        <f t="shared" si="0"/>
        <v>0</v>
      </c>
      <c r="D11" s="44">
        <f t="shared" si="7"/>
        <v>0</v>
      </c>
      <c r="E11" s="45"/>
      <c r="F11" s="53">
        <f t="shared" si="1"/>
        <v>0</v>
      </c>
      <c r="G11" s="46">
        <f t="shared" si="4"/>
        <v>0</v>
      </c>
      <c r="H11" s="46">
        <f t="shared" si="5"/>
        <v>0</v>
      </c>
      <c r="I11" s="47">
        <f t="shared" si="2"/>
        <v>0</v>
      </c>
      <c r="J11" s="35"/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/>
      <c r="C12" s="50">
        <f t="shared" si="0"/>
        <v>0</v>
      </c>
      <c r="D12" s="44">
        <f t="shared" si="7"/>
        <v>0</v>
      </c>
      <c r="E12" s="45"/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/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/>
      <c r="C13" s="52">
        <f t="shared" si="0"/>
        <v>0</v>
      </c>
      <c r="D13" s="44">
        <f t="shared" si="7"/>
        <v>0</v>
      </c>
      <c r="E13" s="45"/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/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/>
      <c r="C14" s="50">
        <f t="shared" si="0"/>
        <v>0</v>
      </c>
      <c r="D14" s="44">
        <f t="shared" si="7"/>
        <v>0</v>
      </c>
      <c r="E14" s="45"/>
      <c r="F14" s="51">
        <f t="shared" si="1"/>
        <v>0</v>
      </c>
      <c r="G14" s="46">
        <f t="shared" si="4"/>
        <v>0</v>
      </c>
      <c r="H14" s="41">
        <f t="shared" si="5"/>
        <v>0</v>
      </c>
      <c r="I14" s="47">
        <f t="shared" si="2"/>
        <v>0</v>
      </c>
      <c r="J14" s="35"/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/>
      <c r="C15" s="52">
        <f t="shared" si="0"/>
        <v>0</v>
      </c>
      <c r="D15" s="44">
        <f t="shared" si="7"/>
        <v>0</v>
      </c>
      <c r="E15" s="45"/>
      <c r="F15" s="53">
        <f t="shared" si="1"/>
        <v>0</v>
      </c>
      <c r="G15" s="46">
        <f t="shared" si="4"/>
        <v>0</v>
      </c>
      <c r="H15" s="46">
        <f t="shared" si="5"/>
        <v>0</v>
      </c>
      <c r="I15" s="47">
        <f t="shared" si="2"/>
        <v>0</v>
      </c>
      <c r="J15" s="35"/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/>
      <c r="C16" s="50">
        <f>B17-B16</f>
        <v>0</v>
      </c>
      <c r="D16" s="44">
        <f t="shared" si="7"/>
        <v>0</v>
      </c>
      <c r="E16" s="45"/>
      <c r="F16" s="51">
        <f>E17-E16</f>
        <v>0</v>
      </c>
      <c r="G16" s="41">
        <f t="shared" si="4"/>
        <v>0</v>
      </c>
      <c r="H16" s="41">
        <f t="shared" si="5"/>
        <v>0</v>
      </c>
      <c r="I16" s="47">
        <f t="shared" si="2"/>
        <v>0</v>
      </c>
      <c r="J16" s="35"/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/>
      <c r="C17" s="52">
        <f t="shared" ref="C17:C35" si="8">B18-B17</f>
        <v>0</v>
      </c>
      <c r="D17" s="44">
        <f t="shared" si="7"/>
        <v>0</v>
      </c>
      <c r="E17" s="45"/>
      <c r="F17" s="53">
        <f t="shared" ref="F17:F35" si="9">E18-E17</f>
        <v>0</v>
      </c>
      <c r="G17" s="46">
        <f t="shared" si="4"/>
        <v>0</v>
      </c>
      <c r="H17" s="46">
        <f t="shared" si="5"/>
        <v>0</v>
      </c>
      <c r="I17" s="47">
        <f t="shared" si="2"/>
        <v>0</v>
      </c>
      <c r="J17" s="35"/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/>
      <c r="C18" s="50">
        <f t="shared" si="8"/>
        <v>0</v>
      </c>
      <c r="D18" s="44">
        <f t="shared" si="7"/>
        <v>0</v>
      </c>
      <c r="E18" s="48"/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2">
        <f t="shared" si="8"/>
        <v>0</v>
      </c>
      <c r="D19" s="44">
        <f t="shared" si="7"/>
        <v>0</v>
      </c>
      <c r="E19" s="49"/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9A055-6880-4B7E-B153-32E81666CB30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B764E2F0-68A0-4923-AC43-D41B6713E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2023-02-06T09:01:07Z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