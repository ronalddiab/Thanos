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80" yWindow="-180" windowWidth="15840" windowHeight="11355" tabRatio="580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Swimming Pool quality check " sheetId="79" r:id="rId13"/>
    <sheet name="EDl log" sheetId="76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4" i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9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9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<sst xmlns="http://schemas.openxmlformats.org/spreadsheetml/2006/main" count="652" uniqueCount="417">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</sst>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022912"/>
        <c:axId val="151181952"/>
      </c:lineChart>
      <c:catAx>
        <c:axId val="10002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1952"/>
        <c:crosses val="autoZero"/>
        <c:auto val="1"/>
        <c:lblAlgn val="ctr"/>
        <c:lblOffset val="100"/>
      </c:catAx>
      <c:valAx>
        <c:axId val="151181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21"/>
          <c:w val="0.11899800868449698"/>
          <c:h val="4.49826989619465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326400"/>
        <c:axId val="100328192"/>
      </c:lineChart>
      <c:catAx>
        <c:axId val="1003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28192"/>
        <c:crosses val="autoZero"/>
        <c:auto val="1"/>
        <c:lblAlgn val="ctr"/>
        <c:lblOffset val="100"/>
      </c:catAx>
      <c:valAx>
        <c:axId val="10032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0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69184"/>
        <c:axId val="101070720"/>
      </c:lineChart>
      <c:catAx>
        <c:axId val="10106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0720"/>
        <c:crosses val="autoZero"/>
        <c:auto val="1"/>
        <c:lblAlgn val="ctr"/>
        <c:lblOffset val="100"/>
      </c:catAx>
      <c:valAx>
        <c:axId val="1010707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6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715"/>
          <c:y val="0.62975887529635921"/>
          <c:w val="7.9124755870162669E-2"/>
          <c:h val="4.49826989619465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85728"/>
        <c:axId val="101387264"/>
      </c:lineChart>
      <c:catAx>
        <c:axId val="10138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7264"/>
        <c:crosses val="autoZero"/>
        <c:auto val="1"/>
        <c:lblAlgn val="ctr"/>
        <c:lblOffset val="100"/>
      </c:catAx>
      <c:valAx>
        <c:axId val="101387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55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95072"/>
        <c:axId val="101417344"/>
      </c:lineChart>
      <c:catAx>
        <c:axId val="10139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17344"/>
        <c:crosses val="autoZero"/>
        <c:auto val="1"/>
        <c:lblAlgn val="ctr"/>
        <c:lblOffset val="100"/>
      </c:catAx>
      <c:valAx>
        <c:axId val="101417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99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11552"/>
        <c:axId val="101513088"/>
      </c:lineChart>
      <c:catAx>
        <c:axId val="10151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3088"/>
        <c:crosses val="autoZero"/>
        <c:auto val="1"/>
        <c:lblAlgn val="ctr"/>
        <c:lblOffset val="100"/>
      </c:catAx>
      <c:valAx>
        <c:axId val="10151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11712"/>
        <c:axId val="101813248"/>
      </c:lineChart>
      <c:catAx>
        <c:axId val="10181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3248"/>
        <c:crosses val="autoZero"/>
        <c:auto val="1"/>
        <c:lblAlgn val="ctr"/>
        <c:lblOffset val="100"/>
      </c:catAx>
      <c:valAx>
        <c:axId val="10181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32960"/>
        <c:axId val="101842944"/>
      </c:lineChart>
      <c:catAx>
        <c:axId val="10183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42944"/>
        <c:crosses val="autoZero"/>
        <c:auto val="1"/>
        <c:lblAlgn val="ctr"/>
        <c:lblOffset val="100"/>
      </c:catAx>
      <c:valAx>
        <c:axId val="10184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3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66880"/>
        <c:axId val="101880960"/>
      </c:lineChart>
      <c:catAx>
        <c:axId val="10186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80960"/>
        <c:crosses val="autoZero"/>
        <c:auto val="1"/>
        <c:lblAlgn val="ctr"/>
        <c:lblOffset val="100"/>
      </c:catAx>
      <c:valAx>
        <c:axId val="101880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6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019"/>
          <c:w val="0.1272403315177272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78880"/>
        <c:axId val="101980416"/>
      </c:lineChart>
      <c:catAx>
        <c:axId val="1019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80416"/>
        <c:crosses val="autoZero"/>
        <c:auto val="1"/>
        <c:lblAlgn val="ctr"/>
        <c:lblOffset val="100"/>
      </c:catAx>
      <c:valAx>
        <c:axId val="10198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7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016896"/>
        <c:axId val="102018432"/>
      </c:lineChart>
      <c:catAx>
        <c:axId val="1020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18432"/>
        <c:crosses val="autoZero"/>
        <c:auto val="1"/>
        <c:lblAlgn val="ctr"/>
        <c:lblOffset val="100"/>
      </c:catAx>
      <c:valAx>
        <c:axId val="10201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1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019"/>
          <c:w val="0.1354168853893491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30336"/>
        <c:axId val="101929728"/>
      </c:lineChart>
      <c:catAx>
        <c:axId val="1020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29728"/>
        <c:crosses val="autoZero"/>
        <c:auto val="1"/>
        <c:lblAlgn val="ctr"/>
        <c:lblOffset val="100"/>
      </c:catAx>
      <c:valAx>
        <c:axId val="101929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01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962496"/>
        <c:axId val="101964032"/>
      </c:lineChart>
      <c:catAx>
        <c:axId val="10196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64032"/>
        <c:crosses val="autoZero"/>
        <c:auto val="1"/>
        <c:lblAlgn val="ctr"/>
        <c:lblOffset val="100"/>
      </c:catAx>
      <c:valAx>
        <c:axId val="10196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6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21"/>
          <c:w val="0.12291688538932598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624256"/>
        <c:axId val="100625792"/>
      </c:lineChart>
      <c:catAx>
        <c:axId val="10062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5792"/>
        <c:crosses val="autoZero"/>
        <c:auto val="1"/>
        <c:lblAlgn val="ctr"/>
        <c:lblOffset val="100"/>
      </c:catAx>
      <c:valAx>
        <c:axId val="10062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019"/>
          <c:w val="0.1354168853893491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45888"/>
        <c:axId val="100655872"/>
      </c:lineChart>
      <c:catAx>
        <c:axId val="1006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5872"/>
        <c:crosses val="autoZero"/>
        <c:auto val="1"/>
        <c:lblAlgn val="ctr"/>
        <c:lblOffset val="100"/>
      </c:catAx>
      <c:valAx>
        <c:axId val="100655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405"/>
          <c:y val="0.54325368498487869"/>
          <c:w val="0.11458355205599259"/>
          <c:h val="4.49826989619459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25952"/>
        <c:axId val="102127488"/>
      </c:lineChart>
      <c:catAx>
        <c:axId val="10212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27488"/>
        <c:crosses val="autoZero"/>
        <c:auto val="1"/>
        <c:lblAlgn val="ctr"/>
        <c:lblOffset val="100"/>
      </c:catAx>
      <c:valAx>
        <c:axId val="102127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02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152064"/>
        <c:axId val="102153600"/>
      </c:lineChart>
      <c:catAx>
        <c:axId val="10215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53600"/>
        <c:crosses val="autoZero"/>
        <c:auto val="1"/>
        <c:lblAlgn val="ctr"/>
        <c:lblOffset val="100"/>
      </c:catAx>
      <c:valAx>
        <c:axId val="10215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21"/>
          <c:w val="0.13541688538934946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51520"/>
        <c:axId val="102261504"/>
      </c:lineChart>
      <c:catAx>
        <c:axId val="10225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1504"/>
        <c:crosses val="autoZero"/>
        <c:auto val="1"/>
        <c:lblAlgn val="ctr"/>
        <c:lblOffset val="100"/>
      </c:catAx>
      <c:valAx>
        <c:axId val="1022615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5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21"/>
          <c:w val="9.730870597697025E-2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13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75808"/>
        <c:axId val="102377344"/>
      </c:lineChart>
      <c:catAx>
        <c:axId val="10237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77344"/>
        <c:crosses val="autoZero"/>
        <c:auto val="1"/>
        <c:lblAlgn val="ctr"/>
        <c:lblOffset val="100"/>
      </c:catAx>
      <c:valAx>
        <c:axId val="102377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7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05632"/>
        <c:axId val="102407168"/>
      </c:lineChart>
      <c:catAx>
        <c:axId val="10240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07168"/>
        <c:crosses val="autoZero"/>
        <c:auto val="1"/>
        <c:lblAlgn val="ctr"/>
        <c:lblOffset val="100"/>
      </c:catAx>
      <c:valAx>
        <c:axId val="10240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0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844"/>
          <c:y val="0.62975887529635921"/>
          <c:w val="0.13250539334757044"/>
          <c:h val="4.49826989619465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08480"/>
        <c:axId val="102318464"/>
      </c:lineChart>
      <c:catAx>
        <c:axId val="10230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18464"/>
        <c:crosses val="autoZero"/>
        <c:auto val="1"/>
        <c:lblAlgn val="ctr"/>
        <c:lblOffset val="100"/>
      </c:catAx>
      <c:valAx>
        <c:axId val="10231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01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350848"/>
        <c:axId val="102352384"/>
      </c:lineChart>
      <c:catAx>
        <c:axId val="10235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2384"/>
        <c:crosses val="autoZero"/>
        <c:auto val="1"/>
        <c:lblAlgn val="ctr"/>
        <c:lblOffset val="100"/>
      </c:catAx>
      <c:valAx>
        <c:axId val="10235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556"/>
          <c:w val="0.1234311819809265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-457.50000000000017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54.2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2446976"/>
        <c:axId val="102448512"/>
      </c:lineChart>
      <c:catAx>
        <c:axId val="1024469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8512"/>
        <c:crosses val="autoZero"/>
        <c:auto val="1"/>
        <c:lblAlgn val="ctr"/>
        <c:lblOffset val="100"/>
      </c:catAx>
      <c:valAx>
        <c:axId val="1024485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068"/>
          <c:w val="0.1569039853282139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55936"/>
        <c:axId val="102478208"/>
      </c:lineChart>
      <c:catAx>
        <c:axId val="1024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78208"/>
        <c:crosses val="autoZero"/>
        <c:auto val="1"/>
        <c:lblAlgn val="ctr"/>
        <c:lblOffset val="100"/>
      </c:catAx>
      <c:valAx>
        <c:axId val="102478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5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21"/>
          <c:w val="0.14853578449139962"/>
          <c:h val="4.49826989619468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715776"/>
        <c:axId val="102717312"/>
      </c:lineChart>
      <c:catAx>
        <c:axId val="1027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7312"/>
        <c:crosses val="autoZero"/>
        <c:auto val="1"/>
        <c:lblAlgn val="ctr"/>
        <c:lblOffset val="100"/>
      </c:catAx>
      <c:valAx>
        <c:axId val="10271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219"/>
          <c:y val="0.62975887529635921"/>
          <c:w val="0.12164948453608219"/>
          <c:h val="4.49826989619468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0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074048"/>
        <c:axId val="103075840"/>
      </c:lineChart>
      <c:catAx>
        <c:axId val="1030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5840"/>
        <c:crosses val="autoZero"/>
        <c:auto val="1"/>
        <c:lblAlgn val="ctr"/>
        <c:lblOffset val="100"/>
      </c:catAx>
      <c:valAx>
        <c:axId val="103075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3083392"/>
        <c:axId val="103298176"/>
      </c:lineChart>
      <c:catAx>
        <c:axId val="10308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98176"/>
        <c:crosses val="autoZero"/>
        <c:auto val="1"/>
        <c:lblAlgn val="ctr"/>
        <c:lblOffset val="100"/>
      </c:catAx>
      <c:valAx>
        <c:axId val="10329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8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98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-457.50000000000017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54.2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3462784"/>
        <c:axId val="103464320"/>
      </c:lineChart>
      <c:catAx>
        <c:axId val="1034627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64320"/>
        <c:crosses val="autoZero"/>
        <c:auto val="1"/>
        <c:lblAlgn val="ctr"/>
        <c:lblOffset val="100"/>
      </c:catAx>
      <c:valAx>
        <c:axId val="1034643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6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0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4.1046915556997146E-2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4.9221444597070625E-2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4.6443624938242403E-2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4.4206024576630788E-2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4.4050564652599628E-2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2.5547354859696118E-2</v>
      </c>
      <c r="G7" s="204">
        <f>-tanks!AW11</f>
        <v>145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Q5" sqref="Q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topLeftCell="S1" zoomScale="85" zoomScaleNormal="85" zoomScaleSheetLayoutView="100" workbookViewId="0">
      <pane ySplit="1" topLeftCell="A2" activePane="bottomLeft" state="frozen"/>
      <selection activeCell="C1" sqref="C1"/>
      <selection pane="bottomLeft" activeCell="AI8" sqref="AI8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f t="shared" ref="D9:D33" si="23">D8</f>
        <v>32304614</v>
      </c>
      <c r="E9" s="314">
        <f t="shared" si="13"/>
        <v>0</v>
      </c>
      <c r="F9" s="452">
        <f t="shared" ref="F9:F33" si="24">F8</f>
        <v>3876774</v>
      </c>
      <c r="G9" s="315">
        <f t="shared" si="0"/>
        <v>0</v>
      </c>
      <c r="H9" s="452">
        <f t="shared" ref="H9:H33" si="25">H8</f>
        <v>17676048</v>
      </c>
      <c r="I9" s="315">
        <f t="shared" si="14"/>
        <v>0</v>
      </c>
      <c r="J9" s="452">
        <f t="shared" ref="J9:J33" si="26">J8</f>
        <v>28726090</v>
      </c>
      <c r="K9" s="315">
        <f t="shared" si="15"/>
        <v>0</v>
      </c>
      <c r="L9" s="452">
        <f t="shared" ref="L9:L33" si="27">L8</f>
        <v>23711834</v>
      </c>
      <c r="M9" s="315">
        <f t="shared" si="16"/>
        <v>0</v>
      </c>
      <c r="N9" s="313">
        <f t="shared" si="17"/>
        <v>0</v>
      </c>
      <c r="O9" s="474">
        <f t="shared" si="1"/>
        <v>0</v>
      </c>
      <c r="P9" s="452">
        <f t="shared" ref="P9:P33" si="28">P8</f>
        <v>16354</v>
      </c>
      <c r="Q9" s="456">
        <f t="shared" si="2"/>
        <v>0</v>
      </c>
      <c r="R9" s="456">
        <f t="shared" si="21"/>
        <v>0</v>
      </c>
      <c r="S9" s="452">
        <f t="shared" ref="S9:S33" si="29">S8</f>
        <v>9760</v>
      </c>
      <c r="T9" s="476">
        <f t="shared" si="3"/>
        <v>0</v>
      </c>
      <c r="U9" s="452">
        <f t="shared" ref="U9:U33" si="30">U8</f>
        <v>345219</v>
      </c>
      <c r="V9" s="456">
        <f t="shared" si="18"/>
        <v>0</v>
      </c>
      <c r="W9" s="452">
        <f t="shared" si="7"/>
        <v>32049</v>
      </c>
      <c r="X9" s="456">
        <f t="shared" ref="X9:X32" si="31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0</v>
      </c>
      <c r="AF9" s="480">
        <f t="shared" si="12"/>
        <v>0</v>
      </c>
      <c r="AG9" s="472">
        <f t="shared" si="5"/>
        <v>0</v>
      </c>
      <c r="AI9" s="473">
        <f>R9-'EDl log'!B7</f>
        <v>-486458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f t="shared" si="23"/>
        <v>32304614</v>
      </c>
      <c r="E10" s="314">
        <f t="shared" si="13"/>
        <v>0</v>
      </c>
      <c r="F10" s="452">
        <f t="shared" si="24"/>
        <v>3876774</v>
      </c>
      <c r="G10" s="315">
        <f t="shared" si="0"/>
        <v>0</v>
      </c>
      <c r="H10" s="452">
        <f t="shared" si="25"/>
        <v>17676048</v>
      </c>
      <c r="I10" s="315">
        <f t="shared" si="14"/>
        <v>0</v>
      </c>
      <c r="J10" s="452">
        <f t="shared" si="26"/>
        <v>28726090</v>
      </c>
      <c r="K10" s="315">
        <f t="shared" si="15"/>
        <v>0</v>
      </c>
      <c r="L10" s="452">
        <f t="shared" si="27"/>
        <v>23711834</v>
      </c>
      <c r="M10" s="315">
        <f t="shared" si="16"/>
        <v>0</v>
      </c>
      <c r="N10" s="313">
        <f t="shared" si="17"/>
        <v>0</v>
      </c>
      <c r="O10" s="474">
        <f t="shared" ref="O10:O32" si="32">IF(B10&gt;0,N10/B10,0)</f>
        <v>0</v>
      </c>
      <c r="P10" s="452">
        <f t="shared" si="28"/>
        <v>16354</v>
      </c>
      <c r="Q10" s="456">
        <f t="shared" si="2"/>
        <v>0</v>
      </c>
      <c r="R10" s="456">
        <f t="shared" si="21"/>
        <v>0</v>
      </c>
      <c r="S10" s="452">
        <f t="shared" si="29"/>
        <v>9760</v>
      </c>
      <c r="T10" s="476">
        <f t="shared" si="3"/>
        <v>0</v>
      </c>
      <c r="U10" s="452">
        <f t="shared" si="30"/>
        <v>345219</v>
      </c>
      <c r="V10" s="456">
        <f t="shared" si="18"/>
        <v>0</v>
      </c>
      <c r="W10" s="452">
        <v>32049</v>
      </c>
      <c r="X10" s="456">
        <f t="shared" si="31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0</v>
      </c>
      <c r="AF10" s="480">
        <f t="shared" si="12"/>
        <v>0</v>
      </c>
      <c r="AG10" s="472">
        <f t="shared" ref="AG10:AG32" si="33">IF(AE10&gt;0,AF10/AE10,0)</f>
        <v>0</v>
      </c>
      <c r="AI10" s="473">
        <f>R10-'EDl log'!B8</f>
        <v>-490415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f t="shared" si="23"/>
        <v>32304614</v>
      </c>
      <c r="E11" s="314">
        <f t="shared" si="13"/>
        <v>0</v>
      </c>
      <c r="F11" s="452">
        <f t="shared" si="24"/>
        <v>3876774</v>
      </c>
      <c r="G11" s="315">
        <f t="shared" si="0"/>
        <v>0</v>
      </c>
      <c r="H11" s="452">
        <f t="shared" si="25"/>
        <v>17676048</v>
      </c>
      <c r="I11" s="315">
        <f t="shared" si="14"/>
        <v>0</v>
      </c>
      <c r="J11" s="452">
        <f t="shared" si="26"/>
        <v>28726090</v>
      </c>
      <c r="K11" s="315">
        <f t="shared" si="15"/>
        <v>0</v>
      </c>
      <c r="L11" s="452">
        <f t="shared" si="27"/>
        <v>23711834</v>
      </c>
      <c r="M11" s="315">
        <f t="shared" si="16"/>
        <v>0</v>
      </c>
      <c r="N11" s="313">
        <f>M11+K11+I11+G11+E11</f>
        <v>0</v>
      </c>
      <c r="O11" s="474">
        <f t="shared" si="32"/>
        <v>0</v>
      </c>
      <c r="P11" s="452">
        <f t="shared" si="28"/>
        <v>16354</v>
      </c>
      <c r="Q11" s="456">
        <f t="shared" si="2"/>
        <v>0</v>
      </c>
      <c r="R11" s="456">
        <f t="shared" si="21"/>
        <v>0</v>
      </c>
      <c r="S11" s="452">
        <f t="shared" si="29"/>
        <v>9760</v>
      </c>
      <c r="T11" s="476">
        <f t="shared" si="3"/>
        <v>0</v>
      </c>
      <c r="U11" s="452">
        <f t="shared" si="30"/>
        <v>345219</v>
      </c>
      <c r="V11" s="456">
        <f t="shared" si="18"/>
        <v>0</v>
      </c>
      <c r="W11" s="452">
        <f t="shared" si="7"/>
        <v>32049</v>
      </c>
      <c r="X11" s="456">
        <f t="shared" si="31"/>
        <v>0</v>
      </c>
      <c r="Y11" s="452">
        <f t="shared" si="8"/>
        <v>673052</v>
      </c>
      <c r="Z11" s="456">
        <f t="shared" si="22"/>
        <v>0</v>
      </c>
      <c r="AA11" s="452">
        <f t="shared" si="9"/>
        <v>35607</v>
      </c>
      <c r="AB11" s="456">
        <f t="shared" si="19"/>
        <v>0</v>
      </c>
      <c r="AC11" s="452">
        <f t="shared" si="10"/>
        <v>899488</v>
      </c>
      <c r="AD11" s="456">
        <f t="shared" si="20"/>
        <v>0</v>
      </c>
      <c r="AE11" s="479">
        <f t="shared" si="11"/>
        <v>0</v>
      </c>
      <c r="AF11" s="480">
        <f t="shared" si="12"/>
        <v>0</v>
      </c>
      <c r="AG11" s="472">
        <f t="shared" si="33"/>
        <v>0</v>
      </c>
      <c r="AI11" s="473">
        <f>R11-'EDl log'!B9</f>
        <v>-495235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f t="shared" si="23"/>
        <v>32304614</v>
      </c>
      <c r="E12" s="314">
        <f t="shared" si="13"/>
        <v>0</v>
      </c>
      <c r="F12" s="452">
        <f t="shared" si="24"/>
        <v>3876774</v>
      </c>
      <c r="G12" s="315">
        <f t="shared" si="0"/>
        <v>0</v>
      </c>
      <c r="H12" s="452">
        <f t="shared" si="25"/>
        <v>17676048</v>
      </c>
      <c r="I12" s="315">
        <f t="shared" si="14"/>
        <v>0</v>
      </c>
      <c r="J12" s="452">
        <f t="shared" si="26"/>
        <v>28726090</v>
      </c>
      <c r="K12" s="315">
        <f t="shared" si="15"/>
        <v>0</v>
      </c>
      <c r="L12" s="452">
        <f t="shared" si="27"/>
        <v>23711834</v>
      </c>
      <c r="M12" s="315">
        <f t="shared" si="16"/>
        <v>0</v>
      </c>
      <c r="N12" s="313">
        <f>M12+K12+I12+G12+E12</f>
        <v>0</v>
      </c>
      <c r="O12" s="474">
        <f t="shared" si="32"/>
        <v>0</v>
      </c>
      <c r="P12" s="452">
        <f t="shared" si="28"/>
        <v>16354</v>
      </c>
      <c r="Q12" s="456">
        <f t="shared" si="2"/>
        <v>0</v>
      </c>
      <c r="R12" s="456">
        <f t="shared" si="21"/>
        <v>0</v>
      </c>
      <c r="S12" s="452">
        <f t="shared" si="29"/>
        <v>9760</v>
      </c>
      <c r="T12" s="476">
        <f t="shared" si="3"/>
        <v>0</v>
      </c>
      <c r="U12" s="452">
        <f t="shared" si="30"/>
        <v>345219</v>
      </c>
      <c r="V12" s="456">
        <f t="shared" si="18"/>
        <v>0</v>
      </c>
      <c r="W12" s="452">
        <f t="shared" si="7"/>
        <v>32049</v>
      </c>
      <c r="X12" s="456">
        <f t="shared" si="31"/>
        <v>0</v>
      </c>
      <c r="Y12" s="452">
        <f t="shared" si="8"/>
        <v>673052</v>
      </c>
      <c r="Z12" s="456">
        <f t="shared" si="22"/>
        <v>0</v>
      </c>
      <c r="AA12" s="452">
        <f t="shared" si="9"/>
        <v>35607</v>
      </c>
      <c r="AB12" s="456">
        <f t="shared" si="19"/>
        <v>0</v>
      </c>
      <c r="AC12" s="452">
        <f t="shared" si="10"/>
        <v>899488</v>
      </c>
      <c r="AD12" s="456">
        <f t="shared" si="20"/>
        <v>0</v>
      </c>
      <c r="AE12" s="479">
        <f t="shared" si="11"/>
        <v>0</v>
      </c>
      <c r="AF12" s="480">
        <f t="shared" si="12"/>
        <v>0</v>
      </c>
      <c r="AG12" s="472">
        <f t="shared" si="33"/>
        <v>0</v>
      </c>
      <c r="AI12" s="473">
        <f>R12-'EDl log'!B10</f>
        <v>-495235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f t="shared" si="23"/>
        <v>32304614</v>
      </c>
      <c r="E13" s="314">
        <f t="shared" si="13"/>
        <v>0</v>
      </c>
      <c r="F13" s="452">
        <f t="shared" si="24"/>
        <v>3876774</v>
      </c>
      <c r="G13" s="315">
        <f t="shared" si="0"/>
        <v>0</v>
      </c>
      <c r="H13" s="452">
        <f t="shared" si="25"/>
        <v>17676048</v>
      </c>
      <c r="I13" s="315">
        <f t="shared" si="14"/>
        <v>0</v>
      </c>
      <c r="J13" s="452">
        <f t="shared" si="26"/>
        <v>28726090</v>
      </c>
      <c r="K13" s="315">
        <f t="shared" si="15"/>
        <v>0</v>
      </c>
      <c r="L13" s="452">
        <f t="shared" si="27"/>
        <v>23711834</v>
      </c>
      <c r="M13" s="315">
        <f t="shared" si="16"/>
        <v>0</v>
      </c>
      <c r="N13" s="313">
        <f t="shared" si="17"/>
        <v>0</v>
      </c>
      <c r="O13" s="474">
        <f t="shared" si="32"/>
        <v>0</v>
      </c>
      <c r="P13" s="452">
        <f t="shared" si="28"/>
        <v>16354</v>
      </c>
      <c r="Q13" s="456">
        <f>(P13-P12)*1000</f>
        <v>0</v>
      </c>
      <c r="R13" s="456">
        <f t="shared" ref="R13" si="34">N13-Q13</f>
        <v>0</v>
      </c>
      <c r="S13" s="452">
        <f t="shared" si="29"/>
        <v>9760</v>
      </c>
      <c r="T13" s="476">
        <f t="shared" si="3"/>
        <v>0</v>
      </c>
      <c r="U13" s="452">
        <f t="shared" si="30"/>
        <v>345219</v>
      </c>
      <c r="V13" s="456">
        <f t="shared" si="18"/>
        <v>0</v>
      </c>
      <c r="W13" s="452">
        <f t="shared" si="7"/>
        <v>32049</v>
      </c>
      <c r="X13" s="456">
        <f t="shared" si="31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35607</v>
      </c>
      <c r="AB13" s="456">
        <f t="shared" si="19"/>
        <v>0</v>
      </c>
      <c r="AC13" s="452">
        <f t="shared" si="10"/>
        <v>899488</v>
      </c>
      <c r="AD13" s="456">
        <f t="shared" si="20"/>
        <v>0</v>
      </c>
      <c r="AE13" s="479">
        <f t="shared" si="11"/>
        <v>0</v>
      </c>
      <c r="AF13" s="480">
        <f t="shared" si="12"/>
        <v>0</v>
      </c>
      <c r="AG13" s="472">
        <f t="shared" si="33"/>
        <v>0</v>
      </c>
      <c r="AI13" s="473">
        <f>R13-'EDl log'!B11</f>
        <v>-495235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f t="shared" si="23"/>
        <v>32304614</v>
      </c>
      <c r="E14" s="314">
        <f t="shared" si="13"/>
        <v>0</v>
      </c>
      <c r="F14" s="452">
        <f t="shared" si="24"/>
        <v>3876774</v>
      </c>
      <c r="G14" s="315">
        <f t="shared" si="0"/>
        <v>0</v>
      </c>
      <c r="H14" s="452">
        <f t="shared" si="25"/>
        <v>17676048</v>
      </c>
      <c r="I14" s="315">
        <f t="shared" si="14"/>
        <v>0</v>
      </c>
      <c r="J14" s="452">
        <f t="shared" si="26"/>
        <v>28726090</v>
      </c>
      <c r="K14" s="315">
        <f t="shared" si="15"/>
        <v>0</v>
      </c>
      <c r="L14" s="452">
        <f t="shared" si="27"/>
        <v>23711834</v>
      </c>
      <c r="M14" s="315">
        <f t="shared" si="16"/>
        <v>0</v>
      </c>
      <c r="N14" s="313">
        <f t="shared" si="17"/>
        <v>0</v>
      </c>
      <c r="O14" s="474">
        <f t="shared" si="32"/>
        <v>0</v>
      </c>
      <c r="P14" s="452">
        <f t="shared" si="28"/>
        <v>16354</v>
      </c>
      <c r="Q14" s="456">
        <f t="shared" ref="Q14:Q33" si="35">(P14-P13)*1000</f>
        <v>0</v>
      </c>
      <c r="R14" s="456">
        <f t="shared" ref="R14:R33" si="36">N14-Q14</f>
        <v>0</v>
      </c>
      <c r="S14" s="452">
        <f t="shared" si="29"/>
        <v>9760</v>
      </c>
      <c r="T14" s="476">
        <f t="shared" si="3"/>
        <v>0</v>
      </c>
      <c r="U14" s="452">
        <f t="shared" si="30"/>
        <v>345219</v>
      </c>
      <c r="V14" s="456">
        <f t="shared" si="18"/>
        <v>0</v>
      </c>
      <c r="W14" s="452">
        <f t="shared" si="7"/>
        <v>32049</v>
      </c>
      <c r="X14" s="456">
        <f t="shared" si="31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35607</v>
      </c>
      <c r="AB14" s="456">
        <f t="shared" si="19"/>
        <v>0</v>
      </c>
      <c r="AC14" s="452">
        <f t="shared" si="10"/>
        <v>899488</v>
      </c>
      <c r="AD14" s="456">
        <f t="shared" si="20"/>
        <v>0</v>
      </c>
      <c r="AE14" s="479">
        <f t="shared" si="11"/>
        <v>0</v>
      </c>
      <c r="AF14" s="480">
        <f t="shared" si="12"/>
        <v>0</v>
      </c>
      <c r="AG14" s="472">
        <f t="shared" si="33"/>
        <v>0</v>
      </c>
      <c r="AI14" s="473">
        <f>R14-'EDl log'!B12</f>
        <v>-495235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f t="shared" si="23"/>
        <v>32304614</v>
      </c>
      <c r="E15" s="314">
        <f t="shared" si="13"/>
        <v>0</v>
      </c>
      <c r="F15" s="452">
        <f t="shared" si="24"/>
        <v>3876774</v>
      </c>
      <c r="G15" s="315">
        <f t="shared" si="0"/>
        <v>0</v>
      </c>
      <c r="H15" s="452">
        <f t="shared" si="25"/>
        <v>17676048</v>
      </c>
      <c r="I15" s="315">
        <f t="shared" si="14"/>
        <v>0</v>
      </c>
      <c r="J15" s="452">
        <f t="shared" si="26"/>
        <v>28726090</v>
      </c>
      <c r="K15" s="315">
        <f t="shared" si="15"/>
        <v>0</v>
      </c>
      <c r="L15" s="452">
        <f t="shared" si="27"/>
        <v>23711834</v>
      </c>
      <c r="M15" s="315">
        <f t="shared" si="16"/>
        <v>0</v>
      </c>
      <c r="N15" s="313">
        <f t="shared" si="17"/>
        <v>0</v>
      </c>
      <c r="O15" s="474">
        <f t="shared" si="32"/>
        <v>0</v>
      </c>
      <c r="P15" s="452">
        <f t="shared" si="28"/>
        <v>16354</v>
      </c>
      <c r="Q15" s="456">
        <f t="shared" si="35"/>
        <v>0</v>
      </c>
      <c r="R15" s="456">
        <f t="shared" si="36"/>
        <v>0</v>
      </c>
      <c r="S15" s="452">
        <f t="shared" si="29"/>
        <v>9760</v>
      </c>
      <c r="T15" s="476">
        <f t="shared" si="3"/>
        <v>0</v>
      </c>
      <c r="U15" s="452">
        <f t="shared" si="30"/>
        <v>345219</v>
      </c>
      <c r="V15" s="456">
        <f t="shared" si="18"/>
        <v>0</v>
      </c>
      <c r="W15" s="452">
        <f t="shared" si="7"/>
        <v>32049</v>
      </c>
      <c r="X15" s="456">
        <f t="shared" si="31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35607</v>
      </c>
      <c r="AB15" s="456">
        <f t="shared" si="19"/>
        <v>0</v>
      </c>
      <c r="AC15" s="452">
        <f t="shared" si="10"/>
        <v>899488</v>
      </c>
      <c r="AD15" s="456">
        <f t="shared" si="20"/>
        <v>0</v>
      </c>
      <c r="AE15" s="479">
        <f t="shared" si="11"/>
        <v>0</v>
      </c>
      <c r="AF15" s="480">
        <f t="shared" si="12"/>
        <v>0</v>
      </c>
      <c r="AG15" s="472">
        <f t="shared" si="33"/>
        <v>0</v>
      </c>
      <c r="AI15" s="473">
        <f>R15-'EDl log'!B13</f>
        <v>-495235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f t="shared" si="23"/>
        <v>32304614</v>
      </c>
      <c r="E16" s="314">
        <f t="shared" si="13"/>
        <v>0</v>
      </c>
      <c r="F16" s="452">
        <f t="shared" si="24"/>
        <v>3876774</v>
      </c>
      <c r="G16" s="315">
        <f t="shared" si="0"/>
        <v>0</v>
      </c>
      <c r="H16" s="452">
        <f t="shared" si="25"/>
        <v>17676048</v>
      </c>
      <c r="I16" s="315">
        <f t="shared" si="14"/>
        <v>0</v>
      </c>
      <c r="J16" s="452">
        <f t="shared" si="26"/>
        <v>28726090</v>
      </c>
      <c r="K16" s="315">
        <f t="shared" si="15"/>
        <v>0</v>
      </c>
      <c r="L16" s="452">
        <f t="shared" si="27"/>
        <v>23711834</v>
      </c>
      <c r="M16" s="315">
        <f t="shared" si="16"/>
        <v>0</v>
      </c>
      <c r="N16" s="313">
        <f t="shared" si="17"/>
        <v>0</v>
      </c>
      <c r="O16" s="474">
        <f t="shared" si="32"/>
        <v>0</v>
      </c>
      <c r="P16" s="452">
        <f t="shared" si="28"/>
        <v>16354</v>
      </c>
      <c r="Q16" s="456">
        <f t="shared" si="35"/>
        <v>0</v>
      </c>
      <c r="R16" s="456">
        <f t="shared" si="36"/>
        <v>0</v>
      </c>
      <c r="S16" s="452">
        <f t="shared" si="29"/>
        <v>9760</v>
      </c>
      <c r="T16" s="476">
        <f t="shared" si="3"/>
        <v>0</v>
      </c>
      <c r="U16" s="452">
        <f t="shared" si="30"/>
        <v>345219</v>
      </c>
      <c r="V16" s="456">
        <f t="shared" si="18"/>
        <v>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35607</v>
      </c>
      <c r="AB16" s="456">
        <f>AA16-AA15</f>
        <v>0</v>
      </c>
      <c r="AC16" s="452">
        <f t="shared" si="10"/>
        <v>899488</v>
      </c>
      <c r="AD16" s="456">
        <f t="shared" si="20"/>
        <v>0</v>
      </c>
      <c r="AE16" s="479">
        <f t="shared" si="11"/>
        <v>0</v>
      </c>
      <c r="AF16" s="480">
        <f t="shared" si="12"/>
        <v>0</v>
      </c>
      <c r="AG16" s="472">
        <f t="shared" si="33"/>
        <v>0</v>
      </c>
      <c r="AI16" s="473">
        <f>R16-'EDl log'!B14</f>
        <v>-495235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f t="shared" si="23"/>
        <v>32304614</v>
      </c>
      <c r="E17" s="314">
        <f t="shared" si="13"/>
        <v>0</v>
      </c>
      <c r="F17" s="452">
        <f t="shared" si="24"/>
        <v>3876774</v>
      </c>
      <c r="G17" s="315">
        <f t="shared" si="0"/>
        <v>0</v>
      </c>
      <c r="H17" s="452">
        <f t="shared" si="25"/>
        <v>17676048</v>
      </c>
      <c r="I17" s="315">
        <f t="shared" si="14"/>
        <v>0</v>
      </c>
      <c r="J17" s="452">
        <f t="shared" si="26"/>
        <v>28726090</v>
      </c>
      <c r="K17" s="315">
        <f t="shared" si="15"/>
        <v>0</v>
      </c>
      <c r="L17" s="452">
        <f t="shared" si="27"/>
        <v>23711834</v>
      </c>
      <c r="M17" s="315">
        <f t="shared" si="16"/>
        <v>0</v>
      </c>
      <c r="N17" s="313">
        <f t="shared" si="17"/>
        <v>0</v>
      </c>
      <c r="O17" s="474">
        <f t="shared" si="32"/>
        <v>0</v>
      </c>
      <c r="P17" s="452">
        <f t="shared" si="28"/>
        <v>16354</v>
      </c>
      <c r="Q17" s="456">
        <f t="shared" si="35"/>
        <v>0</v>
      </c>
      <c r="R17" s="456">
        <f t="shared" si="36"/>
        <v>0</v>
      </c>
      <c r="S17" s="452">
        <f t="shared" si="29"/>
        <v>9760</v>
      </c>
      <c r="T17" s="476">
        <f t="shared" si="3"/>
        <v>0</v>
      </c>
      <c r="U17" s="452">
        <f t="shared" si="30"/>
        <v>345219</v>
      </c>
      <c r="V17" s="456">
        <f t="shared" si="18"/>
        <v>0</v>
      </c>
      <c r="W17" s="452">
        <f t="shared" si="7"/>
        <v>32049</v>
      </c>
      <c r="X17" s="456">
        <f t="shared" si="31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35607</v>
      </c>
      <c r="AB17" s="456">
        <f t="shared" si="19"/>
        <v>0</v>
      </c>
      <c r="AC17" s="452">
        <f t="shared" si="10"/>
        <v>899488</v>
      </c>
      <c r="AD17" s="456">
        <f t="shared" ref="AD17:AD32" si="37">AC17-AC16</f>
        <v>0</v>
      </c>
      <c r="AE17" s="479">
        <f t="shared" si="11"/>
        <v>0</v>
      </c>
      <c r="AF17" s="480">
        <f t="shared" si="12"/>
        <v>0</v>
      </c>
      <c r="AG17" s="472">
        <f t="shared" si="33"/>
        <v>0</v>
      </c>
      <c r="AI17" s="473">
        <f>R17-'EDl log'!B15</f>
        <v>-495235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f t="shared" si="23"/>
        <v>32304614</v>
      </c>
      <c r="E18" s="314">
        <f t="shared" si="13"/>
        <v>0</v>
      </c>
      <c r="F18" s="452">
        <f t="shared" si="24"/>
        <v>3876774</v>
      </c>
      <c r="G18" s="315">
        <f t="shared" si="0"/>
        <v>0</v>
      </c>
      <c r="H18" s="452">
        <f t="shared" si="25"/>
        <v>17676048</v>
      </c>
      <c r="I18" s="315">
        <f t="shared" si="14"/>
        <v>0</v>
      </c>
      <c r="J18" s="452">
        <f t="shared" si="26"/>
        <v>28726090</v>
      </c>
      <c r="K18" s="315">
        <f t="shared" si="15"/>
        <v>0</v>
      </c>
      <c r="L18" s="452">
        <f t="shared" si="27"/>
        <v>23711834</v>
      </c>
      <c r="M18" s="315">
        <f t="shared" si="16"/>
        <v>0</v>
      </c>
      <c r="N18" s="313">
        <f t="shared" si="17"/>
        <v>0</v>
      </c>
      <c r="O18" s="474">
        <f t="shared" si="32"/>
        <v>0</v>
      </c>
      <c r="P18" s="452">
        <f t="shared" si="28"/>
        <v>16354</v>
      </c>
      <c r="Q18" s="456">
        <f t="shared" si="35"/>
        <v>0</v>
      </c>
      <c r="R18" s="456">
        <f t="shared" si="36"/>
        <v>0</v>
      </c>
      <c r="S18" s="452">
        <f t="shared" si="29"/>
        <v>9760</v>
      </c>
      <c r="T18" s="476">
        <f t="shared" si="3"/>
        <v>0</v>
      </c>
      <c r="U18" s="452">
        <f t="shared" si="30"/>
        <v>345219</v>
      </c>
      <c r="V18" s="456">
        <f t="shared" si="18"/>
        <v>0</v>
      </c>
      <c r="W18" s="452">
        <f t="shared" si="7"/>
        <v>32049</v>
      </c>
      <c r="X18" s="456">
        <f t="shared" si="31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35607</v>
      </c>
      <c r="AB18" s="456">
        <f t="shared" si="19"/>
        <v>0</v>
      </c>
      <c r="AC18" s="452">
        <f t="shared" si="10"/>
        <v>899488</v>
      </c>
      <c r="AD18" s="456">
        <f t="shared" si="37"/>
        <v>0</v>
      </c>
      <c r="AE18" s="479">
        <f t="shared" si="11"/>
        <v>0</v>
      </c>
      <c r="AF18" s="480">
        <f t="shared" si="12"/>
        <v>0</v>
      </c>
      <c r="AG18" s="472">
        <f t="shared" si="33"/>
        <v>0</v>
      </c>
      <c r="AI18" s="473">
        <f>R18-'EDl log'!B16</f>
        <v>-495235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f t="shared" si="23"/>
        <v>32304614</v>
      </c>
      <c r="E19" s="314">
        <f t="shared" si="13"/>
        <v>0</v>
      </c>
      <c r="F19" s="452">
        <f t="shared" si="24"/>
        <v>3876774</v>
      </c>
      <c r="G19" s="315">
        <f t="shared" si="0"/>
        <v>0</v>
      </c>
      <c r="H19" s="452">
        <f t="shared" si="25"/>
        <v>17676048</v>
      </c>
      <c r="I19" s="315">
        <f t="shared" si="14"/>
        <v>0</v>
      </c>
      <c r="J19" s="452">
        <f t="shared" si="26"/>
        <v>28726090</v>
      </c>
      <c r="K19" s="315">
        <f t="shared" si="15"/>
        <v>0</v>
      </c>
      <c r="L19" s="452">
        <f t="shared" si="27"/>
        <v>23711834</v>
      </c>
      <c r="M19" s="315">
        <f t="shared" si="16"/>
        <v>0</v>
      </c>
      <c r="N19" s="313">
        <f t="shared" si="17"/>
        <v>0</v>
      </c>
      <c r="O19" s="474">
        <f t="shared" si="32"/>
        <v>0</v>
      </c>
      <c r="P19" s="452">
        <f t="shared" si="28"/>
        <v>16354</v>
      </c>
      <c r="Q19" s="456">
        <f t="shared" si="35"/>
        <v>0</v>
      </c>
      <c r="R19" s="456">
        <f t="shared" si="36"/>
        <v>0</v>
      </c>
      <c r="S19" s="452">
        <f t="shared" si="29"/>
        <v>9760</v>
      </c>
      <c r="T19" s="476">
        <f t="shared" si="3"/>
        <v>0</v>
      </c>
      <c r="U19" s="452">
        <f t="shared" si="30"/>
        <v>345219</v>
      </c>
      <c r="V19" s="456">
        <f t="shared" si="18"/>
        <v>0</v>
      </c>
      <c r="W19" s="452">
        <f t="shared" si="7"/>
        <v>32049</v>
      </c>
      <c r="X19" s="456">
        <f t="shared" si="31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35607</v>
      </c>
      <c r="AB19" s="456">
        <f t="shared" si="19"/>
        <v>0</v>
      </c>
      <c r="AC19" s="452">
        <f t="shared" si="10"/>
        <v>899488</v>
      </c>
      <c r="AD19" s="456">
        <f t="shared" si="37"/>
        <v>0</v>
      </c>
      <c r="AE19" s="479">
        <f t="shared" si="11"/>
        <v>0</v>
      </c>
      <c r="AF19" s="480">
        <f t="shared" si="12"/>
        <v>0</v>
      </c>
      <c r="AG19" s="472">
        <f t="shared" si="33"/>
        <v>0</v>
      </c>
      <c r="AI19" s="473">
        <f>R19-'EDl log'!B17</f>
        <v>-495235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f t="shared" si="23"/>
        <v>32304614</v>
      </c>
      <c r="E20" s="314">
        <f t="shared" si="13"/>
        <v>0</v>
      </c>
      <c r="F20" s="452">
        <f t="shared" si="24"/>
        <v>3876774</v>
      </c>
      <c r="G20" s="315">
        <f t="shared" si="0"/>
        <v>0</v>
      </c>
      <c r="H20" s="452">
        <f t="shared" si="25"/>
        <v>17676048</v>
      </c>
      <c r="I20" s="315">
        <f t="shared" si="14"/>
        <v>0</v>
      </c>
      <c r="J20" s="452">
        <f t="shared" si="26"/>
        <v>28726090</v>
      </c>
      <c r="K20" s="315">
        <f t="shared" si="15"/>
        <v>0</v>
      </c>
      <c r="L20" s="452">
        <f t="shared" si="27"/>
        <v>23711834</v>
      </c>
      <c r="M20" s="315">
        <f t="shared" si="16"/>
        <v>0</v>
      </c>
      <c r="N20" s="313">
        <f t="shared" si="17"/>
        <v>0</v>
      </c>
      <c r="O20" s="474">
        <f t="shared" si="32"/>
        <v>0</v>
      </c>
      <c r="P20" s="452">
        <f t="shared" si="28"/>
        <v>16354</v>
      </c>
      <c r="Q20" s="456">
        <f t="shared" si="35"/>
        <v>0</v>
      </c>
      <c r="R20" s="456">
        <f t="shared" si="36"/>
        <v>0</v>
      </c>
      <c r="S20" s="452">
        <f t="shared" si="29"/>
        <v>9760</v>
      </c>
      <c r="T20" s="476">
        <f t="shared" si="3"/>
        <v>0</v>
      </c>
      <c r="U20" s="452">
        <f t="shared" si="30"/>
        <v>345219</v>
      </c>
      <c r="V20" s="456">
        <f t="shared" si="18"/>
        <v>0</v>
      </c>
      <c r="W20" s="452">
        <f t="shared" si="7"/>
        <v>32049</v>
      </c>
      <c r="X20" s="456">
        <f t="shared" si="31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35607</v>
      </c>
      <c r="AB20" s="456">
        <f t="shared" si="19"/>
        <v>0</v>
      </c>
      <c r="AC20" s="452">
        <f t="shared" si="10"/>
        <v>899488</v>
      </c>
      <c r="AD20" s="456">
        <f t="shared" si="37"/>
        <v>0</v>
      </c>
      <c r="AE20" s="479">
        <f t="shared" si="11"/>
        <v>0</v>
      </c>
      <c r="AF20" s="480">
        <f t="shared" si="12"/>
        <v>0</v>
      </c>
      <c r="AG20" s="472">
        <f t="shared" si="33"/>
        <v>0</v>
      </c>
      <c r="AI20" s="473">
        <f>R20-'EDl log'!B18</f>
        <v>-495235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f t="shared" si="23"/>
        <v>32304614</v>
      </c>
      <c r="E21" s="314">
        <f t="shared" si="13"/>
        <v>0</v>
      </c>
      <c r="F21" s="452">
        <f t="shared" si="24"/>
        <v>3876774</v>
      </c>
      <c r="G21" s="315">
        <f t="shared" si="0"/>
        <v>0</v>
      </c>
      <c r="H21" s="452">
        <f t="shared" si="25"/>
        <v>17676048</v>
      </c>
      <c r="I21" s="315">
        <f t="shared" si="14"/>
        <v>0</v>
      </c>
      <c r="J21" s="452">
        <f t="shared" si="26"/>
        <v>28726090</v>
      </c>
      <c r="K21" s="315">
        <f t="shared" si="15"/>
        <v>0</v>
      </c>
      <c r="L21" s="452">
        <f t="shared" si="27"/>
        <v>23711834</v>
      </c>
      <c r="M21" s="315">
        <f t="shared" si="16"/>
        <v>0</v>
      </c>
      <c r="N21" s="313">
        <f t="shared" si="17"/>
        <v>0</v>
      </c>
      <c r="O21" s="474">
        <f t="shared" si="32"/>
        <v>0</v>
      </c>
      <c r="P21" s="452">
        <f t="shared" si="28"/>
        <v>16354</v>
      </c>
      <c r="Q21" s="456">
        <f t="shared" si="35"/>
        <v>0</v>
      </c>
      <c r="R21" s="456">
        <f t="shared" si="36"/>
        <v>0</v>
      </c>
      <c r="S21" s="452">
        <f t="shared" si="29"/>
        <v>9760</v>
      </c>
      <c r="T21" s="476">
        <f t="shared" si="3"/>
        <v>0</v>
      </c>
      <c r="U21" s="452">
        <f t="shared" si="30"/>
        <v>345219</v>
      </c>
      <c r="V21" s="456">
        <f t="shared" si="18"/>
        <v>0</v>
      </c>
      <c r="W21" s="452">
        <f t="shared" si="7"/>
        <v>32049</v>
      </c>
      <c r="X21" s="456">
        <f t="shared" si="31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35607</v>
      </c>
      <c r="AB21" s="456">
        <f t="shared" si="19"/>
        <v>0</v>
      </c>
      <c r="AC21" s="452">
        <f t="shared" si="10"/>
        <v>899488</v>
      </c>
      <c r="AD21" s="456">
        <f t="shared" si="37"/>
        <v>0</v>
      </c>
      <c r="AE21" s="479">
        <f t="shared" si="11"/>
        <v>0</v>
      </c>
      <c r="AF21" s="480">
        <f t="shared" si="12"/>
        <v>0</v>
      </c>
      <c r="AG21" s="472">
        <f t="shared" si="33"/>
        <v>0</v>
      </c>
      <c r="AI21" s="473">
        <f>R21-'EDl log'!B19</f>
        <v>-495235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f t="shared" si="23"/>
        <v>32304614</v>
      </c>
      <c r="E22" s="314">
        <f t="shared" si="13"/>
        <v>0</v>
      </c>
      <c r="F22" s="452">
        <f t="shared" si="24"/>
        <v>3876774</v>
      </c>
      <c r="G22" s="315">
        <f t="shared" si="0"/>
        <v>0</v>
      </c>
      <c r="H22" s="452">
        <f t="shared" si="25"/>
        <v>17676048</v>
      </c>
      <c r="I22" s="315">
        <f t="shared" si="14"/>
        <v>0</v>
      </c>
      <c r="J22" s="452">
        <f t="shared" si="26"/>
        <v>28726090</v>
      </c>
      <c r="K22" s="315">
        <f t="shared" si="15"/>
        <v>0</v>
      </c>
      <c r="L22" s="452">
        <f t="shared" si="27"/>
        <v>23711834</v>
      </c>
      <c r="M22" s="315">
        <f t="shared" si="16"/>
        <v>0</v>
      </c>
      <c r="N22" s="313">
        <f t="shared" si="17"/>
        <v>0</v>
      </c>
      <c r="O22" s="474">
        <f t="shared" si="32"/>
        <v>0</v>
      </c>
      <c r="P22" s="452">
        <f t="shared" si="28"/>
        <v>16354</v>
      </c>
      <c r="Q22" s="456">
        <f t="shared" si="35"/>
        <v>0</v>
      </c>
      <c r="R22" s="456">
        <f t="shared" si="36"/>
        <v>0</v>
      </c>
      <c r="S22" s="452">
        <f t="shared" si="29"/>
        <v>9760</v>
      </c>
      <c r="T22" s="476">
        <f t="shared" si="3"/>
        <v>0</v>
      </c>
      <c r="U22" s="452">
        <f t="shared" si="30"/>
        <v>345219</v>
      </c>
      <c r="V22" s="456">
        <f t="shared" si="18"/>
        <v>0</v>
      </c>
      <c r="W22" s="452">
        <f t="shared" si="7"/>
        <v>32049</v>
      </c>
      <c r="X22" s="456">
        <f t="shared" si="31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35607</v>
      </c>
      <c r="AB22" s="456">
        <f t="shared" si="19"/>
        <v>0</v>
      </c>
      <c r="AC22" s="452">
        <f t="shared" si="10"/>
        <v>899488</v>
      </c>
      <c r="AD22" s="456">
        <f t="shared" si="37"/>
        <v>0</v>
      </c>
      <c r="AE22" s="479">
        <f t="shared" si="11"/>
        <v>0</v>
      </c>
      <c r="AF22" s="480">
        <f t="shared" si="12"/>
        <v>0</v>
      </c>
      <c r="AG22" s="472">
        <f t="shared" si="33"/>
        <v>0</v>
      </c>
      <c r="AI22" s="473">
        <f>R22-'EDl log'!B20</f>
        <v>-495235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si="23"/>
        <v>32304614</v>
      </c>
      <c r="E23" s="314">
        <f t="shared" si="13"/>
        <v>0</v>
      </c>
      <c r="F23" s="452">
        <f t="shared" si="24"/>
        <v>3876774</v>
      </c>
      <c r="G23" s="315">
        <f t="shared" si="0"/>
        <v>0</v>
      </c>
      <c r="H23" s="452">
        <f t="shared" si="25"/>
        <v>17676048</v>
      </c>
      <c r="I23" s="445">
        <f t="shared" si="14"/>
        <v>0</v>
      </c>
      <c r="J23" s="452">
        <f t="shared" si="26"/>
        <v>28726090</v>
      </c>
      <c r="K23" s="315">
        <f t="shared" si="15"/>
        <v>0</v>
      </c>
      <c r="L23" s="452">
        <f t="shared" si="27"/>
        <v>23711834</v>
      </c>
      <c r="M23" s="315">
        <f t="shared" si="16"/>
        <v>0</v>
      </c>
      <c r="N23" s="313">
        <f t="shared" si="17"/>
        <v>0</v>
      </c>
      <c r="O23" s="474">
        <f t="shared" si="32"/>
        <v>0</v>
      </c>
      <c r="P23" s="452">
        <f t="shared" si="28"/>
        <v>16354</v>
      </c>
      <c r="Q23" s="456">
        <f t="shared" si="35"/>
        <v>0</v>
      </c>
      <c r="R23" s="456">
        <f t="shared" si="36"/>
        <v>0</v>
      </c>
      <c r="S23" s="452">
        <f t="shared" si="29"/>
        <v>9760</v>
      </c>
      <c r="T23" s="476">
        <f t="shared" si="3"/>
        <v>0</v>
      </c>
      <c r="U23" s="452">
        <f t="shared" si="30"/>
        <v>345219</v>
      </c>
      <c r="V23" s="456">
        <f t="shared" si="18"/>
        <v>0</v>
      </c>
      <c r="W23" s="452">
        <f t="shared" si="7"/>
        <v>32049</v>
      </c>
      <c r="X23" s="456">
        <f t="shared" si="31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35607</v>
      </c>
      <c r="AB23" s="456">
        <f t="shared" si="19"/>
        <v>0</v>
      </c>
      <c r="AC23" s="452">
        <f t="shared" si="10"/>
        <v>899488</v>
      </c>
      <c r="AD23" s="456">
        <f t="shared" si="37"/>
        <v>0</v>
      </c>
      <c r="AE23" s="479">
        <f t="shared" si="11"/>
        <v>0</v>
      </c>
      <c r="AF23" s="480">
        <f t="shared" si="12"/>
        <v>0</v>
      </c>
      <c r="AG23" s="472">
        <f t="shared" si="33"/>
        <v>0</v>
      </c>
      <c r="AI23" s="473">
        <f>R23-'EDl log'!B21</f>
        <v>-495235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23"/>
        <v>32304614</v>
      </c>
      <c r="E24" s="314">
        <f t="shared" si="13"/>
        <v>0</v>
      </c>
      <c r="F24" s="452">
        <f t="shared" si="24"/>
        <v>3876774</v>
      </c>
      <c r="G24" s="315">
        <f t="shared" si="0"/>
        <v>0</v>
      </c>
      <c r="H24" s="452">
        <f t="shared" si="25"/>
        <v>17676048</v>
      </c>
      <c r="I24" s="315">
        <f t="shared" si="14"/>
        <v>0</v>
      </c>
      <c r="J24" s="452">
        <f t="shared" si="26"/>
        <v>28726090</v>
      </c>
      <c r="K24" s="315">
        <f t="shared" si="15"/>
        <v>0</v>
      </c>
      <c r="L24" s="452">
        <f t="shared" si="27"/>
        <v>23711834</v>
      </c>
      <c r="M24" s="315">
        <f t="shared" si="16"/>
        <v>0</v>
      </c>
      <c r="N24" s="313">
        <f t="shared" si="17"/>
        <v>0</v>
      </c>
      <c r="O24" s="474">
        <f t="shared" si="32"/>
        <v>0</v>
      </c>
      <c r="P24" s="452">
        <f t="shared" si="28"/>
        <v>16354</v>
      </c>
      <c r="Q24" s="456">
        <f t="shared" si="35"/>
        <v>0</v>
      </c>
      <c r="R24" s="456">
        <f t="shared" si="36"/>
        <v>0</v>
      </c>
      <c r="S24" s="452">
        <f t="shared" si="29"/>
        <v>9760</v>
      </c>
      <c r="T24" s="476">
        <f t="shared" si="3"/>
        <v>0</v>
      </c>
      <c r="U24" s="452">
        <f t="shared" si="30"/>
        <v>345219</v>
      </c>
      <c r="V24" s="456">
        <f t="shared" si="18"/>
        <v>0</v>
      </c>
      <c r="W24" s="452">
        <f t="shared" si="7"/>
        <v>32049</v>
      </c>
      <c r="X24" s="456">
        <f t="shared" si="31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35607</v>
      </c>
      <c r="AB24" s="456">
        <f t="shared" si="19"/>
        <v>0</v>
      </c>
      <c r="AC24" s="452">
        <f t="shared" si="10"/>
        <v>899488</v>
      </c>
      <c r="AD24" s="456">
        <f t="shared" si="37"/>
        <v>0</v>
      </c>
      <c r="AE24" s="479">
        <f t="shared" si="11"/>
        <v>0</v>
      </c>
      <c r="AF24" s="480">
        <f t="shared" si="12"/>
        <v>0</v>
      </c>
      <c r="AG24" s="472">
        <f t="shared" si="33"/>
        <v>0</v>
      </c>
      <c r="AI24" s="473">
        <f>R24-'EDl log'!B22</f>
        <v>-495235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23"/>
        <v>32304614</v>
      </c>
      <c r="E25" s="314">
        <f t="shared" si="13"/>
        <v>0</v>
      </c>
      <c r="F25" s="452">
        <f t="shared" si="24"/>
        <v>3876774</v>
      </c>
      <c r="G25" s="315">
        <f t="shared" si="0"/>
        <v>0</v>
      </c>
      <c r="H25" s="452">
        <f t="shared" si="25"/>
        <v>17676048</v>
      </c>
      <c r="I25" s="315">
        <f t="shared" si="14"/>
        <v>0</v>
      </c>
      <c r="J25" s="452">
        <f t="shared" si="26"/>
        <v>28726090</v>
      </c>
      <c r="K25" s="315">
        <f t="shared" si="15"/>
        <v>0</v>
      </c>
      <c r="L25" s="452">
        <f t="shared" si="27"/>
        <v>23711834</v>
      </c>
      <c r="M25" s="315">
        <f t="shared" si="16"/>
        <v>0</v>
      </c>
      <c r="N25" s="313">
        <f t="shared" si="17"/>
        <v>0</v>
      </c>
      <c r="O25" s="474">
        <f t="shared" si="32"/>
        <v>0</v>
      </c>
      <c r="P25" s="452">
        <f t="shared" si="28"/>
        <v>16354</v>
      </c>
      <c r="Q25" s="456">
        <f t="shared" si="35"/>
        <v>0</v>
      </c>
      <c r="R25" s="456">
        <f t="shared" si="36"/>
        <v>0</v>
      </c>
      <c r="S25" s="452">
        <f t="shared" si="29"/>
        <v>9760</v>
      </c>
      <c r="T25" s="476">
        <f t="shared" si="3"/>
        <v>0</v>
      </c>
      <c r="U25" s="452">
        <f t="shared" si="30"/>
        <v>345219</v>
      </c>
      <c r="V25" s="456">
        <f t="shared" si="18"/>
        <v>0</v>
      </c>
      <c r="W25" s="452">
        <f t="shared" si="7"/>
        <v>32049</v>
      </c>
      <c r="X25" s="456">
        <f t="shared" si="31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35607</v>
      </c>
      <c r="AB25" s="456">
        <f t="shared" si="19"/>
        <v>0</v>
      </c>
      <c r="AC25" s="452">
        <f t="shared" si="10"/>
        <v>899488</v>
      </c>
      <c r="AD25" s="456">
        <f t="shared" si="37"/>
        <v>0</v>
      </c>
      <c r="AE25" s="479">
        <f t="shared" si="11"/>
        <v>0</v>
      </c>
      <c r="AF25" s="480">
        <f t="shared" si="12"/>
        <v>0</v>
      </c>
      <c r="AG25" s="472">
        <f t="shared" si="33"/>
        <v>0</v>
      </c>
      <c r="AI25" s="473">
        <f>R25-'EDl log'!B23</f>
        <v>-495235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23"/>
        <v>32304614</v>
      </c>
      <c r="E26" s="314">
        <f t="shared" si="13"/>
        <v>0</v>
      </c>
      <c r="F26" s="452">
        <f t="shared" si="24"/>
        <v>3876774</v>
      </c>
      <c r="G26" s="315">
        <f t="shared" si="0"/>
        <v>0</v>
      </c>
      <c r="H26" s="452">
        <f t="shared" si="25"/>
        <v>17676048</v>
      </c>
      <c r="I26" s="315">
        <f t="shared" si="14"/>
        <v>0</v>
      </c>
      <c r="J26" s="452">
        <f t="shared" si="26"/>
        <v>28726090</v>
      </c>
      <c r="K26" s="315">
        <f t="shared" si="15"/>
        <v>0</v>
      </c>
      <c r="L26" s="452">
        <f t="shared" si="27"/>
        <v>23711834</v>
      </c>
      <c r="M26" s="315">
        <f t="shared" si="16"/>
        <v>0</v>
      </c>
      <c r="N26" s="313">
        <f t="shared" si="17"/>
        <v>0</v>
      </c>
      <c r="O26" s="474">
        <f t="shared" si="32"/>
        <v>0</v>
      </c>
      <c r="P26" s="452">
        <f t="shared" si="28"/>
        <v>16354</v>
      </c>
      <c r="Q26" s="456">
        <f t="shared" si="35"/>
        <v>0</v>
      </c>
      <c r="R26" s="456">
        <f t="shared" si="36"/>
        <v>0</v>
      </c>
      <c r="S26" s="452">
        <f t="shared" si="29"/>
        <v>9760</v>
      </c>
      <c r="T26" s="476">
        <f t="shared" si="3"/>
        <v>0</v>
      </c>
      <c r="U26" s="452">
        <f t="shared" si="30"/>
        <v>345219</v>
      </c>
      <c r="V26" s="456">
        <f t="shared" si="18"/>
        <v>0</v>
      </c>
      <c r="W26" s="452">
        <f t="shared" si="7"/>
        <v>32049</v>
      </c>
      <c r="X26" s="456">
        <f t="shared" si="31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35607</v>
      </c>
      <c r="AB26" s="456">
        <f t="shared" si="19"/>
        <v>0</v>
      </c>
      <c r="AC26" s="452">
        <f t="shared" si="10"/>
        <v>899488</v>
      </c>
      <c r="AD26" s="456">
        <f t="shared" si="37"/>
        <v>0</v>
      </c>
      <c r="AE26" s="479">
        <f t="shared" si="11"/>
        <v>0</v>
      </c>
      <c r="AF26" s="480">
        <f t="shared" si="12"/>
        <v>0</v>
      </c>
      <c r="AG26" s="472">
        <f t="shared" si="33"/>
        <v>0</v>
      </c>
      <c r="AI26" s="473">
        <f>R26-'EDl log'!B24</f>
        <v>-495235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23"/>
        <v>32304614</v>
      </c>
      <c r="E27" s="314">
        <f t="shared" si="13"/>
        <v>0</v>
      </c>
      <c r="F27" s="452">
        <f t="shared" si="24"/>
        <v>3876774</v>
      </c>
      <c r="G27" s="315">
        <f>F27-F26</f>
        <v>0</v>
      </c>
      <c r="H27" s="452">
        <f t="shared" si="25"/>
        <v>17676048</v>
      </c>
      <c r="I27" s="315">
        <f t="shared" si="14"/>
        <v>0</v>
      </c>
      <c r="J27" s="452">
        <f t="shared" si="26"/>
        <v>28726090</v>
      </c>
      <c r="K27" s="315">
        <f t="shared" si="15"/>
        <v>0</v>
      </c>
      <c r="L27" s="452">
        <f t="shared" si="27"/>
        <v>23711834</v>
      </c>
      <c r="M27" s="315">
        <f t="shared" si="16"/>
        <v>0</v>
      </c>
      <c r="N27" s="313">
        <f t="shared" si="17"/>
        <v>0</v>
      </c>
      <c r="O27" s="474">
        <f t="shared" si="32"/>
        <v>0</v>
      </c>
      <c r="P27" s="452">
        <f t="shared" si="28"/>
        <v>16354</v>
      </c>
      <c r="Q27" s="456">
        <f t="shared" si="35"/>
        <v>0</v>
      </c>
      <c r="R27" s="456">
        <f t="shared" si="36"/>
        <v>0</v>
      </c>
      <c r="S27" s="452">
        <f t="shared" si="29"/>
        <v>9760</v>
      </c>
      <c r="T27" s="476">
        <f t="shared" si="3"/>
        <v>0</v>
      </c>
      <c r="U27" s="452">
        <f t="shared" si="30"/>
        <v>345219</v>
      </c>
      <c r="V27" s="456">
        <f t="shared" si="18"/>
        <v>0</v>
      </c>
      <c r="W27" s="452">
        <f t="shared" si="7"/>
        <v>32049</v>
      </c>
      <c r="X27" s="456">
        <f t="shared" si="31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35607</v>
      </c>
      <c r="AB27" s="456">
        <f t="shared" si="19"/>
        <v>0</v>
      </c>
      <c r="AC27" s="452">
        <f t="shared" si="10"/>
        <v>899488</v>
      </c>
      <c r="AD27" s="456">
        <f t="shared" si="37"/>
        <v>0</v>
      </c>
      <c r="AE27" s="479">
        <f t="shared" si="11"/>
        <v>0</v>
      </c>
      <c r="AF27" s="480">
        <f t="shared" si="12"/>
        <v>0</v>
      </c>
      <c r="AG27" s="472">
        <f t="shared" si="33"/>
        <v>0</v>
      </c>
      <c r="AI27" s="473">
        <f>R27-'EDl log'!B25</f>
        <v>-495235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23"/>
        <v>32304614</v>
      </c>
      <c r="E28" s="314">
        <f t="shared" si="13"/>
        <v>0</v>
      </c>
      <c r="F28" s="452">
        <f t="shared" si="24"/>
        <v>3876774</v>
      </c>
      <c r="G28" s="315">
        <f t="shared" si="0"/>
        <v>0</v>
      </c>
      <c r="H28" s="452">
        <f t="shared" si="25"/>
        <v>17676048</v>
      </c>
      <c r="I28" s="315">
        <f t="shared" si="14"/>
        <v>0</v>
      </c>
      <c r="J28" s="452">
        <f t="shared" si="26"/>
        <v>28726090</v>
      </c>
      <c r="K28" s="315">
        <f t="shared" si="15"/>
        <v>0</v>
      </c>
      <c r="L28" s="452">
        <f t="shared" si="27"/>
        <v>23711834</v>
      </c>
      <c r="M28" s="315">
        <f t="shared" si="16"/>
        <v>0</v>
      </c>
      <c r="N28" s="313">
        <f t="shared" si="17"/>
        <v>0</v>
      </c>
      <c r="O28" s="474">
        <f t="shared" si="32"/>
        <v>0</v>
      </c>
      <c r="P28" s="452">
        <f t="shared" si="28"/>
        <v>16354</v>
      </c>
      <c r="Q28" s="456">
        <f t="shared" si="35"/>
        <v>0</v>
      </c>
      <c r="R28" s="456">
        <f t="shared" si="36"/>
        <v>0</v>
      </c>
      <c r="S28" s="452">
        <f t="shared" si="29"/>
        <v>9760</v>
      </c>
      <c r="T28" s="476">
        <f t="shared" si="3"/>
        <v>0</v>
      </c>
      <c r="U28" s="452">
        <f t="shared" si="30"/>
        <v>345219</v>
      </c>
      <c r="V28" s="456">
        <f t="shared" si="18"/>
        <v>0</v>
      </c>
      <c r="W28" s="452">
        <f t="shared" si="7"/>
        <v>32049</v>
      </c>
      <c r="X28" s="456">
        <f t="shared" si="31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35607</v>
      </c>
      <c r="AB28" s="456">
        <f t="shared" si="19"/>
        <v>0</v>
      </c>
      <c r="AC28" s="452">
        <f t="shared" si="10"/>
        <v>899488</v>
      </c>
      <c r="AD28" s="456">
        <f t="shared" si="37"/>
        <v>0</v>
      </c>
      <c r="AE28" s="479">
        <f t="shared" si="11"/>
        <v>0</v>
      </c>
      <c r="AF28" s="480">
        <f t="shared" si="12"/>
        <v>0</v>
      </c>
      <c r="AG28" s="472">
        <f t="shared" si="33"/>
        <v>0</v>
      </c>
      <c r="AI28" s="473">
        <f>R28-'EDl log'!B26</f>
        <v>-495235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23"/>
        <v>32304614</v>
      </c>
      <c r="E29" s="314">
        <f t="shared" si="13"/>
        <v>0</v>
      </c>
      <c r="F29" s="452">
        <f t="shared" si="24"/>
        <v>3876774</v>
      </c>
      <c r="G29" s="315">
        <f t="shared" si="0"/>
        <v>0</v>
      </c>
      <c r="H29" s="452">
        <f t="shared" si="25"/>
        <v>17676048</v>
      </c>
      <c r="I29" s="315">
        <f t="shared" si="14"/>
        <v>0</v>
      </c>
      <c r="J29" s="452">
        <f t="shared" si="26"/>
        <v>28726090</v>
      </c>
      <c r="K29" s="315">
        <f t="shared" si="15"/>
        <v>0</v>
      </c>
      <c r="L29" s="452">
        <f t="shared" si="27"/>
        <v>23711834</v>
      </c>
      <c r="M29" s="315">
        <f t="shared" si="16"/>
        <v>0</v>
      </c>
      <c r="N29" s="313">
        <f t="shared" si="17"/>
        <v>0</v>
      </c>
      <c r="O29" s="474">
        <f t="shared" si="32"/>
        <v>0</v>
      </c>
      <c r="P29" s="452">
        <f t="shared" si="28"/>
        <v>16354</v>
      </c>
      <c r="Q29" s="456">
        <f t="shared" si="35"/>
        <v>0</v>
      </c>
      <c r="R29" s="456">
        <f t="shared" si="36"/>
        <v>0</v>
      </c>
      <c r="S29" s="452">
        <f t="shared" si="29"/>
        <v>9760</v>
      </c>
      <c r="T29" s="476">
        <f t="shared" si="3"/>
        <v>0</v>
      </c>
      <c r="U29" s="452">
        <f t="shared" si="30"/>
        <v>345219</v>
      </c>
      <c r="V29" s="456">
        <f t="shared" si="18"/>
        <v>0</v>
      </c>
      <c r="W29" s="452">
        <f>W28</f>
        <v>32049</v>
      </c>
      <c r="X29" s="456">
        <f t="shared" si="31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35607</v>
      </c>
      <c r="AB29" s="456">
        <f t="shared" si="19"/>
        <v>0</v>
      </c>
      <c r="AC29" s="452">
        <f t="shared" si="10"/>
        <v>899488</v>
      </c>
      <c r="AD29" s="456">
        <f t="shared" si="37"/>
        <v>0</v>
      </c>
      <c r="AE29" s="479">
        <f t="shared" si="11"/>
        <v>0</v>
      </c>
      <c r="AF29" s="480">
        <f t="shared" si="12"/>
        <v>0</v>
      </c>
      <c r="AG29" s="472">
        <f t="shared" si="33"/>
        <v>0</v>
      </c>
      <c r="AI29" s="473">
        <f>R29-'EDl log'!B27</f>
        <v>-495235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23"/>
        <v>32304614</v>
      </c>
      <c r="E30" s="314">
        <f t="shared" si="13"/>
        <v>0</v>
      </c>
      <c r="F30" s="452">
        <f t="shared" si="24"/>
        <v>3876774</v>
      </c>
      <c r="G30" s="315">
        <f t="shared" si="0"/>
        <v>0</v>
      </c>
      <c r="H30" s="452">
        <f t="shared" si="25"/>
        <v>17676048</v>
      </c>
      <c r="I30" s="315">
        <f t="shared" si="14"/>
        <v>0</v>
      </c>
      <c r="J30" s="452">
        <f t="shared" si="26"/>
        <v>28726090</v>
      </c>
      <c r="K30" s="315">
        <f t="shared" si="15"/>
        <v>0</v>
      </c>
      <c r="L30" s="452">
        <f t="shared" si="27"/>
        <v>23711834</v>
      </c>
      <c r="M30" s="315">
        <f t="shared" si="16"/>
        <v>0</v>
      </c>
      <c r="N30" s="313">
        <f t="shared" si="17"/>
        <v>0</v>
      </c>
      <c r="O30" s="474">
        <f t="shared" si="32"/>
        <v>0</v>
      </c>
      <c r="P30" s="452">
        <f t="shared" si="28"/>
        <v>16354</v>
      </c>
      <c r="Q30" s="456">
        <f t="shared" si="35"/>
        <v>0</v>
      </c>
      <c r="R30" s="456">
        <f t="shared" si="36"/>
        <v>0</v>
      </c>
      <c r="S30" s="452">
        <f t="shared" si="29"/>
        <v>9760</v>
      </c>
      <c r="T30" s="476">
        <f t="shared" si="3"/>
        <v>0</v>
      </c>
      <c r="U30" s="452">
        <f t="shared" si="30"/>
        <v>345219</v>
      </c>
      <c r="V30" s="456">
        <f t="shared" si="18"/>
        <v>0</v>
      </c>
      <c r="W30" s="452">
        <f t="shared" si="7"/>
        <v>32049</v>
      </c>
      <c r="X30" s="477">
        <f t="shared" si="31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35607</v>
      </c>
      <c r="AB30" s="456">
        <f t="shared" si="19"/>
        <v>0</v>
      </c>
      <c r="AC30" s="452">
        <f t="shared" si="10"/>
        <v>899488</v>
      </c>
      <c r="AD30" s="456">
        <f t="shared" si="37"/>
        <v>0</v>
      </c>
      <c r="AE30" s="479">
        <f t="shared" si="11"/>
        <v>0</v>
      </c>
      <c r="AF30" s="480">
        <f t="shared" si="12"/>
        <v>0</v>
      </c>
      <c r="AG30" s="472">
        <f t="shared" si="33"/>
        <v>0</v>
      </c>
      <c r="AI30" s="473">
        <f>R30-'EDl log'!B28</f>
        <v>-495235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23"/>
        <v>32304614</v>
      </c>
      <c r="E31" s="314">
        <f t="shared" si="13"/>
        <v>0</v>
      </c>
      <c r="F31" s="452">
        <f t="shared" si="24"/>
        <v>3876774</v>
      </c>
      <c r="G31" s="315">
        <f t="shared" si="0"/>
        <v>0</v>
      </c>
      <c r="H31" s="452">
        <f t="shared" si="25"/>
        <v>17676048</v>
      </c>
      <c r="I31" s="315">
        <f t="shared" si="14"/>
        <v>0</v>
      </c>
      <c r="J31" s="452">
        <f t="shared" si="26"/>
        <v>28726090</v>
      </c>
      <c r="K31" s="315">
        <f t="shared" si="15"/>
        <v>0</v>
      </c>
      <c r="L31" s="452">
        <f t="shared" si="27"/>
        <v>23711834</v>
      </c>
      <c r="M31" s="315">
        <f t="shared" si="16"/>
        <v>0</v>
      </c>
      <c r="N31" s="313">
        <f t="shared" si="17"/>
        <v>0</v>
      </c>
      <c r="O31" s="474">
        <f t="shared" si="32"/>
        <v>0</v>
      </c>
      <c r="P31" s="452">
        <f t="shared" si="28"/>
        <v>16354</v>
      </c>
      <c r="Q31" s="456">
        <f t="shared" si="35"/>
        <v>0</v>
      </c>
      <c r="R31" s="456">
        <f t="shared" si="36"/>
        <v>0</v>
      </c>
      <c r="S31" s="452">
        <f t="shared" si="29"/>
        <v>9760</v>
      </c>
      <c r="T31" s="476">
        <f t="shared" si="3"/>
        <v>0</v>
      </c>
      <c r="U31" s="452">
        <f t="shared" si="30"/>
        <v>345219</v>
      </c>
      <c r="V31" s="456">
        <f t="shared" si="18"/>
        <v>0</v>
      </c>
      <c r="W31" s="452">
        <f t="shared" si="7"/>
        <v>32049</v>
      </c>
      <c r="X31" s="477">
        <f t="shared" si="31"/>
        <v>0</v>
      </c>
      <c r="Y31" s="452">
        <f t="shared" si="8"/>
        <v>673052</v>
      </c>
      <c r="Z31" s="478">
        <f>Y31-Y30</f>
        <v>0</v>
      </c>
      <c r="AA31" s="452">
        <f t="shared" si="9"/>
        <v>35607</v>
      </c>
      <c r="AB31" s="456">
        <f t="shared" si="19"/>
        <v>0</v>
      </c>
      <c r="AC31" s="452">
        <f t="shared" si="10"/>
        <v>899488</v>
      </c>
      <c r="AD31" s="456">
        <f t="shared" si="37"/>
        <v>0</v>
      </c>
      <c r="AE31" s="479">
        <f t="shared" si="11"/>
        <v>0</v>
      </c>
      <c r="AF31" s="480">
        <f t="shared" si="12"/>
        <v>0</v>
      </c>
      <c r="AG31" s="472">
        <f t="shared" si="33"/>
        <v>0</v>
      </c>
      <c r="AI31" s="473">
        <f>R31-'EDl log'!B29</f>
        <v>-495235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23"/>
        <v>32304614</v>
      </c>
      <c r="E32" s="314">
        <f t="shared" si="13"/>
        <v>0</v>
      </c>
      <c r="F32" s="452">
        <f t="shared" si="24"/>
        <v>3876774</v>
      </c>
      <c r="G32" s="315">
        <f>F32-F31</f>
        <v>0</v>
      </c>
      <c r="H32" s="452">
        <f t="shared" si="25"/>
        <v>17676048</v>
      </c>
      <c r="I32" s="315">
        <f>H32-H31</f>
        <v>0</v>
      </c>
      <c r="J32" s="452">
        <f t="shared" si="26"/>
        <v>28726090</v>
      </c>
      <c r="K32" s="315">
        <f>J32-J31</f>
        <v>0</v>
      </c>
      <c r="L32" s="452">
        <f t="shared" si="27"/>
        <v>23711834</v>
      </c>
      <c r="M32" s="315">
        <f>L32-L31</f>
        <v>0</v>
      </c>
      <c r="N32" s="313">
        <f>M32+K32+I32+G32+E32</f>
        <v>0</v>
      </c>
      <c r="O32" s="474">
        <f t="shared" si="32"/>
        <v>0</v>
      </c>
      <c r="P32" s="452">
        <f t="shared" si="28"/>
        <v>16354</v>
      </c>
      <c r="Q32" s="456">
        <f t="shared" si="35"/>
        <v>0</v>
      </c>
      <c r="R32" s="456">
        <f t="shared" si="36"/>
        <v>0</v>
      </c>
      <c r="S32" s="452">
        <f t="shared" si="29"/>
        <v>9760</v>
      </c>
      <c r="T32" s="476">
        <f t="shared" si="3"/>
        <v>0</v>
      </c>
      <c r="U32" s="452">
        <f t="shared" si="30"/>
        <v>345219</v>
      </c>
      <c r="V32" s="456">
        <f t="shared" si="18"/>
        <v>0</v>
      </c>
      <c r="W32" s="452">
        <f t="shared" si="7"/>
        <v>32049</v>
      </c>
      <c r="X32" s="456">
        <f t="shared" si="31"/>
        <v>0</v>
      </c>
      <c r="Y32" s="452">
        <f t="shared" si="8"/>
        <v>673052</v>
      </c>
      <c r="Z32" s="478">
        <f>Y32-Y31</f>
        <v>0</v>
      </c>
      <c r="AA32" s="452">
        <f t="shared" si="9"/>
        <v>35607</v>
      </c>
      <c r="AB32" s="456">
        <f t="shared" si="19"/>
        <v>0</v>
      </c>
      <c r="AC32" s="452">
        <f t="shared" si="10"/>
        <v>899488</v>
      </c>
      <c r="AD32" s="456">
        <f t="shared" si="37"/>
        <v>0</v>
      </c>
      <c r="AE32" s="479">
        <f t="shared" si="11"/>
        <v>0</v>
      </c>
      <c r="AF32" s="480">
        <f>V32+Z32+AD32</f>
        <v>0</v>
      </c>
      <c r="AG32" s="472">
        <f t="shared" si="33"/>
        <v>0</v>
      </c>
      <c r="AI32" s="473">
        <f>R32-'EDl log'!B30</f>
        <v>-495235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23"/>
        <v>32304614</v>
      </c>
      <c r="E33" s="314">
        <f t="shared" ref="E33" si="38">D33-D32</f>
        <v>0</v>
      </c>
      <c r="F33" s="452">
        <f t="shared" si="24"/>
        <v>3876774</v>
      </c>
      <c r="G33" s="315">
        <f>F33-F32</f>
        <v>0</v>
      </c>
      <c r="H33" s="452">
        <f t="shared" si="25"/>
        <v>17676048</v>
      </c>
      <c r="I33" s="315">
        <f>H33-H32</f>
        <v>0</v>
      </c>
      <c r="J33" s="452">
        <f t="shared" si="26"/>
        <v>28726090</v>
      </c>
      <c r="K33" s="315">
        <f>J33-J32</f>
        <v>0</v>
      </c>
      <c r="L33" s="452">
        <f t="shared" si="27"/>
        <v>23711834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28"/>
        <v>16354</v>
      </c>
      <c r="Q33" s="456">
        <f t="shared" si="35"/>
        <v>0</v>
      </c>
      <c r="R33" s="456">
        <f t="shared" si="36"/>
        <v>0</v>
      </c>
      <c r="S33" s="452">
        <f t="shared" si="29"/>
        <v>9760</v>
      </c>
      <c r="T33" s="476">
        <f t="shared" ref="T33" si="40">S33-S32</f>
        <v>0</v>
      </c>
      <c r="U33" s="452">
        <f t="shared" si="30"/>
        <v>345219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35607</v>
      </c>
      <c r="AB33" s="456">
        <f t="shared" ref="AB33" si="43">AA33-AA32</f>
        <v>0</v>
      </c>
      <c r="AC33" s="452">
        <f t="shared" si="10"/>
        <v>899488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-495235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M1" zoomScale="90" zoomScaleNormal="90" workbookViewId="0">
      <pane ySplit="1" topLeftCell="A2" activePane="bottomLeft" state="frozen"/>
      <selection activeCell="K1" sqref="K1"/>
      <selection pane="bottomLeft" activeCell="BG10" sqref="BG1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18" t="s">
        <v>2</v>
      </c>
      <c r="G1" s="619"/>
      <c r="H1" s="619"/>
      <c r="I1" s="620"/>
      <c r="J1" s="285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401"/>
      <c r="V1" s="27" t="s">
        <v>104</v>
      </c>
      <c r="W1" s="40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18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4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f t="shared" ref="B11:B35" si="40">B10</f>
        <v>239</v>
      </c>
      <c r="C11" s="64">
        <f t="shared" ref="C11:C35" si="41">C10</f>
        <v>245</v>
      </c>
      <c r="D11" s="45">
        <f t="shared" si="30"/>
        <v>0</v>
      </c>
      <c r="E11" s="45">
        <f t="shared" si="9"/>
        <v>0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f t="shared" ref="K11:K34" si="42">K10</f>
        <v>2116</v>
      </c>
      <c r="L11" s="52">
        <f t="shared" si="2"/>
        <v>0</v>
      </c>
      <c r="M11" s="64">
        <f t="shared" ref="M11:M35" si="43">M10</f>
        <v>155322</v>
      </c>
      <c r="N11" s="400">
        <f t="shared" si="3"/>
        <v>0</v>
      </c>
      <c r="O11" s="64">
        <f t="shared" si="13"/>
        <v>211.87499999999994</v>
      </c>
      <c r="P11" s="64">
        <f t="shared" si="13"/>
        <v>1840</v>
      </c>
      <c r="Q11" s="64">
        <f t="shared" si="13"/>
        <v>156234</v>
      </c>
      <c r="R11" s="399">
        <f t="shared" ref="R11:R34" si="44">Q11-Q10</f>
        <v>0</v>
      </c>
      <c r="S11" s="52">
        <f t="shared" si="5"/>
        <v>0</v>
      </c>
      <c r="T11" s="67">
        <f t="shared" si="31"/>
        <v>0</v>
      </c>
      <c r="U11" s="406">
        <f t="shared" si="14"/>
        <v>0</v>
      </c>
      <c r="V11" s="62">
        <f t="shared" si="15"/>
        <v>0</v>
      </c>
      <c r="W11" s="404" t="e">
        <f t="shared" si="16"/>
        <v>#DIV/0!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4"/>
        <v>0</v>
      </c>
      <c r="AL11" s="321">
        <f t="shared" si="8"/>
        <v>0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f t="shared" si="40"/>
        <v>239</v>
      </c>
      <c r="C12" s="64">
        <f t="shared" si="41"/>
        <v>245</v>
      </c>
      <c r="D12" s="45">
        <f t="shared" si="30"/>
        <v>0</v>
      </c>
      <c r="E12" s="45">
        <f t="shared" si="9"/>
        <v>0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f t="shared" si="42"/>
        <v>2116</v>
      </c>
      <c r="L12" s="52">
        <f t="shared" si="2"/>
        <v>0</v>
      </c>
      <c r="M12" s="64">
        <f t="shared" si="43"/>
        <v>155322</v>
      </c>
      <c r="N12" s="400">
        <f t="shared" si="3"/>
        <v>0</v>
      </c>
      <c r="O12" s="64">
        <f t="shared" si="13"/>
        <v>211.87499999999994</v>
      </c>
      <c r="P12" s="64">
        <f t="shared" si="13"/>
        <v>1840</v>
      </c>
      <c r="Q12" s="64">
        <f t="shared" si="13"/>
        <v>156234</v>
      </c>
      <c r="R12" s="399">
        <f t="shared" si="44"/>
        <v>0</v>
      </c>
      <c r="S12" s="52">
        <f t="shared" si="5"/>
        <v>0</v>
      </c>
      <c r="T12" s="67">
        <f t="shared" si="31"/>
        <v>0</v>
      </c>
      <c r="U12" s="406">
        <f t="shared" si="14"/>
        <v>0</v>
      </c>
      <c r="V12" s="62">
        <f t="shared" si="15"/>
        <v>0</v>
      </c>
      <c r="W12" s="404" t="e">
        <f t="shared" si="16"/>
        <v>#DIV/0!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0</v>
      </c>
      <c r="AJ12" s="321">
        <f>-tanks!AW13</f>
        <v>0</v>
      </c>
      <c r="AK12" s="321">
        <f t="shared" si="24"/>
        <v>0</v>
      </c>
      <c r="AL12" s="321">
        <f t="shared" si="8"/>
        <v>0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f t="shared" si="40"/>
        <v>239</v>
      </c>
      <c r="C13" s="64">
        <f t="shared" si="41"/>
        <v>245</v>
      </c>
      <c r="D13" s="45">
        <f t="shared" si="30"/>
        <v>0</v>
      </c>
      <c r="E13" s="45">
        <f t="shared" si="9"/>
        <v>0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f t="shared" si="42"/>
        <v>2116</v>
      </c>
      <c r="L13" s="52">
        <f t="shared" si="2"/>
        <v>0</v>
      </c>
      <c r="M13" s="64">
        <f t="shared" si="43"/>
        <v>155322</v>
      </c>
      <c r="N13" s="400">
        <f t="shared" si="3"/>
        <v>0</v>
      </c>
      <c r="O13" s="64">
        <f t="shared" si="13"/>
        <v>211.87499999999994</v>
      </c>
      <c r="P13" s="64">
        <f t="shared" si="13"/>
        <v>1840</v>
      </c>
      <c r="Q13" s="64">
        <f t="shared" si="13"/>
        <v>156234</v>
      </c>
      <c r="R13" s="399">
        <f t="shared" si="44"/>
        <v>0</v>
      </c>
      <c r="S13" s="52">
        <f t="shared" si="5"/>
        <v>0</v>
      </c>
      <c r="T13" s="67">
        <f t="shared" si="31"/>
        <v>0</v>
      </c>
      <c r="U13" s="406">
        <f t="shared" si="14"/>
        <v>0</v>
      </c>
      <c r="V13" s="62">
        <f>R13+N13+I13:I13</f>
        <v>0</v>
      </c>
      <c r="W13" s="404" t="e">
        <f t="shared" si="16"/>
        <v>#DIV/0!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0</v>
      </c>
      <c r="AJ13" s="321">
        <f>-tanks!AW14</f>
        <v>0</v>
      </c>
      <c r="AK13" s="321">
        <f t="shared" si="24"/>
        <v>0</v>
      </c>
      <c r="AL13" s="321">
        <f t="shared" si="8"/>
        <v>0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f t="shared" si="40"/>
        <v>239</v>
      </c>
      <c r="C14" s="64">
        <f t="shared" si="41"/>
        <v>245</v>
      </c>
      <c r="D14" s="45">
        <f t="shared" si="30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si="42"/>
        <v>2116</v>
      </c>
      <c r="L14" s="52">
        <f t="shared" si="2"/>
        <v>0</v>
      </c>
      <c r="M14" s="64">
        <f t="shared" si="43"/>
        <v>155322</v>
      </c>
      <c r="N14" s="400">
        <f t="shared" si="3"/>
        <v>0</v>
      </c>
      <c r="O14" s="64">
        <f t="shared" si="13"/>
        <v>211.87499999999994</v>
      </c>
      <c r="P14" s="64">
        <f t="shared" si="13"/>
        <v>1840</v>
      </c>
      <c r="Q14" s="64">
        <f t="shared" si="13"/>
        <v>156234</v>
      </c>
      <c r="R14" s="399">
        <f t="shared" si="44"/>
        <v>0</v>
      </c>
      <c r="S14" s="52">
        <f t="shared" si="5"/>
        <v>0</v>
      </c>
      <c r="T14" s="67">
        <f t="shared" si="31"/>
        <v>0</v>
      </c>
      <c r="U14" s="406">
        <f t="shared" si="14"/>
        <v>0</v>
      </c>
      <c r="V14" s="62">
        <f t="shared" si="15"/>
        <v>0</v>
      </c>
      <c r="W14" s="404" t="e">
        <f t="shared" si="16"/>
        <v>#DIV/0!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4"/>
        <v>0</v>
      </c>
      <c r="AL14" s="321">
        <f t="shared" si="8"/>
        <v>0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f t="shared" si="40"/>
        <v>239</v>
      </c>
      <c r="C15" s="64">
        <f t="shared" si="41"/>
        <v>245</v>
      </c>
      <c r="D15" s="45">
        <f t="shared" si="30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f t="shared" si="42"/>
        <v>2116</v>
      </c>
      <c r="L15" s="52">
        <f t="shared" si="2"/>
        <v>0</v>
      </c>
      <c r="M15" s="64">
        <f t="shared" si="43"/>
        <v>155322</v>
      </c>
      <c r="N15" s="400">
        <f t="shared" si="3"/>
        <v>0</v>
      </c>
      <c r="O15" s="64">
        <f t="shared" si="13"/>
        <v>211.87499999999994</v>
      </c>
      <c r="P15" s="64">
        <f t="shared" si="13"/>
        <v>1840</v>
      </c>
      <c r="Q15" s="64">
        <f t="shared" si="13"/>
        <v>156234</v>
      </c>
      <c r="R15" s="399">
        <f t="shared" si="44"/>
        <v>0</v>
      </c>
      <c r="S15" s="52">
        <f t="shared" si="5"/>
        <v>0</v>
      </c>
      <c r="T15" s="67">
        <f t="shared" si="31"/>
        <v>0</v>
      </c>
      <c r="U15" s="406">
        <f t="shared" si="14"/>
        <v>0</v>
      </c>
      <c r="V15" s="62">
        <f t="shared" si="15"/>
        <v>0</v>
      </c>
      <c r="W15" s="404" t="e">
        <f t="shared" si="16"/>
        <v>#DIV/0!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0</v>
      </c>
      <c r="AJ15" s="321">
        <f>-tanks!AW16</f>
        <v>0</v>
      </c>
      <c r="AK15" s="321">
        <f t="shared" si="24"/>
        <v>0</v>
      </c>
      <c r="AL15" s="321">
        <f t="shared" si="8"/>
        <v>0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f t="shared" si="40"/>
        <v>239</v>
      </c>
      <c r="C16" s="64">
        <f t="shared" si="41"/>
        <v>245</v>
      </c>
      <c r="D16" s="45">
        <f t="shared" si="30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f t="shared" si="42"/>
        <v>2116</v>
      </c>
      <c r="L16" s="52">
        <f t="shared" si="2"/>
        <v>0</v>
      </c>
      <c r="M16" s="64">
        <f t="shared" si="43"/>
        <v>155322</v>
      </c>
      <c r="N16" s="400">
        <f t="shared" si="3"/>
        <v>0</v>
      </c>
      <c r="O16" s="64">
        <f t="shared" si="13"/>
        <v>211.87499999999994</v>
      </c>
      <c r="P16" s="64">
        <f t="shared" si="13"/>
        <v>1840</v>
      </c>
      <c r="Q16" s="64">
        <f t="shared" si="13"/>
        <v>156234</v>
      </c>
      <c r="R16" s="399">
        <f t="shared" si="44"/>
        <v>0</v>
      </c>
      <c r="S16" s="52">
        <f t="shared" si="5"/>
        <v>0</v>
      </c>
      <c r="T16" s="67">
        <f t="shared" si="31"/>
        <v>0</v>
      </c>
      <c r="U16" s="406">
        <f t="shared" si="14"/>
        <v>0</v>
      </c>
      <c r="V16" s="62">
        <f t="shared" si="15"/>
        <v>0</v>
      </c>
      <c r="W16" s="404" t="e">
        <f t="shared" si="16"/>
        <v>#DIV/0!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0</v>
      </c>
      <c r="AJ16" s="321">
        <f>-tanks!AW17</f>
        <v>0</v>
      </c>
      <c r="AK16" s="321">
        <f t="shared" si="24"/>
        <v>0</v>
      </c>
      <c r="AL16" s="321">
        <f t="shared" si="8"/>
        <v>0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f t="shared" si="40"/>
        <v>239</v>
      </c>
      <c r="C17" s="64">
        <f t="shared" si="41"/>
        <v>245</v>
      </c>
      <c r="D17" s="45">
        <f t="shared" si="30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2"/>
        <v>2116</v>
      </c>
      <c r="L17" s="52">
        <f t="shared" si="2"/>
        <v>0</v>
      </c>
      <c r="M17" s="64">
        <f t="shared" si="43"/>
        <v>155322</v>
      </c>
      <c r="N17" s="400">
        <f t="shared" si="3"/>
        <v>0</v>
      </c>
      <c r="O17" s="64">
        <f t="shared" si="13"/>
        <v>211.87499999999994</v>
      </c>
      <c r="P17" s="64">
        <f t="shared" si="13"/>
        <v>1840</v>
      </c>
      <c r="Q17" s="64">
        <f t="shared" si="13"/>
        <v>156234</v>
      </c>
      <c r="R17" s="399">
        <f t="shared" si="44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f t="shared" si="40"/>
        <v>239</v>
      </c>
      <c r="C18" s="64">
        <f t="shared" si="41"/>
        <v>245</v>
      </c>
      <c r="D18" s="45">
        <f t="shared" si="30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f t="shared" si="42"/>
        <v>2116</v>
      </c>
      <c r="L18" s="52">
        <f t="shared" si="2"/>
        <v>0</v>
      </c>
      <c r="M18" s="64">
        <f t="shared" si="43"/>
        <v>155322</v>
      </c>
      <c r="N18" s="400">
        <f t="shared" si="3"/>
        <v>0</v>
      </c>
      <c r="O18" s="64">
        <f t="shared" si="13"/>
        <v>211.87499999999994</v>
      </c>
      <c r="P18" s="64">
        <f t="shared" si="13"/>
        <v>1840</v>
      </c>
      <c r="Q18" s="64">
        <f t="shared" si="13"/>
        <v>156234</v>
      </c>
      <c r="R18" s="399">
        <f t="shared" si="44"/>
        <v>0</v>
      </c>
      <c r="S18" s="52">
        <f t="shared" si="5"/>
        <v>0</v>
      </c>
      <c r="T18" s="67">
        <f t="shared" si="31"/>
        <v>0</v>
      </c>
      <c r="U18" s="406">
        <f t="shared" si="14"/>
        <v>0</v>
      </c>
      <c r="V18" s="62">
        <f t="shared" si="15"/>
        <v>0</v>
      </c>
      <c r="W18" s="404"/>
      <c r="X18" s="64">
        <f t="shared" si="17"/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0</v>
      </c>
      <c r="AJ18" s="321">
        <f>-tanks!AW19</f>
        <v>0</v>
      </c>
      <c r="AK18" s="321">
        <f t="shared" si="24"/>
        <v>0</v>
      </c>
      <c r="AL18" s="321">
        <f t="shared" si="8"/>
        <v>0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f t="shared" si="40"/>
        <v>239</v>
      </c>
      <c r="C19" s="64">
        <f t="shared" si="41"/>
        <v>245</v>
      </c>
      <c r="D19" s="45">
        <f t="shared" si="30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f t="shared" si="42"/>
        <v>2116</v>
      </c>
      <c r="L19" s="52">
        <f t="shared" si="2"/>
        <v>0</v>
      </c>
      <c r="M19" s="64">
        <f t="shared" si="43"/>
        <v>155322</v>
      </c>
      <c r="N19" s="400">
        <f t="shared" si="3"/>
        <v>0</v>
      </c>
      <c r="O19" s="64">
        <f t="shared" si="13"/>
        <v>211.87499999999994</v>
      </c>
      <c r="P19" s="64">
        <f t="shared" si="13"/>
        <v>1840</v>
      </c>
      <c r="Q19" s="64">
        <f t="shared" si="13"/>
        <v>156234</v>
      </c>
      <c r="R19" s="399">
        <f t="shared" si="44"/>
        <v>0</v>
      </c>
      <c r="S19" s="52">
        <f t="shared" si="5"/>
        <v>0</v>
      </c>
      <c r="T19" s="67">
        <f t="shared" si="31"/>
        <v>0</v>
      </c>
      <c r="U19" s="406">
        <f t="shared" si="14"/>
        <v>0</v>
      </c>
      <c r="V19" s="62">
        <f t="shared" si="15"/>
        <v>0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5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0</v>
      </c>
      <c r="AJ19" s="321">
        <f>-tanks!AW20</f>
        <v>0</v>
      </c>
      <c r="AK19" s="321">
        <f t="shared" si="24"/>
        <v>0</v>
      </c>
      <c r="AL19" s="321">
        <f>S19+L20+G19</f>
        <v>0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f t="shared" si="40"/>
        <v>239</v>
      </c>
      <c r="C20" s="64">
        <f t="shared" si="41"/>
        <v>245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2"/>
        <v>2116</v>
      </c>
      <c r="L20" s="52">
        <f t="shared" si="2"/>
        <v>0</v>
      </c>
      <c r="M20" s="64">
        <f t="shared" si="43"/>
        <v>155322</v>
      </c>
      <c r="N20" s="400">
        <f t="shared" si="3"/>
        <v>0</v>
      </c>
      <c r="O20" s="64">
        <f t="shared" si="13"/>
        <v>211.87499999999994</v>
      </c>
      <c r="P20" s="64">
        <f t="shared" si="13"/>
        <v>1840</v>
      </c>
      <c r="Q20" s="64">
        <f t="shared" si="13"/>
        <v>156234</v>
      </c>
      <c r="R20" s="399">
        <f t="shared" si="44"/>
        <v>0</v>
      </c>
      <c r="S20" s="52">
        <f t="shared" si="5"/>
        <v>0</v>
      </c>
      <c r="T20" s="67">
        <f t="shared" si="31"/>
        <v>0</v>
      </c>
      <c r="U20" s="406">
        <f t="shared" si="14"/>
        <v>0</v>
      </c>
      <c r="V20" s="62">
        <f t="shared" si="15"/>
        <v>0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5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0</v>
      </c>
      <c r="AJ20" s="321">
        <f>-tanks!AW21</f>
        <v>0</v>
      </c>
      <c r="AK20" s="321">
        <f t="shared" si="24"/>
        <v>0</v>
      </c>
      <c r="AL20" s="321">
        <f>S20+L21+G20</f>
        <v>0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f t="shared" si="40"/>
        <v>239</v>
      </c>
      <c r="C21" s="64">
        <f t="shared" si="41"/>
        <v>245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f t="shared" si="42"/>
        <v>2116</v>
      </c>
      <c r="L21" s="52">
        <f t="shared" si="2"/>
        <v>0</v>
      </c>
      <c r="M21" s="64">
        <f t="shared" si="43"/>
        <v>155322</v>
      </c>
      <c r="N21" s="400">
        <f t="shared" si="3"/>
        <v>0</v>
      </c>
      <c r="O21" s="64">
        <f t="shared" si="13"/>
        <v>211.87499999999994</v>
      </c>
      <c r="P21" s="64">
        <f t="shared" si="13"/>
        <v>1840</v>
      </c>
      <c r="Q21" s="64">
        <f t="shared" si="13"/>
        <v>156234</v>
      </c>
      <c r="R21" s="399">
        <f t="shared" si="44"/>
        <v>0</v>
      </c>
      <c r="S21" s="52">
        <f t="shared" si="5"/>
        <v>0</v>
      </c>
      <c r="T21" s="67">
        <f t="shared" si="31"/>
        <v>0</v>
      </c>
      <c r="U21" s="406">
        <f t="shared" si="14"/>
        <v>0</v>
      </c>
      <c r="V21" s="62">
        <f t="shared" si="15"/>
        <v>0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5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0</v>
      </c>
      <c r="AJ21" s="321">
        <f>-tanks!AW22</f>
        <v>0</v>
      </c>
      <c r="AK21" s="321">
        <f t="shared" si="24"/>
        <v>0</v>
      </c>
      <c r="AL21" s="321">
        <f t="shared" ref="AL21:AL34" si="47">S21+L21+G21</f>
        <v>0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f t="shared" si="40"/>
        <v>239</v>
      </c>
      <c r="C22" s="64">
        <f t="shared" si="41"/>
        <v>245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f t="shared" si="42"/>
        <v>2116</v>
      </c>
      <c r="L22" s="52">
        <f t="shared" si="2"/>
        <v>0</v>
      </c>
      <c r="M22" s="64">
        <f t="shared" si="43"/>
        <v>155322</v>
      </c>
      <c r="N22" s="400">
        <f t="shared" si="3"/>
        <v>0</v>
      </c>
      <c r="O22" s="64">
        <f t="shared" si="13"/>
        <v>211.87499999999994</v>
      </c>
      <c r="P22" s="64">
        <f t="shared" si="13"/>
        <v>1840</v>
      </c>
      <c r="Q22" s="64">
        <f t="shared" si="13"/>
        <v>156234</v>
      </c>
      <c r="R22" s="399">
        <f t="shared" si="44"/>
        <v>0</v>
      </c>
      <c r="S22" s="52">
        <f t="shared" si="5"/>
        <v>0</v>
      </c>
      <c r="T22" s="67">
        <f t="shared" si="31"/>
        <v>0</v>
      </c>
      <c r="U22" s="406">
        <f t="shared" si="14"/>
        <v>0</v>
      </c>
      <c r="V22" s="62">
        <f t="shared" si="15"/>
        <v>0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5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0</v>
      </c>
      <c r="AJ22" s="321">
        <f>-tanks!AW23</f>
        <v>0</v>
      </c>
      <c r="AK22" s="321">
        <f t="shared" si="24"/>
        <v>0</v>
      </c>
      <c r="AL22" s="321">
        <f t="shared" si="47"/>
        <v>0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f t="shared" si="40"/>
        <v>239</v>
      </c>
      <c r="C23" s="64">
        <f t="shared" si="41"/>
        <v>245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f t="shared" si="42"/>
        <v>2116</v>
      </c>
      <c r="L23" s="52">
        <f t="shared" si="2"/>
        <v>0</v>
      </c>
      <c r="M23" s="64">
        <f t="shared" si="43"/>
        <v>155322</v>
      </c>
      <c r="N23" s="400">
        <f t="shared" si="3"/>
        <v>0</v>
      </c>
      <c r="O23" s="64">
        <f t="shared" si="13"/>
        <v>211.87499999999994</v>
      </c>
      <c r="P23" s="64">
        <f t="shared" si="13"/>
        <v>1840</v>
      </c>
      <c r="Q23" s="64">
        <f t="shared" si="13"/>
        <v>156234</v>
      </c>
      <c r="R23" s="399">
        <f t="shared" si="44"/>
        <v>0</v>
      </c>
      <c r="S23" s="52">
        <f t="shared" si="5"/>
        <v>0</v>
      </c>
      <c r="T23" s="67">
        <f t="shared" si="31"/>
        <v>0</v>
      </c>
      <c r="U23" s="406">
        <f t="shared" si="14"/>
        <v>0</v>
      </c>
      <c r="V23" s="62">
        <f t="shared" si="15"/>
        <v>0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5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0</v>
      </c>
      <c r="AJ23" s="321">
        <f>-tanks!AW24</f>
        <v>0</v>
      </c>
      <c r="AK23" s="321">
        <f t="shared" si="24"/>
        <v>0</v>
      </c>
      <c r="AL23" s="321">
        <f t="shared" si="47"/>
        <v>0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f t="shared" si="40"/>
        <v>239</v>
      </c>
      <c r="C24" s="64">
        <f t="shared" si="41"/>
        <v>245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f t="shared" si="42"/>
        <v>2116</v>
      </c>
      <c r="L24" s="52">
        <f t="shared" si="2"/>
        <v>0</v>
      </c>
      <c r="M24" s="64">
        <f t="shared" si="43"/>
        <v>155322</v>
      </c>
      <c r="N24" s="400">
        <f t="shared" si="3"/>
        <v>0</v>
      </c>
      <c r="O24" s="64">
        <f t="shared" si="13"/>
        <v>211.87499999999994</v>
      </c>
      <c r="P24" s="64">
        <f t="shared" si="13"/>
        <v>1840</v>
      </c>
      <c r="Q24" s="64">
        <f t="shared" si="13"/>
        <v>156234</v>
      </c>
      <c r="R24" s="399">
        <f t="shared" si="44"/>
        <v>0</v>
      </c>
      <c r="S24" s="52">
        <f t="shared" si="5"/>
        <v>0</v>
      </c>
      <c r="T24" s="67">
        <f t="shared" si="31"/>
        <v>0</v>
      </c>
      <c r="U24" s="406">
        <f t="shared" si="14"/>
        <v>0</v>
      </c>
      <c r="V24" s="62">
        <f t="shared" si="15"/>
        <v>0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8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0</v>
      </c>
      <c r="AJ24" s="321">
        <f>-tanks!AW25</f>
        <v>0</v>
      </c>
      <c r="AK24" s="321">
        <f t="shared" si="24"/>
        <v>0</v>
      </c>
      <c r="AL24" s="321">
        <f t="shared" si="47"/>
        <v>0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9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si="40"/>
        <v>239</v>
      </c>
      <c r="C25" s="64">
        <f t="shared" si="41"/>
        <v>245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2"/>
        <v>2116</v>
      </c>
      <c r="L25" s="52">
        <f t="shared" si="2"/>
        <v>0</v>
      </c>
      <c r="M25" s="64">
        <f t="shared" si="43"/>
        <v>155322</v>
      </c>
      <c r="N25" s="400">
        <f t="shared" si="3"/>
        <v>0</v>
      </c>
      <c r="O25" s="64">
        <f t="shared" si="13"/>
        <v>211.87499999999994</v>
      </c>
      <c r="P25" s="64">
        <f t="shared" si="13"/>
        <v>1840</v>
      </c>
      <c r="Q25" s="64">
        <f t="shared" si="13"/>
        <v>156234</v>
      </c>
      <c r="R25" s="399">
        <f t="shared" si="44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8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47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50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9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0"/>
        <v>239</v>
      </c>
      <c r="C26" s="64">
        <f t="shared" si="41"/>
        <v>245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2"/>
        <v>2116</v>
      </c>
      <c r="L26" s="52">
        <f t="shared" si="2"/>
        <v>0</v>
      </c>
      <c r="M26" s="64">
        <f t="shared" si="43"/>
        <v>155322</v>
      </c>
      <c r="N26" s="400">
        <f t="shared" si="3"/>
        <v>0</v>
      </c>
      <c r="O26" s="64">
        <f t="shared" si="13"/>
        <v>211.87499999999994</v>
      </c>
      <c r="P26" s="64">
        <f t="shared" si="13"/>
        <v>1840</v>
      </c>
      <c r="Q26" s="64">
        <f t="shared" si="13"/>
        <v>156234</v>
      </c>
      <c r="R26" s="399">
        <f t="shared" si="44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8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47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50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9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0"/>
        <v>239</v>
      </c>
      <c r="C27" s="64">
        <f t="shared" si="41"/>
        <v>245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2"/>
        <v>2116</v>
      </c>
      <c r="L27" s="52">
        <f t="shared" si="2"/>
        <v>0</v>
      </c>
      <c r="M27" s="64">
        <f t="shared" si="43"/>
        <v>155322</v>
      </c>
      <c r="N27" s="400">
        <f t="shared" si="3"/>
        <v>0</v>
      </c>
      <c r="O27" s="64">
        <f t="shared" si="13"/>
        <v>211.87499999999994</v>
      </c>
      <c r="P27" s="64">
        <f t="shared" si="13"/>
        <v>1840</v>
      </c>
      <c r="Q27" s="64">
        <f t="shared" si="13"/>
        <v>156234</v>
      </c>
      <c r="R27" s="399">
        <f t="shared" si="44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8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47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50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9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0"/>
        <v>239</v>
      </c>
      <c r="C28" s="64">
        <f t="shared" si="41"/>
        <v>245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2"/>
        <v>2116</v>
      </c>
      <c r="L28" s="52">
        <f t="shared" si="2"/>
        <v>0</v>
      </c>
      <c r="M28" s="64">
        <f t="shared" si="43"/>
        <v>155322</v>
      </c>
      <c r="N28" s="400">
        <f t="shared" si="3"/>
        <v>0</v>
      </c>
      <c r="O28" s="64">
        <f t="shared" si="13"/>
        <v>211.87499999999994</v>
      </c>
      <c r="P28" s="64">
        <f t="shared" si="13"/>
        <v>1840</v>
      </c>
      <c r="Q28" s="64">
        <f t="shared" si="13"/>
        <v>156234</v>
      </c>
      <c r="R28" s="399">
        <f t="shared" si="44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8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47"/>
        <v>0</v>
      </c>
      <c r="AM28" s="321">
        <f t="shared" si="25"/>
        <v>0</v>
      </c>
      <c r="AN28" s="64">
        <f t="shared" si="35"/>
        <v>62</v>
      </c>
      <c r="AO28" s="323">
        <f t="shared" ref="AO28:AO34" si="51">(AN28/100)*3000</f>
        <v>1860</v>
      </c>
      <c r="AP28" s="64">
        <f t="shared" si="36"/>
        <v>52</v>
      </c>
      <c r="AQ28" s="323">
        <f t="shared" si="50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9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0"/>
        <v>239</v>
      </c>
      <c r="C29" s="64">
        <f t="shared" si="41"/>
        <v>245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2"/>
        <v>2116</v>
      </c>
      <c r="L29" s="52">
        <f t="shared" si="2"/>
        <v>0</v>
      </c>
      <c r="M29" s="64">
        <f t="shared" si="43"/>
        <v>155322</v>
      </c>
      <c r="N29" s="400">
        <f t="shared" si="3"/>
        <v>0</v>
      </c>
      <c r="O29" s="64">
        <f t="shared" si="13"/>
        <v>211.87499999999994</v>
      </c>
      <c r="P29" s="64">
        <f t="shared" si="13"/>
        <v>1840</v>
      </c>
      <c r="Q29" s="64">
        <f t="shared" si="13"/>
        <v>156234</v>
      </c>
      <c r="R29" s="399">
        <f t="shared" si="44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8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47"/>
        <v>0</v>
      </c>
      <c r="AM29" s="321">
        <f t="shared" si="25"/>
        <v>0</v>
      </c>
      <c r="AN29" s="64">
        <f t="shared" si="35"/>
        <v>62</v>
      </c>
      <c r="AO29" s="323">
        <f t="shared" si="51"/>
        <v>1860</v>
      </c>
      <c r="AP29" s="64">
        <f t="shared" si="36"/>
        <v>52</v>
      </c>
      <c r="AQ29" s="323">
        <f t="shared" si="50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0"/>
        <v>239</v>
      </c>
      <c r="C30" s="64">
        <f t="shared" si="41"/>
        <v>245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2"/>
        <v>2116</v>
      </c>
      <c r="L30" s="52">
        <f t="shared" si="2"/>
        <v>0</v>
      </c>
      <c r="M30" s="64">
        <f t="shared" si="43"/>
        <v>155322</v>
      </c>
      <c r="N30" s="400">
        <f t="shared" si="3"/>
        <v>0</v>
      </c>
      <c r="O30" s="64">
        <f t="shared" si="13"/>
        <v>211.87499999999994</v>
      </c>
      <c r="P30" s="64">
        <f t="shared" si="13"/>
        <v>1840</v>
      </c>
      <c r="Q30" s="64">
        <f t="shared" si="13"/>
        <v>156234</v>
      </c>
      <c r="R30" s="399">
        <f t="shared" si="44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8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47"/>
        <v>0</v>
      </c>
      <c r="AM30" s="321">
        <f t="shared" si="25"/>
        <v>0</v>
      </c>
      <c r="AN30" s="64">
        <f t="shared" si="35"/>
        <v>62</v>
      </c>
      <c r="AO30" s="323">
        <f t="shared" si="51"/>
        <v>1860</v>
      </c>
      <c r="AP30" s="64">
        <f t="shared" si="36"/>
        <v>52</v>
      </c>
      <c r="AQ30" s="323">
        <f t="shared" si="50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9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0"/>
        <v>239</v>
      </c>
      <c r="C31" s="64">
        <f t="shared" si="41"/>
        <v>245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2"/>
        <v>2116</v>
      </c>
      <c r="L31" s="52">
        <f t="shared" si="2"/>
        <v>0</v>
      </c>
      <c r="M31" s="64">
        <f t="shared" si="43"/>
        <v>155322</v>
      </c>
      <c r="N31" s="400">
        <f t="shared" si="3"/>
        <v>0</v>
      </c>
      <c r="O31" s="64">
        <f t="shared" si="13"/>
        <v>211.87499999999994</v>
      </c>
      <c r="P31" s="64">
        <f t="shared" si="13"/>
        <v>1840</v>
      </c>
      <c r="Q31" s="64">
        <f t="shared" si="13"/>
        <v>156234</v>
      </c>
      <c r="R31" s="399">
        <f t="shared" si="44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8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47"/>
        <v>0</v>
      </c>
      <c r="AM31" s="321">
        <f t="shared" si="25"/>
        <v>0</v>
      </c>
      <c r="AN31" s="64">
        <f t="shared" si="35"/>
        <v>62</v>
      </c>
      <c r="AO31" s="323">
        <f t="shared" si="51"/>
        <v>1860</v>
      </c>
      <c r="AP31" s="64">
        <f t="shared" si="36"/>
        <v>52</v>
      </c>
      <c r="AQ31" s="323">
        <f t="shared" si="50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9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0"/>
        <v>239</v>
      </c>
      <c r="C32" s="64">
        <f t="shared" si="41"/>
        <v>245</v>
      </c>
      <c r="D32" s="45">
        <f t="shared" si="30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2"/>
        <v>2116</v>
      </c>
      <c r="L32" s="52">
        <f t="shared" si="2"/>
        <v>0</v>
      </c>
      <c r="M32" s="64">
        <f t="shared" si="43"/>
        <v>155322</v>
      </c>
      <c r="N32" s="400">
        <f t="shared" si="3"/>
        <v>0</v>
      </c>
      <c r="O32" s="64">
        <f t="shared" si="13"/>
        <v>211.87499999999994</v>
      </c>
      <c r="P32" s="64">
        <f t="shared" si="13"/>
        <v>1840</v>
      </c>
      <c r="Q32" s="64">
        <f t="shared" si="13"/>
        <v>156234</v>
      </c>
      <c r="R32" s="399">
        <f t="shared" si="44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8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47"/>
        <v>0</v>
      </c>
      <c r="AM32" s="321">
        <f t="shared" si="25"/>
        <v>0</v>
      </c>
      <c r="AN32" s="64">
        <f t="shared" si="35"/>
        <v>62</v>
      </c>
      <c r="AO32" s="323">
        <f t="shared" si="51"/>
        <v>1860</v>
      </c>
      <c r="AP32" s="64">
        <f t="shared" si="36"/>
        <v>52</v>
      </c>
      <c r="AQ32" s="323">
        <f t="shared" si="50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9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0"/>
        <v>239</v>
      </c>
      <c r="C33" s="64">
        <f t="shared" si="41"/>
        <v>245</v>
      </c>
      <c r="D33" s="45">
        <f t="shared" si="30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2"/>
        <v>2116</v>
      </c>
      <c r="L33" s="52">
        <f t="shared" si="2"/>
        <v>0</v>
      </c>
      <c r="M33" s="64">
        <f t="shared" si="43"/>
        <v>155322</v>
      </c>
      <c r="N33" s="400">
        <f t="shared" si="3"/>
        <v>0</v>
      </c>
      <c r="O33" s="64">
        <f t="shared" si="13"/>
        <v>211.87499999999994</v>
      </c>
      <c r="P33" s="64">
        <f t="shared" si="13"/>
        <v>1840</v>
      </c>
      <c r="Q33" s="64">
        <f t="shared" si="13"/>
        <v>156234</v>
      </c>
      <c r="R33" s="399">
        <f t="shared" si="44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8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47"/>
        <v>0</v>
      </c>
      <c r="AM33" s="321">
        <f t="shared" si="25"/>
        <v>0</v>
      </c>
      <c r="AN33" s="64">
        <f t="shared" si="35"/>
        <v>62</v>
      </c>
      <c r="AO33" s="323">
        <f t="shared" si="51"/>
        <v>1860</v>
      </c>
      <c r="AP33" s="64">
        <f t="shared" si="36"/>
        <v>52</v>
      </c>
      <c r="AQ33" s="323">
        <f t="shared" si="50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9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0"/>
        <v>239</v>
      </c>
      <c r="C34" s="64">
        <f t="shared" si="41"/>
        <v>245</v>
      </c>
      <c r="D34" s="45">
        <f t="shared" si="30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2"/>
        <v>2116</v>
      </c>
      <c r="L34" s="52">
        <f t="shared" si="2"/>
        <v>0</v>
      </c>
      <c r="M34" s="64">
        <f t="shared" si="43"/>
        <v>155322</v>
      </c>
      <c r="N34" s="400">
        <f t="shared" si="3"/>
        <v>0</v>
      </c>
      <c r="O34" s="64">
        <f t="shared" si="13"/>
        <v>211.87499999999994</v>
      </c>
      <c r="P34" s="64">
        <f t="shared" si="13"/>
        <v>1840</v>
      </c>
      <c r="Q34" s="64">
        <f t="shared" si="13"/>
        <v>156234</v>
      </c>
      <c r="R34" s="399">
        <f t="shared" si="44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8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47"/>
        <v>0</v>
      </c>
      <c r="AM34" s="321">
        <f>Y34+AD34</f>
        <v>0</v>
      </c>
      <c r="AN34" s="64">
        <f t="shared" si="35"/>
        <v>62</v>
      </c>
      <c r="AO34" s="323">
        <f t="shared" si="51"/>
        <v>1860</v>
      </c>
      <c r="AP34" s="64">
        <f t="shared" si="36"/>
        <v>52</v>
      </c>
      <c r="AQ34" s="323">
        <f t="shared" si="50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9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0"/>
        <v>239</v>
      </c>
      <c r="C35" s="64">
        <f t="shared" si="41"/>
        <v>245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0">
        <f t="shared" ref="I35" si="56">SUM(H35-H34)</f>
        <v>0</v>
      </c>
      <c r="J35" s="66">
        <f t="shared" ref="J35" si="57">IF(G35&gt;0,I35/G35,0)</f>
        <v>0</v>
      </c>
      <c r="K35" s="64">
        <f t="shared" ref="K35" si="58">K34</f>
        <v>2116</v>
      </c>
      <c r="L35" s="52">
        <f t="shared" ref="L35" si="59">K35-K34</f>
        <v>0</v>
      </c>
      <c r="M35" s="64">
        <f t="shared" si="43"/>
        <v>155322</v>
      </c>
      <c r="N35" s="400">
        <f t="shared" ref="N35" si="60">M35-M34</f>
        <v>0</v>
      </c>
      <c r="O35" s="64">
        <f t="shared" si="13"/>
        <v>211.87499999999994</v>
      </c>
      <c r="P35" s="64">
        <f t="shared" si="13"/>
        <v>1840</v>
      </c>
      <c r="Q35" s="64">
        <f t="shared" si="13"/>
        <v>156234</v>
      </c>
      <c r="R35" s="399">
        <f t="shared" ref="R35" si="61">Q35-Q34</f>
        <v>0</v>
      </c>
      <c r="S35" s="52">
        <f t="shared" ref="S35" si="62">SUM(P35-P34)</f>
        <v>0</v>
      </c>
      <c r="T35" s="67">
        <f t="shared" ref="T35" si="63">SUM(S35*$T$2)</f>
        <v>0</v>
      </c>
      <c r="U35" s="406">
        <f t="shared" ref="U35" si="64">SUM(G35+L35+S35)</f>
        <v>0</v>
      </c>
      <c r="V35" s="62">
        <f t="shared" ref="V35" si="65">R35+N35+I35:I35</f>
        <v>0</v>
      </c>
      <c r="W35" s="404"/>
      <c r="X35" s="64">
        <f t="shared" si="17"/>
        <v>2448</v>
      </c>
      <c r="Y35" s="52">
        <f t="shared" ref="Y35" si="66">X35-X34</f>
        <v>0</v>
      </c>
      <c r="Z35" s="64">
        <f t="shared" si="19"/>
        <v>137506</v>
      </c>
      <c r="AA35" s="65">
        <f t="shared" ref="AA35" si="67">Z35-Z34</f>
        <v>0</v>
      </c>
      <c r="AB35" s="287">
        <f t="shared" ref="AB35" si="68">SUM(Y35*$AB$2)</f>
        <v>0</v>
      </c>
      <c r="AC35" s="64">
        <f t="shared" si="20"/>
        <v>1933</v>
      </c>
      <c r="AD35" s="45">
        <f t="shared" ref="AD35" si="69">AC35-AC34</f>
        <v>0</v>
      </c>
      <c r="AE35" s="64">
        <f t="shared" si="21"/>
        <v>365212</v>
      </c>
      <c r="AF35" s="309">
        <f t="shared" ref="AF35" si="70">AE35-AE34</f>
        <v>0</v>
      </c>
      <c r="AG35" s="210">
        <f t="shared" ref="AG35" si="71">IF(AD35&gt;0,AF35/AD35,0)</f>
        <v>0</v>
      </c>
      <c r="AH35" s="62">
        <f t="shared" ref="AH35" si="72">AF35+AA35</f>
        <v>0</v>
      </c>
      <c r="AI35" s="321">
        <f t="shared" ref="AI35" si="73">SUM(AH35+V35)</f>
        <v>0</v>
      </c>
      <c r="AJ35" s="321">
        <f>-tanks!AW37</f>
        <v>0</v>
      </c>
      <c r="AK35" s="321">
        <f t="shared" ref="AK35" si="74">SUM(AJ35-AI35)</f>
        <v>0</v>
      </c>
      <c r="AL35" s="321">
        <f t="shared" ref="AL35" si="75">S35+L35+G35</f>
        <v>0</v>
      </c>
      <c r="AM35" s="321">
        <f>Y35+AD35</f>
        <v>0</v>
      </c>
      <c r="AN35" s="64">
        <f t="shared" si="35"/>
        <v>62</v>
      </c>
      <c r="AO35" s="323">
        <f t="shared" ref="AO35" si="76">(AN35/100)*3000</f>
        <v>1860</v>
      </c>
      <c r="AP35" s="64">
        <f t="shared" si="36"/>
        <v>52</v>
      </c>
      <c r="AQ35" s="323">
        <f t="shared" ref="AQ35" si="77">(AP35/100)*3000</f>
        <v>1560</v>
      </c>
      <c r="AR35" s="64">
        <f t="shared" si="28"/>
        <v>68</v>
      </c>
      <c r="AS35" s="323">
        <f t="shared" ref="AS35" si="78">(AR35/100)*3000</f>
        <v>2040.0000000000002</v>
      </c>
      <c r="AT35" s="323">
        <f t="shared" ref="AT35" si="79">SUM(AO35+AQ35+AS35)</f>
        <v>5460</v>
      </c>
      <c r="AU35" s="323">
        <f t="shared" ref="AU35" si="80">AT34-AT35+AV35</f>
        <v>0</v>
      </c>
      <c r="AV35" s="271"/>
      <c r="AW35" s="271"/>
      <c r="AX35" s="316">
        <f t="shared" ref="AX35" si="81">IF(AV35&gt;0,AW35,AX34)</f>
        <v>0.8</v>
      </c>
    </row>
    <row r="36" spans="1:50">
      <c r="J36" s="286">
        <f>SUM(J5:J34)/(COUNT(J5:J34)-COUNTIF(J5:J34,0))</f>
        <v>1</v>
      </c>
      <c r="V36" s="62">
        <f>SUM(V5:V35)</f>
        <v>642</v>
      </c>
      <c r="AE36" s="71" t="s">
        <v>385</v>
      </c>
      <c r="AG36" s="348"/>
      <c r="AH36" s="62">
        <f>SUM(AH5:AH35)</f>
        <v>1.7999999999883585</v>
      </c>
      <c r="AL36" s="62">
        <f>SUM(AL5:AL35)</f>
        <v>7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643.79999999998836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4" activePane="bottomLeft" state="frozen"/>
      <selection pane="bottomLeft" activeCell="G11" sqref="G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9135300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24" t="s">
        <v>126</v>
      </c>
      <c r="AO3" s="625"/>
      <c r="AP3" s="626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f t="shared" ref="T12:T36" si="42">T11</f>
        <v>5138</v>
      </c>
      <c r="U12" s="5">
        <f t="shared" si="4"/>
        <v>0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f t="shared" ref="AV12:AV36" si="43">AV11</f>
        <v>36</v>
      </c>
      <c r="AW12" s="5">
        <v>2.9</v>
      </c>
      <c r="AX12" s="202">
        <f t="shared" ref="AX12:AX36" si="44">AX11</f>
        <v>41</v>
      </c>
      <c r="AY12" s="433">
        <f t="shared" si="7"/>
        <v>49.5</v>
      </c>
      <c r="AZ12" s="433">
        <f t="shared" si="28"/>
        <v>39.6</v>
      </c>
      <c r="BA12" s="433">
        <f t="shared" si="29"/>
        <v>118.89999999999999</v>
      </c>
      <c r="BB12" s="21">
        <f t="shared" si="30"/>
        <v>0</v>
      </c>
      <c r="BC12" s="21">
        <f t="shared" si="31"/>
        <v>0</v>
      </c>
      <c r="BD12" s="21">
        <f t="shared" si="31"/>
        <v>0</v>
      </c>
      <c r="BE12" s="24">
        <f t="shared" si="32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44112</v>
      </c>
      <c r="B13" s="5">
        <f t="shared" si="10"/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f t="shared" si="42"/>
        <v>5138</v>
      </c>
      <c r="U13" s="5">
        <f t="shared" si="4"/>
        <v>0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f t="shared" si="40"/>
        <v>97117</v>
      </c>
      <c r="AA13" s="83">
        <f t="shared" si="18"/>
        <v>0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0</v>
      </c>
      <c r="AK13" s="330">
        <f t="shared" si="36"/>
        <v>0</v>
      </c>
      <c r="AL13" s="330">
        <f t="shared" si="26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f t="shared" si="6"/>
        <v>55</v>
      </c>
      <c r="AU13" s="430">
        <f t="shared" si="41"/>
        <v>1.1000000000000001</v>
      </c>
      <c r="AV13" s="202">
        <f t="shared" si="43"/>
        <v>36</v>
      </c>
      <c r="AW13" s="5">
        <v>2.9</v>
      </c>
      <c r="AX13" s="202">
        <f t="shared" si="44"/>
        <v>41</v>
      </c>
      <c r="AY13" s="433">
        <f t="shared" si="7"/>
        <v>49.5</v>
      </c>
      <c r="AZ13" s="433">
        <f t="shared" si="28"/>
        <v>39.6</v>
      </c>
      <c r="BA13" s="433">
        <f t="shared" si="29"/>
        <v>118.89999999999999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f t="shared" si="33"/>
        <v>609020</v>
      </c>
      <c r="H14" s="5">
        <f t="shared" si="13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5">SUM(M14-M13)</f>
        <v>0</v>
      </c>
      <c r="O14" s="415">
        <f t="shared" si="15"/>
        <v>529.52</v>
      </c>
      <c r="P14" s="522">
        <f t="shared" ref="P14:P35" si="46">SUM(O14-O13)</f>
        <v>0</v>
      </c>
      <c r="Q14" s="522">
        <f t="shared" ref="Q14:Q35" si="47">SUM(P14+N14)</f>
        <v>0</v>
      </c>
      <c r="R14" s="522"/>
      <c r="S14" s="522"/>
      <c r="T14" s="5">
        <f t="shared" si="42"/>
        <v>5138</v>
      </c>
      <c r="U14" s="5">
        <f t="shared" si="4"/>
        <v>0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97117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55</v>
      </c>
      <c r="AU14" s="430">
        <f t="shared" si="41"/>
        <v>1.1000000000000001</v>
      </c>
      <c r="AV14" s="202">
        <f t="shared" si="43"/>
        <v>36</v>
      </c>
      <c r="AW14" s="5">
        <v>2.9</v>
      </c>
      <c r="AX14" s="202">
        <f t="shared" si="44"/>
        <v>41</v>
      </c>
      <c r="AY14" s="433">
        <f t="shared" si="7"/>
        <v>49.5</v>
      </c>
      <c r="AZ14" s="433">
        <f t="shared" si="28"/>
        <v>39.6</v>
      </c>
      <c r="BA14" s="433">
        <f t="shared" si="29"/>
        <v>118.89999999999999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f t="shared" si="33"/>
        <v>609020</v>
      </c>
      <c r="H15" s="5">
        <f t="shared" si="13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5"/>
        <v>0</v>
      </c>
      <c r="O15" s="415">
        <f t="shared" si="15"/>
        <v>529.52</v>
      </c>
      <c r="P15" s="522">
        <f t="shared" si="46"/>
        <v>0</v>
      </c>
      <c r="Q15" s="522">
        <f t="shared" si="47"/>
        <v>0</v>
      </c>
      <c r="R15" s="522"/>
      <c r="S15" s="522"/>
      <c r="T15" s="5">
        <f t="shared" si="42"/>
        <v>5138</v>
      </c>
      <c r="U15" s="5">
        <f t="shared" si="4"/>
        <v>0</v>
      </c>
      <c r="V15" s="5">
        <f t="shared" si="16"/>
        <v>452</v>
      </c>
      <c r="W15" s="327">
        <f t="shared" si="17"/>
        <v>0</v>
      </c>
      <c r="X15" s="5">
        <f t="shared" si="38"/>
        <v>147726</v>
      </c>
      <c r="Y15" s="327">
        <f t="shared" si="39"/>
        <v>0</v>
      </c>
      <c r="Z15" s="5">
        <f t="shared" si="40"/>
        <v>97117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0</v>
      </c>
      <c r="AL15" s="330">
        <f t="shared" si="26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f t="shared" si="6"/>
        <v>55</v>
      </c>
      <c r="AU15" s="430">
        <f t="shared" si="41"/>
        <v>1.1000000000000001</v>
      </c>
      <c r="AV15" s="202">
        <f t="shared" si="43"/>
        <v>36</v>
      </c>
      <c r="AW15" s="5">
        <v>2.9</v>
      </c>
      <c r="AX15" s="202">
        <f t="shared" si="44"/>
        <v>41</v>
      </c>
      <c r="AY15" s="433">
        <f t="shared" si="7"/>
        <v>49.5</v>
      </c>
      <c r="AZ15" s="433">
        <f t="shared" si="28"/>
        <v>39.6</v>
      </c>
      <c r="BA15" s="433">
        <f t="shared" si="29"/>
        <v>118.89999999999999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609020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5"/>
        <v>0</v>
      </c>
      <c r="O16" s="415">
        <f t="shared" si="15"/>
        <v>529.52</v>
      </c>
      <c r="P16" s="522">
        <f t="shared" si="46"/>
        <v>0</v>
      </c>
      <c r="Q16" s="522">
        <f t="shared" si="47"/>
        <v>0</v>
      </c>
      <c r="R16" s="524"/>
      <c r="S16" s="524"/>
      <c r="T16" s="5">
        <f t="shared" si="42"/>
        <v>5138</v>
      </c>
      <c r="U16" s="5">
        <f t="shared" si="4"/>
        <v>0</v>
      </c>
      <c r="V16" s="5">
        <f t="shared" si="16"/>
        <v>452</v>
      </c>
      <c r="W16" s="327">
        <f t="shared" si="17"/>
        <v>0</v>
      </c>
      <c r="X16" s="5">
        <f t="shared" si="38"/>
        <v>147726</v>
      </c>
      <c r="Y16" s="327">
        <f t="shared" si="39"/>
        <v>0</v>
      </c>
      <c r="Z16" s="5">
        <f t="shared" si="40"/>
        <v>97117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f t="shared" si="6"/>
        <v>55</v>
      </c>
      <c r="AU16" s="430">
        <f t="shared" si="41"/>
        <v>1.1000000000000001</v>
      </c>
      <c r="AV16" s="202">
        <f t="shared" si="43"/>
        <v>36</v>
      </c>
      <c r="AW16" s="5">
        <v>2.9</v>
      </c>
      <c r="AX16" s="202">
        <f t="shared" si="44"/>
        <v>41</v>
      </c>
      <c r="AY16" s="433">
        <f t="shared" si="7"/>
        <v>49.5</v>
      </c>
      <c r="AZ16" s="433">
        <f t="shared" si="28"/>
        <v>39.6</v>
      </c>
      <c r="BA16" s="433">
        <f t="shared" si="29"/>
        <v>118.89999999999999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f t="shared" si="33"/>
        <v>609020</v>
      </c>
      <c r="H17" s="5">
        <f t="shared" si="13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5"/>
        <v>0</v>
      </c>
      <c r="O17" s="415">
        <f t="shared" si="15"/>
        <v>529.52</v>
      </c>
      <c r="P17" s="522">
        <f t="shared" si="46"/>
        <v>0</v>
      </c>
      <c r="Q17" s="522">
        <f t="shared" si="47"/>
        <v>0</v>
      </c>
      <c r="R17" s="522"/>
      <c r="S17" s="522"/>
      <c r="T17" s="5">
        <f t="shared" si="42"/>
        <v>5138</v>
      </c>
      <c r="U17" s="5">
        <f t="shared" si="4"/>
        <v>0</v>
      </c>
      <c r="V17" s="5">
        <f t="shared" si="16"/>
        <v>452</v>
      </c>
      <c r="W17" s="327">
        <f t="shared" si="17"/>
        <v>0</v>
      </c>
      <c r="X17" s="5">
        <f t="shared" si="38"/>
        <v>147726</v>
      </c>
      <c r="Y17" s="327">
        <f t="shared" si="39"/>
        <v>0</v>
      </c>
      <c r="Z17" s="5">
        <f t="shared" si="40"/>
        <v>97117</v>
      </c>
      <c r="AA17" s="83">
        <f t="shared" si="18"/>
        <v>0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0</v>
      </c>
      <c r="AK17" s="330">
        <f t="shared" si="36"/>
        <v>0</v>
      </c>
      <c r="AL17" s="330">
        <f t="shared" si="26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f t="shared" si="6"/>
        <v>55</v>
      </c>
      <c r="AU17" s="430">
        <f t="shared" si="41"/>
        <v>1.1000000000000001</v>
      </c>
      <c r="AV17" s="202">
        <f t="shared" si="43"/>
        <v>36</v>
      </c>
      <c r="AW17" s="5">
        <v>2.9</v>
      </c>
      <c r="AX17" s="202">
        <f t="shared" si="44"/>
        <v>41</v>
      </c>
      <c r="AY17" s="433">
        <f t="shared" si="7"/>
        <v>49.5</v>
      </c>
      <c r="AZ17" s="433">
        <f t="shared" si="28"/>
        <v>39.6</v>
      </c>
      <c r="BA17" s="433">
        <f t="shared" si="29"/>
        <v>118.89999999999999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609020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5"/>
        <v>0</v>
      </c>
      <c r="O18" s="415">
        <f t="shared" si="15"/>
        <v>529.52</v>
      </c>
      <c r="P18" s="522">
        <f t="shared" si="46"/>
        <v>0</v>
      </c>
      <c r="Q18" s="522">
        <f t="shared" si="47"/>
        <v>0</v>
      </c>
      <c r="R18" s="522"/>
      <c r="S18" s="522"/>
      <c r="T18" s="5">
        <f t="shared" si="42"/>
        <v>5138</v>
      </c>
      <c r="U18" s="5">
        <f t="shared" si="4"/>
        <v>0</v>
      </c>
      <c r="V18" s="5">
        <f t="shared" si="16"/>
        <v>452</v>
      </c>
      <c r="W18" s="327">
        <f t="shared" si="17"/>
        <v>0</v>
      </c>
      <c r="X18" s="5">
        <f t="shared" si="38"/>
        <v>147726</v>
      </c>
      <c r="Y18" s="327">
        <f t="shared" si="39"/>
        <v>0</v>
      </c>
      <c r="Z18" s="5">
        <f t="shared" si="40"/>
        <v>97117</v>
      </c>
      <c r="AA18" s="83">
        <f t="shared" si="18"/>
        <v>0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0</v>
      </c>
      <c r="AK18" s="330">
        <f t="shared" si="36"/>
        <v>0</v>
      </c>
      <c r="AL18" s="330">
        <f t="shared" si="26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f t="shared" si="6"/>
        <v>55</v>
      </c>
      <c r="AU18" s="430">
        <f t="shared" si="41"/>
        <v>1.1000000000000001</v>
      </c>
      <c r="AV18" s="202">
        <f t="shared" si="43"/>
        <v>36</v>
      </c>
      <c r="AW18" s="5">
        <v>2.9</v>
      </c>
      <c r="AX18" s="202">
        <f t="shared" si="44"/>
        <v>41</v>
      </c>
      <c r="AY18" s="433">
        <f t="shared" si="7"/>
        <v>49.5</v>
      </c>
      <c r="AZ18" s="433">
        <f t="shared" si="28"/>
        <v>39.6</v>
      </c>
      <c r="BA18" s="433">
        <f t="shared" si="29"/>
        <v>118.89999999999999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44118</v>
      </c>
      <c r="B19" s="5">
        <f t="shared" si="10"/>
        <v>109096</v>
      </c>
      <c r="C19" s="5">
        <f t="shared" si="11"/>
        <v>0</v>
      </c>
      <c r="D19" s="424">
        <f t="shared" si="12"/>
        <v>0</v>
      </c>
      <c r="E19" s="336">
        <f>SUM((C19*$E$4)+(7500/'EDl log'!$A$38))</f>
        <v>241.93548387096774</v>
      </c>
      <c r="F19" s="423"/>
      <c r="G19" s="5">
        <f t="shared" si="33"/>
        <v>609020</v>
      </c>
      <c r="H19" s="5">
        <f t="shared" si="13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5"/>
        <v>0</v>
      </c>
      <c r="O19" s="415">
        <f t="shared" si="15"/>
        <v>529.52</v>
      </c>
      <c r="P19" s="522">
        <f t="shared" si="46"/>
        <v>0</v>
      </c>
      <c r="Q19" s="522">
        <f t="shared" si="47"/>
        <v>0</v>
      </c>
      <c r="R19" s="522"/>
      <c r="S19" s="522"/>
      <c r="T19" s="5">
        <f t="shared" si="42"/>
        <v>5138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f t="shared" si="38"/>
        <v>147726</v>
      </c>
      <c r="Y19" s="327">
        <f t="shared" si="39"/>
        <v>0</v>
      </c>
      <c r="Z19" s="5">
        <f t="shared" si="40"/>
        <v>97117</v>
      </c>
      <c r="AA19" s="83">
        <f t="shared" si="18"/>
        <v>0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0</v>
      </c>
      <c r="AK19" s="330">
        <f t="shared" si="36"/>
        <v>0</v>
      </c>
      <c r="AL19" s="330">
        <f t="shared" si="26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f t="shared" si="6"/>
        <v>55</v>
      </c>
      <c r="AU19" s="430">
        <f t="shared" si="41"/>
        <v>1.1000000000000001</v>
      </c>
      <c r="AV19" s="202">
        <f t="shared" si="43"/>
        <v>36</v>
      </c>
      <c r="AW19" s="5">
        <v>2.9</v>
      </c>
      <c r="AX19" s="202">
        <f t="shared" si="44"/>
        <v>41</v>
      </c>
      <c r="AY19" s="433">
        <f t="shared" si="7"/>
        <v>49.5</v>
      </c>
      <c r="AZ19" s="433">
        <f t="shared" si="28"/>
        <v>39.6</v>
      </c>
      <c r="BA19" s="433">
        <f t="shared" si="29"/>
        <v>118.89999999999999</v>
      </c>
      <c r="BB19" s="21">
        <f t="shared" si="30"/>
        <v>0</v>
      </c>
      <c r="BC19" s="21">
        <f t="shared" si="31"/>
        <v>0</v>
      </c>
      <c r="BD19" s="21">
        <f t="shared" si="31"/>
        <v>0</v>
      </c>
      <c r="BE19" s="24">
        <f t="shared" si="32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44119</v>
      </c>
      <c r="B20" s="5">
        <f t="shared" si="10"/>
        <v>109096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f t="shared" si="33"/>
        <v>609020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5"/>
        <v>0</v>
      </c>
      <c r="O20" s="415">
        <f t="shared" si="15"/>
        <v>529.52</v>
      </c>
      <c r="P20" s="522">
        <f t="shared" si="46"/>
        <v>0</v>
      </c>
      <c r="Q20" s="522">
        <f t="shared" si="47"/>
        <v>0</v>
      </c>
      <c r="R20" s="522"/>
      <c r="S20" s="522"/>
      <c r="T20" s="5">
        <f t="shared" si="42"/>
        <v>5138</v>
      </c>
      <c r="U20" s="5">
        <f t="shared" si="4"/>
        <v>0</v>
      </c>
      <c r="V20" s="5">
        <f t="shared" si="16"/>
        <v>452</v>
      </c>
      <c r="W20" s="327">
        <f t="shared" si="17"/>
        <v>0</v>
      </c>
      <c r="X20" s="5">
        <f t="shared" si="38"/>
        <v>147726</v>
      </c>
      <c r="Y20" s="327">
        <f t="shared" si="39"/>
        <v>0</v>
      </c>
      <c r="Z20" s="5">
        <f t="shared" si="40"/>
        <v>97117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0</v>
      </c>
      <c r="AL20" s="330">
        <f t="shared" si="26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f t="shared" si="6"/>
        <v>55</v>
      </c>
      <c r="AU20" s="430">
        <f t="shared" si="41"/>
        <v>1.1000000000000001</v>
      </c>
      <c r="AV20" s="202">
        <f t="shared" si="43"/>
        <v>36</v>
      </c>
      <c r="AW20" s="5">
        <v>2.9</v>
      </c>
      <c r="AX20" s="202">
        <f t="shared" si="44"/>
        <v>41</v>
      </c>
      <c r="AY20" s="433">
        <f t="shared" si="7"/>
        <v>49.5</v>
      </c>
      <c r="AZ20" s="433">
        <f t="shared" si="28"/>
        <v>39.6</v>
      </c>
      <c r="BA20" s="433">
        <f t="shared" si="29"/>
        <v>118.89999999999999</v>
      </c>
      <c r="BB20" s="21">
        <f t="shared" si="30"/>
        <v>0</v>
      </c>
      <c r="BC20" s="21">
        <f t="shared" si="31"/>
        <v>0</v>
      </c>
      <c r="BD20" s="21">
        <f t="shared" si="31"/>
        <v>0</v>
      </c>
      <c r="BE20" s="24">
        <f t="shared" si="32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44120</v>
      </c>
      <c r="B21" s="5">
        <f t="shared" si="10"/>
        <v>109096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609020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6555</v>
      </c>
      <c r="L21" s="83">
        <f t="shared" si="37"/>
        <v>0</v>
      </c>
      <c r="M21" s="415">
        <f t="shared" si="14"/>
        <v>457.44</v>
      </c>
      <c r="N21" s="522">
        <f t="shared" si="45"/>
        <v>0</v>
      </c>
      <c r="O21" s="415">
        <f t="shared" si="15"/>
        <v>529.52</v>
      </c>
      <c r="P21" s="522">
        <f t="shared" si="46"/>
        <v>0</v>
      </c>
      <c r="Q21" s="522">
        <f t="shared" si="47"/>
        <v>0</v>
      </c>
      <c r="R21" s="522"/>
      <c r="S21" s="522"/>
      <c r="T21" s="5">
        <f t="shared" si="42"/>
        <v>5138</v>
      </c>
      <c r="U21" s="5">
        <f t="shared" si="4"/>
        <v>0</v>
      </c>
      <c r="V21" s="5">
        <f t="shared" si="16"/>
        <v>452</v>
      </c>
      <c r="W21" s="327">
        <f t="shared" si="17"/>
        <v>0</v>
      </c>
      <c r="X21" s="5">
        <f t="shared" si="38"/>
        <v>147726</v>
      </c>
      <c r="Y21" s="327">
        <f>SUM(X21-X20)</f>
        <v>0</v>
      </c>
      <c r="Z21" s="5">
        <f t="shared" si="40"/>
        <v>97117</v>
      </c>
      <c r="AA21" s="83">
        <f t="shared" si="18"/>
        <v>0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0</v>
      </c>
      <c r="AK21" s="330">
        <f t="shared" si="36"/>
        <v>0</v>
      </c>
      <c r="AL21" s="330">
        <f t="shared" si="26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f t="shared" si="6"/>
        <v>55</v>
      </c>
      <c r="AU21" s="430">
        <f t="shared" si="41"/>
        <v>1.1000000000000001</v>
      </c>
      <c r="AV21" s="202">
        <f t="shared" si="43"/>
        <v>36</v>
      </c>
      <c r="AW21" s="5">
        <v>2.9</v>
      </c>
      <c r="AX21" s="202">
        <f t="shared" si="44"/>
        <v>41</v>
      </c>
      <c r="AY21" s="433">
        <f t="shared" si="7"/>
        <v>49.5</v>
      </c>
      <c r="AZ21" s="433">
        <f t="shared" si="28"/>
        <v>39.6</v>
      </c>
      <c r="BA21" s="433">
        <f t="shared" si="29"/>
        <v>118.89999999999999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44121</v>
      </c>
      <c r="B22" s="5">
        <f t="shared" si="10"/>
        <v>109096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609020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6555</v>
      </c>
      <c r="L22" s="83">
        <f t="shared" si="37"/>
        <v>0</v>
      </c>
      <c r="M22" s="415">
        <f t="shared" si="14"/>
        <v>457.44</v>
      </c>
      <c r="N22" s="522">
        <f t="shared" si="45"/>
        <v>0</v>
      </c>
      <c r="O22" s="415">
        <f t="shared" si="15"/>
        <v>529.52</v>
      </c>
      <c r="P22" s="522">
        <f t="shared" si="46"/>
        <v>0</v>
      </c>
      <c r="Q22" s="522">
        <f t="shared" si="47"/>
        <v>0</v>
      </c>
      <c r="R22" s="522"/>
      <c r="S22" s="522"/>
      <c r="T22" s="5">
        <f t="shared" si="42"/>
        <v>5138</v>
      </c>
      <c r="U22" s="5">
        <f t="shared" si="4"/>
        <v>0</v>
      </c>
      <c r="V22" s="5">
        <f t="shared" si="16"/>
        <v>452</v>
      </c>
      <c r="W22" s="327">
        <f t="shared" si="17"/>
        <v>0</v>
      </c>
      <c r="X22" s="5">
        <f t="shared" si="38"/>
        <v>147726</v>
      </c>
      <c r="Y22" s="327">
        <f t="shared" si="39"/>
        <v>0</v>
      </c>
      <c r="Z22" s="5">
        <f t="shared" si="40"/>
        <v>97117</v>
      </c>
      <c r="AA22" s="83">
        <f t="shared" si="18"/>
        <v>0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0</v>
      </c>
      <c r="AK22" s="330">
        <f t="shared" si="36"/>
        <v>0</v>
      </c>
      <c r="AL22" s="330">
        <f t="shared" si="26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8">AS21</f>
        <v>0.9</v>
      </c>
      <c r="AT22" s="202">
        <f t="shared" si="48"/>
        <v>55</v>
      </c>
      <c r="AU22" s="430">
        <f t="shared" si="41"/>
        <v>1.1000000000000001</v>
      </c>
      <c r="AV22" s="202">
        <f t="shared" si="43"/>
        <v>36</v>
      </c>
      <c r="AW22" s="5">
        <v>2.9</v>
      </c>
      <c r="AX22" s="202">
        <f t="shared" si="44"/>
        <v>41</v>
      </c>
      <c r="AY22" s="433">
        <f t="shared" si="7"/>
        <v>49.5</v>
      </c>
      <c r="AZ22" s="433">
        <f t="shared" si="28"/>
        <v>39.6</v>
      </c>
      <c r="BA22" s="433">
        <f t="shared" si="29"/>
        <v>118.89999999999999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44122</v>
      </c>
      <c r="B23" s="5">
        <f t="shared" si="10"/>
        <v>109096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609020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6555</v>
      </c>
      <c r="L23" s="276">
        <f t="shared" si="37"/>
        <v>0</v>
      </c>
      <c r="M23" s="415">
        <f t="shared" si="14"/>
        <v>457.44</v>
      </c>
      <c r="N23" s="522">
        <f t="shared" si="45"/>
        <v>0</v>
      </c>
      <c r="O23" s="415">
        <f t="shared" si="15"/>
        <v>529.52</v>
      </c>
      <c r="P23" s="522">
        <f t="shared" si="46"/>
        <v>0</v>
      </c>
      <c r="Q23" s="522">
        <f t="shared" si="47"/>
        <v>0</v>
      </c>
      <c r="R23" s="524"/>
      <c r="S23" s="524"/>
      <c r="T23" s="5">
        <f t="shared" si="42"/>
        <v>5138</v>
      </c>
      <c r="U23" s="5">
        <f t="shared" si="4"/>
        <v>0</v>
      </c>
      <c r="V23" s="5">
        <f t="shared" si="16"/>
        <v>452</v>
      </c>
      <c r="W23" s="327">
        <f t="shared" si="17"/>
        <v>0</v>
      </c>
      <c r="X23" s="5">
        <f t="shared" si="38"/>
        <v>147726</v>
      </c>
      <c r="Y23" s="327">
        <f t="shared" si="39"/>
        <v>0</v>
      </c>
      <c r="Z23" s="5">
        <f t="shared" si="40"/>
        <v>97117</v>
      </c>
      <c r="AA23" s="83">
        <f t="shared" si="18"/>
        <v>0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f t="shared" si="20"/>
        <v>217.84</v>
      </c>
      <c r="AF23" s="83">
        <f t="shared" si="21"/>
        <v>0</v>
      </c>
      <c r="AG23" s="5">
        <f t="shared" si="22"/>
        <v>2176.58</v>
      </c>
      <c r="AH23" s="83">
        <f t="shared" si="23"/>
        <v>0</v>
      </c>
      <c r="AI23" s="83">
        <f t="shared" si="24"/>
        <v>0</v>
      </c>
      <c r="AJ23" s="329">
        <f t="shared" si="25"/>
        <v>0</v>
      </c>
      <c r="AK23" s="330">
        <f t="shared" si="36"/>
        <v>0</v>
      </c>
      <c r="AL23" s="330">
        <f t="shared" si="26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8"/>
        <v>0.9</v>
      </c>
      <c r="AT23" s="202">
        <f t="shared" si="48"/>
        <v>55</v>
      </c>
      <c r="AU23" s="430">
        <f t="shared" si="41"/>
        <v>1.1000000000000001</v>
      </c>
      <c r="AV23" s="202">
        <f t="shared" si="43"/>
        <v>36</v>
      </c>
      <c r="AW23" s="5">
        <v>2.9</v>
      </c>
      <c r="AX23" s="202">
        <f t="shared" si="44"/>
        <v>41</v>
      </c>
      <c r="AY23" s="433">
        <f t="shared" si="7"/>
        <v>49.5</v>
      </c>
      <c r="AZ23" s="433">
        <f t="shared" si="28"/>
        <v>39.6</v>
      </c>
      <c r="BA23" s="433">
        <f t="shared" si="29"/>
        <v>118.89999999999999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44123</v>
      </c>
      <c r="B24" s="5">
        <f t="shared" si="10"/>
        <v>109096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609020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6555</v>
      </c>
      <c r="L24" s="276">
        <f t="shared" si="37"/>
        <v>0</v>
      </c>
      <c r="M24" s="415">
        <f t="shared" si="14"/>
        <v>457.44</v>
      </c>
      <c r="N24" s="522">
        <f t="shared" si="45"/>
        <v>0</v>
      </c>
      <c r="O24" s="415">
        <f t="shared" si="15"/>
        <v>529.52</v>
      </c>
      <c r="P24" s="522">
        <f t="shared" si="46"/>
        <v>0</v>
      </c>
      <c r="Q24" s="522">
        <f t="shared" si="47"/>
        <v>0</v>
      </c>
      <c r="R24" s="524"/>
      <c r="S24" s="524"/>
      <c r="T24" s="5">
        <f t="shared" si="42"/>
        <v>5138</v>
      </c>
      <c r="U24" s="5">
        <f t="shared" si="4"/>
        <v>0</v>
      </c>
      <c r="V24" s="5">
        <f t="shared" si="16"/>
        <v>452</v>
      </c>
      <c r="W24" s="327">
        <f t="shared" si="17"/>
        <v>0</v>
      </c>
      <c r="X24" s="5">
        <f t="shared" si="38"/>
        <v>147726</v>
      </c>
      <c r="Y24" s="327">
        <f t="shared" si="39"/>
        <v>0</v>
      </c>
      <c r="Z24" s="5">
        <f t="shared" si="40"/>
        <v>97117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217.84</v>
      </c>
      <c r="AF24" s="83">
        <f t="shared" si="21"/>
        <v>0</v>
      </c>
      <c r="AG24" s="5">
        <f t="shared" si="22"/>
        <v>2176.58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0</v>
      </c>
      <c r="AL24" s="330">
        <f t="shared" si="26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8"/>
        <v>0.9</v>
      </c>
      <c r="AT24" s="202">
        <f t="shared" si="48"/>
        <v>55</v>
      </c>
      <c r="AU24" s="430">
        <f t="shared" si="41"/>
        <v>1.1000000000000001</v>
      </c>
      <c r="AV24" s="202">
        <f t="shared" si="43"/>
        <v>36</v>
      </c>
      <c r="AW24" s="5">
        <v>2.9</v>
      </c>
      <c r="AX24" s="202">
        <f t="shared" si="44"/>
        <v>41</v>
      </c>
      <c r="AY24" s="433">
        <f t="shared" si="7"/>
        <v>49.5</v>
      </c>
      <c r="AZ24" s="433">
        <f t="shared" si="28"/>
        <v>39.6</v>
      </c>
      <c r="BA24" s="433">
        <f t="shared" si="29"/>
        <v>118.89999999999999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44124</v>
      </c>
      <c r="B25" s="5">
        <f t="shared" si="10"/>
        <v>109096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f t="shared" si="33"/>
        <v>609020</v>
      </c>
      <c r="H25" s="5">
        <f t="shared" si="13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6555</v>
      </c>
      <c r="L25" s="276">
        <f t="shared" si="37"/>
        <v>0</v>
      </c>
      <c r="M25" s="415">
        <f t="shared" si="14"/>
        <v>457.44</v>
      </c>
      <c r="N25" s="522">
        <f t="shared" si="45"/>
        <v>0</v>
      </c>
      <c r="O25" s="415">
        <f t="shared" si="15"/>
        <v>529.52</v>
      </c>
      <c r="P25" s="522">
        <f t="shared" si="46"/>
        <v>0</v>
      </c>
      <c r="Q25" s="522">
        <f t="shared" si="47"/>
        <v>0</v>
      </c>
      <c r="R25" s="524"/>
      <c r="S25" s="524"/>
      <c r="T25" s="5">
        <f t="shared" si="42"/>
        <v>5138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147726</v>
      </c>
      <c r="Y25" s="327">
        <f t="shared" si="39"/>
        <v>0</v>
      </c>
      <c r="Z25" s="5">
        <f t="shared" si="40"/>
        <v>97117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217.84</v>
      </c>
      <c r="AF25" s="83">
        <f t="shared" si="21"/>
        <v>0</v>
      </c>
      <c r="AG25" s="5">
        <f t="shared" si="22"/>
        <v>2176.58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0</v>
      </c>
      <c r="AL25" s="330">
        <f t="shared" si="26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8"/>
        <v>0.9</v>
      </c>
      <c r="AT25" s="202">
        <f t="shared" si="48"/>
        <v>55</v>
      </c>
      <c r="AU25" s="430">
        <f t="shared" si="41"/>
        <v>1.1000000000000001</v>
      </c>
      <c r="AV25" s="202">
        <f t="shared" si="43"/>
        <v>36</v>
      </c>
      <c r="AW25" s="5">
        <v>2.9</v>
      </c>
      <c r="AX25" s="202">
        <f t="shared" si="44"/>
        <v>41</v>
      </c>
      <c r="AY25" s="433">
        <f t="shared" si="7"/>
        <v>49.5</v>
      </c>
      <c r="AZ25" s="433">
        <f t="shared" si="28"/>
        <v>39.6</v>
      </c>
      <c r="BA25" s="433">
        <f t="shared" si="29"/>
        <v>118.89999999999999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44125</v>
      </c>
      <c r="B26" s="5">
        <f t="shared" si="10"/>
        <v>109096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609020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6555</v>
      </c>
      <c r="L26" s="276">
        <f t="shared" si="37"/>
        <v>0</v>
      </c>
      <c r="M26" s="415">
        <f t="shared" si="14"/>
        <v>457.44</v>
      </c>
      <c r="N26" s="522">
        <f t="shared" si="45"/>
        <v>0</v>
      </c>
      <c r="O26" s="415">
        <f t="shared" si="15"/>
        <v>529.52</v>
      </c>
      <c r="P26" s="522">
        <f t="shared" si="46"/>
        <v>0</v>
      </c>
      <c r="Q26" s="522">
        <f t="shared" si="47"/>
        <v>0</v>
      </c>
      <c r="R26" s="524"/>
      <c r="S26" s="524"/>
      <c r="T26" s="5">
        <f t="shared" si="42"/>
        <v>5138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147726</v>
      </c>
      <c r="Y26" s="327">
        <f t="shared" si="39"/>
        <v>0</v>
      </c>
      <c r="Z26" s="5">
        <f t="shared" si="40"/>
        <v>97117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217.84</v>
      </c>
      <c r="AF26" s="83">
        <f t="shared" si="21"/>
        <v>0</v>
      </c>
      <c r="AG26" s="5">
        <f t="shared" si="22"/>
        <v>2176.58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8"/>
        <v>0.9</v>
      </c>
      <c r="AT26" s="202">
        <f t="shared" si="48"/>
        <v>55</v>
      </c>
      <c r="AU26" s="430">
        <f t="shared" si="41"/>
        <v>1.1000000000000001</v>
      </c>
      <c r="AV26" s="202">
        <f t="shared" si="43"/>
        <v>36</v>
      </c>
      <c r="AW26" s="5">
        <v>2.9</v>
      </c>
      <c r="AX26" s="202">
        <f t="shared" si="44"/>
        <v>41</v>
      </c>
      <c r="AY26" s="433">
        <f t="shared" si="7"/>
        <v>49.5</v>
      </c>
      <c r="AZ26" s="433">
        <f t="shared" si="28"/>
        <v>39.6</v>
      </c>
      <c r="BA26" s="433">
        <f t="shared" si="29"/>
        <v>118.89999999999999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109096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609020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6555</v>
      </c>
      <c r="L27" s="276">
        <f t="shared" si="37"/>
        <v>0</v>
      </c>
      <c r="M27" s="415">
        <f t="shared" si="14"/>
        <v>457.44</v>
      </c>
      <c r="N27" s="522">
        <f t="shared" si="45"/>
        <v>0</v>
      </c>
      <c r="O27" s="415">
        <f t="shared" si="15"/>
        <v>529.52</v>
      </c>
      <c r="P27" s="522">
        <f t="shared" si="46"/>
        <v>0</v>
      </c>
      <c r="Q27" s="522">
        <f t="shared" si="47"/>
        <v>0</v>
      </c>
      <c r="R27" s="524"/>
      <c r="S27" s="524"/>
      <c r="T27" s="5">
        <f t="shared" si="42"/>
        <v>5138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147726</v>
      </c>
      <c r="Y27" s="327">
        <f>SUM(X27-X26)</f>
        <v>0</v>
      </c>
      <c r="Z27" s="5">
        <f t="shared" si="40"/>
        <v>97117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217.84</v>
      </c>
      <c r="AF27" s="83">
        <f t="shared" si="21"/>
        <v>0</v>
      </c>
      <c r="AG27" s="5">
        <f t="shared" si="22"/>
        <v>2176.58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8"/>
        <v>0.9</v>
      </c>
      <c r="AT27" s="202">
        <f t="shared" si="48"/>
        <v>55</v>
      </c>
      <c r="AU27" s="430">
        <f t="shared" si="41"/>
        <v>1.1000000000000001</v>
      </c>
      <c r="AV27" s="202">
        <f t="shared" si="43"/>
        <v>36</v>
      </c>
      <c r="AW27" s="5">
        <v>2.9</v>
      </c>
      <c r="AX27" s="202">
        <f t="shared" si="44"/>
        <v>41</v>
      </c>
      <c r="AY27" s="433">
        <f t="shared" si="7"/>
        <v>49.5</v>
      </c>
      <c r="AZ27" s="433">
        <f t="shared" si="28"/>
        <v>39.6</v>
      </c>
      <c r="BA27" s="433">
        <f t="shared" si="29"/>
        <v>118.89999999999999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109096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609020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6555</v>
      </c>
      <c r="L28" s="276">
        <f t="shared" si="37"/>
        <v>0</v>
      </c>
      <c r="M28" s="415">
        <f t="shared" si="14"/>
        <v>457.44</v>
      </c>
      <c r="N28" s="522">
        <f t="shared" si="45"/>
        <v>0</v>
      </c>
      <c r="O28" s="415">
        <f t="shared" si="15"/>
        <v>529.52</v>
      </c>
      <c r="P28" s="522">
        <f t="shared" si="46"/>
        <v>0</v>
      </c>
      <c r="Q28" s="522">
        <f t="shared" si="47"/>
        <v>0</v>
      </c>
      <c r="R28" s="524"/>
      <c r="S28" s="524"/>
      <c r="T28" s="5">
        <f t="shared" si="42"/>
        <v>5138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147726</v>
      </c>
      <c r="Y28" s="327">
        <f t="shared" si="39"/>
        <v>0</v>
      </c>
      <c r="Z28" s="5">
        <f t="shared" si="40"/>
        <v>97117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217.84</v>
      </c>
      <c r="AF28" s="83">
        <f t="shared" si="21"/>
        <v>0</v>
      </c>
      <c r="AG28" s="5">
        <f t="shared" si="22"/>
        <v>2176.58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8"/>
        <v>0.9</v>
      </c>
      <c r="AT28" s="202">
        <f t="shared" si="48"/>
        <v>55</v>
      </c>
      <c r="AU28" s="430">
        <f t="shared" si="41"/>
        <v>1.1000000000000001</v>
      </c>
      <c r="AV28" s="202">
        <f t="shared" si="43"/>
        <v>36</v>
      </c>
      <c r="AW28" s="5">
        <v>2.9</v>
      </c>
      <c r="AX28" s="202">
        <f t="shared" si="44"/>
        <v>41</v>
      </c>
      <c r="AY28" s="433">
        <f t="shared" si="7"/>
        <v>49.5</v>
      </c>
      <c r="AZ28" s="433">
        <f t="shared" si="28"/>
        <v>39.6</v>
      </c>
      <c r="BA28" s="433">
        <f t="shared" si="29"/>
        <v>118.89999999999999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109096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609020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6555</v>
      </c>
      <c r="L29" s="276">
        <f t="shared" si="37"/>
        <v>0</v>
      </c>
      <c r="M29" s="415">
        <f t="shared" si="14"/>
        <v>457.44</v>
      </c>
      <c r="N29" s="522">
        <f t="shared" si="45"/>
        <v>0</v>
      </c>
      <c r="O29" s="415">
        <f t="shared" si="15"/>
        <v>529.52</v>
      </c>
      <c r="P29" s="522">
        <f t="shared" si="46"/>
        <v>0</v>
      </c>
      <c r="Q29" s="522">
        <f t="shared" si="47"/>
        <v>0</v>
      </c>
      <c r="R29" s="524"/>
      <c r="S29" s="524"/>
      <c r="T29" s="5">
        <f t="shared" si="42"/>
        <v>5138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147726</v>
      </c>
      <c r="Y29" s="327">
        <f t="shared" si="39"/>
        <v>0</v>
      </c>
      <c r="Z29" s="5">
        <f t="shared" si="40"/>
        <v>97117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217.84</v>
      </c>
      <c r="AF29" s="83">
        <f t="shared" si="21"/>
        <v>0</v>
      </c>
      <c r="AG29" s="5">
        <f t="shared" si="22"/>
        <v>2176.58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8"/>
        <v>0.9</v>
      </c>
      <c r="AT29" s="202">
        <f t="shared" si="48"/>
        <v>55</v>
      </c>
      <c r="AU29" s="430">
        <f t="shared" si="41"/>
        <v>1.1000000000000001</v>
      </c>
      <c r="AV29" s="202">
        <f t="shared" si="43"/>
        <v>36</v>
      </c>
      <c r="AW29" s="5">
        <v>2.9</v>
      </c>
      <c r="AX29" s="202">
        <f t="shared" si="44"/>
        <v>41</v>
      </c>
      <c r="AY29" s="433">
        <f t="shared" si="7"/>
        <v>49.5</v>
      </c>
      <c r="AZ29" s="433">
        <f t="shared" si="28"/>
        <v>39.6</v>
      </c>
      <c r="BA29" s="433">
        <f t="shared" si="29"/>
        <v>118.89999999999999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109096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609020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6555</v>
      </c>
      <c r="L30" s="276">
        <f t="shared" si="37"/>
        <v>0</v>
      </c>
      <c r="M30" s="415">
        <f t="shared" si="14"/>
        <v>457.44</v>
      </c>
      <c r="N30" s="522">
        <f t="shared" si="45"/>
        <v>0</v>
      </c>
      <c r="O30" s="415">
        <f t="shared" si="15"/>
        <v>529.52</v>
      </c>
      <c r="P30" s="522">
        <f t="shared" si="46"/>
        <v>0</v>
      </c>
      <c r="Q30" s="522">
        <f t="shared" si="47"/>
        <v>0</v>
      </c>
      <c r="R30" s="524"/>
      <c r="S30" s="524"/>
      <c r="T30" s="5">
        <f t="shared" si="42"/>
        <v>5138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147726</v>
      </c>
      <c r="Y30" s="327">
        <f t="shared" si="39"/>
        <v>0</v>
      </c>
      <c r="Z30" s="5">
        <f t="shared" si="40"/>
        <v>97117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217.84</v>
      </c>
      <c r="AF30" s="83">
        <f t="shared" si="21"/>
        <v>0</v>
      </c>
      <c r="AG30" s="5">
        <f t="shared" si="22"/>
        <v>2176.58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8"/>
        <v>0.9</v>
      </c>
      <c r="AT30" s="202">
        <f t="shared" si="48"/>
        <v>55</v>
      </c>
      <c r="AU30" s="430">
        <f t="shared" si="41"/>
        <v>1.1000000000000001</v>
      </c>
      <c r="AV30" s="202">
        <f t="shared" si="43"/>
        <v>36</v>
      </c>
      <c r="AW30" s="5">
        <v>2.9</v>
      </c>
      <c r="AX30" s="202">
        <f t="shared" si="44"/>
        <v>41</v>
      </c>
      <c r="AY30" s="433">
        <f t="shared" si="7"/>
        <v>49.5</v>
      </c>
      <c r="AZ30" s="433">
        <f t="shared" si="28"/>
        <v>39.6</v>
      </c>
      <c r="BA30" s="433">
        <f t="shared" si="29"/>
        <v>118.89999999999999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109096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609020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6555</v>
      </c>
      <c r="L31" s="276">
        <f t="shared" si="37"/>
        <v>0</v>
      </c>
      <c r="M31" s="415">
        <f t="shared" si="14"/>
        <v>457.44</v>
      </c>
      <c r="N31" s="522">
        <f t="shared" si="45"/>
        <v>0</v>
      </c>
      <c r="O31" s="415">
        <f t="shared" si="15"/>
        <v>529.52</v>
      </c>
      <c r="P31" s="522">
        <f t="shared" si="46"/>
        <v>0</v>
      </c>
      <c r="Q31" s="522">
        <f t="shared" si="47"/>
        <v>0</v>
      </c>
      <c r="R31" s="524"/>
      <c r="S31" s="524"/>
      <c r="T31" s="5">
        <f t="shared" si="42"/>
        <v>5138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147726</v>
      </c>
      <c r="Y31" s="327">
        <f t="shared" si="39"/>
        <v>0</v>
      </c>
      <c r="Z31" s="5">
        <f t="shared" si="40"/>
        <v>97117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217.84</v>
      </c>
      <c r="AF31" s="83">
        <f t="shared" si="21"/>
        <v>0</v>
      </c>
      <c r="AG31" s="5">
        <f t="shared" si="22"/>
        <v>2176.58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8"/>
        <v>0.9</v>
      </c>
      <c r="AT31" s="202">
        <f t="shared" si="48"/>
        <v>55</v>
      </c>
      <c r="AU31" s="430">
        <f t="shared" si="41"/>
        <v>1.1000000000000001</v>
      </c>
      <c r="AV31" s="202">
        <f t="shared" si="43"/>
        <v>36</v>
      </c>
      <c r="AW31" s="5">
        <v>2.9</v>
      </c>
      <c r="AX31" s="202">
        <f t="shared" si="44"/>
        <v>41</v>
      </c>
      <c r="AY31" s="433">
        <f t="shared" si="7"/>
        <v>49.5</v>
      </c>
      <c r="AZ31" s="433">
        <f t="shared" si="28"/>
        <v>39.6</v>
      </c>
      <c r="BA31" s="433">
        <f t="shared" si="29"/>
        <v>118.89999999999999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109096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609020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6555</v>
      </c>
      <c r="L32" s="276">
        <f t="shared" si="37"/>
        <v>0</v>
      </c>
      <c r="M32" s="415">
        <f t="shared" si="14"/>
        <v>457.44</v>
      </c>
      <c r="N32" s="522">
        <f t="shared" si="45"/>
        <v>0</v>
      </c>
      <c r="O32" s="415">
        <f t="shared" si="15"/>
        <v>529.52</v>
      </c>
      <c r="P32" s="522">
        <f t="shared" si="46"/>
        <v>0</v>
      </c>
      <c r="Q32" s="522">
        <f t="shared" si="47"/>
        <v>0</v>
      </c>
      <c r="R32" s="524"/>
      <c r="S32" s="524"/>
      <c r="T32" s="5">
        <f t="shared" si="42"/>
        <v>5138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147726</v>
      </c>
      <c r="Y32" s="327">
        <f t="shared" si="39"/>
        <v>0</v>
      </c>
      <c r="Z32" s="5">
        <f t="shared" si="40"/>
        <v>97117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217.84</v>
      </c>
      <c r="AF32" s="83">
        <f t="shared" si="21"/>
        <v>0</v>
      </c>
      <c r="AG32" s="5">
        <f t="shared" si="22"/>
        <v>2176.58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8"/>
        <v>0.9</v>
      </c>
      <c r="AT32" s="202">
        <f t="shared" si="48"/>
        <v>55</v>
      </c>
      <c r="AU32" s="430">
        <f t="shared" si="41"/>
        <v>1.1000000000000001</v>
      </c>
      <c r="AV32" s="202">
        <f t="shared" si="43"/>
        <v>36</v>
      </c>
      <c r="AW32" s="5">
        <v>2.9</v>
      </c>
      <c r="AX32" s="202">
        <f t="shared" si="44"/>
        <v>41</v>
      </c>
      <c r="AY32" s="433">
        <f t="shared" si="7"/>
        <v>49.5</v>
      </c>
      <c r="AZ32" s="433">
        <f t="shared" si="28"/>
        <v>39.6</v>
      </c>
      <c r="BA32" s="433">
        <f t="shared" si="29"/>
        <v>118.89999999999999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109096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609020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6555</v>
      </c>
      <c r="L33" s="276">
        <f t="shared" si="37"/>
        <v>0</v>
      </c>
      <c r="M33" s="415">
        <f t="shared" si="14"/>
        <v>457.44</v>
      </c>
      <c r="N33" s="522">
        <f t="shared" si="45"/>
        <v>0</v>
      </c>
      <c r="O33" s="415">
        <f t="shared" si="15"/>
        <v>529.52</v>
      </c>
      <c r="P33" s="522">
        <f t="shared" si="46"/>
        <v>0</v>
      </c>
      <c r="Q33" s="522">
        <f t="shared" si="47"/>
        <v>0</v>
      </c>
      <c r="R33" s="524"/>
      <c r="S33" s="524"/>
      <c r="T33" s="5">
        <f t="shared" si="42"/>
        <v>5138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147726</v>
      </c>
      <c r="Y33" s="327">
        <f t="shared" si="39"/>
        <v>0</v>
      </c>
      <c r="Z33" s="5">
        <f t="shared" si="40"/>
        <v>97117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217.84</v>
      </c>
      <c r="AF33" s="83">
        <f>AE33-AE32</f>
        <v>0</v>
      </c>
      <c r="AG33" s="5">
        <f t="shared" si="22"/>
        <v>2176.58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8"/>
        <v>0.9</v>
      </c>
      <c r="AT33" s="202">
        <f t="shared" si="48"/>
        <v>55</v>
      </c>
      <c r="AU33" s="430">
        <f t="shared" si="41"/>
        <v>1.1000000000000001</v>
      </c>
      <c r="AV33" s="202">
        <f t="shared" si="43"/>
        <v>36</v>
      </c>
      <c r="AW33" s="5">
        <v>2.9</v>
      </c>
      <c r="AX33" s="202">
        <f t="shared" si="44"/>
        <v>41</v>
      </c>
      <c r="AY33" s="433">
        <f t="shared" si="7"/>
        <v>49.5</v>
      </c>
      <c r="AZ33" s="433">
        <f t="shared" si="28"/>
        <v>39.6</v>
      </c>
      <c r="BA33" s="433">
        <f t="shared" si="29"/>
        <v>118.89999999999999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109096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609020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6555</v>
      </c>
      <c r="L34" s="276">
        <f t="shared" si="37"/>
        <v>0</v>
      </c>
      <c r="M34" s="415">
        <f t="shared" si="14"/>
        <v>457.44</v>
      </c>
      <c r="N34" s="522">
        <f t="shared" si="45"/>
        <v>0</v>
      </c>
      <c r="O34" s="415">
        <f t="shared" si="15"/>
        <v>529.52</v>
      </c>
      <c r="P34" s="522">
        <f t="shared" si="46"/>
        <v>0</v>
      </c>
      <c r="Q34" s="522">
        <f t="shared" si="47"/>
        <v>0</v>
      </c>
      <c r="R34" s="524"/>
      <c r="S34" s="524"/>
      <c r="T34" s="5">
        <f t="shared" si="42"/>
        <v>5138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147726</v>
      </c>
      <c r="Y34" s="327">
        <f t="shared" si="39"/>
        <v>0</v>
      </c>
      <c r="Z34" s="5">
        <f t="shared" si="40"/>
        <v>97117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217.84</v>
      </c>
      <c r="AF34" s="83">
        <f t="shared" si="21"/>
        <v>0</v>
      </c>
      <c r="AG34" s="5">
        <f t="shared" si="22"/>
        <v>2176.58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8"/>
        <v>0.9</v>
      </c>
      <c r="AT34" s="202">
        <f t="shared" si="48"/>
        <v>55</v>
      </c>
      <c r="AU34" s="431">
        <f t="shared" si="41"/>
        <v>1.1000000000000001</v>
      </c>
      <c r="AV34" s="202">
        <f t="shared" si="43"/>
        <v>36</v>
      </c>
      <c r="AW34" s="5">
        <v>2.9</v>
      </c>
      <c r="AX34" s="202">
        <f t="shared" si="44"/>
        <v>41</v>
      </c>
      <c r="AY34" s="433">
        <f t="shared" si="7"/>
        <v>49.5</v>
      </c>
      <c r="AZ34" s="433">
        <f t="shared" si="28"/>
        <v>39.6</v>
      </c>
      <c r="BA34" s="433">
        <f t="shared" si="29"/>
        <v>118.89999999999999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109096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609020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6555</v>
      </c>
      <c r="L35" s="83">
        <f t="shared" si="37"/>
        <v>0</v>
      </c>
      <c r="M35" s="415">
        <f t="shared" si="14"/>
        <v>457.44</v>
      </c>
      <c r="N35" s="522">
        <f t="shared" si="45"/>
        <v>0</v>
      </c>
      <c r="O35" s="415">
        <f t="shared" si="15"/>
        <v>529.52</v>
      </c>
      <c r="P35" s="522">
        <f t="shared" si="46"/>
        <v>0</v>
      </c>
      <c r="Q35" s="522">
        <f t="shared" si="47"/>
        <v>0</v>
      </c>
      <c r="R35" s="522"/>
      <c r="S35" s="522"/>
      <c r="T35" s="5">
        <f t="shared" si="42"/>
        <v>5138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147726</v>
      </c>
      <c r="Y35" s="327">
        <f t="shared" si="39"/>
        <v>0</v>
      </c>
      <c r="Z35" s="5">
        <f t="shared" si="40"/>
        <v>97117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217.84</v>
      </c>
      <c r="AF35" s="83">
        <f t="shared" si="21"/>
        <v>0</v>
      </c>
      <c r="AG35" s="5">
        <f t="shared" si="22"/>
        <v>2176.58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8"/>
        <v>0.9</v>
      </c>
      <c r="AT35" s="202">
        <f t="shared" si="48"/>
        <v>55</v>
      </c>
      <c r="AU35" s="432">
        <f t="shared" si="41"/>
        <v>1.1000000000000001</v>
      </c>
      <c r="AV35" s="202">
        <f t="shared" si="43"/>
        <v>36</v>
      </c>
      <c r="AW35" s="5">
        <v>2.9</v>
      </c>
      <c r="AX35" s="202">
        <f t="shared" si="44"/>
        <v>41</v>
      </c>
      <c r="AY35" s="433">
        <f t="shared" si="7"/>
        <v>49.5</v>
      </c>
      <c r="AZ35" s="433">
        <f t="shared" si="28"/>
        <v>39.6</v>
      </c>
      <c r="BA35" s="433">
        <f t="shared" si="29"/>
        <v>118.89999999999999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109096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609020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2"/>
        <v>5138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147726</v>
      </c>
      <c r="Y36" s="327">
        <f t="shared" ref="Y36" si="60">SUM(X36-X35)</f>
        <v>0</v>
      </c>
      <c r="Z36" s="5">
        <f t="shared" si="40"/>
        <v>97117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217.84</v>
      </c>
      <c r="AF36" s="83">
        <f t="shared" ref="AF36" si="64">AE36-AE35</f>
        <v>0</v>
      </c>
      <c r="AG36" s="5">
        <f t="shared" si="22"/>
        <v>2176.58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8"/>
        <v>0.9</v>
      </c>
      <c r="AT36" s="202">
        <f t="shared" si="48"/>
        <v>55</v>
      </c>
      <c r="AU36" s="432">
        <f t="shared" si="41"/>
        <v>1.1000000000000001</v>
      </c>
      <c r="AV36" s="202">
        <f t="shared" si="43"/>
        <v>36</v>
      </c>
      <c r="AW36" s="5">
        <v>2.9</v>
      </c>
      <c r="AX36" s="202">
        <f t="shared" si="44"/>
        <v>41</v>
      </c>
      <c r="AY36" s="433">
        <f t="shared" ref="AY36" si="70">AS36*AT36</f>
        <v>49.5</v>
      </c>
      <c r="AZ36" s="433">
        <f t="shared" ref="AZ36" si="71">AU36*AV36</f>
        <v>39.6</v>
      </c>
      <c r="BA36" s="433">
        <f t="shared" ref="BA36" si="72">AW36*AX36</f>
        <v>118.89999999999999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0</v>
      </c>
      <c r="D37" s="325">
        <f>SUM(D6:D35)</f>
        <v>0</v>
      </c>
      <c r="F37" s="419">
        <f>SUM(F6:F35)</f>
        <v>0</v>
      </c>
      <c r="H37" s="417">
        <f>SUM(H6:H35)</f>
        <v>278</v>
      </c>
      <c r="I37" s="417">
        <f>SUM(I6:I35)</f>
        <v>278</v>
      </c>
      <c r="L37" s="270">
        <f>SUM(L7:L35)</f>
        <v>0</v>
      </c>
      <c r="Q37" s="503">
        <f>SUM(Q5:Q35)</f>
        <v>0</v>
      </c>
      <c r="U37" s="414">
        <f>SUM(U6:U35)</f>
        <v>11</v>
      </c>
      <c r="X37" s="326"/>
      <c r="Y37" s="325" t="e">
        <f>SUM(Y35,Y33,Y31,Y29,Y27,Y25,Y23,Y21,Y19,Y17,Y15,Y13,Y11,Y9,Y7+#REF!)</f>
        <v>#REF!</v>
      </c>
      <c r="AJ37" s="325">
        <f>SUM(AJ6:AJ35)</f>
        <v>59</v>
      </c>
      <c r="AK37" s="330" t="e">
        <f t="shared" si="5"/>
        <v>#REF!</v>
      </c>
      <c r="AL37" s="325">
        <f>SUM(AL6:AL35)</f>
        <v>59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278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278</v>
      </c>
      <c r="H39" s="1">
        <f>SUM(H38+C38)</f>
        <v>7500</v>
      </c>
      <c r="K39" s="1">
        <f>SUM(H39/G39)</f>
        <v>26.978417266187051</v>
      </c>
      <c r="AJ39" s="325">
        <f>SUM(C38-AK38)</f>
        <v>0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11" sqref="J11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0" t="s">
        <v>193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5" ht="15.75" customHeight="1" thickBot="1">
      <c r="A2" s="633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5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/>
      <c r="C12" s="37"/>
      <c r="D12" s="26">
        <f t="shared" si="0"/>
        <v>0</v>
      </c>
      <c r="E12" s="398"/>
      <c r="F12" s="398"/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/>
      <c r="C13" s="37"/>
      <c r="D13" s="26">
        <f>(C13+B13)/2</f>
        <v>0</v>
      </c>
      <c r="E13" s="358"/>
      <c r="F13" s="398"/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/>
      <c r="C14" s="37"/>
      <c r="D14" s="26">
        <f t="shared" ref="D14:D34" si="3">(C14+B14)/2</f>
        <v>0</v>
      </c>
      <c r="E14" s="343"/>
      <c r="F14" s="343"/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/>
      <c r="C18" s="37"/>
      <c r="D18" s="26">
        <f t="shared" si="3"/>
        <v>0</v>
      </c>
      <c r="E18" s="434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/>
      <c r="C21" s="37"/>
      <c r="D21" s="26">
        <f>(C21+B21)/2</f>
        <v>0</v>
      </c>
      <c r="E21" s="343"/>
      <c r="F21" s="398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/>
      <c r="C22" s="37"/>
      <c r="D22" s="26">
        <f t="shared" si="3"/>
        <v>0</v>
      </c>
      <c r="E22" s="343"/>
      <c r="F22" s="398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/>
      <c r="C23" s="37"/>
      <c r="D23" s="26">
        <f>(C23+B23)/2</f>
        <v>0</v>
      </c>
      <c r="E23" s="343"/>
      <c r="F23" s="398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27.333333333333332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R11" sqref="AR1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8" t="s">
        <v>108</v>
      </c>
      <c r="AS3" s="638" t="s">
        <v>233</v>
      </c>
      <c r="AT3" s="636" t="s">
        <v>301</v>
      </c>
      <c r="AU3" s="637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9"/>
      <c r="AS4" s="639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239</v>
      </c>
      <c r="C12" s="204">
        <f t="shared" si="18"/>
        <v>5142.3548387096771</v>
      </c>
      <c r="D12">
        <f t="shared" si="19"/>
        <v>239</v>
      </c>
      <c r="E12" s="204">
        <f t="shared" si="18"/>
        <v>5142.3548387096771</v>
      </c>
      <c r="F12">
        <f t="shared" si="20"/>
        <v>239</v>
      </c>
      <c r="G12" s="204">
        <f t="shared" si="1"/>
        <v>5142.3548387096771</v>
      </c>
      <c r="H12" s="204">
        <f t="shared" si="21"/>
        <v>239</v>
      </c>
      <c r="I12" s="204">
        <f t="shared" si="2"/>
        <v>5142.3548387096771</v>
      </c>
      <c r="J12" s="204">
        <f t="shared" si="22"/>
        <v>239</v>
      </c>
      <c r="K12" s="204">
        <f t="shared" si="3"/>
        <v>5142.3548387096771</v>
      </c>
      <c r="L12" s="204">
        <f t="shared" si="23"/>
        <v>239</v>
      </c>
      <c r="M12" s="204">
        <f t="shared" si="4"/>
        <v>5142.3548387096771</v>
      </c>
      <c r="N12" s="204">
        <f t="shared" si="24"/>
        <v>239</v>
      </c>
      <c r="O12" s="204">
        <f t="shared" si="5"/>
        <v>5142.3548387096771</v>
      </c>
      <c r="P12" s="204">
        <f t="shared" si="25"/>
        <v>239</v>
      </c>
      <c r="Q12" s="204">
        <f t="shared" si="6"/>
        <v>5142.3548387096771</v>
      </c>
      <c r="R12" s="204">
        <f t="shared" si="26"/>
        <v>239</v>
      </c>
      <c r="S12" s="204">
        <f t="shared" si="7"/>
        <v>5142.3548387096771</v>
      </c>
      <c r="T12" s="204">
        <f t="shared" si="27"/>
        <v>239</v>
      </c>
      <c r="U12" s="204">
        <f t="shared" si="8"/>
        <v>5142.3548387096771</v>
      </c>
      <c r="V12" s="204">
        <f t="shared" si="28"/>
        <v>239</v>
      </c>
      <c r="W12" s="204">
        <f t="shared" si="9"/>
        <v>5142.3548387096771</v>
      </c>
      <c r="X12" s="35">
        <f t="shared" si="10"/>
        <v>0.77096774193548367</v>
      </c>
      <c r="Y12" s="36">
        <f t="shared" si="29"/>
        <v>56565.90322580644</v>
      </c>
      <c r="Z12" s="204">
        <f>'B5'!C11</f>
        <v>245</v>
      </c>
      <c r="AA12" s="204">
        <f t="shared" si="30"/>
        <v>2450</v>
      </c>
      <c r="AB12" s="204">
        <f t="shared" si="31"/>
        <v>245</v>
      </c>
      <c r="AC12" s="204">
        <f t="shared" si="30"/>
        <v>2450</v>
      </c>
      <c r="AD12" s="204">
        <f t="shared" si="32"/>
        <v>245</v>
      </c>
      <c r="AE12" s="204">
        <f t="shared" si="11"/>
        <v>2450</v>
      </c>
      <c r="AF12" s="204">
        <f t="shared" si="33"/>
        <v>245</v>
      </c>
      <c r="AG12" s="204">
        <f t="shared" si="12"/>
        <v>2450</v>
      </c>
      <c r="AH12" s="204">
        <f t="shared" si="34"/>
        <v>245</v>
      </c>
      <c r="AI12" s="204">
        <f t="shared" si="13"/>
        <v>2450</v>
      </c>
      <c r="AJ12" s="204">
        <f t="shared" si="35"/>
        <v>245</v>
      </c>
      <c r="AK12" s="204">
        <f t="shared" si="14"/>
        <v>2450</v>
      </c>
      <c r="AL12" s="204">
        <f t="shared" si="36"/>
        <v>245</v>
      </c>
      <c r="AM12" s="204">
        <f t="shared" si="15"/>
        <v>2450</v>
      </c>
      <c r="AN12" s="35">
        <f t="shared" si="16"/>
        <v>0.875</v>
      </c>
      <c r="AO12" s="36">
        <f t="shared" si="17"/>
        <v>17150</v>
      </c>
      <c r="AP12" s="586"/>
      <c r="AQ12" s="224">
        <f t="shared" si="37"/>
        <v>0.79289989486723067</v>
      </c>
      <c r="AR12" s="38">
        <f t="shared" si="41"/>
        <v>73715.90322580644</v>
      </c>
      <c r="AS12" s="198">
        <f t="shared" si="38"/>
        <v>0</v>
      </c>
      <c r="AT12" s="273"/>
      <c r="AU12" s="485"/>
      <c r="AV12" s="526">
        <f t="shared" si="42"/>
        <v>0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8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239</v>
      </c>
      <c r="C13" s="204">
        <f t="shared" si="18"/>
        <v>5142.3548387096771</v>
      </c>
      <c r="D13">
        <f t="shared" si="19"/>
        <v>239</v>
      </c>
      <c r="E13" s="204">
        <f t="shared" si="18"/>
        <v>5142.3548387096771</v>
      </c>
      <c r="F13">
        <f t="shared" si="20"/>
        <v>239</v>
      </c>
      <c r="G13" s="204">
        <f t="shared" si="1"/>
        <v>5142.3548387096771</v>
      </c>
      <c r="H13" s="204">
        <f t="shared" si="21"/>
        <v>239</v>
      </c>
      <c r="I13" s="204">
        <f t="shared" si="2"/>
        <v>5142.3548387096771</v>
      </c>
      <c r="J13" s="204">
        <f t="shared" si="22"/>
        <v>239</v>
      </c>
      <c r="K13" s="204">
        <f t="shared" si="3"/>
        <v>5142.3548387096771</v>
      </c>
      <c r="L13" s="204">
        <f t="shared" si="23"/>
        <v>239</v>
      </c>
      <c r="M13" s="204">
        <f t="shared" si="4"/>
        <v>5142.3548387096771</v>
      </c>
      <c r="N13" s="204">
        <f t="shared" si="24"/>
        <v>239</v>
      </c>
      <c r="O13" s="204">
        <f t="shared" si="5"/>
        <v>5142.3548387096771</v>
      </c>
      <c r="P13" s="204">
        <f t="shared" si="25"/>
        <v>239</v>
      </c>
      <c r="Q13" s="204">
        <f t="shared" si="6"/>
        <v>5142.3548387096771</v>
      </c>
      <c r="R13" s="204">
        <f t="shared" si="26"/>
        <v>239</v>
      </c>
      <c r="S13" s="204">
        <f t="shared" si="7"/>
        <v>5142.3548387096771</v>
      </c>
      <c r="T13" s="204">
        <f t="shared" si="27"/>
        <v>239</v>
      </c>
      <c r="U13" s="204">
        <f t="shared" si="8"/>
        <v>5142.3548387096771</v>
      </c>
      <c r="V13" s="204">
        <f t="shared" si="28"/>
        <v>239</v>
      </c>
      <c r="W13" s="204">
        <f t="shared" si="9"/>
        <v>5142.3548387096771</v>
      </c>
      <c r="X13" s="35">
        <f t="shared" si="10"/>
        <v>0.77096774193548367</v>
      </c>
      <c r="Y13" s="36">
        <f t="shared" si="29"/>
        <v>56565.90322580644</v>
      </c>
      <c r="Z13" s="204">
        <f>'B5'!C12</f>
        <v>245</v>
      </c>
      <c r="AA13" s="204">
        <f t="shared" si="30"/>
        <v>2450</v>
      </c>
      <c r="AB13" s="204">
        <f t="shared" si="31"/>
        <v>245</v>
      </c>
      <c r="AC13" s="204">
        <f t="shared" si="30"/>
        <v>2450</v>
      </c>
      <c r="AD13" s="204">
        <f t="shared" si="32"/>
        <v>245</v>
      </c>
      <c r="AE13" s="204">
        <f t="shared" si="11"/>
        <v>2450</v>
      </c>
      <c r="AF13" s="204">
        <f t="shared" si="33"/>
        <v>245</v>
      </c>
      <c r="AG13" s="204">
        <f t="shared" si="12"/>
        <v>2450</v>
      </c>
      <c r="AH13" s="204">
        <f t="shared" si="34"/>
        <v>245</v>
      </c>
      <c r="AI13" s="204">
        <f t="shared" si="13"/>
        <v>2450</v>
      </c>
      <c r="AJ13" s="204">
        <f t="shared" si="35"/>
        <v>245</v>
      </c>
      <c r="AK13" s="204">
        <f t="shared" si="14"/>
        <v>2450</v>
      </c>
      <c r="AL13" s="204">
        <f t="shared" si="36"/>
        <v>245</v>
      </c>
      <c r="AM13" s="204">
        <f t="shared" si="15"/>
        <v>2450</v>
      </c>
      <c r="AN13" s="35">
        <f t="shared" si="16"/>
        <v>0.875</v>
      </c>
      <c r="AO13" s="36">
        <f t="shared" si="17"/>
        <v>17150</v>
      </c>
      <c r="AP13" s="586"/>
      <c r="AQ13" s="224">
        <f t="shared" si="37"/>
        <v>0.79289989486723067</v>
      </c>
      <c r="AR13" s="38">
        <f t="shared" si="41"/>
        <v>73715.90322580644</v>
      </c>
      <c r="AS13" s="198">
        <f t="shared" si="38"/>
        <v>0</v>
      </c>
      <c r="AT13" s="273"/>
      <c r="AU13" s="443"/>
      <c r="AV13" s="526">
        <f t="shared" si="42"/>
        <v>0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8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239</v>
      </c>
      <c r="C14" s="204">
        <f t="shared" si="18"/>
        <v>5142.3548387096771</v>
      </c>
      <c r="D14">
        <f t="shared" si="19"/>
        <v>239</v>
      </c>
      <c r="E14" s="204">
        <f t="shared" si="18"/>
        <v>5142.3548387096771</v>
      </c>
      <c r="F14">
        <f t="shared" si="20"/>
        <v>239</v>
      </c>
      <c r="G14" s="204">
        <f t="shared" si="1"/>
        <v>5142.3548387096771</v>
      </c>
      <c r="H14" s="204">
        <f t="shared" si="21"/>
        <v>239</v>
      </c>
      <c r="I14" s="204">
        <f t="shared" si="2"/>
        <v>5142.3548387096771</v>
      </c>
      <c r="J14" s="204">
        <f t="shared" si="22"/>
        <v>239</v>
      </c>
      <c r="K14" s="204">
        <f t="shared" si="3"/>
        <v>5142.3548387096771</v>
      </c>
      <c r="L14" s="204">
        <f t="shared" si="23"/>
        <v>239</v>
      </c>
      <c r="M14" s="204">
        <f t="shared" si="4"/>
        <v>5142.3548387096771</v>
      </c>
      <c r="N14" s="204">
        <f t="shared" si="24"/>
        <v>239</v>
      </c>
      <c r="O14" s="204">
        <f t="shared" si="5"/>
        <v>5142.3548387096771</v>
      </c>
      <c r="P14" s="204">
        <f t="shared" si="25"/>
        <v>239</v>
      </c>
      <c r="Q14" s="204">
        <f t="shared" si="6"/>
        <v>5142.3548387096771</v>
      </c>
      <c r="R14" s="204">
        <f t="shared" si="26"/>
        <v>239</v>
      </c>
      <c r="S14" s="204">
        <f t="shared" si="7"/>
        <v>5142.3548387096771</v>
      </c>
      <c r="T14" s="204">
        <f t="shared" si="27"/>
        <v>239</v>
      </c>
      <c r="U14" s="204">
        <f t="shared" si="8"/>
        <v>5142.3548387096771</v>
      </c>
      <c r="V14" s="204">
        <f t="shared" si="28"/>
        <v>239</v>
      </c>
      <c r="W14" s="204">
        <f t="shared" si="9"/>
        <v>5142.3548387096771</v>
      </c>
      <c r="X14" s="35">
        <f t="shared" si="10"/>
        <v>0.77096774193548367</v>
      </c>
      <c r="Y14" s="36">
        <f t="shared" si="29"/>
        <v>56565.90322580644</v>
      </c>
      <c r="Z14" s="204">
        <f>'B5'!C13</f>
        <v>245</v>
      </c>
      <c r="AA14" s="204">
        <f t="shared" si="30"/>
        <v>2450</v>
      </c>
      <c r="AB14" s="204">
        <f t="shared" si="31"/>
        <v>245</v>
      </c>
      <c r="AC14" s="204">
        <f t="shared" si="30"/>
        <v>2450</v>
      </c>
      <c r="AD14" s="204">
        <f t="shared" si="32"/>
        <v>245</v>
      </c>
      <c r="AE14" s="204">
        <f t="shared" si="11"/>
        <v>2450</v>
      </c>
      <c r="AF14" s="204">
        <f t="shared" si="33"/>
        <v>245</v>
      </c>
      <c r="AG14" s="204">
        <f t="shared" si="12"/>
        <v>2450</v>
      </c>
      <c r="AH14" s="204">
        <f t="shared" si="34"/>
        <v>245</v>
      </c>
      <c r="AI14" s="204">
        <f t="shared" si="13"/>
        <v>2450</v>
      </c>
      <c r="AJ14" s="204">
        <f t="shared" si="35"/>
        <v>245</v>
      </c>
      <c r="AK14" s="204">
        <f t="shared" si="14"/>
        <v>2450</v>
      </c>
      <c r="AL14" s="204">
        <f t="shared" si="36"/>
        <v>245</v>
      </c>
      <c r="AM14" s="204">
        <f t="shared" si="15"/>
        <v>2450</v>
      </c>
      <c r="AN14" s="35">
        <f t="shared" si="16"/>
        <v>0.875</v>
      </c>
      <c r="AO14" s="36">
        <f t="shared" si="17"/>
        <v>17150</v>
      </c>
      <c r="AQ14" s="224">
        <f t="shared" si="37"/>
        <v>0.79289989486723067</v>
      </c>
      <c r="AR14" s="38">
        <f t="shared" si="41"/>
        <v>73715.90322580644</v>
      </c>
      <c r="AS14" s="198">
        <f t="shared" si="38"/>
        <v>0</v>
      </c>
      <c r="AT14" s="273"/>
      <c r="AU14" s="485"/>
      <c r="AV14" s="526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8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245</v>
      </c>
      <c r="AA15" s="204">
        <f t="shared" si="30"/>
        <v>2450</v>
      </c>
      <c r="AB15" s="204">
        <f t="shared" si="31"/>
        <v>245</v>
      </c>
      <c r="AC15" s="204">
        <f t="shared" si="30"/>
        <v>2450</v>
      </c>
      <c r="AD15" s="204">
        <f t="shared" si="32"/>
        <v>245</v>
      </c>
      <c r="AE15" s="204">
        <f t="shared" si="11"/>
        <v>2450</v>
      </c>
      <c r="AF15" s="204">
        <f t="shared" si="33"/>
        <v>245</v>
      </c>
      <c r="AG15" s="204">
        <f t="shared" si="12"/>
        <v>2450</v>
      </c>
      <c r="AH15" s="204">
        <f t="shared" si="34"/>
        <v>245</v>
      </c>
      <c r="AI15" s="204">
        <f t="shared" si="13"/>
        <v>2450</v>
      </c>
      <c r="AJ15" s="204">
        <f t="shared" si="35"/>
        <v>245</v>
      </c>
      <c r="AK15" s="204">
        <f t="shared" si="14"/>
        <v>2450</v>
      </c>
      <c r="AL15" s="204">
        <f t="shared" si="36"/>
        <v>245</v>
      </c>
      <c r="AM15" s="204">
        <f t="shared" si="15"/>
        <v>2450</v>
      </c>
      <c r="AN15" s="35">
        <f t="shared" si="16"/>
        <v>0.875</v>
      </c>
      <c r="AO15" s="36">
        <f t="shared" si="17"/>
        <v>17150</v>
      </c>
      <c r="AQ15" s="224">
        <f t="shared" si="37"/>
        <v>0.79289989486723067</v>
      </c>
      <c r="AR15" s="38">
        <f t="shared" si="41"/>
        <v>73715.90322580644</v>
      </c>
      <c r="AS15" s="198">
        <f>SUM(AR15-AR14-AT15)</f>
        <v>0</v>
      </c>
      <c r="AT15" s="273"/>
      <c r="AU15" s="443"/>
      <c r="AV15" s="526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8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239</v>
      </c>
      <c r="C16" s="204">
        <f t="shared" si="18"/>
        <v>5142.3548387096771</v>
      </c>
      <c r="D16">
        <f t="shared" si="19"/>
        <v>239</v>
      </c>
      <c r="E16" s="204">
        <f t="shared" si="18"/>
        <v>5142.3548387096771</v>
      </c>
      <c r="F16">
        <f t="shared" si="20"/>
        <v>239</v>
      </c>
      <c r="G16" s="204">
        <f t="shared" si="1"/>
        <v>5142.3548387096771</v>
      </c>
      <c r="H16" s="204">
        <f t="shared" si="21"/>
        <v>239</v>
      </c>
      <c r="I16" s="204">
        <f t="shared" si="2"/>
        <v>5142.3548387096771</v>
      </c>
      <c r="J16" s="204">
        <f t="shared" si="22"/>
        <v>239</v>
      </c>
      <c r="K16" s="204">
        <f t="shared" si="3"/>
        <v>5142.3548387096771</v>
      </c>
      <c r="L16" s="204">
        <f t="shared" si="23"/>
        <v>239</v>
      </c>
      <c r="M16" s="204">
        <f t="shared" si="4"/>
        <v>5142.3548387096771</v>
      </c>
      <c r="N16" s="204">
        <f t="shared" si="24"/>
        <v>239</v>
      </c>
      <c r="O16" s="204">
        <f t="shared" si="5"/>
        <v>5142.3548387096771</v>
      </c>
      <c r="P16" s="204">
        <f t="shared" si="25"/>
        <v>239</v>
      </c>
      <c r="Q16" s="204">
        <f t="shared" si="6"/>
        <v>5142.3548387096771</v>
      </c>
      <c r="R16" s="204">
        <f t="shared" si="26"/>
        <v>239</v>
      </c>
      <c r="S16" s="204">
        <f t="shared" si="7"/>
        <v>5142.3548387096771</v>
      </c>
      <c r="T16" s="204">
        <f t="shared" si="27"/>
        <v>239</v>
      </c>
      <c r="U16" s="204">
        <f t="shared" si="8"/>
        <v>5142.3548387096771</v>
      </c>
      <c r="V16" s="204">
        <f t="shared" si="28"/>
        <v>239</v>
      </c>
      <c r="W16" s="204">
        <f t="shared" si="9"/>
        <v>5142.3548387096771</v>
      </c>
      <c r="X16" s="35">
        <f t="shared" si="10"/>
        <v>0.77096774193548367</v>
      </c>
      <c r="Y16" s="36">
        <f t="shared" si="29"/>
        <v>56565.90322580644</v>
      </c>
      <c r="Z16" s="204">
        <f>'B5'!C15</f>
        <v>245</v>
      </c>
      <c r="AA16" s="204">
        <f t="shared" si="30"/>
        <v>2450</v>
      </c>
      <c r="AB16" s="204">
        <f t="shared" si="31"/>
        <v>245</v>
      </c>
      <c r="AC16" s="204">
        <f t="shared" si="30"/>
        <v>2450</v>
      </c>
      <c r="AD16" s="204">
        <f t="shared" si="32"/>
        <v>245</v>
      </c>
      <c r="AE16" s="204">
        <f t="shared" si="11"/>
        <v>2450</v>
      </c>
      <c r="AF16" s="204">
        <f t="shared" si="33"/>
        <v>245</v>
      </c>
      <c r="AG16" s="204">
        <f t="shared" si="12"/>
        <v>2450</v>
      </c>
      <c r="AH16" s="204">
        <f t="shared" si="34"/>
        <v>245</v>
      </c>
      <c r="AI16" s="204">
        <f t="shared" si="13"/>
        <v>2450</v>
      </c>
      <c r="AJ16" s="204">
        <f t="shared" si="35"/>
        <v>245</v>
      </c>
      <c r="AK16" s="204">
        <f t="shared" si="14"/>
        <v>2450</v>
      </c>
      <c r="AL16" s="204">
        <f t="shared" si="36"/>
        <v>245</v>
      </c>
      <c r="AM16" s="204">
        <f t="shared" si="15"/>
        <v>2450</v>
      </c>
      <c r="AN16" s="35">
        <f t="shared" si="16"/>
        <v>0.875</v>
      </c>
      <c r="AO16" s="36">
        <f t="shared" si="17"/>
        <v>17150</v>
      </c>
      <c r="AQ16" s="224">
        <f t="shared" si="37"/>
        <v>0.79289989486723067</v>
      </c>
      <c r="AR16" s="38">
        <f t="shared" si="41"/>
        <v>73715.90322580644</v>
      </c>
      <c r="AS16" s="198">
        <f>SUM(AR16-AR15-AT16)</f>
        <v>0</v>
      </c>
      <c r="AT16" s="359"/>
      <c r="AU16" s="443"/>
      <c r="AV16" s="526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8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239</v>
      </c>
      <c r="C17" s="204">
        <f t="shared" si="18"/>
        <v>5142.3548387096771</v>
      </c>
      <c r="D17">
        <f t="shared" si="19"/>
        <v>239</v>
      </c>
      <c r="E17" s="204">
        <f t="shared" si="18"/>
        <v>5142.3548387096771</v>
      </c>
      <c r="F17">
        <f t="shared" si="20"/>
        <v>239</v>
      </c>
      <c r="G17" s="204">
        <f t="shared" si="1"/>
        <v>5142.3548387096771</v>
      </c>
      <c r="H17" s="204">
        <f t="shared" si="21"/>
        <v>239</v>
      </c>
      <c r="I17" s="204">
        <f t="shared" si="2"/>
        <v>5142.3548387096771</v>
      </c>
      <c r="J17" s="204">
        <f t="shared" si="22"/>
        <v>239</v>
      </c>
      <c r="K17" s="204">
        <f t="shared" si="3"/>
        <v>5142.3548387096771</v>
      </c>
      <c r="L17" s="204">
        <f t="shared" si="23"/>
        <v>239</v>
      </c>
      <c r="M17" s="204">
        <f t="shared" si="4"/>
        <v>5142.3548387096771</v>
      </c>
      <c r="N17" s="204">
        <f t="shared" si="24"/>
        <v>239</v>
      </c>
      <c r="O17" s="204">
        <f t="shared" si="5"/>
        <v>5142.3548387096771</v>
      </c>
      <c r="P17" s="204">
        <f t="shared" si="25"/>
        <v>239</v>
      </c>
      <c r="Q17" s="204">
        <f t="shared" si="6"/>
        <v>5142.3548387096771</v>
      </c>
      <c r="R17" s="204">
        <f t="shared" si="26"/>
        <v>239</v>
      </c>
      <c r="S17" s="204">
        <f t="shared" si="7"/>
        <v>5142.3548387096771</v>
      </c>
      <c r="T17" s="204">
        <f t="shared" si="27"/>
        <v>239</v>
      </c>
      <c r="U17" s="204">
        <f t="shared" si="8"/>
        <v>5142.3548387096771</v>
      </c>
      <c r="V17" s="204">
        <f t="shared" si="28"/>
        <v>239</v>
      </c>
      <c r="W17" s="204">
        <f t="shared" si="9"/>
        <v>5142.3548387096771</v>
      </c>
      <c r="X17" s="35">
        <f t="shared" si="10"/>
        <v>0.77096774193548367</v>
      </c>
      <c r="Y17" s="36">
        <f t="shared" si="29"/>
        <v>56565.90322580644</v>
      </c>
      <c r="Z17" s="204">
        <f>'B5'!C16</f>
        <v>245</v>
      </c>
      <c r="AA17" s="204">
        <f t="shared" si="30"/>
        <v>2450</v>
      </c>
      <c r="AB17" s="204">
        <f t="shared" si="31"/>
        <v>245</v>
      </c>
      <c r="AC17" s="204">
        <f t="shared" si="30"/>
        <v>2450</v>
      </c>
      <c r="AD17" s="204">
        <f t="shared" si="32"/>
        <v>245</v>
      </c>
      <c r="AE17" s="204">
        <f t="shared" si="11"/>
        <v>2450</v>
      </c>
      <c r="AF17" s="204">
        <f t="shared" si="33"/>
        <v>245</v>
      </c>
      <c r="AG17" s="204">
        <f t="shared" si="12"/>
        <v>2450</v>
      </c>
      <c r="AH17" s="204">
        <f t="shared" si="34"/>
        <v>245</v>
      </c>
      <c r="AI17" s="204">
        <f t="shared" si="13"/>
        <v>2450</v>
      </c>
      <c r="AJ17" s="204">
        <f t="shared" si="35"/>
        <v>245</v>
      </c>
      <c r="AK17" s="204">
        <f t="shared" si="14"/>
        <v>2450</v>
      </c>
      <c r="AL17" s="204">
        <f t="shared" si="36"/>
        <v>245</v>
      </c>
      <c r="AM17" s="204">
        <f t="shared" si="15"/>
        <v>2450</v>
      </c>
      <c r="AN17" s="35">
        <f t="shared" si="16"/>
        <v>0.875</v>
      </c>
      <c r="AO17" s="36">
        <f>SUM(AA17+AC17+AE17+AG17+AI17+AK17+AM17)</f>
        <v>17150</v>
      </c>
      <c r="AQ17" s="224">
        <f t="shared" si="37"/>
        <v>0.79289989486723067</v>
      </c>
      <c r="AR17" s="38">
        <f t="shared" si="41"/>
        <v>73715.90322580644</v>
      </c>
      <c r="AS17" s="198">
        <f t="shared" si="38"/>
        <v>0</v>
      </c>
      <c r="AT17" s="359"/>
      <c r="AU17" s="485"/>
      <c r="AV17" s="526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8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239</v>
      </c>
      <c r="C18" s="204">
        <f t="shared" si="18"/>
        <v>5142.3548387096771</v>
      </c>
      <c r="D18">
        <f t="shared" si="19"/>
        <v>239</v>
      </c>
      <c r="E18" s="204">
        <f t="shared" si="18"/>
        <v>5142.3548387096771</v>
      </c>
      <c r="F18">
        <f t="shared" si="20"/>
        <v>239</v>
      </c>
      <c r="G18" s="204">
        <f t="shared" si="1"/>
        <v>5142.3548387096771</v>
      </c>
      <c r="H18" s="204">
        <f t="shared" si="21"/>
        <v>239</v>
      </c>
      <c r="I18" s="204">
        <f t="shared" si="2"/>
        <v>5142.3548387096771</v>
      </c>
      <c r="J18" s="204">
        <f t="shared" si="22"/>
        <v>239</v>
      </c>
      <c r="K18" s="204">
        <f t="shared" si="3"/>
        <v>5142.3548387096771</v>
      </c>
      <c r="L18" s="204">
        <f t="shared" si="23"/>
        <v>239</v>
      </c>
      <c r="M18" s="204">
        <f t="shared" si="4"/>
        <v>5142.3548387096771</v>
      </c>
      <c r="N18" s="204">
        <f t="shared" si="24"/>
        <v>239</v>
      </c>
      <c r="O18" s="204">
        <f t="shared" si="5"/>
        <v>5142.3548387096771</v>
      </c>
      <c r="P18" s="204">
        <f t="shared" si="25"/>
        <v>239</v>
      </c>
      <c r="Q18" s="204">
        <f t="shared" si="6"/>
        <v>5142.3548387096771</v>
      </c>
      <c r="R18" s="204">
        <f t="shared" si="26"/>
        <v>239</v>
      </c>
      <c r="S18" s="204">
        <f t="shared" si="7"/>
        <v>5142.3548387096771</v>
      </c>
      <c r="T18" s="204">
        <f t="shared" si="27"/>
        <v>239</v>
      </c>
      <c r="U18" s="204">
        <f t="shared" si="8"/>
        <v>5142.3548387096771</v>
      </c>
      <c r="V18" s="204">
        <f t="shared" si="28"/>
        <v>239</v>
      </c>
      <c r="W18" s="204">
        <f t="shared" si="9"/>
        <v>5142.3548387096771</v>
      </c>
      <c r="X18" s="35">
        <f t="shared" si="10"/>
        <v>0.77096774193548367</v>
      </c>
      <c r="Y18" s="36">
        <f t="shared" si="29"/>
        <v>56565.90322580644</v>
      </c>
      <c r="Z18" s="204">
        <f>'B5'!C17</f>
        <v>245</v>
      </c>
      <c r="AA18" s="204">
        <f t="shared" si="30"/>
        <v>2450</v>
      </c>
      <c r="AB18" s="204">
        <f t="shared" si="31"/>
        <v>245</v>
      </c>
      <c r="AC18" s="204">
        <f t="shared" si="30"/>
        <v>2450</v>
      </c>
      <c r="AD18" s="204">
        <f t="shared" si="32"/>
        <v>245</v>
      </c>
      <c r="AE18" s="204">
        <f t="shared" si="11"/>
        <v>2450</v>
      </c>
      <c r="AF18" s="204">
        <f t="shared" si="33"/>
        <v>245</v>
      </c>
      <c r="AG18" s="204">
        <f t="shared" si="12"/>
        <v>2450</v>
      </c>
      <c r="AH18" s="204">
        <f t="shared" si="34"/>
        <v>245</v>
      </c>
      <c r="AI18" s="204">
        <f t="shared" si="13"/>
        <v>2450</v>
      </c>
      <c r="AJ18" s="204">
        <f t="shared" si="35"/>
        <v>245</v>
      </c>
      <c r="AK18" s="204">
        <f t="shared" si="14"/>
        <v>2450</v>
      </c>
      <c r="AL18" s="204">
        <f t="shared" si="36"/>
        <v>245</v>
      </c>
      <c r="AM18" s="204">
        <f t="shared" si="15"/>
        <v>2450</v>
      </c>
      <c r="AN18" s="35">
        <f t="shared" si="16"/>
        <v>0.875</v>
      </c>
      <c r="AO18" s="36">
        <f t="shared" si="17"/>
        <v>17150</v>
      </c>
      <c r="AQ18" s="224">
        <f t="shared" si="37"/>
        <v>0.79289989486723067</v>
      </c>
      <c r="AR18" s="38">
        <f t="shared" si="41"/>
        <v>73715.90322580644</v>
      </c>
      <c r="AS18" s="198">
        <f t="shared" si="38"/>
        <v>0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8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239</v>
      </c>
      <c r="C19" s="204">
        <f t="shared" si="18"/>
        <v>5142.3548387096771</v>
      </c>
      <c r="D19">
        <f t="shared" si="19"/>
        <v>239</v>
      </c>
      <c r="E19" s="204">
        <f t="shared" si="18"/>
        <v>5142.3548387096771</v>
      </c>
      <c r="F19">
        <f t="shared" si="20"/>
        <v>239</v>
      </c>
      <c r="G19" s="204">
        <f t="shared" si="1"/>
        <v>5142.3548387096771</v>
      </c>
      <c r="H19" s="204">
        <f t="shared" si="21"/>
        <v>239</v>
      </c>
      <c r="I19" s="204">
        <f t="shared" si="2"/>
        <v>5142.3548387096771</v>
      </c>
      <c r="J19" s="204">
        <f t="shared" si="22"/>
        <v>239</v>
      </c>
      <c r="K19" s="204">
        <f t="shared" si="3"/>
        <v>5142.3548387096771</v>
      </c>
      <c r="L19" s="204">
        <f t="shared" si="23"/>
        <v>239</v>
      </c>
      <c r="M19" s="204">
        <f t="shared" si="4"/>
        <v>5142.3548387096771</v>
      </c>
      <c r="N19" s="204">
        <f t="shared" si="24"/>
        <v>239</v>
      </c>
      <c r="O19" s="204">
        <f t="shared" si="5"/>
        <v>5142.3548387096771</v>
      </c>
      <c r="P19" s="204">
        <f t="shared" si="25"/>
        <v>239</v>
      </c>
      <c r="Q19" s="204">
        <f t="shared" si="6"/>
        <v>5142.3548387096771</v>
      </c>
      <c r="R19" s="204">
        <f t="shared" si="26"/>
        <v>239</v>
      </c>
      <c r="S19" s="204">
        <f t="shared" si="7"/>
        <v>5142.3548387096771</v>
      </c>
      <c r="T19" s="204">
        <f t="shared" si="27"/>
        <v>239</v>
      </c>
      <c r="U19" s="204">
        <f t="shared" si="8"/>
        <v>5142.3548387096771</v>
      </c>
      <c r="V19" s="204">
        <f t="shared" si="28"/>
        <v>239</v>
      </c>
      <c r="W19" s="204">
        <f t="shared" si="9"/>
        <v>5142.3548387096771</v>
      </c>
      <c r="X19" s="35">
        <f t="shared" si="10"/>
        <v>0.77096774193548367</v>
      </c>
      <c r="Y19" s="36">
        <f t="shared" si="29"/>
        <v>56565.90322580644</v>
      </c>
      <c r="Z19" s="204">
        <f>'B5'!C18</f>
        <v>245</v>
      </c>
      <c r="AA19" s="204">
        <f t="shared" si="30"/>
        <v>2450</v>
      </c>
      <c r="AB19" s="204">
        <f t="shared" si="31"/>
        <v>245</v>
      </c>
      <c r="AC19" s="204">
        <f t="shared" si="30"/>
        <v>2450</v>
      </c>
      <c r="AD19" s="204">
        <f t="shared" si="32"/>
        <v>245</v>
      </c>
      <c r="AE19" s="204">
        <f t="shared" si="11"/>
        <v>2450</v>
      </c>
      <c r="AF19" s="204">
        <f t="shared" si="33"/>
        <v>245</v>
      </c>
      <c r="AG19" s="204">
        <f t="shared" si="12"/>
        <v>2450</v>
      </c>
      <c r="AH19" s="204">
        <f t="shared" si="34"/>
        <v>245</v>
      </c>
      <c r="AI19" s="204">
        <f t="shared" si="13"/>
        <v>2450</v>
      </c>
      <c r="AJ19" s="204">
        <f t="shared" si="35"/>
        <v>245</v>
      </c>
      <c r="AK19" s="204">
        <f t="shared" si="14"/>
        <v>2450</v>
      </c>
      <c r="AL19" s="204">
        <f t="shared" si="36"/>
        <v>245</v>
      </c>
      <c r="AM19" s="204">
        <f t="shared" si="15"/>
        <v>2450</v>
      </c>
      <c r="AN19" s="35">
        <f t="shared" si="16"/>
        <v>0.875</v>
      </c>
      <c r="AO19" s="36">
        <f t="shared" si="17"/>
        <v>17150</v>
      </c>
      <c r="AQ19" s="224">
        <f t="shared" si="37"/>
        <v>0.79289989486723067</v>
      </c>
      <c r="AR19" s="38">
        <f t="shared" si="41"/>
        <v>73715.90322580644</v>
      </c>
      <c r="AS19" s="198">
        <f t="shared" si="38"/>
        <v>0</v>
      </c>
      <c r="AT19" s="273"/>
      <c r="AU19" s="443"/>
      <c r="AV19" s="526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8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239</v>
      </c>
      <c r="C20" s="204">
        <f t="shared" si="18"/>
        <v>5142.3548387096771</v>
      </c>
      <c r="D20">
        <f t="shared" si="19"/>
        <v>239</v>
      </c>
      <c r="E20" s="204">
        <f t="shared" si="18"/>
        <v>5142.3548387096771</v>
      </c>
      <c r="F20">
        <f t="shared" si="20"/>
        <v>239</v>
      </c>
      <c r="G20" s="204">
        <f t="shared" si="1"/>
        <v>5142.3548387096771</v>
      </c>
      <c r="H20" s="204">
        <f t="shared" si="21"/>
        <v>239</v>
      </c>
      <c r="I20" s="204">
        <f t="shared" si="2"/>
        <v>5142.3548387096771</v>
      </c>
      <c r="J20" s="204">
        <f t="shared" si="22"/>
        <v>239</v>
      </c>
      <c r="K20" s="204">
        <f t="shared" si="3"/>
        <v>5142.3548387096771</v>
      </c>
      <c r="L20" s="204">
        <f t="shared" si="23"/>
        <v>239</v>
      </c>
      <c r="M20" s="204">
        <f t="shared" si="4"/>
        <v>5142.3548387096771</v>
      </c>
      <c r="N20" s="204">
        <f t="shared" si="24"/>
        <v>239</v>
      </c>
      <c r="O20" s="204">
        <f t="shared" si="5"/>
        <v>5142.3548387096771</v>
      </c>
      <c r="P20" s="204">
        <f t="shared" si="25"/>
        <v>239</v>
      </c>
      <c r="Q20" s="204">
        <f t="shared" si="6"/>
        <v>5142.3548387096771</v>
      </c>
      <c r="R20" s="204">
        <f t="shared" si="26"/>
        <v>239</v>
      </c>
      <c r="S20" s="204">
        <f t="shared" si="7"/>
        <v>5142.3548387096771</v>
      </c>
      <c r="T20" s="204">
        <f t="shared" si="27"/>
        <v>239</v>
      </c>
      <c r="U20" s="204">
        <f t="shared" si="8"/>
        <v>5142.3548387096771</v>
      </c>
      <c r="V20" s="204">
        <f t="shared" si="28"/>
        <v>239</v>
      </c>
      <c r="W20" s="204">
        <f t="shared" si="9"/>
        <v>5142.3548387096771</v>
      </c>
      <c r="X20" s="35">
        <f t="shared" si="10"/>
        <v>0.77096774193548367</v>
      </c>
      <c r="Y20" s="36">
        <f t="shared" si="29"/>
        <v>56565.90322580644</v>
      </c>
      <c r="Z20" s="204">
        <f>'B5'!C19</f>
        <v>245</v>
      </c>
      <c r="AA20" s="204">
        <f t="shared" si="30"/>
        <v>2450</v>
      </c>
      <c r="AB20" s="204">
        <f t="shared" si="31"/>
        <v>245</v>
      </c>
      <c r="AC20" s="204">
        <f t="shared" si="30"/>
        <v>2450</v>
      </c>
      <c r="AD20" s="204">
        <f t="shared" si="32"/>
        <v>245</v>
      </c>
      <c r="AE20" s="204">
        <f t="shared" si="11"/>
        <v>2450</v>
      </c>
      <c r="AF20" s="204">
        <f t="shared" si="33"/>
        <v>245</v>
      </c>
      <c r="AG20" s="204">
        <f t="shared" si="12"/>
        <v>2450</v>
      </c>
      <c r="AH20" s="204">
        <f t="shared" si="34"/>
        <v>245</v>
      </c>
      <c r="AI20" s="204">
        <f t="shared" si="13"/>
        <v>2450</v>
      </c>
      <c r="AJ20" s="204">
        <f t="shared" si="35"/>
        <v>245</v>
      </c>
      <c r="AK20" s="204">
        <f t="shared" si="14"/>
        <v>2450</v>
      </c>
      <c r="AL20" s="204">
        <f t="shared" si="36"/>
        <v>245</v>
      </c>
      <c r="AM20" s="204">
        <f t="shared" si="15"/>
        <v>2450</v>
      </c>
      <c r="AN20" s="35">
        <f t="shared" si="16"/>
        <v>0.875</v>
      </c>
      <c r="AO20" s="36">
        <f t="shared" si="17"/>
        <v>17150</v>
      </c>
      <c r="AQ20" s="224">
        <f t="shared" si="37"/>
        <v>0.79289989486723067</v>
      </c>
      <c r="AR20" s="38">
        <f t="shared" si="41"/>
        <v>73715.90322580644</v>
      </c>
      <c r="AS20" s="198">
        <f t="shared" si="38"/>
        <v>0</v>
      </c>
      <c r="AT20" s="273"/>
      <c r="AU20" s="443"/>
      <c r="AV20" s="526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8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239</v>
      </c>
      <c r="C21" s="204">
        <f t="shared" si="18"/>
        <v>5142.3548387096771</v>
      </c>
      <c r="D21">
        <f t="shared" si="19"/>
        <v>239</v>
      </c>
      <c r="E21" s="204">
        <f t="shared" si="18"/>
        <v>5142.3548387096771</v>
      </c>
      <c r="F21">
        <f t="shared" si="20"/>
        <v>239</v>
      </c>
      <c r="G21" s="204">
        <f t="shared" si="1"/>
        <v>5142.3548387096771</v>
      </c>
      <c r="H21" s="204">
        <f t="shared" si="21"/>
        <v>239</v>
      </c>
      <c r="I21" s="204">
        <f t="shared" si="2"/>
        <v>5142.3548387096771</v>
      </c>
      <c r="J21" s="204">
        <f t="shared" si="22"/>
        <v>239</v>
      </c>
      <c r="K21" s="204">
        <f t="shared" si="3"/>
        <v>5142.3548387096771</v>
      </c>
      <c r="L21" s="204">
        <f t="shared" si="23"/>
        <v>239</v>
      </c>
      <c r="M21" s="204">
        <f t="shared" si="4"/>
        <v>5142.3548387096771</v>
      </c>
      <c r="N21" s="204">
        <f t="shared" si="24"/>
        <v>239</v>
      </c>
      <c r="O21" s="204">
        <f t="shared" si="5"/>
        <v>5142.3548387096771</v>
      </c>
      <c r="P21" s="204">
        <f t="shared" si="25"/>
        <v>239</v>
      </c>
      <c r="Q21" s="204">
        <f t="shared" si="6"/>
        <v>5142.3548387096771</v>
      </c>
      <c r="R21" s="204">
        <f t="shared" si="26"/>
        <v>239</v>
      </c>
      <c r="S21" s="204">
        <f t="shared" si="7"/>
        <v>5142.3548387096771</v>
      </c>
      <c r="T21" s="204">
        <f t="shared" si="27"/>
        <v>239</v>
      </c>
      <c r="U21" s="204">
        <f t="shared" si="8"/>
        <v>5142.3548387096771</v>
      </c>
      <c r="V21" s="204">
        <f t="shared" si="28"/>
        <v>239</v>
      </c>
      <c r="W21" s="204">
        <f t="shared" si="9"/>
        <v>5142.3548387096771</v>
      </c>
      <c r="X21" s="35">
        <f t="shared" si="10"/>
        <v>0.77096774193548367</v>
      </c>
      <c r="Y21" s="36">
        <f t="shared" si="29"/>
        <v>56565.90322580644</v>
      </c>
      <c r="Z21" s="204">
        <f>'B5'!C20</f>
        <v>245</v>
      </c>
      <c r="AA21" s="204">
        <f t="shared" si="30"/>
        <v>2450</v>
      </c>
      <c r="AB21" s="204">
        <f t="shared" si="31"/>
        <v>245</v>
      </c>
      <c r="AC21" s="204">
        <f t="shared" si="30"/>
        <v>2450</v>
      </c>
      <c r="AD21" s="204">
        <f t="shared" si="32"/>
        <v>245</v>
      </c>
      <c r="AE21" s="204">
        <f t="shared" si="11"/>
        <v>2450</v>
      </c>
      <c r="AF21" s="204">
        <f t="shared" si="33"/>
        <v>245</v>
      </c>
      <c r="AG21" s="204">
        <f t="shared" si="12"/>
        <v>2450</v>
      </c>
      <c r="AH21" s="204">
        <f t="shared" si="34"/>
        <v>245</v>
      </c>
      <c r="AI21" s="204">
        <f t="shared" si="13"/>
        <v>2450</v>
      </c>
      <c r="AJ21" s="204">
        <f t="shared" si="35"/>
        <v>245</v>
      </c>
      <c r="AK21" s="204">
        <f t="shared" si="14"/>
        <v>2450</v>
      </c>
      <c r="AL21" s="204">
        <f t="shared" si="36"/>
        <v>245</v>
      </c>
      <c r="AM21" s="204">
        <f t="shared" si="15"/>
        <v>2450</v>
      </c>
      <c r="AN21" s="35">
        <f t="shared" si="16"/>
        <v>0.875</v>
      </c>
      <c r="AO21" s="36">
        <f t="shared" si="17"/>
        <v>17150</v>
      </c>
      <c r="AQ21" s="224">
        <f t="shared" si="37"/>
        <v>0.79289989486723067</v>
      </c>
      <c r="AR21" s="38">
        <f t="shared" si="41"/>
        <v>73715.90322580644</v>
      </c>
      <c r="AS21" s="198">
        <f>SUM(AR21-AR20-AT21)</f>
        <v>0</v>
      </c>
      <c r="AT21" s="273"/>
      <c r="AU21" s="443"/>
      <c r="AV21" s="526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8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239</v>
      </c>
      <c r="C22" s="204">
        <f t="shared" si="18"/>
        <v>5142.3548387096771</v>
      </c>
      <c r="D22">
        <f t="shared" si="19"/>
        <v>239</v>
      </c>
      <c r="E22" s="204">
        <f t="shared" si="18"/>
        <v>5142.3548387096771</v>
      </c>
      <c r="F22">
        <f t="shared" si="20"/>
        <v>239</v>
      </c>
      <c r="G22" s="204">
        <f t="shared" si="1"/>
        <v>5142.3548387096771</v>
      </c>
      <c r="H22" s="204">
        <f t="shared" si="21"/>
        <v>239</v>
      </c>
      <c r="I22" s="204">
        <f t="shared" si="2"/>
        <v>5142.3548387096771</v>
      </c>
      <c r="J22" s="204">
        <f t="shared" si="22"/>
        <v>239</v>
      </c>
      <c r="K22" s="204">
        <f t="shared" si="3"/>
        <v>5142.3548387096771</v>
      </c>
      <c r="L22" s="204">
        <f t="shared" si="23"/>
        <v>239</v>
      </c>
      <c r="M22" s="204">
        <f t="shared" si="4"/>
        <v>5142.3548387096771</v>
      </c>
      <c r="N22" s="204">
        <f t="shared" si="24"/>
        <v>239</v>
      </c>
      <c r="O22" s="204">
        <f t="shared" si="5"/>
        <v>5142.3548387096771</v>
      </c>
      <c r="P22" s="204">
        <f t="shared" si="25"/>
        <v>239</v>
      </c>
      <c r="Q22" s="204">
        <f t="shared" si="6"/>
        <v>5142.3548387096771</v>
      </c>
      <c r="R22" s="204">
        <f t="shared" si="26"/>
        <v>239</v>
      </c>
      <c r="S22" s="204">
        <f t="shared" si="7"/>
        <v>5142.3548387096771</v>
      </c>
      <c r="T22" s="204">
        <f t="shared" si="27"/>
        <v>239</v>
      </c>
      <c r="U22" s="204">
        <f t="shared" si="8"/>
        <v>5142.3548387096771</v>
      </c>
      <c r="V22" s="204">
        <f t="shared" si="28"/>
        <v>239</v>
      </c>
      <c r="W22" s="204">
        <f t="shared" si="9"/>
        <v>5142.3548387096771</v>
      </c>
      <c r="X22" s="35">
        <f t="shared" si="10"/>
        <v>0.77096774193548367</v>
      </c>
      <c r="Y22" s="36">
        <f t="shared" si="29"/>
        <v>56565.90322580644</v>
      </c>
      <c r="Z22" s="204">
        <f>'B5'!C21</f>
        <v>245</v>
      </c>
      <c r="AA22" s="204">
        <f t="shared" si="30"/>
        <v>2450</v>
      </c>
      <c r="AB22" s="204">
        <f t="shared" si="31"/>
        <v>245</v>
      </c>
      <c r="AC22" s="204">
        <f t="shared" si="30"/>
        <v>2450</v>
      </c>
      <c r="AD22" s="204">
        <f t="shared" si="32"/>
        <v>245</v>
      </c>
      <c r="AE22" s="204">
        <f t="shared" si="11"/>
        <v>2450</v>
      </c>
      <c r="AF22" s="204">
        <f t="shared" si="33"/>
        <v>245</v>
      </c>
      <c r="AG22" s="204">
        <f t="shared" si="12"/>
        <v>2450</v>
      </c>
      <c r="AH22" s="204">
        <f t="shared" si="34"/>
        <v>245</v>
      </c>
      <c r="AI22" s="204">
        <f t="shared" si="13"/>
        <v>2450</v>
      </c>
      <c r="AJ22" s="204">
        <f t="shared" si="35"/>
        <v>245</v>
      </c>
      <c r="AK22" s="204">
        <f t="shared" si="14"/>
        <v>2450</v>
      </c>
      <c r="AL22" s="204">
        <f t="shared" si="36"/>
        <v>245</v>
      </c>
      <c r="AM22" s="204">
        <f t="shared" si="15"/>
        <v>2450</v>
      </c>
      <c r="AN22" s="35">
        <f t="shared" si="16"/>
        <v>0.875</v>
      </c>
      <c r="AO22" s="36">
        <f t="shared" si="17"/>
        <v>17150</v>
      </c>
      <c r="AQ22" s="224">
        <f t="shared" si="37"/>
        <v>0.79289989486723067</v>
      </c>
      <c r="AR22" s="38">
        <f t="shared" si="41"/>
        <v>73715.90322580644</v>
      </c>
      <c r="AS22" s="198">
        <f t="shared" si="38"/>
        <v>0</v>
      </c>
      <c r="AT22" s="273"/>
      <c r="AU22" s="443"/>
      <c r="AV22" s="526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8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239</v>
      </c>
      <c r="C23" s="204">
        <f t="shared" si="18"/>
        <v>5142.3548387096771</v>
      </c>
      <c r="D23">
        <f t="shared" si="19"/>
        <v>239</v>
      </c>
      <c r="E23" s="204">
        <f t="shared" si="18"/>
        <v>5142.3548387096771</v>
      </c>
      <c r="F23">
        <f t="shared" si="20"/>
        <v>239</v>
      </c>
      <c r="G23" s="204">
        <f t="shared" si="1"/>
        <v>5142.3548387096771</v>
      </c>
      <c r="H23" s="204">
        <f t="shared" si="21"/>
        <v>239</v>
      </c>
      <c r="I23" s="204">
        <f t="shared" si="2"/>
        <v>5142.3548387096771</v>
      </c>
      <c r="J23" s="204">
        <f t="shared" si="22"/>
        <v>239</v>
      </c>
      <c r="K23" s="204">
        <f t="shared" si="3"/>
        <v>5142.3548387096771</v>
      </c>
      <c r="L23" s="204">
        <f t="shared" si="23"/>
        <v>239</v>
      </c>
      <c r="M23" s="204">
        <f t="shared" si="4"/>
        <v>5142.3548387096771</v>
      </c>
      <c r="N23" s="204">
        <f t="shared" si="24"/>
        <v>239</v>
      </c>
      <c r="O23" s="204">
        <f t="shared" si="5"/>
        <v>5142.3548387096771</v>
      </c>
      <c r="P23" s="204">
        <f t="shared" si="25"/>
        <v>239</v>
      </c>
      <c r="Q23" s="204">
        <f t="shared" si="6"/>
        <v>5142.3548387096771</v>
      </c>
      <c r="R23" s="204">
        <f t="shared" si="26"/>
        <v>239</v>
      </c>
      <c r="S23" s="204">
        <f t="shared" si="7"/>
        <v>5142.3548387096771</v>
      </c>
      <c r="T23" s="204">
        <f t="shared" si="27"/>
        <v>239</v>
      </c>
      <c r="U23" s="204">
        <f t="shared" si="8"/>
        <v>5142.3548387096771</v>
      </c>
      <c r="V23" s="204">
        <f t="shared" si="28"/>
        <v>239</v>
      </c>
      <c r="W23" s="204">
        <f t="shared" si="9"/>
        <v>5142.3548387096771</v>
      </c>
      <c r="X23" s="35">
        <f t="shared" si="10"/>
        <v>0.77096774193548367</v>
      </c>
      <c r="Y23" s="36">
        <f t="shared" si="29"/>
        <v>56565.90322580644</v>
      </c>
      <c r="Z23" s="204">
        <f>'B5'!C22</f>
        <v>245</v>
      </c>
      <c r="AA23" s="204">
        <f t="shared" si="30"/>
        <v>2450</v>
      </c>
      <c r="AB23" s="204">
        <f t="shared" si="31"/>
        <v>245</v>
      </c>
      <c r="AC23" s="204">
        <f t="shared" si="30"/>
        <v>2450</v>
      </c>
      <c r="AD23" s="204">
        <f t="shared" si="32"/>
        <v>245</v>
      </c>
      <c r="AE23" s="204">
        <f t="shared" si="11"/>
        <v>2450</v>
      </c>
      <c r="AF23" s="204">
        <f t="shared" si="33"/>
        <v>245</v>
      </c>
      <c r="AG23" s="204">
        <f t="shared" si="12"/>
        <v>2450</v>
      </c>
      <c r="AH23" s="204">
        <f t="shared" si="34"/>
        <v>245</v>
      </c>
      <c r="AI23" s="204">
        <f t="shared" si="13"/>
        <v>2450</v>
      </c>
      <c r="AJ23" s="204">
        <f t="shared" si="35"/>
        <v>245</v>
      </c>
      <c r="AK23" s="204">
        <f t="shared" si="14"/>
        <v>2450</v>
      </c>
      <c r="AL23" s="204">
        <f t="shared" si="36"/>
        <v>245</v>
      </c>
      <c r="AM23" s="204">
        <f t="shared" si="15"/>
        <v>2450</v>
      </c>
      <c r="AN23" s="35">
        <f t="shared" si="16"/>
        <v>0.875</v>
      </c>
      <c r="AO23" s="36">
        <f t="shared" si="17"/>
        <v>17150</v>
      </c>
      <c r="AQ23" s="224">
        <f t="shared" si="37"/>
        <v>0.79289989486723067</v>
      </c>
      <c r="AR23" s="38">
        <f t="shared" si="41"/>
        <v>73715.90322580644</v>
      </c>
      <c r="AS23" s="198">
        <f t="shared" si="38"/>
        <v>0</v>
      </c>
      <c r="AT23" s="273"/>
      <c r="AU23" s="443"/>
      <c r="AV23" s="526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8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239</v>
      </c>
      <c r="C24" s="204">
        <f t="shared" si="18"/>
        <v>5142.3548387096771</v>
      </c>
      <c r="D24">
        <f t="shared" si="19"/>
        <v>239</v>
      </c>
      <c r="E24" s="204">
        <f t="shared" si="18"/>
        <v>5142.3548387096771</v>
      </c>
      <c r="F24">
        <f t="shared" si="20"/>
        <v>239</v>
      </c>
      <c r="G24" s="204">
        <f t="shared" si="1"/>
        <v>5142.3548387096771</v>
      </c>
      <c r="H24" s="204">
        <f t="shared" si="21"/>
        <v>239</v>
      </c>
      <c r="I24" s="204">
        <f t="shared" si="2"/>
        <v>5142.3548387096771</v>
      </c>
      <c r="J24" s="204">
        <f t="shared" si="22"/>
        <v>239</v>
      </c>
      <c r="K24" s="204">
        <f t="shared" si="3"/>
        <v>5142.3548387096771</v>
      </c>
      <c r="L24" s="204">
        <f t="shared" si="23"/>
        <v>239</v>
      </c>
      <c r="M24" s="204">
        <f t="shared" si="4"/>
        <v>5142.3548387096771</v>
      </c>
      <c r="N24" s="204">
        <f t="shared" si="24"/>
        <v>239</v>
      </c>
      <c r="O24" s="204">
        <f t="shared" si="5"/>
        <v>5142.3548387096771</v>
      </c>
      <c r="P24" s="204">
        <f t="shared" si="25"/>
        <v>239</v>
      </c>
      <c r="Q24" s="204">
        <f t="shared" si="6"/>
        <v>5142.3548387096771</v>
      </c>
      <c r="R24" s="204">
        <f t="shared" si="26"/>
        <v>239</v>
      </c>
      <c r="S24" s="204">
        <f t="shared" si="7"/>
        <v>5142.3548387096771</v>
      </c>
      <c r="T24" s="204">
        <f t="shared" si="27"/>
        <v>239</v>
      </c>
      <c r="U24" s="204">
        <f t="shared" si="8"/>
        <v>5142.3548387096771</v>
      </c>
      <c r="V24" s="204">
        <f t="shared" si="28"/>
        <v>239</v>
      </c>
      <c r="W24" s="204">
        <f t="shared" si="9"/>
        <v>5142.3548387096771</v>
      </c>
      <c r="X24" s="35">
        <f t="shared" si="10"/>
        <v>0.77096774193548367</v>
      </c>
      <c r="Y24" s="36">
        <f t="shared" si="29"/>
        <v>56565.90322580644</v>
      </c>
      <c r="Z24" s="204">
        <f>'B5'!C23</f>
        <v>245</v>
      </c>
      <c r="AA24" s="204">
        <f t="shared" si="30"/>
        <v>2450</v>
      </c>
      <c r="AB24" s="204">
        <f t="shared" si="31"/>
        <v>245</v>
      </c>
      <c r="AC24" s="204">
        <f t="shared" si="30"/>
        <v>2450</v>
      </c>
      <c r="AD24" s="204">
        <f t="shared" si="32"/>
        <v>245</v>
      </c>
      <c r="AE24" s="204">
        <f t="shared" si="11"/>
        <v>2450</v>
      </c>
      <c r="AF24" s="204">
        <f t="shared" si="33"/>
        <v>245</v>
      </c>
      <c r="AG24" s="204">
        <f t="shared" si="12"/>
        <v>2450</v>
      </c>
      <c r="AH24" s="204">
        <f t="shared" si="34"/>
        <v>245</v>
      </c>
      <c r="AI24" s="204">
        <f t="shared" si="13"/>
        <v>2450</v>
      </c>
      <c r="AJ24" s="204">
        <f t="shared" si="35"/>
        <v>245</v>
      </c>
      <c r="AK24" s="204">
        <f t="shared" si="14"/>
        <v>2450</v>
      </c>
      <c r="AL24" s="204">
        <f t="shared" si="36"/>
        <v>245</v>
      </c>
      <c r="AM24" s="204">
        <f t="shared" si="15"/>
        <v>2450</v>
      </c>
      <c r="AN24" s="35">
        <f t="shared" si="16"/>
        <v>0.875</v>
      </c>
      <c r="AO24" s="36">
        <f t="shared" si="17"/>
        <v>17150</v>
      </c>
      <c r="AQ24" s="224">
        <f t="shared" si="37"/>
        <v>0.79289989486723067</v>
      </c>
      <c r="AR24" s="38">
        <f t="shared" si="41"/>
        <v>73715.90322580644</v>
      </c>
      <c r="AS24" s="198">
        <f t="shared" si="38"/>
        <v>0</v>
      </c>
      <c r="AT24" s="273"/>
      <c r="AU24" s="443"/>
      <c r="AV24" s="526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8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239</v>
      </c>
      <c r="C25" s="204">
        <f t="shared" si="18"/>
        <v>5142.3548387096771</v>
      </c>
      <c r="D25">
        <f t="shared" si="19"/>
        <v>239</v>
      </c>
      <c r="E25" s="204">
        <f t="shared" si="18"/>
        <v>5142.3548387096771</v>
      </c>
      <c r="F25">
        <f t="shared" si="20"/>
        <v>239</v>
      </c>
      <c r="G25" s="204">
        <f t="shared" si="1"/>
        <v>5142.3548387096771</v>
      </c>
      <c r="H25" s="204">
        <f t="shared" si="21"/>
        <v>239</v>
      </c>
      <c r="I25" s="204">
        <f t="shared" si="2"/>
        <v>5142.3548387096771</v>
      </c>
      <c r="J25" s="204">
        <f t="shared" si="22"/>
        <v>239</v>
      </c>
      <c r="K25" s="204">
        <f t="shared" si="3"/>
        <v>5142.3548387096771</v>
      </c>
      <c r="L25" s="204">
        <f t="shared" si="23"/>
        <v>239</v>
      </c>
      <c r="M25" s="204">
        <f t="shared" si="4"/>
        <v>5142.3548387096771</v>
      </c>
      <c r="N25" s="204">
        <f t="shared" si="24"/>
        <v>239</v>
      </c>
      <c r="O25" s="204">
        <f t="shared" si="5"/>
        <v>5142.3548387096771</v>
      </c>
      <c r="P25" s="204">
        <f t="shared" si="25"/>
        <v>239</v>
      </c>
      <c r="Q25" s="204">
        <f t="shared" si="6"/>
        <v>5142.3548387096771</v>
      </c>
      <c r="R25" s="204">
        <f t="shared" si="26"/>
        <v>239</v>
      </c>
      <c r="S25" s="204">
        <f t="shared" si="7"/>
        <v>5142.3548387096771</v>
      </c>
      <c r="T25" s="204">
        <f t="shared" si="27"/>
        <v>239</v>
      </c>
      <c r="U25" s="204">
        <f t="shared" si="8"/>
        <v>5142.3548387096771</v>
      </c>
      <c r="V25" s="204">
        <f t="shared" si="28"/>
        <v>239</v>
      </c>
      <c r="W25" s="204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4">
        <f>'B5'!C24</f>
        <v>245</v>
      </c>
      <c r="AA25" s="204">
        <f t="shared" si="30"/>
        <v>2450</v>
      </c>
      <c r="AB25" s="204">
        <f t="shared" si="31"/>
        <v>245</v>
      </c>
      <c r="AC25" s="204">
        <f t="shared" si="30"/>
        <v>2450</v>
      </c>
      <c r="AD25" s="204">
        <f t="shared" si="32"/>
        <v>245</v>
      </c>
      <c r="AE25" s="204">
        <f t="shared" si="11"/>
        <v>2450</v>
      </c>
      <c r="AF25" s="204">
        <f t="shared" si="33"/>
        <v>245</v>
      </c>
      <c r="AG25" s="204">
        <f t="shared" si="12"/>
        <v>2450</v>
      </c>
      <c r="AH25" s="204">
        <f t="shared" si="34"/>
        <v>245</v>
      </c>
      <c r="AI25" s="204">
        <f t="shared" si="13"/>
        <v>2450</v>
      </c>
      <c r="AJ25" s="204">
        <f t="shared" si="35"/>
        <v>245</v>
      </c>
      <c r="AK25" s="204">
        <f t="shared" si="14"/>
        <v>2450</v>
      </c>
      <c r="AL25" s="204">
        <f t="shared" si="36"/>
        <v>245</v>
      </c>
      <c r="AM25" s="204">
        <f t="shared" si="15"/>
        <v>2450</v>
      </c>
      <c r="AN25" s="35">
        <f t="shared" si="16"/>
        <v>0.875</v>
      </c>
      <c r="AO25" s="36">
        <f t="shared" si="17"/>
        <v>17150</v>
      </c>
      <c r="AQ25" s="224">
        <f t="shared" si="37"/>
        <v>0.79289989486723067</v>
      </c>
      <c r="AR25" s="38">
        <f t="shared" si="41"/>
        <v>73715.90322580644</v>
      </c>
      <c r="AS25" s="198">
        <f t="shared" si="38"/>
        <v>0</v>
      </c>
      <c r="AT25" s="273"/>
      <c r="AU25" s="443"/>
      <c r="AV25" s="526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8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239</v>
      </c>
      <c r="C26" s="204">
        <f t="shared" si="18"/>
        <v>5142.3548387096771</v>
      </c>
      <c r="D26">
        <f t="shared" si="19"/>
        <v>239</v>
      </c>
      <c r="E26" s="204">
        <f t="shared" si="18"/>
        <v>5142.3548387096771</v>
      </c>
      <c r="F26">
        <f t="shared" si="20"/>
        <v>239</v>
      </c>
      <c r="G26" s="204">
        <f t="shared" si="1"/>
        <v>5142.3548387096771</v>
      </c>
      <c r="H26" s="204">
        <f t="shared" si="21"/>
        <v>239</v>
      </c>
      <c r="I26" s="204">
        <f t="shared" si="2"/>
        <v>5142.3548387096771</v>
      </c>
      <c r="J26" s="204">
        <f t="shared" si="22"/>
        <v>239</v>
      </c>
      <c r="K26" s="204">
        <f t="shared" si="3"/>
        <v>5142.3548387096771</v>
      </c>
      <c r="L26" s="204">
        <f t="shared" si="23"/>
        <v>239</v>
      </c>
      <c r="M26" s="204">
        <f t="shared" si="4"/>
        <v>5142.3548387096771</v>
      </c>
      <c r="N26" s="204">
        <f t="shared" si="24"/>
        <v>239</v>
      </c>
      <c r="O26" s="204">
        <f t="shared" si="5"/>
        <v>5142.3548387096771</v>
      </c>
      <c r="P26" s="204">
        <f t="shared" si="25"/>
        <v>239</v>
      </c>
      <c r="Q26" s="204">
        <f t="shared" si="6"/>
        <v>5142.3548387096771</v>
      </c>
      <c r="R26" s="204">
        <f t="shared" si="26"/>
        <v>239</v>
      </c>
      <c r="S26" s="204">
        <f t="shared" si="7"/>
        <v>5142.3548387096771</v>
      </c>
      <c r="T26" s="204">
        <f t="shared" si="27"/>
        <v>239</v>
      </c>
      <c r="U26" s="204">
        <f t="shared" si="8"/>
        <v>5142.3548387096771</v>
      </c>
      <c r="V26" s="204">
        <f t="shared" si="28"/>
        <v>239</v>
      </c>
      <c r="W26" s="204">
        <f t="shared" si="9"/>
        <v>5142.3548387096771</v>
      </c>
      <c r="X26" s="35">
        <f t="shared" si="10"/>
        <v>0.77096774193548367</v>
      </c>
      <c r="Y26" s="36">
        <f t="shared" si="29"/>
        <v>56565.90322580644</v>
      </c>
      <c r="Z26" s="204">
        <f>'B5'!C25</f>
        <v>245</v>
      </c>
      <c r="AA26" s="204">
        <f t="shared" si="30"/>
        <v>2450</v>
      </c>
      <c r="AB26" s="204">
        <f t="shared" si="31"/>
        <v>245</v>
      </c>
      <c r="AC26" s="204">
        <f t="shared" si="30"/>
        <v>2450</v>
      </c>
      <c r="AD26" s="204">
        <f t="shared" si="32"/>
        <v>245</v>
      </c>
      <c r="AE26" s="204">
        <f t="shared" si="11"/>
        <v>2450</v>
      </c>
      <c r="AF26" s="204">
        <f t="shared" si="33"/>
        <v>245</v>
      </c>
      <c r="AG26" s="204">
        <f t="shared" si="12"/>
        <v>2450</v>
      </c>
      <c r="AH26" s="204">
        <f t="shared" si="34"/>
        <v>245</v>
      </c>
      <c r="AI26" s="204">
        <f t="shared" si="13"/>
        <v>2450</v>
      </c>
      <c r="AJ26" s="204">
        <f t="shared" si="35"/>
        <v>245</v>
      </c>
      <c r="AK26" s="204">
        <f t="shared" si="14"/>
        <v>2450</v>
      </c>
      <c r="AL26" s="204">
        <f t="shared" si="36"/>
        <v>245</v>
      </c>
      <c r="AM26" s="204">
        <f t="shared" si="15"/>
        <v>2450</v>
      </c>
      <c r="AN26" s="35">
        <f t="shared" si="16"/>
        <v>0.875</v>
      </c>
      <c r="AO26" s="36">
        <f t="shared" si="17"/>
        <v>17150</v>
      </c>
      <c r="AQ26" s="224">
        <f t="shared" si="37"/>
        <v>0.79289989486723067</v>
      </c>
      <c r="AR26" s="38">
        <f t="shared" si="41"/>
        <v>73715.90322580644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239</v>
      </c>
      <c r="C27" s="204">
        <f t="shared" si="18"/>
        <v>5142.3548387096771</v>
      </c>
      <c r="D27">
        <f t="shared" si="19"/>
        <v>239</v>
      </c>
      <c r="E27" s="204">
        <f t="shared" si="18"/>
        <v>5142.3548387096771</v>
      </c>
      <c r="F27">
        <f t="shared" si="20"/>
        <v>239</v>
      </c>
      <c r="G27" s="204">
        <f t="shared" si="1"/>
        <v>5142.3548387096771</v>
      </c>
      <c r="H27" s="204">
        <f t="shared" si="21"/>
        <v>239</v>
      </c>
      <c r="I27" s="204">
        <f t="shared" si="2"/>
        <v>5142.3548387096771</v>
      </c>
      <c r="J27" s="204">
        <f t="shared" si="22"/>
        <v>239</v>
      </c>
      <c r="K27" s="204">
        <f t="shared" si="3"/>
        <v>5142.3548387096771</v>
      </c>
      <c r="L27" s="204">
        <f t="shared" si="23"/>
        <v>239</v>
      </c>
      <c r="M27" s="204">
        <f t="shared" si="4"/>
        <v>5142.3548387096771</v>
      </c>
      <c r="N27" s="204">
        <f t="shared" si="24"/>
        <v>239</v>
      </c>
      <c r="O27" s="204">
        <f t="shared" si="5"/>
        <v>5142.3548387096771</v>
      </c>
      <c r="P27" s="204">
        <f t="shared" si="25"/>
        <v>239</v>
      </c>
      <c r="Q27" s="204">
        <f t="shared" si="6"/>
        <v>5142.3548387096771</v>
      </c>
      <c r="R27" s="204">
        <f t="shared" si="26"/>
        <v>239</v>
      </c>
      <c r="S27" s="204">
        <f t="shared" si="7"/>
        <v>5142.3548387096771</v>
      </c>
      <c r="T27" s="204">
        <f t="shared" si="27"/>
        <v>239</v>
      </c>
      <c r="U27" s="204">
        <f t="shared" si="8"/>
        <v>5142.3548387096771</v>
      </c>
      <c r="V27" s="204">
        <f t="shared" si="28"/>
        <v>239</v>
      </c>
      <c r="W27" s="204">
        <f t="shared" si="9"/>
        <v>5142.3548387096771</v>
      </c>
      <c r="X27" s="35">
        <f t="shared" si="10"/>
        <v>0.77096774193548367</v>
      </c>
      <c r="Y27" s="36">
        <f t="shared" si="29"/>
        <v>56565.90322580644</v>
      </c>
      <c r="Z27" s="204">
        <f>'B5'!C26</f>
        <v>245</v>
      </c>
      <c r="AA27" s="204">
        <f t="shared" si="30"/>
        <v>2450</v>
      </c>
      <c r="AB27" s="204">
        <f t="shared" si="31"/>
        <v>245</v>
      </c>
      <c r="AC27" s="204">
        <f t="shared" si="30"/>
        <v>2450</v>
      </c>
      <c r="AD27" s="204">
        <f t="shared" si="32"/>
        <v>245</v>
      </c>
      <c r="AE27" s="204">
        <f t="shared" si="11"/>
        <v>2450</v>
      </c>
      <c r="AF27" s="204">
        <f t="shared" si="33"/>
        <v>245</v>
      </c>
      <c r="AG27" s="204">
        <f t="shared" si="12"/>
        <v>2450</v>
      </c>
      <c r="AH27" s="204">
        <f t="shared" si="34"/>
        <v>245</v>
      </c>
      <c r="AI27" s="204">
        <f t="shared" si="13"/>
        <v>2450</v>
      </c>
      <c r="AJ27" s="204">
        <f t="shared" si="35"/>
        <v>245</v>
      </c>
      <c r="AK27" s="204">
        <f t="shared" si="14"/>
        <v>2450</v>
      </c>
      <c r="AL27" s="204">
        <f t="shared" si="36"/>
        <v>245</v>
      </c>
      <c r="AM27" s="204">
        <f t="shared" si="15"/>
        <v>2450</v>
      </c>
      <c r="AN27" s="35">
        <f t="shared" si="16"/>
        <v>0.875</v>
      </c>
      <c r="AO27" s="36">
        <f t="shared" si="17"/>
        <v>17150</v>
      </c>
      <c r="AQ27" s="224">
        <f t="shared" si="37"/>
        <v>0.79289989486723067</v>
      </c>
      <c r="AR27" s="38">
        <f t="shared" si="41"/>
        <v>73715.90322580644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239</v>
      </c>
      <c r="C28" s="204">
        <f t="shared" si="18"/>
        <v>5142.3548387096771</v>
      </c>
      <c r="D28">
        <f t="shared" si="19"/>
        <v>239</v>
      </c>
      <c r="E28" s="204">
        <f t="shared" si="18"/>
        <v>5142.3548387096771</v>
      </c>
      <c r="F28">
        <f t="shared" si="20"/>
        <v>239</v>
      </c>
      <c r="G28" s="204">
        <f t="shared" si="1"/>
        <v>5142.3548387096771</v>
      </c>
      <c r="H28" s="204">
        <f t="shared" si="21"/>
        <v>239</v>
      </c>
      <c r="I28" s="204">
        <f t="shared" si="2"/>
        <v>5142.3548387096771</v>
      </c>
      <c r="J28" s="204">
        <f t="shared" si="22"/>
        <v>239</v>
      </c>
      <c r="K28" s="204">
        <f t="shared" si="3"/>
        <v>5142.3548387096771</v>
      </c>
      <c r="L28" s="204">
        <f t="shared" si="23"/>
        <v>239</v>
      </c>
      <c r="M28" s="204">
        <f t="shared" si="4"/>
        <v>5142.3548387096771</v>
      </c>
      <c r="N28" s="204">
        <f t="shared" si="24"/>
        <v>239</v>
      </c>
      <c r="O28" s="204">
        <f t="shared" si="5"/>
        <v>5142.3548387096771</v>
      </c>
      <c r="P28" s="204">
        <f t="shared" si="25"/>
        <v>239</v>
      </c>
      <c r="Q28" s="204">
        <f t="shared" si="6"/>
        <v>5142.3548387096771</v>
      </c>
      <c r="R28" s="204">
        <f t="shared" si="26"/>
        <v>239</v>
      </c>
      <c r="S28" s="204">
        <f t="shared" si="7"/>
        <v>5142.3548387096771</v>
      </c>
      <c r="T28" s="204">
        <f t="shared" si="27"/>
        <v>239</v>
      </c>
      <c r="U28" s="204">
        <f t="shared" si="8"/>
        <v>5142.3548387096771</v>
      </c>
      <c r="V28" s="204">
        <f t="shared" si="28"/>
        <v>239</v>
      </c>
      <c r="W28" s="204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4">
        <f>'B5'!C27</f>
        <v>245</v>
      </c>
      <c r="AA28" s="204">
        <f t="shared" si="30"/>
        <v>2450</v>
      </c>
      <c r="AB28" s="204">
        <f t="shared" si="31"/>
        <v>245</v>
      </c>
      <c r="AC28" s="204">
        <f t="shared" si="30"/>
        <v>2450</v>
      </c>
      <c r="AD28" s="204">
        <f t="shared" si="32"/>
        <v>245</v>
      </c>
      <c r="AE28" s="204">
        <f t="shared" si="11"/>
        <v>2450</v>
      </c>
      <c r="AF28" s="204">
        <f t="shared" si="33"/>
        <v>245</v>
      </c>
      <c r="AG28" s="204">
        <f t="shared" si="12"/>
        <v>2450</v>
      </c>
      <c r="AH28" s="204">
        <f t="shared" si="34"/>
        <v>245</v>
      </c>
      <c r="AI28" s="204">
        <f t="shared" si="13"/>
        <v>2450</v>
      </c>
      <c r="AJ28" s="204">
        <f t="shared" si="35"/>
        <v>245</v>
      </c>
      <c r="AK28" s="204">
        <f t="shared" si="14"/>
        <v>2450</v>
      </c>
      <c r="AL28" s="204">
        <f t="shared" si="36"/>
        <v>245</v>
      </c>
      <c r="AM28" s="204">
        <f t="shared" si="15"/>
        <v>2450</v>
      </c>
      <c r="AN28" s="35">
        <f t="shared" si="16"/>
        <v>0.875</v>
      </c>
      <c r="AO28" s="36">
        <f t="shared" si="17"/>
        <v>17150</v>
      </c>
      <c r="AQ28" s="224">
        <f t="shared" si="37"/>
        <v>0.79289989486723067</v>
      </c>
      <c r="AR28" s="38">
        <f t="shared" si="41"/>
        <v>73715.90322580644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239</v>
      </c>
      <c r="C29" s="204">
        <f t="shared" si="18"/>
        <v>5142.3548387096771</v>
      </c>
      <c r="D29">
        <f t="shared" si="19"/>
        <v>239</v>
      </c>
      <c r="E29" s="204">
        <f t="shared" si="18"/>
        <v>5142.3548387096771</v>
      </c>
      <c r="F29">
        <f t="shared" si="20"/>
        <v>239</v>
      </c>
      <c r="G29" s="204">
        <f t="shared" si="1"/>
        <v>5142.3548387096771</v>
      </c>
      <c r="H29" s="204">
        <f t="shared" si="21"/>
        <v>239</v>
      </c>
      <c r="I29" s="204">
        <f t="shared" si="2"/>
        <v>5142.3548387096771</v>
      </c>
      <c r="J29" s="204">
        <f t="shared" si="22"/>
        <v>239</v>
      </c>
      <c r="K29" s="204">
        <f t="shared" si="3"/>
        <v>5142.3548387096771</v>
      </c>
      <c r="L29" s="204">
        <f t="shared" si="23"/>
        <v>239</v>
      </c>
      <c r="M29" s="204">
        <f t="shared" si="4"/>
        <v>5142.3548387096771</v>
      </c>
      <c r="N29" s="204">
        <f t="shared" si="24"/>
        <v>239</v>
      </c>
      <c r="O29" s="204">
        <f t="shared" si="5"/>
        <v>5142.3548387096771</v>
      </c>
      <c r="P29" s="204">
        <f t="shared" si="25"/>
        <v>239</v>
      </c>
      <c r="Q29" s="204">
        <f t="shared" si="6"/>
        <v>5142.3548387096771</v>
      </c>
      <c r="R29" s="204">
        <f t="shared" si="26"/>
        <v>239</v>
      </c>
      <c r="S29" s="204">
        <f t="shared" si="7"/>
        <v>5142.3548387096771</v>
      </c>
      <c r="T29" s="204">
        <f t="shared" si="27"/>
        <v>239</v>
      </c>
      <c r="U29" s="204">
        <f t="shared" si="8"/>
        <v>5142.3548387096771</v>
      </c>
      <c r="V29" s="204">
        <f t="shared" si="28"/>
        <v>239</v>
      </c>
      <c r="W29" s="204">
        <f t="shared" si="9"/>
        <v>5142.3548387096771</v>
      </c>
      <c r="X29" s="35">
        <f t="shared" si="10"/>
        <v>0.77096774193548367</v>
      </c>
      <c r="Y29" s="36">
        <f t="shared" si="29"/>
        <v>56565.90322580644</v>
      </c>
      <c r="Z29" s="204">
        <f>'B5'!C28</f>
        <v>245</v>
      </c>
      <c r="AA29" s="204">
        <f t="shared" si="30"/>
        <v>2450</v>
      </c>
      <c r="AB29" s="204">
        <f t="shared" si="31"/>
        <v>245</v>
      </c>
      <c r="AC29" s="204">
        <f t="shared" si="30"/>
        <v>2450</v>
      </c>
      <c r="AD29" s="204">
        <f t="shared" si="32"/>
        <v>245</v>
      </c>
      <c r="AE29" s="204">
        <f t="shared" si="11"/>
        <v>2450</v>
      </c>
      <c r="AF29" s="204">
        <f t="shared" si="33"/>
        <v>245</v>
      </c>
      <c r="AG29" s="204">
        <f t="shared" si="12"/>
        <v>2450</v>
      </c>
      <c r="AH29" s="204">
        <f t="shared" si="34"/>
        <v>245</v>
      </c>
      <c r="AI29" s="204">
        <f t="shared" si="13"/>
        <v>2450</v>
      </c>
      <c r="AJ29" s="204">
        <f t="shared" si="35"/>
        <v>245</v>
      </c>
      <c r="AK29" s="204">
        <f t="shared" si="14"/>
        <v>2450</v>
      </c>
      <c r="AL29" s="204">
        <f t="shared" si="36"/>
        <v>245</v>
      </c>
      <c r="AM29" s="204">
        <f t="shared" si="15"/>
        <v>2450</v>
      </c>
      <c r="AN29" s="35">
        <f t="shared" si="16"/>
        <v>0.875</v>
      </c>
      <c r="AO29" s="36">
        <f t="shared" si="17"/>
        <v>17150</v>
      </c>
      <c r="AQ29" s="224">
        <f t="shared" si="37"/>
        <v>0.79289989486723067</v>
      </c>
      <c r="AR29" s="38">
        <f t="shared" si="41"/>
        <v>73715.90322580644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239</v>
      </c>
      <c r="C30" s="204">
        <f t="shared" si="18"/>
        <v>5142.3548387096771</v>
      </c>
      <c r="D30">
        <f t="shared" ref="D30:D35" si="44">SUM(B30)</f>
        <v>239</v>
      </c>
      <c r="E30" s="204">
        <f t="shared" si="18"/>
        <v>5142.3548387096771</v>
      </c>
      <c r="F30">
        <f t="shared" ref="F30:F35" si="45">SUM(D30)</f>
        <v>239</v>
      </c>
      <c r="G30" s="204">
        <f t="shared" si="1"/>
        <v>5142.3548387096771</v>
      </c>
      <c r="H30" s="204">
        <f t="shared" ref="H30:H35" si="46">SUM(F30)</f>
        <v>239</v>
      </c>
      <c r="I30" s="204">
        <f t="shared" si="2"/>
        <v>5142.3548387096771</v>
      </c>
      <c r="J30" s="204">
        <f t="shared" ref="J30:J35" si="47">SUM(H30)</f>
        <v>239</v>
      </c>
      <c r="K30" s="204">
        <f t="shared" si="3"/>
        <v>5142.3548387096771</v>
      </c>
      <c r="L30" s="204">
        <f t="shared" ref="L30:L35" si="48">SUM(J30)</f>
        <v>239</v>
      </c>
      <c r="M30" s="204">
        <f t="shared" si="4"/>
        <v>5142.3548387096771</v>
      </c>
      <c r="N30" s="204">
        <f t="shared" ref="N30:N35" si="49">SUM(L30)</f>
        <v>239</v>
      </c>
      <c r="O30" s="204">
        <f t="shared" si="5"/>
        <v>5142.3548387096771</v>
      </c>
      <c r="P30" s="204">
        <f t="shared" ref="P30:P35" si="50">SUM(N30)</f>
        <v>239</v>
      </c>
      <c r="Q30" s="204">
        <f t="shared" si="6"/>
        <v>5142.3548387096771</v>
      </c>
      <c r="R30" s="204">
        <f t="shared" ref="R30:R35" si="51">SUM(P30)</f>
        <v>239</v>
      </c>
      <c r="S30" s="204">
        <f t="shared" si="7"/>
        <v>5142.3548387096771</v>
      </c>
      <c r="T30" s="204">
        <f t="shared" ref="T30:T35" si="52">SUM(R30)</f>
        <v>239</v>
      </c>
      <c r="U30" s="204">
        <f t="shared" si="8"/>
        <v>5142.3548387096771</v>
      </c>
      <c r="V30" s="204">
        <f t="shared" ref="V30:V35" si="53">SUM(T30)</f>
        <v>239</v>
      </c>
      <c r="W30" s="204">
        <f t="shared" si="9"/>
        <v>5142.3548387096771</v>
      </c>
      <c r="X30" s="35">
        <f t="shared" ref="X30:X35" si="54">SUM(Y30/73370)</f>
        <v>0.77096774193548367</v>
      </c>
      <c r="Y30" s="36">
        <f t="shared" ref="Y30:Y35" si="55">SUM(C30+E30+G30+I30+K30+M30+O30+Q30+S30+U30+W30)</f>
        <v>56565.90322580644</v>
      </c>
      <c r="Z30" s="204">
        <f>'B5'!C29</f>
        <v>245</v>
      </c>
      <c r="AA30" s="204">
        <f t="shared" si="30"/>
        <v>2450</v>
      </c>
      <c r="AB30" s="204">
        <f t="shared" ref="AB30:AB35" si="56">SUM(Z30)</f>
        <v>245</v>
      </c>
      <c r="AC30" s="204">
        <f t="shared" si="30"/>
        <v>2450</v>
      </c>
      <c r="AD30" s="204">
        <f t="shared" ref="AD30:AD35" si="57">SUM(AB30)</f>
        <v>245</v>
      </c>
      <c r="AE30" s="204">
        <f t="shared" si="11"/>
        <v>2450</v>
      </c>
      <c r="AF30" s="204">
        <f t="shared" ref="AF30:AF35" si="58">SUM(AD30)</f>
        <v>245</v>
      </c>
      <c r="AG30" s="204">
        <f t="shared" si="12"/>
        <v>2450</v>
      </c>
      <c r="AH30" s="204">
        <f t="shared" ref="AH30:AH35" si="59">SUM(AF30)</f>
        <v>245</v>
      </c>
      <c r="AI30" s="204">
        <f t="shared" si="13"/>
        <v>2450</v>
      </c>
      <c r="AJ30" s="204">
        <f t="shared" ref="AJ30:AJ35" si="60">SUM(AH30)</f>
        <v>245</v>
      </c>
      <c r="AK30" s="204">
        <f t="shared" si="14"/>
        <v>2450</v>
      </c>
      <c r="AL30" s="204">
        <f t="shared" ref="AL30:AL35" si="61">SUM(AJ30)</f>
        <v>245</v>
      </c>
      <c r="AM30" s="204">
        <f t="shared" si="15"/>
        <v>2450</v>
      </c>
      <c r="AN30" s="35">
        <f t="shared" ref="AN30:AN35" si="62">SUM(AO30/19600)</f>
        <v>0.875</v>
      </c>
      <c r="AO30" s="36">
        <f t="shared" ref="AO30:AO35" si="63">SUM(AA30+AC30+AE30+AG30+AI30+AK30+AM30)</f>
        <v>17150</v>
      </c>
      <c r="AQ30" s="224">
        <f t="shared" si="37"/>
        <v>0.79289989486723067</v>
      </c>
      <c r="AR30" s="38">
        <f t="shared" si="41"/>
        <v>73715.90322580644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239</v>
      </c>
      <c r="C31" s="204">
        <f t="shared" si="18"/>
        <v>5142.3548387096771</v>
      </c>
      <c r="D31">
        <f t="shared" si="44"/>
        <v>239</v>
      </c>
      <c r="E31" s="204">
        <f t="shared" si="18"/>
        <v>5142.3548387096771</v>
      </c>
      <c r="F31">
        <f t="shared" si="45"/>
        <v>239</v>
      </c>
      <c r="G31" s="204">
        <f t="shared" si="1"/>
        <v>5142.3548387096771</v>
      </c>
      <c r="H31" s="204">
        <f t="shared" si="46"/>
        <v>239</v>
      </c>
      <c r="I31" s="204">
        <f t="shared" si="2"/>
        <v>5142.3548387096771</v>
      </c>
      <c r="J31" s="204">
        <f t="shared" si="47"/>
        <v>239</v>
      </c>
      <c r="K31" s="204">
        <f t="shared" si="3"/>
        <v>5142.3548387096771</v>
      </c>
      <c r="L31" s="204">
        <f t="shared" si="48"/>
        <v>239</v>
      </c>
      <c r="M31" s="204">
        <f t="shared" si="4"/>
        <v>5142.3548387096771</v>
      </c>
      <c r="N31" s="204">
        <f t="shared" si="49"/>
        <v>239</v>
      </c>
      <c r="O31" s="204">
        <f t="shared" si="5"/>
        <v>5142.3548387096771</v>
      </c>
      <c r="P31" s="204">
        <f t="shared" si="50"/>
        <v>239</v>
      </c>
      <c r="Q31" s="204">
        <f t="shared" si="6"/>
        <v>5142.3548387096771</v>
      </c>
      <c r="R31" s="204">
        <f t="shared" si="51"/>
        <v>239</v>
      </c>
      <c r="S31" s="204">
        <f t="shared" si="7"/>
        <v>5142.3548387096771</v>
      </c>
      <c r="T31" s="204">
        <f t="shared" si="52"/>
        <v>239</v>
      </c>
      <c r="U31" s="204">
        <f t="shared" si="8"/>
        <v>5142.3548387096771</v>
      </c>
      <c r="V31" s="204">
        <f t="shared" si="53"/>
        <v>239</v>
      </c>
      <c r="W31" s="204">
        <f t="shared" si="9"/>
        <v>5142.3548387096771</v>
      </c>
      <c r="X31" s="35">
        <f t="shared" si="54"/>
        <v>0.77096774193548367</v>
      </c>
      <c r="Y31" s="36">
        <f t="shared" si="55"/>
        <v>56565.90322580644</v>
      </c>
      <c r="Z31" s="204">
        <f>'B5'!C30</f>
        <v>245</v>
      </c>
      <c r="AA31" s="204">
        <f t="shared" si="30"/>
        <v>2450</v>
      </c>
      <c r="AB31" s="204">
        <f t="shared" si="56"/>
        <v>245</v>
      </c>
      <c r="AC31" s="204">
        <f t="shared" si="30"/>
        <v>2450</v>
      </c>
      <c r="AD31" s="204">
        <f t="shared" si="57"/>
        <v>245</v>
      </c>
      <c r="AE31" s="204">
        <f t="shared" si="11"/>
        <v>2450</v>
      </c>
      <c r="AF31" s="204">
        <f t="shared" si="58"/>
        <v>245</v>
      </c>
      <c r="AG31" s="204">
        <f t="shared" si="12"/>
        <v>2450</v>
      </c>
      <c r="AH31" s="204">
        <f t="shared" si="59"/>
        <v>245</v>
      </c>
      <c r="AI31" s="204">
        <f t="shared" si="13"/>
        <v>2450</v>
      </c>
      <c r="AJ31" s="204">
        <f t="shared" si="60"/>
        <v>245</v>
      </c>
      <c r="AK31" s="204">
        <f t="shared" si="14"/>
        <v>2450</v>
      </c>
      <c r="AL31" s="204">
        <f t="shared" si="61"/>
        <v>245</v>
      </c>
      <c r="AM31" s="204">
        <f t="shared" si="15"/>
        <v>2450</v>
      </c>
      <c r="AN31" s="35">
        <f t="shared" si="62"/>
        <v>0.875</v>
      </c>
      <c r="AO31" s="36">
        <f t="shared" si="63"/>
        <v>17150</v>
      </c>
      <c r="AQ31" s="224">
        <f t="shared" si="37"/>
        <v>0.79289989486723067</v>
      </c>
      <c r="AR31" s="38">
        <f t="shared" si="41"/>
        <v>73715.90322580644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239</v>
      </c>
      <c r="C32" s="204">
        <f t="shared" si="18"/>
        <v>5142.3548387096771</v>
      </c>
      <c r="D32">
        <f t="shared" si="44"/>
        <v>239</v>
      </c>
      <c r="E32" s="204">
        <f t="shared" si="18"/>
        <v>5142.3548387096771</v>
      </c>
      <c r="F32">
        <f t="shared" si="45"/>
        <v>239</v>
      </c>
      <c r="G32" s="204">
        <f t="shared" si="1"/>
        <v>5142.3548387096771</v>
      </c>
      <c r="H32" s="204">
        <f t="shared" si="46"/>
        <v>239</v>
      </c>
      <c r="I32" s="204">
        <f t="shared" si="2"/>
        <v>5142.3548387096771</v>
      </c>
      <c r="J32" s="204">
        <f t="shared" si="47"/>
        <v>239</v>
      </c>
      <c r="K32" s="204">
        <f t="shared" si="3"/>
        <v>5142.3548387096771</v>
      </c>
      <c r="L32" s="204">
        <f t="shared" si="48"/>
        <v>239</v>
      </c>
      <c r="M32" s="204">
        <f t="shared" si="4"/>
        <v>5142.3548387096771</v>
      </c>
      <c r="N32" s="204">
        <f t="shared" si="49"/>
        <v>239</v>
      </c>
      <c r="O32" s="204">
        <f t="shared" si="5"/>
        <v>5142.3548387096771</v>
      </c>
      <c r="P32" s="204">
        <f t="shared" si="50"/>
        <v>239</v>
      </c>
      <c r="Q32" s="204">
        <f t="shared" si="6"/>
        <v>5142.3548387096771</v>
      </c>
      <c r="R32" s="204">
        <f t="shared" si="51"/>
        <v>239</v>
      </c>
      <c r="S32" s="204">
        <f t="shared" si="7"/>
        <v>5142.3548387096771</v>
      </c>
      <c r="T32" s="204">
        <f t="shared" si="52"/>
        <v>239</v>
      </c>
      <c r="U32" s="204">
        <f t="shared" si="8"/>
        <v>5142.3548387096771</v>
      </c>
      <c r="V32" s="204">
        <f t="shared" si="53"/>
        <v>239</v>
      </c>
      <c r="W32" s="204">
        <f t="shared" si="9"/>
        <v>5142.3548387096771</v>
      </c>
      <c r="X32" s="35">
        <f t="shared" si="54"/>
        <v>0.77096774193548367</v>
      </c>
      <c r="Y32" s="36">
        <f t="shared" si="55"/>
        <v>56565.90322580644</v>
      </c>
      <c r="Z32" s="204">
        <f>'B5'!C31</f>
        <v>245</v>
      </c>
      <c r="AA32" s="204">
        <f t="shared" si="30"/>
        <v>2450</v>
      </c>
      <c r="AB32" s="204">
        <f t="shared" si="56"/>
        <v>245</v>
      </c>
      <c r="AC32" s="204">
        <f t="shared" si="30"/>
        <v>2450</v>
      </c>
      <c r="AD32" s="204">
        <f t="shared" si="57"/>
        <v>245</v>
      </c>
      <c r="AE32" s="204">
        <f t="shared" si="11"/>
        <v>2450</v>
      </c>
      <c r="AF32" s="204">
        <f t="shared" si="58"/>
        <v>245</v>
      </c>
      <c r="AG32" s="204">
        <f t="shared" si="12"/>
        <v>2450</v>
      </c>
      <c r="AH32" s="204">
        <f t="shared" si="59"/>
        <v>245</v>
      </c>
      <c r="AI32" s="204">
        <f t="shared" si="13"/>
        <v>2450</v>
      </c>
      <c r="AJ32" s="204">
        <f t="shared" si="60"/>
        <v>245</v>
      </c>
      <c r="AK32" s="204">
        <f t="shared" si="14"/>
        <v>2450</v>
      </c>
      <c r="AL32" s="204">
        <f t="shared" si="61"/>
        <v>245</v>
      </c>
      <c r="AM32" s="204">
        <f t="shared" si="15"/>
        <v>2450</v>
      </c>
      <c r="AN32" s="35">
        <f t="shared" si="62"/>
        <v>0.875</v>
      </c>
      <c r="AO32" s="36">
        <f t="shared" si="63"/>
        <v>17150</v>
      </c>
      <c r="AQ32" s="224">
        <f t="shared" si="37"/>
        <v>0.79289989486723067</v>
      </c>
      <c r="AR32" s="38">
        <f t="shared" si="41"/>
        <v>73715.90322580644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239</v>
      </c>
      <c r="C33" s="204">
        <f t="shared" si="18"/>
        <v>5142.3548387096771</v>
      </c>
      <c r="D33">
        <f t="shared" si="44"/>
        <v>239</v>
      </c>
      <c r="E33" s="204">
        <f t="shared" si="18"/>
        <v>5142.3548387096771</v>
      </c>
      <c r="F33">
        <f t="shared" si="45"/>
        <v>239</v>
      </c>
      <c r="G33" s="204">
        <f t="shared" si="1"/>
        <v>5142.3548387096771</v>
      </c>
      <c r="H33" s="204">
        <f t="shared" si="46"/>
        <v>239</v>
      </c>
      <c r="I33" s="204">
        <f t="shared" si="2"/>
        <v>5142.3548387096771</v>
      </c>
      <c r="J33" s="204">
        <f t="shared" si="47"/>
        <v>239</v>
      </c>
      <c r="K33" s="204">
        <f t="shared" si="3"/>
        <v>5142.3548387096771</v>
      </c>
      <c r="L33" s="204">
        <f t="shared" si="48"/>
        <v>239</v>
      </c>
      <c r="M33" s="204">
        <f t="shared" si="4"/>
        <v>5142.3548387096771</v>
      </c>
      <c r="N33" s="204">
        <f t="shared" si="49"/>
        <v>239</v>
      </c>
      <c r="O33" s="204">
        <f t="shared" si="5"/>
        <v>5142.3548387096771</v>
      </c>
      <c r="P33" s="204">
        <f t="shared" si="50"/>
        <v>239</v>
      </c>
      <c r="Q33" s="204">
        <f t="shared" si="6"/>
        <v>5142.3548387096771</v>
      </c>
      <c r="R33" s="204">
        <f t="shared" si="51"/>
        <v>239</v>
      </c>
      <c r="S33" s="204">
        <f t="shared" si="7"/>
        <v>5142.3548387096771</v>
      </c>
      <c r="T33" s="204">
        <f t="shared" si="52"/>
        <v>239</v>
      </c>
      <c r="U33" s="204">
        <f t="shared" si="8"/>
        <v>5142.3548387096771</v>
      </c>
      <c r="V33" s="204">
        <f t="shared" si="53"/>
        <v>239</v>
      </c>
      <c r="W33" s="204">
        <f t="shared" si="9"/>
        <v>5142.3548387096771</v>
      </c>
      <c r="X33" s="35">
        <f t="shared" si="54"/>
        <v>0.77096774193548367</v>
      </c>
      <c r="Y33" s="36">
        <f t="shared" si="55"/>
        <v>56565.90322580644</v>
      </c>
      <c r="Z33" s="204">
        <f>'B5'!C32</f>
        <v>245</v>
      </c>
      <c r="AA33" s="204">
        <f t="shared" si="30"/>
        <v>2450</v>
      </c>
      <c r="AB33" s="204">
        <f t="shared" si="56"/>
        <v>245</v>
      </c>
      <c r="AC33" s="204">
        <f t="shared" si="30"/>
        <v>2450</v>
      </c>
      <c r="AD33" s="204">
        <f t="shared" si="57"/>
        <v>245</v>
      </c>
      <c r="AE33" s="204">
        <f t="shared" si="11"/>
        <v>2450</v>
      </c>
      <c r="AF33" s="204">
        <f t="shared" si="58"/>
        <v>245</v>
      </c>
      <c r="AG33" s="204">
        <f t="shared" si="12"/>
        <v>2450</v>
      </c>
      <c r="AH33" s="204">
        <f t="shared" si="59"/>
        <v>245</v>
      </c>
      <c r="AI33" s="204">
        <f t="shared" si="13"/>
        <v>2450</v>
      </c>
      <c r="AJ33" s="204">
        <f t="shared" si="60"/>
        <v>245</v>
      </c>
      <c r="AK33" s="204">
        <f t="shared" si="14"/>
        <v>2450</v>
      </c>
      <c r="AL33" s="204">
        <f t="shared" si="61"/>
        <v>245</v>
      </c>
      <c r="AM33" s="204">
        <f t="shared" si="15"/>
        <v>2450</v>
      </c>
      <c r="AN33" s="35">
        <f t="shared" si="62"/>
        <v>0.875</v>
      </c>
      <c r="AO33" s="36">
        <f t="shared" si="63"/>
        <v>17150</v>
      </c>
      <c r="AQ33" s="224">
        <f t="shared" si="37"/>
        <v>0.79289989486723067</v>
      </c>
      <c r="AR33" s="38">
        <f t="shared" si="41"/>
        <v>73715.90322580644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239</v>
      </c>
      <c r="C34" s="204">
        <f t="shared" si="18"/>
        <v>5142.3548387096771</v>
      </c>
      <c r="D34">
        <f t="shared" si="44"/>
        <v>239</v>
      </c>
      <c r="E34" s="204">
        <f t="shared" si="18"/>
        <v>5142.3548387096771</v>
      </c>
      <c r="F34">
        <f t="shared" si="45"/>
        <v>239</v>
      </c>
      <c r="G34" s="204">
        <f t="shared" si="1"/>
        <v>5142.3548387096771</v>
      </c>
      <c r="H34" s="204">
        <f t="shared" si="46"/>
        <v>239</v>
      </c>
      <c r="I34" s="204">
        <f t="shared" si="2"/>
        <v>5142.3548387096771</v>
      </c>
      <c r="J34" s="204">
        <f t="shared" si="47"/>
        <v>239</v>
      </c>
      <c r="K34" s="204">
        <f t="shared" si="3"/>
        <v>5142.3548387096771</v>
      </c>
      <c r="L34" s="204">
        <f t="shared" si="48"/>
        <v>239</v>
      </c>
      <c r="M34" s="204">
        <f t="shared" si="4"/>
        <v>5142.3548387096771</v>
      </c>
      <c r="N34" s="204">
        <f t="shared" si="49"/>
        <v>239</v>
      </c>
      <c r="O34" s="204">
        <f t="shared" si="5"/>
        <v>5142.3548387096771</v>
      </c>
      <c r="P34" s="204">
        <f t="shared" si="50"/>
        <v>239</v>
      </c>
      <c r="Q34" s="204">
        <f t="shared" si="6"/>
        <v>5142.3548387096771</v>
      </c>
      <c r="R34" s="204">
        <f t="shared" si="51"/>
        <v>239</v>
      </c>
      <c r="S34" s="204">
        <f t="shared" si="7"/>
        <v>5142.3548387096771</v>
      </c>
      <c r="T34" s="204">
        <f t="shared" si="52"/>
        <v>239</v>
      </c>
      <c r="U34" s="204">
        <f t="shared" si="8"/>
        <v>5142.3548387096771</v>
      </c>
      <c r="V34" s="204">
        <f t="shared" si="53"/>
        <v>239</v>
      </c>
      <c r="W34" s="204">
        <f t="shared" si="9"/>
        <v>5142.3548387096771</v>
      </c>
      <c r="X34" s="35">
        <f t="shared" si="54"/>
        <v>0.77096774193548367</v>
      </c>
      <c r="Y34" s="36">
        <f t="shared" si="55"/>
        <v>56565.90322580644</v>
      </c>
      <c r="Z34" s="204">
        <f>'B5'!C33</f>
        <v>245</v>
      </c>
      <c r="AA34" s="204">
        <f t="shared" si="30"/>
        <v>2450</v>
      </c>
      <c r="AB34" s="204">
        <f t="shared" si="56"/>
        <v>245</v>
      </c>
      <c r="AC34" s="204">
        <f t="shared" si="30"/>
        <v>2450</v>
      </c>
      <c r="AD34" s="204">
        <f t="shared" si="57"/>
        <v>245</v>
      </c>
      <c r="AE34" s="204">
        <f t="shared" si="11"/>
        <v>2450</v>
      </c>
      <c r="AF34" s="204">
        <f t="shared" si="58"/>
        <v>245</v>
      </c>
      <c r="AG34" s="204">
        <f t="shared" si="12"/>
        <v>2450</v>
      </c>
      <c r="AH34" s="204">
        <f t="shared" si="59"/>
        <v>245</v>
      </c>
      <c r="AI34" s="204">
        <f t="shared" si="13"/>
        <v>2450</v>
      </c>
      <c r="AJ34" s="204">
        <f t="shared" si="60"/>
        <v>245</v>
      </c>
      <c r="AK34" s="204">
        <f t="shared" si="14"/>
        <v>2450</v>
      </c>
      <c r="AL34" s="204">
        <f t="shared" si="61"/>
        <v>245</v>
      </c>
      <c r="AM34" s="204">
        <f t="shared" si="15"/>
        <v>2450</v>
      </c>
      <c r="AN34" s="35">
        <f t="shared" si="62"/>
        <v>0.875</v>
      </c>
      <c r="AO34" s="36">
        <f t="shared" si="63"/>
        <v>17150</v>
      </c>
      <c r="AQ34" s="224">
        <f>SUM(AR34/92970)</f>
        <v>0.79289989486723067</v>
      </c>
      <c r="AR34" s="38">
        <f t="shared" si="41"/>
        <v>73715.90322580644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239</v>
      </c>
      <c r="C35" s="204">
        <f t="shared" si="18"/>
        <v>5142.3548387096771</v>
      </c>
      <c r="D35">
        <f t="shared" si="44"/>
        <v>239</v>
      </c>
      <c r="E35" s="204">
        <f t="shared" si="18"/>
        <v>5142.3548387096771</v>
      </c>
      <c r="F35">
        <f t="shared" si="45"/>
        <v>239</v>
      </c>
      <c r="G35" s="204">
        <f t="shared" si="1"/>
        <v>5142.3548387096771</v>
      </c>
      <c r="H35" s="204">
        <f t="shared" si="46"/>
        <v>239</v>
      </c>
      <c r="I35" s="204">
        <f t="shared" si="2"/>
        <v>5142.3548387096771</v>
      </c>
      <c r="J35" s="204">
        <f t="shared" si="47"/>
        <v>239</v>
      </c>
      <c r="K35" s="204">
        <f t="shared" si="3"/>
        <v>5142.3548387096771</v>
      </c>
      <c r="L35" s="204">
        <f t="shared" si="48"/>
        <v>239</v>
      </c>
      <c r="M35" s="204">
        <f t="shared" si="4"/>
        <v>5142.3548387096771</v>
      </c>
      <c r="N35" s="204">
        <f t="shared" si="49"/>
        <v>239</v>
      </c>
      <c r="O35" s="204">
        <f t="shared" si="5"/>
        <v>5142.3548387096771</v>
      </c>
      <c r="P35" s="204">
        <f t="shared" si="50"/>
        <v>239</v>
      </c>
      <c r="Q35" s="204">
        <f t="shared" si="6"/>
        <v>5142.3548387096771</v>
      </c>
      <c r="R35" s="204">
        <f t="shared" si="51"/>
        <v>239</v>
      </c>
      <c r="S35" s="204">
        <f t="shared" si="7"/>
        <v>5142.3548387096771</v>
      </c>
      <c r="T35" s="204">
        <f t="shared" si="52"/>
        <v>239</v>
      </c>
      <c r="U35" s="204">
        <f t="shared" si="8"/>
        <v>5142.3548387096771</v>
      </c>
      <c r="V35" s="204">
        <f t="shared" si="53"/>
        <v>239</v>
      </c>
      <c r="W35" s="204">
        <f t="shared" si="9"/>
        <v>5142.3548387096771</v>
      </c>
      <c r="X35" s="35">
        <f t="shared" si="54"/>
        <v>0.77096774193548367</v>
      </c>
      <c r="Y35" s="36">
        <f t="shared" si="55"/>
        <v>56565.90322580644</v>
      </c>
      <c r="Z35" s="204">
        <f>'B5'!C34</f>
        <v>245</v>
      </c>
      <c r="AA35" s="204">
        <f t="shared" si="30"/>
        <v>2450</v>
      </c>
      <c r="AB35" s="204">
        <f t="shared" si="56"/>
        <v>245</v>
      </c>
      <c r="AC35" s="204">
        <f t="shared" si="30"/>
        <v>2450</v>
      </c>
      <c r="AD35" s="204">
        <f t="shared" si="57"/>
        <v>245</v>
      </c>
      <c r="AE35" s="204">
        <f t="shared" si="11"/>
        <v>2450</v>
      </c>
      <c r="AF35" s="204">
        <f t="shared" si="58"/>
        <v>245</v>
      </c>
      <c r="AG35" s="204">
        <f t="shared" si="12"/>
        <v>2450</v>
      </c>
      <c r="AH35" s="204">
        <f t="shared" si="59"/>
        <v>245</v>
      </c>
      <c r="AI35" s="204">
        <f t="shared" si="13"/>
        <v>2450</v>
      </c>
      <c r="AJ35" s="204">
        <f t="shared" si="60"/>
        <v>245</v>
      </c>
      <c r="AK35" s="204">
        <f t="shared" si="14"/>
        <v>2450</v>
      </c>
      <c r="AL35" s="204">
        <f t="shared" si="61"/>
        <v>245</v>
      </c>
      <c r="AM35" s="204">
        <f t="shared" si="15"/>
        <v>2450</v>
      </c>
      <c r="AN35" s="35">
        <f t="shared" si="62"/>
        <v>0.875</v>
      </c>
      <c r="AO35" s="36">
        <f t="shared" si="63"/>
        <v>17150</v>
      </c>
      <c r="AQ35" s="224">
        <f>SUM(AR35/92970)</f>
        <v>0.79289989486723067</v>
      </c>
      <c r="AR35" s="38">
        <f t="shared" si="41"/>
        <v>73715.90322580644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239</v>
      </c>
      <c r="C36" s="204">
        <f t="shared" ref="C36" si="64">B36*$B$4</f>
        <v>5142.3548387096771</v>
      </c>
      <c r="D36">
        <f t="shared" ref="D36" si="65">SUM(B36)</f>
        <v>239</v>
      </c>
      <c r="E36" s="204">
        <f t="shared" ref="E36" si="66">D36*$B$4</f>
        <v>5142.3548387096771</v>
      </c>
      <c r="F36">
        <f t="shared" ref="F36" si="67">SUM(D36)</f>
        <v>239</v>
      </c>
      <c r="G36" s="204">
        <f t="shared" ref="G36" si="68">F36*$B$4</f>
        <v>5142.3548387096771</v>
      </c>
      <c r="H36" s="204">
        <f t="shared" ref="H36" si="69">SUM(F36)</f>
        <v>239</v>
      </c>
      <c r="I36" s="204">
        <f t="shared" ref="I36" si="70">H36*$B$4</f>
        <v>5142.3548387096771</v>
      </c>
      <c r="J36" s="204">
        <f t="shared" ref="J36" si="71">SUM(H36)</f>
        <v>239</v>
      </c>
      <c r="K36" s="204">
        <f t="shared" ref="K36" si="72">J36*$B$4</f>
        <v>5142.3548387096771</v>
      </c>
      <c r="L36" s="204">
        <f t="shared" ref="L36" si="73">SUM(J36)</f>
        <v>239</v>
      </c>
      <c r="M36" s="204">
        <f t="shared" ref="M36" si="74">L36*$B$4</f>
        <v>5142.3548387096771</v>
      </c>
      <c r="N36" s="204">
        <f t="shared" ref="N36" si="75">SUM(L36)</f>
        <v>239</v>
      </c>
      <c r="O36" s="204">
        <f t="shared" ref="O36" si="76">N36*$B$4</f>
        <v>5142.3548387096771</v>
      </c>
      <c r="P36" s="204">
        <f t="shared" ref="P36" si="77">SUM(N36)</f>
        <v>239</v>
      </c>
      <c r="Q36" s="204">
        <f t="shared" ref="Q36" si="78">P36*$B$4</f>
        <v>5142.3548387096771</v>
      </c>
      <c r="R36" s="204">
        <f t="shared" ref="R36" si="79">SUM(P36)</f>
        <v>239</v>
      </c>
      <c r="S36" s="204">
        <f t="shared" ref="S36" si="80">R36*$B$4</f>
        <v>5142.3548387096771</v>
      </c>
      <c r="T36" s="204">
        <f t="shared" ref="T36" si="81">SUM(R36)</f>
        <v>239</v>
      </c>
      <c r="U36" s="204">
        <f t="shared" ref="U36" si="82">T36*$B$4</f>
        <v>5142.3548387096771</v>
      </c>
      <c r="V36" s="204">
        <f t="shared" ref="V36" si="83">SUM(T36)</f>
        <v>239</v>
      </c>
      <c r="W36" s="204">
        <f t="shared" ref="W36" si="84">V36*$B$4</f>
        <v>5142.3548387096771</v>
      </c>
      <c r="X36" s="35">
        <f t="shared" ref="X36" si="85">SUM(Y36/73370)</f>
        <v>0.77096774193548367</v>
      </c>
      <c r="Y36" s="36">
        <f t="shared" ref="Y36" si="86">SUM(C36+E36+G36+I36+K36+M36+O36+Q36+S36+U36+W36)</f>
        <v>56565.90322580644</v>
      </c>
      <c r="Z36" s="204">
        <f>'B5'!C35</f>
        <v>245</v>
      </c>
      <c r="AA36" s="204">
        <f t="shared" ref="AA36" si="87">SUM(Z36*$Z$4)</f>
        <v>2450</v>
      </c>
      <c r="AB36" s="204">
        <f t="shared" ref="AB36" si="88">SUM(Z36)</f>
        <v>245</v>
      </c>
      <c r="AC36" s="204">
        <f t="shared" ref="AC36" si="89">SUM(AB36*$Z$4)</f>
        <v>2450</v>
      </c>
      <c r="AD36" s="204">
        <f t="shared" ref="AD36" si="90">SUM(AB36)</f>
        <v>245</v>
      </c>
      <c r="AE36" s="204">
        <f t="shared" ref="AE36" si="91">SUM(AD36*$Z$4)</f>
        <v>2450</v>
      </c>
      <c r="AF36" s="204">
        <f t="shared" ref="AF36" si="92">SUM(AD36)</f>
        <v>245</v>
      </c>
      <c r="AG36" s="204">
        <f t="shared" ref="AG36" si="93">SUM(AF36*$Z$4)</f>
        <v>2450</v>
      </c>
      <c r="AH36" s="204">
        <f t="shared" ref="AH36" si="94">SUM(AF36)</f>
        <v>245</v>
      </c>
      <c r="AI36" s="204">
        <f t="shared" ref="AI36" si="95">SUM(AH36*$Z$4)</f>
        <v>2450</v>
      </c>
      <c r="AJ36" s="204">
        <f t="shared" ref="AJ36" si="96">SUM(AH36)</f>
        <v>245</v>
      </c>
      <c r="AK36" s="204">
        <f t="shared" ref="AK36" si="97">SUM(AJ36*$Z$4)</f>
        <v>2450</v>
      </c>
      <c r="AL36" s="204">
        <f t="shared" ref="AL36" si="98">SUM(AJ36)</f>
        <v>245</v>
      </c>
      <c r="AM36" s="204">
        <f t="shared" ref="AM36" si="99">SUM(AL36*$Z$4)</f>
        <v>2450</v>
      </c>
      <c r="AN36" s="35">
        <f t="shared" ref="AN36" si="100">SUM(AO36/19600)</f>
        <v>0.875</v>
      </c>
      <c r="AO36" s="36">
        <f t="shared" ref="AO36" si="101">SUM(AA36+AC36+AE36+AG36+AI36+AK36+AM36)</f>
        <v>17150</v>
      </c>
      <c r="AQ36" s="224">
        <f>SUM(AR36/92970)</f>
        <v>0.79289989486723067</v>
      </c>
      <c r="AR36" s="38">
        <f t="shared" si="41"/>
        <v>73715.90322580644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-3037.329032258087</v>
      </c>
      <c r="AY37" s="204">
        <f>SUM(AY6:AY35)</f>
        <v>-3681.1290322580753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-613.52150537634589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-121.3</v>
      </c>
      <c r="J8" s="9">
        <f>'B5'!A10</f>
        <v>44110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44111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44112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44113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44114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44115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44116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44117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44118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44119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44120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44121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44122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3"/>
      <c r="B1" s="640" t="s">
        <v>119</v>
      </c>
      <c r="C1" s="640" t="s">
        <v>118</v>
      </c>
      <c r="D1" s="645" t="s">
        <v>113</v>
      </c>
      <c r="E1" s="645" t="s">
        <v>114</v>
      </c>
      <c r="F1" s="646" t="s">
        <v>120</v>
      </c>
      <c r="G1" s="647" t="s">
        <v>75</v>
      </c>
      <c r="H1" s="648" t="s">
        <v>115</v>
      </c>
      <c r="I1" s="649" t="s">
        <v>116</v>
      </c>
      <c r="J1" s="648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4"/>
      <c r="B2" s="641"/>
      <c r="C2" s="641"/>
      <c r="D2" s="645"/>
      <c r="E2" s="645"/>
      <c r="F2" s="646"/>
      <c r="G2" s="647"/>
      <c r="H2" s="648"/>
      <c r="I2" s="650"/>
      <c r="J2" s="648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0</v>
      </c>
      <c r="G11" s="78">
        <f>WATER!BG11</f>
        <v>18.200000000000003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1" t="s">
        <v>151</v>
      </c>
      <c r="U3" s="65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O1" zoomScaleNormal="100" workbookViewId="0">
      <pane ySplit="1" topLeftCell="A2" activePane="bottomLeft" state="frozen"/>
      <selection pane="bottomLeft" activeCell="V8" sqref="V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f t="shared" si="11"/>
        <v>9224</v>
      </c>
      <c r="C9" s="290">
        <f t="shared" si="12"/>
        <v>0</v>
      </c>
      <c r="D9" s="562">
        <f t="shared" si="13"/>
        <v>247938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ok</v>
      </c>
      <c r="J9" s="562">
        <f t="shared" si="16"/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0</v>
      </c>
      <c r="AA9" s="290">
        <f t="shared" si="23"/>
        <v>0</v>
      </c>
      <c r="AB9" s="290">
        <f t="shared" si="24"/>
        <v>0</v>
      </c>
      <c r="AC9" s="290">
        <f t="shared" si="25"/>
        <v>0</v>
      </c>
      <c r="AD9" s="73">
        <f>ELEC!Q9</f>
        <v>0</v>
      </c>
      <c r="AE9" s="73" t="e">
        <f t="shared" si="28"/>
        <v>#DIV/0!</v>
      </c>
      <c r="AF9" s="407" t="e">
        <f t="shared" si="29"/>
        <v>#DIV/0!</v>
      </c>
      <c r="AG9" s="408" t="e">
        <f t="shared" si="30"/>
        <v>#DIV/0!</v>
      </c>
      <c r="AH9" s="408" t="e">
        <f t="shared" si="26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44112</v>
      </c>
      <c r="B10" s="561">
        <f t="shared" si="11"/>
        <v>9224</v>
      </c>
      <c r="C10" s="290">
        <f t="shared" si="12"/>
        <v>0</v>
      </c>
      <c r="D10" s="562">
        <f t="shared" si="13"/>
        <v>247938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0</v>
      </c>
      <c r="AA10" s="290">
        <f t="shared" si="23"/>
        <v>0</v>
      </c>
      <c r="AB10" s="290">
        <f t="shared" si="24"/>
        <v>0</v>
      </c>
      <c r="AC10" s="290">
        <f t="shared" si="25"/>
        <v>0</v>
      </c>
      <c r="AD10" s="73">
        <f>ELEC!Q10</f>
        <v>0</v>
      </c>
      <c r="AE10" s="73" t="e">
        <f t="shared" si="28"/>
        <v>#DIV/0!</v>
      </c>
      <c r="AF10" s="407" t="e">
        <f t="shared" si="29"/>
        <v>#DIV/0!</v>
      </c>
      <c r="AG10" s="408" t="e">
        <f t="shared" si="30"/>
        <v>#DIV/0!</v>
      </c>
      <c r="AH10" s="408" t="e">
        <f t="shared" si="26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44113</v>
      </c>
      <c r="B11" s="561">
        <f t="shared" si="11"/>
        <v>9224</v>
      </c>
      <c r="C11" s="290">
        <f t="shared" si="12"/>
        <v>0</v>
      </c>
      <c r="D11" s="562">
        <f t="shared" si="13"/>
        <v>247938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f t="shared" si="20"/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0</v>
      </c>
      <c r="AA11" s="290">
        <f t="shared" si="23"/>
        <v>0</v>
      </c>
      <c r="AB11" s="290">
        <f t="shared" si="24"/>
        <v>0</v>
      </c>
      <c r="AC11" s="290">
        <f t="shared" si="25"/>
        <v>0</v>
      </c>
      <c r="AD11" s="73">
        <f>ELEC!Q11</f>
        <v>0</v>
      </c>
      <c r="AE11" s="73" t="e">
        <f t="shared" si="28"/>
        <v>#DIV/0!</v>
      </c>
      <c r="AF11" s="407" t="e">
        <f t="shared" si="29"/>
        <v>#DIV/0!</v>
      </c>
      <c r="AG11" s="408" t="e">
        <f t="shared" si="30"/>
        <v>#DIV/0!</v>
      </c>
      <c r="AH11" s="408" t="e">
        <f t="shared" si="26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44114</v>
      </c>
      <c r="B12" s="561">
        <f t="shared" si="11"/>
        <v>9224</v>
      </c>
      <c r="C12" s="290">
        <f t="shared" si="12"/>
        <v>0</v>
      </c>
      <c r="D12" s="562">
        <f t="shared" si="13"/>
        <v>247938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0</v>
      </c>
      <c r="AA12" s="290">
        <f t="shared" si="23"/>
        <v>0</v>
      </c>
      <c r="AB12" s="290">
        <f t="shared" si="24"/>
        <v>0</v>
      </c>
      <c r="AC12" s="290">
        <f t="shared" si="25"/>
        <v>0</v>
      </c>
      <c r="AD12" s="73">
        <f>ELEC!Q12</f>
        <v>0</v>
      </c>
      <c r="AE12" s="73" t="e">
        <f t="shared" si="28"/>
        <v>#DIV/0!</v>
      </c>
      <c r="AF12" s="407" t="e">
        <f t="shared" si="29"/>
        <v>#DIV/0!</v>
      </c>
      <c r="AG12" s="408" t="e">
        <f t="shared" si="30"/>
        <v>#DIV/0!</v>
      </c>
      <c r="AH12" s="408" t="e">
        <f t="shared" si="26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44115</v>
      </c>
      <c r="B13" s="561">
        <f t="shared" si="11"/>
        <v>9224</v>
      </c>
      <c r="C13" s="290">
        <f t="shared" si="12"/>
        <v>0</v>
      </c>
      <c r="D13" s="562">
        <f t="shared" si="13"/>
        <v>247938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0</v>
      </c>
      <c r="AA13" s="290">
        <f t="shared" si="23"/>
        <v>0</v>
      </c>
      <c r="AB13" s="290">
        <f t="shared" si="24"/>
        <v>0</v>
      </c>
      <c r="AC13" s="290">
        <f t="shared" si="25"/>
        <v>0</v>
      </c>
      <c r="AD13" s="73">
        <f>ELEC!Q13</f>
        <v>0</v>
      </c>
      <c r="AE13" s="73" t="e">
        <f t="shared" si="28"/>
        <v>#DIV/0!</v>
      </c>
      <c r="AF13" s="407" t="e">
        <f t="shared" si="29"/>
        <v>#DIV/0!</v>
      </c>
      <c r="AG13" s="408" t="e">
        <f t="shared" si="30"/>
        <v>#DIV/0!</v>
      </c>
      <c r="AH13" s="408" t="e">
        <f t="shared" si="26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44116</v>
      </c>
      <c r="B14" s="561">
        <f t="shared" si="11"/>
        <v>9224</v>
      </c>
      <c r="C14" s="290">
        <f t="shared" si="12"/>
        <v>0</v>
      </c>
      <c r="D14" s="562">
        <f t="shared" si="13"/>
        <v>247938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0</v>
      </c>
      <c r="AA14" s="290">
        <f t="shared" si="23"/>
        <v>0</v>
      </c>
      <c r="AB14" s="290">
        <f t="shared" si="24"/>
        <v>0</v>
      </c>
      <c r="AC14" s="290">
        <f t="shared" si="25"/>
        <v>0</v>
      </c>
      <c r="AD14" s="73">
        <f>ELEC!Q14</f>
        <v>0</v>
      </c>
      <c r="AE14" s="73" t="e">
        <f t="shared" si="28"/>
        <v>#DIV/0!</v>
      </c>
      <c r="AF14" s="407" t="e">
        <f t="shared" si="29"/>
        <v>#DIV/0!</v>
      </c>
      <c r="AG14" s="408" t="e">
        <f t="shared" si="30"/>
        <v>#DIV/0!</v>
      </c>
      <c r="AH14" s="408" t="e">
        <f t="shared" si="26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44117</v>
      </c>
      <c r="B15" s="561">
        <f t="shared" si="11"/>
        <v>9224</v>
      </c>
      <c r="C15" s="290">
        <f t="shared" si="12"/>
        <v>0</v>
      </c>
      <c r="D15" s="562">
        <f t="shared" si="13"/>
        <v>247938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0</v>
      </c>
      <c r="AA15" s="290">
        <f t="shared" si="23"/>
        <v>0</v>
      </c>
      <c r="AB15" s="290">
        <f t="shared" si="24"/>
        <v>0</v>
      </c>
      <c r="AC15" s="290">
        <f t="shared" si="25"/>
        <v>0</v>
      </c>
      <c r="AD15" s="73">
        <f>ELEC!Q15</f>
        <v>0</v>
      </c>
      <c r="AE15" s="73" t="e">
        <f t="shared" si="28"/>
        <v>#DIV/0!</v>
      </c>
      <c r="AF15" s="407" t="e">
        <f t="shared" si="29"/>
        <v>#DIV/0!</v>
      </c>
      <c r="AG15" s="408" t="e">
        <f t="shared" si="30"/>
        <v>#DIV/0!</v>
      </c>
      <c r="AH15" s="408" t="e">
        <f t="shared" si="26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44118</v>
      </c>
      <c r="B16" s="561">
        <f t="shared" si="11"/>
        <v>9224</v>
      </c>
      <c r="C16" s="290">
        <f t="shared" si="12"/>
        <v>0</v>
      </c>
      <c r="D16" s="562">
        <f t="shared" si="13"/>
        <v>247938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ok</v>
      </c>
      <c r="J16" s="562">
        <f t="shared" si="16"/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f t="shared" si="20"/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0</v>
      </c>
      <c r="AA16" s="290">
        <f t="shared" si="23"/>
        <v>0</v>
      </c>
      <c r="AB16" s="290">
        <f t="shared" si="24"/>
        <v>0</v>
      </c>
      <c r="AC16" s="290">
        <f t="shared" si="25"/>
        <v>0</v>
      </c>
      <c r="AD16" s="73">
        <f>ELEC!Q16</f>
        <v>0</v>
      </c>
      <c r="AE16" s="73" t="e">
        <f t="shared" si="28"/>
        <v>#DIV/0!</v>
      </c>
      <c r="AF16" s="407" t="e">
        <f t="shared" si="29"/>
        <v>#DIV/0!</v>
      </c>
      <c r="AG16" s="408" t="e">
        <f t="shared" si="30"/>
        <v>#DIV/0!</v>
      </c>
      <c r="AH16" s="408" t="e">
        <f t="shared" si="26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44119</v>
      </c>
      <c r="B17" s="561">
        <f t="shared" si="11"/>
        <v>9224</v>
      </c>
      <c r="C17" s="290">
        <f t="shared" si="12"/>
        <v>0</v>
      </c>
      <c r="D17" s="562">
        <f t="shared" si="13"/>
        <v>247938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0</v>
      </c>
      <c r="AA17" s="290">
        <f t="shared" si="23"/>
        <v>0</v>
      </c>
      <c r="AB17" s="290">
        <f t="shared" si="24"/>
        <v>0</v>
      </c>
      <c r="AC17" s="290">
        <f t="shared" si="25"/>
        <v>0</v>
      </c>
      <c r="AD17" s="73">
        <f>ELEC!Q17</f>
        <v>0</v>
      </c>
      <c r="AE17" s="73" t="e">
        <f t="shared" si="28"/>
        <v>#DIV/0!</v>
      </c>
      <c r="AF17" s="407" t="e">
        <f t="shared" si="29"/>
        <v>#DIV/0!</v>
      </c>
      <c r="AG17" s="408" t="e">
        <f t="shared" si="30"/>
        <v>#DIV/0!</v>
      </c>
      <c r="AH17" s="408" t="e">
        <f t="shared" si="26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44120</v>
      </c>
      <c r="B18" s="561">
        <f t="shared" si="11"/>
        <v>9224</v>
      </c>
      <c r="C18" s="290">
        <f t="shared" si="12"/>
        <v>0</v>
      </c>
      <c r="D18" s="562">
        <f t="shared" si="13"/>
        <v>247938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0</v>
      </c>
      <c r="AA18" s="290">
        <f t="shared" si="23"/>
        <v>0</v>
      </c>
      <c r="AB18" s="290">
        <f t="shared" si="24"/>
        <v>0</v>
      </c>
      <c r="AC18" s="290">
        <f t="shared" si="25"/>
        <v>0</v>
      </c>
      <c r="AD18" s="73">
        <f>ELEC!Q18</f>
        <v>0</v>
      </c>
      <c r="AE18" s="73" t="e">
        <f t="shared" si="28"/>
        <v>#DIV/0!</v>
      </c>
      <c r="AF18" s="407" t="e">
        <f t="shared" si="29"/>
        <v>#DIV/0!</v>
      </c>
      <c r="AG18" s="408" t="e">
        <f t="shared" si="30"/>
        <v>#DIV/0!</v>
      </c>
      <c r="AH18" s="408" t="e">
        <f t="shared" si="26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44121</v>
      </c>
      <c r="B19" s="561">
        <f t="shared" si="11"/>
        <v>9224</v>
      </c>
      <c r="C19" s="290">
        <f t="shared" si="12"/>
        <v>0</v>
      </c>
      <c r="D19" s="562">
        <f t="shared" si="13"/>
        <v>247938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0</v>
      </c>
      <c r="AA19" s="290">
        <f t="shared" si="23"/>
        <v>0</v>
      </c>
      <c r="AB19" s="290">
        <f t="shared" si="24"/>
        <v>0</v>
      </c>
      <c r="AC19" s="290">
        <f t="shared" si="25"/>
        <v>0</v>
      </c>
      <c r="AD19" s="73">
        <f>ELEC!Q19</f>
        <v>0</v>
      </c>
      <c r="AE19" s="73" t="e">
        <f t="shared" si="28"/>
        <v>#DIV/0!</v>
      </c>
      <c r="AF19" s="407" t="e">
        <f t="shared" si="29"/>
        <v>#DIV/0!</v>
      </c>
      <c r="AG19" s="408" t="e">
        <f t="shared" si="30"/>
        <v>#DIV/0!</v>
      </c>
      <c r="AH19" s="408" t="e">
        <f t="shared" si="26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44122</v>
      </c>
      <c r="B20" s="561">
        <f t="shared" si="11"/>
        <v>9224</v>
      </c>
      <c r="C20" s="290">
        <f>B20-B19</f>
        <v>0</v>
      </c>
      <c r="D20" s="562">
        <f t="shared" si="13"/>
        <v>247938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0</v>
      </c>
      <c r="AA20" s="290">
        <f t="shared" si="23"/>
        <v>0</v>
      </c>
      <c r="AB20" s="290">
        <f t="shared" si="24"/>
        <v>0</v>
      </c>
      <c r="AC20" s="290">
        <f t="shared" si="25"/>
        <v>0</v>
      </c>
      <c r="AD20" s="73">
        <f>ELEC!Q20</f>
        <v>0</v>
      </c>
      <c r="AE20" s="73" t="e">
        <f t="shared" si="28"/>
        <v>#DIV/0!</v>
      </c>
      <c r="AF20" s="407" t="e">
        <f t="shared" si="29"/>
        <v>#DIV/0!</v>
      </c>
      <c r="AG20" s="408" t="e">
        <f t="shared" si="30"/>
        <v>#DIV/0!</v>
      </c>
      <c r="AH20" s="408" t="e">
        <f t="shared" si="26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44123</v>
      </c>
      <c r="B21" s="561">
        <f t="shared" si="11"/>
        <v>9224</v>
      </c>
      <c r="C21" s="290">
        <f t="shared" si="12"/>
        <v>0</v>
      </c>
      <c r="D21" s="562">
        <f t="shared" si="13"/>
        <v>247938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0</v>
      </c>
      <c r="AA21" s="290">
        <f t="shared" si="23"/>
        <v>0</v>
      </c>
      <c r="AB21" s="290">
        <f t="shared" si="24"/>
        <v>0</v>
      </c>
      <c r="AC21" s="290">
        <f t="shared" si="25"/>
        <v>0</v>
      </c>
      <c r="AD21" s="73">
        <f>ELEC!Q21</f>
        <v>0</v>
      </c>
      <c r="AE21" s="73" t="e">
        <f t="shared" si="28"/>
        <v>#DIV/0!</v>
      </c>
      <c r="AF21" s="407" t="e">
        <f t="shared" si="29"/>
        <v>#DIV/0!</v>
      </c>
      <c r="AG21" s="408" t="e">
        <f t="shared" si="30"/>
        <v>#DIV/0!</v>
      </c>
      <c r="AH21" s="408" t="e">
        <f t="shared" si="26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44124</v>
      </c>
      <c r="B22" s="561">
        <f t="shared" si="11"/>
        <v>9224</v>
      </c>
      <c r="C22" s="290">
        <f t="shared" si="12"/>
        <v>0</v>
      </c>
      <c r="D22" s="562">
        <f t="shared" si="13"/>
        <v>247938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3"/>
        <v>0</v>
      </c>
      <c r="AB22" s="290">
        <f t="shared" si="24"/>
        <v>0</v>
      </c>
      <c r="AC22" s="290">
        <f t="shared" si="25"/>
        <v>0</v>
      </c>
      <c r="AD22" s="73">
        <f>ELEC!Q22</f>
        <v>0</v>
      </c>
      <c r="AE22" s="73" t="e">
        <f t="shared" si="28"/>
        <v>#DIV/0!</v>
      </c>
      <c r="AF22" s="407" t="e">
        <f t="shared" si="29"/>
        <v>#DIV/0!</v>
      </c>
      <c r="AG22" s="408" t="e">
        <f t="shared" si="30"/>
        <v>#DIV/0!</v>
      </c>
      <c r="AH22" s="408" t="e">
        <f t="shared" si="26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44125</v>
      </c>
      <c r="B23" s="561">
        <f t="shared" si="11"/>
        <v>9224</v>
      </c>
      <c r="C23" s="290">
        <f t="shared" si="12"/>
        <v>0</v>
      </c>
      <c r="D23" s="562">
        <f t="shared" si="13"/>
        <v>247938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9224</v>
      </c>
      <c r="C24" s="290">
        <f t="shared" si="12"/>
        <v>0</v>
      </c>
      <c r="D24" s="562">
        <f t="shared" si="13"/>
        <v>247938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9224</v>
      </c>
      <c r="C25" s="290">
        <f t="shared" si="12"/>
        <v>0</v>
      </c>
      <c r="D25" s="562">
        <f t="shared" si="13"/>
        <v>247938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9224</v>
      </c>
      <c r="C26" s="290">
        <f t="shared" si="12"/>
        <v>0</v>
      </c>
      <c r="D26" s="562">
        <f t="shared" si="13"/>
        <v>247938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9224</v>
      </c>
      <c r="C27" s="290">
        <f t="shared" si="12"/>
        <v>0</v>
      </c>
      <c r="D27" s="562">
        <f t="shared" si="13"/>
        <v>247938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9224</v>
      </c>
      <c r="C28" s="290">
        <f t="shared" si="12"/>
        <v>0</v>
      </c>
      <c r="D28" s="562">
        <f t="shared" si="13"/>
        <v>247938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9224</v>
      </c>
      <c r="C29" s="290">
        <f t="shared" si="12"/>
        <v>0</v>
      </c>
      <c r="D29" s="562">
        <f t="shared" si="13"/>
        <v>247938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9224</v>
      </c>
      <c r="C30" s="290">
        <f t="shared" si="12"/>
        <v>0</v>
      </c>
      <c r="D30" s="562">
        <f t="shared" si="13"/>
        <v>247938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9224</v>
      </c>
      <c r="C31" s="290">
        <f t="shared" si="12"/>
        <v>0</v>
      </c>
      <c r="D31" s="562">
        <f t="shared" si="13"/>
        <v>247938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9224</v>
      </c>
      <c r="C32" s="290">
        <f t="shared" si="12"/>
        <v>0</v>
      </c>
      <c r="D32" s="562">
        <f t="shared" si="13"/>
        <v>247938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9224</v>
      </c>
      <c r="C33" s="290">
        <f t="shared" ref="C33" si="38">B33-B32</f>
        <v>0</v>
      </c>
      <c r="D33" s="562">
        <f t="shared" si="13"/>
        <v>247938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16</v>
      </c>
      <c r="V34" s="40"/>
      <c r="X34">
        <v>341</v>
      </c>
      <c r="Z34" s="426">
        <f>SUM(Z3:Z32)</f>
        <v>16</v>
      </c>
    </row>
    <row r="35" spans="1:37">
      <c r="C35" s="40">
        <f>SUM(C3:C32)</f>
        <v>16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5" sqref="I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52" t="s">
        <v>51</v>
      </c>
      <c r="B1" s="664" t="s">
        <v>320</v>
      </c>
      <c r="C1" s="665"/>
      <c r="D1" s="667"/>
      <c r="E1" s="664" t="s">
        <v>321</v>
      </c>
      <c r="F1" s="665"/>
      <c r="G1" s="666"/>
      <c r="H1" s="661" t="s">
        <v>326</v>
      </c>
      <c r="I1" s="658" t="s">
        <v>327</v>
      </c>
      <c r="J1" s="655" t="s">
        <v>43</v>
      </c>
    </row>
    <row r="2" spans="1:18" ht="38.25" thickBot="1">
      <c r="A2" s="653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62"/>
      <c r="I2" s="659"/>
      <c r="J2" s="656"/>
    </row>
    <row r="3" spans="1:18" ht="24" customHeight="1" thickBot="1">
      <c r="A3" s="654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63"/>
      <c r="I3" s="660"/>
      <c r="J3" s="657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'[5]Swimming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517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517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517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517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517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517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517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517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517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517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517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7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517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7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517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7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517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7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517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487</v>
      </c>
      <c r="O20" s="517">
        <f t="shared" si="1"/>
        <v>7042</v>
      </c>
    </row>
    <row r="21" spans="1:17" ht="15.75" thickBot="1">
      <c r="A21" s="242">
        <f>ELEC!C18</f>
        <v>44120</v>
      </c>
      <c r="B21" s="546"/>
      <c r="C21" s="546"/>
      <c r="D21" s="546"/>
      <c r="E21" s="546"/>
      <c r="F21" s="546"/>
      <c r="G21" s="546"/>
      <c r="H21" s="517">
        <v>6555</v>
      </c>
      <c r="I21" s="517">
        <f t="shared" si="2"/>
        <v>0</v>
      </c>
      <c r="J21" s="495">
        <v>0.29166666666666669</v>
      </c>
      <c r="L21" s="99">
        <f t="shared" si="0"/>
        <v>44120</v>
      </c>
      <c r="M21" s="3">
        <f t="shared" si="3"/>
        <v>6555</v>
      </c>
      <c r="N21" s="517">
        <v>487</v>
      </c>
      <c r="O21" s="517">
        <f t="shared" si="1"/>
        <v>7042</v>
      </c>
    </row>
    <row r="22" spans="1:17" ht="15.75" thickBot="1">
      <c r="A22" s="242">
        <f>ELEC!C19</f>
        <v>44121</v>
      </c>
      <c r="B22" s="546"/>
      <c r="C22" s="546"/>
      <c r="D22" s="546"/>
      <c r="E22" s="546"/>
      <c r="F22" s="546"/>
      <c r="G22" s="546"/>
      <c r="H22" s="517">
        <v>6555</v>
      </c>
      <c r="I22" s="517">
        <f t="shared" si="2"/>
        <v>0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487</v>
      </c>
      <c r="O22" s="517">
        <f t="shared" si="1"/>
        <v>7042</v>
      </c>
    </row>
    <row r="23" spans="1:17" ht="15.75" thickBot="1">
      <c r="A23" s="242">
        <f>ELEC!C20</f>
        <v>44122</v>
      </c>
      <c r="B23" s="546"/>
      <c r="C23" s="546"/>
      <c r="D23" s="546"/>
      <c r="E23" s="546"/>
      <c r="F23" s="546"/>
      <c r="G23" s="546"/>
      <c r="H23" s="517">
        <v>6555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487</v>
      </c>
      <c r="O23" s="517">
        <f t="shared" si="1"/>
        <v>7042</v>
      </c>
    </row>
    <row r="24" spans="1:17" ht="15.75" thickBot="1">
      <c r="A24" s="242">
        <f>ELEC!C21</f>
        <v>44123</v>
      </c>
      <c r="B24" s="546"/>
      <c r="C24" s="546"/>
      <c r="D24" s="546"/>
      <c r="E24" s="546"/>
      <c r="F24" s="546"/>
      <c r="G24" s="546"/>
      <c r="H24" s="517">
        <v>6555</v>
      </c>
      <c r="I24" s="517">
        <f t="shared" si="2"/>
        <v>0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487</v>
      </c>
      <c r="O24" s="517">
        <f t="shared" si="1"/>
        <v>7042</v>
      </c>
    </row>
    <row r="25" spans="1:17" ht="15.75" thickBot="1">
      <c r="A25" s="242">
        <f>ELEC!C22</f>
        <v>44124</v>
      </c>
      <c r="B25" s="546"/>
      <c r="C25" s="546"/>
      <c r="D25" s="546"/>
      <c r="E25" s="546"/>
      <c r="F25" s="546"/>
      <c r="G25" s="546"/>
      <c r="H25" s="517">
        <v>6555</v>
      </c>
      <c r="I25" s="517">
        <f t="shared" si="2"/>
        <v>0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487</v>
      </c>
      <c r="O25" s="517">
        <f t="shared" si="1"/>
        <v>7042</v>
      </c>
    </row>
    <row r="26" spans="1:17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517">
        <v>6555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487</v>
      </c>
      <c r="O26" s="517">
        <f t="shared" si="1"/>
        <v>7042</v>
      </c>
    </row>
    <row r="27" spans="1:17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517">
        <v>6555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3">
        <v>642</v>
      </c>
      <c r="O27" s="517">
        <f t="shared" si="1"/>
        <v>7197</v>
      </c>
    </row>
    <row r="28" spans="1:17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517">
        <v>6555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3">
        <v>642</v>
      </c>
      <c r="O28" s="517">
        <f t="shared" si="1"/>
        <v>7197</v>
      </c>
    </row>
    <row r="29" spans="1:17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v>6555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3">
        <v>642</v>
      </c>
      <c r="O29" s="517">
        <f t="shared" si="1"/>
        <v>7197</v>
      </c>
    </row>
    <row r="30" spans="1:17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v>6555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3">
        <v>642</v>
      </c>
      <c r="O30" s="517">
        <f t="shared" si="1"/>
        <v>7197</v>
      </c>
    </row>
    <row r="31" spans="1:17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v>6555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3">
        <v>642</v>
      </c>
      <c r="O31" s="517">
        <f t="shared" si="1"/>
        <v>7197</v>
      </c>
    </row>
    <row r="32" spans="1:17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v>6555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3">
        <v>642</v>
      </c>
      <c r="O32" s="517">
        <f t="shared" si="1"/>
        <v>7197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v>6555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3">
        <v>642</v>
      </c>
      <c r="O33" s="517">
        <f t="shared" si="1"/>
        <v>7197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v>6555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3">
        <v>642</v>
      </c>
      <c r="O34" s="517">
        <f t="shared" si="1"/>
        <v>7197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v>6555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3">
        <v>642</v>
      </c>
      <c r="O35" s="517">
        <f t="shared" si="1"/>
        <v>7197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v>6555</v>
      </c>
      <c r="I36" s="517">
        <f t="shared" ref="I36" si="4">H36-H35</f>
        <v>0</v>
      </c>
      <c r="J36" s="497">
        <v>0.29166666666666702</v>
      </c>
      <c r="L36" s="99">
        <f t="shared" ref="L36" si="5">A36</f>
        <v>44135</v>
      </c>
      <c r="M36" s="3">
        <f t="shared" si="3"/>
        <v>6555</v>
      </c>
      <c r="N36" s="3">
        <v>642</v>
      </c>
      <c r="O36" s="517">
        <f t="shared" ref="O36" si="6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81"/>
  <sheetViews>
    <sheetView zoomScale="80" zoomScaleNormal="80" workbookViewId="0">
      <selection activeCell="F9" sqref="F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29.96187843301702</v>
      </c>
      <c r="P4" s="300">
        <f>SUM(L4:O4)</f>
        <v>418.80167942804189</v>
      </c>
      <c r="Q4" s="300">
        <f>SUM(-tanks!AX6*tanks!$AU$37)</f>
        <v>0</v>
      </c>
      <c r="R4" s="300">
        <f>SUM(P4:Q4)</f>
        <v>418.80167942804189</v>
      </c>
      <c r="S4" s="302">
        <f>SUM(ELEC!N3)</f>
        <v>10203</v>
      </c>
      <c r="T4" s="339">
        <f>IF(S4&gt;0,R4/S4,0)</f>
        <v>4.1046915556997146E-2</v>
      </c>
      <c r="U4" s="252"/>
      <c r="V4" s="253" t="str">
        <f>'[7]EDl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81"/>
      <c r="AC4" s="682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29.96187843301702</v>
      </c>
      <c r="P5" s="300">
        <f t="shared" ref="P5:P32" si="9">SUM(L5:O5)</f>
        <v>494.23252519918617</v>
      </c>
      <c r="Q5" s="300">
        <f>SUM(-tanks!AX7*tanks!$AU$37)</f>
        <v>0</v>
      </c>
      <c r="R5" s="300">
        <f t="shared" ref="R5:R32" si="10">SUM(P5:Q5)</f>
        <v>494.23252519918617</v>
      </c>
      <c r="S5" s="302">
        <f>SUM(ELEC!N4)</f>
        <v>10041</v>
      </c>
      <c r="T5" s="339">
        <f>IF(S5&gt;0,R5/S5,0)</f>
        <v>4.9221444597070625E-2</v>
      </c>
      <c r="U5" s="252"/>
      <c r="V5" s="675"/>
      <c r="W5" s="676"/>
      <c r="X5" s="676"/>
      <c r="Y5" s="677"/>
      <c r="Z5" s="26" t="s">
        <v>203</v>
      </c>
      <c r="AA5" s="266">
        <f>'[6]EDl log'!AA22</f>
        <v>5000</v>
      </c>
      <c r="AB5" s="683"/>
      <c r="AC5" s="684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29.96187843301702</v>
      </c>
      <c r="P6" s="300">
        <f t="shared" si="9"/>
        <v>403.31643896369701</v>
      </c>
      <c r="Q6" s="300">
        <f>SUM(-tanks!AX8*tanks!$AU$37)</f>
        <v>0</v>
      </c>
      <c r="R6" s="300">
        <f t="shared" si="10"/>
        <v>403.31643896369701</v>
      </c>
      <c r="S6" s="302">
        <f>SUM(ELEC!N5)</f>
        <v>8684</v>
      </c>
      <c r="T6" s="339">
        <f t="shared" ref="T6:T32" si="12">IF(S6&gt;0,R6/S6,0)</f>
        <v>4.6443624938242403E-2</v>
      </c>
      <c r="V6" s="678"/>
      <c r="W6" s="679"/>
      <c r="X6" s="679"/>
      <c r="Y6" s="680"/>
      <c r="Z6" s="3"/>
      <c r="AA6" s="3"/>
      <c r="AB6" s="683"/>
      <c r="AC6" s="684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29.96187843301702</v>
      </c>
      <c r="P7" s="300">
        <f t="shared" si="9"/>
        <v>353.29454841643326</v>
      </c>
      <c r="Q7" s="300">
        <f>SUM(-tanks!AX9*tanks!$AU$37)</f>
        <v>0</v>
      </c>
      <c r="R7" s="300">
        <f t="shared" si="10"/>
        <v>353.29454841643326</v>
      </c>
      <c r="S7" s="302">
        <f>SUM(ELEC!N6)</f>
        <v>7992</v>
      </c>
      <c r="T7" s="339">
        <f t="shared" si="12"/>
        <v>4.4206024576630788E-2</v>
      </c>
      <c r="V7" s="671" t="s">
        <v>204</v>
      </c>
      <c r="W7" s="672"/>
      <c r="X7" s="673" t="s">
        <v>205</v>
      </c>
      <c r="Y7" s="674"/>
      <c r="Z7" s="672"/>
      <c r="AA7" s="26"/>
      <c r="AB7" s="685"/>
      <c r="AC7" s="686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29.96187843301702</v>
      </c>
      <c r="P8" s="300">
        <f t="shared" si="9"/>
        <v>404.20798125225417</v>
      </c>
      <c r="Q8" s="300">
        <f>SUM(-tanks!AX10*tanks!$AU$37)</f>
        <v>0</v>
      </c>
      <c r="R8" s="300">
        <f t="shared" si="10"/>
        <v>404.20798125225417</v>
      </c>
      <c r="S8" s="302">
        <f>SUM(ELEC!N7)</f>
        <v>9176</v>
      </c>
      <c r="T8" s="339">
        <f>IF(S8&gt;0,R8/S8,0)</f>
        <v>4.4050564652599628E-2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'[8]EDl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29.96187843301702</v>
      </c>
      <c r="P9" s="300">
        <f t="shared" si="9"/>
        <v>280.05010397198885</v>
      </c>
      <c r="Q9" s="300">
        <f>SUM(-tanks!AX11*tanks!$AU$37)</f>
        <v>0</v>
      </c>
      <c r="R9" s="300">
        <f>SUM(P9:Q9)</f>
        <v>280.05010397198885</v>
      </c>
      <c r="S9" s="302">
        <f>SUM(ELEC!N8)</f>
        <v>10962</v>
      </c>
      <c r="T9" s="339">
        <f t="shared" si="12"/>
        <v>2.5547354859696118E-2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f t="shared" ref="B10:B34" si="13">B9</f>
        <v>495235</v>
      </c>
      <c r="C10" s="266">
        <f t="shared" si="0"/>
        <v>0</v>
      </c>
      <c r="D10" s="311">
        <f t="shared" si="8"/>
        <v>0</v>
      </c>
      <c r="E10" s="311">
        <f t="shared" si="11"/>
        <v>495235</v>
      </c>
      <c r="F10" s="559">
        <f t="shared" ref="F10:F34" si="14">F9</f>
        <v>67070</v>
      </c>
      <c r="G10" s="160">
        <f t="shared" si="1"/>
        <v>0</v>
      </c>
      <c r="H10" s="559">
        <f t="shared" ref="H10:H34" si="15">H9</f>
        <v>255238</v>
      </c>
      <c r="I10" s="161">
        <f t="shared" si="2"/>
        <v>0</v>
      </c>
      <c r="J10" s="559">
        <f t="shared" ref="J10:J34" si="16">J9</f>
        <v>171859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29.96187843301702</v>
      </c>
      <c r="P10" s="300">
        <f t="shared" si="9"/>
        <v>29.96187843301702</v>
      </c>
      <c r="Q10" s="300">
        <f>SUM(-tanks!AX12*tanks!$AU$37)</f>
        <v>0</v>
      </c>
      <c r="R10" s="300">
        <f t="shared" si="10"/>
        <v>29.96187843301702</v>
      </c>
      <c r="S10" s="302">
        <f>SUM(ELEC!N9)</f>
        <v>0</v>
      </c>
      <c r="T10" s="339">
        <f t="shared" si="12"/>
        <v>0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f t="shared" si="13"/>
        <v>495235</v>
      </c>
      <c r="C11" s="266">
        <f t="shared" si="0"/>
        <v>0</v>
      </c>
      <c r="D11" s="311">
        <f>SUM(G11+I11+K11)</f>
        <v>0</v>
      </c>
      <c r="E11" s="311">
        <f t="shared" si="11"/>
        <v>495235</v>
      </c>
      <c r="F11" s="559">
        <f t="shared" si="14"/>
        <v>67070</v>
      </c>
      <c r="G11" s="160">
        <f t="shared" si="1"/>
        <v>0</v>
      </c>
      <c r="H11" s="559">
        <f t="shared" si="15"/>
        <v>255238</v>
      </c>
      <c r="I11" s="161">
        <f t="shared" si="2"/>
        <v>0</v>
      </c>
      <c r="J11" s="559">
        <f t="shared" si="16"/>
        <v>171859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29.96187843301702</v>
      </c>
      <c r="P11" s="300">
        <f t="shared" si="9"/>
        <v>29.96187843301702</v>
      </c>
      <c r="Q11" s="300">
        <f>SUM(-tanks!AX13*tanks!$AU$37)</f>
        <v>0</v>
      </c>
      <c r="R11" s="300">
        <f t="shared" si="10"/>
        <v>29.96187843301702</v>
      </c>
      <c r="S11" s="302">
        <f>SUM(ELEC!N10)</f>
        <v>0</v>
      </c>
      <c r="T11" s="339">
        <f t="shared" si="12"/>
        <v>0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f>ELEC!C11</f>
        <v>44113</v>
      </c>
      <c r="B12" s="559">
        <f t="shared" si="13"/>
        <v>495235</v>
      </c>
      <c r="C12" s="266">
        <f t="shared" si="0"/>
        <v>0</v>
      </c>
      <c r="D12" s="311">
        <f t="shared" si="8"/>
        <v>0</v>
      </c>
      <c r="E12" s="311">
        <f t="shared" si="11"/>
        <v>495235</v>
      </c>
      <c r="F12" s="559">
        <f t="shared" si="14"/>
        <v>67070</v>
      </c>
      <c r="G12" s="160">
        <f t="shared" si="1"/>
        <v>0</v>
      </c>
      <c r="H12" s="559">
        <f t="shared" si="15"/>
        <v>255238</v>
      </c>
      <c r="I12" s="161">
        <f t="shared" si="2"/>
        <v>0</v>
      </c>
      <c r="J12" s="559">
        <f t="shared" si="16"/>
        <v>171859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29.96187843301702</v>
      </c>
      <c r="P12" s="300">
        <f t="shared" si="9"/>
        <v>29.96187843301702</v>
      </c>
      <c r="Q12" s="300">
        <f>SUM(-tanks!AX14*tanks!$AU$37)</f>
        <v>0</v>
      </c>
      <c r="R12" s="300">
        <f t="shared" si="10"/>
        <v>29.96187843301702</v>
      </c>
      <c r="S12" s="302">
        <f>SUM(ELEC!N11)</f>
        <v>0</v>
      </c>
      <c r="T12" s="339">
        <f t="shared" si="12"/>
        <v>0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f t="shared" si="13"/>
        <v>495235</v>
      </c>
      <c r="C13" s="266">
        <f t="shared" si="0"/>
        <v>0</v>
      </c>
      <c r="D13" s="311">
        <f t="shared" si="8"/>
        <v>0</v>
      </c>
      <c r="E13" s="311">
        <f t="shared" si="11"/>
        <v>495235</v>
      </c>
      <c r="F13" s="559">
        <f t="shared" si="14"/>
        <v>67070</v>
      </c>
      <c r="G13" s="160">
        <f t="shared" si="1"/>
        <v>0</v>
      </c>
      <c r="H13" s="559">
        <f t="shared" si="15"/>
        <v>255238</v>
      </c>
      <c r="I13" s="161">
        <f t="shared" si="2"/>
        <v>0</v>
      </c>
      <c r="J13" s="559">
        <f t="shared" si="16"/>
        <v>171859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29.96187843301702</v>
      </c>
      <c r="P13" s="300">
        <f t="shared" si="9"/>
        <v>29.96187843301702</v>
      </c>
      <c r="Q13" s="300">
        <f>SUM(-tanks!AX15*tanks!$AU$37)</f>
        <v>0</v>
      </c>
      <c r="R13" s="300">
        <f t="shared" si="10"/>
        <v>29.96187843301702</v>
      </c>
      <c r="S13" s="302">
        <f>SUM(ELEC!N12)</f>
        <v>0</v>
      </c>
      <c r="T13" s="339">
        <f t="shared" si="12"/>
        <v>0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 ht="15.75" thickBot="1">
      <c r="A14" s="163">
        <f>ELEC!C13</f>
        <v>44115</v>
      </c>
      <c r="B14" s="559">
        <f t="shared" si="13"/>
        <v>495235</v>
      </c>
      <c r="C14" s="266">
        <f t="shared" si="0"/>
        <v>0</v>
      </c>
      <c r="D14" s="311">
        <f t="shared" si="8"/>
        <v>0</v>
      </c>
      <c r="E14" s="311">
        <f t="shared" si="11"/>
        <v>495235</v>
      </c>
      <c r="F14" s="559">
        <f t="shared" si="14"/>
        <v>67070</v>
      </c>
      <c r="G14" s="160">
        <f t="shared" si="1"/>
        <v>0</v>
      </c>
      <c r="H14" s="559">
        <f t="shared" si="15"/>
        <v>255238</v>
      </c>
      <c r="I14" s="161">
        <f t="shared" si="2"/>
        <v>0</v>
      </c>
      <c r="J14" s="559">
        <f t="shared" si="16"/>
        <v>171859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29.96187843301702</v>
      </c>
      <c r="P14" s="300">
        <f t="shared" ref="P14:P17" si="21">SUM(L14:O14)</f>
        <v>29.96187843301702</v>
      </c>
      <c r="Q14" s="300">
        <f>SUM(-tanks!AX16*tanks!$AU$37)</f>
        <v>0</v>
      </c>
      <c r="R14" s="300">
        <f t="shared" ref="R14:R17" si="22">SUM(P14:Q14)</f>
        <v>29.96187843301702</v>
      </c>
      <c r="S14" s="302">
        <f>SUM(ELEC!N13)</f>
        <v>0</v>
      </c>
      <c r="T14" s="339">
        <f t="shared" ref="T14:T17" si="23">IF(S14&gt;0,R14/S14,0)</f>
        <v>0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 ht="15.75" thickBot="1">
      <c r="A15" s="163">
        <f>ELEC!C14</f>
        <v>44116</v>
      </c>
      <c r="B15" s="559">
        <f t="shared" si="13"/>
        <v>495235</v>
      </c>
      <c r="C15" s="266">
        <f t="shared" si="0"/>
        <v>0</v>
      </c>
      <c r="D15" s="311">
        <f t="shared" si="8"/>
        <v>0</v>
      </c>
      <c r="E15" s="311">
        <f t="shared" si="11"/>
        <v>495235</v>
      </c>
      <c r="F15" s="559">
        <f t="shared" si="14"/>
        <v>67070</v>
      </c>
      <c r="G15" s="160">
        <f t="shared" si="1"/>
        <v>0</v>
      </c>
      <c r="H15" s="559">
        <f t="shared" si="15"/>
        <v>255238</v>
      </c>
      <c r="I15" s="161">
        <f t="shared" si="2"/>
        <v>0</v>
      </c>
      <c r="J15" s="559">
        <f t="shared" si="16"/>
        <v>171859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29.96187843301702</v>
      </c>
      <c r="P15" s="300">
        <f t="shared" si="21"/>
        <v>29.96187843301702</v>
      </c>
      <c r="Q15" s="300">
        <f>SUM(-tanks!AX17*tanks!$AU$37)</f>
        <v>0</v>
      </c>
      <c r="R15" s="300">
        <f t="shared" si="22"/>
        <v>29.96187843301702</v>
      </c>
      <c r="S15" s="302">
        <f>SUM(ELEC!N14)</f>
        <v>0</v>
      </c>
      <c r="T15" s="339">
        <f t="shared" si="23"/>
        <v>0</v>
      </c>
      <c r="V15" s="593" t="str">
        <f>'[6]EDl log'!V32</f>
        <v>H Deg</v>
      </c>
      <c r="W15" s="590">
        <f>'[2]EDl log'!W32</f>
        <v>0</v>
      </c>
      <c r="X15" s="565">
        <f>'[9]EDl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559">
        <f t="shared" si="13"/>
        <v>495235</v>
      </c>
      <c r="C16" s="266">
        <f t="shared" si="0"/>
        <v>0</v>
      </c>
      <c r="D16" s="311">
        <f t="shared" si="8"/>
        <v>0</v>
      </c>
      <c r="E16" s="311">
        <f t="shared" si="11"/>
        <v>495235</v>
      </c>
      <c r="F16" s="559">
        <f t="shared" si="14"/>
        <v>67070</v>
      </c>
      <c r="G16" s="160">
        <f t="shared" si="1"/>
        <v>0</v>
      </c>
      <c r="H16" s="559">
        <f t="shared" si="15"/>
        <v>255238</v>
      </c>
      <c r="I16" s="161">
        <f t="shared" si="2"/>
        <v>0</v>
      </c>
      <c r="J16" s="559">
        <f t="shared" si="16"/>
        <v>171859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29.96187843301702</v>
      </c>
      <c r="P16" s="300">
        <f t="shared" si="21"/>
        <v>29.96187843301702</v>
      </c>
      <c r="Q16" s="300">
        <f>SUM(-tanks!AX18*tanks!$AU$37)</f>
        <v>0</v>
      </c>
      <c r="R16" s="300">
        <f t="shared" si="22"/>
        <v>29.96187843301702</v>
      </c>
      <c r="S16" s="302">
        <f>SUM(ELEC!N15)</f>
        <v>0</v>
      </c>
      <c r="T16" s="339">
        <f t="shared" si="23"/>
        <v>0</v>
      </c>
      <c r="V16" s="593" t="str">
        <f>'[6]EDl log'!V33</f>
        <v>C Deg</v>
      </c>
      <c r="W16" s="590">
        <f>'[2]EDl log'!$W$33</f>
        <v>306.99999999999983</v>
      </c>
      <c r="X16" s="565">
        <f>'[9]EDl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f t="shared" si="13"/>
        <v>495235</v>
      </c>
      <c r="C17" s="266">
        <f t="shared" si="0"/>
        <v>0</v>
      </c>
      <c r="D17" s="311">
        <f t="shared" si="8"/>
        <v>0</v>
      </c>
      <c r="E17" s="311">
        <f t="shared" si="11"/>
        <v>495235</v>
      </c>
      <c r="F17" s="559">
        <f t="shared" si="14"/>
        <v>67070</v>
      </c>
      <c r="G17" s="160">
        <f t="shared" si="1"/>
        <v>0</v>
      </c>
      <c r="H17" s="559">
        <f t="shared" si="15"/>
        <v>255238</v>
      </c>
      <c r="I17" s="161">
        <f t="shared" si="2"/>
        <v>0</v>
      </c>
      <c r="J17" s="559">
        <f t="shared" si="16"/>
        <v>171859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29.96187843301702</v>
      </c>
      <c r="P17" s="300">
        <f t="shared" si="21"/>
        <v>29.96187843301702</v>
      </c>
      <c r="Q17" s="300">
        <f>SUM(-tanks!AX19*tanks!$AU$37)</f>
        <v>0</v>
      </c>
      <c r="R17" s="300">
        <f t="shared" si="22"/>
        <v>29.96187843301702</v>
      </c>
      <c r="S17" s="302">
        <f>SUM(ELEC!N16)</f>
        <v>0</v>
      </c>
      <c r="T17" s="339">
        <f t="shared" si="23"/>
        <v>0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f t="shared" si="13"/>
        <v>495235</v>
      </c>
      <c r="C18" s="266">
        <f t="shared" si="0"/>
        <v>0</v>
      </c>
      <c r="D18" s="311">
        <f t="shared" si="8"/>
        <v>0</v>
      </c>
      <c r="E18" s="311">
        <f t="shared" si="11"/>
        <v>495235</v>
      </c>
      <c r="F18" s="559">
        <f t="shared" si="14"/>
        <v>67070</v>
      </c>
      <c r="G18" s="160">
        <f t="shared" si="1"/>
        <v>0</v>
      </c>
      <c r="H18" s="559">
        <f t="shared" si="15"/>
        <v>255238</v>
      </c>
      <c r="I18" s="161">
        <f t="shared" si="2"/>
        <v>0</v>
      </c>
      <c r="J18" s="559">
        <f t="shared" si="16"/>
        <v>171859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29.96187843301702</v>
      </c>
      <c r="P18" s="300">
        <f t="shared" si="9"/>
        <v>29.96187843301702</v>
      </c>
      <c r="Q18" s="300">
        <f>SUM(-tanks!AX20*tanks!$AU$37)</f>
        <v>0</v>
      </c>
      <c r="R18" s="300">
        <f t="shared" si="10"/>
        <v>29.96187843301702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f t="shared" si="13"/>
        <v>495235</v>
      </c>
      <c r="C19" s="266">
        <f t="shared" si="0"/>
        <v>0</v>
      </c>
      <c r="D19" s="311">
        <f t="shared" si="8"/>
        <v>0</v>
      </c>
      <c r="E19" s="311">
        <f t="shared" si="11"/>
        <v>495235</v>
      </c>
      <c r="F19" s="559">
        <f t="shared" si="14"/>
        <v>67070</v>
      </c>
      <c r="G19" s="160">
        <f t="shared" si="1"/>
        <v>0</v>
      </c>
      <c r="H19" s="559">
        <f t="shared" si="15"/>
        <v>255238</v>
      </c>
      <c r="I19" s="161">
        <f t="shared" si="2"/>
        <v>0</v>
      </c>
      <c r="J19" s="559">
        <f t="shared" si="16"/>
        <v>171859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29.96187843301702</v>
      </c>
      <c r="P19" s="300">
        <f t="shared" si="9"/>
        <v>29.96187843301702</v>
      </c>
      <c r="Q19" s="300">
        <f>SUM(-tanks!AX21*tanks!$AU$37)</f>
        <v>0</v>
      </c>
      <c r="R19" s="300">
        <f t="shared" si="10"/>
        <v>29.96187843301702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f t="shared" si="13"/>
        <v>495235</v>
      </c>
      <c r="C20" s="266">
        <f t="shared" si="0"/>
        <v>0</v>
      </c>
      <c r="D20" s="311">
        <f t="shared" si="8"/>
        <v>0</v>
      </c>
      <c r="E20" s="311">
        <f t="shared" si="11"/>
        <v>495235</v>
      </c>
      <c r="F20" s="559">
        <f t="shared" si="14"/>
        <v>67070</v>
      </c>
      <c r="G20" s="160">
        <f t="shared" si="1"/>
        <v>0</v>
      </c>
      <c r="H20" s="559">
        <f t="shared" si="15"/>
        <v>255238</v>
      </c>
      <c r="I20" s="161">
        <f t="shared" si="2"/>
        <v>0</v>
      </c>
      <c r="J20" s="559">
        <f t="shared" si="16"/>
        <v>171859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29.96187843301702</v>
      </c>
      <c r="P20" s="300">
        <f t="shared" si="9"/>
        <v>29.96187843301702</v>
      </c>
      <c r="Q20" s="300">
        <f>SUM(-tanks!AX22*tanks!$AU$37)</f>
        <v>0</v>
      </c>
      <c r="R20" s="300">
        <f t="shared" si="10"/>
        <v>29.96187843301702</v>
      </c>
      <c r="S20" s="302">
        <f>SUM(ELEC!N19)</f>
        <v>0</v>
      </c>
      <c r="T20" s="339">
        <f t="shared" si="12"/>
        <v>0</v>
      </c>
      <c r="V20" t="s">
        <v>414</v>
      </c>
      <c r="AB20" s="592"/>
    </row>
    <row r="21" spans="1:32" ht="15.75" thickBot="1">
      <c r="A21" s="163">
        <f>ELEC!C20</f>
        <v>44122</v>
      </c>
      <c r="B21" s="559">
        <f t="shared" si="13"/>
        <v>495235</v>
      </c>
      <c r="C21" s="266">
        <f t="shared" si="0"/>
        <v>0</v>
      </c>
      <c r="D21" s="311">
        <f t="shared" si="8"/>
        <v>0</v>
      </c>
      <c r="E21" s="311">
        <f t="shared" si="11"/>
        <v>495235</v>
      </c>
      <c r="F21" s="559">
        <f t="shared" si="14"/>
        <v>67070</v>
      </c>
      <c r="G21" s="160">
        <f t="shared" si="1"/>
        <v>0</v>
      </c>
      <c r="H21" s="559">
        <f t="shared" si="15"/>
        <v>255238</v>
      </c>
      <c r="I21" s="161">
        <f t="shared" si="2"/>
        <v>0</v>
      </c>
      <c r="J21" s="559">
        <f t="shared" si="16"/>
        <v>171859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29.96187843301702</v>
      </c>
      <c r="P21" s="300">
        <f t="shared" si="9"/>
        <v>29.96187843301702</v>
      </c>
      <c r="Q21" s="300">
        <f>SUM(-tanks!AX23*tanks!$AU$37)</f>
        <v>0</v>
      </c>
      <c r="R21" s="300">
        <f t="shared" si="10"/>
        <v>29.96187843301702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81"/>
      <c r="AC21" s="682"/>
    </row>
    <row r="22" spans="1:32" ht="15.75" thickBot="1">
      <c r="A22" s="163">
        <f>ELEC!C21</f>
        <v>44123</v>
      </c>
      <c r="B22" s="559">
        <f t="shared" si="13"/>
        <v>495235</v>
      </c>
      <c r="C22" s="266">
        <f t="shared" si="0"/>
        <v>0</v>
      </c>
      <c r="D22" s="311">
        <f t="shared" si="8"/>
        <v>0</v>
      </c>
      <c r="E22" s="311">
        <f t="shared" si="11"/>
        <v>495235</v>
      </c>
      <c r="F22" s="559">
        <f t="shared" si="14"/>
        <v>67070</v>
      </c>
      <c r="G22" s="160">
        <f t="shared" si="1"/>
        <v>0</v>
      </c>
      <c r="H22" s="559">
        <f t="shared" si="15"/>
        <v>255238</v>
      </c>
      <c r="I22" s="161">
        <f t="shared" si="2"/>
        <v>0</v>
      </c>
      <c r="J22" s="559">
        <f t="shared" si="16"/>
        <v>171859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29.96187843301702</v>
      </c>
      <c r="P22" s="300">
        <f t="shared" si="9"/>
        <v>29.96187843301702</v>
      </c>
      <c r="Q22" s="300">
        <f>SUM(-tanks!AX24*tanks!$AU$37)</f>
        <v>0</v>
      </c>
      <c r="R22" s="300">
        <f t="shared" si="10"/>
        <v>29.96187843301702</v>
      </c>
      <c r="S22" s="302">
        <f>SUM(ELEC!N21)</f>
        <v>0</v>
      </c>
      <c r="T22" s="339">
        <f t="shared" si="12"/>
        <v>0</v>
      </c>
      <c r="V22" s="687"/>
      <c r="W22" s="688"/>
      <c r="X22" s="688"/>
      <c r="Y22" s="689"/>
      <c r="Z22" s="26" t="s">
        <v>203</v>
      </c>
      <c r="AA22" s="26">
        <v>5000</v>
      </c>
      <c r="AB22" s="683"/>
      <c r="AC22" s="684"/>
    </row>
    <row r="23" spans="1:32" ht="15.75" thickBot="1">
      <c r="A23" s="163">
        <f>ELEC!C22</f>
        <v>44124</v>
      </c>
      <c r="B23" s="559">
        <f t="shared" si="13"/>
        <v>495235</v>
      </c>
      <c r="C23" s="266">
        <f t="shared" si="0"/>
        <v>0</v>
      </c>
      <c r="D23" s="311">
        <f t="shared" si="8"/>
        <v>0</v>
      </c>
      <c r="E23" s="311">
        <f t="shared" si="11"/>
        <v>495235</v>
      </c>
      <c r="F23" s="559">
        <f t="shared" si="14"/>
        <v>67070</v>
      </c>
      <c r="G23" s="160">
        <f t="shared" si="1"/>
        <v>0</v>
      </c>
      <c r="H23" s="559">
        <f t="shared" si="15"/>
        <v>255238</v>
      </c>
      <c r="I23" s="161">
        <f t="shared" si="2"/>
        <v>0</v>
      </c>
      <c r="J23" s="559">
        <f t="shared" si="16"/>
        <v>171859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29.96187843301702</v>
      </c>
      <c r="P23" s="300">
        <f t="shared" si="9"/>
        <v>29.96187843301702</v>
      </c>
      <c r="Q23" s="300">
        <f>SUM(-tanks!AX25*tanks!$AU$37)</f>
        <v>0</v>
      </c>
      <c r="R23" s="300">
        <f t="shared" si="10"/>
        <v>29.96187843301702</v>
      </c>
      <c r="S23" s="302">
        <f>SUM(ELEC!N22)</f>
        <v>0</v>
      </c>
      <c r="T23" s="339">
        <f t="shared" si="12"/>
        <v>0</v>
      </c>
      <c r="V23" s="690"/>
      <c r="W23" s="691"/>
      <c r="X23" s="691"/>
      <c r="Y23" s="692"/>
      <c r="Z23" s="693"/>
      <c r="AA23" s="694"/>
      <c r="AB23" s="683"/>
      <c r="AC23" s="684"/>
    </row>
    <row r="24" spans="1:32" ht="15" customHeight="1" thickBot="1">
      <c r="A24" s="163">
        <f>ELEC!C23</f>
        <v>44125</v>
      </c>
      <c r="B24" s="559">
        <f t="shared" si="13"/>
        <v>495235</v>
      </c>
      <c r="C24" s="266">
        <f t="shared" si="0"/>
        <v>0</v>
      </c>
      <c r="D24" s="311">
        <f t="shared" si="8"/>
        <v>0</v>
      </c>
      <c r="E24" s="311">
        <f t="shared" si="11"/>
        <v>495235</v>
      </c>
      <c r="F24" s="559">
        <f t="shared" si="14"/>
        <v>67070</v>
      </c>
      <c r="G24" s="160">
        <f t="shared" si="1"/>
        <v>0</v>
      </c>
      <c r="H24" s="559">
        <f t="shared" si="15"/>
        <v>255238</v>
      </c>
      <c r="I24" s="161">
        <f t="shared" si="2"/>
        <v>0</v>
      </c>
      <c r="J24" s="559">
        <f t="shared" si="16"/>
        <v>171859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29.96187843301702</v>
      </c>
      <c r="P24" s="300">
        <f t="shared" si="9"/>
        <v>29.96187843301702</v>
      </c>
      <c r="Q24" s="300">
        <f>SUM(-tanks!AX26*tanks!$AU$37)</f>
        <v>0</v>
      </c>
      <c r="R24" s="300">
        <f t="shared" si="10"/>
        <v>29.96187843301702</v>
      </c>
      <c r="S24" s="302">
        <f>SUM(ELEC!N23)</f>
        <v>0</v>
      </c>
      <c r="T24" s="339">
        <f t="shared" si="12"/>
        <v>0</v>
      </c>
      <c r="V24" s="695" t="s">
        <v>204</v>
      </c>
      <c r="W24" s="696"/>
      <c r="X24" s="697" t="s">
        <v>205</v>
      </c>
      <c r="Y24" s="698"/>
      <c r="Z24" s="699"/>
      <c r="AA24" s="170"/>
      <c r="AB24" s="685"/>
      <c r="AC24" s="686"/>
    </row>
    <row r="25" spans="1:32" ht="17.25" customHeight="1" thickBot="1">
      <c r="A25" s="163">
        <f>ELEC!C24</f>
        <v>44126</v>
      </c>
      <c r="B25" s="559">
        <f t="shared" si="13"/>
        <v>495235</v>
      </c>
      <c r="C25" s="266">
        <f t="shared" si="0"/>
        <v>0</v>
      </c>
      <c r="D25" s="311">
        <f t="shared" si="8"/>
        <v>0</v>
      </c>
      <c r="E25" s="311">
        <f t="shared" si="11"/>
        <v>495235</v>
      </c>
      <c r="F25" s="559">
        <f t="shared" si="14"/>
        <v>67070</v>
      </c>
      <c r="G25" s="160">
        <f t="shared" si="1"/>
        <v>0</v>
      </c>
      <c r="H25" s="559">
        <f t="shared" si="15"/>
        <v>255238</v>
      </c>
      <c r="I25" s="161">
        <f t="shared" si="2"/>
        <v>0</v>
      </c>
      <c r="J25" s="559">
        <f t="shared" si="16"/>
        <v>171859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29.96187843301702</v>
      </c>
      <c r="P25" s="300">
        <f t="shared" si="9"/>
        <v>29.96187843301702</v>
      </c>
      <c r="Q25" s="300">
        <f>SUM(-tanks!AX27*tanks!$AU$37)</f>
        <v>0</v>
      </c>
      <c r="R25" s="300">
        <f t="shared" si="10"/>
        <v>29.96187843301702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13"/>
        <v>495235</v>
      </c>
      <c r="C26" s="266">
        <f t="shared" si="0"/>
        <v>0</v>
      </c>
      <c r="D26" s="311">
        <f t="shared" si="8"/>
        <v>0</v>
      </c>
      <c r="E26" s="311">
        <f t="shared" si="11"/>
        <v>495235</v>
      </c>
      <c r="F26" s="559">
        <f t="shared" si="14"/>
        <v>67070</v>
      </c>
      <c r="G26" s="160">
        <f t="shared" si="1"/>
        <v>0</v>
      </c>
      <c r="H26" s="559">
        <f t="shared" si="15"/>
        <v>255238</v>
      </c>
      <c r="I26" s="161">
        <f t="shared" si="2"/>
        <v>0</v>
      </c>
      <c r="J26" s="559">
        <f t="shared" si="16"/>
        <v>171859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29.96187843301702</v>
      </c>
      <c r="P26" s="300">
        <f t="shared" si="9"/>
        <v>29.96187843301702</v>
      </c>
      <c r="Q26" s="300">
        <f>SUM(-tanks!AX28*tanks!$AU$37)</f>
        <v>0</v>
      </c>
      <c r="R26" s="300">
        <f t="shared" si="10"/>
        <v>29.96187843301702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171859</v>
      </c>
      <c r="X26" s="172" t="s">
        <v>199</v>
      </c>
      <c r="Y26" s="172">
        <v>80</v>
      </c>
      <c r="Z26" s="172">
        <v>1</v>
      </c>
      <c r="AA26" s="341">
        <f>(W26-V26)*Z26</f>
        <v>7531</v>
      </c>
      <c r="AB26" s="341">
        <f>AA26*Y26</f>
        <v>602480</v>
      </c>
      <c r="AC26" s="251">
        <f>AC9</f>
        <v>1033333</v>
      </c>
      <c r="AD26" s="213">
        <f>SUM(K37)</f>
        <v>0.29557674947996393</v>
      </c>
    </row>
    <row r="27" spans="1:32" ht="15.75" thickBot="1">
      <c r="A27" s="163">
        <f>ELEC!C26</f>
        <v>44128</v>
      </c>
      <c r="B27" s="559">
        <f t="shared" si="13"/>
        <v>495235</v>
      </c>
      <c r="C27" s="266">
        <f t="shared" si="0"/>
        <v>0</v>
      </c>
      <c r="D27" s="311">
        <f t="shared" si="8"/>
        <v>0</v>
      </c>
      <c r="E27" s="311">
        <f t="shared" si="11"/>
        <v>495235</v>
      </c>
      <c r="F27" s="559">
        <f t="shared" si="14"/>
        <v>67070</v>
      </c>
      <c r="G27" s="160">
        <f t="shared" si="1"/>
        <v>0</v>
      </c>
      <c r="H27" s="559">
        <f t="shared" si="15"/>
        <v>255238</v>
      </c>
      <c r="I27" s="161">
        <f t="shared" si="2"/>
        <v>0</v>
      </c>
      <c r="J27" s="559">
        <f t="shared" si="16"/>
        <v>171859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29.96187843301702</v>
      </c>
      <c r="P27" s="300">
        <f t="shared" si="9"/>
        <v>29.96187843301702</v>
      </c>
      <c r="Q27" s="300">
        <f>SUM(-tanks!AX29*tanks!$AU$37)</f>
        <v>0</v>
      </c>
      <c r="R27" s="300">
        <f t="shared" si="10"/>
        <v>29.96187843301702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255238</v>
      </c>
      <c r="X27" s="172" t="s">
        <v>213</v>
      </c>
      <c r="Y27" s="172">
        <v>112</v>
      </c>
      <c r="Z27" s="172">
        <v>1</v>
      </c>
      <c r="AA27" s="341">
        <f>(W27-V27)*Z27</f>
        <v>13107</v>
      </c>
      <c r="AB27" s="341">
        <f>SUM(AA27*Y27)</f>
        <v>1467984</v>
      </c>
      <c r="AC27" s="251">
        <f>AC10</f>
        <v>6200000</v>
      </c>
      <c r="AD27" s="213">
        <f>SUM(I37)</f>
        <v>0.51442364300011778</v>
      </c>
    </row>
    <row r="28" spans="1:32" ht="15.75" thickBot="1">
      <c r="A28" s="163">
        <f>ELEC!C27</f>
        <v>44129</v>
      </c>
      <c r="B28" s="559">
        <f t="shared" si="13"/>
        <v>495235</v>
      </c>
      <c r="C28" s="266">
        <f t="shared" si="0"/>
        <v>0</v>
      </c>
      <c r="D28" s="311">
        <f t="shared" si="8"/>
        <v>0</v>
      </c>
      <c r="E28" s="311">
        <f t="shared" si="11"/>
        <v>495235</v>
      </c>
      <c r="F28" s="559">
        <f t="shared" si="14"/>
        <v>67070</v>
      </c>
      <c r="G28" s="160">
        <f t="shared" si="1"/>
        <v>0</v>
      </c>
      <c r="H28" s="559">
        <f t="shared" si="15"/>
        <v>255238</v>
      </c>
      <c r="I28" s="161">
        <f t="shared" si="2"/>
        <v>0</v>
      </c>
      <c r="J28" s="559">
        <f t="shared" si="16"/>
        <v>171859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29.96187843301702</v>
      </c>
      <c r="P28" s="300">
        <f t="shared" si="9"/>
        <v>29.96187843301702</v>
      </c>
      <c r="Q28" s="300">
        <f>SUM(-tanks!AX30*tanks!$AU$37)</f>
        <v>0</v>
      </c>
      <c r="R28" s="300">
        <f t="shared" si="10"/>
        <v>29.96187843301702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67070</v>
      </c>
      <c r="X28" s="172" t="s">
        <v>197</v>
      </c>
      <c r="Y28" s="172">
        <v>320</v>
      </c>
      <c r="Z28" s="172">
        <v>1</v>
      </c>
      <c r="AA28" s="341">
        <f>(W28-V28)*Z28</f>
        <v>3772</v>
      </c>
      <c r="AB28" s="341">
        <f>SUM(AA28*Y28)</f>
        <v>1207040</v>
      </c>
      <c r="AC28" s="251">
        <f>AC11</f>
        <v>1000</v>
      </c>
      <c r="AD28" s="213">
        <f>SUM(G37)</f>
        <v>0.14804348679304524</v>
      </c>
      <c r="AE28" s="40">
        <f>SUM(AB28*5%)</f>
        <v>60352</v>
      </c>
      <c r="AF28" s="82">
        <f>SUM(AE28/7)*31</f>
        <v>267273.1428571429</v>
      </c>
    </row>
    <row r="29" spans="1:32" ht="15.75" thickBot="1">
      <c r="A29" s="163">
        <f>ELEC!C28</f>
        <v>44130</v>
      </c>
      <c r="B29" s="559">
        <f t="shared" si="13"/>
        <v>495235</v>
      </c>
      <c r="C29" s="266">
        <f t="shared" si="0"/>
        <v>0</v>
      </c>
      <c r="D29" s="311">
        <f t="shared" si="8"/>
        <v>0</v>
      </c>
      <c r="E29" s="311">
        <f t="shared" si="11"/>
        <v>495235</v>
      </c>
      <c r="F29" s="559">
        <f t="shared" si="14"/>
        <v>67070</v>
      </c>
      <c r="G29" s="160">
        <f t="shared" si="1"/>
        <v>0</v>
      </c>
      <c r="H29" s="559">
        <f t="shared" si="15"/>
        <v>255238</v>
      </c>
      <c r="I29" s="161">
        <f t="shared" si="2"/>
        <v>0</v>
      </c>
      <c r="J29" s="559">
        <f t="shared" si="16"/>
        <v>171859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29.96187843301702</v>
      </c>
      <c r="P29" s="300">
        <f t="shared" si="9"/>
        <v>29.96187843301702</v>
      </c>
      <c r="Q29" s="300">
        <f>SUM(-tanks!AX31*tanks!$AU$37)</f>
        <v>0</v>
      </c>
      <c r="R29" s="300">
        <f t="shared" si="10"/>
        <v>29.96187843301702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24410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13"/>
        <v>495235</v>
      </c>
      <c r="C30" s="266">
        <f t="shared" si="0"/>
        <v>0</v>
      </c>
      <c r="D30" s="311">
        <f t="shared" si="8"/>
        <v>0</v>
      </c>
      <c r="E30" s="311">
        <f t="shared" si="11"/>
        <v>495235</v>
      </c>
      <c r="F30" s="559">
        <f t="shared" si="14"/>
        <v>67070</v>
      </c>
      <c r="G30" s="160">
        <f t="shared" si="1"/>
        <v>0</v>
      </c>
      <c r="H30" s="559">
        <f t="shared" si="15"/>
        <v>255238</v>
      </c>
      <c r="I30" s="161">
        <f t="shared" si="2"/>
        <v>0</v>
      </c>
      <c r="J30" s="559">
        <f t="shared" si="16"/>
        <v>171859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29.96187843301702</v>
      </c>
      <c r="P30" s="300">
        <f t="shared" si="9"/>
        <v>29.96187843301702</v>
      </c>
      <c r="Q30" s="300">
        <f>SUM(-tanks!AX32*tanks!$AU$37)</f>
        <v>0</v>
      </c>
      <c r="R30" s="300">
        <f t="shared" si="10"/>
        <v>29.96187843301702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3277504</v>
      </c>
      <c r="AC30" s="251">
        <f>SUM(AC26:AC29)/A38*A36</f>
        <v>1400193.4838709678</v>
      </c>
    </row>
    <row r="31" spans="1:32" ht="15.75" thickBot="1">
      <c r="A31" s="163">
        <f>ELEC!C30</f>
        <v>44132</v>
      </c>
      <c r="B31" s="559">
        <f t="shared" si="13"/>
        <v>495235</v>
      </c>
      <c r="C31" s="266">
        <f t="shared" si="0"/>
        <v>0</v>
      </c>
      <c r="D31" s="311">
        <f t="shared" si="8"/>
        <v>0</v>
      </c>
      <c r="E31" s="311">
        <f t="shared" si="11"/>
        <v>495235</v>
      </c>
      <c r="F31" s="559">
        <f t="shared" si="14"/>
        <v>67070</v>
      </c>
      <c r="G31" s="160">
        <f t="shared" si="1"/>
        <v>0</v>
      </c>
      <c r="H31" s="559">
        <f t="shared" si="15"/>
        <v>255238</v>
      </c>
      <c r="I31" s="161">
        <f t="shared" si="2"/>
        <v>0</v>
      </c>
      <c r="J31" s="559">
        <f t="shared" si="16"/>
        <v>171859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29.96187843301702</v>
      </c>
      <c r="P31" s="300">
        <f t="shared" si="9"/>
        <v>29.96187843301702</v>
      </c>
      <c r="Q31" s="300">
        <f>SUM(-tanks!AX33*tanks!$AU$37)</f>
        <v>0</v>
      </c>
      <c r="R31" s="300">
        <f t="shared" si="10"/>
        <v>29.96187843301702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16</v>
      </c>
      <c r="X31" s="223">
        <f>SUM(W31/A36)</f>
        <v>2.6666666666666665</v>
      </c>
      <c r="Y31" s="262">
        <f>SUM(X31/2)</f>
        <v>1.3333333333333333</v>
      </c>
      <c r="Z31" s="3"/>
      <c r="AA31" s="3"/>
      <c r="AB31" s="563">
        <f>SUM(AB30+AC31)</f>
        <v>4677697.4838709682</v>
      </c>
      <c r="AC31" s="251">
        <f>SUM(AC30)</f>
        <v>1400193.4838709678</v>
      </c>
    </row>
    <row r="32" spans="1:32" ht="15.75" thickBot="1">
      <c r="A32" s="163">
        <f>ELEC!C31</f>
        <v>44133</v>
      </c>
      <c r="B32" s="559">
        <f t="shared" si="13"/>
        <v>495235</v>
      </c>
      <c r="C32" s="266">
        <f t="shared" si="0"/>
        <v>0</v>
      </c>
      <c r="D32" s="311">
        <f t="shared" si="8"/>
        <v>0</v>
      </c>
      <c r="E32" s="311">
        <f t="shared" si="11"/>
        <v>495235</v>
      </c>
      <c r="F32" s="559">
        <f t="shared" si="14"/>
        <v>67070</v>
      </c>
      <c r="G32" s="160">
        <f t="shared" si="1"/>
        <v>0</v>
      </c>
      <c r="H32" s="559">
        <f t="shared" si="15"/>
        <v>255238</v>
      </c>
      <c r="I32" s="161">
        <f t="shared" si="2"/>
        <v>0</v>
      </c>
      <c r="J32" s="559">
        <f t="shared" si="16"/>
        <v>171859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29.96187843301702</v>
      </c>
      <c r="P32" s="300">
        <f t="shared" si="9"/>
        <v>29.96187843301702</v>
      </c>
      <c r="Q32" s="300">
        <f>SUM(-tanks!AX34*tanks!$AU$37)</f>
        <v>0</v>
      </c>
      <c r="R32" s="300">
        <f t="shared" si="10"/>
        <v>29.96187843301702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13"/>
        <v>495235</v>
      </c>
      <c r="C33" s="266">
        <f t="shared" si="0"/>
        <v>0</v>
      </c>
      <c r="D33" s="311">
        <f t="shared" si="8"/>
        <v>0</v>
      </c>
      <c r="E33" s="311">
        <f t="shared" si="11"/>
        <v>495235</v>
      </c>
      <c r="F33" s="559">
        <f t="shared" si="14"/>
        <v>67070</v>
      </c>
      <c r="G33" s="160">
        <f>F33-F32</f>
        <v>0</v>
      </c>
      <c r="H33" s="559">
        <f t="shared" si="15"/>
        <v>255238</v>
      </c>
      <c r="I33" s="161">
        <f t="shared" si="2"/>
        <v>0</v>
      </c>
      <c r="J33" s="559">
        <f t="shared" si="16"/>
        <v>171859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29.96187843301702</v>
      </c>
      <c r="P33" s="300">
        <f>SUM(L33:O33)</f>
        <v>29.96187843301702</v>
      </c>
      <c r="Q33" s="300">
        <f>SUM(-tanks!AX35*tanks!$AU$37)</f>
        <v>0</v>
      </c>
      <c r="R33" s="300">
        <f>SUM(P33:Q33)</f>
        <v>29.96187843301702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13"/>
        <v>495235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495235</v>
      </c>
      <c r="F34" s="559">
        <f t="shared" si="14"/>
        <v>67070</v>
      </c>
      <c r="G34" s="160">
        <f>F34-F33</f>
        <v>0</v>
      </c>
      <c r="H34" s="559">
        <f t="shared" si="15"/>
        <v>255238</v>
      </c>
      <c r="I34" s="161">
        <f t="shared" ref="I34" si="31">H34-H33</f>
        <v>0</v>
      </c>
      <c r="J34" s="559">
        <f t="shared" si="16"/>
        <v>171859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29.96187843301702</v>
      </c>
      <c r="P34" s="300">
        <f>SUM(L34:O34)</f>
        <v>29.96187843301702</v>
      </c>
      <c r="Q34" s="300">
        <f>SUM(-tanks!AX36*tanks!$AU$37)</f>
        <v>0</v>
      </c>
      <c r="R34" s="300">
        <f>SUM(P34:Q34)</f>
        <v>29.96187843301702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514546.72322580649</v>
      </c>
      <c r="AC35" s="602"/>
    </row>
    <row r="36" spans="1:32" ht="15.75" thickBot="1">
      <c r="A36" s="549">
        <f>A38-COUNTIF(C4:C34,0)</f>
        <v>6</v>
      </c>
      <c r="C36" s="174">
        <f>SUM(C4:C34)/A36</f>
        <v>4246.5</v>
      </c>
      <c r="D36" s="174"/>
      <c r="E36" s="174"/>
      <c r="G36" s="174">
        <f>SUM(G4:G34)/A36</f>
        <v>628.66666666666663</v>
      </c>
      <c r="I36" s="174">
        <f>SUM(I4:I34)/A36</f>
        <v>2184.5</v>
      </c>
      <c r="K36" s="174">
        <f>SUM(K4:K35)/A36</f>
        <v>1255.1666666666667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5192244.2070967751</v>
      </c>
      <c r="AC36" s="602"/>
    </row>
    <row r="37" spans="1:32" ht="15.75" thickBot="1">
      <c r="A37" s="211"/>
      <c r="C37" s="213">
        <f>SUM(G37:K37)</f>
        <v>0.95804387927312695</v>
      </c>
      <c r="G37" s="226">
        <f>IF(C36&gt;0,G36/C36,0)</f>
        <v>0.14804348679304524</v>
      </c>
      <c r="H37" s="213"/>
      <c r="I37" s="226">
        <f>SUM(I36/C36)</f>
        <v>0.51442364300011778</v>
      </c>
      <c r="J37" s="213"/>
      <c r="K37" s="226">
        <f>SUM(K36/C36)</f>
        <v>0.29557674947996393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3102.950238057027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928.81823142352755</v>
      </c>
      <c r="Z39" s="40"/>
      <c r="AA39" s="295" t="s">
        <v>215</v>
      </c>
      <c r="AB39" s="296">
        <f>SUM(AB37)</f>
        <v>3102.950238057027</v>
      </c>
    </row>
    <row r="40" spans="1:32">
      <c r="V40" s="218"/>
      <c r="W40" s="82">
        <f>(AB30+AB55)/1507.5</f>
        <v>2174.1320066334993</v>
      </c>
      <c r="X40" s="564"/>
      <c r="Z40" s="297">
        <f>SUM(AB39)</f>
        <v>3102.950238057027</v>
      </c>
      <c r="AA40" s="296"/>
      <c r="AB40" s="296"/>
    </row>
    <row r="41" spans="1:32">
      <c r="V41" s="17"/>
      <c r="W41" s="82">
        <f>SUM(W39:W40)</f>
        <v>3102.9502380570266</v>
      </c>
      <c r="X41" s="564"/>
      <c r="Y41" s="82"/>
      <c r="Z41" s="297">
        <f>SUM(-tanks!AX37)*tanks!AU37</f>
        <v>0</v>
      </c>
      <c r="AA41" s="101">
        <f>SUM(AB31/A36)</f>
        <v>779616.24731182808</v>
      </c>
      <c r="AB41" s="352">
        <f>SUM(AA41*A38)</f>
        <v>24168103.666666672</v>
      </c>
    </row>
    <row r="42" spans="1:32" ht="18.75">
      <c r="W42" s="82">
        <f>(AB30+AB55)/1507.5</f>
        <v>2174.1320066334993</v>
      </c>
      <c r="Z42" s="278">
        <f>SUM(Z40:Z41)</f>
        <v>3102.950238057027</v>
      </c>
      <c r="AA42" s="296">
        <f>SUM(AA41/1507.5)</f>
        <v>517.15837300950454</v>
      </c>
      <c r="AB42" s="351">
        <f>SUM(AB41/1507.5)</f>
        <v>16031.909563294641</v>
      </c>
    </row>
    <row r="43" spans="1:32">
      <c r="D43" s="527"/>
      <c r="E43" s="527"/>
      <c r="F43" s="527"/>
      <c r="W43" s="82">
        <f>SUM(W41:W42)</f>
        <v>5277.0822446905258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68"/>
      <c r="AC46" s="668"/>
      <c r="AD46" s="17"/>
      <c r="AE46" s="17"/>
      <c r="AF46" s="17"/>
    </row>
    <row r="47" spans="1:32">
      <c r="V47" s="668"/>
      <c r="W47" s="668"/>
      <c r="X47" s="668"/>
      <c r="Y47" s="668"/>
      <c r="Z47" s="568"/>
      <c r="AA47" s="568"/>
      <c r="AB47" s="668"/>
      <c r="AC47" s="668"/>
      <c r="AD47" s="17"/>
      <c r="AE47" s="17"/>
      <c r="AF47" s="17"/>
    </row>
    <row r="48" spans="1:32">
      <c r="V48" s="668"/>
      <c r="W48" s="668"/>
      <c r="X48" s="668"/>
      <c r="Y48" s="668"/>
      <c r="Z48" s="668"/>
      <c r="AA48" s="668"/>
      <c r="AB48" s="668"/>
      <c r="AC48" s="668"/>
      <c r="AD48" s="17"/>
      <c r="AE48" s="17"/>
      <c r="AF48" s="17"/>
    </row>
    <row r="49" spans="22:32">
      <c r="V49" s="669"/>
      <c r="W49" s="669"/>
      <c r="X49" s="670"/>
      <c r="Y49" s="670"/>
      <c r="Z49" s="670"/>
      <c r="AA49" s="569"/>
      <c r="AB49" s="668"/>
      <c r="AC49" s="668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411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9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9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9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9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9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9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9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9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9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9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9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9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9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9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9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9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9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9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-457.50000000000017</v>
      </c>
      <c r="AB19" s="274">
        <f>O81</f>
        <v>54.2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9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9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9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9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9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9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9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9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-865.30000000000018</v>
      </c>
      <c r="AB23" s="134">
        <f>SUM(AB10:AB22)</f>
        <v>1318.5999999999995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9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9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9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9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9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9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9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9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9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9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9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9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9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9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9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9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9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9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9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9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9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9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9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9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9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9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9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9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9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9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9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9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9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0</v>
      </c>
      <c r="O54" s="274">
        <f>'General information '!C12</f>
        <v>0</v>
      </c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0</v>
      </c>
      <c r="O55" s="274">
        <f>'General information '!C13</f>
        <v>0</v>
      </c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0</v>
      </c>
      <c r="O56" s="274">
        <f>'General information '!C14</f>
        <v>0</v>
      </c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0</v>
      </c>
      <c r="O57" s="274">
        <f>'General information '!C15</f>
        <v>0</v>
      </c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0</v>
      </c>
      <c r="O58" s="274">
        <f>'General information '!C16</f>
        <v>0</v>
      </c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0</v>
      </c>
      <c r="O59" s="274">
        <f>'General information '!C17</f>
        <v>0</v>
      </c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0</v>
      </c>
      <c r="O60" s="274">
        <f>'General information '!C18</f>
        <v>0</v>
      </c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0</v>
      </c>
      <c r="O61" s="274">
        <f>'General information '!C19</f>
        <v>0</v>
      </c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0</v>
      </c>
      <c r="O62" s="274">
        <f>'General information '!C20</f>
        <v>0</v>
      </c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0</v>
      </c>
      <c r="O63" s="274">
        <f>'General information '!C21</f>
        <v>0</v>
      </c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0</v>
      </c>
      <c r="O64" s="274">
        <f>'General information '!C22</f>
        <v>0</v>
      </c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0</v>
      </c>
      <c r="O65" s="274">
        <f>'General information '!C23</f>
        <v>0</v>
      </c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0</v>
      </c>
      <c r="O66" s="274">
        <f>'General information '!C24</f>
        <v>0</v>
      </c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0</v>
      </c>
      <c r="O67" s="274">
        <f>'General information '!C25</f>
        <v>0</v>
      </c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-457.50000000000017</v>
      </c>
      <c r="O81" s="119">
        <f>SUMIF(P48:P78,"&gt;0")</f>
        <v>54.2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-1993.3000000000002</v>
      </c>
      <c r="O86" s="142">
        <f>C43+G43+K43+O43+S43+W43+C81+G81+K81+O81+S81+W81</f>
        <v>1296.5999999999995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216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6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0</v>
      </c>
      <c r="C6" s="332">
        <v>1.66</v>
      </c>
      <c r="D6" s="185">
        <f>SUM(C6*B6)*D4</f>
        <v>0</v>
      </c>
      <c r="E6" s="442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278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1451.6129032258063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4677697.4838709682</v>
      </c>
      <c r="E10" s="183">
        <f>SUM(D10/D4/F4)</f>
        <v>517.15837300950454</v>
      </c>
      <c r="F10" s="183">
        <f>SUM(E10*F4)</f>
        <v>3102.9502380570275</v>
      </c>
      <c r="G10" s="518">
        <f>E10*$G$4</f>
        <v>16031.909563294641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759.09385688047223</v>
      </c>
      <c r="F12" s="181">
        <f>SUM(F6:F10)</f>
        <v>4554.5631412828334</v>
      </c>
      <c r="G12" s="180">
        <f>SUM(G6:G10)</f>
        <v>23531.909563294641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54.2</v>
      </c>
      <c r="C14" s="439">
        <f>'[11]Utility Cost '!C14</f>
        <v>151</v>
      </c>
      <c r="D14" s="170"/>
      <c r="E14" s="170">
        <f t="shared" ref="E14:E18" si="0">B14-C14</f>
        <v>-96.8</v>
      </c>
      <c r="F14" s="517">
        <v>0</v>
      </c>
      <c r="G14" s="427"/>
      <c r="H14" s="428">
        <f>SUM(G12-H12)</f>
        <v>-33968.090436705359</v>
      </c>
      <c r="I14" s="428">
        <f>SUM(G12-I12)</f>
        <v>-78568.090436705359</v>
      </c>
    </row>
    <row r="15" spans="1:11">
      <c r="A15" s="456" t="s">
        <v>303</v>
      </c>
      <c r="B15" s="97">
        <f>'Degree Days 2020'!AA19</f>
        <v>-457.50000000000017</v>
      </c>
      <c r="C15" s="439">
        <f>'[11]Utility Cost '!C15</f>
        <v>-18.3</v>
      </c>
      <c r="D15" s="170"/>
      <c r="E15" s="170">
        <f t="shared" si="0"/>
        <v>-439.20000000000016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27.333333333333332</v>
      </c>
      <c r="C16" s="439">
        <f>'[11]Utility Cost '!C16</f>
        <v>25.306451612903224</v>
      </c>
      <c r="D16" s="439"/>
      <c r="E16" s="440">
        <f t="shared" si="0"/>
        <v>2.0268817204301079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16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-231.5</v>
      </c>
      <c r="F18" s="536">
        <f>B18-D18</f>
        <v>-275.50666666666666</v>
      </c>
    </row>
    <row r="19" spans="1:10">
      <c r="A19" s="530" t="s">
        <v>413</v>
      </c>
      <c r="B19" s="528">
        <f>SUM(B18/$F$4)</f>
        <v>2.6666666666666665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Swimming Pool quality check </vt:lpstr>
      <vt:lpstr>EDl log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2020-10-07T06:15:17Z</dcterms:modified>
</cp:coreProperties>
</file>