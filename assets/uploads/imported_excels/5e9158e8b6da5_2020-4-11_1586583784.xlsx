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<sst xmlns="http://schemas.openxmlformats.org/spreadsheetml/2006/main" count="296" uniqueCount="138">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</sst>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 t="e">
        <f>Submetering!E12+Submetering!F12+Submetering!G12+Submetering!H12-Submetering!AV12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 t="str">
        <f>'FS Desroches Daily'!BF13</f>
        <v/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 t="str">
        <f>'FS Desroches Daily'!D14</f>
        <v>0</v>
      </c>
      <c r="F12" s="36" t="str">
        <f>'FS Desroches Daily'!F14</f>
        <v>0</v>
      </c>
      <c r="G12" s="35" t="str">
        <f>'FS Desroches Daily'!H14</f>
        <v>0</v>
      </c>
      <c r="H12" s="36" t="str">
        <f>'FS Desroches Daily'!J14</f>
        <v>0</v>
      </c>
      <c r="I12" s="35" t="str">
        <f>'FS Desroches Daily'!L14</f>
        <v>0</v>
      </c>
      <c r="J12" s="36" t="str">
        <f>'FS Desroches Daily'!N14</f>
        <v/>
      </c>
      <c r="K12" s="13" t="str">
        <f>'FS Desroches Daily'!P14</f>
        <v/>
      </c>
      <c r="L12" s="35" t="str">
        <f>'FS Desroches Daily'!R14</f>
        <v/>
      </c>
      <c r="M12" s="35" t="str">
        <f>'FS Desroches Daily'!T14</f>
        <v/>
      </c>
      <c r="N12" s="35" t="str">
        <f>'FS Desroches Daily'!V14</f>
        <v/>
      </c>
      <c r="O12" s="35" t="str">
        <f>'FS Desroches Daily'!X14</f>
        <v/>
      </c>
      <c r="P12" s="35" t="str">
        <f>'FS Desroches Daily'!Z14</f>
        <v/>
      </c>
      <c r="Q12" s="35" t="str">
        <f>'FS Desroches Daily'!AB14</f>
        <v/>
      </c>
      <c r="R12" s="35" t="str">
        <f>'FS Desroches Daily'!AD14</f>
        <v/>
      </c>
      <c r="S12" s="35" t="str">
        <f>'FS Desroches Daily'!AF14</f>
        <v/>
      </c>
      <c r="T12" s="35" t="str">
        <f>'FS Desroches Daily'!AH14</f>
        <v/>
      </c>
      <c r="U12" s="39" t="str">
        <f>'FS Desroches Daily'!AJ14</f>
        <v/>
      </c>
      <c r="V12" s="39" t="str">
        <f>'FS Desroches Daily'!AL14</f>
        <v/>
      </c>
      <c r="W12" s="39" t="str">
        <f>'FS Desroches Daily'!AN14</f>
        <v/>
      </c>
      <c r="X12" s="39" t="str">
        <f>'FS Desroches Daily'!AP14</f>
        <v/>
      </c>
      <c r="Y12" s="39" t="str">
        <f>'FS Desroches Daily'!AR14</f>
        <v/>
      </c>
      <c r="Z12" s="39" t="str">
        <f>'FS Desroches Daily'!AT14</f>
        <v/>
      </c>
      <c r="AA12" s="39" t="str">
        <f>'FS Desroches Daily'!AT14</f>
        <v/>
      </c>
      <c r="AB12" s="39" t="str">
        <f>'FS Desroches Daily'!AV14</f>
        <v/>
      </c>
      <c r="AC12" s="39" t="str">
        <f>'FS Desroches Daily'!AZ14</f>
        <v/>
      </c>
      <c r="AD12" s="39" t="str">
        <f>'FS Desroches Daily'!BB14</f>
        <v/>
      </c>
      <c r="AE12" s="39" t="str">
        <f>'FS Desroches Daily'!BD14</f>
        <v/>
      </c>
      <c r="AF12" s="35">
        <f>'FS Desroches Daily'!BF14</f>
        <v>0</v>
      </c>
      <c r="AG12" s="36" t="str">
        <f>'FS Desroches Daily'!BH14</f>
        <v/>
      </c>
      <c r="AH12" s="36" t="str">
        <f>'FS Desroches Daily'!BJ14</f>
        <v/>
      </c>
      <c r="AI12" s="36" t="str">
        <f>'FS Desroches Daily'!BL14</f>
        <v/>
      </c>
      <c r="AJ12" s="36" t="str">
        <f>'FS Desroches Daily'!BN14</f>
        <v/>
      </c>
      <c r="AK12" s="36" t="str">
        <f>'FS Desroches Daily'!BP14</f>
        <v/>
      </c>
      <c r="AL12" s="36" t="str">
        <f>'FS Desroches Daily'!BR14</f>
        <v/>
      </c>
      <c r="AM12" s="36" t="str">
        <f>'FS Desroches Daily'!BT14</f>
        <v/>
      </c>
      <c r="AN12" s="36" t="str">
        <f>'FS Desroches Daily'!BV14</f>
        <v/>
      </c>
      <c r="AO12" s="36" t="str">
        <f>'FS Desroches Daily'!BX14</f>
        <v/>
      </c>
      <c r="AP12" s="36" t="str">
        <f>'FS Desroches Daily'!BZ14</f>
        <v/>
      </c>
      <c r="AQ12" s="35" t="str">
        <f>'FS Desroches Daily'!CB14</f>
        <v/>
      </c>
      <c r="AR12" s="35" t="str">
        <f>'FS Desroches Daily'!CD14</f>
        <v/>
      </c>
      <c r="AS12" s="35" t="str">
        <f>'FS Desroches Daily'!CF14</f>
        <v/>
      </c>
      <c r="AT12" s="35" t="str">
        <f>'FS Desroches Daily'!CH14</f>
        <v/>
      </c>
      <c r="AU12" s="35" t="str">
        <f>'FS Desroches Daily'!CJ14</f>
        <v/>
      </c>
      <c r="AV12" s="35" t="str">
        <f>'FS Desroches Daily'!CL14</f>
        <v/>
      </c>
      <c r="AW12" s="35">
        <f>'FS Desroches Daily'!CM14</f>
        <v>0</v>
      </c>
      <c r="AX12" s="35" t="str">
        <f>IF(LPG!F19-LPG!F18&lt;0,"0",(LPG!F19-LPG!F18)*1.8315)</f>
        <v>0</v>
      </c>
      <c r="AY12" s="35" t="str">
        <f>IF(LPG!H19-LPG!H18&lt;0,"0",(LPG!H19-LPG!H18)*1.8315)</f>
        <v>0</v>
      </c>
      <c r="AZ12" s="35" t="str">
        <f>IF(LPG!J19-LPG!J18&lt;0,"0",(LPG!J19-LPG!J18)*1.8315)</f>
        <v>0</v>
      </c>
      <c r="BA12" s="35" t="str">
        <f>IF(LPG!M19-LPG!M18&lt;0,"0",(LPG!M19-LPG!M18)*1.8315)</f>
        <v>0</v>
      </c>
      <c r="BB12" s="35" t="str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15800.000000000035</v>
      </c>
      <c r="F33" s="17">
        <f t="shared" ref="F33:BC33" si="1">SUM(F2:F32)</f>
        <v>9900.00000000002</v>
      </c>
      <c r="G33" s="17">
        <f t="shared" si="1"/>
        <v>18200.000000000218</v>
      </c>
      <c r="H33" s="17">
        <f t="shared" si="1"/>
        <v>12999.999999999898</v>
      </c>
      <c r="I33" s="17">
        <f t="shared" si="1"/>
        <v>23199.999999999884</v>
      </c>
      <c r="J33" s="17">
        <f t="shared" si="1"/>
        <v>11400.000000000075</v>
      </c>
      <c r="K33" s="17">
        <f t="shared" si="1"/>
        <v>5</v>
      </c>
      <c r="L33" s="17">
        <f t="shared" si="1"/>
        <v>54</v>
      </c>
      <c r="M33" s="17">
        <f t="shared" si="1"/>
        <v>2374.4000000000233</v>
      </c>
      <c r="N33" s="17">
        <f t="shared" si="1"/>
        <v>1329.9000000000233</v>
      </c>
      <c r="O33" s="17">
        <f t="shared" si="1"/>
        <v>2200.0000000000455</v>
      </c>
      <c r="P33" s="17">
        <f t="shared" si="1"/>
        <v>6499.99999999995</v>
      </c>
      <c r="Q33" s="17">
        <f t="shared" si="1"/>
        <v>1149.9999999999773</v>
      </c>
      <c r="R33" s="17">
        <f t="shared" si="1"/>
        <v>3169.9999999999591</v>
      </c>
      <c r="S33" s="17">
        <f t="shared" si="1"/>
        <v>6000</v>
      </c>
      <c r="T33" s="17">
        <f t="shared" si="1"/>
        <v>9.8000000000001819</v>
      </c>
      <c r="U33" s="39">
        <f t="shared" si="1"/>
        <v>2870.0000000000045</v>
      </c>
      <c r="V33" s="39">
        <f t="shared" si="1"/>
        <v>1.7400000000000091</v>
      </c>
      <c r="W33" s="39">
        <f t="shared" si="1"/>
        <v>1.4499999999999886</v>
      </c>
      <c r="X33" s="39">
        <f t="shared" si="1"/>
        <v>1.4399999999999977</v>
      </c>
      <c r="Y33" s="39">
        <f t="shared" si="1"/>
        <v>1319.9999999999932</v>
      </c>
      <c r="Z33" s="39">
        <f t="shared" si="1"/>
        <v>1089.999999999975</v>
      </c>
      <c r="AA33" s="39">
        <f t="shared" si="1"/>
        <v>1089.999999999975</v>
      </c>
      <c r="AB33" s="39">
        <f t="shared" si="1"/>
        <v>800.00000000001137</v>
      </c>
      <c r="AC33" s="39">
        <f t="shared" si="1"/>
        <v>939.99999999999773</v>
      </c>
      <c r="AD33" s="39">
        <f t="shared" si="1"/>
        <v>879.99999999999545</v>
      </c>
      <c r="AE33" s="39">
        <f t="shared" si="1"/>
        <v>120.00000000000455</v>
      </c>
      <c r="AF33" s="17">
        <f t="shared" si="1"/>
        <v>283</v>
      </c>
      <c r="AG33" s="36">
        <f t="shared" si="1"/>
        <v>300.00000000001137</v>
      </c>
      <c r="AH33" s="36">
        <f t="shared" si="1"/>
        <v>389.99999999998636</v>
      </c>
      <c r="AI33" s="36">
        <f t="shared" si="1"/>
        <v>330.00000000001251</v>
      </c>
      <c r="AJ33" s="36">
        <f t="shared" si="1"/>
        <v>449.99999999998863</v>
      </c>
      <c r="AK33" s="36">
        <f t="shared" si="1"/>
        <v>519.99999999998181</v>
      </c>
      <c r="AL33" s="36">
        <f t="shared" si="1"/>
        <v>221</v>
      </c>
      <c r="AM33" s="36">
        <f t="shared" si="1"/>
        <v>189.99999999999773</v>
      </c>
      <c r="AN33" s="36">
        <f t="shared" si="1"/>
        <v>221</v>
      </c>
      <c r="AO33" s="36">
        <f t="shared" si="1"/>
        <v>370.00000000000455</v>
      </c>
      <c r="AP33" s="36">
        <f t="shared" si="1"/>
        <v>429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568.5</v>
      </c>
      <c r="AU33" s="17">
        <f t="shared" si="1"/>
        <v>2645</v>
      </c>
      <c r="AV33" s="17">
        <f t="shared" si="1"/>
        <v>4000</v>
      </c>
      <c r="AW33" s="17">
        <f t="shared" si="1"/>
        <v>264.20000000000005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65.933999999999997</v>
      </c>
      <c r="BC33" s="17">
        <f t="shared" si="1"/>
        <v>0</v>
      </c>
    </row>
    <row r="35" spans="5:55" x14ac:dyDescent="0.25">
      <c r="E35" s="42">
        <f>E33/E37</f>
        <v>0.26582321074060311</v>
      </c>
      <c r="G35" s="33">
        <f>G33-M36</f>
        <v>14495.700000000172</v>
      </c>
      <c r="AE35" s="39">
        <f>SUM(U33:AE33)</f>
        <v>9114.6299999999537</v>
      </c>
      <c r="AG35" s="36">
        <f>SUM(AG33:AP33)</f>
        <v>3420.9999999999832</v>
      </c>
    </row>
    <row r="36" spans="5:55" x14ac:dyDescent="0.25">
      <c r="G36" s="33">
        <f>G35-633*14</f>
        <v>5633.7000000001717</v>
      </c>
      <c r="M36" s="33">
        <f>M33+N33</f>
        <v>3704.3000000000466</v>
      </c>
    </row>
    <row r="37" spans="5:55" x14ac:dyDescent="0.25">
      <c r="E37" s="17">
        <f>E33+F33+G33+H33+J33-633*14</f>
        <v>59438.000000000247</v>
      </c>
      <c r="G37" s="41">
        <f>M36/E37</f>
        <v>6.2322083515596607E-2</v>
      </c>
      <c r="M37" s="39">
        <f>AE35</f>
        <v>9114.6299999999537</v>
      </c>
    </row>
    <row r="38" spans="5:55" x14ac:dyDescent="0.25">
      <c r="L38" s="31">
        <f>M38/E37</f>
        <v>5.7555772401493469E-2</v>
      </c>
      <c r="M38" s="33">
        <f>AG35</f>
        <v>3420.9999999999832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AX1" zoomScale="70" zoomScaleNormal="70" workbookViewId="0">
      <pane ySplit="1" topLeftCell="A3" activePane="bottomLeft" state="frozen"/>
      <selection pane="bottomLeft" activeCell="CP13" sqref="CP13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/>
      <c r="BF13" s="72" t="str">
        <f t="shared" si="15"/>
        <v/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/>
      <c r="D14" s="71" t="str">
        <f t="shared" si="3"/>
        <v>0</v>
      </c>
      <c r="E14" s="64"/>
      <c r="F14" s="71" t="str">
        <f t="shared" si="4"/>
        <v>0</v>
      </c>
      <c r="G14" s="64"/>
      <c r="H14" s="71" t="str">
        <f t="shared" si="5"/>
        <v>0</v>
      </c>
      <c r="I14" s="64"/>
      <c r="J14" s="71" t="str">
        <f t="shared" si="43"/>
        <v>0</v>
      </c>
      <c r="K14" s="64"/>
      <c r="L14" s="71" t="str">
        <f t="shared" si="0"/>
        <v>0</v>
      </c>
      <c r="M14" s="64"/>
      <c r="N14" s="71" t="str">
        <f t="shared" si="6"/>
        <v/>
      </c>
      <c r="O14" s="64"/>
      <c r="P14" s="72" t="str">
        <f t="shared" si="7"/>
        <v/>
      </c>
      <c r="Q14" s="64"/>
      <c r="R14" s="72" t="str">
        <f t="shared" si="8"/>
        <v/>
      </c>
      <c r="S14" s="64"/>
      <c r="T14" s="72" t="str">
        <f t="shared" si="44"/>
        <v/>
      </c>
      <c r="U14" s="64"/>
      <c r="V14" s="72" t="str">
        <f t="shared" si="10"/>
        <v/>
      </c>
      <c r="W14" s="64"/>
      <c r="X14" s="72" t="str">
        <f>IF((W14-W13&lt;0), "",(W14-W13)*1000)</f>
        <v/>
      </c>
      <c r="Y14" s="64"/>
      <c r="Z14" s="72" t="str">
        <f t="shared" si="24"/>
        <v/>
      </c>
      <c r="AA14" s="64"/>
      <c r="AB14" s="72" t="str">
        <f t="shared" si="25"/>
        <v/>
      </c>
      <c r="AC14" s="64"/>
      <c r="AD14" s="72" t="str">
        <f t="shared" si="26"/>
        <v/>
      </c>
      <c r="AE14" s="64"/>
      <c r="AF14" s="72" t="str">
        <f t="shared" si="27"/>
        <v/>
      </c>
      <c r="AG14" s="64"/>
      <c r="AH14" s="72" t="str">
        <f t="shared" si="11"/>
        <v/>
      </c>
      <c r="AI14" s="64"/>
      <c r="AJ14" s="72" t="str">
        <f t="shared" si="28"/>
        <v/>
      </c>
      <c r="AK14" s="64"/>
      <c r="AL14" s="72" t="str">
        <f t="shared" si="12"/>
        <v/>
      </c>
      <c r="AM14" s="64"/>
      <c r="AN14" s="72" t="str">
        <f t="shared" si="13"/>
        <v/>
      </c>
      <c r="AO14" s="64"/>
      <c r="AP14" s="72" t="str">
        <f t="shared" si="14"/>
        <v/>
      </c>
      <c r="AQ14" s="64"/>
      <c r="AR14" s="72" t="str">
        <f t="shared" si="29"/>
        <v/>
      </c>
      <c r="AS14" s="64"/>
      <c r="AT14" s="72" t="str">
        <f t="shared" si="30"/>
        <v/>
      </c>
      <c r="AU14" s="64"/>
      <c r="AV14" s="72" t="str">
        <f t="shared" si="31"/>
        <v/>
      </c>
      <c r="AW14" s="64"/>
      <c r="AX14" s="72" t="str">
        <f t="shared" si="32"/>
        <v/>
      </c>
      <c r="AY14" s="64"/>
      <c r="AZ14" s="72" t="str">
        <f t="shared" si="33"/>
        <v/>
      </c>
      <c r="BA14" s="64"/>
      <c r="BB14" s="72" t="str">
        <f t="shared" si="34"/>
        <v/>
      </c>
      <c r="BC14" s="64"/>
      <c r="BD14" s="72" t="str">
        <f t="shared" si="35"/>
        <v/>
      </c>
      <c r="BE14" s="66"/>
      <c r="BF14" s="72">
        <f t="shared" si="15"/>
        <v>0</v>
      </c>
      <c r="BG14" s="67"/>
      <c r="BH14" s="72" t="str">
        <f t="shared" si="36"/>
        <v/>
      </c>
      <c r="BI14" s="67"/>
      <c r="BJ14" s="72" t="str">
        <f t="shared" si="37"/>
        <v/>
      </c>
      <c r="BK14" s="67"/>
      <c r="BL14" s="72" t="str">
        <f t="shared" si="38"/>
        <v/>
      </c>
      <c r="BM14" s="67"/>
      <c r="BN14" s="72" t="str">
        <f t="shared" si="39"/>
        <v/>
      </c>
      <c r="BO14" s="67"/>
      <c r="BP14" s="72" t="str">
        <f t="shared" si="40"/>
        <v/>
      </c>
      <c r="BQ14" s="67"/>
      <c r="BR14" s="72" t="str">
        <f t="shared" si="16"/>
        <v/>
      </c>
      <c r="BS14" s="67"/>
      <c r="BT14" s="72" t="str">
        <f t="shared" si="41"/>
        <v/>
      </c>
      <c r="BU14" s="67"/>
      <c r="BV14" s="72" t="str">
        <f t="shared" si="1"/>
        <v/>
      </c>
      <c r="BW14" s="67"/>
      <c r="BX14" s="72" t="str">
        <f t="shared" si="42"/>
        <v/>
      </c>
      <c r="BY14" s="67"/>
      <c r="BZ14" s="72" t="str">
        <f t="shared" si="17"/>
        <v/>
      </c>
      <c r="CA14" s="67"/>
      <c r="CB14" s="72" t="str">
        <f t="shared" si="18"/>
        <v/>
      </c>
      <c r="CC14" s="67"/>
      <c r="CD14" s="72" t="str">
        <f t="shared" si="19"/>
        <v/>
      </c>
      <c r="CE14" s="67"/>
      <c r="CF14" s="72" t="str">
        <f t="shared" si="20"/>
        <v/>
      </c>
      <c r="CG14" s="67"/>
      <c r="CH14" s="72" t="str">
        <f t="shared" si="21"/>
        <v/>
      </c>
      <c r="CI14" s="67"/>
      <c r="CJ14" s="72" t="str">
        <f t="shared" si="2"/>
        <v/>
      </c>
      <c r="CK14" s="67"/>
      <c r="CL14" s="71" t="str">
        <f t="shared" si="22"/>
        <v/>
      </c>
      <c r="CM14" s="72"/>
      <c r="CN14" s="69"/>
      <c r="CO14" s="69"/>
    </row>
    <row r="15" spans="1:93" ht="25.5" customHeight="1" thickBot="1" x14ac:dyDescent="0.45">
      <c r="A15" s="70">
        <v>43933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7"/>
      <c r="BJ15" s="72">
        <f t="shared" si="37"/>
        <v>0</v>
      </c>
      <c r="BK15" s="67"/>
      <c r="BL15" s="72">
        <f t="shared" si="38"/>
        <v>0</v>
      </c>
      <c r="BM15" s="67"/>
      <c r="BN15" s="72">
        <f t="shared" si="39"/>
        <v>0</v>
      </c>
      <c r="BO15" s="67"/>
      <c r="BP15" s="72">
        <f t="shared" si="40"/>
        <v>0</v>
      </c>
      <c r="BQ15" s="67"/>
      <c r="BR15" s="72">
        <f t="shared" si="16"/>
        <v>0</v>
      </c>
      <c r="BS15" s="67"/>
      <c r="BT15" s="72">
        <f t="shared" si="41"/>
        <v>0</v>
      </c>
      <c r="BU15" s="67"/>
      <c r="BV15" s="72">
        <f t="shared" si="1"/>
        <v>0</v>
      </c>
      <c r="BW15" s="67"/>
      <c r="BX15" s="72">
        <f t="shared" si="42"/>
        <v>0</v>
      </c>
      <c r="BY15" s="67"/>
      <c r="BZ15" s="72">
        <f t="shared" si="17"/>
        <v>0</v>
      </c>
      <c r="CA15" s="67"/>
      <c r="CB15" s="72">
        <f t="shared" si="18"/>
        <v>0</v>
      </c>
      <c r="CC15" s="67"/>
      <c r="CD15" s="72">
        <f t="shared" si="19"/>
        <v>0</v>
      </c>
      <c r="CE15" s="67"/>
      <c r="CF15" s="72">
        <f t="shared" si="20"/>
        <v>0</v>
      </c>
      <c r="CG15" s="67"/>
      <c r="CH15" s="72">
        <f t="shared" si="21"/>
        <v>0</v>
      </c>
      <c r="CI15" s="67"/>
      <c r="CJ15" s="72">
        <f t="shared" si="2"/>
        <v>0</v>
      </c>
      <c r="CK15" s="67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43934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7"/>
      <c r="BJ16" s="72">
        <f t="shared" si="37"/>
        <v>0</v>
      </c>
      <c r="BK16" s="67"/>
      <c r="BL16" s="72">
        <f t="shared" si="38"/>
        <v>0</v>
      </c>
      <c r="BM16" s="67"/>
      <c r="BN16" s="72">
        <f t="shared" si="39"/>
        <v>0</v>
      </c>
      <c r="BO16" s="67"/>
      <c r="BP16" s="72">
        <f t="shared" si="40"/>
        <v>0</v>
      </c>
      <c r="BQ16" s="67"/>
      <c r="BR16" s="72">
        <f t="shared" si="16"/>
        <v>0</v>
      </c>
      <c r="BS16" s="67"/>
      <c r="BT16" s="72">
        <f t="shared" si="41"/>
        <v>0</v>
      </c>
      <c r="BU16" s="67"/>
      <c r="BV16" s="72">
        <f t="shared" si="1"/>
        <v>0</v>
      </c>
      <c r="BW16" s="67"/>
      <c r="BX16" s="72">
        <f t="shared" si="42"/>
        <v>0</v>
      </c>
      <c r="BY16" s="67"/>
      <c r="BZ16" s="72">
        <f t="shared" si="17"/>
        <v>0</v>
      </c>
      <c r="CA16" s="67"/>
      <c r="CB16" s="72">
        <f t="shared" si="18"/>
        <v>0</v>
      </c>
      <c r="CC16" s="67"/>
      <c r="CD16" s="72">
        <f t="shared" si="19"/>
        <v>0</v>
      </c>
      <c r="CE16" s="67"/>
      <c r="CF16" s="72">
        <f t="shared" si="20"/>
        <v>0</v>
      </c>
      <c r="CG16" s="67"/>
      <c r="CH16" s="72">
        <f t="shared" si="21"/>
        <v>0</v>
      </c>
      <c r="CI16" s="67"/>
      <c r="CJ16" s="72">
        <f t="shared" si="2"/>
        <v>0</v>
      </c>
      <c r="CK16" s="67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43935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7"/>
      <c r="BJ17" s="72">
        <f t="shared" si="37"/>
        <v>0</v>
      </c>
      <c r="BK17" s="67"/>
      <c r="BL17" s="72">
        <f t="shared" si="38"/>
        <v>0</v>
      </c>
      <c r="BM17" s="67"/>
      <c r="BN17" s="72">
        <f t="shared" si="39"/>
        <v>0</v>
      </c>
      <c r="BO17" s="67"/>
      <c r="BP17" s="72">
        <f t="shared" si="40"/>
        <v>0</v>
      </c>
      <c r="BQ17" s="67"/>
      <c r="BR17" s="72">
        <f t="shared" si="16"/>
        <v>0</v>
      </c>
      <c r="BS17" s="67"/>
      <c r="BT17" s="72">
        <f t="shared" si="41"/>
        <v>0</v>
      </c>
      <c r="BU17" s="67"/>
      <c r="BV17" s="72">
        <f t="shared" si="1"/>
        <v>0</v>
      </c>
      <c r="BW17" s="67"/>
      <c r="BX17" s="72">
        <f t="shared" si="42"/>
        <v>0</v>
      </c>
      <c r="BY17" s="67"/>
      <c r="BZ17" s="72">
        <f t="shared" si="17"/>
        <v>0</v>
      </c>
      <c r="CA17" s="67"/>
      <c r="CB17" s="72">
        <f t="shared" si="18"/>
        <v>0</v>
      </c>
      <c r="CC17" s="67"/>
      <c r="CD17" s="72">
        <f t="shared" si="19"/>
        <v>0</v>
      </c>
      <c r="CE17" s="67"/>
      <c r="CF17" s="72">
        <f t="shared" si="20"/>
        <v>0</v>
      </c>
      <c r="CG17" s="67"/>
      <c r="CH17" s="72">
        <f t="shared" si="21"/>
        <v>0</v>
      </c>
      <c r="CI17" s="67"/>
      <c r="CJ17" s="72">
        <f t="shared" si="2"/>
        <v>0</v>
      </c>
      <c r="CK17" s="67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43936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7"/>
      <c r="BJ18" s="72">
        <f t="shared" si="37"/>
        <v>0</v>
      </c>
      <c r="BK18" s="67"/>
      <c r="BL18" s="72">
        <f t="shared" si="38"/>
        <v>0</v>
      </c>
      <c r="BM18" s="67"/>
      <c r="BN18" s="72">
        <f t="shared" si="39"/>
        <v>0</v>
      </c>
      <c r="BO18" s="67"/>
      <c r="BP18" s="72">
        <f t="shared" si="40"/>
        <v>0</v>
      </c>
      <c r="BQ18" s="67"/>
      <c r="BR18" s="72">
        <f t="shared" si="16"/>
        <v>0</v>
      </c>
      <c r="BS18" s="67"/>
      <c r="BT18" s="72">
        <f t="shared" si="41"/>
        <v>0</v>
      </c>
      <c r="BU18" s="67"/>
      <c r="BV18" s="72">
        <f t="shared" si="1"/>
        <v>0</v>
      </c>
      <c r="BW18" s="67"/>
      <c r="BX18" s="72">
        <f t="shared" si="42"/>
        <v>0</v>
      </c>
      <c r="BY18" s="67"/>
      <c r="BZ18" s="72">
        <f t="shared" si="17"/>
        <v>0</v>
      </c>
      <c r="CA18" s="67"/>
      <c r="CB18" s="72">
        <f t="shared" si="18"/>
        <v>0</v>
      </c>
      <c r="CC18" s="67"/>
      <c r="CD18" s="72">
        <f t="shared" si="19"/>
        <v>0</v>
      </c>
      <c r="CE18" s="67"/>
      <c r="CF18" s="72">
        <f t="shared" si="20"/>
        <v>0</v>
      </c>
      <c r="CG18" s="67"/>
      <c r="CH18" s="72">
        <f t="shared" si="21"/>
        <v>0</v>
      </c>
      <c r="CI18" s="67"/>
      <c r="CJ18" s="72">
        <f t="shared" si="2"/>
        <v>0</v>
      </c>
      <c r="CK18" s="67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43937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7"/>
      <c r="BJ19" s="72">
        <f t="shared" si="37"/>
        <v>0</v>
      </c>
      <c r="BK19" s="67"/>
      <c r="BL19" s="72">
        <f t="shared" si="38"/>
        <v>0</v>
      </c>
      <c r="BM19" s="67"/>
      <c r="BN19" s="72">
        <f t="shared" si="39"/>
        <v>0</v>
      </c>
      <c r="BO19" s="67"/>
      <c r="BP19" s="72">
        <f t="shared" si="40"/>
        <v>0</v>
      </c>
      <c r="BQ19" s="67"/>
      <c r="BR19" s="72">
        <f t="shared" si="16"/>
        <v>0</v>
      </c>
      <c r="BS19" s="67"/>
      <c r="BT19" s="72">
        <f t="shared" si="41"/>
        <v>0</v>
      </c>
      <c r="BU19" s="67"/>
      <c r="BV19" s="72">
        <f t="shared" si="1"/>
        <v>0</v>
      </c>
      <c r="BW19" s="67"/>
      <c r="BX19" s="72">
        <f t="shared" si="42"/>
        <v>0</v>
      </c>
      <c r="BY19" s="67"/>
      <c r="BZ19" s="72">
        <f t="shared" si="17"/>
        <v>0</v>
      </c>
      <c r="CA19" s="67"/>
      <c r="CB19" s="72">
        <f t="shared" si="18"/>
        <v>0</v>
      </c>
      <c r="CC19" s="67"/>
      <c r="CD19" s="72">
        <f t="shared" si="19"/>
        <v>0</v>
      </c>
      <c r="CE19" s="67"/>
      <c r="CF19" s="72">
        <f t="shared" si="20"/>
        <v>0</v>
      </c>
      <c r="CG19" s="67"/>
      <c r="CH19" s="72">
        <f t="shared" si="21"/>
        <v>0</v>
      </c>
      <c r="CI19" s="67"/>
      <c r="CJ19" s="72">
        <f t="shared" si="2"/>
        <v>0</v>
      </c>
      <c r="CK19" s="67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43938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43939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43940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43941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43942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43943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54</v>
      </c>
      <c r="AX35" s="72">
        <f t="shared" si="32"/>
        <v>0</v>
      </c>
      <c r="BF35" s="76">
        <f>SUM(BF4:BF33)</f>
        <v>283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B18" sqref="B18:Q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43933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43934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43935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43936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43937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43938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43939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43940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43941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43942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43943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2020-04-11T05:40:56Z</dcterms:modified>
</cp:coreProperties>
</file>