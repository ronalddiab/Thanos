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1\2021\"/>
    </mc:Choice>
  </mc:AlternateContent>
  <xr:revisionPtr revIDLastSave="0" documentId="13_ncr:1_{194182FD-29F9-4CC1-BDCD-225529519948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November" sheetId="2" r:id="rId2"/>
  </sheets>
  <calcPr calcId="191029"/>
</workbook>
</file>

<file path=xl/calcChain.xml><?xml version="1.0" encoding="utf-8"?>
<calcChain xmlns="http://schemas.openxmlformats.org/spreadsheetml/2006/main">
  <c r="R40" i="2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8" i="2"/>
  <c r="O38" i="2"/>
  <c r="M38" i="2"/>
  <c r="K38" i="2"/>
  <c r="I38" i="2"/>
  <c r="G38" i="2"/>
  <c r="E38" i="2"/>
  <c r="G31" i="1" s="1"/>
  <c r="C38" i="2"/>
  <c r="E31" i="1" s="1"/>
  <c r="Q37" i="2"/>
  <c r="O37" i="2"/>
  <c r="M37" i="2"/>
  <c r="K37" i="2"/>
  <c r="I37" i="2"/>
  <c r="G37" i="2"/>
  <c r="E37" i="2"/>
  <c r="G30" i="1" s="1"/>
  <c r="C37" i="2"/>
  <c r="E30" i="1" s="1"/>
  <c r="Q36" i="2"/>
  <c r="O36" i="2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G35" i="2"/>
  <c r="K28" i="1" s="1"/>
  <c r="E35" i="2"/>
  <c r="G28" i="1" s="1"/>
  <c r="C35" i="2"/>
  <c r="E28" i="1" s="1"/>
  <c r="Q34" i="2"/>
  <c r="O34" i="2"/>
  <c r="M34" i="2"/>
  <c r="K27" i="1" s="1"/>
  <c r="K34" i="2"/>
  <c r="I34" i="2"/>
  <c r="G34" i="2"/>
  <c r="E34" i="2"/>
  <c r="G27" i="1" s="1"/>
  <c r="C34" i="2"/>
  <c r="E27" i="1" s="1"/>
  <c r="Q33" i="2"/>
  <c r="O33" i="2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K25" i="1" s="1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E24" i="1" s="1"/>
  <c r="Q30" i="2"/>
  <c r="O30" i="2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G29" i="2"/>
  <c r="K22" i="1" s="1"/>
  <c r="E29" i="2"/>
  <c r="G22" i="1" s="1"/>
  <c r="C29" i="2"/>
  <c r="E22" i="1" s="1"/>
  <c r="Q28" i="2"/>
  <c r="O28" i="2"/>
  <c r="M28" i="2"/>
  <c r="K21" i="1" s="1"/>
  <c r="K28" i="2"/>
  <c r="I28" i="2"/>
  <c r="G28" i="2"/>
  <c r="E28" i="2"/>
  <c r="G21" i="1" s="1"/>
  <c r="C28" i="2"/>
  <c r="E21" i="1" s="1"/>
  <c r="Q27" i="2"/>
  <c r="O27" i="2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G23" i="2"/>
  <c r="K16" i="1" s="1"/>
  <c r="E23" i="2"/>
  <c r="G16" i="1" s="1"/>
  <c r="C23" i="2"/>
  <c r="E16" i="1" s="1"/>
  <c r="Q22" i="2"/>
  <c r="O22" i="2"/>
  <c r="M22" i="2"/>
  <c r="K15" i="1" s="1"/>
  <c r="K22" i="2"/>
  <c r="I22" i="2"/>
  <c r="G22" i="2"/>
  <c r="E22" i="2"/>
  <c r="G15" i="1" s="1"/>
  <c r="C22" i="2"/>
  <c r="E15" i="1" s="1"/>
  <c r="Q21" i="2"/>
  <c r="O21" i="2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G20" i="2"/>
  <c r="K13" i="1" s="1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E12" i="1" s="1"/>
  <c r="Q18" i="2"/>
  <c r="O18" i="2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G17" i="2"/>
  <c r="K10" i="1" s="1"/>
  <c r="E17" i="2"/>
  <c r="G10" i="1" s="1"/>
  <c r="C17" i="2"/>
  <c r="E10" i="1" s="1"/>
  <c r="Q16" i="2"/>
  <c r="O16" i="2"/>
  <c r="M16" i="2"/>
  <c r="K16" i="2"/>
  <c r="I16" i="2"/>
  <c r="G16" i="2"/>
  <c r="E16" i="2"/>
  <c r="G9" i="1" s="1"/>
  <c r="C16" i="2"/>
  <c r="E9" i="1" s="1"/>
  <c r="Q15" i="2"/>
  <c r="O15" i="2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G11" i="2"/>
  <c r="K4" i="1" s="1"/>
  <c r="E11" i="2"/>
  <c r="G4" i="1" s="1"/>
  <c r="C11" i="2"/>
  <c r="E4" i="1" s="1"/>
  <c r="Q10" i="2"/>
  <c r="O10" i="2"/>
  <c r="M10" i="2"/>
  <c r="K3" i="1" s="1"/>
  <c r="K10" i="2"/>
  <c r="I10" i="2"/>
  <c r="G10" i="2"/>
  <c r="E10" i="2"/>
  <c r="G3" i="1" s="1"/>
  <c r="C10" i="2"/>
  <c r="E3" i="1" s="1"/>
  <c r="Q9" i="2"/>
  <c r="O9" i="2"/>
  <c r="M9" i="2"/>
  <c r="K9" i="2"/>
  <c r="I9" i="2"/>
  <c r="G9" i="2"/>
  <c r="E9" i="2"/>
  <c r="C9" i="2"/>
  <c r="M40" i="2" l="1"/>
  <c r="K9" i="1"/>
  <c r="I4" i="1"/>
  <c r="I10" i="1"/>
  <c r="I13" i="1"/>
  <c r="I16" i="1"/>
  <c r="I19" i="1"/>
  <c r="I22" i="1"/>
  <c r="I28" i="1"/>
  <c r="I31" i="1"/>
  <c r="O40" i="2"/>
  <c r="I5" i="1"/>
  <c r="I8" i="1"/>
  <c r="I11" i="1"/>
  <c r="I14" i="1"/>
  <c r="I17" i="1"/>
  <c r="I20" i="1"/>
  <c r="I23" i="1"/>
  <c r="I26" i="1"/>
  <c r="I29" i="1"/>
  <c r="G40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0" i="2"/>
  <c r="I6" i="1"/>
  <c r="I12" i="1"/>
  <c r="I18" i="1"/>
  <c r="I24" i="1"/>
  <c r="I30" i="1"/>
  <c r="I2" i="1"/>
  <c r="K8" i="1"/>
  <c r="K40" i="2"/>
  <c r="I40" i="2"/>
  <c r="E40" i="2"/>
  <c r="G2" i="1"/>
  <c r="C40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<sst xmlns="http://schemas.openxmlformats.org/spreadsheetml/2006/main" count="72" uniqueCount="35">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</sst>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abSelected="1" topLeftCell="E1" workbookViewId="0">
      <selection activeCell="L4" sqref="L4:L31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11</v>
      </c>
      <c r="D2" s="2">
        <v>2021</v>
      </c>
      <c r="E2" s="4">
        <f>IF(November!C9&gt;0,November!C9,0)</f>
        <v>6600</v>
      </c>
      <c r="F2" s="9">
        <v>0.1298</v>
      </c>
      <c r="G2" s="4">
        <f>IF(November!E9&gt;0,November!E9,0)</f>
        <v>12.564</v>
      </c>
      <c r="H2" s="10">
        <v>2.02</v>
      </c>
      <c r="I2" s="4">
        <f>IF((November!I9+November!O9)&gt;0,(November!I9+November!O9),0)</f>
        <v>9885</v>
      </c>
      <c r="J2" s="10">
        <v>0.04</v>
      </c>
      <c r="K2" s="4">
        <f>IF((November!G9+November!M9)&gt;0,(November!G9+November!M9),0)</f>
        <v>6.1000000000000005</v>
      </c>
      <c r="L2" s="10">
        <v>41.04</v>
      </c>
      <c r="M2" s="4">
        <f>November!R9</f>
        <v>40</v>
      </c>
    </row>
    <row r="3" spans="1:25" x14ac:dyDescent="0.25">
      <c r="A3" s="3" t="s">
        <v>7</v>
      </c>
      <c r="B3" s="2">
        <f>B2+1</f>
        <v>2</v>
      </c>
      <c r="C3" s="14">
        <v>11</v>
      </c>
      <c r="D3" s="14">
        <v>2021</v>
      </c>
      <c r="E3" s="4">
        <f>IF(November!C10&gt;0,November!C10,0)</f>
        <v>6600</v>
      </c>
      <c r="F3" s="9">
        <v>0.1298</v>
      </c>
      <c r="G3" s="4">
        <f>IF(November!E10&gt;0,November!E10,0)</f>
        <v>9.423</v>
      </c>
      <c r="H3" s="14">
        <v>2.02</v>
      </c>
      <c r="I3" s="4">
        <f>IF((November!I10+November!O10)&gt;0,(November!I10+November!O10),0)</f>
        <v>0</v>
      </c>
      <c r="J3" s="10">
        <v>0.04</v>
      </c>
      <c r="K3" s="4">
        <f>IF((November!G10+November!M10)&gt;0,(November!G10+November!M10),0)</f>
        <v>6.2</v>
      </c>
      <c r="L3" s="14">
        <v>41.04</v>
      </c>
      <c r="M3" s="4">
        <f>November!R10</f>
        <v>54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11</v>
      </c>
      <c r="D4" s="14">
        <v>2021</v>
      </c>
      <c r="E4" s="4">
        <f>IF(November!C11&gt;0,November!C11,0)</f>
        <v>3900</v>
      </c>
      <c r="F4" s="9">
        <v>0.1298</v>
      </c>
      <c r="G4" s="4">
        <f>IF(November!E11&gt;0,November!E11,0)</f>
        <v>6.282</v>
      </c>
      <c r="H4" s="14">
        <v>2.02</v>
      </c>
      <c r="I4" s="4">
        <f>IF((November!I11+November!O11)&gt;0,(November!I11+November!O11),0)</f>
        <v>9004518</v>
      </c>
      <c r="J4" s="10">
        <v>0.04</v>
      </c>
      <c r="K4" s="4">
        <f>IF((November!G11+November!M11)&gt;0,(November!G11+November!M11),0)</f>
        <v>3.3000000000000003</v>
      </c>
      <c r="L4" s="14">
        <v>41.04</v>
      </c>
      <c r="M4" s="4">
        <f>November!R11</f>
        <v>41</v>
      </c>
    </row>
    <row r="5" spans="1:25" x14ac:dyDescent="0.25">
      <c r="A5" s="3" t="s">
        <v>7</v>
      </c>
      <c r="B5" s="2">
        <f t="shared" si="0"/>
        <v>4</v>
      </c>
      <c r="C5" s="14">
        <v>11</v>
      </c>
      <c r="D5" s="14">
        <v>2021</v>
      </c>
      <c r="E5" s="4">
        <f>IF(November!C12&gt;0,November!C12,0)</f>
        <v>6600</v>
      </c>
      <c r="F5" s="9">
        <v>0.1298</v>
      </c>
      <c r="G5" s="4">
        <f>IF(November!E12&gt;0,November!E12,0)</f>
        <v>10.469999999999999</v>
      </c>
      <c r="H5" s="14">
        <v>2.02</v>
      </c>
      <c r="I5" s="4">
        <f>IF((November!I12+November!O12)&gt;0,(November!I12+November!O12),0)</f>
        <v>8916</v>
      </c>
      <c r="J5" s="10">
        <v>0.04</v>
      </c>
      <c r="K5" s="4">
        <f>IF((November!G12+November!M12)&gt;0,(November!G12+November!M12),0)</f>
        <v>4.9000000000000004</v>
      </c>
      <c r="L5" s="14">
        <v>41.04</v>
      </c>
      <c r="M5" s="4">
        <f>November!R12</f>
        <v>57</v>
      </c>
    </row>
    <row r="6" spans="1:25" x14ac:dyDescent="0.25">
      <c r="A6" s="3" t="s">
        <v>7</v>
      </c>
      <c r="B6" s="2">
        <f t="shared" si="0"/>
        <v>5</v>
      </c>
      <c r="C6" s="14">
        <v>11</v>
      </c>
      <c r="D6" s="14">
        <v>2021</v>
      </c>
      <c r="E6" s="4">
        <f>IF(November!C13&gt;0,November!C13,0)</f>
        <v>6600</v>
      </c>
      <c r="F6" s="9">
        <v>0.1298</v>
      </c>
      <c r="G6" s="4">
        <f>IF(November!E13&gt;0,November!E13,0)</f>
        <v>8.3759999999999994</v>
      </c>
      <c r="H6" s="14">
        <v>2.02</v>
      </c>
      <c r="I6" s="4">
        <f>IF((November!I13+November!O13)&gt;0,(November!I13+November!O13),0)</f>
        <v>9300</v>
      </c>
      <c r="J6" s="10">
        <v>0.04</v>
      </c>
      <c r="K6" s="4">
        <f>IF((November!G13+November!M13)&gt;0,(November!G13+November!M13),0)</f>
        <v>5.5</v>
      </c>
      <c r="L6" s="14">
        <v>41.04</v>
      </c>
      <c r="M6" s="4">
        <f>November!R13</f>
        <v>53</v>
      </c>
    </row>
    <row r="7" spans="1:25" x14ac:dyDescent="0.25">
      <c r="A7" s="3" t="s">
        <v>7</v>
      </c>
      <c r="B7" s="2">
        <f t="shared" si="0"/>
        <v>6</v>
      </c>
      <c r="C7" s="14">
        <v>11</v>
      </c>
      <c r="D7" s="14">
        <v>2021</v>
      </c>
      <c r="E7" s="4">
        <f>IF(November!C14&gt;0,November!C14,0)</f>
        <v>6000</v>
      </c>
      <c r="F7" s="9">
        <v>0.1298</v>
      </c>
      <c r="G7" s="4">
        <f>IF(November!E14&gt;0,November!E14,0)</f>
        <v>10.469999999999999</v>
      </c>
      <c r="H7" s="14">
        <v>2.02</v>
      </c>
      <c r="I7" s="4">
        <f>IF((November!I14+November!O14)&gt;0,(November!I14+November!O14),0)</f>
        <v>9790</v>
      </c>
      <c r="J7" s="10">
        <v>0.04</v>
      </c>
      <c r="K7" s="4">
        <f>IF((November!G14+November!M14)&gt;0,(November!G14+November!M14),0)</f>
        <v>5.3</v>
      </c>
      <c r="L7" s="14">
        <v>41.04</v>
      </c>
      <c r="M7" s="4">
        <f>November!R14</f>
        <v>47</v>
      </c>
    </row>
    <row r="8" spans="1:25" x14ac:dyDescent="0.25">
      <c r="A8" s="3" t="s">
        <v>7</v>
      </c>
      <c r="B8" s="2">
        <f t="shared" si="0"/>
        <v>7</v>
      </c>
      <c r="C8" s="14">
        <v>11</v>
      </c>
      <c r="D8" s="14">
        <v>2021</v>
      </c>
      <c r="E8" s="4">
        <f>IF(November!C15&gt;0,November!C15,0)</f>
        <v>6900</v>
      </c>
      <c r="F8" s="9">
        <v>0.1298</v>
      </c>
      <c r="G8" s="4">
        <f>IF(November!E15&gt;0,November!E15,0)</f>
        <v>10.469999999999999</v>
      </c>
      <c r="H8" s="14">
        <v>2.02</v>
      </c>
      <c r="I8" s="4">
        <f>IF((November!I15+November!O15)&gt;0,(November!I15+November!O15),0)</f>
        <v>9353</v>
      </c>
      <c r="J8" s="10">
        <v>0.04</v>
      </c>
      <c r="K8" s="4">
        <f>IF((November!G15+November!M15)&gt;0,(November!G15+November!M15),0)</f>
        <v>7.1000000000000005</v>
      </c>
      <c r="L8" s="14">
        <v>41.04</v>
      </c>
      <c r="M8" s="4">
        <f>November!R15</f>
        <v>49</v>
      </c>
    </row>
    <row r="9" spans="1:25" x14ac:dyDescent="0.25">
      <c r="A9" s="3" t="s">
        <v>7</v>
      </c>
      <c r="B9" s="2">
        <f t="shared" si="0"/>
        <v>8</v>
      </c>
      <c r="C9" s="14">
        <v>11</v>
      </c>
      <c r="D9" s="14">
        <v>2021</v>
      </c>
      <c r="E9" s="4">
        <f>IF(November!C16&gt;0,November!C16,0)</f>
        <v>8700</v>
      </c>
      <c r="F9" s="9">
        <v>0.1298</v>
      </c>
      <c r="G9" s="4">
        <f>IF(November!E16&gt;0,November!E16,0)</f>
        <v>12.564</v>
      </c>
      <c r="H9" s="14">
        <v>2.02</v>
      </c>
      <c r="I9" s="4">
        <f>IF((November!I16+November!O16)&gt;0,(November!I16+November!O16),0)</f>
        <v>11006</v>
      </c>
      <c r="J9" s="10">
        <v>0.04</v>
      </c>
      <c r="K9" s="4">
        <f>IF((November!G16+November!M16)&gt;0,(November!G16+November!M16),0)</f>
        <v>8.1</v>
      </c>
      <c r="L9" s="14">
        <v>41.04</v>
      </c>
      <c r="M9" s="4">
        <f>November!R16</f>
        <v>36</v>
      </c>
    </row>
    <row r="10" spans="1:25" x14ac:dyDescent="0.25">
      <c r="A10" s="3" t="s">
        <v>7</v>
      </c>
      <c r="B10" s="2">
        <f t="shared" si="0"/>
        <v>9</v>
      </c>
      <c r="C10" s="14">
        <v>11</v>
      </c>
      <c r="D10" s="14">
        <v>2021</v>
      </c>
      <c r="E10" s="4">
        <f>IF(November!C17&gt;0,November!C17,0)</f>
        <v>3300</v>
      </c>
      <c r="F10" s="9">
        <v>0.1298</v>
      </c>
      <c r="G10" s="4">
        <f>IF(November!E17&gt;0,November!E17,0)</f>
        <v>5.2349999999999994</v>
      </c>
      <c r="H10" s="14">
        <v>2.02</v>
      </c>
      <c r="I10" s="4">
        <f>IF((November!I17+November!O17)&gt;0,(November!I17+November!O17),0)</f>
        <v>4560</v>
      </c>
      <c r="J10" s="10">
        <v>0.04</v>
      </c>
      <c r="K10" s="4">
        <f>IF((November!G17+November!M17)&gt;0,(November!G17+November!M17),0)</f>
        <v>4.0999999999999996</v>
      </c>
      <c r="L10" s="14">
        <v>41.04</v>
      </c>
      <c r="M10" s="4">
        <f>November!R17</f>
        <v>39</v>
      </c>
    </row>
    <row r="11" spans="1:25" x14ac:dyDescent="0.25">
      <c r="A11" s="3" t="s">
        <v>7</v>
      </c>
      <c r="B11" s="2">
        <f t="shared" si="0"/>
        <v>10</v>
      </c>
      <c r="C11" s="14">
        <v>11</v>
      </c>
      <c r="D11" s="14">
        <v>2021</v>
      </c>
      <c r="E11" s="4">
        <f>IF(November!C18&gt;0,November!C18,0)</f>
        <v>3900</v>
      </c>
      <c r="F11" s="9">
        <v>0.1298</v>
      </c>
      <c r="G11" s="4">
        <f>IF(November!E18&gt;0,November!E18,0)</f>
        <v>7.3289999999999997</v>
      </c>
      <c r="H11" s="14">
        <v>2.02</v>
      </c>
      <c r="I11" s="4">
        <f>IF((November!I18+November!O18)&gt;0,(November!I18+November!O18),0)</f>
        <v>4456</v>
      </c>
      <c r="J11" s="10">
        <v>0.04</v>
      </c>
      <c r="K11" s="4">
        <f>IF((November!G18+November!M18)&gt;0,(November!G18+November!M18),0)</f>
        <v>4.5</v>
      </c>
      <c r="L11" s="14">
        <v>41.04</v>
      </c>
      <c r="M11" s="4">
        <f>November!R18</f>
        <v>39</v>
      </c>
    </row>
    <row r="12" spans="1:25" x14ac:dyDescent="0.25">
      <c r="A12" s="3" t="s">
        <v>7</v>
      </c>
      <c r="B12" s="2">
        <f t="shared" si="0"/>
        <v>11</v>
      </c>
      <c r="C12" s="14">
        <v>11</v>
      </c>
      <c r="D12" s="14">
        <v>2021</v>
      </c>
      <c r="E12" s="4">
        <f>IF(November!C19&gt;0,November!C19,0)</f>
        <v>5700</v>
      </c>
      <c r="F12" s="9">
        <v>0.1298</v>
      </c>
      <c r="G12" s="4">
        <f>IF(November!E19&gt;0,November!E19,0)</f>
        <v>8.3759999999999994</v>
      </c>
      <c r="H12" s="14">
        <v>2.02</v>
      </c>
      <c r="I12" s="4">
        <f>IF((November!I19+November!O19)&gt;0,(November!I19+November!O19),0)</f>
        <v>6650</v>
      </c>
      <c r="J12" s="10">
        <v>0.04</v>
      </c>
      <c r="K12" s="4">
        <f>IF((November!G19+November!M19)&gt;0,(November!G19+November!M19),0)</f>
        <v>4.9000000000000004</v>
      </c>
      <c r="L12" s="14">
        <v>41.04</v>
      </c>
      <c r="M12" s="4">
        <f>November!R19</f>
        <v>40</v>
      </c>
    </row>
    <row r="13" spans="1:25" x14ac:dyDescent="0.25">
      <c r="A13" s="3" t="s">
        <v>7</v>
      </c>
      <c r="B13" s="2">
        <f t="shared" si="0"/>
        <v>12</v>
      </c>
      <c r="C13" s="14">
        <v>11</v>
      </c>
      <c r="D13" s="14">
        <v>2021</v>
      </c>
      <c r="E13" s="4">
        <f>IF(November!C20&gt;0,November!C20,0)</f>
        <v>6300</v>
      </c>
      <c r="F13" s="9">
        <v>0.1298</v>
      </c>
      <c r="G13" s="4">
        <f>IF(November!E20&gt;0,November!E20,0)</f>
        <v>8.3759999999999994</v>
      </c>
      <c r="H13" s="14">
        <v>2.02</v>
      </c>
      <c r="I13" s="4">
        <f>IF((November!I20+November!O20)&gt;0,(November!I20+November!O20),0)</f>
        <v>8560</v>
      </c>
      <c r="J13" s="10">
        <v>0.04</v>
      </c>
      <c r="K13" s="4">
        <f>IF((November!G20+November!M20)&gt;0,(November!G20+November!M20),0)</f>
        <v>5.4</v>
      </c>
      <c r="L13" s="14">
        <v>41.04</v>
      </c>
      <c r="M13" s="4">
        <f>November!R20</f>
        <v>48</v>
      </c>
    </row>
    <row r="14" spans="1:25" x14ac:dyDescent="0.25">
      <c r="A14" s="3" t="s">
        <v>7</v>
      </c>
      <c r="B14" s="2">
        <f t="shared" si="0"/>
        <v>13</v>
      </c>
      <c r="C14" s="14">
        <v>11</v>
      </c>
      <c r="D14" s="14">
        <v>2021</v>
      </c>
      <c r="E14" s="4">
        <f>IF(November!C21&gt;0,November!C21,0)</f>
        <v>6300</v>
      </c>
      <c r="F14" s="9">
        <v>0.1298</v>
      </c>
      <c r="G14" s="4">
        <f>IF(November!E21&gt;0,November!E21,0)</f>
        <v>8.3759999999999994</v>
      </c>
      <c r="H14" s="14">
        <v>2.02</v>
      </c>
      <c r="I14" s="4">
        <f>IF((November!I21+November!O21)&gt;0,(November!I21+November!O21),0)</f>
        <v>9650</v>
      </c>
      <c r="J14" s="10">
        <v>0.04</v>
      </c>
      <c r="K14" s="4">
        <f>IF((November!G21+November!M21)&gt;0,(November!G21+November!M21),0)</f>
        <v>5.4</v>
      </c>
      <c r="L14" s="14">
        <v>41.04</v>
      </c>
      <c r="M14" s="4">
        <f>November!R21</f>
        <v>61</v>
      </c>
    </row>
    <row r="15" spans="1:25" x14ac:dyDescent="0.25">
      <c r="A15" s="3" t="s">
        <v>7</v>
      </c>
      <c r="B15" s="2">
        <f t="shared" si="0"/>
        <v>14</v>
      </c>
      <c r="C15" s="14">
        <v>11</v>
      </c>
      <c r="D15" s="14">
        <v>2021</v>
      </c>
      <c r="E15" s="4">
        <f>IF(November!C22&gt;0,November!C22,0)</f>
        <v>7800</v>
      </c>
      <c r="F15" s="9">
        <v>0.1298</v>
      </c>
      <c r="G15" s="4">
        <f>IF(November!E22&gt;0,November!E22,0)</f>
        <v>8.3759999999999994</v>
      </c>
      <c r="H15" s="14">
        <v>2.02</v>
      </c>
      <c r="I15" s="4">
        <f>IF((November!I22+November!O22)&gt;0,(November!I22+November!O22),0)</f>
        <v>9610</v>
      </c>
      <c r="J15" s="10">
        <v>0.04</v>
      </c>
      <c r="K15" s="4">
        <f>IF((November!G22+November!M22)&gt;0,(November!G22+November!M22),0)</f>
        <v>4.7</v>
      </c>
      <c r="L15" s="14">
        <v>41.04</v>
      </c>
      <c r="M15" s="4">
        <f>November!R22</f>
        <v>63</v>
      </c>
    </row>
    <row r="16" spans="1:25" x14ac:dyDescent="0.25">
      <c r="A16" s="3" t="s">
        <v>7</v>
      </c>
      <c r="B16" s="2">
        <f t="shared" si="0"/>
        <v>15</v>
      </c>
      <c r="C16" s="14">
        <v>11</v>
      </c>
      <c r="D16" s="14">
        <v>2021</v>
      </c>
      <c r="E16" s="4">
        <f>IF(November!C23&gt;0,November!C23,0)</f>
        <v>6900</v>
      </c>
      <c r="F16" s="9">
        <v>0.1298</v>
      </c>
      <c r="G16" s="4">
        <f>IF(November!E23&gt;0,November!E23,0)</f>
        <v>9.423</v>
      </c>
      <c r="H16" s="14">
        <v>2.02</v>
      </c>
      <c r="I16" s="4">
        <f>IF((November!I23+November!O23)&gt;0,(November!I23+November!O23),0)</f>
        <v>9073</v>
      </c>
      <c r="J16" s="10">
        <v>0.04</v>
      </c>
      <c r="K16" s="4">
        <f>IF((November!G23+November!M23)&gt;0,(November!G23+November!M23),0)</f>
        <v>5.4</v>
      </c>
      <c r="L16" s="14">
        <v>41.04</v>
      </c>
      <c r="M16" s="4">
        <f>November!R23</f>
        <v>37</v>
      </c>
    </row>
    <row r="17" spans="1:13" x14ac:dyDescent="0.25">
      <c r="A17" s="3" t="s">
        <v>7</v>
      </c>
      <c r="B17" s="2">
        <f t="shared" si="0"/>
        <v>16</v>
      </c>
      <c r="C17" s="14">
        <v>11</v>
      </c>
      <c r="D17" s="14">
        <v>2021</v>
      </c>
      <c r="E17" s="4">
        <f>IF(November!C24&gt;0,November!C24,0)</f>
        <v>5100</v>
      </c>
      <c r="F17" s="9">
        <v>0.1298</v>
      </c>
      <c r="G17" s="4">
        <f>IF(November!E24&gt;0,November!E24,0)</f>
        <v>7.3289999999999997</v>
      </c>
      <c r="H17" s="14">
        <v>2.02</v>
      </c>
      <c r="I17" s="4">
        <f>IF((November!I24+November!O24)&gt;0,(November!I24+November!O24),0)</f>
        <v>6707</v>
      </c>
      <c r="J17" s="10">
        <v>0.04</v>
      </c>
      <c r="K17" s="4">
        <f>IF((November!G24+November!M24)&gt;0,(November!G24+November!M24),0)</f>
        <v>7.7</v>
      </c>
      <c r="L17" s="14">
        <v>41.04</v>
      </c>
      <c r="M17" s="4">
        <f>November!R24</f>
        <v>53</v>
      </c>
    </row>
    <row r="18" spans="1:13" x14ac:dyDescent="0.25">
      <c r="A18" s="3" t="s">
        <v>7</v>
      </c>
      <c r="B18" s="2">
        <f t="shared" si="0"/>
        <v>17</v>
      </c>
      <c r="C18" s="14">
        <v>11</v>
      </c>
      <c r="D18" s="14">
        <v>2021</v>
      </c>
      <c r="E18" s="4">
        <f>IF(November!C25&gt;0,November!C25,0)</f>
        <v>4500</v>
      </c>
      <c r="F18" s="9">
        <v>0.1298</v>
      </c>
      <c r="G18" s="4">
        <f>IF(November!E25&gt;0,November!E25,0)</f>
        <v>6.282</v>
      </c>
      <c r="H18" s="14">
        <v>2.02</v>
      </c>
      <c r="I18" s="4">
        <f>IF((November!I25+November!O25)&gt;0,(November!I25+November!O25),0)</f>
        <v>4847</v>
      </c>
      <c r="J18" s="10">
        <v>0.04</v>
      </c>
      <c r="K18" s="4">
        <f>IF((November!G25+November!M25)&gt;0,(November!G25+November!M25),0)</f>
        <v>3.9000000000000004</v>
      </c>
      <c r="L18" s="14">
        <v>41.04</v>
      </c>
      <c r="M18" s="4">
        <f>November!R25</f>
        <v>63</v>
      </c>
    </row>
    <row r="19" spans="1:13" x14ac:dyDescent="0.25">
      <c r="A19" s="3" t="s">
        <v>7</v>
      </c>
      <c r="B19" s="2">
        <f t="shared" si="0"/>
        <v>18</v>
      </c>
      <c r="C19" s="14">
        <v>11</v>
      </c>
      <c r="D19" s="14">
        <v>2021</v>
      </c>
      <c r="E19" s="4">
        <f>IF(November!C26&gt;0,November!C26,0)</f>
        <v>6000</v>
      </c>
      <c r="F19" s="9">
        <v>0.1298</v>
      </c>
      <c r="G19" s="4">
        <f>IF(November!E26&gt;0,November!E26,0)</f>
        <v>7.3289999999999997</v>
      </c>
      <c r="H19" s="14">
        <v>2.02</v>
      </c>
      <c r="I19" s="4">
        <f>IF((November!I26+November!O26)&gt;0,(November!I26+November!O26),0)</f>
        <v>7700</v>
      </c>
      <c r="J19" s="10">
        <v>0.04</v>
      </c>
      <c r="K19" s="4">
        <f>IF((November!G26+November!M26)&gt;0,(November!G26+November!M26),0)</f>
        <v>7.0000000000000009</v>
      </c>
      <c r="L19" s="14">
        <v>41.04</v>
      </c>
      <c r="M19" s="4">
        <f>November!R26</f>
        <v>54</v>
      </c>
    </row>
    <row r="20" spans="1:13" x14ac:dyDescent="0.25">
      <c r="A20" s="3" t="s">
        <v>7</v>
      </c>
      <c r="B20" s="2">
        <f t="shared" si="0"/>
        <v>19</v>
      </c>
      <c r="C20" s="14">
        <v>11</v>
      </c>
      <c r="D20" s="14">
        <v>2021</v>
      </c>
      <c r="E20" s="4">
        <f>IF(November!C27&gt;0,November!C27,0)</f>
        <v>5700</v>
      </c>
      <c r="F20" s="9">
        <v>0.1298</v>
      </c>
      <c r="G20" s="4">
        <f>IF(November!E27&gt;0,November!E27,0)</f>
        <v>7.3289999999999997</v>
      </c>
      <c r="H20" s="14">
        <v>2.02</v>
      </c>
      <c r="I20" s="4">
        <f>IF((November!I27+November!O27)&gt;0,(November!I27+November!O27),0)</f>
        <v>8590</v>
      </c>
      <c r="J20" s="10">
        <v>0.04</v>
      </c>
      <c r="K20" s="4">
        <f>IF((November!G27+November!M27)&gt;0,(November!G27+November!M27),0)</f>
        <v>6.7</v>
      </c>
      <c r="L20" s="14">
        <v>41.04</v>
      </c>
      <c r="M20" s="4">
        <f>November!R27</f>
        <v>58</v>
      </c>
    </row>
    <row r="21" spans="1:13" x14ac:dyDescent="0.25">
      <c r="A21" s="3" t="s">
        <v>7</v>
      </c>
      <c r="B21" s="2">
        <f t="shared" si="0"/>
        <v>20</v>
      </c>
      <c r="C21" s="14">
        <v>11</v>
      </c>
      <c r="D21" s="14">
        <v>2021</v>
      </c>
      <c r="E21" s="4">
        <f>IF(November!C28&gt;0,November!C28,0)</f>
        <v>6600</v>
      </c>
      <c r="F21" s="9">
        <v>0.1298</v>
      </c>
      <c r="G21" s="4">
        <f>IF(November!E28&gt;0,November!E28,0)</f>
        <v>10.469999999999999</v>
      </c>
      <c r="H21" s="14">
        <v>2.02</v>
      </c>
      <c r="I21" s="4">
        <f>IF((November!I28+November!O28)&gt;0,(November!I28+November!O28),0)</f>
        <v>13091</v>
      </c>
      <c r="J21" s="10">
        <v>0.04</v>
      </c>
      <c r="K21" s="4">
        <f>IF((November!G28+November!M28)&gt;0,(November!G28+November!M28),0)</f>
        <v>9.9000000000000021</v>
      </c>
      <c r="L21" s="14">
        <v>41.04</v>
      </c>
      <c r="M21" s="4">
        <f>November!R28</f>
        <v>53</v>
      </c>
    </row>
    <row r="22" spans="1:13" x14ac:dyDescent="0.25">
      <c r="A22" s="3" t="s">
        <v>7</v>
      </c>
      <c r="B22" s="2">
        <f t="shared" si="0"/>
        <v>21</v>
      </c>
      <c r="C22" s="14">
        <v>11</v>
      </c>
      <c r="D22" s="14">
        <v>2021</v>
      </c>
      <c r="E22" s="4">
        <f>IF(November!C29&gt;0,November!C29,0)</f>
        <v>6300</v>
      </c>
      <c r="F22" s="9">
        <v>0.1298</v>
      </c>
      <c r="G22" s="4">
        <f>IF(November!E29&gt;0,November!E29,0)</f>
        <v>11.516999999999999</v>
      </c>
      <c r="H22" s="14">
        <v>2.02</v>
      </c>
      <c r="I22" s="4">
        <f>IF((November!I29+November!O29)&gt;0,(November!I29+November!O29),0)</f>
        <v>5200</v>
      </c>
      <c r="J22" s="10">
        <v>0.04</v>
      </c>
      <c r="K22" s="4">
        <f>IF((November!G29+November!M29)&gt;0,(November!G29+November!M29),0)</f>
        <v>4.5</v>
      </c>
      <c r="L22" s="14">
        <v>41.04</v>
      </c>
      <c r="M22" s="4">
        <f>November!R29</f>
        <v>52</v>
      </c>
    </row>
    <row r="23" spans="1:13" x14ac:dyDescent="0.25">
      <c r="A23" s="3" t="s">
        <v>7</v>
      </c>
      <c r="B23" s="2">
        <f t="shared" si="0"/>
        <v>22</v>
      </c>
      <c r="C23" s="14">
        <v>11</v>
      </c>
      <c r="D23" s="14">
        <v>2021</v>
      </c>
      <c r="E23" s="4">
        <f>IF(November!C30&gt;0,November!C30,0)</f>
        <v>4500</v>
      </c>
      <c r="F23" s="9">
        <v>0.1298</v>
      </c>
      <c r="G23" s="4">
        <f>IF(November!E30&gt;0,November!E30,0)</f>
        <v>7.3289999999999997</v>
      </c>
      <c r="H23" s="14">
        <v>2.02</v>
      </c>
      <c r="I23" s="4">
        <f>IF((November!I30+November!O30)&gt;0,(November!I30+November!O30),0)</f>
        <v>6141</v>
      </c>
      <c r="J23" s="10">
        <v>0.04</v>
      </c>
      <c r="K23" s="4">
        <f>IF((November!G30+November!M30)&gt;0,(November!G30+November!M30),0)</f>
        <v>4.6000000000000005</v>
      </c>
      <c r="L23" s="14">
        <v>41.04</v>
      </c>
      <c r="M23" s="4">
        <f>November!R30</f>
        <v>43</v>
      </c>
    </row>
    <row r="24" spans="1:13" x14ac:dyDescent="0.25">
      <c r="A24" s="3" t="s">
        <v>7</v>
      </c>
      <c r="B24" s="2">
        <f t="shared" si="0"/>
        <v>23</v>
      </c>
      <c r="C24" s="14">
        <v>11</v>
      </c>
      <c r="D24" s="14">
        <v>2021</v>
      </c>
      <c r="E24" s="4">
        <f>IF(November!C31&gt;0,November!C31,0)</f>
        <v>7500</v>
      </c>
      <c r="F24" s="9">
        <v>0.1298</v>
      </c>
      <c r="G24" s="4">
        <f>IF(November!E31&gt;0,November!E31,0)</f>
        <v>9.423</v>
      </c>
      <c r="H24" s="14">
        <v>2.02</v>
      </c>
      <c r="I24" s="4">
        <f>IF((November!I31+November!O31)&gt;0,(November!I31+November!O31),0)</f>
        <v>10939</v>
      </c>
      <c r="J24" s="10">
        <v>0.04</v>
      </c>
      <c r="K24" s="4">
        <f>IF((November!G31+November!M31)&gt;0,(November!G31+November!M31),0)</f>
        <v>7.3</v>
      </c>
      <c r="L24" s="14">
        <v>41.04</v>
      </c>
      <c r="M24" s="4">
        <f>November!R31</f>
        <v>0</v>
      </c>
    </row>
    <row r="25" spans="1:13" x14ac:dyDescent="0.25">
      <c r="A25" s="3" t="s">
        <v>7</v>
      </c>
      <c r="B25" s="2">
        <f t="shared" si="0"/>
        <v>24</v>
      </c>
      <c r="C25" s="14">
        <v>11</v>
      </c>
      <c r="D25" s="14">
        <v>2021</v>
      </c>
      <c r="E25" s="4">
        <f>IF(November!C32&gt;0,November!C32,0)</f>
        <v>3900</v>
      </c>
      <c r="F25" s="9">
        <v>0.1298</v>
      </c>
      <c r="G25" s="4">
        <f>IF(November!E32&gt;0,November!E32,0)</f>
        <v>6.282</v>
      </c>
      <c r="H25" s="14">
        <v>2.02</v>
      </c>
      <c r="I25" s="4">
        <f>IF((November!I32+November!O32)&gt;0,(November!I32+November!O32),0)</f>
        <v>4642</v>
      </c>
      <c r="J25" s="10">
        <v>0.04</v>
      </c>
      <c r="K25" s="4">
        <f>IF((November!G32+November!M32)&gt;0,(November!G32+November!M32),0)</f>
        <v>4.3000000000000007</v>
      </c>
      <c r="L25" s="14">
        <v>41.04</v>
      </c>
      <c r="M25" s="4">
        <f>November!R32</f>
        <v>27</v>
      </c>
    </row>
    <row r="26" spans="1:13" x14ac:dyDescent="0.25">
      <c r="A26" s="3" t="s">
        <v>7</v>
      </c>
      <c r="B26" s="2">
        <f>B25+1</f>
        <v>25</v>
      </c>
      <c r="C26" s="14">
        <v>11</v>
      </c>
      <c r="D26" s="14">
        <v>2021</v>
      </c>
      <c r="E26" s="4">
        <f>IF(November!C33&gt;0,November!C33,0)</f>
        <v>6900</v>
      </c>
      <c r="F26" s="9">
        <v>0.1298</v>
      </c>
      <c r="G26" s="4">
        <f>IF(November!E33&gt;0,November!E33,0)</f>
        <v>10.469999999999999</v>
      </c>
      <c r="H26" s="14">
        <v>2.02</v>
      </c>
      <c r="I26" s="4">
        <f>IF((November!I33+November!O33)&gt;0,(November!I33+November!O33),0)</f>
        <v>8288</v>
      </c>
      <c r="J26" s="10">
        <v>0.04</v>
      </c>
      <c r="K26" s="4">
        <f>IF((November!G33+November!M33)&gt;0,(November!G33+November!M33),0)</f>
        <v>6.9</v>
      </c>
      <c r="L26" s="14">
        <v>41.04</v>
      </c>
      <c r="M26" s="4">
        <f>November!R33</f>
        <v>34</v>
      </c>
    </row>
    <row r="27" spans="1:13" x14ac:dyDescent="0.25">
      <c r="A27" s="3" t="s">
        <v>7</v>
      </c>
      <c r="B27" s="2">
        <f t="shared" si="0"/>
        <v>26</v>
      </c>
      <c r="C27" s="14">
        <v>11</v>
      </c>
      <c r="D27" s="14">
        <v>2021</v>
      </c>
      <c r="E27" s="4">
        <f>IF(November!C34&gt;0,November!C34,0)</f>
        <v>4500</v>
      </c>
      <c r="F27" s="9">
        <v>0.1298</v>
      </c>
      <c r="G27" s="4">
        <f>IF(November!E34&gt;0,November!E34,0)</f>
        <v>6.282</v>
      </c>
      <c r="H27" s="14">
        <v>2.02</v>
      </c>
      <c r="I27" s="4">
        <f>IF((November!I34+November!O34)&gt;0,(November!I34+November!O34),0)</f>
        <v>5342</v>
      </c>
      <c r="J27" s="10">
        <v>0.04</v>
      </c>
      <c r="K27" s="4">
        <f>IF((November!G34+November!M34)&gt;0,(November!G34+November!M34),0)</f>
        <v>5.1000000000000005</v>
      </c>
      <c r="L27" s="14">
        <v>41.04</v>
      </c>
      <c r="M27" s="4">
        <f>November!R34</f>
        <v>42</v>
      </c>
    </row>
    <row r="28" spans="1:13" x14ac:dyDescent="0.25">
      <c r="A28" s="3" t="s">
        <v>7</v>
      </c>
      <c r="B28" s="2">
        <f t="shared" si="0"/>
        <v>27</v>
      </c>
      <c r="C28" s="14">
        <v>11</v>
      </c>
      <c r="D28" s="14">
        <v>2021</v>
      </c>
      <c r="E28" s="4">
        <f>IF(November!C35&gt;0,November!C35,0)</f>
        <v>5400</v>
      </c>
      <c r="F28" s="9">
        <v>0.1298</v>
      </c>
      <c r="G28" s="4">
        <f>IF(November!E35&gt;0,November!E35,0)</f>
        <v>8.3759999999999994</v>
      </c>
      <c r="H28" s="14">
        <v>2.02</v>
      </c>
      <c r="I28" s="4">
        <f>IF((November!I35+November!O35)&gt;0,(November!I35+November!O35),0)</f>
        <v>7270</v>
      </c>
      <c r="J28" s="10">
        <v>0.04</v>
      </c>
      <c r="K28" s="4">
        <f>IF((November!G35+November!M35)&gt;0,(November!G35+November!M35),0)</f>
        <v>5.6000000000000005</v>
      </c>
      <c r="L28" s="14">
        <v>41.04</v>
      </c>
      <c r="M28" s="4">
        <f>November!R35</f>
        <v>53</v>
      </c>
    </row>
    <row r="29" spans="1:13" x14ac:dyDescent="0.25">
      <c r="A29" s="3" t="s">
        <v>7</v>
      </c>
      <c r="B29" s="2">
        <f t="shared" si="0"/>
        <v>28</v>
      </c>
      <c r="C29" s="14">
        <v>11</v>
      </c>
      <c r="D29" s="14">
        <v>2021</v>
      </c>
      <c r="E29" s="4">
        <f>IF(November!C36&gt;0,November!C36,0)</f>
        <v>6600</v>
      </c>
      <c r="F29" s="9">
        <v>0.1298</v>
      </c>
      <c r="G29" s="4">
        <f>IF(November!E36&gt;0,November!E36,0)</f>
        <v>9.423</v>
      </c>
      <c r="H29" s="14">
        <v>2.02</v>
      </c>
      <c r="I29" s="4">
        <f>IF((November!I36+November!O36)&gt;0,(November!I36+November!O36),0)</f>
        <v>9236</v>
      </c>
      <c r="J29" s="10">
        <v>0.04</v>
      </c>
      <c r="K29" s="4">
        <f>IF((November!G36+November!M36)&gt;0,(November!G36+November!M36),0)</f>
        <v>5.5000000000000009</v>
      </c>
      <c r="L29" s="14">
        <v>41.04</v>
      </c>
      <c r="M29" s="4">
        <f>November!R36</f>
        <v>48</v>
      </c>
    </row>
    <row r="30" spans="1:13" x14ac:dyDescent="0.25">
      <c r="A30" s="3" t="s">
        <v>7</v>
      </c>
      <c r="B30" s="2">
        <f t="shared" si="0"/>
        <v>29</v>
      </c>
      <c r="C30" s="14">
        <v>11</v>
      </c>
      <c r="D30" s="14">
        <v>2021</v>
      </c>
      <c r="E30" s="4">
        <f>IF(November!C37&gt;0,November!C37,0)</f>
        <v>6600</v>
      </c>
      <c r="F30" s="9">
        <v>0.1298</v>
      </c>
      <c r="G30" s="4">
        <f>IF(November!E37&gt;0,November!E37,0)</f>
        <v>10.469999999999999</v>
      </c>
      <c r="H30" s="14">
        <v>2.02</v>
      </c>
      <c r="I30" s="4">
        <f>IF((November!I37+November!O37)&gt;0,(November!I37+November!O37),0)</f>
        <v>8412</v>
      </c>
      <c r="J30" s="10">
        <v>0.04</v>
      </c>
      <c r="K30" s="4">
        <f>IF((November!G37+November!M37)&gt;0,(November!G37+November!M37),0)</f>
        <v>6.9</v>
      </c>
      <c r="L30" s="14">
        <v>41.04</v>
      </c>
      <c r="M30" s="4">
        <f>November!R37</f>
        <v>0</v>
      </c>
    </row>
    <row r="31" spans="1:13" x14ac:dyDescent="0.25">
      <c r="A31" s="3" t="s">
        <v>7</v>
      </c>
      <c r="B31" s="2">
        <f t="shared" si="0"/>
        <v>30</v>
      </c>
      <c r="C31" s="14">
        <v>11</v>
      </c>
      <c r="D31" s="14">
        <v>2021</v>
      </c>
      <c r="E31" s="4">
        <f>IF(November!C38&gt;0,November!C38,0)</f>
        <v>6000</v>
      </c>
      <c r="F31" s="9">
        <v>0.1298</v>
      </c>
      <c r="G31" s="4">
        <f>IF(November!E38&gt;0,November!E38,0)</f>
        <v>7.3289999999999997</v>
      </c>
      <c r="H31" s="14">
        <v>2.02</v>
      </c>
      <c r="I31" s="4">
        <f>IF((November!I38+November!O38)&gt;0,(November!I38+November!O38),0)</f>
        <v>7155</v>
      </c>
      <c r="J31" s="10">
        <v>0.04</v>
      </c>
      <c r="K31" s="4">
        <f>IF((November!G38+November!M38)&gt;0,(November!G38+November!M38),0)</f>
        <v>5.0999999999999996</v>
      </c>
      <c r="L31" s="14">
        <v>41.04</v>
      </c>
      <c r="M31" s="4">
        <f>November!R38</f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0"/>
  <sheetViews>
    <sheetView showWhiteSpace="0" topLeftCell="I19" zoomScaleNormal="100" workbookViewId="0">
      <selection activeCell="S31" sqref="S31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7" width="13.7109375" style="16" customWidth="1"/>
    <col min="18" max="16384" width="9.140625" style="16"/>
  </cols>
  <sheetData>
    <row r="1" spans="1:18" ht="18" customHeight="1" x14ac:dyDescent="0.25">
      <c r="A1" s="32"/>
      <c r="B1" s="32"/>
      <c r="C1" s="15"/>
    </row>
    <row r="2" spans="1:18" ht="21" x14ac:dyDescent="0.35">
      <c r="A2" s="33" t="s">
        <v>34</v>
      </c>
      <c r="B2" s="33"/>
      <c r="C2" s="33"/>
      <c r="D2" s="33"/>
      <c r="E2" s="33"/>
      <c r="F2" s="33"/>
      <c r="G2" s="33"/>
      <c r="H2" s="33"/>
      <c r="I2" s="33"/>
      <c r="J2" s="33"/>
      <c r="K2" s="17"/>
    </row>
    <row r="3" spans="1:18" ht="16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17"/>
    </row>
    <row r="4" spans="1:18" s="19" customFormat="1" ht="24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17205</v>
      </c>
      <c r="C6" s="21"/>
      <c r="D6" s="21">
        <v>48628</v>
      </c>
      <c r="E6" s="21"/>
      <c r="F6" s="21">
        <v>29248</v>
      </c>
      <c r="G6" s="21"/>
      <c r="H6" s="21">
        <v>10789316</v>
      </c>
      <c r="I6" s="21"/>
      <c r="J6" s="21">
        <v>351654</v>
      </c>
      <c r="K6" s="21"/>
      <c r="L6" s="21">
        <v>15066</v>
      </c>
      <c r="M6" s="21"/>
      <c r="N6" s="22">
        <v>28727309</v>
      </c>
      <c r="O6" s="22"/>
      <c r="P6" s="22">
        <v>6246346</v>
      </c>
      <c r="Q6" s="22"/>
    </row>
    <row r="7" spans="1:18" s="25" customFormat="1" ht="10.5" customHeight="1" x14ac:dyDescent="0.25">
      <c r="A7" s="35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6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17227</v>
      </c>
      <c r="C9" s="29">
        <f>+(B9-B6)*300</f>
        <v>6600</v>
      </c>
      <c r="D9" s="29">
        <v>48640</v>
      </c>
      <c r="E9" s="29">
        <f>+(D9-D6)*1.047</f>
        <v>12.564</v>
      </c>
      <c r="F9" s="29">
        <v>29260</v>
      </c>
      <c r="G9" s="29">
        <f>+(F9-F6)*0.1</f>
        <v>1.2000000000000002</v>
      </c>
      <c r="H9" s="29">
        <v>10790660</v>
      </c>
      <c r="I9" s="29">
        <f>+H9-H6</f>
        <v>1344</v>
      </c>
      <c r="J9" s="29">
        <v>351723</v>
      </c>
      <c r="K9" s="29">
        <f>+J9-J6</f>
        <v>69</v>
      </c>
      <c r="L9" s="29">
        <v>15115</v>
      </c>
      <c r="M9" s="29">
        <f>+(L9-L6)*0.1</f>
        <v>4.9000000000000004</v>
      </c>
      <c r="N9" s="29">
        <v>28735850</v>
      </c>
      <c r="O9" s="29">
        <f>+N9-N6</f>
        <v>8541</v>
      </c>
      <c r="P9" s="29">
        <v>6246347</v>
      </c>
      <c r="Q9" s="29">
        <f>+P9-P6</f>
        <v>1</v>
      </c>
      <c r="R9" s="29">
        <v>40</v>
      </c>
    </row>
    <row r="10" spans="1:18" ht="20.25" customHeight="1" x14ac:dyDescent="0.25">
      <c r="A10" s="29">
        <v>2</v>
      </c>
      <c r="B10" s="29">
        <v>17249</v>
      </c>
      <c r="C10" s="29">
        <f>+(B10-B9)*300</f>
        <v>6600</v>
      </c>
      <c r="D10" s="29">
        <v>48649</v>
      </c>
      <c r="E10" s="29">
        <f>+(D10-D9)*1.047</f>
        <v>9.423</v>
      </c>
      <c r="F10" s="29">
        <v>29270</v>
      </c>
      <c r="G10" s="29">
        <f>+(F10-F9)*0.1</f>
        <v>1</v>
      </c>
      <c r="H10" s="29">
        <v>1791665</v>
      </c>
      <c r="I10" s="29">
        <f>+H10-H9</f>
        <v>-8998995</v>
      </c>
      <c r="J10" s="29">
        <v>351860</v>
      </c>
      <c r="K10" s="29">
        <f>+J10-J9</f>
        <v>137</v>
      </c>
      <c r="L10" s="29">
        <v>15167</v>
      </c>
      <c r="M10" s="29">
        <f>+(L10-L9)*0.1</f>
        <v>5.2</v>
      </c>
      <c r="N10" s="29">
        <v>28743606</v>
      </c>
      <c r="O10" s="29">
        <f>+N10-N9</f>
        <v>7756</v>
      </c>
      <c r="P10" s="29">
        <v>6246347</v>
      </c>
      <c r="Q10" s="29">
        <f>+P10-P9</f>
        <v>0</v>
      </c>
      <c r="R10" s="29">
        <v>54</v>
      </c>
    </row>
    <row r="11" spans="1:18" ht="20.25" customHeight="1" x14ac:dyDescent="0.25">
      <c r="A11" s="29">
        <v>3</v>
      </c>
      <c r="B11" s="29">
        <v>17262</v>
      </c>
      <c r="C11" s="29">
        <f t="shared" ref="C11:C38" si="0">+(B11-B10)*300</f>
        <v>3900</v>
      </c>
      <c r="D11" s="29">
        <v>48655</v>
      </c>
      <c r="E11" s="29">
        <f t="shared" ref="E11:E38" si="1">+(D11-D10)*1.047</f>
        <v>6.282</v>
      </c>
      <c r="F11" s="29">
        <v>29276</v>
      </c>
      <c r="G11" s="29">
        <f t="shared" ref="G11:G38" si="2">+(F11-F10)*0.1</f>
        <v>0.60000000000000009</v>
      </c>
      <c r="H11" s="29">
        <v>10792315</v>
      </c>
      <c r="I11" s="29">
        <f>+H11-H10</f>
        <v>9000650</v>
      </c>
      <c r="J11" s="29">
        <v>351930</v>
      </c>
      <c r="K11" s="29">
        <f>+J11-J10</f>
        <v>70</v>
      </c>
      <c r="L11" s="29">
        <v>15194</v>
      </c>
      <c r="M11" s="29">
        <f t="shared" ref="M11:M38" si="3">+(L11-L10)*0.1</f>
        <v>2.7</v>
      </c>
      <c r="N11" s="29">
        <v>28747474</v>
      </c>
      <c r="O11" s="29">
        <f>+N11-N10</f>
        <v>3868</v>
      </c>
      <c r="P11" s="29">
        <v>6246363</v>
      </c>
      <c r="Q11" s="29">
        <f>+P11-P10</f>
        <v>16</v>
      </c>
      <c r="R11" s="29">
        <v>41</v>
      </c>
    </row>
    <row r="12" spans="1:18" ht="20.25" customHeight="1" x14ac:dyDescent="0.25">
      <c r="A12" s="29">
        <v>4</v>
      </c>
      <c r="B12" s="29">
        <v>17284</v>
      </c>
      <c r="C12" s="29">
        <f t="shared" si="0"/>
        <v>6600</v>
      </c>
      <c r="D12" s="29">
        <v>48665</v>
      </c>
      <c r="E12" s="29">
        <f t="shared" si="1"/>
        <v>10.469999999999999</v>
      </c>
      <c r="F12" s="29">
        <v>29285</v>
      </c>
      <c r="G12" s="29">
        <f t="shared" si="2"/>
        <v>0.9</v>
      </c>
      <c r="H12" s="29">
        <v>10793350</v>
      </c>
      <c r="I12" s="29">
        <f t="shared" ref="I12:K38" si="4">+H12-H11</f>
        <v>1035</v>
      </c>
      <c r="J12" s="29">
        <v>351992</v>
      </c>
      <c r="K12" s="29">
        <f t="shared" si="4"/>
        <v>62</v>
      </c>
      <c r="L12" s="29">
        <v>15234</v>
      </c>
      <c r="M12" s="29">
        <f t="shared" si="3"/>
        <v>4</v>
      </c>
      <c r="N12" s="29">
        <v>28755355</v>
      </c>
      <c r="O12" s="29">
        <f t="shared" ref="O12:Q27" si="5">+N12-N11</f>
        <v>7881</v>
      </c>
      <c r="P12" s="29">
        <v>6246557</v>
      </c>
      <c r="Q12" s="29">
        <f t="shared" si="5"/>
        <v>194</v>
      </c>
      <c r="R12" s="29">
        <v>57</v>
      </c>
    </row>
    <row r="13" spans="1:18" ht="20.25" customHeight="1" x14ac:dyDescent="0.25">
      <c r="A13" s="29">
        <v>5</v>
      </c>
      <c r="B13" s="29">
        <v>17306</v>
      </c>
      <c r="C13" s="29">
        <f t="shared" si="0"/>
        <v>6600</v>
      </c>
      <c r="D13" s="29">
        <v>48673</v>
      </c>
      <c r="E13" s="29">
        <f t="shared" si="1"/>
        <v>8.3759999999999994</v>
      </c>
      <c r="F13" s="29">
        <v>29297</v>
      </c>
      <c r="G13" s="29">
        <f t="shared" si="2"/>
        <v>1.2000000000000002</v>
      </c>
      <c r="H13" s="29">
        <v>10794060</v>
      </c>
      <c r="I13" s="29">
        <f t="shared" si="4"/>
        <v>710</v>
      </c>
      <c r="J13" s="29">
        <v>352133</v>
      </c>
      <c r="K13" s="29">
        <f t="shared" si="4"/>
        <v>141</v>
      </c>
      <c r="L13" s="29">
        <v>15277</v>
      </c>
      <c r="M13" s="29">
        <f t="shared" si="3"/>
        <v>4.3</v>
      </c>
      <c r="N13" s="29">
        <v>28763945</v>
      </c>
      <c r="O13" s="29">
        <f t="shared" si="5"/>
        <v>8590</v>
      </c>
      <c r="P13" s="29">
        <v>6246848</v>
      </c>
      <c r="Q13" s="29">
        <f t="shared" si="5"/>
        <v>291</v>
      </c>
      <c r="R13" s="29">
        <v>53</v>
      </c>
    </row>
    <row r="14" spans="1:18" ht="20.25" customHeight="1" x14ac:dyDescent="0.25">
      <c r="A14" s="29">
        <v>6</v>
      </c>
      <c r="B14" s="29">
        <v>17326</v>
      </c>
      <c r="C14" s="29">
        <f t="shared" si="0"/>
        <v>6000</v>
      </c>
      <c r="D14" s="29">
        <v>48683</v>
      </c>
      <c r="E14" s="29">
        <f t="shared" si="1"/>
        <v>10.469999999999999</v>
      </c>
      <c r="F14" s="29">
        <v>29305</v>
      </c>
      <c r="G14" s="29">
        <f t="shared" si="2"/>
        <v>0.8</v>
      </c>
      <c r="H14" s="29">
        <v>10795205</v>
      </c>
      <c r="I14" s="29">
        <f t="shared" si="4"/>
        <v>1145</v>
      </c>
      <c r="J14" s="29">
        <v>352237</v>
      </c>
      <c r="K14" s="29">
        <f t="shared" si="4"/>
        <v>104</v>
      </c>
      <c r="L14" s="29">
        <v>15322</v>
      </c>
      <c r="M14" s="29">
        <f t="shared" si="3"/>
        <v>4.5</v>
      </c>
      <c r="N14" s="29">
        <v>28772590</v>
      </c>
      <c r="O14" s="29">
        <f t="shared" si="5"/>
        <v>8645</v>
      </c>
      <c r="P14" s="29">
        <v>6247032</v>
      </c>
      <c r="Q14" s="29">
        <f t="shared" si="5"/>
        <v>184</v>
      </c>
      <c r="R14" s="29">
        <v>47</v>
      </c>
    </row>
    <row r="15" spans="1:18" ht="20.25" customHeight="1" x14ac:dyDescent="0.25">
      <c r="A15" s="29">
        <v>7</v>
      </c>
      <c r="B15" s="29">
        <v>17349</v>
      </c>
      <c r="C15" s="29">
        <f t="shared" si="0"/>
        <v>6900</v>
      </c>
      <c r="D15" s="29">
        <v>48693</v>
      </c>
      <c r="E15" s="29">
        <f t="shared" si="1"/>
        <v>10.469999999999999</v>
      </c>
      <c r="F15" s="29">
        <v>29318</v>
      </c>
      <c r="G15" s="29">
        <f t="shared" si="2"/>
        <v>1.3</v>
      </c>
      <c r="H15" s="29">
        <v>10795834</v>
      </c>
      <c r="I15" s="29">
        <f t="shared" si="4"/>
        <v>629</v>
      </c>
      <c r="J15" s="29">
        <v>352319</v>
      </c>
      <c r="K15" s="29">
        <f t="shared" si="4"/>
        <v>82</v>
      </c>
      <c r="L15" s="29">
        <v>15380</v>
      </c>
      <c r="M15" s="29">
        <f t="shared" si="3"/>
        <v>5.8000000000000007</v>
      </c>
      <c r="N15" s="29">
        <v>28781314</v>
      </c>
      <c r="O15" s="29">
        <f t="shared" si="5"/>
        <v>8724</v>
      </c>
      <c r="P15" s="29">
        <v>6247065</v>
      </c>
      <c r="Q15" s="29">
        <f t="shared" si="5"/>
        <v>33</v>
      </c>
      <c r="R15" s="29">
        <v>49</v>
      </c>
    </row>
    <row r="16" spans="1:18" ht="20.25" customHeight="1" x14ac:dyDescent="0.25">
      <c r="A16" s="29">
        <v>8</v>
      </c>
      <c r="B16" s="29">
        <v>17378</v>
      </c>
      <c r="C16" s="29">
        <f t="shared" si="0"/>
        <v>8700</v>
      </c>
      <c r="D16" s="29">
        <v>48705</v>
      </c>
      <c r="E16" s="29">
        <f t="shared" si="1"/>
        <v>12.564</v>
      </c>
      <c r="F16" s="29">
        <v>29332</v>
      </c>
      <c r="G16" s="29">
        <f t="shared" si="2"/>
        <v>1.4000000000000001</v>
      </c>
      <c r="H16" s="29">
        <v>10796680</v>
      </c>
      <c r="I16" s="29">
        <f t="shared" si="4"/>
        <v>846</v>
      </c>
      <c r="J16" s="29">
        <v>352391</v>
      </c>
      <c r="K16" s="29">
        <f t="shared" si="4"/>
        <v>72</v>
      </c>
      <c r="L16" s="29">
        <v>15447</v>
      </c>
      <c r="M16" s="29">
        <f t="shared" si="3"/>
        <v>6.7</v>
      </c>
      <c r="N16" s="29">
        <v>28791474</v>
      </c>
      <c r="O16" s="29">
        <f t="shared" si="5"/>
        <v>10160</v>
      </c>
      <c r="P16" s="29">
        <v>6247344</v>
      </c>
      <c r="Q16" s="29">
        <f t="shared" si="5"/>
        <v>279</v>
      </c>
      <c r="R16" s="29">
        <v>36</v>
      </c>
    </row>
    <row r="17" spans="1:18" ht="20.25" customHeight="1" x14ac:dyDescent="0.25">
      <c r="A17" s="29">
        <v>9</v>
      </c>
      <c r="B17" s="29">
        <v>17389</v>
      </c>
      <c r="C17" s="29">
        <f>+(B17-B16)*300</f>
        <v>3300</v>
      </c>
      <c r="D17" s="29">
        <v>48710</v>
      </c>
      <c r="E17" s="29">
        <f t="shared" si="1"/>
        <v>5.2349999999999994</v>
      </c>
      <c r="F17" s="29">
        <v>29338</v>
      </c>
      <c r="G17" s="29">
        <f t="shared" si="2"/>
        <v>0.60000000000000009</v>
      </c>
      <c r="H17" s="29">
        <v>10797054</v>
      </c>
      <c r="I17" s="29">
        <f t="shared" si="4"/>
        <v>374</v>
      </c>
      <c r="J17" s="29">
        <v>352395</v>
      </c>
      <c r="K17" s="29">
        <f t="shared" si="4"/>
        <v>4</v>
      </c>
      <c r="L17" s="29">
        <v>15482</v>
      </c>
      <c r="M17" s="29">
        <f t="shared" si="3"/>
        <v>3.5</v>
      </c>
      <c r="N17" s="29">
        <v>28795660</v>
      </c>
      <c r="O17" s="29">
        <f t="shared" si="5"/>
        <v>4186</v>
      </c>
      <c r="P17" s="29">
        <v>6247344</v>
      </c>
      <c r="Q17" s="29">
        <f t="shared" si="5"/>
        <v>0</v>
      </c>
      <c r="R17" s="29">
        <v>39</v>
      </c>
    </row>
    <row r="18" spans="1:18" ht="20.25" customHeight="1" x14ac:dyDescent="0.25">
      <c r="A18" s="29">
        <v>10</v>
      </c>
      <c r="B18" s="29">
        <v>17402</v>
      </c>
      <c r="C18" s="29">
        <f t="shared" si="0"/>
        <v>3900</v>
      </c>
      <c r="D18" s="29">
        <v>48717</v>
      </c>
      <c r="E18" s="29">
        <f t="shared" si="1"/>
        <v>7.3289999999999997</v>
      </c>
      <c r="F18" s="29">
        <v>29345</v>
      </c>
      <c r="G18" s="29">
        <f t="shared" si="2"/>
        <v>0.70000000000000007</v>
      </c>
      <c r="H18" s="29">
        <v>10797440</v>
      </c>
      <c r="I18" s="29">
        <f t="shared" si="4"/>
        <v>386</v>
      </c>
      <c r="J18" s="29">
        <v>352402</v>
      </c>
      <c r="K18" s="29">
        <f t="shared" si="4"/>
        <v>7</v>
      </c>
      <c r="L18" s="29">
        <v>15520</v>
      </c>
      <c r="M18" s="29">
        <f t="shared" si="3"/>
        <v>3.8000000000000003</v>
      </c>
      <c r="N18" s="29">
        <v>28799730</v>
      </c>
      <c r="O18" s="29">
        <f t="shared" si="5"/>
        <v>4070</v>
      </c>
      <c r="P18" s="29">
        <v>6247344</v>
      </c>
      <c r="Q18" s="29">
        <f t="shared" si="5"/>
        <v>0</v>
      </c>
      <c r="R18" s="29">
        <v>39</v>
      </c>
    </row>
    <row r="19" spans="1:18" ht="20.25" customHeight="1" x14ac:dyDescent="0.25">
      <c r="A19" s="29">
        <v>11</v>
      </c>
      <c r="B19" s="29">
        <v>17421</v>
      </c>
      <c r="C19" s="29">
        <f t="shared" si="0"/>
        <v>5700</v>
      </c>
      <c r="D19" s="29">
        <v>48725</v>
      </c>
      <c r="E19" s="29">
        <f t="shared" si="1"/>
        <v>8.3759999999999994</v>
      </c>
      <c r="F19" s="29">
        <v>29356</v>
      </c>
      <c r="G19" s="29">
        <f t="shared" si="2"/>
        <v>1.1000000000000001</v>
      </c>
      <c r="H19" s="29">
        <v>10798200</v>
      </c>
      <c r="I19" s="29">
        <f t="shared" si="4"/>
        <v>760</v>
      </c>
      <c r="J19" s="29">
        <v>352454</v>
      </c>
      <c r="K19" s="29">
        <f t="shared" si="4"/>
        <v>52</v>
      </c>
      <c r="L19" s="29">
        <v>15558</v>
      </c>
      <c r="M19" s="29">
        <f t="shared" si="3"/>
        <v>3.8000000000000003</v>
      </c>
      <c r="N19" s="29">
        <v>28805620</v>
      </c>
      <c r="O19" s="29">
        <f t="shared" si="5"/>
        <v>5890</v>
      </c>
      <c r="P19" s="29">
        <v>6247591</v>
      </c>
      <c r="Q19" s="29">
        <f t="shared" si="5"/>
        <v>247</v>
      </c>
      <c r="R19" s="29">
        <v>40</v>
      </c>
    </row>
    <row r="20" spans="1:18" ht="20.25" customHeight="1" x14ac:dyDescent="0.25">
      <c r="A20" s="29">
        <v>12</v>
      </c>
      <c r="B20" s="29">
        <v>17442</v>
      </c>
      <c r="C20" s="29">
        <f t="shared" si="0"/>
        <v>6300</v>
      </c>
      <c r="D20" s="29">
        <v>48733</v>
      </c>
      <c r="E20" s="29">
        <f t="shared" si="1"/>
        <v>8.3759999999999994</v>
      </c>
      <c r="F20" s="29">
        <v>29367</v>
      </c>
      <c r="G20" s="29">
        <f t="shared" si="2"/>
        <v>1.1000000000000001</v>
      </c>
      <c r="H20" s="29">
        <v>10798730</v>
      </c>
      <c r="I20" s="29">
        <f t="shared" si="4"/>
        <v>530</v>
      </c>
      <c r="J20" s="29">
        <v>352466</v>
      </c>
      <c r="K20" s="29">
        <f t="shared" si="4"/>
        <v>12</v>
      </c>
      <c r="L20" s="29">
        <v>15601</v>
      </c>
      <c r="M20" s="29">
        <f t="shared" si="3"/>
        <v>4.3</v>
      </c>
      <c r="N20" s="29">
        <v>28813650</v>
      </c>
      <c r="O20" s="29">
        <f t="shared" si="5"/>
        <v>8030</v>
      </c>
      <c r="P20" s="29">
        <v>6247824</v>
      </c>
      <c r="Q20" s="29">
        <f t="shared" si="5"/>
        <v>233</v>
      </c>
      <c r="R20" s="29">
        <v>48</v>
      </c>
    </row>
    <row r="21" spans="1:18" ht="20.25" customHeight="1" x14ac:dyDescent="0.25">
      <c r="A21" s="29">
        <v>13</v>
      </c>
      <c r="B21" s="29">
        <v>17463</v>
      </c>
      <c r="C21" s="29">
        <f t="shared" si="0"/>
        <v>6300</v>
      </c>
      <c r="D21" s="29">
        <v>48741</v>
      </c>
      <c r="E21" s="29">
        <f t="shared" si="1"/>
        <v>8.3759999999999994</v>
      </c>
      <c r="F21" s="29">
        <v>29377</v>
      </c>
      <c r="G21" s="29">
        <f t="shared" si="2"/>
        <v>1</v>
      </c>
      <c r="H21" s="29">
        <v>10799330</v>
      </c>
      <c r="I21" s="29">
        <f t="shared" si="4"/>
        <v>600</v>
      </c>
      <c r="J21" s="29">
        <v>352509</v>
      </c>
      <c r="K21" s="29">
        <f t="shared" si="4"/>
        <v>43</v>
      </c>
      <c r="L21" s="29">
        <v>15645</v>
      </c>
      <c r="M21" s="29">
        <f t="shared" si="3"/>
        <v>4.4000000000000004</v>
      </c>
      <c r="N21" s="29">
        <v>28822700</v>
      </c>
      <c r="O21" s="29">
        <f t="shared" si="5"/>
        <v>9050</v>
      </c>
      <c r="P21" s="29">
        <v>6248465</v>
      </c>
      <c r="Q21" s="29">
        <f t="shared" si="5"/>
        <v>641</v>
      </c>
      <c r="R21" s="29">
        <v>61</v>
      </c>
    </row>
    <row r="22" spans="1:18" ht="20.25" customHeight="1" x14ac:dyDescent="0.25">
      <c r="A22" s="29">
        <v>14</v>
      </c>
      <c r="B22" s="29">
        <v>17489</v>
      </c>
      <c r="C22" s="29">
        <f t="shared" si="0"/>
        <v>7800</v>
      </c>
      <c r="D22" s="29">
        <v>48749</v>
      </c>
      <c r="E22" s="29">
        <f t="shared" si="1"/>
        <v>8.3759999999999994</v>
      </c>
      <c r="F22" s="29">
        <v>29381</v>
      </c>
      <c r="G22" s="29">
        <f t="shared" si="2"/>
        <v>0.4</v>
      </c>
      <c r="H22" s="29">
        <v>10799980</v>
      </c>
      <c r="I22" s="29">
        <f t="shared" si="4"/>
        <v>650</v>
      </c>
      <c r="J22" s="29">
        <v>352513</v>
      </c>
      <c r="K22" s="29">
        <f t="shared" si="4"/>
        <v>4</v>
      </c>
      <c r="L22" s="29">
        <v>15688</v>
      </c>
      <c r="M22" s="29">
        <f t="shared" si="3"/>
        <v>4.3</v>
      </c>
      <c r="N22" s="29">
        <v>28831660</v>
      </c>
      <c r="O22" s="29">
        <f t="shared" si="5"/>
        <v>8960</v>
      </c>
      <c r="P22" s="29">
        <v>6249298</v>
      </c>
      <c r="Q22" s="29">
        <f t="shared" si="5"/>
        <v>833</v>
      </c>
      <c r="R22" s="29">
        <v>63</v>
      </c>
    </row>
    <row r="23" spans="1:18" ht="20.25" customHeight="1" x14ac:dyDescent="0.25">
      <c r="A23" s="29">
        <v>15</v>
      </c>
      <c r="B23" s="29">
        <v>17512</v>
      </c>
      <c r="C23" s="29">
        <f t="shared" si="0"/>
        <v>6900</v>
      </c>
      <c r="D23" s="29">
        <v>48758</v>
      </c>
      <c r="E23" s="29">
        <f t="shared" si="1"/>
        <v>9.423</v>
      </c>
      <c r="F23" s="29">
        <v>29404</v>
      </c>
      <c r="G23" s="29">
        <f t="shared" si="2"/>
        <v>2.3000000000000003</v>
      </c>
      <c r="H23" s="29">
        <v>10800893</v>
      </c>
      <c r="I23" s="29">
        <f t="shared" si="4"/>
        <v>913</v>
      </c>
      <c r="J23" s="29">
        <v>352518</v>
      </c>
      <c r="K23" s="29">
        <f t="shared" si="4"/>
        <v>5</v>
      </c>
      <c r="L23" s="29">
        <v>15719</v>
      </c>
      <c r="M23" s="29">
        <f t="shared" si="3"/>
        <v>3.1</v>
      </c>
      <c r="N23" s="29">
        <v>28839820</v>
      </c>
      <c r="O23" s="29">
        <f t="shared" si="5"/>
        <v>8160</v>
      </c>
      <c r="P23" s="29">
        <v>6249388</v>
      </c>
      <c r="Q23" s="29">
        <f t="shared" si="5"/>
        <v>90</v>
      </c>
      <c r="R23" s="29">
        <v>37</v>
      </c>
    </row>
    <row r="24" spans="1:18" ht="20.25" customHeight="1" x14ac:dyDescent="0.25">
      <c r="A24" s="29">
        <v>16</v>
      </c>
      <c r="B24" s="29">
        <v>17529</v>
      </c>
      <c r="C24" s="29">
        <f t="shared" si="0"/>
        <v>5100</v>
      </c>
      <c r="D24" s="29">
        <v>48765</v>
      </c>
      <c r="E24" s="29">
        <f t="shared" si="1"/>
        <v>7.3289999999999997</v>
      </c>
      <c r="F24" s="29">
        <v>29412</v>
      </c>
      <c r="G24" s="29">
        <f t="shared" si="2"/>
        <v>0.8</v>
      </c>
      <c r="H24" s="29">
        <v>10801335</v>
      </c>
      <c r="I24" s="29">
        <f t="shared" si="4"/>
        <v>442</v>
      </c>
      <c r="J24" s="29">
        <v>352523</v>
      </c>
      <c r="K24" s="29">
        <f t="shared" si="4"/>
        <v>5</v>
      </c>
      <c r="L24" s="29">
        <v>15788</v>
      </c>
      <c r="M24" s="29">
        <f t="shared" si="3"/>
        <v>6.9</v>
      </c>
      <c r="N24" s="29">
        <v>28846085</v>
      </c>
      <c r="O24" s="29">
        <f t="shared" si="5"/>
        <v>6265</v>
      </c>
      <c r="P24" s="29">
        <v>6249389</v>
      </c>
      <c r="Q24" s="29">
        <f t="shared" si="5"/>
        <v>1</v>
      </c>
      <c r="R24" s="29">
        <v>53</v>
      </c>
    </row>
    <row r="25" spans="1:18" ht="20.25" customHeight="1" x14ac:dyDescent="0.25">
      <c r="A25" s="29">
        <v>17</v>
      </c>
      <c r="B25" s="29">
        <v>17544</v>
      </c>
      <c r="C25" s="29">
        <f t="shared" si="0"/>
        <v>4500</v>
      </c>
      <c r="D25" s="29">
        <v>48771</v>
      </c>
      <c r="E25" s="29">
        <f t="shared" si="1"/>
        <v>6.282</v>
      </c>
      <c r="F25" s="29">
        <v>29419</v>
      </c>
      <c r="G25" s="29">
        <f t="shared" si="2"/>
        <v>0.70000000000000007</v>
      </c>
      <c r="H25" s="29">
        <v>10801737</v>
      </c>
      <c r="I25" s="29">
        <f t="shared" si="4"/>
        <v>402</v>
      </c>
      <c r="J25" s="29">
        <v>352527</v>
      </c>
      <c r="K25" s="29">
        <f t="shared" si="4"/>
        <v>4</v>
      </c>
      <c r="L25" s="29">
        <v>15820</v>
      </c>
      <c r="M25" s="29">
        <f t="shared" si="3"/>
        <v>3.2</v>
      </c>
      <c r="N25" s="29">
        <v>28850530</v>
      </c>
      <c r="O25" s="29">
        <f t="shared" si="5"/>
        <v>4445</v>
      </c>
      <c r="P25" s="29">
        <v>6249453</v>
      </c>
      <c r="Q25" s="29">
        <f t="shared" si="5"/>
        <v>64</v>
      </c>
      <c r="R25" s="29">
        <v>63</v>
      </c>
    </row>
    <row r="26" spans="1:18" ht="20.25" customHeight="1" x14ac:dyDescent="0.25">
      <c r="A26" s="29">
        <v>18</v>
      </c>
      <c r="B26" s="29">
        <v>17564</v>
      </c>
      <c r="C26" s="29">
        <f t="shared" si="0"/>
        <v>6000</v>
      </c>
      <c r="D26" s="29">
        <v>48778</v>
      </c>
      <c r="E26" s="29">
        <f t="shared" si="1"/>
        <v>7.3289999999999997</v>
      </c>
      <c r="F26" s="29">
        <v>29428</v>
      </c>
      <c r="G26" s="29">
        <f t="shared" si="2"/>
        <v>0.9</v>
      </c>
      <c r="H26" s="29">
        <v>10802357</v>
      </c>
      <c r="I26" s="29">
        <f t="shared" si="4"/>
        <v>620</v>
      </c>
      <c r="J26" s="29">
        <v>352536</v>
      </c>
      <c r="K26" s="29">
        <f t="shared" si="4"/>
        <v>9</v>
      </c>
      <c r="L26" s="29">
        <v>15881</v>
      </c>
      <c r="M26" s="29">
        <f t="shared" si="3"/>
        <v>6.1000000000000005</v>
      </c>
      <c r="N26" s="29">
        <v>28857610</v>
      </c>
      <c r="O26" s="29">
        <f t="shared" si="5"/>
        <v>7080</v>
      </c>
      <c r="P26" s="29">
        <v>6249804</v>
      </c>
      <c r="Q26" s="29">
        <f t="shared" si="5"/>
        <v>351</v>
      </c>
      <c r="R26" s="29">
        <v>54</v>
      </c>
    </row>
    <row r="27" spans="1:18" ht="20.25" customHeight="1" x14ac:dyDescent="0.25">
      <c r="A27" s="29">
        <v>19</v>
      </c>
      <c r="B27" s="29">
        <v>17583</v>
      </c>
      <c r="C27" s="29">
        <f t="shared" si="0"/>
        <v>5700</v>
      </c>
      <c r="D27" s="29">
        <v>48785</v>
      </c>
      <c r="E27" s="29">
        <f t="shared" si="1"/>
        <v>7.3289999999999997</v>
      </c>
      <c r="F27" s="29">
        <v>29438</v>
      </c>
      <c r="G27" s="29">
        <f t="shared" si="2"/>
        <v>1</v>
      </c>
      <c r="H27" s="29">
        <v>10802882</v>
      </c>
      <c r="I27" s="29">
        <f t="shared" si="4"/>
        <v>525</v>
      </c>
      <c r="J27" s="29">
        <v>352543</v>
      </c>
      <c r="K27" s="29">
        <f t="shared" si="4"/>
        <v>7</v>
      </c>
      <c r="L27" s="29">
        <v>15938</v>
      </c>
      <c r="M27" s="29">
        <f t="shared" si="3"/>
        <v>5.7</v>
      </c>
      <c r="N27" s="29">
        <v>28865675</v>
      </c>
      <c r="O27" s="29">
        <f t="shared" si="5"/>
        <v>8065</v>
      </c>
      <c r="P27" s="29">
        <v>6249807</v>
      </c>
      <c r="Q27" s="29">
        <f t="shared" si="5"/>
        <v>3</v>
      </c>
      <c r="R27" s="29">
        <v>58</v>
      </c>
    </row>
    <row r="28" spans="1:18" ht="20.25" customHeight="1" x14ac:dyDescent="0.25">
      <c r="A28" s="29">
        <v>20</v>
      </c>
      <c r="B28" s="29">
        <v>17605</v>
      </c>
      <c r="C28" s="29">
        <f t="shared" si="0"/>
        <v>6600</v>
      </c>
      <c r="D28" s="29">
        <v>48795</v>
      </c>
      <c r="E28" s="29">
        <f t="shared" si="1"/>
        <v>10.469999999999999</v>
      </c>
      <c r="F28" s="29">
        <v>29450</v>
      </c>
      <c r="G28" s="29">
        <f t="shared" si="2"/>
        <v>1.2000000000000002</v>
      </c>
      <c r="H28" s="29">
        <v>10803563</v>
      </c>
      <c r="I28" s="29">
        <f t="shared" si="4"/>
        <v>681</v>
      </c>
      <c r="J28" s="29">
        <v>352551</v>
      </c>
      <c r="K28" s="29">
        <f t="shared" si="4"/>
        <v>8</v>
      </c>
      <c r="L28" s="29">
        <v>16025</v>
      </c>
      <c r="M28" s="29">
        <f t="shared" si="3"/>
        <v>8.7000000000000011</v>
      </c>
      <c r="N28" s="29">
        <v>28878085</v>
      </c>
      <c r="O28" s="29">
        <f t="shared" ref="O28:Q38" si="6">+N28-N27</f>
        <v>12410</v>
      </c>
      <c r="P28" s="29">
        <v>6249811</v>
      </c>
      <c r="Q28" s="29">
        <f t="shared" si="6"/>
        <v>4</v>
      </c>
      <c r="R28" s="29">
        <v>53</v>
      </c>
    </row>
    <row r="29" spans="1:18" ht="20.25" customHeight="1" x14ac:dyDescent="0.25">
      <c r="A29" s="29">
        <v>21</v>
      </c>
      <c r="B29" s="29">
        <v>17626</v>
      </c>
      <c r="C29" s="29">
        <f t="shared" si="0"/>
        <v>6300</v>
      </c>
      <c r="D29" s="29">
        <v>48806</v>
      </c>
      <c r="E29" s="29">
        <f t="shared" si="1"/>
        <v>11.516999999999999</v>
      </c>
      <c r="F29" s="29">
        <v>29460</v>
      </c>
      <c r="G29" s="29">
        <f t="shared" si="2"/>
        <v>1</v>
      </c>
      <c r="H29" s="29">
        <v>10804147</v>
      </c>
      <c r="I29" s="29">
        <f t="shared" si="4"/>
        <v>584</v>
      </c>
      <c r="J29" s="29">
        <v>352561</v>
      </c>
      <c r="K29" s="29">
        <f t="shared" si="4"/>
        <v>10</v>
      </c>
      <c r="L29" s="29">
        <v>16060</v>
      </c>
      <c r="M29" s="29">
        <f t="shared" si="3"/>
        <v>3.5</v>
      </c>
      <c r="N29" s="29">
        <v>28882701</v>
      </c>
      <c r="O29" s="29">
        <f t="shared" si="6"/>
        <v>4616</v>
      </c>
      <c r="P29" s="29">
        <v>6249918</v>
      </c>
      <c r="Q29" s="29">
        <f t="shared" si="6"/>
        <v>107</v>
      </c>
      <c r="R29" s="29">
        <v>52</v>
      </c>
    </row>
    <row r="30" spans="1:18" ht="20.25" customHeight="1" x14ac:dyDescent="0.25">
      <c r="A30" s="29">
        <v>22</v>
      </c>
      <c r="B30" s="29">
        <v>17641</v>
      </c>
      <c r="C30" s="29">
        <f t="shared" si="0"/>
        <v>4500</v>
      </c>
      <c r="D30" s="29">
        <v>48813</v>
      </c>
      <c r="E30" s="29">
        <f t="shared" si="1"/>
        <v>7.3289999999999997</v>
      </c>
      <c r="F30" s="29">
        <v>29469</v>
      </c>
      <c r="G30" s="29">
        <f t="shared" si="2"/>
        <v>0.9</v>
      </c>
      <c r="H30" s="29">
        <v>10804585</v>
      </c>
      <c r="I30" s="29">
        <f t="shared" si="4"/>
        <v>438</v>
      </c>
      <c r="J30" s="29">
        <v>352571</v>
      </c>
      <c r="K30" s="29">
        <f t="shared" si="4"/>
        <v>10</v>
      </c>
      <c r="L30" s="29">
        <v>16097</v>
      </c>
      <c r="M30" s="29">
        <f t="shared" si="3"/>
        <v>3.7</v>
      </c>
      <c r="N30" s="29">
        <v>28888404</v>
      </c>
      <c r="O30" s="29">
        <f t="shared" si="6"/>
        <v>5703</v>
      </c>
      <c r="P30" s="29">
        <v>6250494</v>
      </c>
      <c r="Q30" s="29">
        <f t="shared" si="6"/>
        <v>576</v>
      </c>
      <c r="R30" s="29">
        <v>43</v>
      </c>
    </row>
    <row r="31" spans="1:18" ht="20.25" customHeight="1" x14ac:dyDescent="0.25">
      <c r="A31" s="29">
        <v>23</v>
      </c>
      <c r="B31" s="29">
        <v>17666</v>
      </c>
      <c r="C31" s="29">
        <f t="shared" si="0"/>
        <v>7500</v>
      </c>
      <c r="D31" s="29">
        <v>48822</v>
      </c>
      <c r="E31" s="29">
        <f t="shared" si="1"/>
        <v>9.423</v>
      </c>
      <c r="F31" s="29">
        <v>29482</v>
      </c>
      <c r="G31" s="29">
        <f t="shared" si="2"/>
        <v>1.3</v>
      </c>
      <c r="H31" s="29">
        <v>10805493</v>
      </c>
      <c r="I31" s="29">
        <f t="shared" si="4"/>
        <v>908</v>
      </c>
      <c r="J31" s="29">
        <v>352578</v>
      </c>
      <c r="K31" s="29">
        <f t="shared" si="4"/>
        <v>7</v>
      </c>
      <c r="L31" s="29">
        <v>16157</v>
      </c>
      <c r="M31" s="29">
        <f t="shared" si="3"/>
        <v>6</v>
      </c>
      <c r="N31" s="29">
        <v>28898435</v>
      </c>
      <c r="O31" s="29">
        <f t="shared" si="6"/>
        <v>10031</v>
      </c>
      <c r="P31" s="29">
        <v>6250869</v>
      </c>
      <c r="Q31" s="29">
        <f t="shared" si="6"/>
        <v>375</v>
      </c>
      <c r="R31" s="29"/>
    </row>
    <row r="32" spans="1:18" ht="20.25" customHeight="1" x14ac:dyDescent="0.25">
      <c r="A32" s="29">
        <v>24</v>
      </c>
      <c r="B32" s="29">
        <v>17679</v>
      </c>
      <c r="C32" s="29">
        <f t="shared" si="0"/>
        <v>3900</v>
      </c>
      <c r="D32" s="29">
        <v>48828</v>
      </c>
      <c r="E32" s="29">
        <f t="shared" si="1"/>
        <v>6.282</v>
      </c>
      <c r="F32" s="29">
        <v>29488</v>
      </c>
      <c r="G32" s="29">
        <f t="shared" si="2"/>
        <v>0.60000000000000009</v>
      </c>
      <c r="H32" s="29">
        <v>10805700</v>
      </c>
      <c r="I32" s="29">
        <f t="shared" si="4"/>
        <v>207</v>
      </c>
      <c r="J32" s="29">
        <v>352578</v>
      </c>
      <c r="K32" s="29">
        <f t="shared" si="4"/>
        <v>0</v>
      </c>
      <c r="L32" s="29">
        <v>16194</v>
      </c>
      <c r="M32" s="29">
        <f t="shared" si="3"/>
        <v>3.7</v>
      </c>
      <c r="N32" s="29">
        <v>28902870</v>
      </c>
      <c r="O32" s="29">
        <f t="shared" si="6"/>
        <v>4435</v>
      </c>
      <c r="P32" s="29">
        <v>6251096</v>
      </c>
      <c r="Q32" s="29">
        <f t="shared" si="6"/>
        <v>227</v>
      </c>
      <c r="R32" s="29">
        <v>27</v>
      </c>
    </row>
    <row r="33" spans="1:18" ht="20.25" customHeight="1" x14ac:dyDescent="0.25">
      <c r="A33" s="29">
        <v>25</v>
      </c>
      <c r="B33" s="29">
        <v>17702</v>
      </c>
      <c r="C33" s="29">
        <f t="shared" si="0"/>
        <v>6900</v>
      </c>
      <c r="D33" s="29">
        <v>48838</v>
      </c>
      <c r="E33" s="29">
        <f t="shared" si="1"/>
        <v>10.469999999999999</v>
      </c>
      <c r="F33" s="29">
        <v>29499</v>
      </c>
      <c r="G33" s="29">
        <f t="shared" si="2"/>
        <v>1.1000000000000001</v>
      </c>
      <c r="H33" s="29">
        <v>10806468</v>
      </c>
      <c r="I33" s="29">
        <f t="shared" si="4"/>
        <v>768</v>
      </c>
      <c r="J33" s="29">
        <v>352777</v>
      </c>
      <c r="K33" s="29">
        <f t="shared" si="4"/>
        <v>199</v>
      </c>
      <c r="L33" s="29">
        <v>16252</v>
      </c>
      <c r="M33" s="29">
        <f t="shared" si="3"/>
        <v>5.8000000000000007</v>
      </c>
      <c r="N33" s="29">
        <v>28910390</v>
      </c>
      <c r="O33" s="29">
        <f t="shared" si="6"/>
        <v>7520</v>
      </c>
      <c r="P33" s="29">
        <v>6251518</v>
      </c>
      <c r="Q33" s="29">
        <f t="shared" si="6"/>
        <v>422</v>
      </c>
      <c r="R33" s="29">
        <v>34</v>
      </c>
    </row>
    <row r="34" spans="1:18" ht="20.25" customHeight="1" x14ac:dyDescent="0.25">
      <c r="A34" s="29">
        <v>26</v>
      </c>
      <c r="B34" s="29">
        <v>17717</v>
      </c>
      <c r="C34" s="29">
        <f t="shared" si="0"/>
        <v>4500</v>
      </c>
      <c r="D34" s="29">
        <v>48844</v>
      </c>
      <c r="E34" s="29">
        <f t="shared" si="1"/>
        <v>6.282</v>
      </c>
      <c r="F34" s="29">
        <v>29508</v>
      </c>
      <c r="G34" s="29">
        <f t="shared" si="2"/>
        <v>0.9</v>
      </c>
      <c r="H34" s="29">
        <v>10806770</v>
      </c>
      <c r="I34" s="29">
        <f t="shared" si="4"/>
        <v>302</v>
      </c>
      <c r="J34" s="29">
        <v>352789</v>
      </c>
      <c r="K34" s="29">
        <f t="shared" si="4"/>
        <v>12</v>
      </c>
      <c r="L34" s="29">
        <v>16294</v>
      </c>
      <c r="M34" s="29">
        <f t="shared" si="3"/>
        <v>4.2</v>
      </c>
      <c r="N34" s="29">
        <v>28915430</v>
      </c>
      <c r="O34" s="29">
        <f t="shared" si="6"/>
        <v>5040</v>
      </c>
      <c r="P34" s="29">
        <v>6251612</v>
      </c>
      <c r="Q34" s="29">
        <f t="shared" si="6"/>
        <v>94</v>
      </c>
      <c r="R34" s="29">
        <v>42</v>
      </c>
    </row>
    <row r="35" spans="1:18" ht="20.25" customHeight="1" x14ac:dyDescent="0.25">
      <c r="A35" s="29">
        <v>27</v>
      </c>
      <c r="B35" s="29">
        <v>17735</v>
      </c>
      <c r="C35" s="29">
        <f t="shared" si="0"/>
        <v>5400</v>
      </c>
      <c r="D35" s="29">
        <v>48852</v>
      </c>
      <c r="E35" s="29">
        <f t="shared" si="1"/>
        <v>8.3759999999999994</v>
      </c>
      <c r="F35" s="29">
        <v>29518</v>
      </c>
      <c r="G35" s="29">
        <f t="shared" si="2"/>
        <v>1</v>
      </c>
      <c r="H35" s="29">
        <v>10807310</v>
      </c>
      <c r="I35" s="29">
        <f t="shared" si="4"/>
        <v>540</v>
      </c>
      <c r="J35" s="29">
        <v>352790</v>
      </c>
      <c r="K35" s="29">
        <f t="shared" si="4"/>
        <v>1</v>
      </c>
      <c r="L35" s="29">
        <v>16340</v>
      </c>
      <c r="M35" s="29">
        <f t="shared" si="3"/>
        <v>4.6000000000000005</v>
      </c>
      <c r="N35" s="29">
        <v>28922160</v>
      </c>
      <c r="O35" s="29">
        <f t="shared" si="6"/>
        <v>6730</v>
      </c>
      <c r="P35" s="29">
        <v>6251860</v>
      </c>
      <c r="Q35" s="29">
        <f t="shared" si="6"/>
        <v>248</v>
      </c>
      <c r="R35" s="29">
        <v>53</v>
      </c>
    </row>
    <row r="36" spans="1:18" ht="20.25" customHeight="1" x14ac:dyDescent="0.25">
      <c r="A36" s="29">
        <v>28</v>
      </c>
      <c r="B36" s="29">
        <v>17757</v>
      </c>
      <c r="C36" s="29">
        <f t="shared" si="0"/>
        <v>6600</v>
      </c>
      <c r="D36" s="29">
        <v>48861</v>
      </c>
      <c r="E36" s="29">
        <f t="shared" si="1"/>
        <v>9.423</v>
      </c>
      <c r="F36" s="29">
        <v>29520</v>
      </c>
      <c r="G36" s="29">
        <f t="shared" si="2"/>
        <v>0.2</v>
      </c>
      <c r="H36" s="29">
        <v>10807972</v>
      </c>
      <c r="I36" s="29">
        <f t="shared" si="4"/>
        <v>662</v>
      </c>
      <c r="J36" s="29">
        <v>352824</v>
      </c>
      <c r="K36" s="29">
        <f t="shared" si="4"/>
        <v>34</v>
      </c>
      <c r="L36" s="29">
        <v>16393</v>
      </c>
      <c r="M36" s="29">
        <f t="shared" si="3"/>
        <v>5.3000000000000007</v>
      </c>
      <c r="N36" s="29">
        <v>28930734</v>
      </c>
      <c r="O36" s="29">
        <f t="shared" si="6"/>
        <v>8574</v>
      </c>
      <c r="P36" s="29">
        <v>6252398</v>
      </c>
      <c r="Q36" s="29">
        <f t="shared" si="6"/>
        <v>538</v>
      </c>
      <c r="R36" s="29">
        <v>48</v>
      </c>
    </row>
    <row r="37" spans="1:18" ht="20.25" customHeight="1" x14ac:dyDescent="0.25">
      <c r="A37" s="29">
        <v>29</v>
      </c>
      <c r="B37" s="29">
        <v>17779</v>
      </c>
      <c r="C37" s="29">
        <f t="shared" si="0"/>
        <v>6600</v>
      </c>
      <c r="D37" s="29">
        <v>48871</v>
      </c>
      <c r="E37" s="29">
        <f t="shared" si="1"/>
        <v>10.469999999999999</v>
      </c>
      <c r="F37" s="29">
        <v>29541</v>
      </c>
      <c r="G37" s="29">
        <f t="shared" si="2"/>
        <v>2.1</v>
      </c>
      <c r="H37" s="29">
        <v>10808604</v>
      </c>
      <c r="I37" s="29">
        <f t="shared" si="4"/>
        <v>632</v>
      </c>
      <c r="J37" s="29">
        <v>352892</v>
      </c>
      <c r="K37" s="29">
        <f t="shared" si="4"/>
        <v>68</v>
      </c>
      <c r="L37" s="29">
        <v>16441</v>
      </c>
      <c r="M37" s="29">
        <f t="shared" si="3"/>
        <v>4.8000000000000007</v>
      </c>
      <c r="N37" s="29">
        <v>28938514</v>
      </c>
      <c r="O37" s="29">
        <f t="shared" si="6"/>
        <v>7780</v>
      </c>
      <c r="P37" s="29">
        <v>6252854</v>
      </c>
      <c r="Q37" s="29">
        <f t="shared" si="6"/>
        <v>456</v>
      </c>
      <c r="R37" s="29"/>
    </row>
    <row r="38" spans="1:18" ht="20.25" customHeight="1" x14ac:dyDescent="0.25">
      <c r="A38" s="29">
        <v>30</v>
      </c>
      <c r="B38" s="29">
        <v>17799</v>
      </c>
      <c r="C38" s="29">
        <f t="shared" si="0"/>
        <v>6000</v>
      </c>
      <c r="D38" s="29">
        <v>48878</v>
      </c>
      <c r="E38" s="29">
        <f t="shared" si="1"/>
        <v>7.3289999999999997</v>
      </c>
      <c r="F38" s="29">
        <v>29549</v>
      </c>
      <c r="G38" s="29">
        <f t="shared" si="2"/>
        <v>0.8</v>
      </c>
      <c r="H38" s="29">
        <v>10809176</v>
      </c>
      <c r="I38" s="29">
        <f t="shared" si="4"/>
        <v>572</v>
      </c>
      <c r="J38" s="29">
        <v>352992</v>
      </c>
      <c r="K38" s="29">
        <f t="shared" si="4"/>
        <v>100</v>
      </c>
      <c r="L38" s="29">
        <v>16484</v>
      </c>
      <c r="M38" s="29">
        <f t="shared" si="3"/>
        <v>4.3</v>
      </c>
      <c r="N38" s="29">
        <v>28945097</v>
      </c>
      <c r="O38" s="29">
        <f t="shared" si="6"/>
        <v>6583</v>
      </c>
      <c r="P38" s="29">
        <v>6253473</v>
      </c>
      <c r="Q38" s="29">
        <f t="shared" si="6"/>
        <v>619</v>
      </c>
      <c r="R38" s="29">
        <v>35</v>
      </c>
    </row>
    <row r="40" spans="1:18" x14ac:dyDescent="0.25">
      <c r="A40" s="30" t="s">
        <v>26</v>
      </c>
      <c r="C40" s="31">
        <f>SUM(C9:C39)</f>
        <v>178200</v>
      </c>
      <c r="E40" s="31">
        <f>SUM(E9:E39)</f>
        <v>261.75000000000006</v>
      </c>
      <c r="G40" s="31">
        <f>SUM(G9:G39)</f>
        <v>30.099999999999998</v>
      </c>
      <c r="I40" s="31">
        <f>SUM(I9:I39)</f>
        <v>19860</v>
      </c>
      <c r="K40" s="31">
        <f>SUM(K9:K39)</f>
        <v>1338</v>
      </c>
      <c r="M40" s="31">
        <f>SUM(M9:M39)</f>
        <v>141.80000000000001</v>
      </c>
      <c r="O40" s="31">
        <f>SUM(O9:O39)</f>
        <v>217788</v>
      </c>
      <c r="Q40" s="31">
        <f>SUM(Q9:Q39)</f>
        <v>7127</v>
      </c>
      <c r="R40" s="16">
        <f>SUM(R9:R39)</f>
        <v>1319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2022-01-27T21:13:57Z</dcterms:modified>
  <cp:category/>
  <cp:contentStatus/>
</cp:coreProperties>
</file>