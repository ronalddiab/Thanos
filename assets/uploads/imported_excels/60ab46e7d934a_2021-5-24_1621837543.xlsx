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5 - 2021" sheetId="1" r:id="rId3"/>
  </sheets>
  <definedNames>
    <definedName name="_xlnm.Print_Area" localSheetId="2">'5 - 2021'!$A$1:$J$35</definedName>
  </definedNames>
  <calcPr calcId="162913"/>
</workbook>
</file>

<file path=xl/calcChain.xml><?xml version="1.0" encoding="utf-8"?>
<calcChain xmlns="http://schemas.openxmlformats.org/spreadsheetml/2006/main"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7" i="3" l="1"/>
  <c r="K17" i="3"/>
  <c r="I17" i="3"/>
  <c r="G17" i="3"/>
  <c r="E17" i="3"/>
  <c r="J17" i="2"/>
  <c r="I17" i="2"/>
  <c r="H17" i="2"/>
  <c r="F17" i="2"/>
  <c r="E17" i="2"/>
  <c r="J16" i="2" l="1"/>
  <c r="I16" i="2"/>
  <c r="H16" i="2"/>
  <c r="F16" i="2"/>
  <c r="E16" i="2"/>
  <c r="L16" i="3"/>
  <c r="K16" i="3"/>
  <c r="I16" i="3"/>
  <c r="G16" i="3"/>
  <c r="E16" i="3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J3" i="2" l="1"/>
  <c r="I3" i="2"/>
  <c r="H3" i="2"/>
  <c r="F3" i="2"/>
  <c r="E3" i="2"/>
  <c r="L3" i="3"/>
  <c r="K3" i="3"/>
  <c r="I3" i="3"/>
  <c r="G3" i="3"/>
  <c r="E3" i="3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E30" i="3"/>
  <c r="J30" i="2"/>
  <c r="I30" i="2"/>
  <c r="F30" i="2"/>
  <c r="E30" i="2"/>
  <c r="L29" i="3" l="1"/>
  <c r="K29" i="3"/>
  <c r="I29" i="3"/>
  <c r="E29" i="3"/>
  <c r="J29" i="2"/>
  <c r="I29" i="2"/>
  <c r="F29" i="2"/>
  <c r="E29" i="2"/>
  <c r="L28" i="3" l="1"/>
  <c r="K28" i="3"/>
  <c r="I28" i="3"/>
  <c r="E28" i="3"/>
  <c r="L27" i="3"/>
  <c r="K27" i="3"/>
  <c r="I27" i="3"/>
  <c r="G27" i="3"/>
  <c r="E27" i="3"/>
  <c r="J28" i="2"/>
  <c r="I28" i="2"/>
  <c r="F28" i="2"/>
  <c r="E28" i="2"/>
  <c r="J27" i="2"/>
  <c r="I27" i="2"/>
  <c r="H27" i="2"/>
  <c r="F27" i="2"/>
  <c r="E27" i="2"/>
  <c r="G28" i="3" l="1"/>
  <c r="H28" i="2"/>
  <c r="G29" i="3" l="1"/>
  <c r="H29" i="2"/>
  <c r="G30" i="3" l="1"/>
  <c r="H30" i="2"/>
  <c r="L23" i="3"/>
  <c r="K23" i="3"/>
  <c r="I23" i="3"/>
  <c r="G23" i="3"/>
  <c r="E23" i="3"/>
  <c r="J23" i="2"/>
  <c r="I23" i="2"/>
  <c r="H23" i="2"/>
  <c r="F23" i="2"/>
  <c r="E23" i="2"/>
  <c r="L18" i="3" l="1"/>
  <c r="K18" i="3"/>
  <c r="I18" i="3"/>
  <c r="G18" i="3"/>
  <c r="E18" i="3"/>
  <c r="J18" i="2"/>
  <c r="I18" i="2"/>
  <c r="H18" i="2"/>
  <c r="F18" i="2"/>
  <c r="E18" i="2"/>
  <c r="L11" i="3" l="1"/>
  <c r="K11" i="3"/>
  <c r="I11" i="3"/>
  <c r="G11" i="3"/>
  <c r="E11" i="3"/>
  <c r="J11" i="2"/>
  <c r="I11" i="2"/>
  <c r="H11" i="2"/>
  <c r="F11" i="2"/>
  <c r="E11" i="2"/>
  <c r="B30" i="3" l="1"/>
  <c r="B31" i="3"/>
  <c r="B32" i="3"/>
  <c r="L4" i="3" l="1"/>
  <c r="K4" i="3"/>
  <c r="I4" i="3"/>
  <c r="G4" i="3"/>
  <c r="E4" i="3"/>
  <c r="J4" i="2"/>
  <c r="I4" i="2"/>
  <c r="H4" i="2"/>
  <c r="F4" i="2"/>
  <c r="E4" i="2"/>
  <c r="E2" i="2" l="1"/>
  <c r="F2" i="2"/>
  <c r="H2" i="2"/>
  <c r="I2" i="2"/>
  <c r="J2" i="2"/>
  <c r="E2" i="3"/>
  <c r="G2" i="3"/>
  <c r="I2" i="3"/>
  <c r="K2" i="3"/>
  <c r="L2" i="3"/>
  <c r="B30" i="2"/>
  <c r="B31" i="2"/>
  <c r="B32" i="2"/>
  <c r="K39" i="1"/>
  <c r="J39" i="1"/>
  <c r="I39" i="1"/>
  <c r="I40" i="1" s="1"/>
  <c r="H39" i="1"/>
  <c r="H40" i="1" s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<sst xmlns="http://schemas.openxmlformats.org/spreadsheetml/2006/main" count="107" uniqueCount="38">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</sst>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selection activeCell="T12" sqref="T12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21" x14ac:dyDescent="0.25">
      <c r="A2" t="s">
        <v>27</v>
      </c>
      <c r="B2">
        <v>1</v>
      </c>
      <c r="C2" s="19">
        <v>5</v>
      </c>
      <c r="D2">
        <v>2021</v>
      </c>
      <c r="E2" s="21">
        <f>'5 - 2021'!B8-'5 - 2021'!B7+'5 - 2021'!C8-'5 - 2021'!C7</f>
        <v>9302</v>
      </c>
      <c r="F2" s="19">
        <v>0.11799999999999999</v>
      </c>
      <c r="G2" s="21">
        <f>(('5 - 2021'!E8-'5 - 2021'!E7)+('5 - 2021'!F8-'5 - 2021'!F7)+('5 - 2021'!G8-'5 - 2021'!G7))*1.81</f>
        <v>116.56399999999647</v>
      </c>
      <c r="H2" s="19">
        <v>0.99</v>
      </c>
      <c r="I2" s="21">
        <f>'5 - 2021'!J8-'5 - 2021'!J7</f>
        <v>25354</v>
      </c>
      <c r="J2" s="19">
        <v>8.1000000000000003E-2</v>
      </c>
      <c r="K2" s="43">
        <f>'5 - 2021'!H8-'5 - 2021'!H7</f>
        <v>0</v>
      </c>
      <c r="L2" s="21">
        <f>'5 - 2021'!I8-'5 - 2021'!I7</f>
        <v>105</v>
      </c>
      <c r="M2" s="20">
        <v>4.393629424766913</v>
      </c>
      <c r="N2" s="21">
        <v>80</v>
      </c>
    </row>
    <row r="3" spans="1:21" x14ac:dyDescent="0.25">
      <c r="A3" t="s">
        <v>27</v>
      </c>
      <c r="B3">
        <f>B2+1</f>
        <v>2</v>
      </c>
      <c r="C3" s="19">
        <v>5</v>
      </c>
      <c r="D3" s="19">
        <v>2021</v>
      </c>
      <c r="E3" s="21">
        <f>'5 - 2021'!B9-'5 - 2021'!B8+'5 - 2021'!C9-'5 - 2021'!C8</f>
        <v>8794</v>
      </c>
      <c r="F3" s="19">
        <v>0.11799999999999999</v>
      </c>
      <c r="G3" s="21">
        <f>(('5 - 2021'!E9-'5 - 2021'!E8)+('5 - 2021'!F9-'5 - 2021'!F8)+('5 - 2021'!G9-'5 - 2021'!G8))*1.81</f>
        <v>108.65430000000077</v>
      </c>
      <c r="H3" s="19">
        <v>0.99</v>
      </c>
      <c r="I3" s="21">
        <f>'5 - 2021'!J9-'5 - 2021'!J8</f>
        <v>23608</v>
      </c>
      <c r="J3" s="19">
        <v>8.1000000000000003E-2</v>
      </c>
      <c r="K3" s="43">
        <f>'5 - 2021'!H9-'5 - 2021'!H8</f>
        <v>0</v>
      </c>
      <c r="L3" s="21">
        <f>'5 - 2021'!I9-'5 - 2021'!I8</f>
        <v>84</v>
      </c>
      <c r="M3" s="20">
        <v>4.393629424766913</v>
      </c>
      <c r="N3" s="36">
        <v>75</v>
      </c>
    </row>
    <row r="4" spans="1:21" x14ac:dyDescent="0.25">
      <c r="A4" t="s">
        <v>27</v>
      </c>
      <c r="B4">
        <f t="shared" ref="B4:B32" si="0">B3+1</f>
        <v>3</v>
      </c>
      <c r="C4" s="19">
        <v>5</v>
      </c>
      <c r="D4" s="19">
        <v>2021</v>
      </c>
      <c r="E4" s="21">
        <f>'5 - 2021'!B10-'5 - 2021'!B9+'5 - 2021'!C10-'5 - 2021'!C9</f>
        <v>9260</v>
      </c>
      <c r="F4" s="19">
        <v>0.11799999999999999</v>
      </c>
      <c r="G4" s="21">
        <f>(('5 - 2021'!E10-'5 - 2021'!E9)+('5 - 2021'!F10-'5 - 2021'!F9)+('5 - 2021'!G10-'5 - 2021'!G9))*1.81</f>
        <v>110.5910000000021</v>
      </c>
      <c r="H4" s="19">
        <v>0.99</v>
      </c>
      <c r="I4" s="21">
        <f>'5 - 2021'!J10-'5 - 2021'!J9</f>
        <v>25936</v>
      </c>
      <c r="J4" s="19">
        <v>8.1000000000000003E-2</v>
      </c>
      <c r="K4" s="43">
        <f>'5 - 2021'!H10-'5 - 2021'!H9</f>
        <v>0</v>
      </c>
      <c r="L4" s="21">
        <f>'5 - 2021'!I10-'5 - 2021'!I9</f>
        <v>98</v>
      </c>
      <c r="M4" s="20">
        <v>4.393629424766913</v>
      </c>
      <c r="N4" s="36">
        <v>70</v>
      </c>
    </row>
    <row r="5" spans="1:21" x14ac:dyDescent="0.25">
      <c r="A5" t="s">
        <v>27</v>
      </c>
      <c r="B5">
        <f t="shared" si="0"/>
        <v>4</v>
      </c>
      <c r="C5" s="19">
        <v>5</v>
      </c>
      <c r="D5" s="19">
        <v>2021</v>
      </c>
      <c r="E5" s="21">
        <f>'5 - 2021'!B11-'5 - 2021'!B10+'5 - 2021'!C11-'5 - 2021'!C10</f>
        <v>9144</v>
      </c>
      <c r="F5" s="19">
        <v>0.11799999999999999</v>
      </c>
      <c r="G5" s="21">
        <f>(('5 - 2021'!E11-'5 - 2021'!E10)+('5 - 2021'!F11-'5 - 2021'!F10)+('5 - 2021'!G11-'5 - 2021'!G10))*1.81</f>
        <v>107.29679999999954</v>
      </c>
      <c r="H5" s="19">
        <v>0.99</v>
      </c>
      <c r="I5" s="21">
        <f>'5 - 2021'!J11-'5 - 2021'!J10</f>
        <v>25986</v>
      </c>
      <c r="J5" s="19">
        <v>8.1000000000000003E-2</v>
      </c>
      <c r="K5" s="43">
        <f>'5 - 2021'!H11-'5 - 2021'!H10</f>
        <v>0</v>
      </c>
      <c r="L5" s="21">
        <f>'5 - 2021'!I11-'5 - 2021'!I10</f>
        <v>95</v>
      </c>
      <c r="M5" s="20">
        <v>4.393629424766913</v>
      </c>
      <c r="N5" s="36">
        <v>72</v>
      </c>
      <c r="R5" s="19"/>
    </row>
    <row r="6" spans="1:21" x14ac:dyDescent="0.25">
      <c r="A6" t="s">
        <v>27</v>
      </c>
      <c r="B6">
        <f t="shared" si="0"/>
        <v>5</v>
      </c>
      <c r="C6" s="19">
        <v>5</v>
      </c>
      <c r="D6" s="19">
        <v>2021</v>
      </c>
      <c r="E6" s="21">
        <f>'5 - 2021'!B12-'5 - 2021'!B11+'5 - 2021'!C12-'5 - 2021'!C11</f>
        <v>9724</v>
      </c>
      <c r="F6" s="19">
        <v>0.11799999999999999</v>
      </c>
      <c r="G6" s="21">
        <f>(('5 - 2021'!E12-'5 - 2021'!E11)+('5 - 2021'!F12-'5 - 2021'!F11)+('5 - 2021'!G12-'5 - 2021'!G11))*1.81</f>
        <v>113.01639999999928</v>
      </c>
      <c r="H6" s="19">
        <v>0.99</v>
      </c>
      <c r="I6" s="21">
        <f>'5 - 2021'!J12-'5 - 2021'!J11</f>
        <v>25668</v>
      </c>
      <c r="J6" s="19">
        <v>8.1000000000000003E-2</v>
      </c>
      <c r="K6" s="43">
        <f>'5 - 2021'!H12-'5 - 2021'!H11</f>
        <v>0</v>
      </c>
      <c r="L6" s="21">
        <f>'5 - 2021'!I12-'5 - 2021'!I11</f>
        <v>91</v>
      </c>
      <c r="M6" s="20">
        <v>4.393629424766913</v>
      </c>
      <c r="N6" s="36">
        <v>68</v>
      </c>
    </row>
    <row r="7" spans="1:21" x14ac:dyDescent="0.25">
      <c r="A7" t="s">
        <v>27</v>
      </c>
      <c r="B7">
        <f t="shared" si="0"/>
        <v>6</v>
      </c>
      <c r="C7" s="19">
        <v>5</v>
      </c>
      <c r="D7" s="19">
        <v>2021</v>
      </c>
      <c r="E7" s="21">
        <f>'5 - 2021'!B13-'5 - 2021'!B12+'5 - 2021'!C13-'5 - 2021'!C12</f>
        <v>9176</v>
      </c>
      <c r="F7" s="19">
        <v>0.11799999999999999</v>
      </c>
      <c r="G7" s="21">
        <f>(('5 - 2021'!E13-'5 - 2021'!E12)+('5 - 2021'!F13-'5 - 2021'!F12)+('5 - 2021'!G13-'5 - 2021'!G12))*1.81</f>
        <v>122.12069999999819</v>
      </c>
      <c r="H7" s="19">
        <v>0.99</v>
      </c>
      <c r="I7" s="21">
        <f>'5 - 2021'!J13-'5 - 2021'!J12</f>
        <v>26897</v>
      </c>
      <c r="J7" s="19">
        <v>8.1000000000000003E-2</v>
      </c>
      <c r="K7" s="43">
        <f>'5 - 2021'!H13-'5 - 2021'!H12</f>
        <v>0</v>
      </c>
      <c r="L7" s="21">
        <f>'5 - 2021'!I13-'5 - 2021'!I12</f>
        <v>97</v>
      </c>
      <c r="M7" s="20">
        <v>4.393629424766913</v>
      </c>
      <c r="N7" s="36">
        <v>77</v>
      </c>
    </row>
    <row r="8" spans="1:21" x14ac:dyDescent="0.25">
      <c r="A8" t="s">
        <v>27</v>
      </c>
      <c r="B8">
        <f t="shared" si="0"/>
        <v>7</v>
      </c>
      <c r="C8" s="19">
        <v>5</v>
      </c>
      <c r="D8" s="19">
        <v>2021</v>
      </c>
      <c r="E8" s="21">
        <f>'5 - 2021'!B14-'5 - 2021'!B13+'5 - 2021'!C14-'5 - 2021'!C13</f>
        <v>9167</v>
      </c>
      <c r="F8" s="19">
        <v>0.11799999999999999</v>
      </c>
      <c r="G8" s="21">
        <f>(('5 - 2021'!E14-'5 - 2021'!E13)+('5 - 2021'!F14-'5 - 2021'!F13)+('5 - 2021'!G14-'5 - 2021'!G13))*1.81</f>
        <v>134.79069999999922</v>
      </c>
      <c r="H8" s="19">
        <v>0.99</v>
      </c>
      <c r="I8" s="21">
        <f>'5 - 2021'!J14-'5 - 2021'!J13</f>
        <v>30314</v>
      </c>
      <c r="J8" s="19">
        <v>8.1000000000000003E-2</v>
      </c>
      <c r="K8" s="43">
        <f>'5 - 2021'!H14-'5 - 2021'!H13</f>
        <v>0</v>
      </c>
      <c r="L8" s="21">
        <f>'5 - 2021'!I14-'5 - 2021'!I13</f>
        <v>98</v>
      </c>
      <c r="M8" s="20">
        <v>4.393629424766913</v>
      </c>
      <c r="N8" s="38">
        <v>59</v>
      </c>
      <c r="O8" s="21"/>
    </row>
    <row r="9" spans="1:21" x14ac:dyDescent="0.25">
      <c r="A9" t="s">
        <v>27</v>
      </c>
      <c r="B9">
        <f t="shared" si="0"/>
        <v>8</v>
      </c>
      <c r="C9" s="19">
        <v>5</v>
      </c>
      <c r="D9" s="19">
        <v>2021</v>
      </c>
      <c r="E9" s="21">
        <f>'5 - 2021'!B15-'5 - 2021'!B14+'5 - 2021'!C15-'5 - 2021'!C14</f>
        <v>9009</v>
      </c>
      <c r="F9" s="19">
        <v>0.11799999999999999</v>
      </c>
      <c r="G9" s="21">
        <f>(('5 - 2021'!E15-'5 - 2021'!E14)+('5 - 2021'!F15-'5 - 2021'!F14)+('5 - 2021'!G15-'5 - 2021'!G14))*1.81</f>
        <v>115.74949999999988</v>
      </c>
      <c r="H9" s="19">
        <v>0.99</v>
      </c>
      <c r="I9" s="21">
        <f>'5 - 2021'!J15-'5 - 2021'!J14</f>
        <v>27793</v>
      </c>
      <c r="J9" s="19">
        <v>8.1000000000000003E-2</v>
      </c>
      <c r="K9" s="43">
        <f>'5 - 2021'!H15-'5 - 2021'!H14</f>
        <v>0</v>
      </c>
      <c r="L9" s="21">
        <f>'5 - 2021'!I15-'5 - 2021'!I14</f>
        <v>91</v>
      </c>
      <c r="M9" s="20">
        <v>4.393629424766913</v>
      </c>
      <c r="N9" s="36">
        <v>54</v>
      </c>
    </row>
    <row r="10" spans="1:21" x14ac:dyDescent="0.25">
      <c r="A10" t="s">
        <v>27</v>
      </c>
      <c r="B10">
        <f t="shared" si="0"/>
        <v>9</v>
      </c>
      <c r="C10" s="19">
        <v>5</v>
      </c>
      <c r="D10" s="19">
        <v>2021</v>
      </c>
      <c r="E10" s="21">
        <f>'5 - 2021'!B16-'5 - 2021'!B15+'5 - 2021'!C16-'5 - 2021'!C15</f>
        <v>8745</v>
      </c>
      <c r="F10" s="19">
        <v>0.11799999999999999</v>
      </c>
      <c r="G10" s="21">
        <f>(('5 - 2021'!E16-'5 - 2021'!E15)+('5 - 2021'!F16-'5 - 2021'!F15)+('5 - 2021'!G16-'5 - 2021'!G15))*1.81</f>
        <v>112.85349999999984</v>
      </c>
      <c r="H10" s="19">
        <v>0.99</v>
      </c>
      <c r="I10" s="21">
        <f>'5 - 2021'!J16-'5 - 2021'!J15</f>
        <v>23033</v>
      </c>
      <c r="J10" s="19">
        <v>8.1000000000000003E-2</v>
      </c>
      <c r="K10" s="43">
        <f>'5 - 2021'!H16-'5 - 2021'!H15</f>
        <v>0</v>
      </c>
      <c r="L10" s="21">
        <f>'5 - 2021'!I16-'5 - 2021'!I15</f>
        <v>82</v>
      </c>
      <c r="M10" s="20">
        <v>4.393629424766913</v>
      </c>
      <c r="N10" s="36">
        <v>51</v>
      </c>
    </row>
    <row r="11" spans="1:21" x14ac:dyDescent="0.25">
      <c r="A11" t="s">
        <v>27</v>
      </c>
      <c r="B11">
        <f t="shared" si="0"/>
        <v>10</v>
      </c>
      <c r="C11" s="19">
        <v>5</v>
      </c>
      <c r="D11" s="19">
        <v>2021</v>
      </c>
      <c r="E11" s="21">
        <f>'5 - 2021'!B17-'5 - 2021'!B16+'5 - 2021'!C17-'5 - 2021'!C16</f>
        <v>8743</v>
      </c>
      <c r="F11" s="19">
        <v>0.11799999999999999</v>
      </c>
      <c r="G11" s="21">
        <f>(('5 - 2021'!E17-'5 - 2021'!E16)+('5 - 2021'!F17-'5 - 2021'!F16)+('5 - 2021'!G17-'5 - 2021'!G16))*1.81</f>
        <v>106.06600000000354</v>
      </c>
      <c r="H11" s="19">
        <v>0.99</v>
      </c>
      <c r="I11" s="21">
        <f>'5 - 2021'!J17-'5 - 2021'!J16</f>
        <v>22466</v>
      </c>
      <c r="J11" s="19">
        <v>8.1000000000000003E-2</v>
      </c>
      <c r="K11" s="43">
        <f>'5 - 2021'!H17-'5 - 2021'!H16</f>
        <v>0</v>
      </c>
      <c r="L11" s="21">
        <f>'5 - 2021'!I17-'5 - 2021'!I16</f>
        <v>85</v>
      </c>
      <c r="M11" s="20">
        <v>4.393629424766913</v>
      </c>
      <c r="N11" s="36">
        <v>42</v>
      </c>
    </row>
    <row r="12" spans="1:21" x14ac:dyDescent="0.25">
      <c r="A12" t="s">
        <v>27</v>
      </c>
      <c r="B12">
        <f t="shared" si="0"/>
        <v>11</v>
      </c>
      <c r="C12" s="19">
        <v>5</v>
      </c>
      <c r="D12" s="19">
        <v>2021</v>
      </c>
      <c r="E12" s="21">
        <f>'5 - 2021'!B18-'5 - 2021'!B17+'5 - 2021'!C18-'5 - 2021'!C17</f>
        <v>9054</v>
      </c>
      <c r="F12" s="19">
        <v>0.11799999999999999</v>
      </c>
      <c r="G12" s="21">
        <f>(('5 - 2021'!E18-'5 - 2021'!E17)+('5 - 2021'!F18-'5 - 2021'!F17)+('5 - 2021'!G18-'5 - 2021'!G17))*1.81</f>
        <v>106.44609999999847</v>
      </c>
      <c r="H12" s="19">
        <v>0.99</v>
      </c>
      <c r="I12" s="21">
        <f>'5 - 2021'!J18-'5 - 2021'!J17</f>
        <v>23197</v>
      </c>
      <c r="J12" s="19">
        <v>8.1000000000000003E-2</v>
      </c>
      <c r="K12" s="43">
        <f>'5 - 2021'!H18-'5 - 2021'!H17</f>
        <v>0</v>
      </c>
      <c r="L12" s="21">
        <f>'5 - 2021'!I18-'5 - 2021'!I17</f>
        <v>87</v>
      </c>
      <c r="M12" s="20">
        <v>4.393629424766913</v>
      </c>
      <c r="N12" s="21">
        <v>48</v>
      </c>
    </row>
    <row r="13" spans="1:21" x14ac:dyDescent="0.25">
      <c r="A13" t="s">
        <v>27</v>
      </c>
      <c r="B13">
        <f t="shared" si="0"/>
        <v>12</v>
      </c>
      <c r="C13" s="19">
        <v>5</v>
      </c>
      <c r="D13" s="19">
        <v>2021</v>
      </c>
      <c r="E13" s="21">
        <f>'5 - 2021'!B19-'5 - 2021'!B18+'5 - 2021'!C19-'5 - 2021'!C18</f>
        <v>9167</v>
      </c>
      <c r="F13" s="19">
        <v>0.11799999999999999</v>
      </c>
      <c r="G13" s="21">
        <f>(('5 - 2021'!E19-'5 - 2021'!E18)+('5 - 2021'!F19-'5 - 2021'!F18)+('5 - 2021'!G19-'5 - 2021'!G18))*1.81</f>
        <v>107.45969999999899</v>
      </c>
      <c r="H13" s="19">
        <v>0.99</v>
      </c>
      <c r="I13" s="21">
        <f>'5 - 2021'!J19-'5 - 2021'!J18</f>
        <v>24384</v>
      </c>
      <c r="J13" s="19">
        <v>8.1000000000000003E-2</v>
      </c>
      <c r="K13" s="43">
        <f>'5 - 2021'!H19-'5 - 2021'!H18</f>
        <v>0</v>
      </c>
      <c r="L13" s="21">
        <f>'5 - 2021'!I19-'5 - 2021'!I18</f>
        <v>82</v>
      </c>
      <c r="M13" s="20">
        <v>4.393629424766913</v>
      </c>
      <c r="N13" s="21">
        <v>51</v>
      </c>
    </row>
    <row r="14" spans="1:21" x14ac:dyDescent="0.25">
      <c r="A14" t="s">
        <v>27</v>
      </c>
      <c r="B14">
        <f t="shared" si="0"/>
        <v>13</v>
      </c>
      <c r="C14" s="19">
        <v>5</v>
      </c>
      <c r="D14" s="19">
        <v>2021</v>
      </c>
      <c r="E14" s="21">
        <f>'5 - 2021'!B20-'5 - 2021'!B19+'5 - 2021'!C20-'5 - 2021'!C19</f>
        <v>9132</v>
      </c>
      <c r="F14" s="19">
        <v>0.11799999999999999</v>
      </c>
      <c r="G14" s="21">
        <f>(('5 - 2021'!E20-'5 - 2021'!E19)+('5 - 2021'!F20-'5 - 2021'!F19)+('5 - 2021'!G20-'5 - 2021'!G19))*1.81</f>
        <v>104.83519999999787</v>
      </c>
      <c r="H14" s="19">
        <v>0.99</v>
      </c>
      <c r="I14" s="21">
        <f>'5 - 2021'!J20-'5 - 2021'!J19</f>
        <v>24758</v>
      </c>
      <c r="J14" s="19">
        <v>8.1000000000000003E-2</v>
      </c>
      <c r="K14" s="43">
        <f>'5 - 2021'!H20-'5 - 2021'!H19</f>
        <v>0</v>
      </c>
      <c r="L14" s="21">
        <f>'5 - 2021'!I20-'5 - 2021'!I19</f>
        <v>86</v>
      </c>
      <c r="M14" s="20">
        <v>4.393629424766913</v>
      </c>
      <c r="N14" s="21">
        <v>61</v>
      </c>
      <c r="O14" s="21"/>
    </row>
    <row r="15" spans="1:21" x14ac:dyDescent="0.25">
      <c r="A15" t="s">
        <v>27</v>
      </c>
      <c r="B15">
        <f t="shared" si="0"/>
        <v>14</v>
      </c>
      <c r="C15" s="19">
        <v>5</v>
      </c>
      <c r="D15" s="19">
        <v>2021</v>
      </c>
      <c r="E15" s="21">
        <f>'5 - 2021'!B21-'5 - 2021'!B20+'5 - 2021'!C21-'5 - 2021'!C20</f>
        <v>9300</v>
      </c>
      <c r="F15" s="19">
        <v>0.11799999999999999</v>
      </c>
      <c r="G15" s="21">
        <f>(('5 - 2021'!E21-'5 - 2021'!E20)+('5 - 2021'!F21-'5 - 2021'!F20)+('5 - 2021'!G21-'5 - 2021'!G20))*1.81</f>
        <v>117.54140000000319</v>
      </c>
      <c r="H15" s="19">
        <v>0.99</v>
      </c>
      <c r="I15" s="21">
        <f>'5 - 2021'!J21-'5 - 2021'!J20</f>
        <v>25741</v>
      </c>
      <c r="J15" s="19">
        <v>8.1000000000000003E-2</v>
      </c>
      <c r="K15" s="43">
        <f>'5 - 2021'!H21-'5 - 2021'!H20</f>
        <v>0</v>
      </c>
      <c r="L15" s="21">
        <f>'5 - 2021'!I21-'5 - 2021'!I20</f>
        <v>107</v>
      </c>
      <c r="M15" s="20">
        <v>4.393629424766913</v>
      </c>
      <c r="N15" s="21">
        <v>64</v>
      </c>
    </row>
    <row r="16" spans="1:21" x14ac:dyDescent="0.25">
      <c r="A16" t="s">
        <v>27</v>
      </c>
      <c r="B16">
        <f t="shared" si="0"/>
        <v>15</v>
      </c>
      <c r="C16" s="19">
        <v>5</v>
      </c>
      <c r="D16" s="19">
        <v>2021</v>
      </c>
      <c r="E16" s="21">
        <f>'5 - 2021'!B22-'5 - 2021'!B21+'5 - 2021'!C22-'5 - 2021'!C21</f>
        <v>9233</v>
      </c>
      <c r="F16" s="19">
        <v>0.11799999999999999</v>
      </c>
      <c r="G16" s="21">
        <f>(('5 - 2021'!E22-'5 - 2021'!E21)+('5 - 2021'!F22-'5 - 2021'!F21)+('5 - 2021'!G22-'5 - 2021'!G21))*1.81</f>
        <v>113.93949999999762</v>
      </c>
      <c r="H16" s="19">
        <v>0.99</v>
      </c>
      <c r="I16" s="21">
        <f>'5 - 2021'!J22-'5 - 2021'!J21</f>
        <v>29418</v>
      </c>
      <c r="J16" s="19">
        <v>8.1000000000000003E-2</v>
      </c>
      <c r="K16" s="43">
        <f>'5 - 2021'!H22-'5 - 2021'!H21</f>
        <v>0</v>
      </c>
      <c r="L16" s="21">
        <f>'5 - 2021'!I22-'5 - 2021'!I21</f>
        <v>87</v>
      </c>
      <c r="M16" s="20">
        <v>4.393629424766913</v>
      </c>
      <c r="N16" s="21">
        <v>64</v>
      </c>
      <c r="U16" s="19"/>
    </row>
    <row r="17" spans="1:16" x14ac:dyDescent="0.25">
      <c r="A17" t="s">
        <v>27</v>
      </c>
      <c r="B17">
        <f t="shared" si="0"/>
        <v>16</v>
      </c>
      <c r="C17" s="19">
        <v>5</v>
      </c>
      <c r="D17" s="19">
        <v>2021</v>
      </c>
      <c r="E17" s="21">
        <f>'5 - 2021'!B23-'5 - 2021'!B22+'5 - 2021'!C23-'5 - 2021'!C22</f>
        <v>9024</v>
      </c>
      <c r="F17" s="19">
        <v>0.11799999999999999</v>
      </c>
      <c r="G17" s="21">
        <f>(('5 - 2021'!E23-'5 - 2021'!E22)+('5 - 2021'!F23-'5 - 2021'!F22)+('5 - 2021'!G23-'5 - 2021'!G22))*1.81</f>
        <v>113.74040000000213</v>
      </c>
      <c r="H17" s="19">
        <v>0.99</v>
      </c>
      <c r="I17" s="21">
        <f>'5 - 2021'!J23-'5 - 2021'!J22</f>
        <v>28714</v>
      </c>
      <c r="J17" s="19">
        <v>8.1000000000000003E-2</v>
      </c>
      <c r="K17" s="43">
        <f>'5 - 2021'!H23-'5 - 2021'!H22</f>
        <v>0</v>
      </c>
      <c r="L17" s="21">
        <f>'5 - 2021'!I23-'5 - 2021'!I22</f>
        <v>99</v>
      </c>
      <c r="M17" s="20">
        <v>4.393629424766913</v>
      </c>
      <c r="N17" s="21">
        <v>65</v>
      </c>
      <c r="O17" s="19"/>
    </row>
    <row r="18" spans="1:16" x14ac:dyDescent="0.25">
      <c r="A18" t="s">
        <v>27</v>
      </c>
      <c r="B18">
        <f t="shared" si="0"/>
        <v>17</v>
      </c>
      <c r="C18" s="19">
        <v>5</v>
      </c>
      <c r="D18" s="19">
        <v>2021</v>
      </c>
      <c r="E18" s="21">
        <f>'5 - 2021'!B24-'5 - 2021'!B23+'5 - 2021'!C24-'5 - 2021'!C23</f>
        <v>8835</v>
      </c>
      <c r="F18" s="19">
        <v>0.11799999999999999</v>
      </c>
      <c r="G18" s="21">
        <f>(('5 - 2021'!E24-'5 - 2021'!E23)+('5 - 2021'!F24-'5 - 2021'!F23)+('5 - 2021'!G24-'5 - 2021'!G23))*1.81</f>
        <v>110.02989999999686</v>
      </c>
      <c r="H18" s="19">
        <v>0.99</v>
      </c>
      <c r="I18" s="21">
        <f>'5 - 2021'!J24-'5 - 2021'!J23</f>
        <v>25378</v>
      </c>
      <c r="J18" s="19">
        <v>8.1000000000000003E-2</v>
      </c>
      <c r="K18" s="43">
        <f>'5 - 2021'!H24-'5 - 2021'!H23</f>
        <v>0</v>
      </c>
      <c r="L18" s="21">
        <f>'5 - 2021'!I24-'5 - 2021'!I23</f>
        <v>101</v>
      </c>
      <c r="M18" s="20">
        <v>4.393629424766913</v>
      </c>
      <c r="N18" s="21">
        <v>64</v>
      </c>
    </row>
    <row r="19" spans="1:16" x14ac:dyDescent="0.25">
      <c r="A19" t="s">
        <v>27</v>
      </c>
      <c r="B19">
        <f>B18+1</f>
        <v>18</v>
      </c>
      <c r="C19" s="19">
        <v>5</v>
      </c>
      <c r="D19" s="19">
        <v>2021</v>
      </c>
      <c r="E19" s="21">
        <f>'5 - 2021'!B25-'5 - 2021'!B24+'5 - 2021'!C25-'5 - 2021'!C24</f>
        <v>9500</v>
      </c>
      <c r="F19" s="19">
        <v>0.11799999999999999</v>
      </c>
      <c r="G19" s="21">
        <f>(('5 - 2021'!E25-'5 - 2021'!E24)+('5 - 2021'!F25-'5 - 2021'!F24)+('5 - 2021'!G25-'5 - 2021'!G24))*1.81</f>
        <v>113.26979999999988</v>
      </c>
      <c r="H19" s="19">
        <v>0.99</v>
      </c>
      <c r="I19" s="21">
        <f>'5 - 2021'!J25-'5 - 2021'!J24</f>
        <v>28172</v>
      </c>
      <c r="J19" s="19">
        <v>8.1000000000000003E-2</v>
      </c>
      <c r="K19" s="43">
        <f>'5 - 2021'!H25-'5 - 2021'!H24</f>
        <v>0</v>
      </c>
      <c r="L19" s="21">
        <f>'5 - 2021'!I25-'5 - 2021'!I24</f>
        <v>90</v>
      </c>
      <c r="M19" s="20">
        <v>4.393629424766913</v>
      </c>
      <c r="N19" s="37">
        <v>62</v>
      </c>
    </row>
    <row r="20" spans="1:16" x14ac:dyDescent="0.25">
      <c r="A20" t="s">
        <v>27</v>
      </c>
      <c r="B20">
        <f t="shared" si="0"/>
        <v>19</v>
      </c>
      <c r="C20" s="19">
        <v>5</v>
      </c>
      <c r="D20" s="19">
        <v>2021</v>
      </c>
      <c r="E20" s="21">
        <f>'5 - 2021'!B26-'5 - 2021'!B25+'5 - 2021'!C26-'5 - 2021'!C25</f>
        <v>9418</v>
      </c>
      <c r="F20" s="19">
        <v>0.11799999999999999</v>
      </c>
      <c r="G20" s="21">
        <f>(('5 - 2021'!E26-'5 - 2021'!E25)+('5 - 2021'!F26-'5 - 2021'!F25)+('5 - 2021'!G26-'5 - 2021'!G25))*1.81</f>
        <v>117.4509000000041</v>
      </c>
      <c r="H20" s="19">
        <v>0.99</v>
      </c>
      <c r="I20" s="21">
        <f>'5 - 2021'!J26-'5 - 2021'!J25</f>
        <v>28095</v>
      </c>
      <c r="J20" s="19">
        <v>8.1000000000000003E-2</v>
      </c>
      <c r="K20" s="43">
        <f>'5 - 2021'!H26-'5 - 2021'!H25</f>
        <v>0</v>
      </c>
      <c r="L20" s="21">
        <f>'5 - 2021'!I26-'5 - 2021'!I25</f>
        <v>99</v>
      </c>
      <c r="M20" s="20">
        <v>4.393629424766913</v>
      </c>
      <c r="N20" s="37">
        <v>62</v>
      </c>
    </row>
    <row r="21" spans="1:16" x14ac:dyDescent="0.25">
      <c r="A21" t="s">
        <v>27</v>
      </c>
      <c r="B21">
        <f t="shared" si="0"/>
        <v>20</v>
      </c>
      <c r="C21" s="19">
        <v>5</v>
      </c>
      <c r="D21" s="19">
        <v>2021</v>
      </c>
      <c r="E21" s="21">
        <f>'5 - 2021'!B27-'5 - 2021'!B26+'5 - 2021'!C27-'5 - 2021'!C26</f>
        <v>8782</v>
      </c>
      <c r="F21" s="19">
        <v>0.11799999999999999</v>
      </c>
      <c r="G21" s="21">
        <f>(('5 - 2021'!E27-'5 - 2021'!E26)+('5 - 2021'!F27-'5 - 2021'!F26)+('5 - 2021'!G27-'5 - 2021'!G26))*1.81</f>
        <v>101.36000000000124</v>
      </c>
      <c r="H21" s="19">
        <v>0.99</v>
      </c>
      <c r="I21" s="21">
        <f>'5 - 2021'!J27-'5 - 2021'!J26</f>
        <v>25487</v>
      </c>
      <c r="J21" s="19">
        <v>8.1000000000000003E-2</v>
      </c>
      <c r="K21" s="43">
        <f>'5 - 2021'!H27-'5 - 2021'!H26</f>
        <v>0</v>
      </c>
      <c r="L21" s="21">
        <f>'5 - 2021'!I27-'5 - 2021'!I26</f>
        <v>99</v>
      </c>
      <c r="M21" s="20">
        <v>4.393629424766913</v>
      </c>
      <c r="N21" s="37">
        <v>69</v>
      </c>
    </row>
    <row r="22" spans="1:16" x14ac:dyDescent="0.25">
      <c r="A22" t="s">
        <v>27</v>
      </c>
      <c r="B22">
        <f t="shared" si="0"/>
        <v>21</v>
      </c>
      <c r="C22" s="19">
        <v>5</v>
      </c>
      <c r="D22" s="19">
        <v>2021</v>
      </c>
      <c r="E22" s="21">
        <f>'5 - 2021'!B28-'5 - 2021'!B27+'5 - 2021'!C28-'5 - 2021'!C27</f>
        <v>9828</v>
      </c>
      <c r="F22" s="19">
        <v>0.11799999999999999</v>
      </c>
      <c r="G22" s="21">
        <f>(('5 - 2021'!E28-'5 - 2021'!E27)+('5 - 2021'!F28-'5 - 2021'!F27)+('5 - 2021'!G28-'5 - 2021'!G27))*1.81</f>
        <v>121.21569999999923</v>
      </c>
      <c r="H22" s="19">
        <v>0.99</v>
      </c>
      <c r="I22" s="21">
        <f>'5 - 2021'!J28-'5 - 2021'!J27</f>
        <v>30465</v>
      </c>
      <c r="J22" s="19">
        <v>8.1000000000000003E-2</v>
      </c>
      <c r="K22" s="43">
        <f>'5 - 2021'!H28-'5 - 2021'!H27</f>
        <v>0</v>
      </c>
      <c r="L22" s="21">
        <f>'5 - 2021'!I28-'5 - 2021'!I27</f>
        <v>133</v>
      </c>
      <c r="M22" s="20">
        <v>4.393629424766913</v>
      </c>
      <c r="N22" s="37">
        <v>93</v>
      </c>
    </row>
    <row r="23" spans="1:16" x14ac:dyDescent="0.25">
      <c r="A23" t="s">
        <v>27</v>
      </c>
      <c r="B23">
        <f t="shared" si="0"/>
        <v>22</v>
      </c>
      <c r="C23" s="19">
        <v>5</v>
      </c>
      <c r="D23" s="19">
        <v>2021</v>
      </c>
      <c r="E23" s="21">
        <f>'5 - 2021'!B29-'5 - 2021'!B28+'5 - 2021'!C29-'5 - 2021'!C28</f>
        <v>9352</v>
      </c>
      <c r="F23" s="19">
        <v>0.11799999999999999</v>
      </c>
      <c r="G23" s="21">
        <f>(('5 - 2021'!E29-'5 - 2021'!E28)+('5 - 2021'!F29-'5 - 2021'!F28)+('5 - 2021'!G29-'5 - 2021'!G28))*1.81</f>
        <v>122.88089999999566</v>
      </c>
      <c r="H23" s="19">
        <v>0.99</v>
      </c>
      <c r="I23" s="21">
        <f>'5 - 2021'!J29-'5 - 2021'!J28</f>
        <v>31597</v>
      </c>
      <c r="J23" s="19">
        <v>8.1000000000000003E-2</v>
      </c>
      <c r="K23" s="43">
        <f>'5 - 2021'!H29-'5 - 2021'!H28</f>
        <v>0</v>
      </c>
      <c r="L23" s="21">
        <f>'5 - 2021'!I29-'5 - 2021'!I28</f>
        <v>126</v>
      </c>
      <c r="M23" s="20">
        <v>4.393629424766913</v>
      </c>
      <c r="N23" s="37">
        <v>95</v>
      </c>
    </row>
    <row r="24" spans="1:16" x14ac:dyDescent="0.25">
      <c r="A24" t="s">
        <v>27</v>
      </c>
      <c r="B24">
        <f t="shared" si="0"/>
        <v>23</v>
      </c>
      <c r="C24" s="19">
        <v>5</v>
      </c>
      <c r="D24" s="19">
        <v>2021</v>
      </c>
      <c r="E24" s="21">
        <f>'5 - 2021'!B30-'5 - 2021'!B29+'5 - 2021'!C30-'5 - 2021'!C29</f>
        <v>9582</v>
      </c>
      <c r="F24" s="19">
        <v>0.11799999999999999</v>
      </c>
      <c r="G24" s="21">
        <f>(('5 - 2021'!E30-'5 - 2021'!E29)+('5 - 2021'!F30-'5 - 2021'!F29)+('5 - 2021'!G30-'5 - 2021'!G29))*1.81</f>
        <v>117.48710000000057</v>
      </c>
      <c r="H24" s="19">
        <v>0.99</v>
      </c>
      <c r="I24" s="21">
        <f>'5 - 2021'!J30-'5 - 2021'!J29</f>
        <v>30990</v>
      </c>
      <c r="J24" s="19">
        <v>8.1000000000000003E-2</v>
      </c>
      <c r="K24" s="43">
        <f>'5 - 2021'!H30-'5 - 2021'!H29</f>
        <v>0</v>
      </c>
      <c r="L24" s="21">
        <f>'5 - 2021'!I30-'5 - 2021'!I29</f>
        <v>117</v>
      </c>
      <c r="M24" s="20">
        <v>4.393629424766913</v>
      </c>
      <c r="N24" s="37">
        <v>81</v>
      </c>
    </row>
    <row r="25" spans="1:16" x14ac:dyDescent="0.25">
      <c r="A25" t="s">
        <v>27</v>
      </c>
      <c r="B25">
        <f t="shared" si="0"/>
        <v>24</v>
      </c>
      <c r="C25" s="19">
        <v>5</v>
      </c>
      <c r="D25" s="19">
        <v>2021</v>
      </c>
      <c r="E25" s="21">
        <f>'5 - 2021'!B31-'5 - 2021'!B30+'5 - 2021'!C31-'5 - 2021'!C30</f>
        <v>9467</v>
      </c>
      <c r="F25" s="19">
        <v>0.11799999999999999</v>
      </c>
      <c r="G25" s="21">
        <f>(('5 - 2021'!E31-'5 - 2021'!E30)+('5 - 2021'!F31-'5 - 2021'!F30)+('5 - 2021'!G31-'5 - 2021'!G30))*1.81</f>
        <v>113.92140000000299</v>
      </c>
      <c r="H25" s="19">
        <v>0.99</v>
      </c>
      <c r="I25" s="21">
        <f>'5 - 2021'!J31-'5 - 2021'!J30</f>
        <v>29701</v>
      </c>
      <c r="J25" s="19">
        <v>8.1000000000000003E-2</v>
      </c>
      <c r="K25" s="43">
        <f>'5 - 2021'!H31-'5 - 2021'!H30</f>
        <v>0</v>
      </c>
      <c r="L25" s="21">
        <f>'5 - 2021'!I31-'5 - 2021'!I30</f>
        <v>104</v>
      </c>
      <c r="M25" s="20">
        <v>4.393629424766913</v>
      </c>
      <c r="N25" s="37">
        <v>72</v>
      </c>
      <c r="P25" s="14"/>
    </row>
    <row r="26" spans="1:16" x14ac:dyDescent="0.25">
      <c r="A26" t="s">
        <v>27</v>
      </c>
      <c r="B26">
        <f>B25+1</f>
        <v>25</v>
      </c>
      <c r="C26" s="19">
        <v>5</v>
      </c>
      <c r="D26" s="19">
        <v>2021</v>
      </c>
      <c r="E26" s="21">
        <v>0</v>
      </c>
      <c r="F26" s="19">
        <v>0.11799999999999999</v>
      </c>
      <c r="G26" s="21">
        <v>0</v>
      </c>
      <c r="H26" s="19">
        <v>0.99</v>
      </c>
      <c r="I26" s="21">
        <v>0</v>
      </c>
      <c r="J26" s="19">
        <v>8.1000000000000003E-2</v>
      </c>
      <c r="K26" s="43">
        <v>0</v>
      </c>
      <c r="L26" s="21">
        <v>0</v>
      </c>
      <c r="M26" s="20">
        <v>4.393629424766913</v>
      </c>
      <c r="N26" s="37"/>
    </row>
    <row r="27" spans="1:16" x14ac:dyDescent="0.25">
      <c r="A27" t="s">
        <v>27</v>
      </c>
      <c r="B27">
        <f t="shared" si="0"/>
        <v>26</v>
      </c>
      <c r="C27" s="19">
        <v>5</v>
      </c>
      <c r="D27" s="19">
        <v>2021</v>
      </c>
      <c r="E27" s="21">
        <f>'5 - 2021'!B33-'5 - 2021'!B32+'5 - 2021'!C33-'5 - 2021'!C32</f>
        <v>0</v>
      </c>
      <c r="F27" s="19">
        <v>0.11799999999999999</v>
      </c>
      <c r="G27" s="21">
        <f>(('5 - 2021'!E33-'5 - 2021'!E32)+('5 - 2021'!F33-'5 - 2021'!F32)+('5 - 2021'!G33-'5 - 2021'!G32))*1.81</f>
        <v>0</v>
      </c>
      <c r="H27" s="19">
        <v>0.99</v>
      </c>
      <c r="I27" s="21">
        <f>'5 - 2021'!J33-'5 - 2021'!J32</f>
        <v>0</v>
      </c>
      <c r="J27" s="19">
        <v>8.1000000000000003E-2</v>
      </c>
      <c r="K27" s="43">
        <f>'5 - 2021'!H33-'5 - 2021'!H32</f>
        <v>0</v>
      </c>
      <c r="L27" s="21">
        <f>'5 - 2021'!I33-'5 - 2021'!I32</f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5</v>
      </c>
      <c r="D28" s="19">
        <v>2021</v>
      </c>
      <c r="E28" s="21">
        <f>'5 - 2021'!B34-'5 - 2021'!B33+'5 - 2021'!C34-'5 - 2021'!C33</f>
        <v>0</v>
      </c>
      <c r="F28" s="19">
        <v>0.11799999999999999</v>
      </c>
      <c r="G28" s="21">
        <f>(('5 - 2021'!E34-'5 - 2021'!E33)+('5 - 2021'!F34-'5 - 2021'!F33)+('5 - 2021'!G34-'5 - 2021'!G33))*1.81</f>
        <v>0</v>
      </c>
      <c r="H28" s="19">
        <v>0.99</v>
      </c>
      <c r="I28" s="21">
        <f>'5 - 2021'!J34-'5 - 2021'!J33</f>
        <v>0</v>
      </c>
      <c r="J28" s="19">
        <v>8.1000000000000003E-2</v>
      </c>
      <c r="K28" s="43">
        <f>'5 - 2021'!H34-'5 - 2021'!H33</f>
        <v>0</v>
      </c>
      <c r="L28" s="21">
        <f>'5 - 2021'!I34-'5 - 2021'!I33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5</v>
      </c>
      <c r="D29" s="19">
        <v>2021</v>
      </c>
      <c r="E29" s="21">
        <f>'5 - 2021'!B35-'5 - 2021'!B34+'5 - 2021'!C35-'5 - 2021'!C34</f>
        <v>0</v>
      </c>
      <c r="F29" s="19">
        <v>0.11799999999999999</v>
      </c>
      <c r="G29" s="21">
        <f>(('5 - 2021'!E35-'5 - 2021'!E34)+('5 - 2021'!F35-'5 - 2021'!F34)+('5 - 2021'!G35-'5 - 2021'!G34))*1.81</f>
        <v>0</v>
      </c>
      <c r="H29" s="19">
        <v>0.99</v>
      </c>
      <c r="I29" s="21">
        <f>'5 - 2021'!J35-'5 - 2021'!J34</f>
        <v>0</v>
      </c>
      <c r="J29" s="19">
        <v>8.1000000000000003E-2</v>
      </c>
      <c r="K29" s="43">
        <f>'5 - 2021'!H35-'5 - 2021'!H34</f>
        <v>0</v>
      </c>
      <c r="L29" s="21">
        <f>'5 - 2021'!I35-'5 - 2021'!I34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5</v>
      </c>
      <c r="D30" s="19">
        <v>2021</v>
      </c>
      <c r="E30" s="21">
        <f>'5 - 2021'!B36-'5 - 2021'!B35+'5 - 2021'!C36-'5 - 2021'!C35</f>
        <v>0</v>
      </c>
      <c r="F30" s="19">
        <v>0.11799999999999999</v>
      </c>
      <c r="G30" s="21">
        <f>(('5 - 2021'!E36-'5 - 2021'!E35)+('5 - 2021'!F36-'5 - 2021'!F35)+('5 - 2021'!G36-'5 - 2021'!G35))*1.81</f>
        <v>0</v>
      </c>
      <c r="H30" s="19">
        <v>0.99</v>
      </c>
      <c r="I30" s="21">
        <f>'5 - 2021'!J36-'5 - 2021'!J35</f>
        <v>0</v>
      </c>
      <c r="J30" s="19">
        <v>8.1000000000000003E-2</v>
      </c>
      <c r="K30" s="43">
        <f>'5 - 2021'!H36-'5 - 2021'!H35</f>
        <v>0</v>
      </c>
      <c r="L30" s="21">
        <f>'5 - 2021'!I36-'5 - 2021'!I35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5</v>
      </c>
      <c r="D31" s="19">
        <v>2021</v>
      </c>
      <c r="E31" s="21">
        <f>'5 - 2021'!B37-'5 - 2021'!B36+'5 - 2021'!C37-'5 - 2021'!C36</f>
        <v>0</v>
      </c>
      <c r="F31" s="19">
        <v>0.11799999999999999</v>
      </c>
      <c r="G31" s="21">
        <f>(('5 - 2021'!E37-'5 - 2021'!E36)+('5 - 2021'!F37-'5 - 2021'!F36)+('5 - 2021'!G37-'5 - 2021'!G36))*1.81</f>
        <v>0</v>
      </c>
      <c r="H31" s="19">
        <v>0.99</v>
      </c>
      <c r="I31" s="21">
        <f>'5 - 2021'!J37-'5 - 2021'!J36</f>
        <v>0</v>
      </c>
      <c r="J31" s="19">
        <v>8.1000000000000003E-2</v>
      </c>
      <c r="K31" s="43">
        <f>'5 - 2021'!H37-'5 - 2021'!H36</f>
        <v>0</v>
      </c>
      <c r="L31" s="21">
        <f>'5 - 2021'!I37-'5 - 2021'!I36</f>
        <v>0</v>
      </c>
      <c r="M31" s="20">
        <v>4.393629424766913</v>
      </c>
    </row>
    <row r="32" spans="1:16" x14ac:dyDescent="0.25">
      <c r="A32" s="19" t="s">
        <v>27</v>
      </c>
      <c r="B32" s="19">
        <f t="shared" si="0"/>
        <v>31</v>
      </c>
      <c r="C32" s="19">
        <v>5</v>
      </c>
      <c r="D32" s="19">
        <v>2021</v>
      </c>
      <c r="E32" s="21">
        <f>'5 - 2021'!B38-'5 - 2021'!B37+'5 - 2021'!C38-'5 - 2021'!C37</f>
        <v>0</v>
      </c>
      <c r="F32" s="19">
        <v>0.11799999999999999</v>
      </c>
      <c r="G32" s="21">
        <f>(('5 - 2021'!E38-'5 - 2021'!E37)+('5 - 2021'!F38-'5 - 2021'!F37)+('5 - 2021'!G38-'5 - 2021'!G37))*1.81</f>
        <v>0</v>
      </c>
      <c r="H32" s="19">
        <v>0.99</v>
      </c>
      <c r="I32" s="21">
        <f>'5 - 2021'!J38-'5 - 2021'!J37</f>
        <v>0</v>
      </c>
      <c r="J32" s="19">
        <v>8.1000000000000003E-2</v>
      </c>
      <c r="K32" s="43">
        <f>'5 - 2021'!H38-'5 - 2021'!H37</f>
        <v>0</v>
      </c>
      <c r="L32" s="21">
        <f>'5 - 2021'!I38-'5 - 2021'!I37</f>
        <v>0</v>
      </c>
      <c r="M32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P22" sqref="P2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5</v>
      </c>
      <c r="D2">
        <v>2021</v>
      </c>
      <c r="E2" s="21">
        <f>'5 - 2021'!B8-'5 - 2021'!B7</f>
        <v>3561</v>
      </c>
      <c r="F2" s="21">
        <f>'5 - 2021'!C8-'5 - 2021'!C7</f>
        <v>5741</v>
      </c>
      <c r="G2" s="19">
        <v>0.11799999999999999</v>
      </c>
      <c r="H2" s="21">
        <f>'5 - 2021'!E8-'5 - 2021'!E7</f>
        <v>26.049999999999955</v>
      </c>
      <c r="I2" s="21">
        <f>'5 - 2021'!F8-'5 - 2021'!F7</f>
        <v>5.1799999999998363</v>
      </c>
      <c r="J2" s="21">
        <f>'5 - 2021'!G8-'5 - 2021'!G7</f>
        <v>33.169999999998254</v>
      </c>
      <c r="K2" s="19">
        <v>0.74</v>
      </c>
      <c r="L2" s="21">
        <v>80</v>
      </c>
      <c r="M2" s="12"/>
    </row>
    <row r="3" spans="1:13" x14ac:dyDescent="0.25">
      <c r="A3" t="s">
        <v>27</v>
      </c>
      <c r="B3">
        <f>B2+1</f>
        <v>2</v>
      </c>
      <c r="C3" s="19">
        <v>5</v>
      </c>
      <c r="D3" s="19">
        <v>2021</v>
      </c>
      <c r="E3" s="21">
        <f>'5 - 2021'!B9-'5 - 2021'!B8</f>
        <v>3363</v>
      </c>
      <c r="F3" s="21">
        <f>'5 - 2021'!C9-'5 - 2021'!C8</f>
        <v>5431</v>
      </c>
      <c r="G3" s="19">
        <v>0.11799999999999999</v>
      </c>
      <c r="H3" s="21">
        <f>'5 - 2021'!E9-'5 - 2021'!E8</f>
        <v>24.700000000000045</v>
      </c>
      <c r="I3" s="21">
        <f>'5 - 2021'!F9-'5 - 2021'!F8</f>
        <v>3.9000000000000909</v>
      </c>
      <c r="J3" s="21">
        <f>'5 - 2021'!G9-'5 - 2021'!G8</f>
        <v>31.430000000000291</v>
      </c>
      <c r="K3" s="19">
        <v>0.74</v>
      </c>
      <c r="L3" s="36">
        <v>75</v>
      </c>
      <c r="M3" s="12"/>
    </row>
    <row r="4" spans="1:13" x14ac:dyDescent="0.25">
      <c r="A4" t="s">
        <v>27</v>
      </c>
      <c r="B4">
        <f t="shared" ref="B4:B32" si="0">B3+1</f>
        <v>3</v>
      </c>
      <c r="C4" s="19">
        <v>5</v>
      </c>
      <c r="D4" s="19">
        <v>2021</v>
      </c>
      <c r="E4" s="21">
        <f>'5 - 2021'!B10-'5 - 2021'!B9</f>
        <v>3489</v>
      </c>
      <c r="F4" s="21">
        <f>'5 - 2021'!C10-'5 - 2021'!C9</f>
        <v>5771</v>
      </c>
      <c r="G4" s="19">
        <v>0.11799999999999999</v>
      </c>
      <c r="H4" s="21">
        <f>'5 - 2021'!E10-'5 - 2021'!E9</f>
        <v>25.209999999999923</v>
      </c>
      <c r="I4" s="21">
        <f>'5 - 2021'!F10-'5 - 2021'!F9</f>
        <v>4.5799999999999272</v>
      </c>
      <c r="J4" s="21">
        <f>'5 - 2021'!G10-'5 - 2021'!G9</f>
        <v>31.31000000000131</v>
      </c>
      <c r="K4" s="19">
        <v>0.74</v>
      </c>
      <c r="L4" s="36">
        <v>70</v>
      </c>
      <c r="M4" s="12"/>
    </row>
    <row r="5" spans="1:13" x14ac:dyDescent="0.25">
      <c r="A5" t="s">
        <v>27</v>
      </c>
      <c r="B5">
        <f t="shared" si="0"/>
        <v>4</v>
      </c>
      <c r="C5" s="19">
        <v>5</v>
      </c>
      <c r="D5" s="19">
        <v>2021</v>
      </c>
      <c r="E5" s="21">
        <f>'5 - 2021'!B11-'5 - 2021'!B10</f>
        <v>3388</v>
      </c>
      <c r="F5" s="21">
        <f>'5 - 2021'!C11-'5 - 2021'!C10</f>
        <v>5756</v>
      </c>
      <c r="G5" s="19">
        <v>0.11799999999999999</v>
      </c>
      <c r="H5" s="21">
        <f>'5 - 2021'!E11-'5 - 2021'!E10</f>
        <v>24.230000000000018</v>
      </c>
      <c r="I5" s="21">
        <f>'5 - 2021'!F11-'5 - 2021'!F10</f>
        <v>4.4800000000000182</v>
      </c>
      <c r="J5" s="21">
        <f>'5 - 2021'!G11-'5 - 2021'!G10</f>
        <v>30.569999999999709</v>
      </c>
      <c r="K5" s="19">
        <v>0.74</v>
      </c>
      <c r="L5" s="36">
        <v>72</v>
      </c>
      <c r="M5" s="12"/>
    </row>
    <row r="6" spans="1:13" x14ac:dyDescent="0.25">
      <c r="A6" t="s">
        <v>27</v>
      </c>
      <c r="B6">
        <f t="shared" si="0"/>
        <v>5</v>
      </c>
      <c r="C6" s="19">
        <v>5</v>
      </c>
      <c r="D6" s="19">
        <v>2021</v>
      </c>
      <c r="E6" s="21">
        <f>'5 - 2021'!B12-'5 - 2021'!B11</f>
        <v>3637</v>
      </c>
      <c r="F6" s="21">
        <f>'5 - 2021'!C12-'5 - 2021'!C11</f>
        <v>6087</v>
      </c>
      <c r="G6" s="19">
        <v>0.11799999999999999</v>
      </c>
      <c r="H6" s="21">
        <f>'5 - 2021'!E12-'5 - 2021'!E11</f>
        <v>27.539999999999964</v>
      </c>
      <c r="I6" s="21">
        <f>'5 - 2021'!F12-'5 - 2021'!F11</f>
        <v>4.2600000000002183</v>
      </c>
      <c r="J6" s="21">
        <f>'5 - 2021'!G12-'5 - 2021'!G11</f>
        <v>30.639999999999418</v>
      </c>
      <c r="K6" s="19">
        <v>0.74</v>
      </c>
      <c r="L6" s="36">
        <v>68</v>
      </c>
      <c r="M6" s="13"/>
    </row>
    <row r="7" spans="1:13" x14ac:dyDescent="0.25">
      <c r="A7" t="s">
        <v>27</v>
      </c>
      <c r="B7">
        <f t="shared" si="0"/>
        <v>6</v>
      </c>
      <c r="C7" s="19">
        <v>5</v>
      </c>
      <c r="D7" s="19">
        <v>2021</v>
      </c>
      <c r="E7" s="21">
        <f>'5 - 2021'!B13-'5 - 2021'!B12</f>
        <v>3515</v>
      </c>
      <c r="F7" s="21">
        <f>'5 - 2021'!C13-'5 - 2021'!C12</f>
        <v>5661</v>
      </c>
      <c r="G7" s="19">
        <v>0.11799999999999999</v>
      </c>
      <c r="H7" s="21">
        <f>'5 - 2021'!E13-'5 - 2021'!E12</f>
        <v>24.870000000000005</v>
      </c>
      <c r="I7" s="21">
        <f>'5 - 2021'!F13-'5 - 2021'!F12</f>
        <v>4.1399999999998727</v>
      </c>
      <c r="J7" s="21">
        <f>'5 - 2021'!G13-'5 - 2021'!G12</f>
        <v>38.459999999999127</v>
      </c>
      <c r="K7" s="19">
        <v>0.74</v>
      </c>
      <c r="L7" s="36">
        <v>77</v>
      </c>
      <c r="M7" s="13"/>
    </row>
    <row r="8" spans="1:13" x14ac:dyDescent="0.25">
      <c r="A8" t="s">
        <v>27</v>
      </c>
      <c r="B8">
        <f t="shared" si="0"/>
        <v>7</v>
      </c>
      <c r="C8" s="19">
        <v>5</v>
      </c>
      <c r="D8" s="19">
        <v>2021</v>
      </c>
      <c r="E8" s="21">
        <f>'5 - 2021'!B14-'5 - 2021'!B13</f>
        <v>3571</v>
      </c>
      <c r="F8" s="21">
        <f>'5 - 2021'!C14-'5 - 2021'!C13</f>
        <v>5596</v>
      </c>
      <c r="G8" s="19">
        <v>0.11799999999999999</v>
      </c>
      <c r="H8" s="21">
        <f>'5 - 2021'!E14-'5 - 2021'!E13</f>
        <v>26.240000000000009</v>
      </c>
      <c r="I8" s="21">
        <f>'5 - 2021'!F14-'5 - 2021'!F13</f>
        <v>4.3400000000001455</v>
      </c>
      <c r="J8" s="21">
        <f>'5 - 2021'!G14-'5 - 2021'!G13</f>
        <v>43.889999999999418</v>
      </c>
      <c r="K8" s="19">
        <v>0.74</v>
      </c>
      <c r="L8" s="36">
        <v>59</v>
      </c>
      <c r="M8" s="13"/>
    </row>
    <row r="9" spans="1:13" x14ac:dyDescent="0.25">
      <c r="A9" t="s">
        <v>27</v>
      </c>
      <c r="B9">
        <f t="shared" si="0"/>
        <v>8</v>
      </c>
      <c r="C9" s="19">
        <v>5</v>
      </c>
      <c r="D9" s="19">
        <v>2021</v>
      </c>
      <c r="E9" s="21">
        <f>'5 - 2021'!B15-'5 - 2021'!B14</f>
        <v>3424</v>
      </c>
      <c r="F9" s="21">
        <f>'5 - 2021'!C15-'5 - 2021'!C14</f>
        <v>5585</v>
      </c>
      <c r="G9" s="19">
        <v>0.11799999999999999</v>
      </c>
      <c r="H9" s="21">
        <f>'5 - 2021'!E15-'5 - 2021'!E14</f>
        <v>25.080000000000041</v>
      </c>
      <c r="I9" s="21">
        <f>'5 - 2021'!F15-'5 - 2021'!F14</f>
        <v>4.9600000000000364</v>
      </c>
      <c r="J9" s="21">
        <f>'5 - 2021'!G15-'5 - 2021'!G14</f>
        <v>33.909999999999854</v>
      </c>
      <c r="K9" s="19">
        <v>0.74</v>
      </c>
      <c r="L9" s="36">
        <v>54</v>
      </c>
      <c r="M9" s="13"/>
    </row>
    <row r="10" spans="1:13" x14ac:dyDescent="0.25">
      <c r="A10" t="s">
        <v>27</v>
      </c>
      <c r="B10">
        <f t="shared" si="0"/>
        <v>9</v>
      </c>
      <c r="C10" s="19">
        <v>5</v>
      </c>
      <c r="D10" s="19">
        <v>2021</v>
      </c>
      <c r="E10" s="21">
        <f>'5 - 2021'!B16-'5 - 2021'!B15</f>
        <v>3473</v>
      </c>
      <c r="F10" s="21">
        <f>'5 - 2021'!C16-'5 - 2021'!C15</f>
        <v>5272</v>
      </c>
      <c r="G10" s="19">
        <v>0.11799999999999999</v>
      </c>
      <c r="H10" s="21">
        <f>'5 - 2021'!E16-'5 - 2021'!E15</f>
        <v>26.309999999999945</v>
      </c>
      <c r="I10" s="21">
        <f>'5 - 2021'!F16-'5 - 2021'!F15</f>
        <v>4.2899999999999636</v>
      </c>
      <c r="J10" s="21">
        <f>'5 - 2021'!G16-'5 - 2021'!G15</f>
        <v>31.75</v>
      </c>
      <c r="K10" s="19">
        <v>0.74</v>
      </c>
      <c r="L10" s="36">
        <v>51</v>
      </c>
      <c r="M10" s="13"/>
    </row>
    <row r="11" spans="1:13" x14ac:dyDescent="0.25">
      <c r="A11" t="s">
        <v>27</v>
      </c>
      <c r="B11">
        <f t="shared" si="0"/>
        <v>10</v>
      </c>
      <c r="C11" s="19">
        <v>5</v>
      </c>
      <c r="D11" s="19">
        <v>2021</v>
      </c>
      <c r="E11" s="21">
        <f>'5 - 2021'!B17-'5 - 2021'!B16</f>
        <v>3467</v>
      </c>
      <c r="F11" s="21">
        <f>'5 - 2021'!C17-'5 - 2021'!C16</f>
        <v>5276</v>
      </c>
      <c r="G11" s="19">
        <v>0.11799999999999999</v>
      </c>
      <c r="H11" s="21">
        <f>'5 - 2021'!E17-'5 - 2021'!E16</f>
        <v>22.450000000000045</v>
      </c>
      <c r="I11" s="21">
        <f>'5 - 2021'!F17-'5 - 2021'!F16</f>
        <v>4.4800000000000182</v>
      </c>
      <c r="J11" s="21">
        <f>'5 - 2021'!G17-'5 - 2021'!G16</f>
        <v>31.670000000001892</v>
      </c>
      <c r="K11" s="19">
        <v>0.74</v>
      </c>
      <c r="L11" s="36">
        <v>42</v>
      </c>
      <c r="M11" s="13"/>
    </row>
    <row r="12" spans="1:13" x14ac:dyDescent="0.25">
      <c r="A12" t="s">
        <v>27</v>
      </c>
      <c r="B12">
        <f t="shared" si="0"/>
        <v>11</v>
      </c>
      <c r="C12" s="19">
        <v>5</v>
      </c>
      <c r="D12" s="19">
        <v>2021</v>
      </c>
      <c r="E12" s="21">
        <f>'5 - 2021'!B18-'5 - 2021'!B17</f>
        <v>3409</v>
      </c>
      <c r="F12" s="21">
        <f>'5 - 2021'!C18-'5 - 2021'!C17</f>
        <v>5645</v>
      </c>
      <c r="G12" s="19">
        <v>0.11799999999999999</v>
      </c>
      <c r="H12" s="21">
        <f>'5 - 2021'!E18-'5 - 2021'!E17</f>
        <v>24.620000000000005</v>
      </c>
      <c r="I12" s="21">
        <f>'5 - 2021'!F18-'5 - 2021'!F17</f>
        <v>4.2300000000000182</v>
      </c>
      <c r="J12" s="21">
        <f>'5 - 2021'!G18-'5 - 2021'!G17</f>
        <v>29.959999999999127</v>
      </c>
      <c r="K12" s="19">
        <v>0.74</v>
      </c>
      <c r="L12" s="21">
        <v>48</v>
      </c>
      <c r="M12" s="13"/>
    </row>
    <row r="13" spans="1:13" x14ac:dyDescent="0.25">
      <c r="A13" t="s">
        <v>27</v>
      </c>
      <c r="B13">
        <f t="shared" si="0"/>
        <v>12</v>
      </c>
      <c r="C13" s="19">
        <v>5</v>
      </c>
      <c r="D13" s="19">
        <v>2021</v>
      </c>
      <c r="E13" s="21">
        <f>'5 - 2021'!B19-'5 - 2021'!B18</f>
        <v>3510</v>
      </c>
      <c r="F13" s="21">
        <f>'5 - 2021'!C19-'5 - 2021'!C18</f>
        <v>5657</v>
      </c>
      <c r="G13" s="19">
        <v>0.11799999999999999</v>
      </c>
      <c r="H13" s="21">
        <f>'5 - 2021'!E19-'5 - 2021'!E18</f>
        <v>24.440000000000055</v>
      </c>
      <c r="I13" s="21">
        <f>'5 - 2021'!F19-'5 - 2021'!F18</f>
        <v>4.6999999999998181</v>
      </c>
      <c r="J13" s="21">
        <f>'5 - 2021'!G19-'5 - 2021'!G18</f>
        <v>30.229999999999563</v>
      </c>
      <c r="K13" s="19">
        <v>0.74</v>
      </c>
      <c r="L13" s="21">
        <v>51</v>
      </c>
      <c r="M13" s="13"/>
    </row>
    <row r="14" spans="1:13" x14ac:dyDescent="0.25">
      <c r="A14" t="s">
        <v>27</v>
      </c>
      <c r="B14">
        <f t="shared" si="0"/>
        <v>13</v>
      </c>
      <c r="C14" s="19">
        <v>5</v>
      </c>
      <c r="D14" s="19">
        <v>2021</v>
      </c>
      <c r="E14" s="21">
        <f>'5 - 2021'!B20-'5 - 2021'!B19</f>
        <v>3495</v>
      </c>
      <c r="F14" s="21">
        <f>'5 - 2021'!C20-'5 - 2021'!C19</f>
        <v>5637</v>
      </c>
      <c r="G14" s="19">
        <v>0.11799999999999999</v>
      </c>
      <c r="H14" s="21">
        <f>'5 - 2021'!E20-'5 - 2021'!E19</f>
        <v>23.489999999999895</v>
      </c>
      <c r="I14" s="21">
        <f>'5 - 2021'!F20-'5 - 2021'!F19</f>
        <v>4.6500000000000909</v>
      </c>
      <c r="J14" s="21">
        <f>'5 - 2021'!G20-'5 - 2021'!G19</f>
        <v>29.779999999998836</v>
      </c>
      <c r="K14" s="19">
        <v>0.74</v>
      </c>
      <c r="L14" s="21">
        <v>61</v>
      </c>
      <c r="M14" s="13"/>
    </row>
    <row r="15" spans="1:13" x14ac:dyDescent="0.25">
      <c r="A15" t="s">
        <v>27</v>
      </c>
      <c r="B15">
        <f t="shared" si="0"/>
        <v>14</v>
      </c>
      <c r="C15" s="19">
        <v>5</v>
      </c>
      <c r="D15" s="19">
        <v>2021</v>
      </c>
      <c r="E15" s="21">
        <f>'5 - 2021'!B21-'5 - 2021'!B20</f>
        <v>3469</v>
      </c>
      <c r="F15" s="21">
        <f>'5 - 2021'!C21-'5 - 2021'!C20</f>
        <v>5831</v>
      </c>
      <c r="G15" s="19">
        <v>0.11799999999999999</v>
      </c>
      <c r="H15" s="21">
        <f>'5 - 2021'!E21-'5 - 2021'!E20</f>
        <v>27.300000000000068</v>
      </c>
      <c r="I15" s="21">
        <f>'5 - 2021'!F21-'5 - 2021'!F20</f>
        <v>4.3099999999999454</v>
      </c>
      <c r="J15" s="21">
        <f>'5 - 2021'!G21-'5 - 2021'!G20</f>
        <v>33.330000000001746</v>
      </c>
      <c r="K15" s="19">
        <v>0.74</v>
      </c>
      <c r="L15" s="21">
        <v>64</v>
      </c>
      <c r="M15" s="13"/>
    </row>
    <row r="16" spans="1:13" x14ac:dyDescent="0.25">
      <c r="A16" t="s">
        <v>27</v>
      </c>
      <c r="B16">
        <f t="shared" si="0"/>
        <v>15</v>
      </c>
      <c r="C16" s="19">
        <v>5</v>
      </c>
      <c r="D16" s="19">
        <v>2021</v>
      </c>
      <c r="E16" s="21">
        <f>'5 - 2021'!B22-'5 - 2021'!B21</f>
        <v>3431</v>
      </c>
      <c r="F16" s="21">
        <f>'5 - 2021'!C22-'5 - 2021'!C21</f>
        <v>5802</v>
      </c>
      <c r="G16" s="19">
        <v>0.11799999999999999</v>
      </c>
      <c r="H16" s="21">
        <f>'5 - 2021'!E22-'5 - 2021'!E21</f>
        <v>24.319999999999936</v>
      </c>
      <c r="I16" s="21">
        <f>'5 - 2021'!F22-'5 - 2021'!F21</f>
        <v>4.8499999999999091</v>
      </c>
      <c r="J16" s="21">
        <f>'5 - 2021'!G22-'5 - 2021'!G21</f>
        <v>33.779999999998836</v>
      </c>
      <c r="K16" s="19">
        <v>0.74</v>
      </c>
      <c r="L16" s="21">
        <v>64</v>
      </c>
      <c r="M16" s="13"/>
    </row>
    <row r="17" spans="1:13" x14ac:dyDescent="0.25">
      <c r="A17" t="s">
        <v>27</v>
      </c>
      <c r="B17">
        <f t="shared" si="0"/>
        <v>16</v>
      </c>
      <c r="C17" s="19">
        <v>5</v>
      </c>
      <c r="D17" s="19">
        <v>2021</v>
      </c>
      <c r="E17" s="21">
        <f>'5 - 2021'!B23-'5 - 2021'!B22</f>
        <v>3282</v>
      </c>
      <c r="F17" s="21">
        <f>'5 - 2021'!C23-'5 - 2021'!C22</f>
        <v>5742</v>
      </c>
      <c r="G17" s="19">
        <v>0.11799999999999999</v>
      </c>
      <c r="H17" s="21">
        <f>'5 - 2021'!E23-'5 - 2021'!E22</f>
        <v>24.310000000000059</v>
      </c>
      <c r="I17" s="21">
        <f>'5 - 2021'!F23-'5 - 2021'!F22</f>
        <v>4.7400000000002365</v>
      </c>
      <c r="J17" s="21">
        <f>'5 - 2021'!G23-'5 - 2021'!G22</f>
        <v>33.790000000000873</v>
      </c>
      <c r="K17" s="19">
        <v>0.74</v>
      </c>
      <c r="L17" s="21">
        <v>65</v>
      </c>
      <c r="M17" s="13"/>
    </row>
    <row r="18" spans="1:13" x14ac:dyDescent="0.25">
      <c r="A18" t="s">
        <v>27</v>
      </c>
      <c r="B18">
        <f t="shared" si="0"/>
        <v>17</v>
      </c>
      <c r="C18" s="19">
        <v>5</v>
      </c>
      <c r="D18" s="19">
        <v>2021</v>
      </c>
      <c r="E18" s="21">
        <f>'5 - 2021'!B24-'5 - 2021'!B23</f>
        <v>3375</v>
      </c>
      <c r="F18" s="21">
        <f>'5 - 2021'!C24-'5 - 2021'!C23</f>
        <v>5460</v>
      </c>
      <c r="G18" s="19">
        <v>0.11799999999999999</v>
      </c>
      <c r="H18" s="21">
        <f>'5 - 2021'!E24-'5 - 2021'!E23</f>
        <v>21.600000000000023</v>
      </c>
      <c r="I18" s="21">
        <f>'5 - 2021'!F24-'5 - 2021'!F23</f>
        <v>5.0899999999996908</v>
      </c>
      <c r="J18" s="21">
        <f>'5 - 2021'!G24-'5 - 2021'!G23</f>
        <v>34.099999999998545</v>
      </c>
      <c r="K18" s="19">
        <v>0.74</v>
      </c>
      <c r="L18" s="21">
        <v>64</v>
      </c>
      <c r="M18" s="13"/>
    </row>
    <row r="19" spans="1:13" x14ac:dyDescent="0.25">
      <c r="A19" t="s">
        <v>27</v>
      </c>
      <c r="B19">
        <f>B18+1</f>
        <v>18</v>
      </c>
      <c r="C19" s="19">
        <v>5</v>
      </c>
      <c r="D19" s="19">
        <v>2021</v>
      </c>
      <c r="E19" s="21">
        <f>'5 - 2021'!B25-'5 - 2021'!B24</f>
        <v>3488</v>
      </c>
      <c r="F19" s="21">
        <f>'5 - 2021'!C25-'5 - 2021'!C24</f>
        <v>6012</v>
      </c>
      <c r="G19" s="19">
        <v>0.11799999999999999</v>
      </c>
      <c r="H19" s="21">
        <f>'5 - 2021'!E25-'5 - 2021'!E24</f>
        <v>26.519999999999982</v>
      </c>
      <c r="I19" s="21">
        <f>'5 - 2021'!F25-'5 - 2021'!F24</f>
        <v>4.8099999999999454</v>
      </c>
      <c r="J19" s="21">
        <f>'5 - 2021'!G25-'5 - 2021'!G24</f>
        <v>31.25</v>
      </c>
      <c r="K19" s="19">
        <v>0.74</v>
      </c>
      <c r="L19" s="21">
        <v>62</v>
      </c>
      <c r="M19" s="13"/>
    </row>
    <row r="20" spans="1:13" x14ac:dyDescent="0.25">
      <c r="A20" t="s">
        <v>27</v>
      </c>
      <c r="B20">
        <f t="shared" si="0"/>
        <v>19</v>
      </c>
      <c r="C20" s="19">
        <v>5</v>
      </c>
      <c r="D20" s="19">
        <v>2021</v>
      </c>
      <c r="E20" s="21">
        <f>'5 - 2021'!B26-'5 - 2021'!B25</f>
        <v>3459</v>
      </c>
      <c r="F20" s="21">
        <f>'5 - 2021'!C26-'5 - 2021'!C25</f>
        <v>5959</v>
      </c>
      <c r="G20" s="19">
        <v>0.11799999999999999</v>
      </c>
      <c r="H20" s="21">
        <f>'5 - 2021'!E26-'5 - 2021'!E25</f>
        <v>24.17999999999995</v>
      </c>
      <c r="I20" s="21">
        <f>'5 - 2021'!F26-'5 - 2021'!F25</f>
        <v>5.1100000000001273</v>
      </c>
      <c r="J20" s="21">
        <f>'5 - 2021'!G26-'5 - 2021'!G25</f>
        <v>35.600000000002183</v>
      </c>
      <c r="K20" s="19">
        <v>0.74</v>
      </c>
      <c r="L20" s="6">
        <v>62</v>
      </c>
      <c r="M20" s="13"/>
    </row>
    <row r="21" spans="1:13" x14ac:dyDescent="0.25">
      <c r="A21" t="s">
        <v>27</v>
      </c>
      <c r="B21">
        <f t="shared" si="0"/>
        <v>20</v>
      </c>
      <c r="C21" s="19">
        <v>5</v>
      </c>
      <c r="D21" s="19">
        <v>2021</v>
      </c>
      <c r="E21" s="21">
        <f>'5 - 2021'!B27-'5 - 2021'!B26</f>
        <v>3316</v>
      </c>
      <c r="F21" s="21">
        <f>'5 - 2021'!C27-'5 - 2021'!C26</f>
        <v>5466</v>
      </c>
      <c r="G21" s="19">
        <v>0.11799999999999999</v>
      </c>
      <c r="H21" s="21">
        <f>'5 - 2021'!E27-'5 - 2021'!E26</f>
        <v>24.410000000000082</v>
      </c>
      <c r="I21" s="21">
        <f>'5 - 2021'!F27-'5 - 2021'!F26</f>
        <v>4.8200000000001637</v>
      </c>
      <c r="J21" s="21">
        <f>'5 - 2021'!G27-'5 - 2021'!G26</f>
        <v>26.770000000000437</v>
      </c>
      <c r="K21" s="19">
        <v>0.74</v>
      </c>
      <c r="L21" s="6">
        <v>69</v>
      </c>
      <c r="M21" s="13"/>
    </row>
    <row r="22" spans="1:13" x14ac:dyDescent="0.25">
      <c r="A22" t="s">
        <v>27</v>
      </c>
      <c r="B22">
        <f t="shared" si="0"/>
        <v>21</v>
      </c>
      <c r="C22" s="19">
        <v>5</v>
      </c>
      <c r="D22" s="19">
        <v>2021</v>
      </c>
      <c r="E22" s="21">
        <f>'5 - 2021'!B28-'5 - 2021'!B27</f>
        <v>3665</v>
      </c>
      <c r="F22" s="21">
        <f>'5 - 2021'!C28-'5 - 2021'!C27</f>
        <v>6163</v>
      </c>
      <c r="G22" s="19">
        <v>0.11799999999999999</v>
      </c>
      <c r="H22" s="21">
        <f>'5 - 2021'!E28-'5 - 2021'!E27</f>
        <v>24.069999999999936</v>
      </c>
      <c r="I22" s="21">
        <f>'5 - 2021'!F28-'5 - 2021'!F27</f>
        <v>6.3299999999999272</v>
      </c>
      <c r="J22" s="21">
        <f>'5 - 2021'!G28-'5 - 2021'!G27</f>
        <v>36.569999999999709</v>
      </c>
      <c r="K22" s="19">
        <v>0.74</v>
      </c>
      <c r="L22" s="21">
        <v>93</v>
      </c>
      <c r="M22" s="13"/>
    </row>
    <row r="23" spans="1:13" x14ac:dyDescent="0.25">
      <c r="A23" t="s">
        <v>27</v>
      </c>
      <c r="B23">
        <f t="shared" si="0"/>
        <v>22</v>
      </c>
      <c r="C23" s="19">
        <v>5</v>
      </c>
      <c r="D23" s="19">
        <v>2021</v>
      </c>
      <c r="E23" s="21">
        <f>'5 - 2021'!B29-'5 - 2021'!B28</f>
        <v>3398</v>
      </c>
      <c r="F23" s="21">
        <f>'5 - 2021'!C29-'5 - 2021'!C28</f>
        <v>5954</v>
      </c>
      <c r="G23" s="19">
        <v>0.11799999999999999</v>
      </c>
      <c r="H23" s="21">
        <f>'5 - 2021'!E29-'5 - 2021'!E28</f>
        <v>28.809999999999945</v>
      </c>
      <c r="I23" s="21">
        <f>'5 - 2021'!F29-'5 - 2021'!F28</f>
        <v>4.6799999999998363</v>
      </c>
      <c r="J23" s="21">
        <f>'5 - 2021'!G29-'5 - 2021'!G28</f>
        <v>34.399999999997817</v>
      </c>
      <c r="K23" s="19">
        <v>0.74</v>
      </c>
      <c r="L23" s="21">
        <v>95</v>
      </c>
      <c r="M23" s="13"/>
    </row>
    <row r="24" spans="1:13" x14ac:dyDescent="0.25">
      <c r="A24" t="s">
        <v>27</v>
      </c>
      <c r="B24">
        <f t="shared" si="0"/>
        <v>23</v>
      </c>
      <c r="C24" s="19">
        <v>5</v>
      </c>
      <c r="D24" s="19">
        <v>2021</v>
      </c>
      <c r="E24" s="21">
        <f>'5 - 2021'!B30-'5 - 2021'!B29</f>
        <v>3429</v>
      </c>
      <c r="F24" s="21">
        <f>'5 - 2021'!C30-'5 - 2021'!C29</f>
        <v>6153</v>
      </c>
      <c r="G24" s="19">
        <v>0.11799999999999999</v>
      </c>
      <c r="H24" s="21">
        <f>'5 - 2021'!E30-'5 - 2021'!E29</f>
        <v>27.860000000000127</v>
      </c>
      <c r="I24" s="21">
        <f>'5 - 2021'!F30-'5 - 2021'!F29</f>
        <v>4.4600000000000364</v>
      </c>
      <c r="J24" s="21">
        <f>'5 - 2021'!G30-'5 - 2021'!G29</f>
        <v>32.590000000000146</v>
      </c>
      <c r="K24" s="19">
        <v>0.74</v>
      </c>
      <c r="L24" s="21">
        <v>81</v>
      </c>
      <c r="M24" s="13"/>
    </row>
    <row r="25" spans="1:13" x14ac:dyDescent="0.25">
      <c r="A25" t="s">
        <v>27</v>
      </c>
      <c r="B25">
        <f t="shared" si="0"/>
        <v>24</v>
      </c>
      <c r="C25" s="19">
        <v>5</v>
      </c>
      <c r="D25" s="19">
        <v>2021</v>
      </c>
      <c r="E25" s="21">
        <f>'5 - 2021'!B31-'5 - 2021'!B30</f>
        <v>3443</v>
      </c>
      <c r="F25" s="21">
        <f>'5 - 2021'!C31-'5 - 2021'!C30</f>
        <v>6024</v>
      </c>
      <c r="G25" s="19">
        <v>0.11799999999999999</v>
      </c>
      <c r="H25" s="21">
        <f>'5 - 2021'!E31-'5 - 2021'!E30</f>
        <v>26.589999999999918</v>
      </c>
      <c r="I25" s="21">
        <f>'5 - 2021'!F31-'5 - 2021'!F30</f>
        <v>4.8600000000001273</v>
      </c>
      <c r="J25" s="21">
        <f>'5 - 2021'!G31-'5 - 2021'!G30</f>
        <v>31.490000000001601</v>
      </c>
      <c r="K25" s="19">
        <v>0.74</v>
      </c>
      <c r="L25" s="6">
        <v>72</v>
      </c>
      <c r="M25" s="13"/>
    </row>
    <row r="26" spans="1:13" x14ac:dyDescent="0.25">
      <c r="A26" t="s">
        <v>27</v>
      </c>
      <c r="B26">
        <f>B25+1</f>
        <v>25</v>
      </c>
      <c r="C26" s="19">
        <v>5</v>
      </c>
      <c r="D26" s="19">
        <v>2021</v>
      </c>
      <c r="E26" s="21">
        <v>0</v>
      </c>
      <c r="F26" s="21">
        <v>0</v>
      </c>
      <c r="G26" s="19">
        <v>0.11799999999999999</v>
      </c>
      <c r="H26" s="21">
        <v>0</v>
      </c>
      <c r="I26" s="21">
        <v>0</v>
      </c>
      <c r="J26" s="21">
        <v>0</v>
      </c>
      <c r="K26" s="19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9">
        <v>5</v>
      </c>
      <c r="D27" s="19">
        <v>2021</v>
      </c>
      <c r="E27" s="21">
        <f>'5 - 2021'!B33-'5 - 2021'!B32</f>
        <v>0</v>
      </c>
      <c r="F27" s="21">
        <f>'5 - 2021'!C33-'5 - 2021'!C32</f>
        <v>0</v>
      </c>
      <c r="G27" s="19">
        <v>0.11799999999999999</v>
      </c>
      <c r="H27" s="21">
        <f>'5 - 2021'!E33-'5 - 2021'!E32</f>
        <v>0</v>
      </c>
      <c r="I27" s="21">
        <f>'5 - 2021'!F33-'5 - 2021'!F32</f>
        <v>0</v>
      </c>
      <c r="J27" s="21">
        <f>'5 - 2021'!G33-'5 - 2021'!G32</f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5</v>
      </c>
      <c r="D28" s="19">
        <v>2021</v>
      </c>
      <c r="E28" s="21">
        <f>'5 - 2021'!B34-'5 - 2021'!B33</f>
        <v>0</v>
      </c>
      <c r="F28" s="21">
        <f>'5 - 2021'!C34-'5 - 2021'!C33</f>
        <v>0</v>
      </c>
      <c r="G28" s="19">
        <v>0.11799999999999999</v>
      </c>
      <c r="H28" s="21">
        <f>'5 - 2021'!E34-'5 - 2021'!E33</f>
        <v>0</v>
      </c>
      <c r="I28" s="21">
        <f>'5 - 2021'!F34-'5 - 2021'!F33</f>
        <v>0</v>
      </c>
      <c r="J28" s="21">
        <f>'5 - 2021'!G34-'5 - 2021'!G33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5</v>
      </c>
      <c r="D29" s="19">
        <v>2021</v>
      </c>
      <c r="E29" s="21">
        <f>'5 - 2021'!B35-'5 - 2021'!B34</f>
        <v>0</v>
      </c>
      <c r="F29" s="21">
        <f>'5 - 2021'!C35-'5 - 2021'!C34</f>
        <v>0</v>
      </c>
      <c r="G29" s="19">
        <v>0.11799999999999999</v>
      </c>
      <c r="H29" s="21">
        <f>'5 - 2021'!E35-'5 - 2021'!E34</f>
        <v>0</v>
      </c>
      <c r="I29" s="21">
        <f>'5 - 2021'!F35-'5 - 2021'!F34</f>
        <v>0</v>
      </c>
      <c r="J29" s="21">
        <f>'5 - 2021'!G35-'5 - 2021'!G34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5</v>
      </c>
      <c r="D30" s="19">
        <v>2021</v>
      </c>
      <c r="E30" s="21">
        <f>'5 - 2021'!B36-'5 - 2021'!B35</f>
        <v>0</v>
      </c>
      <c r="F30" s="21">
        <f>'5 - 2021'!C36-'5 - 2021'!C35</f>
        <v>0</v>
      </c>
      <c r="G30" s="19">
        <v>0.11799999999999999</v>
      </c>
      <c r="H30" s="21">
        <f>'5 - 2021'!E36-'5 - 2021'!E35</f>
        <v>0</v>
      </c>
      <c r="I30" s="21">
        <f>'5 - 2021'!F36-'5 - 2021'!F35</f>
        <v>0</v>
      </c>
      <c r="J30" s="21">
        <f>'5 - 2021'!G36-'5 - 2021'!G35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5</v>
      </c>
      <c r="D31" s="19">
        <v>2021</v>
      </c>
      <c r="E31" s="21">
        <f>'5 - 2021'!B37-'5 - 2021'!B36</f>
        <v>0</v>
      </c>
      <c r="F31" s="21">
        <f>'5 - 2021'!C37-'5 - 2021'!C36</f>
        <v>0</v>
      </c>
      <c r="G31" s="19">
        <v>0.11799999999999999</v>
      </c>
      <c r="H31" s="21">
        <f>'5 - 2021'!E37-'5 - 2021'!E36</f>
        <v>0</v>
      </c>
      <c r="I31" s="21">
        <f>'5 - 2021'!F37-'5 - 2021'!F36</f>
        <v>0</v>
      </c>
      <c r="J31" s="21">
        <f>'5 - 2021'!G37-'5 - 2021'!G36</f>
        <v>0</v>
      </c>
      <c r="K31" s="19">
        <v>0.74</v>
      </c>
      <c r="L31" s="21"/>
    </row>
    <row r="32" spans="1:13" x14ac:dyDescent="0.25">
      <c r="A32" s="19" t="s">
        <v>27</v>
      </c>
      <c r="B32" s="19">
        <f t="shared" si="0"/>
        <v>31</v>
      </c>
      <c r="C32" s="19">
        <v>5</v>
      </c>
      <c r="D32" s="19">
        <v>2021</v>
      </c>
      <c r="E32" s="21">
        <f>'5 - 2021'!B38-'5 - 2021'!B37</f>
        <v>0</v>
      </c>
      <c r="F32" s="21">
        <f>'5 - 2021'!C38-'5 - 2021'!C37</f>
        <v>0</v>
      </c>
      <c r="G32" s="19">
        <v>0.11799999999999999</v>
      </c>
      <c r="H32" s="21">
        <f>'5 - 2021'!E38-'5 - 2021'!E37</f>
        <v>0</v>
      </c>
      <c r="I32" s="21">
        <f>'5 - 2021'!F38-'5 - 2021'!F37</f>
        <v>0</v>
      </c>
      <c r="J32" s="21">
        <f>'5 - 2021'!G38-'5 - 2021'!G37</f>
        <v>0</v>
      </c>
      <c r="K32" s="19">
        <v>0.74</v>
      </c>
      <c r="L32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abSelected="1" topLeftCell="A4" zoomScaleNormal="100" workbookViewId="0">
      <selection activeCell="C37" sqref="C37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7" t="s">
        <v>30</v>
      </c>
      <c r="B3" s="77"/>
      <c r="C3" s="77"/>
      <c r="D3" s="77"/>
      <c r="E3" s="77"/>
      <c r="F3" s="77"/>
      <c r="G3" s="77"/>
      <c r="H3" s="77"/>
      <c r="I3" s="77"/>
      <c r="J3" s="77"/>
    </row>
    <row r="4" spans="1:17" ht="16.5" thickBot="1" x14ac:dyDescent="0.3">
      <c r="A4" s="70" t="s">
        <v>37</v>
      </c>
      <c r="B4" s="70"/>
      <c r="C4" s="70"/>
      <c r="D4" s="70"/>
      <c r="E4" s="70"/>
      <c r="F4" s="70"/>
      <c r="G4" s="70"/>
      <c r="H4" s="70"/>
      <c r="I4" s="70"/>
      <c r="J4" s="70"/>
    </row>
    <row r="5" spans="1:17" ht="16.5" thickBot="1" x14ac:dyDescent="0.3">
      <c r="A5" s="2"/>
      <c r="B5" s="71" t="s">
        <v>36</v>
      </c>
      <c r="C5" s="72"/>
      <c r="D5" s="71" t="s">
        <v>0</v>
      </c>
      <c r="E5" s="73"/>
      <c r="F5" s="73"/>
      <c r="G5" s="74"/>
      <c r="H5" s="75" t="s">
        <v>1</v>
      </c>
      <c r="I5" s="76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33">
        <v>44316</v>
      </c>
      <c r="B7" s="62">
        <v>611018</v>
      </c>
      <c r="C7" s="63">
        <v>622286</v>
      </c>
      <c r="D7" s="15">
        <v>0.59</v>
      </c>
      <c r="E7" s="59">
        <v>573.58000000000004</v>
      </c>
      <c r="F7" s="55">
        <v>3423.17</v>
      </c>
      <c r="G7" s="55">
        <v>28956.33</v>
      </c>
      <c r="H7" s="62">
        <v>14528</v>
      </c>
      <c r="I7" s="62">
        <v>117375</v>
      </c>
      <c r="J7" s="62">
        <v>45643736</v>
      </c>
      <c r="K7" s="40"/>
      <c r="L7" s="41"/>
      <c r="M7" s="34"/>
    </row>
    <row r="8" spans="1:17" s="14" customFormat="1" ht="12.95" customHeight="1" x14ac:dyDescent="0.25">
      <c r="A8" s="33">
        <f>A7+1</f>
        <v>44317</v>
      </c>
      <c r="B8" s="58">
        <v>614579</v>
      </c>
      <c r="C8" s="58">
        <v>628027</v>
      </c>
      <c r="D8" s="15">
        <v>0.52</v>
      </c>
      <c r="E8" s="59">
        <v>599.63</v>
      </c>
      <c r="F8" s="56">
        <v>3428.35</v>
      </c>
      <c r="G8" s="58">
        <v>28989.5</v>
      </c>
      <c r="H8" s="58">
        <v>14528</v>
      </c>
      <c r="I8" s="58">
        <v>117480</v>
      </c>
      <c r="J8" s="58">
        <v>45669090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44318</v>
      </c>
      <c r="B9" s="58">
        <v>617942</v>
      </c>
      <c r="C9" s="55">
        <v>633458</v>
      </c>
      <c r="D9" s="15">
        <v>0.46</v>
      </c>
      <c r="E9" s="59">
        <v>624.33000000000004</v>
      </c>
      <c r="F9" s="56">
        <v>3432.25</v>
      </c>
      <c r="G9" s="56">
        <v>29020.93</v>
      </c>
      <c r="H9" s="58">
        <v>14528</v>
      </c>
      <c r="I9" s="62">
        <v>117564</v>
      </c>
      <c r="J9" s="62">
        <v>45692698</v>
      </c>
      <c r="K9" s="16"/>
      <c r="L9" s="52"/>
      <c r="M9" s="34"/>
    </row>
    <row r="10" spans="1:17" s="14" customFormat="1" ht="12.95" customHeight="1" x14ac:dyDescent="0.25">
      <c r="A10" s="33">
        <f t="shared" si="0"/>
        <v>44319</v>
      </c>
      <c r="B10" s="62">
        <v>621431</v>
      </c>
      <c r="C10" s="62">
        <v>639229</v>
      </c>
      <c r="D10" s="15">
        <v>0.4</v>
      </c>
      <c r="E10" s="59">
        <v>649.54</v>
      </c>
      <c r="F10" s="56">
        <v>3436.83</v>
      </c>
      <c r="G10" s="56">
        <v>29052.240000000002</v>
      </c>
      <c r="H10" s="58">
        <v>14528</v>
      </c>
      <c r="I10" s="62">
        <v>117662</v>
      </c>
      <c r="J10" s="67">
        <v>45718634</v>
      </c>
      <c r="K10" s="16"/>
      <c r="L10" s="52"/>
      <c r="M10" s="34"/>
    </row>
    <row r="11" spans="1:17" s="14" customFormat="1" ht="12.95" customHeight="1" x14ac:dyDescent="0.25">
      <c r="A11" s="33">
        <f t="shared" si="0"/>
        <v>44320</v>
      </c>
      <c r="B11" s="62">
        <v>624819</v>
      </c>
      <c r="C11" s="62">
        <v>644985</v>
      </c>
      <c r="D11" s="15">
        <v>0.33</v>
      </c>
      <c r="E11" s="59">
        <v>673.77</v>
      </c>
      <c r="F11" s="56">
        <v>3441.31</v>
      </c>
      <c r="G11" s="56">
        <v>29082.81</v>
      </c>
      <c r="H11" s="58">
        <v>14528</v>
      </c>
      <c r="I11" s="62">
        <v>117757</v>
      </c>
      <c r="J11" s="62">
        <v>45744620</v>
      </c>
      <c r="K11" s="16"/>
      <c r="L11" s="52"/>
      <c r="M11" s="34"/>
    </row>
    <row r="12" spans="1:17" s="14" customFormat="1" ht="12.95" customHeight="1" x14ac:dyDescent="0.25">
      <c r="A12" s="33">
        <f t="shared" si="0"/>
        <v>44321</v>
      </c>
      <c r="B12" s="58">
        <v>628456</v>
      </c>
      <c r="C12" s="58">
        <v>651072</v>
      </c>
      <c r="D12" s="15">
        <v>0.27</v>
      </c>
      <c r="E12" s="68">
        <v>701.31</v>
      </c>
      <c r="F12" s="58">
        <v>3445.57</v>
      </c>
      <c r="G12" s="58">
        <v>29113.45</v>
      </c>
      <c r="H12" s="58">
        <v>14528</v>
      </c>
      <c r="I12" s="58">
        <v>117848</v>
      </c>
      <c r="J12" s="58">
        <v>45770288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44322</v>
      </c>
      <c r="B13" s="64">
        <v>631971</v>
      </c>
      <c r="C13" s="55">
        <v>656733</v>
      </c>
      <c r="D13" s="15">
        <v>0.2</v>
      </c>
      <c r="E13" s="59">
        <v>726.18</v>
      </c>
      <c r="F13" s="56">
        <v>3449.71</v>
      </c>
      <c r="G13" s="56">
        <v>29151.91</v>
      </c>
      <c r="H13" s="62">
        <v>14528</v>
      </c>
      <c r="I13" s="55">
        <v>117945</v>
      </c>
      <c r="J13" s="55">
        <v>45797185</v>
      </c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44323</v>
      </c>
      <c r="B14" s="62">
        <v>635542</v>
      </c>
      <c r="C14" s="62">
        <v>662329</v>
      </c>
      <c r="D14" s="15">
        <v>0.13</v>
      </c>
      <c r="E14" s="59">
        <v>752.42</v>
      </c>
      <c r="F14" s="56">
        <v>3454.05</v>
      </c>
      <c r="G14" s="55">
        <v>29195.8</v>
      </c>
      <c r="H14" s="62">
        <v>14528</v>
      </c>
      <c r="I14" s="62">
        <v>118043</v>
      </c>
      <c r="J14" s="62">
        <v>45827499</v>
      </c>
      <c r="K14" s="16">
        <v>5100</v>
      </c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44324</v>
      </c>
      <c r="B15" s="62">
        <v>638966</v>
      </c>
      <c r="C15" s="62">
        <v>667914</v>
      </c>
      <c r="D15" s="15">
        <v>0.8</v>
      </c>
      <c r="E15" s="59">
        <v>777.5</v>
      </c>
      <c r="F15" s="56">
        <v>3459.01</v>
      </c>
      <c r="G15" s="55">
        <v>29229.71</v>
      </c>
      <c r="H15" s="62">
        <v>14528</v>
      </c>
      <c r="I15" s="62">
        <v>118134</v>
      </c>
      <c r="J15" s="62">
        <v>45855292</v>
      </c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44325</v>
      </c>
      <c r="B16" s="65">
        <v>642439</v>
      </c>
      <c r="C16" s="62">
        <v>673186</v>
      </c>
      <c r="D16" s="15">
        <v>0.75</v>
      </c>
      <c r="E16" s="59">
        <v>803.81</v>
      </c>
      <c r="F16" s="56">
        <v>3463.3</v>
      </c>
      <c r="G16" s="55">
        <v>29261.46</v>
      </c>
      <c r="H16" s="62">
        <v>14528</v>
      </c>
      <c r="I16" s="62">
        <v>118216</v>
      </c>
      <c r="J16" s="62">
        <v>45878325</v>
      </c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44326</v>
      </c>
      <c r="B17" s="55">
        <v>645906</v>
      </c>
      <c r="C17" s="55">
        <v>678462</v>
      </c>
      <c r="D17" s="22">
        <v>0.68</v>
      </c>
      <c r="E17" s="59">
        <v>826.26</v>
      </c>
      <c r="F17" s="56">
        <v>3467.78</v>
      </c>
      <c r="G17" s="55">
        <v>29293.13</v>
      </c>
      <c r="H17" s="62">
        <v>14528</v>
      </c>
      <c r="I17" s="55">
        <v>118301</v>
      </c>
      <c r="J17" s="55">
        <v>45900791</v>
      </c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44327</v>
      </c>
      <c r="B18" s="62">
        <v>649315</v>
      </c>
      <c r="C18" s="62">
        <v>684107</v>
      </c>
      <c r="D18" s="15">
        <v>0.62</v>
      </c>
      <c r="E18" s="59">
        <v>850.88</v>
      </c>
      <c r="F18" s="56">
        <v>3472.01</v>
      </c>
      <c r="G18" s="55">
        <v>29323.09</v>
      </c>
      <c r="H18" s="62">
        <v>14528</v>
      </c>
      <c r="I18" s="62">
        <v>118388</v>
      </c>
      <c r="J18" s="62">
        <v>45923988</v>
      </c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44328</v>
      </c>
      <c r="B19" s="61">
        <v>652825</v>
      </c>
      <c r="C19" s="61">
        <v>689764</v>
      </c>
      <c r="D19" s="15">
        <v>0.56000000000000005</v>
      </c>
      <c r="E19" s="59">
        <v>875.32</v>
      </c>
      <c r="F19" s="56">
        <v>3476.71</v>
      </c>
      <c r="G19" s="57">
        <v>29353.32</v>
      </c>
      <c r="H19" s="62">
        <v>14528</v>
      </c>
      <c r="I19" s="61">
        <v>118470</v>
      </c>
      <c r="J19" s="61">
        <v>45948372</v>
      </c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44329</v>
      </c>
      <c r="B20" s="61">
        <v>656320</v>
      </c>
      <c r="C20" s="61">
        <v>695401</v>
      </c>
      <c r="D20" s="15">
        <v>0.5</v>
      </c>
      <c r="E20" s="59">
        <v>898.81</v>
      </c>
      <c r="F20" s="56">
        <v>3481.36</v>
      </c>
      <c r="G20" s="57">
        <v>29383.1</v>
      </c>
      <c r="H20" s="62">
        <v>14528</v>
      </c>
      <c r="I20" s="61">
        <v>118556</v>
      </c>
      <c r="J20" s="61">
        <v>45973130</v>
      </c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44330</v>
      </c>
      <c r="B21" s="61">
        <v>659789</v>
      </c>
      <c r="C21" s="61">
        <v>701232</v>
      </c>
      <c r="D21" s="15">
        <v>0.44</v>
      </c>
      <c r="E21" s="59">
        <v>926.11</v>
      </c>
      <c r="F21" s="56">
        <v>3485.67</v>
      </c>
      <c r="G21" s="57">
        <v>29416.43</v>
      </c>
      <c r="H21" s="62">
        <v>14528</v>
      </c>
      <c r="I21" s="61">
        <v>118663</v>
      </c>
      <c r="J21" s="61">
        <v>45998871</v>
      </c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44331</v>
      </c>
      <c r="B22" s="65">
        <v>663220</v>
      </c>
      <c r="C22" s="65">
        <v>707034</v>
      </c>
      <c r="D22" s="15">
        <v>0.85</v>
      </c>
      <c r="E22" s="59">
        <v>950.43</v>
      </c>
      <c r="F22" s="56">
        <v>3490.52</v>
      </c>
      <c r="G22" s="57">
        <v>29450.21</v>
      </c>
      <c r="H22" s="62">
        <v>14528</v>
      </c>
      <c r="I22" s="57">
        <v>118750</v>
      </c>
      <c r="J22" s="61">
        <v>46028289</v>
      </c>
      <c r="K22" s="16">
        <v>3400</v>
      </c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44332</v>
      </c>
      <c r="B23" s="61">
        <v>666502</v>
      </c>
      <c r="C23" s="61">
        <v>712776</v>
      </c>
      <c r="D23" s="15">
        <v>0.77</v>
      </c>
      <c r="E23" s="69">
        <v>974.74</v>
      </c>
      <c r="F23" s="56">
        <v>3495.26</v>
      </c>
      <c r="G23" s="57">
        <v>29484</v>
      </c>
      <c r="H23" s="62">
        <v>14528</v>
      </c>
      <c r="I23" s="61">
        <v>118849</v>
      </c>
      <c r="J23" s="61">
        <v>46057003</v>
      </c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44333</v>
      </c>
      <c r="B24" s="61">
        <v>669877</v>
      </c>
      <c r="C24" s="61">
        <v>718236</v>
      </c>
      <c r="D24" s="15">
        <v>0.71</v>
      </c>
      <c r="E24" s="59">
        <v>996.34</v>
      </c>
      <c r="F24" s="56">
        <v>3500.35</v>
      </c>
      <c r="G24" s="57">
        <v>29518.1</v>
      </c>
      <c r="H24" s="62">
        <v>14528</v>
      </c>
      <c r="I24" s="61">
        <v>118950</v>
      </c>
      <c r="J24" s="61">
        <v>46082381</v>
      </c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44334</v>
      </c>
      <c r="B25" s="57">
        <v>673365</v>
      </c>
      <c r="C25" s="57">
        <v>724248</v>
      </c>
      <c r="D25" s="22">
        <v>0.65</v>
      </c>
      <c r="E25" s="59">
        <v>1022.86</v>
      </c>
      <c r="F25" s="56">
        <v>3505.16</v>
      </c>
      <c r="G25" s="57">
        <v>29549.35</v>
      </c>
      <c r="H25" s="62">
        <v>14528</v>
      </c>
      <c r="I25" s="61">
        <v>119040</v>
      </c>
      <c r="J25" s="61">
        <v>46110553</v>
      </c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44335</v>
      </c>
      <c r="B26" s="57">
        <v>676824</v>
      </c>
      <c r="C26" s="57">
        <v>730207</v>
      </c>
      <c r="D26" s="22">
        <v>0.57999999999999996</v>
      </c>
      <c r="E26" s="59">
        <v>1047.04</v>
      </c>
      <c r="F26" s="56">
        <v>3510.27</v>
      </c>
      <c r="G26" s="57">
        <v>29584.95</v>
      </c>
      <c r="H26" s="62">
        <v>14528</v>
      </c>
      <c r="I26" s="61">
        <v>119139</v>
      </c>
      <c r="J26" s="61">
        <v>46138648</v>
      </c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44336</v>
      </c>
      <c r="B27" s="61">
        <v>680140</v>
      </c>
      <c r="C27" s="61">
        <v>735673</v>
      </c>
      <c r="D27" s="15">
        <v>0.51</v>
      </c>
      <c r="E27" s="69">
        <v>1071.45</v>
      </c>
      <c r="F27" s="56">
        <v>3515.09</v>
      </c>
      <c r="G27" s="57">
        <v>29611.72</v>
      </c>
      <c r="H27" s="62">
        <v>14528</v>
      </c>
      <c r="I27" s="61">
        <v>119238</v>
      </c>
      <c r="J27" s="61">
        <v>46164135</v>
      </c>
      <c r="K27" s="16"/>
      <c r="L27" s="52"/>
      <c r="M27" s="34"/>
    </row>
    <row r="28" spans="1:19" s="14" customFormat="1" ht="12.95" customHeight="1" x14ac:dyDescent="0.25">
      <c r="A28" s="33">
        <f t="shared" si="0"/>
        <v>44337</v>
      </c>
      <c r="B28" s="60">
        <v>683805</v>
      </c>
      <c r="C28" s="61">
        <v>741836</v>
      </c>
      <c r="D28" s="15">
        <v>0.44</v>
      </c>
      <c r="E28" s="69">
        <v>1095.52</v>
      </c>
      <c r="F28" s="56">
        <v>3521.42</v>
      </c>
      <c r="G28" s="57">
        <v>29648.29</v>
      </c>
      <c r="H28" s="62">
        <v>14528</v>
      </c>
      <c r="I28" s="61">
        <v>119371</v>
      </c>
      <c r="J28" s="61">
        <v>46194600</v>
      </c>
      <c r="K28" s="16"/>
      <c r="L28" s="52"/>
      <c r="M28" s="34"/>
    </row>
    <row r="29" spans="1:19" s="14" customFormat="1" ht="12.95" customHeight="1" x14ac:dyDescent="0.25">
      <c r="A29" s="33">
        <f t="shared" si="0"/>
        <v>44338</v>
      </c>
      <c r="B29" s="61">
        <v>687203</v>
      </c>
      <c r="C29" s="61">
        <v>747790</v>
      </c>
      <c r="D29" s="15">
        <v>0.38</v>
      </c>
      <c r="E29" s="69">
        <v>1124.33</v>
      </c>
      <c r="F29" s="56">
        <v>3526.1</v>
      </c>
      <c r="G29" s="57">
        <v>29682.69</v>
      </c>
      <c r="H29" s="62">
        <v>14528</v>
      </c>
      <c r="I29" s="61">
        <v>119497</v>
      </c>
      <c r="J29" s="61">
        <v>46226197</v>
      </c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44339</v>
      </c>
      <c r="B30" s="61">
        <v>690632</v>
      </c>
      <c r="C30" s="61">
        <v>753943</v>
      </c>
      <c r="D30" s="15">
        <v>0.3</v>
      </c>
      <c r="E30" s="69">
        <v>1152.19</v>
      </c>
      <c r="F30" s="56">
        <v>3530.56</v>
      </c>
      <c r="G30" s="57">
        <v>29715.279999999999</v>
      </c>
      <c r="H30" s="62">
        <v>14528</v>
      </c>
      <c r="I30" s="61">
        <v>119614</v>
      </c>
      <c r="J30" s="61">
        <v>46257187</v>
      </c>
      <c r="K30" s="16"/>
      <c r="L30" s="52"/>
      <c r="M30" s="34"/>
    </row>
    <row r="31" spans="1:19" s="14" customFormat="1" ht="12.95" customHeight="1" x14ac:dyDescent="0.25">
      <c r="A31" s="33">
        <f t="shared" si="0"/>
        <v>44340</v>
      </c>
      <c r="B31" s="61">
        <v>694075</v>
      </c>
      <c r="C31" s="61">
        <v>759967</v>
      </c>
      <c r="D31" s="15">
        <v>0.24</v>
      </c>
      <c r="E31" s="69">
        <v>1178.78</v>
      </c>
      <c r="F31" s="56">
        <v>3535.42</v>
      </c>
      <c r="G31" s="57">
        <v>29746.77</v>
      </c>
      <c r="H31" s="62">
        <v>14528</v>
      </c>
      <c r="I31" s="61">
        <v>119718</v>
      </c>
      <c r="J31" s="61">
        <v>46286888</v>
      </c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44341</v>
      </c>
      <c r="B32" s="61"/>
      <c r="C32" s="61"/>
      <c r="D32" s="15"/>
      <c r="E32" s="59"/>
      <c r="F32" s="56"/>
      <c r="G32" s="57"/>
      <c r="H32" s="62"/>
      <c r="I32" s="61"/>
      <c r="J32" s="61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44342</v>
      </c>
      <c r="B33" s="61"/>
      <c r="C33" s="61"/>
      <c r="D33" s="15"/>
      <c r="E33" s="59"/>
      <c r="F33" s="56"/>
      <c r="G33" s="57"/>
      <c r="H33" s="62"/>
      <c r="I33" s="61"/>
      <c r="J33" s="61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44343</v>
      </c>
      <c r="B34" s="57"/>
      <c r="C34" s="66"/>
      <c r="D34" s="22"/>
      <c r="E34" s="59"/>
      <c r="F34" s="56"/>
      <c r="G34" s="57"/>
      <c r="H34" s="62"/>
      <c r="I34" s="57"/>
      <c r="J34" s="57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44344</v>
      </c>
      <c r="B35" s="62"/>
      <c r="C35" s="63"/>
      <c r="D35" s="15"/>
      <c r="E35" s="59"/>
      <c r="F35" s="55"/>
      <c r="G35" s="55"/>
      <c r="H35" s="62"/>
      <c r="I35" s="62"/>
      <c r="J35" s="62"/>
      <c r="K35" s="16"/>
      <c r="L35" s="52"/>
      <c r="M35" s="34"/>
      <c r="N35" s="34"/>
      <c r="O35" s="34"/>
    </row>
    <row r="36" spans="1:16" x14ac:dyDescent="0.25">
      <c r="A36" s="54">
        <f t="shared" si="0"/>
        <v>44345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44346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54">
        <f>A37+1</f>
        <v>44347</v>
      </c>
      <c r="B38" s="62"/>
      <c r="C38" s="63"/>
      <c r="D38" s="15"/>
      <c r="E38" s="59"/>
      <c r="F38" s="55"/>
      <c r="G38" s="55"/>
      <c r="H38" s="62"/>
      <c r="I38" s="62"/>
      <c r="J38" s="62"/>
      <c r="K38" s="16"/>
      <c r="L38" s="16"/>
    </row>
    <row r="39" spans="1:16" s="48" customFormat="1" ht="15" customHeight="1" x14ac:dyDescent="0.25">
      <c r="A39" s="35" t="s">
        <v>35</v>
      </c>
      <c r="B39" s="27">
        <f t="shared" ref="B39:J39" si="1">B35-B7</f>
        <v>-611018</v>
      </c>
      <c r="C39" s="27">
        <f t="shared" si="1"/>
        <v>-622286</v>
      </c>
      <c r="D39" s="27">
        <f t="shared" si="1"/>
        <v>-0.59</v>
      </c>
      <c r="E39" s="27">
        <f t="shared" si="1"/>
        <v>-573.58000000000004</v>
      </c>
      <c r="F39" s="27">
        <f t="shared" si="1"/>
        <v>-3423.17</v>
      </c>
      <c r="G39" s="27">
        <f t="shared" si="1"/>
        <v>-28956.33</v>
      </c>
      <c r="H39" s="27">
        <f t="shared" si="1"/>
        <v>-14528</v>
      </c>
      <c r="I39" s="27">
        <f t="shared" si="1"/>
        <v>-117375</v>
      </c>
      <c r="J39" s="27">
        <f t="shared" si="1"/>
        <v>-45643736</v>
      </c>
      <c r="K39" s="27">
        <f>SUM(K7:K35)</f>
        <v>8500</v>
      </c>
      <c r="L39" s="19"/>
    </row>
    <row r="40" spans="1:16" ht="15" customHeight="1" x14ac:dyDescent="0.25">
      <c r="C40" s="27"/>
      <c r="E40" s="21"/>
      <c r="F40" s="21"/>
      <c r="G40" s="21"/>
      <c r="H40" s="18">
        <f>H39*219.969</f>
        <v>-3195709.6319999998</v>
      </c>
      <c r="I40" s="27">
        <f>I39*219.969</f>
        <v>-25818861.375</v>
      </c>
      <c r="J40" s="21"/>
    </row>
    <row r="41" spans="1:16" x14ac:dyDescent="0.25">
      <c r="C41" s="21"/>
    </row>
    <row r="42" spans="1:16" x14ac:dyDescent="0.25">
      <c r="J42" s="49"/>
    </row>
    <row r="43" spans="1:16" x14ac:dyDescent="0.25">
      <c r="C43" s="50"/>
      <c r="I43" s="49"/>
    </row>
    <row r="50" spans="9:9" x14ac:dyDescent="0.25">
      <c r="I50" s="21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5 - 2021</vt:lpstr>
      <vt:lpstr>'5 - 2021'!Print_Area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2021-05-24T04:07:05Z</dcterms:modified>
</cp:coreProperties>
</file>