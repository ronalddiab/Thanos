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18\"/>
    </mc:Choice>
  </mc:AlternateContent>
  <xr:revisionPtr revIDLastSave="0" documentId="13_ncr:1_{0E5109BD-09C0-43D9-A025-82234A573F09}" xr6:coauthVersionLast="36" xr6:coauthVersionMax="36" xr10:uidLastSave="{00000000-0000-0000-0000-000000000000}"/>
  <bookViews>
    <workbookView xWindow="0" yWindow="0" windowWidth="20490" windowHeight="7545" activeTab="1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Electricity!$B$1:$R$53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2" l="1"/>
  <c r="D2" i="4"/>
  <c r="D7" i="2"/>
  <c r="D8" i="2"/>
  <c r="D9" i="2"/>
  <c r="D10" i="2"/>
  <c r="D11" i="2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6" i="2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N30" i="4" l="1"/>
  <c r="N31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2" i="4"/>
  <c r="F36" i="2"/>
  <c r="K31" i="4"/>
  <c r="M31" i="4" s="1"/>
  <c r="K30" i="4"/>
  <c r="M30" i="4" s="1"/>
  <c r="K29" i="4"/>
  <c r="M29" i="4" s="1"/>
  <c r="E36" i="1"/>
  <c r="F36" i="1"/>
  <c r="I6" i="1"/>
  <c r="H6" i="1"/>
  <c r="G34" i="1"/>
  <c r="E30" i="4" s="1"/>
  <c r="H34" i="1"/>
  <c r="I34" i="1"/>
  <c r="G35" i="1"/>
  <c r="E31" i="4" s="1"/>
  <c r="H35" i="1"/>
  <c r="I35" i="1"/>
  <c r="N1" i="4"/>
  <c r="J35" i="1" l="1"/>
  <c r="K35" i="1" s="1"/>
  <c r="L35" i="1" s="1"/>
  <c r="J31" i="4" s="1"/>
  <c r="J34" i="1"/>
  <c r="K34" i="1" s="1"/>
  <c r="G36" i="2"/>
  <c r="L34" i="1" l="1"/>
  <c r="J30" i="4" s="1"/>
  <c r="C36" i="1"/>
  <c r="G6" i="1"/>
  <c r="K3" i="4"/>
  <c r="M3" i="4" s="1"/>
  <c r="K4" i="4"/>
  <c r="M4" i="4" s="1"/>
  <c r="K5" i="4"/>
  <c r="M5" i="4" s="1"/>
  <c r="K6" i="4"/>
  <c r="M6" i="4" s="1"/>
  <c r="K7" i="4"/>
  <c r="M7" i="4" s="1"/>
  <c r="K8" i="4"/>
  <c r="M8" i="4" s="1"/>
  <c r="K9" i="4"/>
  <c r="M9" i="4" s="1"/>
  <c r="K10" i="4"/>
  <c r="M10" i="4" s="1"/>
  <c r="K11" i="4"/>
  <c r="M11" i="4" s="1"/>
  <c r="K12" i="4"/>
  <c r="M12" i="4" s="1"/>
  <c r="K13" i="4"/>
  <c r="M13" i="4" s="1"/>
  <c r="K14" i="4"/>
  <c r="M14" i="4" s="1"/>
  <c r="K15" i="4"/>
  <c r="M15" i="4" s="1"/>
  <c r="K16" i="4"/>
  <c r="M16" i="4" s="1"/>
  <c r="K17" i="4"/>
  <c r="M17" i="4" s="1"/>
  <c r="K18" i="4"/>
  <c r="M18" i="4" s="1"/>
  <c r="K19" i="4"/>
  <c r="M19" i="4" s="1"/>
  <c r="K20" i="4"/>
  <c r="M20" i="4" s="1"/>
  <c r="K21" i="4"/>
  <c r="M21" i="4" s="1"/>
  <c r="K22" i="4"/>
  <c r="M22" i="4" s="1"/>
  <c r="K23" i="4"/>
  <c r="M23" i="4" s="1"/>
  <c r="K24" i="4"/>
  <c r="M24" i="4" s="1"/>
  <c r="K25" i="4"/>
  <c r="M25" i="4" s="1"/>
  <c r="K26" i="4"/>
  <c r="M26" i="4" s="1"/>
  <c r="K27" i="4"/>
  <c r="M27" i="4" s="1"/>
  <c r="K28" i="4"/>
  <c r="M28" i="4" s="1"/>
  <c r="K2" i="4"/>
  <c r="M2" i="4" s="1"/>
  <c r="E2" i="4" l="1"/>
  <c r="G40" i="2"/>
  <c r="G46" i="2" s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N2" i="4" l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6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I36" i="1" l="1"/>
  <c r="E3" i="4"/>
  <c r="G36" i="1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K36" i="1" s="1"/>
  <c r="J36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6" i="1" l="1"/>
  <c r="J2" i="4"/>
</calcChain>
</file>

<file path=xl/sharedStrings.xml><?xml version="1.0" encoding="utf-8"?>
<sst xmlns="http://schemas.openxmlformats.org/spreadsheetml/2006/main" count="113" uniqueCount="43">
  <si>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</si>
  <si>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</si>
  <si>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</si>
  <si>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</si>
  <si>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</si>
  <si>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</si>
  <si>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</si>
  <si>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</si>
  <si>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</si>
  <si>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</si>
  <si>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</si>
  <si>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</si>
  <si>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</si>
  <si>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</si>
  <si>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</si>
  <si>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</si>
  <si>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</si>
  <si>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</si>
  <si>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</si>
  <si>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</si>
  <si>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</si>
  <si>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</si>
  <si>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</si>
  <si>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</si>
  <si>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</si>
  <si>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</si>
  <si>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</si>
  <si>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</si>
  <si>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</si>
  <si>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</si>
  <si>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</si>
  <si>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</si>
  <si>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</si>
  <si>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</si>
  <si>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</si>
  <si>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Jakarta PR</t>
  </si>
  <si>
    <t>Tax for public  service 2.4%</t>
  </si>
  <si>
    <t>Electricity Tariff Peak Hour (Rp/Kwh)</t>
  </si>
  <si>
    <t>Electricity Tariff Low Peak Hour (Rp/Kwh)</t>
  </si>
  <si>
    <t>Water Utility Supply (Rupiah)</t>
  </si>
  <si>
    <t>Water Utility Supply (m3) Rp/m3</t>
  </si>
  <si>
    <t>Electricity Distribution 2018</t>
  </si>
  <si>
    <t>DAILY ELECTRICITY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</si>
</sst>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8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8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20" fillId="0" borderId="0" xfId="8" applyNumberFormat="1" applyFont="1" applyAlignment="1">
      <alignment horizontal="center"/>
    </xf>
    <xf numFmtId="0" fontId="20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1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1" fontId="22" fillId="0" borderId="24" xfId="8" applyNumberFormat="1" applyFont="1" applyBorder="1" applyAlignment="1">
      <alignment horizontal="center"/>
    </xf>
    <xf numFmtId="0" fontId="22" fillId="0" borderId="24" xfId="8" applyFont="1" applyBorder="1" applyAlignment="1">
      <alignment horizontal="center"/>
    </xf>
    <xf numFmtId="0" fontId="6" fillId="0" borderId="24" xfId="8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2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3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4" fillId="0" borderId="5" xfId="0" applyNumberFormat="1" applyFont="1" applyBorder="1" applyAlignment="1">
      <alignment horizontal="center" vertical="center"/>
    </xf>
    <xf numFmtId="1" fontId="14" fillId="2" borderId="0" xfId="0" applyNumberFormat="1" applyFont="1" applyFill="1" applyAlignment="1">
      <alignment horizontal="center"/>
    </xf>
    <xf numFmtId="1" fontId="0" fillId="0" borderId="0" xfId="0" applyNumberFormat="1" applyFont="1"/>
    <xf numFmtId="1" fontId="17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7" fillId="0" borderId="0" xfId="0" applyNumberFormat="1" applyFont="1"/>
    <xf numFmtId="1" fontId="14" fillId="2" borderId="0" xfId="0" applyNumberFormat="1" applyFont="1" applyFill="1"/>
    <xf numFmtId="1" fontId="15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9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1" fillId="0" borderId="5" xfId="1" applyFont="1" applyBorder="1" applyAlignment="1">
      <alignment horizontal="center" vertical="center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7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6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1" fontId="1" fillId="0" borderId="4" xfId="1" applyNumberFormat="1" applyFont="1" applyBorder="1" applyAlignment="1">
      <alignment horizontal="center" vertical="center"/>
    </xf>
    <xf numFmtId="164" fontId="1" fillId="0" borderId="5" xfId="1" applyFont="1" applyBorder="1" applyAlignment="1">
      <alignment vertical="center"/>
    </xf>
    <xf numFmtId="0" fontId="5" fillId="0" borderId="0" xfId="2" applyAlignment="1">
      <alignment horizontal="center"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8" fillId="2" borderId="7" xfId="2" applyFont="1" applyFill="1" applyBorder="1" applyAlignment="1">
      <alignment horizontal="center" vertical="center" wrapText="1"/>
    </xf>
    <xf numFmtId="0" fontId="18" fillId="2" borderId="10" xfId="2" applyFont="1" applyFill="1" applyBorder="1" applyAlignment="1">
      <alignment horizontal="center" vertical="center" wrapText="1"/>
    </xf>
    <xf numFmtId="0" fontId="18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opLeftCell="A7" workbookViewId="0">
      <selection activeCell="C9" sqref="C9"/>
    </sheetView>
  </sheetViews>
  <sheetFormatPr defaultColWidth="11.5703125" defaultRowHeight="15" x14ac:dyDescent="0.25"/>
  <cols>
    <col min="1" max="1" width="12.42578125" style="44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4" s="49" customFormat="1" ht="60.75" thickBot="1" x14ac:dyDescent="0.3">
      <c r="A1" s="54" t="s">
        <v>24</v>
      </c>
      <c r="B1" s="53" t="s">
        <v>23</v>
      </c>
      <c r="C1" s="53" t="s">
        <v>22</v>
      </c>
      <c r="D1" s="52" t="s">
        <v>21</v>
      </c>
      <c r="E1" s="50" t="s">
        <v>20</v>
      </c>
      <c r="F1" s="50" t="s">
        <v>25</v>
      </c>
      <c r="G1" s="50" t="s">
        <v>26</v>
      </c>
      <c r="H1" s="50" t="s">
        <v>37</v>
      </c>
      <c r="I1" s="50" t="s">
        <v>38</v>
      </c>
      <c r="J1" s="51" t="s">
        <v>27</v>
      </c>
      <c r="K1" s="57" t="s">
        <v>29</v>
      </c>
      <c r="L1" s="57" t="s">
        <v>40</v>
      </c>
      <c r="M1" s="57" t="s">
        <v>39</v>
      </c>
      <c r="N1" s="50" t="str">
        <f>Electricity!C5</f>
        <v>OCC unit Apt</v>
      </c>
    </row>
    <row r="2" spans="1:14" x14ac:dyDescent="0.25">
      <c r="A2" s="48" t="s">
        <v>35</v>
      </c>
      <c r="B2" s="45">
        <v>1</v>
      </c>
      <c r="C2" s="45">
        <v>4</v>
      </c>
      <c r="D2" s="45">
        <f>Water!D5</f>
        <v>2018</v>
      </c>
      <c r="E2" s="43">
        <f>Electricity!G6</f>
        <v>24719.999999999345</v>
      </c>
      <c r="F2" s="43">
        <f>Electricity!E6</f>
        <v>4840.0000000001455</v>
      </c>
      <c r="G2" s="43">
        <f>Electricity!F6</f>
        <v>19879.9999999992</v>
      </c>
      <c r="H2" s="47">
        <v>1553.67</v>
      </c>
      <c r="I2" s="61" t="s">
        <v>28</v>
      </c>
      <c r="J2" s="113">
        <f>Electricity!L6</f>
        <v>28785734.860799383</v>
      </c>
      <c r="K2" s="43">
        <f>Water!G5</f>
        <v>265</v>
      </c>
      <c r="L2" s="62">
        <v>12550</v>
      </c>
      <c r="M2" s="113">
        <f>TOTAL!K2*TOTAL!L2</f>
        <v>3325750</v>
      </c>
      <c r="N2" s="43">
        <f>+Electricity!C6</f>
        <v>164</v>
      </c>
    </row>
    <row r="3" spans="1:14" x14ac:dyDescent="0.25">
      <c r="A3" s="48" t="s">
        <v>35</v>
      </c>
      <c r="B3" s="45">
        <v>2</v>
      </c>
      <c r="C3" s="45">
        <v>4</v>
      </c>
      <c r="D3" s="45">
        <v>2018</v>
      </c>
      <c r="E3" s="43">
        <f>Electricity!G7</f>
        <v>24559.999999999945</v>
      </c>
      <c r="F3" s="43">
        <f>Electricity!E7</f>
        <v>4480.0000000000182</v>
      </c>
      <c r="G3" s="43">
        <f>Electricity!F7</f>
        <v>20079.999999999927</v>
      </c>
      <c r="H3" s="47">
        <v>1553.67</v>
      </c>
      <c r="I3" s="61" t="s">
        <v>28</v>
      </c>
      <c r="J3" s="113">
        <f>Electricity!L7</f>
        <v>28425117.69599995</v>
      </c>
      <c r="K3" s="43">
        <f>Water!G6</f>
        <v>263</v>
      </c>
      <c r="L3" s="62">
        <v>12550</v>
      </c>
      <c r="M3" s="113">
        <f>TOTAL!K3*TOTAL!L3</f>
        <v>3300650</v>
      </c>
      <c r="N3" s="43">
        <f>+Electricity!C7</f>
        <v>164</v>
      </c>
    </row>
    <row r="4" spans="1:14" x14ac:dyDescent="0.25">
      <c r="A4" s="48" t="s">
        <v>35</v>
      </c>
      <c r="B4" s="45">
        <v>3</v>
      </c>
      <c r="C4" s="45">
        <v>4</v>
      </c>
      <c r="D4" s="45">
        <v>2018</v>
      </c>
      <c r="E4" s="43">
        <f>Electricity!G8</f>
        <v>26600.000000001273</v>
      </c>
      <c r="F4" s="43">
        <f>Electricity!E8</f>
        <v>5039.9999999999636</v>
      </c>
      <c r="G4" s="43">
        <f>Electricity!F8</f>
        <v>21560.00000000131</v>
      </c>
      <c r="H4" s="47">
        <v>1553.67</v>
      </c>
      <c r="I4" s="61" t="s">
        <v>28</v>
      </c>
      <c r="J4" s="113">
        <f>Electricity!L8</f>
        <v>30885799.52640133</v>
      </c>
      <c r="K4" s="43">
        <f>Water!G7</f>
        <v>254</v>
      </c>
      <c r="L4" s="62">
        <v>12550</v>
      </c>
      <c r="M4" s="113">
        <f>TOTAL!K4*TOTAL!L4</f>
        <v>3187700</v>
      </c>
      <c r="N4" s="43">
        <f>+Electricity!C8</f>
        <v>164</v>
      </c>
    </row>
    <row r="5" spans="1:14" x14ac:dyDescent="0.25">
      <c r="A5" s="48" t="s">
        <v>35</v>
      </c>
      <c r="B5" s="45">
        <v>4</v>
      </c>
      <c r="C5" s="45">
        <v>4</v>
      </c>
      <c r="D5" s="45">
        <v>2018</v>
      </c>
      <c r="E5" s="43">
        <f>Electricity!G9</f>
        <v>27560.0000000004</v>
      </c>
      <c r="F5" s="43">
        <f>Electricity!E9</f>
        <v>5800.0000000001819</v>
      </c>
      <c r="G5" s="43">
        <f>Electricity!F9</f>
        <v>21760.000000000218</v>
      </c>
      <c r="H5" s="47">
        <v>1553.67</v>
      </c>
      <c r="I5" s="61" t="s">
        <v>28</v>
      </c>
      <c r="J5" s="113">
        <f>Electricity!L9</f>
        <v>32307055.41120052</v>
      </c>
      <c r="K5" s="43">
        <f>Water!G8</f>
        <v>320</v>
      </c>
      <c r="L5" s="62">
        <v>12550</v>
      </c>
      <c r="M5" s="113">
        <f>TOTAL!K5*TOTAL!L5</f>
        <v>4016000</v>
      </c>
      <c r="N5" s="43">
        <f>+Electricity!C9</f>
        <v>164</v>
      </c>
    </row>
    <row r="6" spans="1:14" x14ac:dyDescent="0.25">
      <c r="A6" s="48" t="s">
        <v>35</v>
      </c>
      <c r="B6" s="45">
        <v>5</v>
      </c>
      <c r="C6" s="45">
        <v>4</v>
      </c>
      <c r="D6" s="45">
        <v>2018</v>
      </c>
      <c r="E6" s="43">
        <f>Electricity!G10</f>
        <v>26759.999999999309</v>
      </c>
      <c r="F6" s="43">
        <f>Electricity!E10</f>
        <v>5039.9999999999636</v>
      </c>
      <c r="G6" s="43">
        <f>Electricity!F10</f>
        <v>21719.999999999345</v>
      </c>
      <c r="H6" s="47">
        <v>1553.67</v>
      </c>
      <c r="I6" s="61" t="s">
        <v>28</v>
      </c>
      <c r="J6" s="113">
        <f>Electricity!L10</f>
        <v>31055501.721599244</v>
      </c>
      <c r="K6" s="43">
        <f>Water!G9</f>
        <v>368</v>
      </c>
      <c r="L6" s="62">
        <v>12550</v>
      </c>
      <c r="M6" s="113">
        <f>TOTAL!K6*TOTAL!L6</f>
        <v>4618400</v>
      </c>
      <c r="N6" s="43">
        <f>+Electricity!C10</f>
        <v>164</v>
      </c>
    </row>
    <row r="7" spans="1:14" x14ac:dyDescent="0.25">
      <c r="A7" s="48" t="s">
        <v>35</v>
      </c>
      <c r="B7" s="45">
        <v>6</v>
      </c>
      <c r="C7" s="45">
        <v>4</v>
      </c>
      <c r="D7" s="45">
        <v>2018</v>
      </c>
      <c r="E7" s="43">
        <f>Electricity!G11</f>
        <v>26440.000000000509</v>
      </c>
      <c r="F7" s="43">
        <f>Electricity!E11</f>
        <v>5000</v>
      </c>
      <c r="G7" s="43">
        <f>Electricity!F11</f>
        <v>21440.000000000509</v>
      </c>
      <c r="H7" s="47">
        <v>1553.67</v>
      </c>
      <c r="I7" s="61" t="s">
        <v>28</v>
      </c>
      <c r="J7" s="113">
        <f>Electricity!L11</f>
        <v>30694884.556800541</v>
      </c>
      <c r="K7" s="43">
        <f>Water!G10</f>
        <v>290</v>
      </c>
      <c r="L7" s="62">
        <v>12550</v>
      </c>
      <c r="M7" s="113">
        <f>TOTAL!K7*TOTAL!L7</f>
        <v>3639500</v>
      </c>
      <c r="N7" s="43">
        <f>+Electricity!C11</f>
        <v>164</v>
      </c>
    </row>
    <row r="8" spans="1:14" x14ac:dyDescent="0.25">
      <c r="A8" s="48" t="s">
        <v>35</v>
      </c>
      <c r="B8" s="45">
        <v>7</v>
      </c>
      <c r="C8" s="45">
        <v>4</v>
      </c>
      <c r="D8" s="45">
        <v>2018</v>
      </c>
      <c r="E8" s="43">
        <f>Electricity!G12</f>
        <v>28079.999999999018</v>
      </c>
      <c r="F8" s="43">
        <f>Electricity!E12</f>
        <v>5119.9999999998909</v>
      </c>
      <c r="G8" s="43">
        <f>Electricity!F12</f>
        <v>22959.999999999127</v>
      </c>
      <c r="H8" s="47">
        <v>1553.67</v>
      </c>
      <c r="I8" s="61" t="s">
        <v>28</v>
      </c>
      <c r="J8" s="113">
        <f>Electricity!L12</f>
        <v>32497970.380798902</v>
      </c>
      <c r="K8" s="43">
        <f>Water!G11</f>
        <v>352</v>
      </c>
      <c r="L8" s="62">
        <v>12550</v>
      </c>
      <c r="M8" s="113">
        <f>TOTAL!K8*TOTAL!L8</f>
        <v>4417600</v>
      </c>
      <c r="N8" s="43">
        <f>+Electricity!C12</f>
        <v>164</v>
      </c>
    </row>
    <row r="9" spans="1:14" x14ac:dyDescent="0.25">
      <c r="A9" s="48" t="s">
        <v>35</v>
      </c>
      <c r="B9" s="45">
        <v>8</v>
      </c>
      <c r="C9" s="45">
        <v>4</v>
      </c>
      <c r="D9" s="45">
        <v>2018</v>
      </c>
      <c r="E9" s="43">
        <f>Electricity!G13</f>
        <v>18680.000000000291</v>
      </c>
      <c r="F9" s="43">
        <f>Electricity!E13</f>
        <v>1000</v>
      </c>
      <c r="G9" s="43">
        <f>Electricity!F13</f>
        <v>17680.000000000291</v>
      </c>
      <c r="H9" s="47">
        <v>1553.67</v>
      </c>
      <c r="I9" s="61" t="s">
        <v>28</v>
      </c>
      <c r="J9" s="113">
        <f>Electricity!L13</f>
        <v>20343050.649600308</v>
      </c>
      <c r="K9" s="43">
        <f>Water!G12</f>
        <v>331</v>
      </c>
      <c r="L9" s="62">
        <v>12550</v>
      </c>
      <c r="M9" s="113">
        <f>TOTAL!K9*TOTAL!L9</f>
        <v>4154050</v>
      </c>
      <c r="N9" s="43">
        <f>+Electricity!C13</f>
        <v>164</v>
      </c>
    </row>
    <row r="10" spans="1:14" x14ac:dyDescent="0.25">
      <c r="A10" s="48" t="s">
        <v>35</v>
      </c>
      <c r="B10" s="45">
        <v>9</v>
      </c>
      <c r="C10" s="45">
        <v>4</v>
      </c>
      <c r="D10" s="45">
        <v>2018</v>
      </c>
      <c r="E10" s="43">
        <f>Electricity!G14</f>
        <v>32999.999999999091</v>
      </c>
      <c r="F10" s="43">
        <f>Electricity!E14</f>
        <v>8039.9999999999636</v>
      </c>
      <c r="G10" s="43">
        <f>Electricity!F14</f>
        <v>24959.999999999127</v>
      </c>
      <c r="H10" s="47">
        <v>1553.67</v>
      </c>
      <c r="I10" s="61" t="s">
        <v>28</v>
      </c>
      <c r="J10" s="113">
        <f>Electricity!L14</f>
        <v>39264845.41439902</v>
      </c>
      <c r="K10" s="43">
        <f>Water!G13</f>
        <v>315</v>
      </c>
      <c r="L10" s="62">
        <v>12550</v>
      </c>
      <c r="M10" s="113">
        <f>TOTAL!K10*TOTAL!L10</f>
        <v>3953250</v>
      </c>
      <c r="N10" s="43">
        <f>+Electricity!C14</f>
        <v>164</v>
      </c>
    </row>
    <row r="11" spans="1:14" x14ac:dyDescent="0.25">
      <c r="A11" s="48" t="s">
        <v>35</v>
      </c>
      <c r="B11" s="45">
        <v>10</v>
      </c>
      <c r="C11" s="45">
        <v>4</v>
      </c>
      <c r="D11" s="45">
        <v>2018</v>
      </c>
      <c r="E11" s="43">
        <f>Electricity!G15</f>
        <v>23000.000000001364</v>
      </c>
      <c r="F11" s="43">
        <f>Electricity!E15</f>
        <v>4360.0000000001273</v>
      </c>
      <c r="G11" s="43">
        <f>Electricity!F15</f>
        <v>18640.000000001237</v>
      </c>
      <c r="H11" s="47">
        <v>1553.67</v>
      </c>
      <c r="I11" s="61" t="s">
        <v>28</v>
      </c>
      <c r="J11" s="113">
        <f>Electricity!L15</f>
        <v>26706882.969601512</v>
      </c>
      <c r="K11" s="43">
        <f>Water!G14</f>
        <v>370</v>
      </c>
      <c r="L11" s="62">
        <v>12550</v>
      </c>
      <c r="M11" s="113">
        <f>TOTAL!K11*TOTAL!L11</f>
        <v>4643500</v>
      </c>
      <c r="N11" s="43">
        <f>+Electricity!C15</f>
        <v>164</v>
      </c>
    </row>
    <row r="12" spans="1:14" x14ac:dyDescent="0.25">
      <c r="A12" s="48" t="s">
        <v>35</v>
      </c>
      <c r="B12" s="45">
        <v>11</v>
      </c>
      <c r="C12" s="45">
        <v>4</v>
      </c>
      <c r="D12" s="45">
        <v>2018</v>
      </c>
      <c r="E12" s="43">
        <f>Electricity!G16</f>
        <v>30719.999999999345</v>
      </c>
      <c r="F12" s="43">
        <f>Electricity!E16</f>
        <v>6159.9999999998545</v>
      </c>
      <c r="G12" s="43">
        <f>Electricity!F16</f>
        <v>24559.999999999491</v>
      </c>
      <c r="H12" s="47">
        <v>1553.67</v>
      </c>
      <c r="I12" s="61" t="s">
        <v>28</v>
      </c>
      <c r="J12" s="113">
        <f>Electricity!L16</f>
        <v>35849588.735999227</v>
      </c>
      <c r="K12" s="43">
        <f>Water!G15</f>
        <v>376</v>
      </c>
      <c r="L12" s="62">
        <v>12550</v>
      </c>
      <c r="M12" s="113">
        <f>TOTAL!K12*TOTAL!L12</f>
        <v>4718800</v>
      </c>
      <c r="N12" s="43">
        <f>+Electricity!C16</f>
        <v>164</v>
      </c>
    </row>
    <row r="13" spans="1:14" x14ac:dyDescent="0.25">
      <c r="A13" s="48" t="s">
        <v>35</v>
      </c>
      <c r="B13" s="45">
        <v>12</v>
      </c>
      <c r="C13" s="45">
        <v>4</v>
      </c>
      <c r="D13" s="45">
        <v>2018</v>
      </c>
      <c r="E13" s="43">
        <f>Electricity!G17</f>
        <v>29879.999999999654</v>
      </c>
      <c r="F13" s="43">
        <f>Electricity!E17</f>
        <v>6320.0000000001637</v>
      </c>
      <c r="G13" s="43">
        <f>Electricity!F17</f>
        <v>23559.999999999491</v>
      </c>
      <c r="H13" s="47">
        <v>1553.67</v>
      </c>
      <c r="I13" s="61" t="s">
        <v>28</v>
      </c>
      <c r="J13" s="113">
        <f>Electricity!L17</f>
        <v>35043503.308799721</v>
      </c>
      <c r="K13" s="43">
        <f>Water!G16</f>
        <v>342</v>
      </c>
      <c r="L13" s="62">
        <v>12550</v>
      </c>
      <c r="M13" s="113">
        <f>TOTAL!K13*TOTAL!L13</f>
        <v>4292100</v>
      </c>
      <c r="N13" s="43">
        <f>+Electricity!C17</f>
        <v>164</v>
      </c>
    </row>
    <row r="14" spans="1:14" x14ac:dyDescent="0.25">
      <c r="A14" s="48" t="s">
        <v>35</v>
      </c>
      <c r="B14" s="45">
        <v>13</v>
      </c>
      <c r="C14" s="45">
        <v>4</v>
      </c>
      <c r="D14" s="45">
        <v>2018</v>
      </c>
      <c r="E14" s="43">
        <f>Electricity!G18</f>
        <v>27119.999999999891</v>
      </c>
      <c r="F14" s="43">
        <f>Electricity!E18</f>
        <v>4960.0000000000364</v>
      </c>
      <c r="G14" s="43">
        <f>Electricity!F18</f>
        <v>22159.999999999854</v>
      </c>
      <c r="H14" s="47">
        <v>1553.67</v>
      </c>
      <c r="I14" s="61" t="s">
        <v>28</v>
      </c>
      <c r="J14" s="113">
        <f>Electricity!L18</f>
        <v>31394906.111999899</v>
      </c>
      <c r="K14" s="43">
        <f>Water!G17</f>
        <v>536</v>
      </c>
      <c r="L14" s="62">
        <v>12550</v>
      </c>
      <c r="M14" s="113">
        <f>TOTAL!K14*TOTAL!L14</f>
        <v>6726800</v>
      </c>
      <c r="N14" s="43">
        <f>+Electricity!C18</f>
        <v>164</v>
      </c>
    </row>
    <row r="15" spans="1:14" x14ac:dyDescent="0.25">
      <c r="A15" s="48" t="s">
        <v>35</v>
      </c>
      <c r="B15" s="45">
        <v>14</v>
      </c>
      <c r="C15" s="45">
        <v>4</v>
      </c>
      <c r="D15" s="45">
        <v>2018</v>
      </c>
      <c r="E15" s="43">
        <f>Electricity!G19</f>
        <v>26480.000000000018</v>
      </c>
      <c r="F15" s="43">
        <f>Electricity!E19</f>
        <v>3639.9999999998727</v>
      </c>
      <c r="G15" s="43">
        <f>Electricity!F19</f>
        <v>22840.000000000146</v>
      </c>
      <c r="H15" s="47">
        <v>1553.67</v>
      </c>
      <c r="I15" s="61" t="s">
        <v>28</v>
      </c>
      <c r="J15" s="113">
        <f>Electricity!L19</f>
        <v>30016075.775999952</v>
      </c>
      <c r="K15" s="43">
        <f>Water!G18</f>
        <v>240</v>
      </c>
      <c r="L15" s="62">
        <v>12550</v>
      </c>
      <c r="M15" s="113">
        <f>TOTAL!K15*TOTAL!L15</f>
        <v>3012000</v>
      </c>
      <c r="N15" s="43">
        <f>+Electricity!C19</f>
        <v>164</v>
      </c>
    </row>
    <row r="16" spans="1:14" x14ac:dyDescent="0.25">
      <c r="A16" s="48" t="s">
        <v>35</v>
      </c>
      <c r="B16" s="45">
        <v>15</v>
      </c>
      <c r="C16" s="45">
        <v>4</v>
      </c>
      <c r="D16" s="45">
        <v>2018</v>
      </c>
      <c r="E16" s="43">
        <f>Electricity!G20</f>
        <v>28079.999999999927</v>
      </c>
      <c r="F16" s="43">
        <f>Electricity!E20</f>
        <v>6000</v>
      </c>
      <c r="G16" s="43">
        <f>Electricity!F20</f>
        <v>22079.999999999927</v>
      </c>
      <c r="H16" s="47">
        <v>1553.67</v>
      </c>
      <c r="I16" s="61" t="s">
        <v>28</v>
      </c>
      <c r="J16" s="113">
        <f>Electricity!L20</f>
        <v>32964651.417599924</v>
      </c>
      <c r="K16" s="43">
        <f>Water!G19</f>
        <v>248</v>
      </c>
      <c r="L16" s="62">
        <v>12550</v>
      </c>
      <c r="M16" s="113">
        <f>TOTAL!K16*TOTAL!L16</f>
        <v>3112400</v>
      </c>
      <c r="N16" s="43">
        <f>+Electricity!C20</f>
        <v>164</v>
      </c>
    </row>
    <row r="17" spans="1:14" x14ac:dyDescent="0.25">
      <c r="A17" s="48" t="s">
        <v>35</v>
      </c>
      <c r="B17" s="45">
        <v>16</v>
      </c>
      <c r="C17" s="45">
        <v>4</v>
      </c>
      <c r="D17" s="45">
        <v>2018</v>
      </c>
      <c r="E17" s="43">
        <f>Electricity!G21</f>
        <v>27679.999999999836</v>
      </c>
      <c r="F17" s="43">
        <f>Electricity!E21</f>
        <v>5759.9999999997635</v>
      </c>
      <c r="G17" s="43">
        <f>Electricity!F21</f>
        <v>21920.000000000073</v>
      </c>
      <c r="H17" s="47">
        <v>1553.67</v>
      </c>
      <c r="I17" s="61" t="s">
        <v>28</v>
      </c>
      <c r="J17" s="113">
        <f>Electricity!L21</f>
        <v>32413119.283199698</v>
      </c>
      <c r="K17" s="43">
        <f>Water!G20</f>
        <v>349</v>
      </c>
      <c r="L17" s="62">
        <v>12550</v>
      </c>
      <c r="M17" s="113">
        <f>TOTAL!K17*TOTAL!L17</f>
        <v>4379950</v>
      </c>
      <c r="N17" s="43">
        <f>+Electricity!C21</f>
        <v>164</v>
      </c>
    </row>
    <row r="18" spans="1:14" x14ac:dyDescent="0.25">
      <c r="A18" s="48" t="s">
        <v>35</v>
      </c>
      <c r="B18" s="45">
        <v>17</v>
      </c>
      <c r="C18" s="45">
        <v>4</v>
      </c>
      <c r="D18" s="45">
        <v>2018</v>
      </c>
      <c r="E18" s="43">
        <f>Electricity!G22</f>
        <v>27800.000000001091</v>
      </c>
      <c r="F18" s="43">
        <f>Electricity!E22</f>
        <v>5600.0000000003638</v>
      </c>
      <c r="G18" s="43">
        <f>Electricity!F22</f>
        <v>22200.000000000728</v>
      </c>
      <c r="H18" s="47">
        <v>1553.67</v>
      </c>
      <c r="I18" s="61" t="s">
        <v>28</v>
      </c>
      <c r="J18" s="113">
        <f>Electricity!L22</f>
        <v>32455544.832001351</v>
      </c>
      <c r="K18" s="43">
        <f>Water!G21</f>
        <v>386</v>
      </c>
      <c r="L18" s="62">
        <v>12550</v>
      </c>
      <c r="M18" s="113">
        <f>TOTAL!K18*TOTAL!L18</f>
        <v>4844300</v>
      </c>
      <c r="N18" s="43">
        <f>+Electricity!C22</f>
        <v>164</v>
      </c>
    </row>
    <row r="19" spans="1:14" x14ac:dyDescent="0.25">
      <c r="A19" s="48" t="s">
        <v>35</v>
      </c>
      <c r="B19" s="45">
        <v>18</v>
      </c>
      <c r="C19" s="45">
        <v>4</v>
      </c>
      <c r="D19" s="45">
        <v>2018</v>
      </c>
      <c r="E19" s="43">
        <f>Electricity!G23</f>
        <v>23599.999999999</v>
      </c>
      <c r="F19" s="43">
        <f>Electricity!E23</f>
        <v>2480.0000000000182</v>
      </c>
      <c r="G19" s="43">
        <f>Electricity!F23</f>
        <v>21119.999999998981</v>
      </c>
      <c r="H19" s="47">
        <v>1553.67</v>
      </c>
      <c r="I19" s="61" t="s">
        <v>28</v>
      </c>
      <c r="J19" s="113">
        <f>Electricity!L23</f>
        <v>26346265.804798946</v>
      </c>
      <c r="K19" s="43">
        <f>Water!G22</f>
        <v>450</v>
      </c>
      <c r="L19" s="62">
        <v>12550</v>
      </c>
      <c r="M19" s="113">
        <f>TOTAL!K19*TOTAL!L19</f>
        <v>5647500</v>
      </c>
      <c r="N19" s="43">
        <f>+Electricity!C23</f>
        <v>164</v>
      </c>
    </row>
    <row r="20" spans="1:14" x14ac:dyDescent="0.25">
      <c r="A20" s="48" t="s">
        <v>35</v>
      </c>
      <c r="B20" s="45">
        <v>19</v>
      </c>
      <c r="C20" s="45">
        <v>4</v>
      </c>
      <c r="D20" s="45">
        <v>2018</v>
      </c>
      <c r="E20" s="43">
        <f>Electricity!G24</f>
        <v>29160.000000001219</v>
      </c>
      <c r="F20" s="43">
        <f>Electricity!E24</f>
        <v>7599.9999999999091</v>
      </c>
      <c r="G20" s="43">
        <f>Electricity!F24</f>
        <v>21560.00000000131</v>
      </c>
      <c r="H20" s="47">
        <v>1553.67</v>
      </c>
      <c r="I20" s="61" t="s">
        <v>28</v>
      </c>
      <c r="J20" s="113">
        <f>Electricity!L24</f>
        <v>34958652.211201251</v>
      </c>
      <c r="K20" s="43">
        <f>Water!G23</f>
        <v>351</v>
      </c>
      <c r="L20" s="62">
        <v>12550</v>
      </c>
      <c r="M20" s="113">
        <f>TOTAL!K20*TOTAL!L20</f>
        <v>4405050</v>
      </c>
      <c r="N20" s="43">
        <f>+Electricity!C24</f>
        <v>164</v>
      </c>
    </row>
    <row r="21" spans="1:14" x14ac:dyDescent="0.25">
      <c r="A21" s="48" t="s">
        <v>35</v>
      </c>
      <c r="B21" s="45">
        <v>20</v>
      </c>
      <c r="C21" s="45">
        <v>4</v>
      </c>
      <c r="D21" s="45">
        <v>2018</v>
      </c>
      <c r="E21" s="43">
        <f>Electricity!G25</f>
        <v>28119.999999998981</v>
      </c>
      <c r="F21" s="43">
        <f>Electricity!E25</f>
        <v>5079.9999999999272</v>
      </c>
      <c r="G21" s="43">
        <f>Electricity!F25</f>
        <v>23039.999999999054</v>
      </c>
      <c r="H21" s="47">
        <v>1553.67</v>
      </c>
      <c r="I21" s="61" t="s">
        <v>28</v>
      </c>
      <c r="J21" s="113">
        <f>Electricity!L25</f>
        <v>32519183.15519888</v>
      </c>
      <c r="K21" s="43">
        <f>Water!G24</f>
        <v>287</v>
      </c>
      <c r="L21" s="62">
        <v>12550</v>
      </c>
      <c r="M21" s="113">
        <f>TOTAL!K21*TOTAL!L21</f>
        <v>3601850</v>
      </c>
      <c r="N21" s="43">
        <f>+Electricity!C25</f>
        <v>164</v>
      </c>
    </row>
    <row r="22" spans="1:14" x14ac:dyDescent="0.25">
      <c r="A22" s="48" t="s">
        <v>35</v>
      </c>
      <c r="B22" s="45">
        <v>21</v>
      </c>
      <c r="C22" s="45">
        <v>4</v>
      </c>
      <c r="D22" s="45">
        <v>2018</v>
      </c>
      <c r="E22" s="43">
        <f>Electricity!G26</f>
        <v>26000.000000000455</v>
      </c>
      <c r="F22" s="43">
        <f>Electricity!E26</f>
        <v>4639.9999999998727</v>
      </c>
      <c r="G22" s="43">
        <f>Electricity!F26</f>
        <v>21360.000000000582</v>
      </c>
      <c r="H22" s="47">
        <v>1553.67</v>
      </c>
      <c r="I22" s="61" t="s">
        <v>28</v>
      </c>
      <c r="J22" s="113">
        <f>Electricity!L26</f>
        <v>30037288.550400414</v>
      </c>
      <c r="K22" s="43">
        <f>Water!G25</f>
        <v>379</v>
      </c>
      <c r="L22" s="62">
        <v>12550</v>
      </c>
      <c r="M22" s="113">
        <f>TOTAL!K22*TOTAL!L22</f>
        <v>4756450</v>
      </c>
      <c r="N22" s="43">
        <f>+Electricity!C26</f>
        <v>164</v>
      </c>
    </row>
    <row r="23" spans="1:14" x14ac:dyDescent="0.25">
      <c r="A23" s="48" t="s">
        <v>35</v>
      </c>
      <c r="B23" s="45">
        <v>22</v>
      </c>
      <c r="C23" s="45">
        <v>4</v>
      </c>
      <c r="D23" s="45">
        <v>2018</v>
      </c>
      <c r="E23" s="43">
        <f>Electricity!G27</f>
        <v>26239.999999999782</v>
      </c>
      <c r="F23" s="43">
        <f>Electricity!E27</f>
        <v>5000</v>
      </c>
      <c r="G23" s="43">
        <f>Electricity!F27</f>
        <v>21239.999999999782</v>
      </c>
      <c r="H23" s="47">
        <v>1553.67</v>
      </c>
      <c r="I23" s="61" t="s">
        <v>28</v>
      </c>
      <c r="J23" s="113">
        <f>Electricity!L27</f>
        <v>30482756.812799767</v>
      </c>
      <c r="K23" s="43">
        <f>Water!G26</f>
        <v>406</v>
      </c>
      <c r="L23" s="62">
        <v>12550</v>
      </c>
      <c r="M23" s="113">
        <f>TOTAL!K23*TOTAL!L23</f>
        <v>5095300</v>
      </c>
      <c r="N23" s="43">
        <f>+Electricity!C27</f>
        <v>164</v>
      </c>
    </row>
    <row r="24" spans="1:14" x14ac:dyDescent="0.25">
      <c r="A24" s="48" t="s">
        <v>35</v>
      </c>
      <c r="B24" s="45">
        <v>23</v>
      </c>
      <c r="C24" s="45">
        <v>4</v>
      </c>
      <c r="D24" s="45">
        <v>2018</v>
      </c>
      <c r="E24" s="43">
        <f>Electricity!G28</f>
        <v>25600.000000000364</v>
      </c>
      <c r="F24" s="43">
        <f>Electricity!E28</f>
        <v>4760.0000000002183</v>
      </c>
      <c r="G24" s="43">
        <f>Electricity!F28</f>
        <v>20840.000000000146</v>
      </c>
      <c r="H24" s="47">
        <v>1553.67</v>
      </c>
      <c r="I24" s="61" t="s">
        <v>28</v>
      </c>
      <c r="J24" s="113">
        <f>Electricity!L28</f>
        <v>29676671.385600504</v>
      </c>
      <c r="K24" s="43">
        <f>Water!G27</f>
        <v>522</v>
      </c>
      <c r="L24" s="62">
        <v>12550</v>
      </c>
      <c r="M24" s="113">
        <f>TOTAL!K24*TOTAL!L24</f>
        <v>6551100</v>
      </c>
      <c r="N24" s="43">
        <f>+Electricity!C28</f>
        <v>164</v>
      </c>
    </row>
    <row r="25" spans="1:14" x14ac:dyDescent="0.25">
      <c r="A25" s="48" t="s">
        <v>35</v>
      </c>
      <c r="B25" s="45">
        <v>24</v>
      </c>
      <c r="C25" s="45">
        <v>4</v>
      </c>
      <c r="D25" s="45">
        <v>2018</v>
      </c>
      <c r="E25" s="43">
        <f>Electricity!G29</f>
        <v>22919.999999999163</v>
      </c>
      <c r="F25" s="43">
        <f>Electricity!E29</f>
        <v>3039.9999999999636</v>
      </c>
      <c r="G25" s="43">
        <f>Electricity!F29</f>
        <v>19879.9999999992</v>
      </c>
      <c r="H25" s="47">
        <v>1553.67</v>
      </c>
      <c r="I25" s="61" t="s">
        <v>28</v>
      </c>
      <c r="J25" s="113">
        <f>Electricity!L29</f>
        <v>25922010.316799097</v>
      </c>
      <c r="K25" s="43">
        <f>Water!G28</f>
        <v>280</v>
      </c>
      <c r="L25" s="62">
        <v>12550</v>
      </c>
      <c r="M25" s="113">
        <f>TOTAL!K25*TOTAL!L25</f>
        <v>3514000</v>
      </c>
      <c r="N25" s="43">
        <f>+Electricity!C29</f>
        <v>164</v>
      </c>
    </row>
    <row r="26" spans="1:14" x14ac:dyDescent="0.25">
      <c r="A26" s="48" t="s">
        <v>35</v>
      </c>
      <c r="B26" s="45">
        <v>25</v>
      </c>
      <c r="C26" s="45">
        <v>4</v>
      </c>
      <c r="D26" s="45">
        <v>2018</v>
      </c>
      <c r="E26" s="43">
        <f>Electricity!G30</f>
        <v>25840.000000000146</v>
      </c>
      <c r="F26" s="43">
        <f>Electricity!E30</f>
        <v>6159.9999999998545</v>
      </c>
      <c r="G26" s="43">
        <f>Electricity!F30</f>
        <v>19680.000000000291</v>
      </c>
      <c r="H26" s="47">
        <v>1553.67</v>
      </c>
      <c r="I26" s="61" t="s">
        <v>28</v>
      </c>
      <c r="J26" s="113">
        <f>Electricity!L30</f>
        <v>30673671.782400079</v>
      </c>
      <c r="K26" s="43">
        <f>Water!G29</f>
        <v>243</v>
      </c>
      <c r="L26" s="62">
        <v>12550</v>
      </c>
      <c r="M26" s="113">
        <f>TOTAL!K26*TOTAL!L26</f>
        <v>3049650</v>
      </c>
      <c r="N26" s="43">
        <f>+Electricity!C30</f>
        <v>164</v>
      </c>
    </row>
    <row r="27" spans="1:14" x14ac:dyDescent="0.25">
      <c r="A27" s="48" t="s">
        <v>35</v>
      </c>
      <c r="B27" s="45">
        <v>26</v>
      </c>
      <c r="C27" s="45">
        <v>4</v>
      </c>
      <c r="D27" s="45">
        <v>2018</v>
      </c>
      <c r="E27" s="43">
        <f>Electricity!G31</f>
        <v>24560.00000000131</v>
      </c>
      <c r="F27" s="43">
        <f>Electricity!E31</f>
        <v>4840.0000000001455</v>
      </c>
      <c r="G27" s="43">
        <f>Electricity!F31</f>
        <v>19720.000000001164</v>
      </c>
      <c r="H27" s="47">
        <v>1553.67</v>
      </c>
      <c r="I27" s="61" t="s">
        <v>28</v>
      </c>
      <c r="J27" s="113">
        <f>Electricity!L31</f>
        <v>28616032.665601462</v>
      </c>
      <c r="K27" s="43">
        <f>Water!G30</f>
        <v>337</v>
      </c>
      <c r="L27" s="62">
        <v>12550</v>
      </c>
      <c r="M27" s="113">
        <f>TOTAL!K27*TOTAL!L27</f>
        <v>4229350</v>
      </c>
      <c r="N27" s="43">
        <f>+Electricity!C31</f>
        <v>164</v>
      </c>
    </row>
    <row r="28" spans="1:14" x14ac:dyDescent="0.25">
      <c r="A28" s="48" t="s">
        <v>35</v>
      </c>
      <c r="B28" s="45">
        <v>27</v>
      </c>
      <c r="C28" s="45">
        <v>4</v>
      </c>
      <c r="D28" s="45">
        <v>2018</v>
      </c>
      <c r="E28" s="43">
        <f>Electricity!G32</f>
        <v>24919.999999998709</v>
      </c>
      <c r="F28" s="43">
        <f>Electricity!E32</f>
        <v>4799.9999999997272</v>
      </c>
      <c r="G28" s="43">
        <f>Electricity!F32</f>
        <v>20119.999999998981</v>
      </c>
      <c r="H28" s="47">
        <v>1553.67</v>
      </c>
      <c r="I28" s="61" t="s">
        <v>28</v>
      </c>
      <c r="J28" s="113">
        <f>Electricity!L32</f>
        <v>28976649.830398485</v>
      </c>
      <c r="K28" s="43">
        <f>Water!G31</f>
        <v>143</v>
      </c>
      <c r="L28" s="62">
        <v>12550</v>
      </c>
      <c r="M28" s="113">
        <f>TOTAL!K28*TOTAL!L28</f>
        <v>1794650</v>
      </c>
      <c r="N28" s="43">
        <f>+Electricity!C32</f>
        <v>164</v>
      </c>
    </row>
    <row r="29" spans="1:14" x14ac:dyDescent="0.25">
      <c r="A29" s="48" t="s">
        <v>35</v>
      </c>
      <c r="B29" s="45">
        <v>28</v>
      </c>
      <c r="C29" s="45">
        <v>4</v>
      </c>
      <c r="D29" s="45">
        <v>2018</v>
      </c>
      <c r="E29" s="43">
        <f>Electricity!G33</f>
        <v>24399.999999999636</v>
      </c>
      <c r="F29" s="43">
        <f>Electricity!E33</f>
        <v>4000</v>
      </c>
      <c r="G29" s="43">
        <f>Electricity!F33</f>
        <v>20399.999999999636</v>
      </c>
      <c r="H29" s="47">
        <v>1553.67</v>
      </c>
      <c r="I29" s="61" t="s">
        <v>28</v>
      </c>
      <c r="J29" s="113">
        <f>Electricity!L33</f>
        <v>28000862.207999613</v>
      </c>
      <c r="K29" s="43">
        <f>Water!G32</f>
        <v>255</v>
      </c>
      <c r="L29" s="62">
        <v>12550</v>
      </c>
      <c r="M29" s="113">
        <f>TOTAL!K29*TOTAL!L29</f>
        <v>3200250</v>
      </c>
      <c r="N29" s="43">
        <f>+Electricity!C33</f>
        <v>164</v>
      </c>
    </row>
    <row r="30" spans="1:14" s="43" customFormat="1" x14ac:dyDescent="0.25">
      <c r="A30" s="48" t="s">
        <v>35</v>
      </c>
      <c r="B30" s="45">
        <v>29</v>
      </c>
      <c r="C30" s="45">
        <v>4</v>
      </c>
      <c r="D30" s="45">
        <v>2018</v>
      </c>
      <c r="E30" s="43">
        <f>Electricity!G34</f>
        <v>22880.000000001473</v>
      </c>
      <c r="F30" s="43">
        <f>Electricity!E34</f>
        <v>1400.0000000000909</v>
      </c>
      <c r="G30" s="43">
        <f>Electricity!F34</f>
        <v>21480.000000001382</v>
      </c>
      <c r="H30" s="47">
        <v>1553.67</v>
      </c>
      <c r="I30" s="61" t="s">
        <v>28</v>
      </c>
      <c r="J30" s="113">
        <f>Electricity!L34</f>
        <v>25009861.017601613</v>
      </c>
      <c r="K30" s="43">
        <f>Water!G33</f>
        <v>610</v>
      </c>
      <c r="L30" s="62">
        <v>12550</v>
      </c>
      <c r="M30" s="113">
        <f>TOTAL!K30*TOTAL!L30</f>
        <v>7655500</v>
      </c>
      <c r="N30" s="43">
        <f>+Electricity!C34</f>
        <v>164</v>
      </c>
    </row>
    <row r="31" spans="1:14" s="43" customFormat="1" x14ac:dyDescent="0.25">
      <c r="A31" s="48" t="s">
        <v>35</v>
      </c>
      <c r="B31" s="45">
        <v>30</v>
      </c>
      <c r="C31" s="45">
        <v>4</v>
      </c>
      <c r="D31" s="45">
        <v>2018</v>
      </c>
      <c r="E31" s="43">
        <f>Electricity!G35</f>
        <v>29919.999999998709</v>
      </c>
      <c r="F31" s="43">
        <f>Electricity!E35</f>
        <v>8639.9999999998727</v>
      </c>
      <c r="G31" s="43">
        <f>Electricity!F35</f>
        <v>21279.999999998836</v>
      </c>
      <c r="H31" s="47">
        <v>1553.67</v>
      </c>
      <c r="I31" s="61" t="s">
        <v>28</v>
      </c>
      <c r="J31" s="113">
        <f>Electricity!L35</f>
        <v>36316269.772798561</v>
      </c>
      <c r="K31" s="43">
        <f>Water!G34</f>
        <v>609</v>
      </c>
      <c r="L31" s="62">
        <v>12550</v>
      </c>
      <c r="M31" s="113">
        <f>TOTAL!K31*TOTAL!L31</f>
        <v>7642950</v>
      </c>
      <c r="N31" s="43">
        <f>+Electricity!C35</f>
        <v>164</v>
      </c>
    </row>
    <row r="32" spans="1:14" s="43" customFormat="1" x14ac:dyDescent="0.25">
      <c r="A32" s="44"/>
      <c r="B32" s="46"/>
      <c r="C32" s="46"/>
      <c r="D32" s="45"/>
    </row>
    <row r="33" spans="1:13" s="43" customFormat="1" x14ac:dyDescent="0.25">
      <c r="A33" s="44"/>
      <c r="B33" s="46"/>
      <c r="C33" s="46"/>
      <c r="D33" s="45"/>
      <c r="I33" s="47"/>
      <c r="J33" s="47"/>
      <c r="K33" s="47"/>
      <c r="L33" s="47"/>
      <c r="M33" s="47"/>
    </row>
    <row r="34" spans="1:13" s="43" customFormat="1" x14ac:dyDescent="0.25">
      <c r="A34" s="44"/>
      <c r="B34" s="46"/>
      <c r="C34" s="46"/>
      <c r="D34" s="45"/>
      <c r="I34" s="47"/>
      <c r="J34" s="47"/>
      <c r="K34" s="47"/>
      <c r="L34" s="47"/>
      <c r="M34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7"/>
  <sheetViews>
    <sheetView tabSelected="1" view="pageBreakPreview" topLeftCell="B1" zoomScale="80" zoomScaleNormal="80" zoomScaleSheetLayoutView="80" workbookViewId="0">
      <pane ySplit="4" topLeftCell="A5" activePane="bottomLeft" state="frozen"/>
      <selection pane="bottomLeft" activeCell="H4" sqref="H4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9" customWidth="1"/>
    <col min="5" max="6" width="17.7109375" style="116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92" customWidth="1"/>
    <col min="11" max="11" width="20.5703125" style="92" bestFit="1" customWidth="1"/>
    <col min="12" max="12" width="23.42578125" style="92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26.25" customHeight="1" thickBot="1" x14ac:dyDescent="0.3">
      <c r="B1" s="121" t="s">
        <v>41</v>
      </c>
      <c r="C1" s="122"/>
      <c r="D1" s="122"/>
      <c r="E1" s="28"/>
      <c r="F1" s="29"/>
      <c r="G1" s="29"/>
      <c r="H1" s="27"/>
      <c r="I1" s="26"/>
      <c r="J1" s="100"/>
      <c r="K1" s="100"/>
      <c r="L1" s="109"/>
      <c r="M1" s="2"/>
      <c r="N1" s="2"/>
    </row>
    <row r="2" spans="2:17" s="3" customFormat="1" ht="63" customHeight="1" x14ac:dyDescent="0.25">
      <c r="B2" s="123" t="s">
        <v>0</v>
      </c>
      <c r="C2" s="135" t="s">
        <v>33</v>
      </c>
      <c r="D2" s="126" t="s">
        <v>9</v>
      </c>
      <c r="E2" s="129" t="s">
        <v>42</v>
      </c>
      <c r="F2" s="130"/>
      <c r="G2" s="130"/>
      <c r="H2" s="130"/>
      <c r="I2" s="130"/>
      <c r="J2" s="130"/>
      <c r="K2" s="130"/>
      <c r="L2" s="131"/>
      <c r="M2" s="2"/>
      <c r="N2" s="2"/>
      <c r="O2" s="1"/>
      <c r="P2" s="1"/>
      <c r="Q2" s="1"/>
    </row>
    <row r="3" spans="2:17" s="23" customFormat="1" ht="25.5" customHeight="1" x14ac:dyDescent="0.25">
      <c r="B3" s="124"/>
      <c r="C3" s="136"/>
      <c r="D3" s="127"/>
      <c r="E3" s="20" t="s">
        <v>7</v>
      </c>
      <c r="F3" s="24" t="s">
        <v>13</v>
      </c>
      <c r="G3" s="24" t="s">
        <v>16</v>
      </c>
      <c r="H3" s="132" t="s">
        <v>17</v>
      </c>
      <c r="I3" s="133"/>
      <c r="J3" s="134"/>
      <c r="K3" s="117" t="s">
        <v>36</v>
      </c>
      <c r="L3" s="119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5"/>
      <c r="C4" s="55"/>
      <c r="D4" s="128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101" t="s">
        <v>1</v>
      </c>
      <c r="K4" s="118"/>
      <c r="L4" s="120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6" t="s">
        <v>34</v>
      </c>
      <c r="D5" s="93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101" t="s">
        <v>11</v>
      </c>
      <c r="K5" s="108" t="s">
        <v>11</v>
      </c>
      <c r="L5" s="110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43191</v>
      </c>
      <c r="C6" s="63">
        <v>164</v>
      </c>
      <c r="D6" s="94">
        <v>1035.78</v>
      </c>
      <c r="E6" s="115">
        <v>4840.0000000001455</v>
      </c>
      <c r="F6" s="86">
        <v>19879.9999999992</v>
      </c>
      <c r="G6" s="87">
        <f>F6+E6</f>
        <v>24719.999999999345</v>
      </c>
      <c r="H6" s="88">
        <f t="shared" ref="H6:H33" si="0">E6*1.5*D6</f>
        <v>7519762.8000002261</v>
      </c>
      <c r="I6" s="88">
        <f t="shared" ref="I6:I33" si="1">F6*D6</f>
        <v>20591306.399999171</v>
      </c>
      <c r="J6" s="88">
        <f t="shared" ref="J6:J30" si="2">I6+H6</f>
        <v>28111069.199999399</v>
      </c>
      <c r="K6" s="88">
        <f>J6*0.024</f>
        <v>674665.66079998564</v>
      </c>
      <c r="L6" s="111">
        <f>J6+K6</f>
        <v>28785734.860799383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43192</v>
      </c>
      <c r="C7" s="63">
        <v>164</v>
      </c>
      <c r="D7" s="94">
        <v>1035.78</v>
      </c>
      <c r="E7" s="115">
        <v>4480.0000000000182</v>
      </c>
      <c r="F7" s="86">
        <v>20079.999999999927</v>
      </c>
      <c r="G7" s="87">
        <f t="shared" ref="G7:G33" si="3">F7+E7</f>
        <v>24559.999999999945</v>
      </c>
      <c r="H7" s="88">
        <f t="shared" si="0"/>
        <v>6960441.6000000285</v>
      </c>
      <c r="I7" s="88">
        <f t="shared" si="1"/>
        <v>20798462.399999924</v>
      </c>
      <c r="J7" s="88">
        <f t="shared" si="2"/>
        <v>27758903.999999952</v>
      </c>
      <c r="K7" s="88">
        <f t="shared" ref="K7:K35" si="4">J7*0.024</f>
        <v>666213.69599999883</v>
      </c>
      <c r="L7" s="111">
        <f>J7+K7</f>
        <v>28425117.69599995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43193</v>
      </c>
      <c r="C8" s="63">
        <v>164</v>
      </c>
      <c r="D8" s="94">
        <v>1035.78</v>
      </c>
      <c r="E8" s="115">
        <v>5039.9999999999636</v>
      </c>
      <c r="F8" s="86">
        <v>21560.00000000131</v>
      </c>
      <c r="G8" s="87">
        <f t="shared" si="3"/>
        <v>26600.000000001273</v>
      </c>
      <c r="H8" s="88">
        <f t="shared" si="0"/>
        <v>7830496.799999943</v>
      </c>
      <c r="I8" s="88">
        <f t="shared" si="1"/>
        <v>22331416.800001357</v>
      </c>
      <c r="J8" s="88">
        <f t="shared" si="2"/>
        <v>30161913.600001298</v>
      </c>
      <c r="K8" s="88">
        <f t="shared" si="4"/>
        <v>723885.9264000312</v>
      </c>
      <c r="L8" s="111">
        <f t="shared" ref="L8:L30" si="5">J8+K8</f>
        <v>30885799.52640133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43194</v>
      </c>
      <c r="C9" s="63">
        <v>164</v>
      </c>
      <c r="D9" s="94">
        <v>1035.78</v>
      </c>
      <c r="E9" s="115">
        <v>5800.0000000001819</v>
      </c>
      <c r="F9" s="86">
        <v>21760.000000000218</v>
      </c>
      <c r="G9" s="87">
        <f t="shared" si="3"/>
        <v>27560.0000000004</v>
      </c>
      <c r="H9" s="88">
        <f t="shared" si="0"/>
        <v>9011286.0000002831</v>
      </c>
      <c r="I9" s="88">
        <f t="shared" si="1"/>
        <v>22538572.800000224</v>
      </c>
      <c r="J9" s="88">
        <f t="shared" si="2"/>
        <v>31549858.800000507</v>
      </c>
      <c r="K9" s="88">
        <f t="shared" si="4"/>
        <v>757196.61120001215</v>
      </c>
      <c r="L9" s="111">
        <f t="shared" si="5"/>
        <v>32307055.41120052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43195</v>
      </c>
      <c r="C10" s="63">
        <v>164</v>
      </c>
      <c r="D10" s="94">
        <v>1035.78</v>
      </c>
      <c r="E10" s="115">
        <v>5039.9999999999636</v>
      </c>
      <c r="F10" s="86">
        <v>21719.999999999345</v>
      </c>
      <c r="G10" s="87">
        <f t="shared" si="3"/>
        <v>26759.999999999309</v>
      </c>
      <c r="H10" s="88">
        <f t="shared" si="0"/>
        <v>7830496.799999943</v>
      </c>
      <c r="I10" s="88">
        <f t="shared" si="1"/>
        <v>22497141.59999932</v>
      </c>
      <c r="J10" s="88">
        <f t="shared" si="2"/>
        <v>30327638.399999261</v>
      </c>
      <c r="K10" s="88">
        <f t="shared" si="4"/>
        <v>727863.32159998233</v>
      </c>
      <c r="L10" s="111">
        <f t="shared" si="5"/>
        <v>31055501.721599244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43196</v>
      </c>
      <c r="C11" s="63">
        <v>164</v>
      </c>
      <c r="D11" s="94">
        <v>1035.78</v>
      </c>
      <c r="E11" s="115">
        <v>5000</v>
      </c>
      <c r="F11" s="86">
        <v>21440.000000000509</v>
      </c>
      <c r="G11" s="87">
        <f t="shared" si="3"/>
        <v>26440.000000000509</v>
      </c>
      <c r="H11" s="88">
        <f t="shared" si="0"/>
        <v>7768350</v>
      </c>
      <c r="I11" s="88">
        <f t="shared" si="1"/>
        <v>22207123.200000528</v>
      </c>
      <c r="J11" s="88">
        <f t="shared" si="2"/>
        <v>29975473.200000528</v>
      </c>
      <c r="K11" s="88">
        <f t="shared" si="4"/>
        <v>719411.35680001264</v>
      </c>
      <c r="L11" s="111">
        <f t="shared" si="5"/>
        <v>30694884.556800541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43197</v>
      </c>
      <c r="C12" s="63">
        <v>164</v>
      </c>
      <c r="D12" s="94">
        <v>1035.78</v>
      </c>
      <c r="E12" s="115">
        <v>5119.9999999998909</v>
      </c>
      <c r="F12" s="86">
        <v>22959.999999999127</v>
      </c>
      <c r="G12" s="87">
        <f t="shared" si="3"/>
        <v>28079.999999999018</v>
      </c>
      <c r="H12" s="88">
        <f t="shared" si="0"/>
        <v>7954790.3999998299</v>
      </c>
      <c r="I12" s="88">
        <f t="shared" si="1"/>
        <v>23781508.799999095</v>
      </c>
      <c r="J12" s="88">
        <f t="shared" si="2"/>
        <v>31736299.199998926</v>
      </c>
      <c r="K12" s="88">
        <f t="shared" si="4"/>
        <v>761671.18079997425</v>
      </c>
      <c r="L12" s="111">
        <f t="shared" si="5"/>
        <v>32497970.380798902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43198</v>
      </c>
      <c r="C13" s="63">
        <v>164</v>
      </c>
      <c r="D13" s="94">
        <v>1035.78</v>
      </c>
      <c r="E13" s="115">
        <v>1000</v>
      </c>
      <c r="F13" s="86">
        <v>17680.000000000291</v>
      </c>
      <c r="G13" s="87">
        <f t="shared" si="3"/>
        <v>18680.000000000291</v>
      </c>
      <c r="H13" s="88">
        <f t="shared" si="0"/>
        <v>1553670</v>
      </c>
      <c r="I13" s="88">
        <f t="shared" si="1"/>
        <v>18312590.4000003</v>
      </c>
      <c r="J13" s="88">
        <f t="shared" si="2"/>
        <v>19866260.4000003</v>
      </c>
      <c r="K13" s="88">
        <f t="shared" si="4"/>
        <v>476790.2496000072</v>
      </c>
      <c r="L13" s="111">
        <f t="shared" si="5"/>
        <v>20343050.649600308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43199</v>
      </c>
      <c r="C14" s="63">
        <v>164</v>
      </c>
      <c r="D14" s="94">
        <v>1035.78</v>
      </c>
      <c r="E14" s="115">
        <v>8039.9999999999636</v>
      </c>
      <c r="F14" s="86">
        <v>24959.999999999127</v>
      </c>
      <c r="G14" s="87">
        <f t="shared" si="3"/>
        <v>32999.999999999091</v>
      </c>
      <c r="H14" s="88">
        <f t="shared" si="0"/>
        <v>12491506.799999943</v>
      </c>
      <c r="I14" s="88">
        <f t="shared" si="1"/>
        <v>25853068.799999095</v>
      </c>
      <c r="J14" s="88">
        <f t="shared" si="2"/>
        <v>38344575.59999904</v>
      </c>
      <c r="K14" s="88">
        <f t="shared" si="4"/>
        <v>920269.81439997698</v>
      </c>
      <c r="L14" s="111">
        <f t="shared" si="5"/>
        <v>39264845.41439902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43200</v>
      </c>
      <c r="C15" s="63">
        <v>164</v>
      </c>
      <c r="D15" s="94">
        <v>1035.78</v>
      </c>
      <c r="E15" s="115">
        <v>4360.0000000001273</v>
      </c>
      <c r="F15" s="86">
        <v>18640.000000001237</v>
      </c>
      <c r="G15" s="87">
        <f t="shared" si="3"/>
        <v>23000.000000001364</v>
      </c>
      <c r="H15" s="88">
        <f t="shared" si="0"/>
        <v>6774001.2000001976</v>
      </c>
      <c r="I15" s="88">
        <f t="shared" si="1"/>
        <v>19306939.200001281</v>
      </c>
      <c r="J15" s="88">
        <f t="shared" si="2"/>
        <v>26080940.400001477</v>
      </c>
      <c r="K15" s="88">
        <f t="shared" si="4"/>
        <v>625942.56960003544</v>
      </c>
      <c r="L15" s="111">
        <f t="shared" si="5"/>
        <v>26706882.969601512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43201</v>
      </c>
      <c r="C16" s="63">
        <v>164</v>
      </c>
      <c r="D16" s="94">
        <v>1035.78</v>
      </c>
      <c r="E16" s="115">
        <v>6159.9999999998545</v>
      </c>
      <c r="F16" s="86">
        <v>24559.999999999491</v>
      </c>
      <c r="G16" s="87">
        <f t="shared" si="3"/>
        <v>30719.999999999345</v>
      </c>
      <c r="H16" s="88">
        <f t="shared" si="0"/>
        <v>9570607.1999997739</v>
      </c>
      <c r="I16" s="88">
        <f t="shared" si="1"/>
        <v>25438756.799999472</v>
      </c>
      <c r="J16" s="88">
        <f t="shared" si="2"/>
        <v>35009363.999999247</v>
      </c>
      <c r="K16" s="88">
        <f t="shared" si="4"/>
        <v>840224.73599998199</v>
      </c>
      <c r="L16" s="111">
        <f t="shared" si="5"/>
        <v>35849588.735999227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43202</v>
      </c>
      <c r="C17" s="63">
        <v>164</v>
      </c>
      <c r="D17" s="94">
        <v>1035.78</v>
      </c>
      <c r="E17" s="115">
        <v>6320.0000000001637</v>
      </c>
      <c r="F17" s="86">
        <v>23559.999999999491</v>
      </c>
      <c r="G17" s="87">
        <f t="shared" si="3"/>
        <v>29879.999999999654</v>
      </c>
      <c r="H17" s="88">
        <f t="shared" si="0"/>
        <v>9819194.4000002537</v>
      </c>
      <c r="I17" s="88">
        <f t="shared" si="1"/>
        <v>24402976.799999472</v>
      </c>
      <c r="J17" s="88">
        <f t="shared" si="2"/>
        <v>34222171.199999727</v>
      </c>
      <c r="K17" s="88">
        <f t="shared" si="4"/>
        <v>821332.10879999353</v>
      </c>
      <c r="L17" s="111">
        <f t="shared" si="5"/>
        <v>35043503.308799721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43203</v>
      </c>
      <c r="C18" s="63">
        <v>164</v>
      </c>
      <c r="D18" s="94">
        <v>1035.78</v>
      </c>
      <c r="E18" s="115">
        <v>4960.0000000000364</v>
      </c>
      <c r="F18" s="86">
        <v>22159.999999999854</v>
      </c>
      <c r="G18" s="87">
        <f t="shared" si="3"/>
        <v>27119.999999999891</v>
      </c>
      <c r="H18" s="88">
        <f t="shared" si="0"/>
        <v>7706203.2000000561</v>
      </c>
      <c r="I18" s="88">
        <f t="shared" si="1"/>
        <v>22952884.799999848</v>
      </c>
      <c r="J18" s="88">
        <f t="shared" si="2"/>
        <v>30659087.999999903</v>
      </c>
      <c r="K18" s="88">
        <f t="shared" si="4"/>
        <v>735818.11199999764</v>
      </c>
      <c r="L18" s="111">
        <f t="shared" si="5"/>
        <v>31394906.111999899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43204</v>
      </c>
      <c r="C19" s="63">
        <v>164</v>
      </c>
      <c r="D19" s="94">
        <v>1035.78</v>
      </c>
      <c r="E19" s="115">
        <v>3639.9999999998727</v>
      </c>
      <c r="F19" s="86">
        <v>22840.000000000146</v>
      </c>
      <c r="G19" s="87">
        <f t="shared" si="3"/>
        <v>26480.000000000018</v>
      </c>
      <c r="H19" s="88">
        <f t="shared" si="0"/>
        <v>5655358.7999998024</v>
      </c>
      <c r="I19" s="88">
        <f t="shared" si="1"/>
        <v>23657215.200000148</v>
      </c>
      <c r="J19" s="88">
        <f t="shared" si="2"/>
        <v>29312573.999999952</v>
      </c>
      <c r="K19" s="88">
        <f t="shared" si="4"/>
        <v>703501.77599999891</v>
      </c>
      <c r="L19" s="111">
        <f t="shared" si="5"/>
        <v>30016075.775999952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43205</v>
      </c>
      <c r="C20" s="63">
        <v>164</v>
      </c>
      <c r="D20" s="94">
        <v>1035.78</v>
      </c>
      <c r="E20" s="115">
        <v>6000</v>
      </c>
      <c r="F20" s="86">
        <v>22079.999999999927</v>
      </c>
      <c r="G20" s="87">
        <f t="shared" si="3"/>
        <v>28079.999999999927</v>
      </c>
      <c r="H20" s="88">
        <f t="shared" si="0"/>
        <v>9322020</v>
      </c>
      <c r="I20" s="88">
        <f t="shared" si="1"/>
        <v>22870022.399999924</v>
      </c>
      <c r="J20" s="88">
        <f t="shared" si="2"/>
        <v>32192042.399999924</v>
      </c>
      <c r="K20" s="88">
        <f t="shared" si="4"/>
        <v>772609.01759999816</v>
      </c>
      <c r="L20" s="111">
        <f t="shared" si="5"/>
        <v>32964651.417599924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43206</v>
      </c>
      <c r="C21" s="63">
        <v>164</v>
      </c>
      <c r="D21" s="94">
        <v>1035.78</v>
      </c>
      <c r="E21" s="115">
        <v>5759.9999999997635</v>
      </c>
      <c r="F21" s="86">
        <v>21920.000000000073</v>
      </c>
      <c r="G21" s="87">
        <f t="shared" si="3"/>
        <v>27679.999999999836</v>
      </c>
      <c r="H21" s="88">
        <f t="shared" si="0"/>
        <v>8949139.1999996323</v>
      </c>
      <c r="I21" s="88">
        <f t="shared" si="1"/>
        <v>22704297.600000076</v>
      </c>
      <c r="J21" s="88">
        <f t="shared" si="2"/>
        <v>31653436.799999706</v>
      </c>
      <c r="K21" s="88">
        <f t="shared" si="4"/>
        <v>759682.48319999292</v>
      </c>
      <c r="L21" s="111">
        <f t="shared" si="5"/>
        <v>32413119.283199698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43207</v>
      </c>
      <c r="C22" s="63">
        <v>164</v>
      </c>
      <c r="D22" s="94">
        <v>1035.78</v>
      </c>
      <c r="E22" s="115">
        <v>5600.0000000003638</v>
      </c>
      <c r="F22" s="86">
        <v>22200.000000000728</v>
      </c>
      <c r="G22" s="87">
        <f t="shared" si="3"/>
        <v>27800.000000001091</v>
      </c>
      <c r="H22" s="88">
        <f t="shared" si="0"/>
        <v>8700552.0000005644</v>
      </c>
      <c r="I22" s="88">
        <f t="shared" si="1"/>
        <v>22994316.000000753</v>
      </c>
      <c r="J22" s="88">
        <f t="shared" si="2"/>
        <v>31694868.000001319</v>
      </c>
      <c r="K22" s="88">
        <f t="shared" si="4"/>
        <v>760676.83200003172</v>
      </c>
      <c r="L22" s="111">
        <f t="shared" si="5"/>
        <v>32455544.832001351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43208</v>
      </c>
      <c r="C23" s="63">
        <v>164</v>
      </c>
      <c r="D23" s="94">
        <v>1035.78</v>
      </c>
      <c r="E23" s="115">
        <v>2480.0000000000182</v>
      </c>
      <c r="F23" s="86">
        <v>21119.999999998981</v>
      </c>
      <c r="G23" s="87">
        <f t="shared" si="3"/>
        <v>23599.999999999</v>
      </c>
      <c r="H23" s="88">
        <f t="shared" si="0"/>
        <v>3853101.600000028</v>
      </c>
      <c r="I23" s="88">
        <f t="shared" si="1"/>
        <v>21875673.599998944</v>
      </c>
      <c r="J23" s="88">
        <f t="shared" si="2"/>
        <v>25728775.199998971</v>
      </c>
      <c r="K23" s="88">
        <f t="shared" si="4"/>
        <v>617490.60479997529</v>
      </c>
      <c r="L23" s="111">
        <f t="shared" si="5"/>
        <v>26346265.804798946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43209</v>
      </c>
      <c r="C24" s="63">
        <v>164</v>
      </c>
      <c r="D24" s="94">
        <v>1035.78</v>
      </c>
      <c r="E24" s="115">
        <v>7599.9999999999091</v>
      </c>
      <c r="F24" s="86">
        <v>21560.00000000131</v>
      </c>
      <c r="G24" s="87">
        <f t="shared" si="3"/>
        <v>29160.000000001219</v>
      </c>
      <c r="H24" s="88">
        <f t="shared" si="0"/>
        <v>11807891.999999858</v>
      </c>
      <c r="I24" s="88">
        <f t="shared" si="1"/>
        <v>22331416.800001357</v>
      </c>
      <c r="J24" s="88">
        <f t="shared" si="2"/>
        <v>34139308.800001219</v>
      </c>
      <c r="K24" s="88">
        <f t="shared" si="4"/>
        <v>819343.41120002931</v>
      </c>
      <c r="L24" s="111">
        <f t="shared" si="5"/>
        <v>34958652.211201251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43210</v>
      </c>
      <c r="C25" s="63">
        <v>164</v>
      </c>
      <c r="D25" s="94">
        <v>1035.78</v>
      </c>
      <c r="E25" s="115">
        <v>5079.9999999999272</v>
      </c>
      <c r="F25" s="86">
        <v>23039.999999999054</v>
      </c>
      <c r="G25" s="87">
        <f t="shared" si="3"/>
        <v>28119.999999998981</v>
      </c>
      <c r="H25" s="88">
        <f t="shared" si="0"/>
        <v>7892643.5999998869</v>
      </c>
      <c r="I25" s="88">
        <f t="shared" si="1"/>
        <v>23864371.19999902</v>
      </c>
      <c r="J25" s="88">
        <f t="shared" si="2"/>
        <v>31757014.799998906</v>
      </c>
      <c r="K25" s="88">
        <f t="shared" si="4"/>
        <v>762168.3551999738</v>
      </c>
      <c r="L25" s="111">
        <f t="shared" si="5"/>
        <v>32519183.15519888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43211</v>
      </c>
      <c r="C26" s="63">
        <v>164</v>
      </c>
      <c r="D26" s="94">
        <v>1035.78</v>
      </c>
      <c r="E26" s="115">
        <v>4639.9999999998727</v>
      </c>
      <c r="F26" s="86">
        <v>21360.000000000582</v>
      </c>
      <c r="G26" s="87">
        <f t="shared" si="3"/>
        <v>26000.000000000455</v>
      </c>
      <c r="H26" s="88">
        <f t="shared" si="0"/>
        <v>7209028.7999998024</v>
      </c>
      <c r="I26" s="88">
        <f t="shared" si="1"/>
        <v>22124260.800000601</v>
      </c>
      <c r="J26" s="88">
        <f t="shared" si="2"/>
        <v>29333289.600000404</v>
      </c>
      <c r="K26" s="88">
        <f t="shared" si="4"/>
        <v>703998.95040000975</v>
      </c>
      <c r="L26" s="111">
        <f>J26+K26</f>
        <v>30037288.550400414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43212</v>
      </c>
      <c r="C27" s="63">
        <v>164</v>
      </c>
      <c r="D27" s="94">
        <v>1035.78</v>
      </c>
      <c r="E27" s="115">
        <v>5000</v>
      </c>
      <c r="F27" s="86">
        <v>21239.999999999782</v>
      </c>
      <c r="G27" s="87">
        <f t="shared" si="3"/>
        <v>26239.999999999782</v>
      </c>
      <c r="H27" s="88">
        <f t="shared" si="0"/>
        <v>7768350</v>
      </c>
      <c r="I27" s="88">
        <f t="shared" si="1"/>
        <v>21999967.199999772</v>
      </c>
      <c r="J27" s="88">
        <f t="shared" si="2"/>
        <v>29768317.199999772</v>
      </c>
      <c r="K27" s="88">
        <f t="shared" si="4"/>
        <v>714439.61279999453</v>
      </c>
      <c r="L27" s="111">
        <f t="shared" si="5"/>
        <v>30482756.812799767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43213</v>
      </c>
      <c r="C28" s="63">
        <v>164</v>
      </c>
      <c r="D28" s="94">
        <v>1035.78</v>
      </c>
      <c r="E28" s="115">
        <v>4760.0000000002183</v>
      </c>
      <c r="F28" s="86">
        <v>20840.000000000146</v>
      </c>
      <c r="G28" s="87">
        <f t="shared" si="3"/>
        <v>25600.000000000364</v>
      </c>
      <c r="H28" s="88">
        <f t="shared" si="0"/>
        <v>7395469.2000003392</v>
      </c>
      <c r="I28" s="88">
        <f t="shared" si="1"/>
        <v>21585655.200000152</v>
      </c>
      <c r="J28" s="88">
        <f t="shared" si="2"/>
        <v>28981124.40000049</v>
      </c>
      <c r="K28" s="88">
        <f t="shared" si="4"/>
        <v>695546.98560001177</v>
      </c>
      <c r="L28" s="111">
        <f t="shared" si="5"/>
        <v>29676671.385600504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43214</v>
      </c>
      <c r="C29" s="63">
        <v>164</v>
      </c>
      <c r="D29" s="94">
        <v>1035.78</v>
      </c>
      <c r="E29" s="115">
        <v>3039.9999999999636</v>
      </c>
      <c r="F29" s="86">
        <v>19879.9999999992</v>
      </c>
      <c r="G29" s="87">
        <f t="shared" si="3"/>
        <v>22919.999999999163</v>
      </c>
      <c r="H29" s="88">
        <f t="shared" si="0"/>
        <v>4723156.799999943</v>
      </c>
      <c r="I29" s="88">
        <f t="shared" si="1"/>
        <v>20591306.399999171</v>
      </c>
      <c r="J29" s="88">
        <f t="shared" si="2"/>
        <v>25314463.199999116</v>
      </c>
      <c r="K29" s="88">
        <f t="shared" si="4"/>
        <v>607547.11679997877</v>
      </c>
      <c r="L29" s="111">
        <f t="shared" si="5"/>
        <v>25922010.316799097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43215</v>
      </c>
      <c r="C30" s="63">
        <v>164</v>
      </c>
      <c r="D30" s="94">
        <v>1035.78</v>
      </c>
      <c r="E30" s="115">
        <v>6159.9999999998545</v>
      </c>
      <c r="F30" s="86">
        <v>19680.000000000291</v>
      </c>
      <c r="G30" s="87">
        <f t="shared" si="3"/>
        <v>25840.000000000146</v>
      </c>
      <c r="H30" s="88">
        <f t="shared" si="0"/>
        <v>9570607.1999997739</v>
      </c>
      <c r="I30" s="88">
        <f t="shared" si="1"/>
        <v>20384150.4000003</v>
      </c>
      <c r="J30" s="88">
        <f t="shared" si="2"/>
        <v>29954757.600000076</v>
      </c>
      <c r="K30" s="88">
        <f t="shared" si="4"/>
        <v>718914.1824000018</v>
      </c>
      <c r="L30" s="111">
        <f t="shared" si="5"/>
        <v>30673671.782400079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43216</v>
      </c>
      <c r="C31" s="63">
        <v>164</v>
      </c>
      <c r="D31" s="94">
        <v>1035.78</v>
      </c>
      <c r="E31" s="115">
        <v>4840.0000000001455</v>
      </c>
      <c r="F31" s="86">
        <v>19720.000000001164</v>
      </c>
      <c r="G31" s="87">
        <f t="shared" si="3"/>
        <v>24560.00000000131</v>
      </c>
      <c r="H31" s="88">
        <f t="shared" si="0"/>
        <v>7519762.8000002261</v>
      </c>
      <c r="I31" s="88">
        <f t="shared" si="1"/>
        <v>20425581.600001205</v>
      </c>
      <c r="J31" s="88">
        <f t="shared" ref="J31:J33" si="6">I31+H31</f>
        <v>27945344.400001429</v>
      </c>
      <c r="K31" s="88">
        <f t="shared" si="4"/>
        <v>670688.26560003427</v>
      </c>
      <c r="L31" s="111">
        <f t="shared" ref="L31:L33" si="7">J31+K31</f>
        <v>28616032.665601462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43217</v>
      </c>
      <c r="C32" s="63">
        <v>164</v>
      </c>
      <c r="D32" s="94">
        <v>1035.78</v>
      </c>
      <c r="E32" s="115">
        <v>4799.9999999997272</v>
      </c>
      <c r="F32" s="86">
        <v>20119.999999998981</v>
      </c>
      <c r="G32" s="87">
        <f t="shared" si="3"/>
        <v>24919.999999998709</v>
      </c>
      <c r="H32" s="88">
        <f t="shared" si="0"/>
        <v>7457615.9999995762</v>
      </c>
      <c r="I32" s="88">
        <f t="shared" si="1"/>
        <v>20839893.599998944</v>
      </c>
      <c r="J32" s="88">
        <f t="shared" si="6"/>
        <v>28297509.599998519</v>
      </c>
      <c r="K32" s="88">
        <f t="shared" si="4"/>
        <v>679140.23039996449</v>
      </c>
      <c r="L32" s="111">
        <f t="shared" si="7"/>
        <v>28976649.830398485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43218</v>
      </c>
      <c r="C33" s="63">
        <v>164</v>
      </c>
      <c r="D33" s="94">
        <v>1035.78</v>
      </c>
      <c r="E33" s="115">
        <v>4000</v>
      </c>
      <c r="F33" s="86">
        <v>20399.999999999636</v>
      </c>
      <c r="G33" s="87">
        <f t="shared" si="3"/>
        <v>24399.999999999636</v>
      </c>
      <c r="H33" s="88">
        <f t="shared" si="0"/>
        <v>6214680</v>
      </c>
      <c r="I33" s="88">
        <f t="shared" si="1"/>
        <v>21129911.999999624</v>
      </c>
      <c r="J33" s="88">
        <f t="shared" si="6"/>
        <v>27344591.999999624</v>
      </c>
      <c r="K33" s="88">
        <f t="shared" si="4"/>
        <v>656270.20799999102</v>
      </c>
      <c r="L33" s="111">
        <f t="shared" si="7"/>
        <v>28000862.207999613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43219</v>
      </c>
      <c r="C34" s="63">
        <v>164</v>
      </c>
      <c r="D34" s="94">
        <v>1035.78</v>
      </c>
      <c r="E34" s="115">
        <v>1400.0000000000909</v>
      </c>
      <c r="F34" s="86">
        <v>21480.000000001382</v>
      </c>
      <c r="G34" s="87">
        <f t="shared" ref="G34:G35" si="8">F34+E34</f>
        <v>22880.000000001473</v>
      </c>
      <c r="H34" s="88">
        <f t="shared" ref="H34:H35" si="9">E34*1.5*D34</f>
        <v>2175138.0000001411</v>
      </c>
      <c r="I34" s="88">
        <f t="shared" ref="I34:I35" si="10">F34*D34</f>
        <v>22248554.400001433</v>
      </c>
      <c r="J34" s="88">
        <f t="shared" ref="J34:J35" si="11">I34+H34</f>
        <v>24423692.400001574</v>
      </c>
      <c r="K34" s="88">
        <f t="shared" si="4"/>
        <v>586168.61760003783</v>
      </c>
      <c r="L34" s="111">
        <f t="shared" ref="L34:L35" si="12">J34+K34</f>
        <v>25009861.017601613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43220</v>
      </c>
      <c r="C35" s="63">
        <v>164</v>
      </c>
      <c r="D35" s="94">
        <v>1035.78</v>
      </c>
      <c r="E35" s="115">
        <v>8639.9999999998727</v>
      </c>
      <c r="F35" s="86">
        <v>21279.999999998836</v>
      </c>
      <c r="G35" s="87">
        <f t="shared" si="8"/>
        <v>29919.999999998709</v>
      </c>
      <c r="H35" s="88">
        <f t="shared" si="9"/>
        <v>13423708.799999801</v>
      </c>
      <c r="I35" s="88">
        <f t="shared" si="10"/>
        <v>22041398.399998795</v>
      </c>
      <c r="J35" s="88">
        <f t="shared" si="11"/>
        <v>35465107.199998595</v>
      </c>
      <c r="K35" s="88">
        <f t="shared" si="4"/>
        <v>851162.57279996632</v>
      </c>
      <c r="L35" s="111">
        <f t="shared" si="12"/>
        <v>36316269.772798561</v>
      </c>
      <c r="M35" s="1"/>
      <c r="N35" s="1"/>
      <c r="O35" s="1"/>
      <c r="P35" s="1"/>
      <c r="Q35" s="1"/>
    </row>
    <row r="36" spans="2:17" s="1" customFormat="1" x14ac:dyDescent="0.25">
      <c r="B36" s="7"/>
      <c r="C36" s="9">
        <f>SUM(C6:C33)</f>
        <v>4592</v>
      </c>
      <c r="D36" s="95"/>
      <c r="E36" s="89">
        <f t="shared" ref="E36:L36" si="13">SUM(E6:E35)</f>
        <v>149599.99999999991</v>
      </c>
      <c r="F36" s="89">
        <f t="shared" si="13"/>
        <v>641719.99999999907</v>
      </c>
      <c r="G36" s="89">
        <f t="shared" si="13"/>
        <v>791319.9999999993</v>
      </c>
      <c r="H36" s="89">
        <f t="shared" si="13"/>
        <v>232429031.99999988</v>
      </c>
      <c r="I36" s="89">
        <f t="shared" si="13"/>
        <v>664680741.59999943</v>
      </c>
      <c r="J36" s="89">
        <f t="shared" si="13"/>
        <v>897109773.59999895</v>
      </c>
      <c r="K36" s="89">
        <f t="shared" si="13"/>
        <v>21530634.56639998</v>
      </c>
      <c r="L36" s="89">
        <f t="shared" si="13"/>
        <v>918640408.16639924</v>
      </c>
    </row>
    <row r="37" spans="2:17" s="1" customFormat="1" x14ac:dyDescent="0.25">
      <c r="B37" s="7"/>
      <c r="C37" s="7"/>
      <c r="D37" s="95"/>
      <c r="E37" s="31"/>
      <c r="F37" s="31"/>
      <c r="G37" s="32"/>
      <c r="H37" s="9"/>
      <c r="J37" s="102"/>
      <c r="K37" s="15"/>
      <c r="L37" s="90"/>
    </row>
    <row r="38" spans="2:17" s="1" customFormat="1" x14ac:dyDescent="0.25">
      <c r="B38" s="7"/>
      <c r="C38" s="7"/>
      <c r="D38" s="96"/>
      <c r="E38" s="33"/>
      <c r="F38" s="33"/>
      <c r="G38" s="32"/>
      <c r="H38" s="8"/>
      <c r="I38" s="10"/>
      <c r="J38" s="102"/>
      <c r="K38" s="15"/>
      <c r="L38" s="79"/>
      <c r="N38" s="7"/>
    </row>
    <row r="39" spans="2:17" s="1" customFormat="1" x14ac:dyDescent="0.25">
      <c r="B39" s="7"/>
      <c r="C39" s="7"/>
      <c r="D39" s="97"/>
      <c r="E39" s="33"/>
      <c r="F39" s="33"/>
      <c r="G39" s="32"/>
      <c r="H39" s="9"/>
      <c r="J39" s="103"/>
      <c r="K39" s="90"/>
      <c r="L39" s="79"/>
      <c r="N39" s="7"/>
    </row>
    <row r="40" spans="2:17" s="1" customFormat="1" x14ac:dyDescent="0.25">
      <c r="B40" s="7"/>
      <c r="C40" s="7"/>
      <c r="D40" s="97"/>
      <c r="E40" s="33"/>
      <c r="F40" s="33"/>
      <c r="G40" s="32"/>
      <c r="H40" s="9"/>
      <c r="J40" s="104"/>
      <c r="K40" s="79"/>
      <c r="L40" s="90"/>
      <c r="N40" s="7"/>
    </row>
    <row r="41" spans="2:17" s="1" customFormat="1" x14ac:dyDescent="0.25">
      <c r="B41" s="7"/>
      <c r="C41" s="7"/>
      <c r="D41" s="97"/>
      <c r="E41" s="33"/>
      <c r="F41" s="33"/>
      <c r="G41" s="32"/>
      <c r="H41" s="9"/>
      <c r="J41" s="105"/>
      <c r="K41" s="79"/>
      <c r="L41" s="90"/>
      <c r="N41" s="7"/>
    </row>
    <row r="42" spans="2:17" s="1" customFormat="1" x14ac:dyDescent="0.25">
      <c r="B42" s="7"/>
      <c r="C42" s="7"/>
      <c r="D42" s="96"/>
      <c r="E42" s="33"/>
      <c r="F42" s="33"/>
      <c r="G42" s="32"/>
      <c r="H42" s="9"/>
      <c r="J42" s="103"/>
      <c r="K42" s="15"/>
      <c r="L42" s="90"/>
      <c r="N42" s="7"/>
    </row>
    <row r="43" spans="2:17" s="1" customFormat="1" x14ac:dyDescent="0.25">
      <c r="B43" s="7"/>
      <c r="C43" s="7"/>
      <c r="D43" s="97"/>
      <c r="E43" s="33"/>
      <c r="F43" s="33"/>
      <c r="G43" s="32"/>
      <c r="J43" s="106"/>
      <c r="K43" s="79"/>
      <c r="L43" s="79"/>
      <c r="N43" s="7"/>
    </row>
    <row r="44" spans="2:17" s="1" customFormat="1" x14ac:dyDescent="0.25">
      <c r="B44" s="7"/>
      <c r="C44" s="7"/>
      <c r="D44" s="96"/>
      <c r="E44" s="33"/>
      <c r="F44" s="33"/>
      <c r="G44" s="34" t="s">
        <v>6</v>
      </c>
      <c r="H44" s="9"/>
      <c r="J44" s="103"/>
      <c r="K44" s="90"/>
      <c r="L44" s="90"/>
      <c r="M44" s="11"/>
      <c r="N44" s="7"/>
    </row>
    <row r="45" spans="2:17" s="1" customFormat="1" ht="21" x14ac:dyDescent="0.25">
      <c r="B45" s="7"/>
      <c r="C45" s="7"/>
      <c r="D45" s="97"/>
      <c r="E45" s="33"/>
      <c r="F45" s="33"/>
      <c r="G45" s="35"/>
      <c r="H45" s="7"/>
      <c r="J45" s="107"/>
      <c r="K45" s="90"/>
      <c r="L45" s="112"/>
      <c r="N45" s="7"/>
    </row>
    <row r="46" spans="2:17" s="1" customFormat="1" x14ac:dyDescent="0.25">
      <c r="D46" s="96"/>
      <c r="E46" s="33"/>
      <c r="F46" s="33"/>
      <c r="G46" s="30"/>
      <c r="J46" s="90"/>
      <c r="K46" s="90"/>
      <c r="L46" s="90"/>
      <c r="M46" s="16"/>
      <c r="N46" s="7"/>
    </row>
    <row r="47" spans="2:17" s="1" customFormat="1" x14ac:dyDescent="0.25">
      <c r="D47" s="97"/>
      <c r="E47" s="33"/>
      <c r="F47" s="33"/>
      <c r="G47" s="30"/>
      <c r="J47" s="90"/>
      <c r="K47" s="90"/>
      <c r="L47" s="90"/>
    </row>
    <row r="48" spans="2:17" s="1" customFormat="1" x14ac:dyDescent="0.25">
      <c r="D48" s="97"/>
      <c r="E48" s="33"/>
      <c r="F48" s="33"/>
      <c r="G48" s="36"/>
      <c r="J48" s="90"/>
      <c r="K48" s="90"/>
      <c r="L48" s="90"/>
    </row>
    <row r="49" spans="2:12" s="1" customFormat="1" x14ac:dyDescent="0.25">
      <c r="B49" s="12"/>
      <c r="C49" s="12"/>
      <c r="D49" s="98"/>
      <c r="E49" s="33"/>
      <c r="F49" s="33"/>
      <c r="G49" s="38"/>
      <c r="H49" s="12"/>
      <c r="I49" s="12"/>
      <c r="J49" s="91"/>
      <c r="K49" s="91"/>
      <c r="L49" s="91"/>
    </row>
    <row r="50" spans="2:12" s="12" customFormat="1" x14ac:dyDescent="0.25">
      <c r="D50" s="98"/>
      <c r="E50" s="33"/>
      <c r="F50" s="33"/>
      <c r="G50" s="39"/>
      <c r="J50" s="91"/>
      <c r="K50" s="91"/>
      <c r="L50" s="91"/>
    </row>
    <row r="51" spans="2:12" s="12" customFormat="1" x14ac:dyDescent="0.25">
      <c r="D51" s="98"/>
      <c r="E51" s="33"/>
      <c r="F51" s="33"/>
      <c r="G51" s="37"/>
      <c r="J51" s="91"/>
      <c r="K51" s="91"/>
      <c r="L51" s="91"/>
    </row>
    <row r="52" spans="2:12" s="12" customFormat="1" x14ac:dyDescent="0.25">
      <c r="D52" s="98"/>
      <c r="E52" s="33"/>
      <c r="F52" s="33"/>
      <c r="G52" s="39"/>
      <c r="J52" s="91"/>
      <c r="K52" s="91"/>
      <c r="L52" s="91"/>
    </row>
    <row r="53" spans="2:12" s="12" customFormat="1" x14ac:dyDescent="0.25">
      <c r="D53" s="98"/>
      <c r="E53" s="33"/>
      <c r="F53" s="33"/>
      <c r="G53" s="37"/>
      <c r="J53" s="91"/>
      <c r="K53" s="91"/>
      <c r="L53" s="91"/>
    </row>
    <row r="54" spans="2:12" s="12" customFormat="1" x14ac:dyDescent="0.25">
      <c r="B54" s="13"/>
      <c r="C54" s="13"/>
      <c r="D54" s="99"/>
      <c r="E54" s="33"/>
      <c r="F54" s="33"/>
      <c r="G54" s="40"/>
      <c r="H54" s="13"/>
      <c r="I54" s="13"/>
      <c r="J54" s="92"/>
      <c r="K54" s="92"/>
      <c r="L54" s="92"/>
    </row>
    <row r="55" spans="2:12" x14ac:dyDescent="0.25">
      <c r="E55" s="33"/>
      <c r="F55" s="33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5">
    <cfRule type="cellIs" dxfId="5" priority="139" operator="greaterThan">
      <formula>$G$46</formula>
    </cfRule>
  </conditionalFormatting>
  <conditionalFormatting sqref="G6:G35">
    <cfRule type="cellIs" dxfId="4" priority="138" operator="greaterThan">
      <formula>$G$46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$D$46</formula>
    </cfRule>
  </conditionalFormatting>
  <conditionalFormatting sqref="E30:E35">
    <cfRule type="cellIs" dxfId="1" priority="7" operator="greaterThan">
      <formula>#REF!</formula>
    </cfRule>
  </conditionalFormatting>
  <conditionalFormatting sqref="F30:F35">
    <cfRule type="cellIs" dxfId="0" priority="6" operator="greaterThan">
      <formula>$D$46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Normal="100" workbookViewId="0">
      <selection activeCell="G39" sqref="G39"/>
    </sheetView>
  </sheetViews>
  <sheetFormatPr defaultRowHeight="15" x14ac:dyDescent="0.25"/>
  <cols>
    <col min="1" max="4" width="9.140625" style="59"/>
    <col min="5" max="5" width="19.28515625" style="59" customWidth="1"/>
    <col min="6" max="6" width="29" style="59" customWidth="1"/>
    <col min="7" max="7" width="33.140625" style="71" customWidth="1"/>
    <col min="8" max="8" width="13.42578125" style="59" bestFit="1" customWidth="1"/>
    <col min="9" max="9" width="11.5703125" style="59" bestFit="1" customWidth="1"/>
    <col min="10" max="43" width="9.140625" style="59"/>
    <col min="44" max="16384" width="9.140625" style="65"/>
  </cols>
  <sheetData>
    <row r="1" spans="1:43" ht="15" customHeight="1" x14ac:dyDescent="0.25">
      <c r="B1" s="137" t="s">
        <v>3</v>
      </c>
      <c r="C1" s="137"/>
      <c r="D1" s="137"/>
      <c r="E1" s="137"/>
      <c r="F1" s="137"/>
      <c r="G1" s="137"/>
    </row>
    <row r="2" spans="1:43" ht="15" customHeight="1" x14ac:dyDescent="0.25">
      <c r="B2" s="137"/>
      <c r="C2" s="137"/>
      <c r="D2" s="137"/>
      <c r="E2" s="137"/>
      <c r="F2" s="137"/>
      <c r="G2" s="137"/>
    </row>
    <row r="3" spans="1:43" s="68" customFormat="1" ht="27" customHeight="1" x14ac:dyDescent="0.3">
      <c r="A3" s="66"/>
      <c r="B3" s="138" t="s">
        <v>0</v>
      </c>
      <c r="C3" s="138" t="s">
        <v>22</v>
      </c>
      <c r="D3" s="139" t="s">
        <v>21</v>
      </c>
      <c r="E3" s="81" t="s">
        <v>30</v>
      </c>
      <c r="F3" s="67" t="s">
        <v>32</v>
      </c>
      <c r="G3" s="82" t="s">
        <v>18</v>
      </c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</row>
    <row r="4" spans="1:43" s="68" customFormat="1" ht="27" customHeight="1" x14ac:dyDescent="0.3">
      <c r="A4" s="66"/>
      <c r="B4" s="138"/>
      <c r="C4" s="138"/>
      <c r="D4" s="140"/>
      <c r="E4" s="83" t="s">
        <v>31</v>
      </c>
      <c r="F4" s="67" t="s">
        <v>31</v>
      </c>
      <c r="G4" s="67" t="s">
        <v>31</v>
      </c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</row>
    <row r="5" spans="1:43" ht="15.75" x14ac:dyDescent="0.25">
      <c r="B5" s="84">
        <v>1</v>
      </c>
      <c r="C5" s="84">
        <v>4</v>
      </c>
      <c r="D5" s="84">
        <v>2018</v>
      </c>
      <c r="E5" s="114">
        <v>56</v>
      </c>
      <c r="F5" s="58">
        <v>209</v>
      </c>
      <c r="G5" s="60">
        <f>E5+F5</f>
        <v>265</v>
      </c>
    </row>
    <row r="6" spans="1:43" ht="15.75" x14ac:dyDescent="0.25">
      <c r="B6" s="84">
        <v>2</v>
      </c>
      <c r="C6" s="84">
        <v>4</v>
      </c>
      <c r="D6" s="84">
        <f>D5</f>
        <v>2018</v>
      </c>
      <c r="E6" s="114">
        <v>55</v>
      </c>
      <c r="F6" s="58">
        <v>208</v>
      </c>
      <c r="G6" s="60">
        <f t="shared" ref="G6:G34" si="0">E6+F6</f>
        <v>263</v>
      </c>
    </row>
    <row r="7" spans="1:43" ht="15.75" x14ac:dyDescent="0.25">
      <c r="B7" s="84">
        <v>3</v>
      </c>
      <c r="C7" s="84">
        <v>4</v>
      </c>
      <c r="D7" s="84">
        <f t="shared" ref="D7:D34" si="1">D6</f>
        <v>2018</v>
      </c>
      <c r="E7" s="114">
        <v>53</v>
      </c>
      <c r="F7" s="58">
        <v>201</v>
      </c>
      <c r="G7" s="60">
        <f t="shared" si="0"/>
        <v>254</v>
      </c>
    </row>
    <row r="8" spans="1:43" ht="15.75" x14ac:dyDescent="0.25">
      <c r="B8" s="84">
        <v>4</v>
      </c>
      <c r="C8" s="84">
        <v>4</v>
      </c>
      <c r="D8" s="84">
        <f t="shared" si="1"/>
        <v>2018</v>
      </c>
      <c r="E8" s="114">
        <v>65</v>
      </c>
      <c r="F8" s="58">
        <v>255</v>
      </c>
      <c r="G8" s="60">
        <f t="shared" si="0"/>
        <v>320</v>
      </c>
    </row>
    <row r="9" spans="1:43" ht="15.75" x14ac:dyDescent="0.25">
      <c r="B9" s="84">
        <v>5</v>
      </c>
      <c r="C9" s="84">
        <v>4</v>
      </c>
      <c r="D9" s="84">
        <f t="shared" si="1"/>
        <v>2018</v>
      </c>
      <c r="E9" s="114">
        <v>66</v>
      </c>
      <c r="F9" s="58">
        <v>302</v>
      </c>
      <c r="G9" s="60">
        <f t="shared" si="0"/>
        <v>368</v>
      </c>
    </row>
    <row r="10" spans="1:43" ht="15.75" x14ac:dyDescent="0.25">
      <c r="B10" s="84">
        <v>6</v>
      </c>
      <c r="C10" s="84">
        <v>4</v>
      </c>
      <c r="D10" s="84">
        <f t="shared" si="1"/>
        <v>2018</v>
      </c>
      <c r="E10" s="114">
        <v>70</v>
      </c>
      <c r="F10" s="58">
        <v>220</v>
      </c>
      <c r="G10" s="60">
        <f t="shared" si="0"/>
        <v>290</v>
      </c>
    </row>
    <row r="11" spans="1:43" ht="15.75" x14ac:dyDescent="0.25">
      <c r="B11" s="84">
        <v>7</v>
      </c>
      <c r="C11" s="84">
        <v>4</v>
      </c>
      <c r="D11" s="84">
        <f t="shared" si="1"/>
        <v>2018</v>
      </c>
      <c r="E11" s="114">
        <v>72</v>
      </c>
      <c r="F11" s="58">
        <v>280</v>
      </c>
      <c r="G11" s="60">
        <f t="shared" si="0"/>
        <v>352</v>
      </c>
    </row>
    <row r="12" spans="1:43" ht="15.75" x14ac:dyDescent="0.25">
      <c r="B12" s="84">
        <v>8</v>
      </c>
      <c r="C12" s="84">
        <v>4</v>
      </c>
      <c r="D12" s="84">
        <f t="shared" si="1"/>
        <v>2018</v>
      </c>
      <c r="E12" s="114">
        <v>68</v>
      </c>
      <c r="F12" s="58">
        <v>263</v>
      </c>
      <c r="G12" s="60">
        <f t="shared" si="0"/>
        <v>331</v>
      </c>
    </row>
    <row r="13" spans="1:43" ht="15.75" x14ac:dyDescent="0.25">
      <c r="B13" s="84">
        <v>9</v>
      </c>
      <c r="C13" s="84">
        <v>4</v>
      </c>
      <c r="D13" s="84">
        <f t="shared" si="1"/>
        <v>2018</v>
      </c>
      <c r="E13" s="114">
        <v>67</v>
      </c>
      <c r="F13" s="58">
        <v>248</v>
      </c>
      <c r="G13" s="60">
        <f t="shared" si="0"/>
        <v>315</v>
      </c>
    </row>
    <row r="14" spans="1:43" ht="15.75" x14ac:dyDescent="0.25">
      <c r="B14" s="84">
        <v>10</v>
      </c>
      <c r="C14" s="84">
        <v>4</v>
      </c>
      <c r="D14" s="84">
        <f t="shared" si="1"/>
        <v>2018</v>
      </c>
      <c r="E14" s="114">
        <v>76</v>
      </c>
      <c r="F14" s="58">
        <v>294</v>
      </c>
      <c r="G14" s="60">
        <f t="shared" si="0"/>
        <v>370</v>
      </c>
    </row>
    <row r="15" spans="1:43" ht="15.75" x14ac:dyDescent="0.25">
      <c r="B15" s="84">
        <v>11</v>
      </c>
      <c r="C15" s="84">
        <v>4</v>
      </c>
      <c r="D15" s="84">
        <f t="shared" si="1"/>
        <v>2018</v>
      </c>
      <c r="E15" s="114">
        <v>78</v>
      </c>
      <c r="F15" s="58">
        <v>298</v>
      </c>
      <c r="G15" s="60">
        <f t="shared" si="0"/>
        <v>376</v>
      </c>
    </row>
    <row r="16" spans="1:43" ht="15.75" x14ac:dyDescent="0.25">
      <c r="B16" s="84">
        <v>12</v>
      </c>
      <c r="C16" s="84">
        <v>4</v>
      </c>
      <c r="D16" s="84">
        <f t="shared" si="1"/>
        <v>2018</v>
      </c>
      <c r="E16" s="114">
        <v>70</v>
      </c>
      <c r="F16" s="58">
        <v>272</v>
      </c>
      <c r="G16" s="60">
        <f t="shared" si="0"/>
        <v>342</v>
      </c>
    </row>
    <row r="17" spans="2:7" ht="15.75" x14ac:dyDescent="0.25">
      <c r="B17" s="84">
        <v>13</v>
      </c>
      <c r="C17" s="84">
        <v>4</v>
      </c>
      <c r="D17" s="84">
        <f t="shared" si="1"/>
        <v>2018</v>
      </c>
      <c r="E17" s="114">
        <v>110</v>
      </c>
      <c r="F17" s="58">
        <v>426</v>
      </c>
      <c r="G17" s="60">
        <f t="shared" si="0"/>
        <v>536</v>
      </c>
    </row>
    <row r="18" spans="2:7" ht="15.75" x14ac:dyDescent="0.25">
      <c r="B18" s="84">
        <v>14</v>
      </c>
      <c r="C18" s="84">
        <v>4</v>
      </c>
      <c r="D18" s="84">
        <f t="shared" si="1"/>
        <v>2018</v>
      </c>
      <c r="E18" s="114">
        <v>50</v>
      </c>
      <c r="F18" s="58">
        <v>190</v>
      </c>
      <c r="G18" s="60">
        <f t="shared" si="0"/>
        <v>240</v>
      </c>
    </row>
    <row r="19" spans="2:7" ht="15.75" x14ac:dyDescent="0.25">
      <c r="B19" s="84">
        <v>15</v>
      </c>
      <c r="C19" s="84">
        <v>4</v>
      </c>
      <c r="D19" s="84">
        <f t="shared" si="1"/>
        <v>2018</v>
      </c>
      <c r="E19" s="114">
        <v>49</v>
      </c>
      <c r="F19" s="58">
        <v>199</v>
      </c>
      <c r="G19" s="60">
        <f t="shared" si="0"/>
        <v>248</v>
      </c>
    </row>
    <row r="20" spans="2:7" ht="15.75" x14ac:dyDescent="0.25">
      <c r="B20" s="84">
        <v>16</v>
      </c>
      <c r="C20" s="84">
        <v>4</v>
      </c>
      <c r="D20" s="84">
        <f t="shared" si="1"/>
        <v>2018</v>
      </c>
      <c r="E20" s="114">
        <v>98</v>
      </c>
      <c r="F20" s="58">
        <v>251</v>
      </c>
      <c r="G20" s="60">
        <f t="shared" si="0"/>
        <v>349</v>
      </c>
    </row>
    <row r="21" spans="2:7" ht="15.75" x14ac:dyDescent="0.25">
      <c r="B21" s="84">
        <v>17</v>
      </c>
      <c r="C21" s="84">
        <v>4</v>
      </c>
      <c r="D21" s="84">
        <f t="shared" si="1"/>
        <v>2018</v>
      </c>
      <c r="E21" s="114">
        <v>55</v>
      </c>
      <c r="F21" s="58">
        <v>331</v>
      </c>
      <c r="G21" s="60">
        <f t="shared" si="0"/>
        <v>386</v>
      </c>
    </row>
    <row r="22" spans="2:7" ht="15.75" x14ac:dyDescent="0.25">
      <c r="B22" s="84">
        <v>18</v>
      </c>
      <c r="C22" s="84">
        <v>4</v>
      </c>
      <c r="D22" s="84">
        <f t="shared" si="1"/>
        <v>2018</v>
      </c>
      <c r="E22" s="114">
        <v>93</v>
      </c>
      <c r="F22" s="58">
        <v>357</v>
      </c>
      <c r="G22" s="60">
        <f t="shared" si="0"/>
        <v>450</v>
      </c>
    </row>
    <row r="23" spans="2:7" ht="15.75" x14ac:dyDescent="0.25">
      <c r="B23" s="84">
        <v>19</v>
      </c>
      <c r="C23" s="84">
        <v>4</v>
      </c>
      <c r="D23" s="84">
        <f t="shared" si="1"/>
        <v>2018</v>
      </c>
      <c r="E23" s="114">
        <v>73</v>
      </c>
      <c r="F23" s="58">
        <v>278</v>
      </c>
      <c r="G23" s="60">
        <f t="shared" si="0"/>
        <v>351</v>
      </c>
    </row>
    <row r="24" spans="2:7" ht="15.75" x14ac:dyDescent="0.25">
      <c r="B24" s="84">
        <v>20</v>
      </c>
      <c r="C24" s="84">
        <v>4</v>
      </c>
      <c r="D24" s="84">
        <f t="shared" si="1"/>
        <v>2018</v>
      </c>
      <c r="E24" s="114">
        <v>34</v>
      </c>
      <c r="F24" s="58">
        <v>253</v>
      </c>
      <c r="G24" s="60">
        <f t="shared" si="0"/>
        <v>287</v>
      </c>
    </row>
    <row r="25" spans="2:7" ht="15.75" x14ac:dyDescent="0.25">
      <c r="B25" s="84">
        <v>21</v>
      </c>
      <c r="C25" s="84">
        <v>4</v>
      </c>
      <c r="D25" s="84">
        <f t="shared" si="1"/>
        <v>2018</v>
      </c>
      <c r="E25" s="114">
        <v>99</v>
      </c>
      <c r="F25" s="58">
        <v>280</v>
      </c>
      <c r="G25" s="60">
        <f t="shared" si="0"/>
        <v>379</v>
      </c>
    </row>
    <row r="26" spans="2:7" ht="15.75" x14ac:dyDescent="0.25">
      <c r="B26" s="84">
        <v>22</v>
      </c>
      <c r="C26" s="84">
        <v>4</v>
      </c>
      <c r="D26" s="84">
        <f t="shared" si="1"/>
        <v>2018</v>
      </c>
      <c r="E26" s="114">
        <v>89</v>
      </c>
      <c r="F26" s="58">
        <v>317</v>
      </c>
      <c r="G26" s="60">
        <f t="shared" si="0"/>
        <v>406</v>
      </c>
    </row>
    <row r="27" spans="2:7" ht="15.75" x14ac:dyDescent="0.25">
      <c r="B27" s="84">
        <v>23</v>
      </c>
      <c r="C27" s="84">
        <v>4</v>
      </c>
      <c r="D27" s="84">
        <f t="shared" si="1"/>
        <v>2018</v>
      </c>
      <c r="E27" s="114">
        <v>109</v>
      </c>
      <c r="F27" s="58">
        <v>413</v>
      </c>
      <c r="G27" s="60">
        <f t="shared" si="0"/>
        <v>522</v>
      </c>
    </row>
    <row r="28" spans="2:7" ht="15.75" x14ac:dyDescent="0.25">
      <c r="B28" s="84">
        <v>24</v>
      </c>
      <c r="C28" s="84">
        <v>4</v>
      </c>
      <c r="D28" s="84">
        <f t="shared" si="1"/>
        <v>2018</v>
      </c>
      <c r="E28" s="114">
        <v>58</v>
      </c>
      <c r="F28" s="58">
        <v>222</v>
      </c>
      <c r="G28" s="60">
        <f t="shared" si="0"/>
        <v>280</v>
      </c>
    </row>
    <row r="29" spans="2:7" ht="15.75" x14ac:dyDescent="0.25">
      <c r="B29" s="84">
        <v>25</v>
      </c>
      <c r="C29" s="84">
        <v>4</v>
      </c>
      <c r="D29" s="84">
        <f t="shared" si="1"/>
        <v>2018</v>
      </c>
      <c r="E29" s="114">
        <v>51</v>
      </c>
      <c r="F29" s="58">
        <v>192</v>
      </c>
      <c r="G29" s="60">
        <f t="shared" si="0"/>
        <v>243</v>
      </c>
    </row>
    <row r="30" spans="2:7" ht="15.75" x14ac:dyDescent="0.25">
      <c r="B30" s="84">
        <v>26</v>
      </c>
      <c r="C30" s="84">
        <v>4</v>
      </c>
      <c r="D30" s="84">
        <f t="shared" si="1"/>
        <v>2018</v>
      </c>
      <c r="E30" s="114">
        <v>70</v>
      </c>
      <c r="F30" s="58">
        <v>267</v>
      </c>
      <c r="G30" s="60">
        <f t="shared" si="0"/>
        <v>337</v>
      </c>
    </row>
    <row r="31" spans="2:7" ht="15.75" x14ac:dyDescent="0.25">
      <c r="B31" s="84">
        <v>27</v>
      </c>
      <c r="C31" s="84">
        <v>4</v>
      </c>
      <c r="D31" s="84">
        <f t="shared" si="1"/>
        <v>2018</v>
      </c>
      <c r="E31" s="114">
        <v>49</v>
      </c>
      <c r="F31" s="58">
        <v>94</v>
      </c>
      <c r="G31" s="60">
        <f t="shared" si="0"/>
        <v>143</v>
      </c>
    </row>
    <row r="32" spans="2:7" ht="15.75" x14ac:dyDescent="0.25">
      <c r="B32" s="84">
        <v>28</v>
      </c>
      <c r="C32" s="84">
        <v>4</v>
      </c>
      <c r="D32" s="84">
        <f t="shared" si="1"/>
        <v>2018</v>
      </c>
      <c r="E32" s="114">
        <v>32</v>
      </c>
      <c r="F32" s="58">
        <v>223</v>
      </c>
      <c r="G32" s="60">
        <f t="shared" si="0"/>
        <v>255</v>
      </c>
    </row>
    <row r="33" spans="2:9" ht="15.75" x14ac:dyDescent="0.25">
      <c r="B33" s="84">
        <v>29</v>
      </c>
      <c r="C33" s="84">
        <v>4</v>
      </c>
      <c r="D33" s="84">
        <f t="shared" si="1"/>
        <v>2018</v>
      </c>
      <c r="E33" s="114">
        <v>128</v>
      </c>
      <c r="F33" s="58">
        <v>482</v>
      </c>
      <c r="G33" s="60">
        <f t="shared" si="0"/>
        <v>610</v>
      </c>
    </row>
    <row r="34" spans="2:9" ht="15.75" x14ac:dyDescent="0.25">
      <c r="B34" s="84">
        <v>30</v>
      </c>
      <c r="C34" s="84">
        <v>4</v>
      </c>
      <c r="D34" s="84">
        <f t="shared" si="1"/>
        <v>2018</v>
      </c>
      <c r="E34" s="114">
        <v>128</v>
      </c>
      <c r="F34" s="58">
        <v>481</v>
      </c>
      <c r="G34" s="60">
        <f t="shared" si="0"/>
        <v>609</v>
      </c>
    </row>
    <row r="35" spans="2:9" x14ac:dyDescent="0.25">
      <c r="B35" s="69"/>
      <c r="C35" s="69"/>
      <c r="D35" s="69"/>
      <c r="E35" s="69"/>
      <c r="F35" s="69"/>
      <c r="G35" s="64"/>
    </row>
    <row r="36" spans="2:9" ht="21" x14ac:dyDescent="0.35">
      <c r="B36" s="70"/>
      <c r="C36" s="70"/>
      <c r="D36" s="70"/>
      <c r="E36" s="14">
        <f>SUM(E5:E35)</f>
        <v>2171</v>
      </c>
      <c r="F36" s="14">
        <f>SUM(F5:F35)</f>
        <v>8306</v>
      </c>
      <c r="G36" s="14">
        <f>SUM(E36:F36)</f>
        <v>10477</v>
      </c>
    </row>
    <row r="37" spans="2:9" x14ac:dyDescent="0.25">
      <c r="I37" s="72"/>
    </row>
    <row r="38" spans="2:9" x14ac:dyDescent="0.25">
      <c r="I38" s="72"/>
    </row>
    <row r="39" spans="2:9" ht="15.75" thickBot="1" x14ac:dyDescent="0.3"/>
    <row r="40" spans="2:9" ht="21.75" thickBot="1" x14ac:dyDescent="0.4">
      <c r="C40" s="76"/>
      <c r="D40" s="76"/>
      <c r="F40" s="76"/>
      <c r="G40" s="73">
        <f>E36+F36</f>
        <v>10477</v>
      </c>
      <c r="H40" s="74"/>
    </row>
    <row r="41" spans="2:9" ht="15.75" x14ac:dyDescent="0.25">
      <c r="B41" s="76"/>
      <c r="C41" s="76"/>
      <c r="D41" s="76"/>
      <c r="E41" s="76"/>
      <c r="F41" s="76"/>
      <c r="G41" s="75"/>
      <c r="H41" s="74"/>
    </row>
    <row r="42" spans="2:9" ht="15.75" x14ac:dyDescent="0.25">
      <c r="B42" s="76"/>
      <c r="C42" s="76"/>
      <c r="D42" s="76"/>
      <c r="E42" s="76"/>
      <c r="F42" s="76"/>
      <c r="G42" s="75"/>
      <c r="H42" s="74"/>
    </row>
    <row r="43" spans="2:9" ht="15.75" x14ac:dyDescent="0.25">
      <c r="B43" s="76" t="s">
        <v>4</v>
      </c>
      <c r="C43" s="76"/>
      <c r="D43" s="76"/>
      <c r="F43" s="85" t="s">
        <v>19</v>
      </c>
      <c r="G43" s="77">
        <v>12550</v>
      </c>
      <c r="H43" s="78"/>
    </row>
    <row r="44" spans="2:9" x14ac:dyDescent="0.25">
      <c r="G44" s="75"/>
    </row>
    <row r="45" spans="2:9" ht="15.75" thickBot="1" x14ac:dyDescent="0.3">
      <c r="G45" s="75"/>
    </row>
    <row r="46" spans="2:9" ht="27" thickBot="1" x14ac:dyDescent="0.3">
      <c r="F46" s="76" t="s">
        <v>5</v>
      </c>
      <c r="G46" s="80">
        <f>G40*G43</f>
        <v>131486350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2023-02-28T08:28:52Z</dcterms:modified>
</cp:coreProperties>
</file>