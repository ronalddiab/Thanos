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AF20" i="7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<sst xmlns="http://schemas.openxmlformats.org/spreadsheetml/2006/main" count="296" uniqueCount="138">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</sst>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 t="e">
        <f>Submetering!E16+Submetering!F16+Submetering!G16+Submetering!H16-Submetering!AV16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 t="str">
        <f>'FS Desroches Daily'!D18</f>
        <v>0</v>
      </c>
      <c r="F16" s="36" t="str">
        <f>'FS Desroches Daily'!F18</f>
        <v>0</v>
      </c>
      <c r="G16" s="35" t="str">
        <f>'FS Desroches Daily'!H18</f>
        <v>0</v>
      </c>
      <c r="H16" s="36" t="str">
        <f>'FS Desroches Daily'!J18</f>
        <v>0</v>
      </c>
      <c r="I16" s="35" t="str">
        <f>'FS Desroches Daily'!L18</f>
        <v>0</v>
      </c>
      <c r="J16" s="36" t="str">
        <f>'FS Desroches Daily'!N18</f>
        <v/>
      </c>
      <c r="K16" s="13" t="str">
        <f>'FS Desroches Daily'!P18</f>
        <v/>
      </c>
      <c r="L16" s="35" t="str">
        <f>'FS Desroches Daily'!R18</f>
        <v/>
      </c>
      <c r="M16" s="35" t="str">
        <f>'FS Desroches Daily'!T18</f>
        <v/>
      </c>
      <c r="N16" s="35" t="str">
        <f>'FS Desroches Daily'!V18</f>
        <v/>
      </c>
      <c r="O16" s="35" t="str">
        <f>'FS Desroches Daily'!X18</f>
        <v/>
      </c>
      <c r="P16" s="35" t="str">
        <f>'FS Desroches Daily'!Z18</f>
        <v/>
      </c>
      <c r="Q16" s="35" t="str">
        <f>'FS Desroches Daily'!AB18</f>
        <v/>
      </c>
      <c r="R16" s="35" t="str">
        <f>'FS Desroches Daily'!AD18</f>
        <v/>
      </c>
      <c r="S16" s="35" t="str">
        <f>'FS Desroches Daily'!AF18</f>
        <v/>
      </c>
      <c r="T16" s="35" t="str">
        <f>'FS Desroches Daily'!AH18</f>
        <v/>
      </c>
      <c r="U16" s="39" t="str">
        <f>'FS Desroches Daily'!AJ18</f>
        <v/>
      </c>
      <c r="V16" s="39" t="str">
        <f>'FS Desroches Daily'!AL18</f>
        <v/>
      </c>
      <c r="W16" s="39" t="str">
        <f>'FS Desroches Daily'!AN18</f>
        <v/>
      </c>
      <c r="X16" s="39" t="str">
        <f>'FS Desroches Daily'!AP18</f>
        <v/>
      </c>
      <c r="Y16" s="39" t="str">
        <f>'FS Desroches Daily'!AR18</f>
        <v/>
      </c>
      <c r="Z16" s="39" t="str">
        <f>'FS Desroches Daily'!AT18</f>
        <v/>
      </c>
      <c r="AA16" s="39" t="str">
        <f>'FS Desroches Daily'!AT18</f>
        <v/>
      </c>
      <c r="AB16" s="39" t="str">
        <f>'FS Desroches Daily'!AV18</f>
        <v/>
      </c>
      <c r="AC16" s="39" t="str">
        <f>'FS Desroches Daily'!AZ18</f>
        <v/>
      </c>
      <c r="AD16" s="39" t="str">
        <f>'FS Desroches Daily'!BB18</f>
        <v/>
      </c>
      <c r="AE16" s="39" t="str">
        <f>'FS Desroches Daily'!BD18</f>
        <v/>
      </c>
      <c r="AF16" s="35" t="str">
        <f>'FS Desroches Daily'!BF18</f>
        <v/>
      </c>
      <c r="AG16" s="36" t="str">
        <f>'FS Desroches Daily'!BH18</f>
        <v/>
      </c>
      <c r="AH16" s="36" t="str">
        <f>'FS Desroches Daily'!BJ18</f>
        <v/>
      </c>
      <c r="AI16" s="36" t="str">
        <f>'FS Desroches Daily'!BL18</f>
        <v/>
      </c>
      <c r="AJ16" s="36" t="str">
        <f>'FS Desroches Daily'!BN18</f>
        <v/>
      </c>
      <c r="AK16" s="36" t="str">
        <f>'FS Desroches Daily'!BP18</f>
        <v/>
      </c>
      <c r="AL16" s="36" t="str">
        <f>'FS Desroches Daily'!BR18</f>
        <v/>
      </c>
      <c r="AM16" s="36" t="str">
        <f>'FS Desroches Daily'!BT18</f>
        <v/>
      </c>
      <c r="AN16" s="36" t="str">
        <f>'FS Desroches Daily'!BV18</f>
        <v/>
      </c>
      <c r="AO16" s="36" t="str">
        <f>'FS Desroches Daily'!BX18</f>
        <v/>
      </c>
      <c r="AP16" s="36" t="str">
        <f>'FS Desroches Daily'!BZ18</f>
        <v/>
      </c>
      <c r="AQ16" s="35" t="str">
        <f>'FS Desroches Daily'!CB18</f>
        <v/>
      </c>
      <c r="AR16" s="35" t="str">
        <f>'FS Desroches Daily'!CD18</f>
        <v/>
      </c>
      <c r="AS16" s="35" t="str">
        <f>'FS Desroches Daily'!CF18</f>
        <v/>
      </c>
      <c r="AT16" s="35" t="str">
        <f>'FS Desroches Daily'!CH18</f>
        <v/>
      </c>
      <c r="AU16" s="35" t="str">
        <f>'FS Desroches Daily'!CJ18</f>
        <v/>
      </c>
      <c r="AV16" s="35" t="str">
        <f>'FS Desroches Daily'!CL18</f>
        <v/>
      </c>
      <c r="AW16" s="35">
        <f>'FS Desroches Daily'!CM18</f>
        <v>0</v>
      </c>
      <c r="AX16" s="35" t="str">
        <f>IF(LPG!F23-LPG!F22&lt;0,"0",(LPG!F23-LPG!F22)*1.8315)</f>
        <v>0</v>
      </c>
      <c r="AY16" s="35" t="str">
        <f>IF(LPG!H23-LPG!H22&lt;0,"0",(LPG!H23-LPG!H22)*1.8315)</f>
        <v>0</v>
      </c>
      <c r="AZ16" s="35" t="str">
        <f>IF(LPG!J23-LPG!J22&lt;0,"0",(LPG!J23-LPG!J22)*1.8315)</f>
        <v>0</v>
      </c>
      <c r="BA16" s="35" t="str">
        <f>IF(LPG!M23-LPG!M22&lt;0,"0",(LPG!M23-LPG!M22)*1.8315)</f>
        <v>0</v>
      </c>
      <c r="BB16" s="35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Daily'!AT19</f>
        <v>0</v>
      </c>
      <c r="AA17" s="39">
        <f>'FS Desroches Daily'!AT19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33000.000000000138</v>
      </c>
      <c r="F33" s="17">
        <f t="shared" ref="F33:BC33" si="1">SUM(F2:F32)</f>
        <v>51099.99999999992</v>
      </c>
      <c r="G33" s="17">
        <f t="shared" si="1"/>
        <v>43099.99999999992</v>
      </c>
      <c r="H33" s="17">
        <f t="shared" si="1"/>
        <v>21400.000000000087</v>
      </c>
      <c r="I33" s="17">
        <f t="shared" si="1"/>
        <v>29500.000000000084</v>
      </c>
      <c r="J33" s="17">
        <f t="shared" si="1"/>
        <v>26800.00000000016</v>
      </c>
      <c r="K33" s="17">
        <f t="shared" si="1"/>
        <v>259</v>
      </c>
      <c r="L33" s="17">
        <f t="shared" si="1"/>
        <v>111</v>
      </c>
      <c r="M33" s="17">
        <f t="shared" si="1"/>
        <v>15961</v>
      </c>
      <c r="N33" s="17">
        <f t="shared" si="1"/>
        <v>6205</v>
      </c>
      <c r="O33" s="17">
        <f t="shared" si="1"/>
        <v>6040.0000000000218</v>
      </c>
      <c r="P33" s="17">
        <f t="shared" si="1"/>
        <v>45399.999999999891</v>
      </c>
      <c r="Q33" s="17">
        <f t="shared" si="1"/>
        <v>7040.00000000002</v>
      </c>
      <c r="R33" s="17">
        <f t="shared" si="1"/>
        <v>5879.9999999999964</v>
      </c>
      <c r="S33" s="17">
        <f t="shared" si="1"/>
        <v>12199.999999999989</v>
      </c>
      <c r="T33" s="17">
        <f t="shared" si="1"/>
        <v>25.200000000000045</v>
      </c>
      <c r="U33" s="39">
        <f t="shared" si="1"/>
        <v>5899.9999999999773</v>
      </c>
      <c r="V33" s="39">
        <f t="shared" si="1"/>
        <v>3.5300000000000153</v>
      </c>
      <c r="W33" s="39">
        <f t="shared" si="1"/>
        <v>2.9199999999999875</v>
      </c>
      <c r="X33" s="39">
        <f t="shared" si="1"/>
        <v>2.4399999999999835</v>
      </c>
      <c r="Y33" s="39">
        <f t="shared" si="1"/>
        <v>2229.9999999999895</v>
      </c>
      <c r="Z33" s="39">
        <f t="shared" si="1"/>
        <v>3300.0000000000114</v>
      </c>
      <c r="AA33" s="39">
        <f t="shared" si="1"/>
        <v>3300.0000000000114</v>
      </c>
      <c r="AB33" s="39">
        <f t="shared" si="1"/>
        <v>2680.0000000000064</v>
      </c>
      <c r="AC33" s="39">
        <f t="shared" si="1"/>
        <v>2050.0000000000114</v>
      </c>
      <c r="AD33" s="39">
        <f t="shared" si="1"/>
        <v>1600.0000000000227</v>
      </c>
      <c r="AE33" s="39">
        <f t="shared" si="1"/>
        <v>159.99999999999659</v>
      </c>
      <c r="AF33" s="17">
        <f t="shared" si="1"/>
        <v>840</v>
      </c>
      <c r="AG33" s="36">
        <f t="shared" si="1"/>
        <v>430.00000000000682</v>
      </c>
      <c r="AH33" s="36">
        <f t="shared" si="1"/>
        <v>519.99999999998181</v>
      </c>
      <c r="AI33" s="36">
        <f t="shared" si="1"/>
        <v>579.99999999998408</v>
      </c>
      <c r="AJ33" s="36">
        <f t="shared" si="1"/>
        <v>550.00000000001137</v>
      </c>
      <c r="AK33" s="36">
        <f t="shared" si="1"/>
        <v>560.00000000000227</v>
      </c>
      <c r="AL33" s="36">
        <f t="shared" si="1"/>
        <v>531</v>
      </c>
      <c r="AM33" s="36">
        <f t="shared" si="1"/>
        <v>590.00000000000341</v>
      </c>
      <c r="AN33" s="36">
        <f t="shared" si="1"/>
        <v>530</v>
      </c>
      <c r="AO33" s="36">
        <f t="shared" si="1"/>
        <v>539.99999999999204</v>
      </c>
      <c r="AP33" s="36">
        <f t="shared" si="1"/>
        <v>790</v>
      </c>
      <c r="AQ33" s="17">
        <f t="shared" si="1"/>
        <v>511.40000000000146</v>
      </c>
      <c r="AR33" s="17">
        <f t="shared" si="1"/>
        <v>146.5</v>
      </c>
      <c r="AS33" s="17">
        <f t="shared" si="1"/>
        <v>139.20000000000073</v>
      </c>
      <c r="AT33" s="17">
        <f t="shared" si="1"/>
        <v>1044.7000000000044</v>
      </c>
      <c r="AU33" s="17">
        <f t="shared" si="1"/>
        <v>4087</v>
      </c>
      <c r="AV33" s="17">
        <f t="shared" si="1"/>
        <v>7459.9999999999227</v>
      </c>
      <c r="AW33" s="17">
        <f t="shared" si="1"/>
        <v>1160.0999999999999</v>
      </c>
      <c r="AX33" s="17">
        <f t="shared" si="1"/>
        <v>199.6335</v>
      </c>
      <c r="AY33" s="17">
        <f t="shared" si="1"/>
        <v>47.618999999999986</v>
      </c>
      <c r="AZ33" s="17">
        <f t="shared" si="1"/>
        <v>3.6629999999999998</v>
      </c>
      <c r="BA33" s="17">
        <f t="shared" si="1"/>
        <v>58.60799999999999</v>
      </c>
      <c r="BB33" s="17">
        <f t="shared" si="1"/>
        <v>64.102499999999992</v>
      </c>
      <c r="BC33" s="17">
        <f t="shared" si="1"/>
        <v>632</v>
      </c>
    </row>
    <row r="35" spans="5:55" x14ac:dyDescent="0.25">
      <c r="E35" s="42">
        <f>E33/E37</f>
        <v>0.19815297409600266</v>
      </c>
      <c r="G35" s="33">
        <f>G33-M36</f>
        <v>20933.99999999992</v>
      </c>
      <c r="AE35" s="39">
        <f>SUM(U33:AE33)</f>
        <v>21228.890000000025</v>
      </c>
      <c r="AG35" s="36">
        <f>SUM(AG33:AP33)</f>
        <v>5620.9999999999818</v>
      </c>
    </row>
    <row r="36" spans="5:55" x14ac:dyDescent="0.25">
      <c r="G36" s="33">
        <f>G35-633*14</f>
        <v>12071.99999999992</v>
      </c>
      <c r="M36" s="33">
        <f>M33+N33</f>
        <v>22166</v>
      </c>
    </row>
    <row r="37" spans="5:55" x14ac:dyDescent="0.25">
      <c r="E37" s="17">
        <f>E33+F33+G33+H33+J33-633*14</f>
        <v>166538.00000000023</v>
      </c>
      <c r="G37" s="41">
        <f>M36/E37</f>
        <v>0.13309875223672657</v>
      </c>
      <c r="M37" s="39">
        <f>AE35</f>
        <v>21228.890000000025</v>
      </c>
    </row>
    <row r="38" spans="5:55" x14ac:dyDescent="0.25">
      <c r="L38" s="31">
        <f>M38/E37</f>
        <v>3.3752056587685535E-2</v>
      </c>
      <c r="M38" s="33">
        <f>AG35</f>
        <v>5620.9999999999818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O18" sqref="CO1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/>
      <c r="D18" s="71" t="str">
        <f t="shared" si="3"/>
        <v>0</v>
      </c>
      <c r="E18" s="64"/>
      <c r="F18" s="71" t="str">
        <f t="shared" si="4"/>
        <v>0</v>
      </c>
      <c r="G18" s="64"/>
      <c r="H18" s="71" t="str">
        <f t="shared" si="5"/>
        <v>0</v>
      </c>
      <c r="I18" s="64"/>
      <c r="J18" s="71" t="str">
        <f t="shared" si="43"/>
        <v>0</v>
      </c>
      <c r="K18" s="64"/>
      <c r="L18" s="71" t="str">
        <f t="shared" si="0"/>
        <v>0</v>
      </c>
      <c r="M18" s="64"/>
      <c r="N18" s="71" t="str">
        <f t="shared" si="6"/>
        <v/>
      </c>
      <c r="O18" s="64"/>
      <c r="P18" s="72" t="str">
        <f t="shared" si="7"/>
        <v/>
      </c>
      <c r="Q18" s="64"/>
      <c r="R18" s="72" t="str">
        <f t="shared" si="8"/>
        <v/>
      </c>
      <c r="S18" s="64"/>
      <c r="T18" s="72" t="str">
        <f t="shared" si="44"/>
        <v/>
      </c>
      <c r="U18" s="64"/>
      <c r="V18" s="72" t="str">
        <f t="shared" si="10"/>
        <v/>
      </c>
      <c r="W18" s="64"/>
      <c r="X18" s="72" t="str">
        <f t="shared" si="23"/>
        <v/>
      </c>
      <c r="Y18" s="64"/>
      <c r="Z18" s="72" t="str">
        <f t="shared" si="24"/>
        <v/>
      </c>
      <c r="AA18" s="64"/>
      <c r="AB18" s="72" t="str">
        <f t="shared" si="25"/>
        <v/>
      </c>
      <c r="AC18" s="64"/>
      <c r="AD18" s="72" t="str">
        <f t="shared" si="26"/>
        <v/>
      </c>
      <c r="AE18" s="64"/>
      <c r="AF18" s="72" t="str">
        <f t="shared" si="27"/>
        <v/>
      </c>
      <c r="AG18" s="64"/>
      <c r="AH18" s="72" t="str">
        <f t="shared" si="11"/>
        <v/>
      </c>
      <c r="AI18" s="64"/>
      <c r="AJ18" s="72" t="str">
        <f t="shared" si="28"/>
        <v/>
      </c>
      <c r="AK18" s="64"/>
      <c r="AL18" s="72" t="str">
        <f t="shared" si="12"/>
        <v/>
      </c>
      <c r="AM18" s="64"/>
      <c r="AN18" s="72" t="str">
        <f t="shared" si="13"/>
        <v/>
      </c>
      <c r="AO18" s="64"/>
      <c r="AP18" s="72" t="str">
        <f t="shared" si="14"/>
        <v/>
      </c>
      <c r="AQ18" s="64"/>
      <c r="AR18" s="72" t="str">
        <f t="shared" si="29"/>
        <v/>
      </c>
      <c r="AS18" s="64"/>
      <c r="AT18" s="72" t="str">
        <f t="shared" si="30"/>
        <v/>
      </c>
      <c r="AU18" s="64"/>
      <c r="AV18" s="72" t="str">
        <f t="shared" si="31"/>
        <v/>
      </c>
      <c r="AW18" s="64"/>
      <c r="AX18" s="72" t="str">
        <f t="shared" si="32"/>
        <v/>
      </c>
      <c r="AY18" s="64"/>
      <c r="AZ18" s="72" t="str">
        <f t="shared" si="33"/>
        <v/>
      </c>
      <c r="BA18" s="64"/>
      <c r="BB18" s="72" t="str">
        <f t="shared" si="34"/>
        <v/>
      </c>
      <c r="BC18" s="64"/>
      <c r="BD18" s="72" t="str">
        <f t="shared" si="35"/>
        <v/>
      </c>
      <c r="BE18" s="66"/>
      <c r="BF18" s="72" t="str">
        <f t="shared" si="15"/>
        <v/>
      </c>
      <c r="BG18" s="67"/>
      <c r="BH18" s="72" t="str">
        <f t="shared" si="36"/>
        <v/>
      </c>
      <c r="BI18" s="67"/>
      <c r="BJ18" s="72" t="str">
        <f t="shared" si="37"/>
        <v/>
      </c>
      <c r="BK18" s="67"/>
      <c r="BL18" s="72" t="str">
        <f t="shared" si="38"/>
        <v/>
      </c>
      <c r="BM18" s="67"/>
      <c r="BN18" s="72" t="str">
        <f t="shared" si="39"/>
        <v/>
      </c>
      <c r="BO18" s="67"/>
      <c r="BP18" s="72" t="str">
        <f t="shared" si="40"/>
        <v/>
      </c>
      <c r="BQ18" s="67"/>
      <c r="BR18" s="72" t="str">
        <f t="shared" si="16"/>
        <v/>
      </c>
      <c r="BS18" s="67"/>
      <c r="BT18" s="72" t="str">
        <f t="shared" si="41"/>
        <v/>
      </c>
      <c r="BU18" s="67"/>
      <c r="BV18" s="72" t="str">
        <f t="shared" si="1"/>
        <v/>
      </c>
      <c r="BW18" s="67"/>
      <c r="BX18" s="72" t="str">
        <f t="shared" si="42"/>
        <v/>
      </c>
      <c r="BY18" s="67"/>
      <c r="BZ18" s="72" t="str">
        <f t="shared" si="17"/>
        <v/>
      </c>
      <c r="CA18" s="67"/>
      <c r="CB18" s="72" t="str">
        <f t="shared" si="18"/>
        <v/>
      </c>
      <c r="CC18" s="67"/>
      <c r="CD18" s="72" t="str">
        <f t="shared" si="19"/>
        <v/>
      </c>
      <c r="CE18" s="67"/>
      <c r="CF18" s="72" t="str">
        <f t="shared" si="20"/>
        <v/>
      </c>
      <c r="CG18" s="67"/>
      <c r="CH18" s="72" t="str">
        <f t="shared" si="21"/>
        <v/>
      </c>
      <c r="CI18" s="67"/>
      <c r="CJ18" s="72" t="str">
        <f t="shared" si="2"/>
        <v/>
      </c>
      <c r="CK18" s="67"/>
      <c r="CL18" s="71" t="str">
        <f t="shared" si="22"/>
        <v/>
      </c>
      <c r="CM18" s="72"/>
      <c r="CN18" s="69"/>
      <c r="CO18" s="69"/>
    </row>
    <row r="19" spans="1:93" ht="25.5" customHeight="1" thickBot="1" x14ac:dyDescent="0.45">
      <c r="A19" s="70">
        <v>43877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43878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>IF((AE20-AE19&lt;0), "",(AE20-AE19)*10000)</f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43879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43880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43881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43882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43883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43884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43885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259</v>
      </c>
      <c r="R35" s="76">
        <f>SUM(R4:R33)</f>
        <v>111</v>
      </c>
      <c r="AX35" s="72">
        <f t="shared" si="32"/>
        <v>0</v>
      </c>
      <c r="BF35" s="76">
        <f>SUM(BF4:BF33)</f>
        <v>840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7" zoomScaleNormal="100" workbookViewId="0">
      <selection activeCell="F38" sqref="F3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43877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43878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43879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43880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43881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43882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43883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43884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2020-02-15T02:53:14Z</dcterms:modified>
</cp:coreProperties>
</file>