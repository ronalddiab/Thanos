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369" documentId="8_{722EA937-C075-44E3-AE1E-2699536DFD5C}" xr6:coauthVersionLast="47" xr6:coauthVersionMax="47" xr10:uidLastSave="{A2A3B079-D600-494F-A6B2-6315EDDC8CBF}"/>
  <bookViews>
    <workbookView xWindow="-120" yWindow="-120" windowWidth="16440" windowHeight="2844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20" i="5" l="1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 s="1"/>
  <c r="AQ20" i="5" s="1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 s="1"/>
  <c r="BF20" i="6"/>
  <c r="BD20" i="6"/>
  <c r="BB20" i="6"/>
  <c r="AY20" i="6"/>
  <c r="AW20" i="6"/>
  <c r="AZ20" i="6" s="1"/>
  <c r="AT20" i="6"/>
  <c r="BF19" i="6"/>
  <c r="BD19" i="6"/>
  <c r="BB19" i="6"/>
  <c r="AZ19" i="6"/>
  <c r="AY19" i="6"/>
  <c r="AW19" i="6"/>
  <c r="AT19" i="6"/>
  <c r="AP20" i="6"/>
  <c r="AN20" i="6"/>
  <c r="AL20" i="6"/>
  <c r="AJ20" i="6"/>
  <c r="AH20" i="6"/>
  <c r="AF20" i="6"/>
  <c r="AD20" i="6"/>
  <c r="AB20" i="6"/>
  <c r="AP19" i="6"/>
  <c r="AN19" i="6"/>
  <c r="AL19" i="6"/>
  <c r="AJ19" i="6"/>
  <c r="AH19" i="6"/>
  <c r="AF19" i="6"/>
  <c r="AD19" i="6"/>
  <c r="AB19" i="6"/>
  <c r="C23" i="5"/>
  <c r="C22" i="5"/>
  <c r="C21" i="5"/>
  <c r="C20" i="5"/>
  <c r="C18" i="5"/>
  <c r="C19" i="5"/>
  <c r="BF18" i="6"/>
  <c r="BD18" i="6"/>
  <c r="BB18" i="6"/>
  <c r="AY18" i="6"/>
  <c r="AW18" i="6"/>
  <c r="AZ18" i="6" s="1"/>
  <c r="AT18" i="6"/>
  <c r="AP18" i="6"/>
  <c r="AN18" i="6"/>
  <c r="AL18" i="6"/>
  <c r="AJ18" i="6"/>
  <c r="AH18" i="6"/>
  <c r="AF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 s="1"/>
  <c r="I18" i="5"/>
  <c r="F18" i="5"/>
  <c r="BF17" i="6"/>
  <c r="BD17" i="6"/>
  <c r="BB17" i="6"/>
  <c r="AY17" i="6"/>
  <c r="AW17" i="6"/>
  <c r="AZ17" i="6" s="1"/>
  <c r="AT17" i="6"/>
  <c r="AP17" i="6"/>
  <c r="AN17" i="6"/>
  <c r="AL17" i="6"/>
  <c r="AJ17" i="6"/>
  <c r="AH17" i="6"/>
  <c r="AF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 s="1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 s="1"/>
  <c r="BF16" i="6"/>
  <c r="BD16" i="6"/>
  <c r="BB16" i="6"/>
  <c r="AY16" i="6"/>
  <c r="AW16" i="6"/>
  <c r="AZ16" i="6" s="1"/>
  <c r="AT16" i="6"/>
  <c r="AP16" i="6"/>
  <c r="AN16" i="6"/>
  <c r="AL16" i="6"/>
  <c r="AJ16" i="6"/>
  <c r="AH16" i="6"/>
  <c r="AF16" i="6"/>
  <c r="AD16" i="6"/>
  <c r="AB16" i="6"/>
  <c r="BF15" i="6"/>
  <c r="BD15" i="6"/>
  <c r="BB15" i="6"/>
  <c r="AY15" i="6"/>
  <c r="AW15" i="6"/>
  <c r="AZ15" i="6" s="1"/>
  <c r="AT15" i="6"/>
  <c r="BF14" i="6"/>
  <c r="BD14" i="6"/>
  <c r="BB14" i="6"/>
  <c r="AZ14" i="6"/>
  <c r="AY14" i="6"/>
  <c r="AW14" i="6"/>
  <c r="AT14" i="6"/>
  <c r="AP15" i="6"/>
  <c r="AN15" i="6"/>
  <c r="AL15" i="6"/>
  <c r="AJ15" i="6"/>
  <c r="AH15" i="6"/>
  <c r="AF15" i="6"/>
  <c r="AD15" i="6"/>
  <c r="AB15" i="6"/>
  <c r="AP14" i="6"/>
  <c r="AN14" i="6"/>
  <c r="AL14" i="6"/>
  <c r="AJ14" i="6"/>
  <c r="AH14" i="6"/>
  <c r="AF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 s="1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 s="1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F13" i="6"/>
  <c r="BD13" i="6"/>
  <c r="BB13" i="6"/>
  <c r="AY13" i="6"/>
  <c r="AW13" i="6"/>
  <c r="AZ13" i="6" s="1"/>
  <c r="AT13" i="6"/>
  <c r="BF12" i="6"/>
  <c r="BD12" i="6"/>
  <c r="BB12" i="6"/>
  <c r="AY12" i="6"/>
  <c r="AZ12" i="6" s="1"/>
  <c r="AW12" i="6"/>
  <c r="AT12" i="6"/>
  <c r="AP13" i="6"/>
  <c r="AN13" i="6"/>
  <c r="AL13" i="6"/>
  <c r="AJ13" i="6"/>
  <c r="AH13" i="6"/>
  <c r="AF13" i="6"/>
  <c r="AD13" i="6"/>
  <c r="AB13" i="6"/>
  <c r="AP12" i="6"/>
  <c r="AN12" i="6"/>
  <c r="AL12" i="6"/>
  <c r="AJ12" i="6"/>
  <c r="AH12" i="6"/>
  <c r="AF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 s="1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F11" i="6"/>
  <c r="BD11" i="6"/>
  <c r="BB11" i="6"/>
  <c r="AY11" i="6"/>
  <c r="AW11" i="6"/>
  <c r="AZ11" i="6" s="1"/>
  <c r="AT11" i="6"/>
  <c r="AP11" i="6"/>
  <c r="AN11" i="6"/>
  <c r="AL11" i="6"/>
  <c r="AJ11" i="6"/>
  <c r="AH11" i="6"/>
  <c r="AF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F10" i="6"/>
  <c r="BD10" i="6"/>
  <c r="BB10" i="6"/>
  <c r="AY10" i="6"/>
  <c r="AW10" i="6"/>
  <c r="AZ10" i="6" s="1"/>
  <c r="AT10" i="6"/>
  <c r="AP10" i="6"/>
  <c r="AN10" i="6"/>
  <c r="AL10" i="6"/>
  <c r="AJ10" i="6"/>
  <c r="AH10" i="6"/>
  <c r="AF10" i="6"/>
  <c r="AD10" i="6"/>
  <c r="AB10" i="6"/>
  <c r="BB10" i="5"/>
  <c r="AZ10" i="5"/>
  <c r="AX10" i="5"/>
  <c r="AV10" i="5"/>
  <c r="AL10" i="5"/>
  <c r="AJ10" i="5"/>
  <c r="AG10" i="5"/>
  <c r="AO10" i="5" s="1"/>
  <c r="AD10" i="5"/>
  <c r="AA10" i="5"/>
  <c r="X10" i="5"/>
  <c r="U10" i="5"/>
  <c r="R10" i="5"/>
  <c r="O10" i="5"/>
  <c r="L10" i="5"/>
  <c r="I10" i="5"/>
  <c r="F10" i="5"/>
  <c r="I3" i="1"/>
  <c r="I4" i="1"/>
  <c r="I5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2" i="1"/>
  <c r="G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 s="1"/>
  <c r="F9" i="5"/>
  <c r="AL8" i="5"/>
  <c r="AJ8" i="5"/>
  <c r="AG8" i="5"/>
  <c r="AD8" i="5"/>
  <c r="AA8" i="5"/>
  <c r="X8" i="5"/>
  <c r="U8" i="5"/>
  <c r="R8" i="5"/>
  <c r="AO8" i="5" s="1"/>
  <c r="AQ8" i="5" s="1"/>
  <c r="O8" i="5"/>
  <c r="L8" i="5"/>
  <c r="I8" i="5"/>
  <c r="F8" i="5"/>
  <c r="BF9" i="6"/>
  <c r="BD9" i="6"/>
  <c r="BB9" i="6"/>
  <c r="AY9" i="6"/>
  <c r="AW9" i="6"/>
  <c r="AZ9" i="6" s="1"/>
  <c r="AT9" i="6"/>
  <c r="BF8" i="6"/>
  <c r="BD8" i="6"/>
  <c r="BB8" i="6"/>
  <c r="AY8" i="6"/>
  <c r="AZ8" i="6" s="1"/>
  <c r="AW8" i="6"/>
  <c r="AT8" i="6"/>
  <c r="AP9" i="6"/>
  <c r="AN9" i="6"/>
  <c r="AL9" i="6"/>
  <c r="AJ9" i="6"/>
  <c r="AH9" i="6"/>
  <c r="AF9" i="6"/>
  <c r="AD9" i="6"/>
  <c r="AB9" i="6"/>
  <c r="AP8" i="6"/>
  <c r="AN8" i="6"/>
  <c r="AL8" i="6"/>
  <c r="AJ8" i="6"/>
  <c r="AH8" i="6"/>
  <c r="AF8" i="6"/>
  <c r="AD8" i="6"/>
  <c r="AB8" i="6"/>
  <c r="BF7" i="6"/>
  <c r="BD7" i="6"/>
  <c r="BB7" i="6"/>
  <c r="AY7" i="6"/>
  <c r="AW7" i="6"/>
  <c r="AZ7" i="6" s="1"/>
  <c r="AT7" i="6"/>
  <c r="AP7" i="6"/>
  <c r="AN7" i="6"/>
  <c r="AL7" i="6"/>
  <c r="AJ7" i="6"/>
  <c r="AH7" i="6"/>
  <c r="AF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O21" i="5"/>
  <c r="AP21" i="5"/>
  <c r="AQ21" i="5" s="1"/>
  <c r="AO22" i="5"/>
  <c r="AP22" i="5"/>
  <c r="AQ22" i="5" s="1"/>
  <c r="AO23" i="5"/>
  <c r="AP23" i="5"/>
  <c r="AQ23" i="5"/>
  <c r="AO24" i="5"/>
  <c r="AP24" i="5"/>
  <c r="AQ24" i="5"/>
  <c r="AO25" i="5"/>
  <c r="AP25" i="5"/>
  <c r="AQ25" i="5" s="1"/>
  <c r="AO26" i="5"/>
  <c r="AP26" i="5"/>
  <c r="AQ26" i="5" s="1"/>
  <c r="AO27" i="5"/>
  <c r="AP27" i="5"/>
  <c r="AQ27" i="5"/>
  <c r="AO28" i="5"/>
  <c r="AP28" i="5"/>
  <c r="AQ28" i="5"/>
  <c r="AO29" i="5"/>
  <c r="AP29" i="5"/>
  <c r="AQ29" i="5" s="1"/>
  <c r="AO30" i="5"/>
  <c r="AP30" i="5"/>
  <c r="AQ30" i="5" s="1"/>
  <c r="AO31" i="5"/>
  <c r="AP31" i="5"/>
  <c r="AQ31" i="5"/>
  <c r="AO32" i="5"/>
  <c r="AP32" i="5"/>
  <c r="AQ32" i="5"/>
  <c r="AO33" i="5"/>
  <c r="AP33" i="5"/>
  <c r="AQ33" i="5" s="1"/>
  <c r="AO34" i="5"/>
  <c r="AP34" i="5"/>
  <c r="AQ34" i="5" s="1"/>
  <c r="AO35" i="5"/>
  <c r="AP35" i="5"/>
  <c r="AQ35" i="5"/>
  <c r="AO36" i="5"/>
  <c r="AP36" i="5"/>
  <c r="AQ36" i="5"/>
  <c r="AO37" i="5"/>
  <c r="AP37" i="5"/>
  <c r="AQ37" i="5" s="1"/>
  <c r="AO38" i="5"/>
  <c r="AP38" i="5"/>
  <c r="AQ38" i="5" s="1"/>
  <c r="AO39" i="5"/>
  <c r="AP39" i="5"/>
  <c r="AQ39" i="5"/>
  <c r="AO40" i="5"/>
  <c r="AP40" i="5"/>
  <c r="AQ40" i="5"/>
  <c r="AO41" i="5"/>
  <c r="AP41" i="5"/>
  <c r="AQ41" i="5" s="1"/>
  <c r="AO42" i="5"/>
  <c r="AP42" i="5"/>
  <c r="AQ42" i="5" s="1"/>
  <c r="AO43" i="5"/>
  <c r="AP43" i="5"/>
  <c r="AQ43" i="5"/>
  <c r="AO44" i="5"/>
  <c r="AP44" i="5"/>
  <c r="AQ44" i="5"/>
  <c r="AO45" i="5"/>
  <c r="AP45" i="5"/>
  <c r="AQ45" i="5" s="1"/>
  <c r="AO46" i="5"/>
  <c r="AP46" i="5"/>
  <c r="AQ46" i="5" s="1"/>
  <c r="AO47" i="5"/>
  <c r="AP47" i="5"/>
  <c r="AQ47" i="5"/>
  <c r="AO48" i="5"/>
  <c r="AP48" i="5"/>
  <c r="AQ48" i="5"/>
  <c r="AO49" i="5"/>
  <c r="AP49" i="5"/>
  <c r="AQ49" i="5" s="1"/>
  <c r="AO50" i="5"/>
  <c r="AP50" i="5"/>
  <c r="AQ50" i="5" s="1"/>
  <c r="AO51" i="5"/>
  <c r="AP51" i="5"/>
  <c r="AQ51" i="5"/>
  <c r="AO52" i="5"/>
  <c r="AP52" i="5"/>
  <c r="AQ52" i="5"/>
  <c r="AO53" i="5"/>
  <c r="AP53" i="5"/>
  <c r="AQ53" i="5" s="1"/>
  <c r="AO54" i="5"/>
  <c r="AP54" i="5"/>
  <c r="AQ54" i="5" s="1"/>
  <c r="AO55" i="5"/>
  <c r="AP55" i="5"/>
  <c r="AQ55" i="5"/>
  <c r="AO56" i="5"/>
  <c r="AP56" i="5"/>
  <c r="AQ56" i="5"/>
  <c r="AO57" i="5"/>
  <c r="AP57" i="5"/>
  <c r="AQ57" i="5" s="1"/>
  <c r="AO58" i="5"/>
  <c r="AP58" i="5"/>
  <c r="AQ58" i="5" s="1"/>
  <c r="AO59" i="5"/>
  <c r="AP59" i="5"/>
  <c r="AQ59" i="5"/>
  <c r="AO60" i="5"/>
  <c r="AP60" i="5"/>
  <c r="AQ60" i="5"/>
  <c r="AO61" i="5"/>
  <c r="AP61" i="5"/>
  <c r="AQ61" i="5" s="1"/>
  <c r="AO62" i="5"/>
  <c r="AP62" i="5"/>
  <c r="AQ62" i="5" s="1"/>
  <c r="AO63" i="5"/>
  <c r="AP63" i="5"/>
  <c r="AQ63" i="5"/>
  <c r="AO64" i="5"/>
  <c r="AP64" i="5"/>
  <c r="AQ64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27" i="5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AO7" i="5"/>
  <c r="AP7" i="5"/>
  <c r="AQ7" i="5" s="1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F6" i="6"/>
  <c r="BD6" i="6"/>
  <c r="BB6" i="6"/>
  <c r="AY6" i="6"/>
  <c r="AW6" i="6"/>
  <c r="AZ6" i="6" s="1"/>
  <c r="AT6" i="6"/>
  <c r="AP6" i="6"/>
  <c r="AN6" i="6"/>
  <c r="AL6" i="6"/>
  <c r="AJ6" i="6"/>
  <c r="AH6" i="6"/>
  <c r="AF6" i="6"/>
  <c r="AD6" i="6"/>
  <c r="AB6" i="6"/>
  <c r="X6" i="6"/>
  <c r="Y6" i="6" s="1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Y22" i="6"/>
  <c r="X23" i="6"/>
  <c r="Y23" i="6"/>
  <c r="X24" i="6"/>
  <c r="Y24" i="6"/>
  <c r="X25" i="6"/>
  <c r="Y25" i="6"/>
  <c r="X26" i="6"/>
  <c r="Y26" i="6" s="1"/>
  <c r="X27" i="6"/>
  <c r="Y27" i="6"/>
  <c r="X28" i="6"/>
  <c r="Y28" i="6"/>
  <c r="X29" i="6"/>
  <c r="Y29" i="6"/>
  <c r="X30" i="6"/>
  <c r="Y30" i="6"/>
  <c r="X31" i="6"/>
  <c r="Y31" i="6"/>
  <c r="X32" i="6"/>
  <c r="Y32" i="6" s="1"/>
  <c r="X33" i="6"/>
  <c r="Y33" i="6"/>
  <c r="X34" i="6"/>
  <c r="Y34" i="6"/>
  <c r="X35" i="6"/>
  <c r="Y35" i="6"/>
  <c r="X36" i="6"/>
  <c r="Y36" i="6"/>
  <c r="X37" i="6"/>
  <c r="Y37" i="6"/>
  <c r="X38" i="6"/>
  <c r="Y38" i="6" s="1"/>
  <c r="X39" i="6"/>
  <c r="Y39" i="6"/>
  <c r="X40" i="6"/>
  <c r="Y40" i="6"/>
  <c r="X41" i="6"/>
  <c r="Y41" i="6"/>
  <c r="X42" i="6"/>
  <c r="Y42" i="6"/>
  <c r="X43" i="6"/>
  <c r="Y43" i="6"/>
  <c r="X44" i="6"/>
  <c r="Y44" i="6" s="1"/>
  <c r="X45" i="6"/>
  <c r="Y45" i="6"/>
  <c r="X46" i="6"/>
  <c r="Y46" i="6"/>
  <c r="X47" i="6"/>
  <c r="Y47" i="6"/>
  <c r="X48" i="6"/>
  <c r="Y48" i="6"/>
  <c r="X49" i="6"/>
  <c r="Y49" i="6"/>
  <c r="X50" i="6"/>
  <c r="Y50" i="6" s="1"/>
  <c r="X51" i="6"/>
  <c r="Y51" i="6"/>
  <c r="X52" i="6"/>
  <c r="Y52" i="6"/>
  <c r="X53" i="6"/>
  <c r="Y53" i="6"/>
  <c r="X54" i="6"/>
  <c r="Y54" i="6"/>
  <c r="X55" i="6"/>
  <c r="Y55" i="6"/>
  <c r="X56" i="6"/>
  <c r="Y56" i="6" s="1"/>
  <c r="X57" i="6"/>
  <c r="Y57" i="6"/>
  <c r="X58" i="6"/>
  <c r="Y58" i="6"/>
  <c r="X59" i="6"/>
  <c r="Y59" i="6"/>
  <c r="X60" i="6"/>
  <c r="Y60" i="6"/>
  <c r="X61" i="6"/>
  <c r="Y61" i="6"/>
  <c r="X62" i="6"/>
  <c r="Y62" i="6" s="1"/>
  <c r="X63" i="6"/>
  <c r="Y63" i="6"/>
  <c r="X64" i="6"/>
  <c r="Y64" i="6"/>
  <c r="U6" i="6"/>
  <c r="U7" i="6"/>
  <c r="Y7" i="6" s="1"/>
  <c r="U8" i="6"/>
  <c r="U9" i="6"/>
  <c r="U10" i="6"/>
  <c r="Y10" i="6" s="1"/>
  <c r="U11" i="6"/>
  <c r="Y11" i="6" s="1"/>
  <c r="U12" i="6"/>
  <c r="Y12" i="6" s="1"/>
  <c r="U13" i="6"/>
  <c r="Y13" i="6" s="1"/>
  <c r="U16" i="6"/>
  <c r="U17" i="6"/>
  <c r="U18" i="6"/>
  <c r="U19" i="6"/>
  <c r="U20" i="6"/>
  <c r="U21" i="6"/>
  <c r="Y21" i="6" s="1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BD6" i="5"/>
  <c r="AO6" i="5"/>
  <c r="AP6" i="5"/>
  <c r="AQ6" i="5" s="1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F5" i="6"/>
  <c r="BD5" i="6"/>
  <c r="BB5" i="6"/>
  <c r="AY5" i="6"/>
  <c r="AW5" i="6"/>
  <c r="AZ5" i="6" s="1"/>
  <c r="AT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5" i="6"/>
  <c r="AR4" i="6"/>
  <c r="AP5" i="6"/>
  <c r="AN5" i="6"/>
  <c r="AL5" i="6"/>
  <c r="AJ5" i="6"/>
  <c r="AH5" i="6"/>
  <c r="AF5" i="6"/>
  <c r="AD5" i="6"/>
  <c r="AB5" i="6"/>
  <c r="Y5" i="6"/>
  <c r="X5" i="6"/>
  <c r="U5" i="6"/>
  <c r="Q5" i="6"/>
  <c r="N5" i="6"/>
  <c r="K5" i="6"/>
  <c r="H5" i="6"/>
  <c r="E5" i="6"/>
  <c r="BD5" i="5"/>
  <c r="BB5" i="5"/>
  <c r="AZ5" i="5"/>
  <c r="AX5" i="5"/>
  <c r="AV5" i="5"/>
  <c r="AP5" i="5"/>
  <c r="AQ5" i="5" s="1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AQ19" i="5" l="1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 s="1"/>
  <c r="AO12" i="5"/>
  <c r="AQ12" i="5"/>
  <c r="AQ13" i="5"/>
  <c r="AP10" i="5"/>
  <c r="AQ10" i="5" s="1"/>
  <c r="AQ9" i="5"/>
  <c r="Y9" i="6"/>
  <c r="Y8" i="6"/>
  <c r="C9" i="5"/>
  <c r="C8" i="5"/>
  <c r="C7" i="5"/>
  <c r="C6" i="5"/>
  <c r="C5" i="5"/>
  <c r="C4" i="5"/>
  <c r="K61" i="1" l="1"/>
  <c r="E62" i="1"/>
  <c r="F62" i="1"/>
  <c r="G62" i="1"/>
  <c r="J62" i="1"/>
  <c r="K62" i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G61" i="1" l="1"/>
  <c r="J61" i="1"/>
  <c r="G59" i="1"/>
  <c r="G58" i="1"/>
  <c r="G56" i="1"/>
  <c r="G55" i="1"/>
  <c r="Z53" i="3"/>
  <c r="AC52" i="3"/>
  <c r="AK54" i="3"/>
  <c r="G53" i="1" s="1"/>
  <c r="G52" i="1"/>
  <c r="AK52" i="3"/>
  <c r="G51" i="1" s="1"/>
  <c r="J58" i="1"/>
  <c r="J57" i="1"/>
  <c r="G57" i="1"/>
  <c r="G54" i="1"/>
  <c r="G50" i="1"/>
  <c r="G60" i="1"/>
  <c r="G49" i="1"/>
  <c r="J56" i="1"/>
  <c r="J55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 l="1"/>
  <c r="E61" i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I18" i="1" s="1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17" i="1" l="1"/>
  <c r="I15" i="1"/>
  <c r="I16" i="1"/>
  <c r="I14" i="1"/>
  <c r="I13" i="1"/>
  <c r="I12" i="1"/>
  <c r="I11" i="1"/>
  <c r="J11" i="1" s="1"/>
  <c r="I10" i="1"/>
  <c r="I9" i="1"/>
  <c r="J9" i="1" s="1"/>
  <c r="I8" i="1"/>
  <c r="J8" i="1" s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 s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J3" i="1"/>
  <c r="G3" i="1"/>
  <c r="G37" i="1"/>
  <c r="G9" i="1"/>
  <c r="J24" i="1"/>
  <c r="J28" i="1"/>
  <c r="J12" i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J26" i="1"/>
  <c r="J18" i="1"/>
  <c r="J10" i="1"/>
  <c r="J2" i="1"/>
  <c r="J23" i="1"/>
  <c r="J15" i="1"/>
  <c r="J7" i="1"/>
  <c r="J20" i="1"/>
  <c r="J4" i="1"/>
  <c r="J30" i="1"/>
  <c r="J22" i="1"/>
  <c r="J14" i="1"/>
  <c r="J6" i="1"/>
  <c r="J27" i="1"/>
  <c r="G22" i="1"/>
  <c r="E35" i="1"/>
  <c r="F35" i="1" s="1"/>
  <c r="E10" i="1"/>
  <c r="F10" i="1" s="1"/>
  <c r="E5" i="1"/>
  <c r="F5" i="1" s="1"/>
  <c r="J19" i="1"/>
  <c r="J16" i="1"/>
  <c r="E39" i="1"/>
  <c r="F39" i="1" s="1"/>
  <c r="E54" i="1"/>
  <c r="F54" i="1" s="1"/>
  <c r="E41" i="1"/>
  <c r="F41" i="1" s="1"/>
  <c r="E46" i="1"/>
  <c r="E7" i="1"/>
  <c r="F7" i="1" s="1"/>
  <c r="E11" i="1"/>
  <c r="F11" i="1" s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J33" i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J38" i="1"/>
  <c r="AX39" i="3"/>
  <c r="J36" i="1"/>
  <c r="J34" i="1"/>
  <c r="AX35" i="3"/>
  <c r="G34" i="1"/>
  <c r="J29" i="1"/>
  <c r="J25" i="1"/>
  <c r="J21" i="1"/>
  <c r="J17" i="1"/>
  <c r="J13" i="1"/>
  <c r="J5" i="1"/>
  <c r="AX40" i="3"/>
  <c r="J39" i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J31" i="1"/>
  <c r="E31" i="1"/>
  <c r="F31" i="1" s="1"/>
  <c r="AX41" i="3"/>
  <c r="J40" i="1"/>
  <c r="AX37" i="3"/>
  <c r="J32" i="1"/>
  <c r="AX33" i="3"/>
  <c r="AX36" i="3"/>
  <c r="J35" i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<sst xmlns="http://schemas.openxmlformats.org/spreadsheetml/2006/main" count="1160" uniqueCount="217">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</sst>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2097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2919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2219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744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1353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2733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Submetering!AF19+Submetering!AG19+Submetering!AV19+Submetering!AY19+Submetering!AZ19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2761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Submetering!AF20+Submetering!AG20+Submetering!AV20+Submetering!AY20+Submetering!AZ20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2525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Submetering!AF21+Submetering!AG21+Submetering!AV21+Submetering!AY21+Submetering!AZ21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1600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Submetering!AF23+Submetering!AG23+Submetering!AV23+Submetering!AY23+Submetering!AZ23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Submetering!AF24+Submetering!AG24+Submetering!AV24+Submetering!AY24+Submetering!AZ24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Submetering!AF25+Submetering!AG25+Submetering!AV25+Submetering!AY25+Submetering!AZ25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Submetering!AF26+Submetering!AG26+Submetering!AV26+Submetering!AY26+Submetering!AZ26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Submetering!AF27+Submetering!AG27+Submetering!AV27+Submetering!AY27+Submetering!AZ27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Submetering!AF28+Submetering!AG28+Submetering!AV28+Submetering!AY28+Submetering!AZ28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Submetering!AF29+Submetering!AG29+Submetering!AV29+Submetering!AY29+Submetering!AZ29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Submetering!AF30+Submetering!AG30+Submetering!AV30+Submetering!AY30+Submetering!AZ30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Submetering!AF31+Submetering!AG31+Submetering!AV31+Submetering!AY31+Submetering!AZ31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Submetering!AF32+Submetering!AG32+Submetering!AV32+Submetering!AY32+Submetering!AZ32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Submetering!AF33+Submetering!AG33+Submetering!AV33+Submetering!AY33+Submetering!AZ33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Submetering!AF34+Submetering!AG34+Submetering!AV34+Submetering!AY34+Submetering!AZ34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Submetering!AF35+Submetering!AG35+Submetering!AV35+Submetering!AY35+Submetering!AZ35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Submetering!AF36+Submetering!AG36+Submetering!AV36+Submetering!AY36+Submetering!AZ36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IF('Wtr-Gas'!AF4&lt;0,"0",('Wtr-Gas'!AF4)*0.0038)</f>
        <v>0</v>
      </c>
      <c r="AP2" s="74">
        <f>IF('Wtr-Gas'!AH4&lt;0,"0",('Wtr-Gas'!AH4)*0.0038)</f>
        <v>0</v>
      </c>
      <c r="AQ2" s="74">
        <f>IF('Wtr-Gas'!AJ4&lt;0,"0",('Wtr-Gas'!AJ4)*0.0038)</f>
        <v>0</v>
      </c>
      <c r="AR2" s="74">
        <f>IF('Wtr-Gas'!AL4&lt;0,"0",('Wtr-Gas'!AL4)*0.0038)</f>
        <v>0</v>
      </c>
      <c r="AS2" s="74">
        <f>IF('Wtr-Gas'!AN4&lt;0,"0",('Wtr-Gas'!AN4)*0.0038)</f>
        <v>0</v>
      </c>
      <c r="AT2" s="74">
        <f>IF('Wtr-Gas'!AP4&lt;0,"0",('Wtr-Gas'!AP4)*0.0038)</f>
        <v>0</v>
      </c>
      <c r="AU2" s="87">
        <f>IF('Wtr-Gas'!AT4&lt;0,"0",('Wtr-Gas'!AT4)*0.0038)</f>
        <v>0</v>
      </c>
      <c r="AV2" s="74">
        <f>IF('Wtr-Gas'!AW4&lt;0,"0",('Wtr-Gas'!AW4)*0.0038)</f>
        <v>0</v>
      </c>
      <c r="AW2" s="74">
        <f>IF('Wtr-Gas'!AY4&lt;0,"0",('Wtr-Gas'!AY4)*0.0038)</f>
        <v>0</v>
      </c>
      <c r="AX2" s="74">
        <f>IF('Wtr-Gas'!AZ4&lt;0,"0",('Wtr-Gas'!AZ4)*0.0038)</f>
        <v>0</v>
      </c>
      <c r="AY2" s="74">
        <f>IF('Wtr-Gas'!BB4&lt;0,"0",('Wtr-Gas'!BB4)*0.0038)</f>
        <v>0</v>
      </c>
      <c r="AZ2" s="74">
        <f>IF('Wtr-Gas'!BD4&lt;0,"0",('Wtr-Gas'!BD4)*0.0038)</f>
        <v>0</v>
      </c>
      <c r="BA2" s="74">
        <f>IF('Wtr-Gas'!BF4&lt;0,"0",('Wtr-Gas'!BF4)*0.0038)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IF('Wtr-Gas'!AF5&lt;0,"0",('Wtr-Gas'!AF5)*0.0038)</f>
        <v>2.964</v>
      </c>
      <c r="AP3" s="74">
        <f>IF('Wtr-Gas'!AH5&lt;0,"0",('Wtr-Gas'!AH5)*0.0038)</f>
        <v>43.13</v>
      </c>
      <c r="AQ3" s="74">
        <f>IF('Wtr-Gas'!AJ5&lt;0,"0",('Wtr-Gas'!AJ5)*0.0038)</f>
        <v>10.476599999999999</v>
      </c>
      <c r="AR3" s="74">
        <f>IF('Wtr-Gas'!AL5&lt;0,"0",('Wtr-Gas'!AL5)*0.0038)</f>
        <v>193.8</v>
      </c>
      <c r="AS3" s="74">
        <f>IF('Wtr-Gas'!AN5&lt;0,"0",('Wtr-Gas'!AN5)*0.0038)</f>
        <v>1.14E-2</v>
      </c>
      <c r="AT3" s="74">
        <f>IF('Wtr-Gas'!AP5&lt;0,"0",('Wtr-Gas'!AP5)*0.0038)</f>
        <v>3.42</v>
      </c>
      <c r="AU3" s="87">
        <f>IF('Wtr-Gas'!AT5&lt;0,"0",('Wtr-Gas'!AT5)*0.0038)</f>
        <v>0.20519999999999999</v>
      </c>
      <c r="AV3" s="74">
        <f>IF('Wtr-Gas'!AW5&lt;0,"0",('Wtr-Gas'!AW5)*0.0038)</f>
        <v>88.331000000000003</v>
      </c>
      <c r="AW3" s="74">
        <f>IF('Wtr-Gas'!AY5&lt;0,"0",('Wtr-Gas'!AY5)*0.0038)</f>
        <v>64.104936000000009</v>
      </c>
      <c r="AX3" s="74">
        <f>IF('Wtr-Gas'!AZ5&lt;0,"0",('Wtr-Gas'!AZ5)*0.0038)</f>
        <v>24.226063999999994</v>
      </c>
      <c r="AY3" s="74">
        <f>IF('Wtr-Gas'!BB5&lt;0,"0",('Wtr-Gas'!BB5)*0.0038)</f>
        <v>1.52</v>
      </c>
      <c r="AZ3" s="74">
        <f>IF('Wtr-Gas'!BD5&lt;0,"0",('Wtr-Gas'!BD5)*0.0038)</f>
        <v>0.76</v>
      </c>
      <c r="BA3" s="74">
        <f>IF('Wtr-Gas'!BF5&lt;0,"0",('Wtr-Gas'!BF5)*0.0038)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IF('Wtr-Gas'!AF6&lt;0,"0",('Wtr-Gas'!AF6)*0.0038)</f>
        <v>10.336</v>
      </c>
      <c r="AP4" s="74">
        <f>IF('Wtr-Gas'!AH6&lt;0,"0",('Wtr-Gas'!AH6)*0.0038)</f>
        <v>146.90799999999999</v>
      </c>
      <c r="AQ4" s="74">
        <f>IF('Wtr-Gas'!AJ6&lt;0,"0",('Wtr-Gas'!AJ6)*0.0038)</f>
        <v>46.606999999999999</v>
      </c>
      <c r="AR4" s="74">
        <f>IF('Wtr-Gas'!AL6&lt;0,"0",('Wtr-Gas'!AL6)*0.0038)</f>
        <v>752.4</v>
      </c>
      <c r="AS4" s="74">
        <f>IF('Wtr-Gas'!AN6&lt;0,"0",('Wtr-Gas'!AN6)*0.0038)</f>
        <v>6.4600000000000005E-2</v>
      </c>
      <c r="AT4" s="74">
        <f>IF('Wtr-Gas'!AP6&lt;0,"0",('Wtr-Gas'!AP6)*0.0038)</f>
        <v>10.64</v>
      </c>
      <c r="AU4" s="87">
        <f>IF('Wtr-Gas'!AT6&lt;0,"0",('Wtr-Gas'!AT6)*0.0038)</f>
        <v>0.49399999999999999</v>
      </c>
      <c r="AV4" s="74">
        <f>IF('Wtr-Gas'!AW6&lt;0,"0",('Wtr-Gas'!AW6)*0.0038)</f>
        <v>195.0198</v>
      </c>
      <c r="AW4" s="74">
        <f>IF('Wtr-Gas'!AY6&lt;0,"0",('Wtr-Gas'!AY6)*0.0038)</f>
        <v>150.3109</v>
      </c>
      <c r="AX4" s="74">
        <f>IF('Wtr-Gas'!AZ6&lt;0,"0",('Wtr-Gas'!AZ6)*0.0038)</f>
        <v>44.7089</v>
      </c>
      <c r="AY4" s="74">
        <f>IF('Wtr-Gas'!BB6&lt;0,"0",('Wtr-Gas'!BB6)*0.0038)</f>
        <v>20.14</v>
      </c>
      <c r="AZ4" s="74">
        <f>IF('Wtr-Gas'!BD6&lt;0,"0",('Wtr-Gas'!BD6)*0.0038)</f>
        <v>1.1399999999999999</v>
      </c>
      <c r="BA4" s="74">
        <f>IF('Wtr-Gas'!BF6&lt;0,"0",('Wtr-Gas'!BF6)*0.0038)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IF('Wtr-Gas'!AF7&lt;0,"0",('Wtr-Gas'!AF7)*0.0038)</f>
        <v>9.5</v>
      </c>
      <c r="AP5" s="74">
        <f>IF('Wtr-Gas'!AH7&lt;0,"0",('Wtr-Gas'!AH7)*0.0038)</f>
        <v>72.504000000000005</v>
      </c>
      <c r="AQ5" s="74">
        <f>IF('Wtr-Gas'!AJ7&lt;0,"0",('Wtr-Gas'!AJ7)*0.0038)</f>
        <v>50.718600000000002</v>
      </c>
      <c r="AR5" s="74">
        <f>IF('Wtr-Gas'!AL7&lt;0,"0",('Wtr-Gas'!AL7)*0.0038)</f>
        <v>820.8</v>
      </c>
      <c r="AS5" s="74">
        <f>IF('Wtr-Gas'!AN7&lt;0,"0",('Wtr-Gas'!AN7)*0.0038)</f>
        <v>7.22E-2</v>
      </c>
      <c r="AT5" s="74">
        <f>IF('Wtr-Gas'!AP7&lt;0,"0",('Wtr-Gas'!AP7)*0.0038)</f>
        <v>12.16</v>
      </c>
      <c r="AU5" s="87">
        <f>IF('Wtr-Gas'!AT7&lt;0,"0",('Wtr-Gas'!AT7)*0.0038)</f>
        <v>0.38379999999999997</v>
      </c>
      <c r="AV5" s="74">
        <f>IF('Wtr-Gas'!AW7&lt;0,"0",('Wtr-Gas'!AW7)*0.0038)</f>
        <v>196.55500000000001</v>
      </c>
      <c r="AW5" s="74">
        <f>IF('Wtr-Gas'!AY7&lt;0,"0",('Wtr-Gas'!AY7)*0.0038)</f>
        <v>150.14392799999999</v>
      </c>
      <c r="AX5" s="74">
        <f>IF('Wtr-Gas'!AZ7&lt;0,"0",('Wtr-Gas'!AZ7)*0.0038)</f>
        <v>46.411072000000011</v>
      </c>
      <c r="AY5" s="74">
        <f>IF('Wtr-Gas'!BB7&lt;0,"0",('Wtr-Gas'!BB7)*0.0038)</f>
        <v>17.100000000000001</v>
      </c>
      <c r="AZ5" s="74">
        <f>IF('Wtr-Gas'!BD7&lt;0,"0",('Wtr-Gas'!BD7)*0.0038)</f>
        <v>1.1399999999999999</v>
      </c>
      <c r="BA5" s="74">
        <f>IF('Wtr-Gas'!BF7&lt;0,"0",('Wtr-Gas'!BF7)*0.0038)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IF('Wtr-Gas'!AF8&lt;0,"0",('Wtr-Gas'!AF8)*0.0038)</f>
        <v>12.654</v>
      </c>
      <c r="AP6" s="74">
        <f>IF('Wtr-Gas'!AH8&lt;0,"0",('Wtr-Gas'!AH8)*0.0038)</f>
        <v>249.31800000000001</v>
      </c>
      <c r="AQ6" s="74">
        <f>IF('Wtr-Gas'!AJ8&lt;0,"0",('Wtr-Gas'!AJ8)*0.0038)</f>
        <v>38.767600000000002</v>
      </c>
      <c r="AR6" s="74">
        <f>IF('Wtr-Gas'!AL8&lt;0,"0",('Wtr-Gas'!AL8)*0.0038)</f>
        <v>509.2</v>
      </c>
      <c r="AS6" s="74">
        <f>IF('Wtr-Gas'!AN8&lt;0,"0",('Wtr-Gas'!AN8)*0.0038)</f>
        <v>7.5999999999999998E-2</v>
      </c>
      <c r="AT6" s="74">
        <f>IF('Wtr-Gas'!AP8&lt;0,"0",('Wtr-Gas'!AP8)*0.0038)</f>
        <v>10.26</v>
      </c>
      <c r="AU6" s="87">
        <f>IF('Wtr-Gas'!AT8&lt;0,"0",('Wtr-Gas'!AT8)*0.0038)</f>
        <v>0.54720000000000002</v>
      </c>
      <c r="AV6" s="74">
        <f>IF('Wtr-Gas'!AW8&lt;0,"0",('Wtr-Gas'!AW8)*0.0038)</f>
        <v>195.8938</v>
      </c>
      <c r="AW6" s="74">
        <f>IF('Wtr-Gas'!AY8&lt;0,"0",('Wtr-Gas'!AY8)*0.0038)</f>
        <v>153.01999599999999</v>
      </c>
      <c r="AX6" s="74">
        <f>IF('Wtr-Gas'!AZ8&lt;0,"0",('Wtr-Gas'!AZ8)*0.0038)</f>
        <v>42.873804000000007</v>
      </c>
      <c r="AY6" s="74">
        <f>IF('Wtr-Gas'!BB8&lt;0,"0",('Wtr-Gas'!BB8)*0.0038)</f>
        <v>8.74</v>
      </c>
      <c r="AZ6" s="74">
        <f>IF('Wtr-Gas'!BD8&lt;0,"0",('Wtr-Gas'!BD8)*0.0038)</f>
        <v>1.1399999999999999</v>
      </c>
      <c r="BA6" s="74">
        <f>IF('Wtr-Gas'!BF8&lt;0,"0",('Wtr-Gas'!BF8)*0.0038)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IF('Wtr-Gas'!AF9&lt;0,"0",('Wtr-Gas'!AF9)*0.0038)</f>
        <v>8.702</v>
      </c>
      <c r="AP7" s="74">
        <f>IF('Wtr-Gas'!AH9&lt;0,"0",('Wtr-Gas'!AH9)*0.0038)</f>
        <v>194.636</v>
      </c>
      <c r="AQ7" s="74">
        <f>IF('Wtr-Gas'!AJ9&lt;0,"0",('Wtr-Gas'!AJ9)*0.0038)</f>
        <v>45.1402</v>
      </c>
      <c r="AR7" s="74">
        <f>IF('Wtr-Gas'!AL9&lt;0,"0",('Wtr-Gas'!AL9)*0.0038)</f>
        <v>805.6</v>
      </c>
      <c r="AS7" s="74">
        <f>IF('Wtr-Gas'!AN9&lt;0,"0",('Wtr-Gas'!AN9)*0.0038)</f>
        <v>9.8799999999999999E-2</v>
      </c>
      <c r="AT7" s="74">
        <f>IF('Wtr-Gas'!AP9&lt;0,"0",('Wtr-Gas'!AP9)*0.0038)</f>
        <v>11.78</v>
      </c>
      <c r="AU7" s="87">
        <f>IF('Wtr-Gas'!AT9&lt;0,"0",('Wtr-Gas'!AT9)*0.0038)</f>
        <v>0.71060000000000001</v>
      </c>
      <c r="AV7" s="74">
        <f>IF('Wtr-Gas'!AW9&lt;0,"0",('Wtr-Gas'!AW9)*0.0038)</f>
        <v>197.3416</v>
      </c>
      <c r="AW7" s="74">
        <f>IF('Wtr-Gas'!AY9&lt;0,"0",('Wtr-Gas'!AY9)*0.0038)</f>
        <v>151.64124199999998</v>
      </c>
      <c r="AX7" s="74">
        <f>IF('Wtr-Gas'!AZ9&lt;0,"0",('Wtr-Gas'!AZ9)*0.0038)</f>
        <v>45.700358000000016</v>
      </c>
      <c r="AY7" s="74">
        <f>IF('Wtr-Gas'!BB9&lt;0,"0",('Wtr-Gas'!BB9)*0.0038)</f>
        <v>12.16</v>
      </c>
      <c r="AZ7" s="74">
        <f>IF('Wtr-Gas'!BD9&lt;0,"0",('Wtr-Gas'!BD9)*0.0038)</f>
        <v>1.1399999999999999</v>
      </c>
      <c r="BA7" s="74">
        <f>IF('Wtr-Gas'!BF9&lt;0,"0",('Wtr-Gas'!BF9)*0.0038)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IF('Wtr-Gas'!AF10&lt;0,"0",('Wtr-Gas'!AF10)*0.0038)</f>
        <v>13.3</v>
      </c>
      <c r="AP8" s="74">
        <f>IF('Wtr-Gas'!AH10&lt;0,"0",('Wtr-Gas'!AH10)*0.0038)</f>
        <v>244.53</v>
      </c>
      <c r="AQ8" s="74">
        <f>IF('Wtr-Gas'!AJ10&lt;0,"0",('Wtr-Gas'!AJ10)*0.0038)</f>
        <v>47.135199999999998</v>
      </c>
      <c r="AR8" s="74">
        <f>IF('Wtr-Gas'!AL10&lt;0,"0",('Wtr-Gas'!AL10)*0.0038)</f>
        <v>646</v>
      </c>
      <c r="AS8" s="74">
        <f>IF('Wtr-Gas'!AN10&lt;0,"0",('Wtr-Gas'!AN10)*0.0038)</f>
        <v>4.9399999999999999E-2</v>
      </c>
      <c r="AT8" s="74">
        <f>IF('Wtr-Gas'!AP10&lt;0,"0",('Wtr-Gas'!AP10)*0.0038)</f>
        <v>10.26</v>
      </c>
      <c r="AU8" s="87">
        <f>IF('Wtr-Gas'!AT10&lt;0,"0",('Wtr-Gas'!AT10)*0.0038)</f>
        <v>0.47499999999999998</v>
      </c>
      <c r="AV8" s="74">
        <f>IF('Wtr-Gas'!AW10&lt;0,"0",('Wtr-Gas'!AW10)*0.0038)</f>
        <v>190.33439999999999</v>
      </c>
      <c r="AW8" s="74">
        <f>IF('Wtr-Gas'!AY10&lt;0,"0",('Wtr-Gas'!AY10)*0.0038)</f>
        <v>148.11742599999999</v>
      </c>
      <c r="AX8" s="74">
        <f>IF('Wtr-Gas'!AZ10&lt;0,"0",('Wtr-Gas'!AZ10)*0.0038)</f>
        <v>42.216974000000015</v>
      </c>
      <c r="AY8" s="74">
        <f>IF('Wtr-Gas'!BB10&lt;0,"0",('Wtr-Gas'!BB10)*0.0038)</f>
        <v>9.1199999999999992</v>
      </c>
      <c r="AZ8" s="74">
        <f>IF('Wtr-Gas'!BD10&lt;0,"0",('Wtr-Gas'!BD10)*0.0038)</f>
        <v>1.52</v>
      </c>
      <c r="BA8" s="74">
        <f>IF('Wtr-Gas'!BF10&lt;0,"0",('Wtr-Gas'!BF10)*0.0038)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IF('Wtr-Gas'!AF11&lt;0,"0",('Wtr-Gas'!AF11)*0.0038)</f>
        <v>23.521999999999998</v>
      </c>
      <c r="AP9" s="74">
        <f>IF('Wtr-Gas'!AH11&lt;0,"0",('Wtr-Gas'!AH11)*0.0038)</f>
        <v>293.892</v>
      </c>
      <c r="AQ9" s="74">
        <f>IF('Wtr-Gas'!AJ11&lt;0,"0",('Wtr-Gas'!AJ11)*0.0038)</f>
        <v>43.707599999999999</v>
      </c>
      <c r="AR9" s="74">
        <f>IF('Wtr-Gas'!AL11&lt;0,"0",('Wtr-Gas'!AL11)*0.0038)</f>
        <v>687.8</v>
      </c>
      <c r="AS9" s="74">
        <f>IF('Wtr-Gas'!AN11&lt;0,"0",('Wtr-Gas'!AN11)*0.0038)</f>
        <v>7.5999999999999998E-2</v>
      </c>
      <c r="AT9" s="74">
        <f>IF('Wtr-Gas'!AP11&lt;0,"0",('Wtr-Gas'!AP11)*0.0038)</f>
        <v>7.22</v>
      </c>
      <c r="AU9" s="87">
        <f>IF('Wtr-Gas'!AT11&lt;0,"0",('Wtr-Gas'!AT11)*0.0038)</f>
        <v>0.54720000000000002</v>
      </c>
      <c r="AV9" s="74">
        <f>IF('Wtr-Gas'!AW11&lt;0,"0",('Wtr-Gas'!AW11)*0.0038)</f>
        <v>189.83279999999999</v>
      </c>
      <c r="AW9" s="74">
        <f>IF('Wtr-Gas'!AY11&lt;0,"0",('Wtr-Gas'!AY11)*0.0038)</f>
        <v>150.72304800000001</v>
      </c>
      <c r="AX9" s="74">
        <f>IF('Wtr-Gas'!AZ11&lt;0,"0",('Wtr-Gas'!AZ11)*0.0038)</f>
        <v>39.109752</v>
      </c>
      <c r="AY9" s="74">
        <f>IF('Wtr-Gas'!BB11&lt;0,"0",('Wtr-Gas'!BB11)*0.0038)</f>
        <v>13.68</v>
      </c>
      <c r="AZ9" s="74">
        <f>IF('Wtr-Gas'!BD11&lt;0,"0",('Wtr-Gas'!BD11)*0.0038)</f>
        <v>1.1399999999999999</v>
      </c>
      <c r="BA9" s="74">
        <f>IF('Wtr-Gas'!BF11&lt;0,"0",('Wtr-Gas'!BF11)*0.0038)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IF('Wtr-Gas'!AF12&lt;0,"0",('Wtr-Gas'!AF12)*0.0038)</f>
        <v>18.771999999999998</v>
      </c>
      <c r="AP10" s="74">
        <f>IF('Wtr-Gas'!AH12&lt;0,"0",('Wtr-Gas'!AH12)*0.0038)</f>
        <v>333.83</v>
      </c>
      <c r="AQ10" s="74">
        <f>IF('Wtr-Gas'!AJ12&lt;0,"0",('Wtr-Gas'!AJ12)*0.0038)</f>
        <v>42.962800000000001</v>
      </c>
      <c r="AR10" s="74">
        <f>IF('Wtr-Gas'!AL12&lt;0,"0",('Wtr-Gas'!AL12)*0.0038)</f>
        <v>516.79999999999995</v>
      </c>
      <c r="AS10" s="74">
        <f>IF('Wtr-Gas'!AN12&lt;0,"0",('Wtr-Gas'!AN12)*0.0038)</f>
        <v>4.9399999999999999E-2</v>
      </c>
      <c r="AT10" s="74">
        <f>IF('Wtr-Gas'!AP12&lt;0,"0",('Wtr-Gas'!AP12)*0.0038)</f>
        <v>10.64</v>
      </c>
      <c r="AU10" s="87">
        <f>IF('Wtr-Gas'!AT12&lt;0,"0",('Wtr-Gas'!AT12)*0.0038)</f>
        <v>0.47499999999999998</v>
      </c>
      <c r="AV10" s="74">
        <f>IF('Wtr-Gas'!AW12&lt;0,"0",('Wtr-Gas'!AW12)*0.0038)</f>
        <v>200.96299999999999</v>
      </c>
      <c r="AW10" s="74">
        <f>IF('Wtr-Gas'!AY12&lt;0,"0",('Wtr-Gas'!AY12)*0.0038)</f>
        <v>148.43423200000001</v>
      </c>
      <c r="AX10" s="74">
        <f>IF('Wtr-Gas'!AZ12&lt;0,"0",('Wtr-Gas'!AZ12)*0.0038)</f>
        <v>52.528767999999999</v>
      </c>
      <c r="AY10" s="74">
        <f>IF('Wtr-Gas'!BB12&lt;0,"0",('Wtr-Gas'!BB12)*0.0038)</f>
        <v>11.78</v>
      </c>
      <c r="AZ10" s="74">
        <f>IF('Wtr-Gas'!BD12&lt;0,"0",('Wtr-Gas'!BD12)*0.0038)</f>
        <v>1.1399999999999999</v>
      </c>
      <c r="BA10" s="74">
        <f>IF('Wtr-Gas'!BF12&lt;0,"0",('Wtr-Gas'!BF12)*0.0038)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IF('Wtr-Gas'!AF13&lt;0,"0",('Wtr-Gas'!AF13)*0.0038)</f>
        <v>15.01</v>
      </c>
      <c r="AP11" s="74">
        <f>IF('Wtr-Gas'!AH13&lt;0,"0",('Wtr-Gas'!AH13)*0.0038)</f>
        <v>372.43799999999999</v>
      </c>
      <c r="AQ11" s="74">
        <f>IF('Wtr-Gas'!AJ13&lt;0,"0",('Wtr-Gas'!AJ13)*0.0038)</f>
        <v>50.9086</v>
      </c>
      <c r="AR11" s="74">
        <f>IF('Wtr-Gas'!AL13&lt;0,"0",('Wtr-Gas'!AL13)*0.0038)</f>
        <v>425.6</v>
      </c>
      <c r="AS11" s="74">
        <f>IF('Wtr-Gas'!AN13&lt;0,"0",('Wtr-Gas'!AN13)*0.0038)</f>
        <v>4.1799999999999997E-2</v>
      </c>
      <c r="AT11" s="74">
        <f>IF('Wtr-Gas'!AP13&lt;0,"0",('Wtr-Gas'!AP13)*0.0038)</f>
        <v>7.6</v>
      </c>
      <c r="AU11" s="87">
        <f>IF('Wtr-Gas'!AT13&lt;0,"0",('Wtr-Gas'!AT13)*0.0038)</f>
        <v>0.45600000000000002</v>
      </c>
      <c r="AV11" s="74">
        <f>IF('Wtr-Gas'!AW13&lt;0,"0",('Wtr-Gas'!AW13)*0.0038)</f>
        <v>192.45480000000001</v>
      </c>
      <c r="AW11" s="74">
        <f>IF('Wtr-Gas'!AY13&lt;0,"0",('Wtr-Gas'!AY13)*0.0038)</f>
        <v>148.08828</v>
      </c>
      <c r="AX11" s="74">
        <f>IF('Wtr-Gas'!AZ13&lt;0,"0",('Wtr-Gas'!AZ13)*0.0038)</f>
        <v>44.366520000000008</v>
      </c>
      <c r="AY11" s="74">
        <f>IF('Wtr-Gas'!BB13&lt;0,"0",('Wtr-Gas'!BB13)*0.0038)</f>
        <v>6.46</v>
      </c>
      <c r="AZ11" s="74">
        <f>IF('Wtr-Gas'!BD13&lt;0,"0",('Wtr-Gas'!BD13)*0.0038)</f>
        <v>1.9</v>
      </c>
      <c r="BA11" s="74">
        <f>IF('Wtr-Gas'!BF13&lt;0,"0",('Wtr-Gas'!BF13)*0.0038)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IF('Wtr-Gas'!AF14&lt;0,"0",('Wtr-Gas'!AF14)*0.0038)</f>
        <v>12.502000000000001</v>
      </c>
      <c r="AP12" s="74">
        <f>IF('Wtr-Gas'!AH14&lt;0,"0",('Wtr-Gas'!AH14)*0.0038)</f>
        <v>319.01</v>
      </c>
      <c r="AQ12" s="74">
        <f>IF('Wtr-Gas'!AJ14&lt;0,"0",('Wtr-Gas'!AJ14)*0.0038)</f>
        <v>50.733800000000002</v>
      </c>
      <c r="AR12" s="74">
        <f>IF('Wtr-Gas'!AL14&lt;0,"0",('Wtr-Gas'!AL14)*0.0038)</f>
        <v>326.8</v>
      </c>
      <c r="AS12" s="74">
        <f>IF('Wtr-Gas'!AN14&lt;0,"0",('Wtr-Gas'!AN14)*0.0038)</f>
        <v>4.9399999999999999E-2</v>
      </c>
      <c r="AT12" s="74">
        <f>IF('Wtr-Gas'!AP14&lt;0,"0",('Wtr-Gas'!AP14)*0.0038)</f>
        <v>11.02</v>
      </c>
      <c r="AU12" s="87">
        <f>IF('Wtr-Gas'!AT14&lt;0,"0",('Wtr-Gas'!AT14)*0.0038)</f>
        <v>0.40660000000000002</v>
      </c>
      <c r="AV12" s="74">
        <f>IF('Wtr-Gas'!AW14&lt;0,"0",('Wtr-Gas'!AW14)*0.0038)</f>
        <v>206.53</v>
      </c>
      <c r="AW12" s="74">
        <f>IF('Wtr-Gas'!AY14&lt;0,"0",('Wtr-Gas'!AY14)*0.0038)</f>
        <v>147.255358</v>
      </c>
      <c r="AX12" s="74">
        <f>IF('Wtr-Gas'!AZ14&lt;0,"0",('Wtr-Gas'!AZ14)*0.0038)</f>
        <v>59.274641999999986</v>
      </c>
      <c r="AY12" s="74">
        <f>IF('Wtr-Gas'!BB14&lt;0,"0",('Wtr-Gas'!BB14)*0.0038)</f>
        <v>12.16</v>
      </c>
      <c r="AZ12" s="74">
        <f>IF('Wtr-Gas'!BD14&lt;0,"0",('Wtr-Gas'!BD14)*0.0038)</f>
        <v>3.23</v>
      </c>
      <c r="BA12" s="74">
        <f>IF('Wtr-Gas'!BF14&lt;0,"0",('Wtr-Gas'!BF14)*0.0038)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IF('Wtr-Gas'!AF15&lt;0,"0",('Wtr-Gas'!AF15)*0.0038)</f>
        <v>5.7379999999999995</v>
      </c>
      <c r="AP13" s="74">
        <f>IF('Wtr-Gas'!AH15&lt;0,"0",('Wtr-Gas'!AH15)*0.0038)</f>
        <v>232.21799999999999</v>
      </c>
      <c r="AQ13" s="74">
        <f>IF('Wtr-Gas'!AJ15&lt;0,"0",('Wtr-Gas'!AJ15)*0.0038)</f>
        <v>28.538</v>
      </c>
      <c r="AR13" s="74">
        <f>IF('Wtr-Gas'!AL15&lt;0,"0",('Wtr-Gas'!AL15)*0.0038)</f>
        <v>30.4</v>
      </c>
      <c r="AS13" s="74">
        <f>IF('Wtr-Gas'!AN15&lt;0,"0",('Wtr-Gas'!AN15)*0.0038)</f>
        <v>4.5600000000000002E-2</v>
      </c>
      <c r="AT13" s="74">
        <f>IF('Wtr-Gas'!AP15&lt;0,"0",('Wtr-Gas'!AP15)*0.0038)</f>
        <v>10.26</v>
      </c>
      <c r="AU13" s="87">
        <f>IF('Wtr-Gas'!AT15&lt;0,"0",('Wtr-Gas'!AT15)*0.0038)</f>
        <v>0.4864</v>
      </c>
      <c r="AV13" s="74">
        <f>IF('Wtr-Gas'!AW15&lt;0,"0",('Wtr-Gas'!AW15)*0.0038)</f>
        <v>211.49279999999999</v>
      </c>
      <c r="AW13" s="74">
        <f>IF('Wtr-Gas'!AY15&lt;0,"0",('Wtr-Gas'!AY15)*0.0038)</f>
        <v>165.60149199999998</v>
      </c>
      <c r="AX13" s="74">
        <f>IF('Wtr-Gas'!AZ15&lt;0,"0",('Wtr-Gas'!AZ15)*0.0038)</f>
        <v>45.891308000000016</v>
      </c>
      <c r="AY13" s="74">
        <f>IF('Wtr-Gas'!BB15&lt;0,"0",('Wtr-Gas'!BB15)*0.0038)</f>
        <v>9.5</v>
      </c>
      <c r="AZ13" s="74">
        <f>IF('Wtr-Gas'!BD15&lt;0,"0",('Wtr-Gas'!BD15)*0.0038)</f>
        <v>0</v>
      </c>
      <c r="BA13" s="74">
        <f>IF('Wtr-Gas'!BF15&lt;0,"0",('Wtr-Gas'!BF15)*0.0038)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IF('Wtr-Gas'!AF16&lt;0,"0",('Wtr-Gas'!AF16)*0.0038)</f>
        <v>4.6740000000000004</v>
      </c>
      <c r="AP14" s="74">
        <f>IF('Wtr-Gas'!AH16&lt;0,"0",('Wtr-Gas'!AH16)*0.0038)</f>
        <v>323.76</v>
      </c>
      <c r="AQ14" s="74">
        <f>IF('Wtr-Gas'!AJ16&lt;0,"0",('Wtr-Gas'!AJ16)*0.0038)</f>
        <v>29.7806</v>
      </c>
      <c r="AR14" s="74">
        <f>IF('Wtr-Gas'!AL16&lt;0,"0",('Wtr-Gas'!AL16)*0.0038)</f>
        <v>201.4</v>
      </c>
      <c r="AS14" s="74">
        <f>IF('Wtr-Gas'!AN16&lt;0,"0",('Wtr-Gas'!AN16)*0.0038)</f>
        <v>3.4200000000000001E-2</v>
      </c>
      <c r="AT14" s="74">
        <f>IF('Wtr-Gas'!AP16&lt;0,"0",('Wtr-Gas'!AP16)*0.0038)</f>
        <v>4.9400000000000004</v>
      </c>
      <c r="AU14" s="87">
        <f>IF('Wtr-Gas'!AT16&lt;0,"0",('Wtr-Gas'!AT16)*0.0038)</f>
        <v>0.37619999999999998</v>
      </c>
      <c r="AV14" s="74">
        <f>IF('Wtr-Gas'!AW16&lt;0,"0",('Wtr-Gas'!AW16)*0.0038)</f>
        <v>173.08619999999999</v>
      </c>
      <c r="AW14" s="74">
        <f>IF('Wtr-Gas'!AY16&lt;0,"0",('Wtr-Gas'!AY16)*0.0038)</f>
        <v>128.06524399999998</v>
      </c>
      <c r="AX14" s="74">
        <f>IF('Wtr-Gas'!AZ16&lt;0,"0",('Wtr-Gas'!AZ16)*0.0038)</f>
        <v>45.020956000000012</v>
      </c>
      <c r="AY14" s="74">
        <f>IF('Wtr-Gas'!BB16&lt;0,"0",('Wtr-Gas'!BB16)*0.0038)</f>
        <v>7.22</v>
      </c>
      <c r="AZ14" s="74">
        <f>IF('Wtr-Gas'!BD16&lt;0,"0",('Wtr-Gas'!BD16)*0.0038)</f>
        <v>0.95</v>
      </c>
      <c r="BA14" s="74">
        <f>IF('Wtr-Gas'!BF16&lt;0,"0",('Wtr-Gas'!BF16)*0.0038)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IF('Wtr-Gas'!AF17&lt;0,"0",('Wtr-Gas'!AF17)*0.0038)</f>
        <v>16.986000000000001</v>
      </c>
      <c r="AP15" s="74">
        <f>IF('Wtr-Gas'!AH17&lt;0,"0",('Wtr-Gas'!AH17)*0.0038)</f>
        <v>366.85199999999998</v>
      </c>
      <c r="AQ15" s="74">
        <f>IF('Wtr-Gas'!AJ17&lt;0,"0",('Wtr-Gas'!AJ17)*0.0038)</f>
        <v>49.506399999999999</v>
      </c>
      <c r="AR15" s="74">
        <f>IF('Wtr-Gas'!AL17&lt;0,"0",('Wtr-Gas'!AL17)*0.0038)</f>
        <v>224.2</v>
      </c>
      <c r="AS15" s="74">
        <f>IF('Wtr-Gas'!AN17&lt;0,"0",('Wtr-Gas'!AN17)*0.0038)</f>
        <v>5.3199999999999997E-2</v>
      </c>
      <c r="AT15" s="74">
        <f>IF('Wtr-Gas'!AP17&lt;0,"0",('Wtr-Gas'!AP17)*0.0038)</f>
        <v>9.8800000000000008</v>
      </c>
      <c r="AU15" s="87">
        <f>IF('Wtr-Gas'!AT17&lt;0,"0",('Wtr-Gas'!AT17)*0.0038)</f>
        <v>0.41420000000000001</v>
      </c>
      <c r="AV15" s="74">
        <f>IF('Wtr-Gas'!AW17&lt;0,"0",('Wtr-Gas'!AW17)*0.0038)</f>
        <v>198.80080000000001</v>
      </c>
      <c r="AW15" s="74">
        <f>IF('Wtr-Gas'!AY17&lt;0,"0",('Wtr-Gas'!AY17)*0.0038)</f>
        <v>148.58930999999998</v>
      </c>
      <c r="AX15" s="74">
        <f>IF('Wtr-Gas'!AZ17&lt;0,"0",('Wtr-Gas'!AZ17)*0.0038)</f>
        <v>50.211490000000012</v>
      </c>
      <c r="AY15" s="74">
        <f>IF('Wtr-Gas'!BB17&lt;0,"0",('Wtr-Gas'!BB17)*0.0038)</f>
        <v>17.86</v>
      </c>
      <c r="AZ15" s="74">
        <f>IF('Wtr-Gas'!BD17&lt;0,"0",('Wtr-Gas'!BD17)*0.0038)</f>
        <v>1.1399999999999999</v>
      </c>
      <c r="BA15" s="74">
        <f>IF('Wtr-Gas'!BF17&lt;0,"0",('Wtr-Gas'!BF17)*0.0038)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IF('Wtr-Gas'!AF18&lt;0,"0",('Wtr-Gas'!AF18)*0.0038)</f>
        <v>12.426</v>
      </c>
      <c r="AP16" s="74">
        <f>IF('Wtr-Gas'!AH18&lt;0,"0",('Wtr-Gas'!AH18)*0.0038)</f>
        <v>287.62200000000001</v>
      </c>
      <c r="AQ16" s="74">
        <f>IF('Wtr-Gas'!AJ18&lt;0,"0",('Wtr-Gas'!AJ18)*0.0038)</f>
        <v>46.2042</v>
      </c>
      <c r="AR16" s="74">
        <f>IF('Wtr-Gas'!AL18&lt;0,"0",('Wtr-Gas'!AL18)*0.0038)</f>
        <v>201.4</v>
      </c>
      <c r="AS16" s="74">
        <f>IF('Wtr-Gas'!AN18&lt;0,"0",('Wtr-Gas'!AN18)*0.0038)</f>
        <v>3.04E-2</v>
      </c>
      <c r="AT16" s="74">
        <f>IF('Wtr-Gas'!AP18&lt;0,"0",('Wtr-Gas'!AP18)*0.0038)</f>
        <v>5.7</v>
      </c>
      <c r="AU16" s="87">
        <f>IF('Wtr-Gas'!AT18&lt;0,"0",('Wtr-Gas'!AT18)*0.0038)</f>
        <v>0.1976</v>
      </c>
      <c r="AV16" s="74">
        <f>IF('Wtr-Gas'!AW18&lt;0,"0",('Wtr-Gas'!AW18)*0.0038)</f>
        <v>107.369</v>
      </c>
      <c r="AW16" s="74">
        <f>IF('Wtr-Gas'!AY18&lt;0,"0",('Wtr-Gas'!AY18)*0.0038)</f>
        <v>44.041429999999998</v>
      </c>
      <c r="AX16" s="74">
        <f>IF('Wtr-Gas'!AZ18&lt;0,"0",('Wtr-Gas'!AZ18)*0.0038)</f>
        <v>63.327570000000009</v>
      </c>
      <c r="AY16" s="74">
        <f>IF('Wtr-Gas'!BB18&lt;0,"0",('Wtr-Gas'!BB18)*0.0038)</f>
        <v>4.9400000000000004</v>
      </c>
      <c r="AZ16" s="74">
        <f>IF('Wtr-Gas'!BD18&lt;0,"0",('Wtr-Gas'!BD18)*0.0038)</f>
        <v>1.1399999999999999</v>
      </c>
      <c r="BA16" s="74">
        <f>IF('Wtr-Gas'!BF18&lt;0,"0",('Wtr-Gas'!BF18)*0.0038)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IF('Wtr-Gas'!AF19&lt;0,"0",('Wtr-Gas'!AF19)*0.0038)</f>
        <v>1.1399999999999999</v>
      </c>
      <c r="AP17" s="74">
        <f>IF('Wtr-Gas'!AH19&lt;0,"0",('Wtr-Gas'!AH19)*0.0038)</f>
        <v>58.33</v>
      </c>
      <c r="AQ17" s="74">
        <f>IF('Wtr-Gas'!AJ19&lt;0,"0",('Wtr-Gas'!AJ19)*0.0038)</f>
        <v>0</v>
      </c>
      <c r="AR17" s="74">
        <f>IF('Wtr-Gas'!AL19&lt;0,"0",('Wtr-Gas'!AL19)*0.0038)</f>
        <v>60.8</v>
      </c>
      <c r="AS17" s="74">
        <f>IF('Wtr-Gas'!AN19&lt;0,"0",('Wtr-Gas'!AN19)*0.0038)</f>
        <v>1.9E-2</v>
      </c>
      <c r="AT17" s="74">
        <f>IF('Wtr-Gas'!AP19&lt;0,"0",('Wtr-Gas'!AP19)*0.0038)</f>
        <v>2.66</v>
      </c>
      <c r="AU17" s="87">
        <f>IF('Wtr-Gas'!AT19&lt;0,"0",('Wtr-Gas'!AT19)*0.0038)</f>
        <v>0.19</v>
      </c>
      <c r="AV17" s="74">
        <f>IF('Wtr-Gas'!AW19&lt;0,"0",('Wtr-Gas'!AW19)*0.0038)</f>
        <v>83.204800000000006</v>
      </c>
      <c r="AW17" s="74">
        <f>IF('Wtr-Gas'!AY19&lt;0,"0",('Wtr-Gas'!AY19)*0.0038)</f>
        <v>102.640584</v>
      </c>
      <c r="AX17" s="74" t="str">
        <f>IF('Wtr-Gas'!AZ19&lt;0,"0",('Wtr-Gas'!AZ19)*0.0038)</f>
        <v>0</v>
      </c>
      <c r="AY17" s="74">
        <f>IF('Wtr-Gas'!BB19&lt;0,"0",('Wtr-Gas'!BB19)*0.0038)</f>
        <v>4.5599999999999996</v>
      </c>
      <c r="AZ17" s="74">
        <f>IF('Wtr-Gas'!BD19&lt;0,"0",('Wtr-Gas'!BD19)*0.0038)</f>
        <v>0.38</v>
      </c>
      <c r="BA17" s="74">
        <f>IF('Wtr-Gas'!BF19&lt;0,"0",('Wtr-Gas'!BF19)*0.0038)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IF('Wtr-Gas'!AF20&lt;0,"0",('Wtr-Gas'!AF20)*0.0038)</f>
        <v>11.438000000000001</v>
      </c>
      <c r="AP18" s="74">
        <f>IF('Wtr-Gas'!AH20&lt;0,"0",('Wtr-Gas'!AH20)*0.0038)</f>
        <v>319.99799999999999</v>
      </c>
      <c r="AQ18" s="74">
        <f>IF('Wtr-Gas'!AJ20&lt;0,"0",('Wtr-Gas'!AJ20)*0.0038)</f>
        <v>53.454599999999999</v>
      </c>
      <c r="AR18" s="74">
        <f>IF('Wtr-Gas'!AL20&lt;0,"0",('Wtr-Gas'!AL20)*0.0038)</f>
        <v>315.39999999999998</v>
      </c>
      <c r="AS18" s="74">
        <f>IF('Wtr-Gas'!AN20&lt;0,"0",('Wtr-Gas'!AN20)*0.0038)</f>
        <v>5.3199999999999997E-2</v>
      </c>
      <c r="AT18" s="74">
        <f>IF('Wtr-Gas'!AP20&lt;0,"0",('Wtr-Gas'!AP20)*0.0038)</f>
        <v>8.74</v>
      </c>
      <c r="AU18" s="87">
        <f>IF('Wtr-Gas'!AT20&lt;0,"0",('Wtr-Gas'!AT20)*0.0038)</f>
        <v>0.40660000000000002</v>
      </c>
      <c r="AV18" s="74">
        <f>IF('Wtr-Gas'!AW20&lt;0,"0",('Wtr-Gas'!AW20)*0.0038)</f>
        <v>200.93260000000001</v>
      </c>
      <c r="AW18" s="74">
        <f>IF('Wtr-Gas'!AY20&lt;0,"0",('Wtr-Gas'!AY20)*0.0038)</f>
        <v>150.952302</v>
      </c>
      <c r="AX18" s="74">
        <f>IF('Wtr-Gas'!AZ20&lt;0,"0",('Wtr-Gas'!AZ20)*0.0038)</f>
        <v>49.980297999999998</v>
      </c>
      <c r="AY18" s="74">
        <f>IF('Wtr-Gas'!BB20&lt;0,"0",('Wtr-Gas'!BB20)*0.0038)</f>
        <v>9.5</v>
      </c>
      <c r="AZ18" s="74">
        <f>IF('Wtr-Gas'!BD20&lt;0,"0",('Wtr-Gas'!BD20)*0.0038)</f>
        <v>1.52</v>
      </c>
      <c r="BA18" s="74">
        <f>IF('Wtr-Gas'!BF20&lt;0,"0",('Wtr-Gas'!BF20)*0.0038)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0</v>
      </c>
      <c r="F19" s="36">
        <f>IF(Elect!I21&lt;0,"0",Elect!I21)</f>
        <v>0</v>
      </c>
      <c r="G19" s="36">
        <f>Elect!H21</f>
        <v>0</v>
      </c>
      <c r="H19" s="36">
        <f>IF(Elect!F21&lt;0,"0",Elect!F21)</f>
        <v>0</v>
      </c>
      <c r="I19" s="36">
        <f>Elect!E21</f>
        <v>0</v>
      </c>
      <c r="J19" s="36">
        <f>IF(Elect!U21&lt;0,"0",Elect!U21)</f>
        <v>0</v>
      </c>
      <c r="K19" s="36">
        <f>Elect!T21</f>
        <v>0</v>
      </c>
      <c r="L19" s="36">
        <f>IF(Elect!AJ21&lt;0,"0",Elect!AJ21)</f>
        <v>0</v>
      </c>
      <c r="M19" s="36">
        <f>Elect!AI21</f>
        <v>0</v>
      </c>
      <c r="N19" s="36">
        <f>IF(Elect!X21&lt;0,"0",Elect!X21)</f>
        <v>0</v>
      </c>
      <c r="O19" s="36">
        <f>Elect!W21</f>
        <v>0</v>
      </c>
      <c r="P19" s="36">
        <f>IF(Elect!O21&lt;0,"0",Elect!O21)</f>
        <v>0</v>
      </c>
      <c r="Q19" s="36">
        <f>Elect!N21</f>
        <v>0</v>
      </c>
      <c r="R19" s="36">
        <f>IF(Elect!L21&lt;0,"0",Elect!L21)</f>
        <v>0</v>
      </c>
      <c r="S19" s="36">
        <f>Elect!K21</f>
        <v>0</v>
      </c>
      <c r="T19" s="36">
        <f>IF(Elect!R21&lt;0,"0",Elect!R21)</f>
        <v>0</v>
      </c>
      <c r="U19" s="36">
        <f>Elect!Q21</f>
        <v>0</v>
      </c>
      <c r="V19" s="36">
        <f>IF(Elect!AA21&lt;0,"0",Elect!AA21)</f>
        <v>0</v>
      </c>
      <c r="W19" s="36">
        <f>Elect!Z21</f>
        <v>0</v>
      </c>
      <c r="X19" s="36">
        <f>IF(Elect!AD21&lt;0,"0",Elect!AD21)</f>
        <v>0</v>
      </c>
      <c r="Y19" s="36">
        <f>Elect!AC21</f>
        <v>0</v>
      </c>
      <c r="Z19" s="36">
        <f>IF(Elect!AG21&lt;0,"0",Elect!AG21)</f>
        <v>0</v>
      </c>
      <c r="AA19" s="36">
        <f>Elect!AF21</f>
        <v>0</v>
      </c>
      <c r="AB19" s="36">
        <f>IF(Elect!AX21&lt;0,"0",Elect!AX21)</f>
        <v>0</v>
      </c>
      <c r="AC19" s="36">
        <f>IF(Elect!AV21&lt;0,"0",Elect!AV21)</f>
        <v>0</v>
      </c>
      <c r="AD19" s="36">
        <f>IF(Elect!AZ21&lt;0,"0",Elect!AZ21)</f>
        <v>0</v>
      </c>
      <c r="AE19" s="36">
        <f>IF(Elect!BB21&lt;0,"0",Elect!BB21)</f>
        <v>0</v>
      </c>
      <c r="AF19" s="74" t="str">
        <f>IF('Wtr-Gas'!E21&lt;0,"0",('Wtr-Gas'!E21)*0.0038)</f>
        <v>0</v>
      </c>
      <c r="AG19" s="74" t="str">
        <f>IF('Wtr-Gas'!H21&lt;0,"0",('Wtr-Gas'!H21)*0.0038)</f>
        <v>0</v>
      </c>
      <c r="AH19" s="74" t="str">
        <f>IF('Wtr-Gas'!K21&lt;0,"0",('Wtr-Gas'!K21)*0.0038)</f>
        <v>0</v>
      </c>
      <c r="AI19" s="74" t="str">
        <f>IF('Wtr-Gas'!N21&lt;0,"0",('Wtr-Gas'!N21)*0.0038)</f>
        <v>0</v>
      </c>
      <c r="AJ19" s="74" t="str">
        <f>IF('Wtr-Gas'!Q21&lt;0,"0",('Wtr-Gas'!Q21)*0.0038)</f>
        <v>0</v>
      </c>
      <c r="AK19" s="75" t="str">
        <f>IF('Wtr-Gas'!U21&lt;0,"0",('Wtr-Gas'!U21)*0.0038)</f>
        <v>0</v>
      </c>
      <c r="AL19" s="75" t="str">
        <f>IF('Wtr-Gas'!X21&lt;0,"0",('Wtr-Gas'!X21)*0.0038)</f>
        <v>0</v>
      </c>
      <c r="AM19" s="74">
        <f>IF('Wtr-Gas'!AB21&lt;0,"0",('Wtr-Gas'!AB21)*0.0038)</f>
        <v>0</v>
      </c>
      <c r="AN19" s="74">
        <f>IF('Wtr-Gas'!AD21&lt;0,"0",('Wtr-Gas'!AD21)*0.0038)</f>
        <v>0</v>
      </c>
      <c r="AO19" s="74">
        <f>IF('Wtr-Gas'!AF21&lt;0,"0",('Wtr-Gas'!AF21)*0.0038)</f>
        <v>0</v>
      </c>
      <c r="AP19" s="74">
        <f>IF('Wtr-Gas'!AH21&lt;0,"0",('Wtr-Gas'!AH21)*0.0038)</f>
        <v>0</v>
      </c>
      <c r="AQ19" s="74">
        <f>IF('Wtr-Gas'!AJ21&lt;0,"0",('Wtr-Gas'!AJ21)*0.0038)</f>
        <v>0</v>
      </c>
      <c r="AR19" s="74">
        <f>IF('Wtr-Gas'!AL21&lt;0,"0",('Wtr-Gas'!AL21)*0.0038)</f>
        <v>0</v>
      </c>
      <c r="AS19" s="74">
        <f>IF('Wtr-Gas'!AN21&lt;0,"0",('Wtr-Gas'!AN21)*0.0038)</f>
        <v>0</v>
      </c>
      <c r="AT19" s="74">
        <f>IF('Wtr-Gas'!AP21&lt;0,"0",('Wtr-Gas'!AP21)*0.0038)</f>
        <v>0</v>
      </c>
      <c r="AU19" s="87">
        <f>IF('Wtr-Gas'!AT21&lt;0,"0",('Wtr-Gas'!AT21)*0.0038)</f>
        <v>0</v>
      </c>
      <c r="AV19" s="74">
        <f>IF('Wtr-Gas'!AW21&lt;0,"0",('Wtr-Gas'!AW21)*0.0038)</f>
        <v>0</v>
      </c>
      <c r="AW19" s="74">
        <f>IF('Wtr-Gas'!AY21&lt;0,"0",('Wtr-Gas'!AY21)*0.0038)</f>
        <v>0</v>
      </c>
      <c r="AX19" s="74">
        <f>IF('Wtr-Gas'!AZ21&lt;0,"0",('Wtr-Gas'!AZ21)*0.0038)</f>
        <v>0</v>
      </c>
      <c r="AY19" s="74">
        <f>IF('Wtr-Gas'!BB21&lt;0,"0",('Wtr-Gas'!BB21)*0.0038)</f>
        <v>0</v>
      </c>
      <c r="AZ19" s="74">
        <f>IF('Wtr-Gas'!BD21&lt;0,"0",('Wtr-Gas'!BD21)*0.0038)</f>
        <v>0</v>
      </c>
      <c r="BA19" s="74">
        <f>IF('Wtr-Gas'!BF21&lt;0,"0",('Wtr-Gas'!BF21)*0.0038)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0</v>
      </c>
      <c r="F20" s="36">
        <f>IF(Elect!I22&lt;0,"0",Elect!I22)</f>
        <v>0</v>
      </c>
      <c r="G20" s="36">
        <f>Elect!H22</f>
        <v>0</v>
      </c>
      <c r="H20" s="36">
        <f>IF(Elect!F22&lt;0,"0",Elect!F22)</f>
        <v>0</v>
      </c>
      <c r="I20" s="36">
        <f>Elect!E22</f>
        <v>0</v>
      </c>
      <c r="J20" s="36">
        <f>IF(Elect!U22&lt;0,"0",Elect!U22)</f>
        <v>0</v>
      </c>
      <c r="K20" s="36">
        <f>Elect!T22</f>
        <v>0</v>
      </c>
      <c r="L20" s="36">
        <f>IF(Elect!AJ22&lt;0,"0",Elect!AJ22)</f>
        <v>0</v>
      </c>
      <c r="M20" s="36">
        <f>Elect!AI22</f>
        <v>0</v>
      </c>
      <c r="N20" s="36">
        <f>IF(Elect!X22&lt;0,"0",Elect!X22)</f>
        <v>0</v>
      </c>
      <c r="O20" s="36">
        <f>Elect!W22</f>
        <v>0</v>
      </c>
      <c r="P20" s="36">
        <f>IF(Elect!O22&lt;0,"0",Elect!O22)</f>
        <v>0</v>
      </c>
      <c r="Q20" s="36">
        <f>Elect!N22</f>
        <v>0</v>
      </c>
      <c r="R20" s="36">
        <f>IF(Elect!L22&lt;0,"0",Elect!L22)</f>
        <v>0</v>
      </c>
      <c r="S20" s="36">
        <f>Elect!K22</f>
        <v>0</v>
      </c>
      <c r="T20" s="36">
        <f>IF(Elect!R22&lt;0,"0",Elect!R22)</f>
        <v>0</v>
      </c>
      <c r="U20" s="36">
        <f>Elect!Q22</f>
        <v>0</v>
      </c>
      <c r="V20" s="36">
        <f>IF(Elect!AA22&lt;0,"0",Elect!AA22)</f>
        <v>0</v>
      </c>
      <c r="W20" s="36">
        <f>Elect!Z22</f>
        <v>0</v>
      </c>
      <c r="X20" s="36">
        <f>IF(Elect!AD22&lt;0,"0",Elect!AD22)</f>
        <v>0</v>
      </c>
      <c r="Y20" s="36">
        <f>Elect!AC22</f>
        <v>0</v>
      </c>
      <c r="Z20" s="36">
        <f>IF(Elect!AG22&lt;0,"0",Elect!AG22)</f>
        <v>0</v>
      </c>
      <c r="AA20" s="36">
        <f>Elect!AF22</f>
        <v>0</v>
      </c>
      <c r="AB20" s="36">
        <f>IF(Elect!AX22&lt;0,"0",Elect!AX22)</f>
        <v>0</v>
      </c>
      <c r="AC20" s="36">
        <f>IF(Elect!AV22&lt;0,"0",Elect!AV22)</f>
        <v>0</v>
      </c>
      <c r="AD20" s="36">
        <f>IF(Elect!AZ22&lt;0,"0",Elect!AZ22)</f>
        <v>0</v>
      </c>
      <c r="AE20" s="36">
        <f>IF(Elect!BB22&lt;0,"0",Elect!BB22)</f>
        <v>0</v>
      </c>
      <c r="AF20" s="74">
        <f>IF('Wtr-Gas'!E22&lt;0,"0",('Wtr-Gas'!E22)*0.0038)</f>
        <v>0</v>
      </c>
      <c r="AG20" s="74">
        <f>IF('Wtr-Gas'!H22&lt;0,"0",('Wtr-Gas'!H22)*0.0038)</f>
        <v>0</v>
      </c>
      <c r="AH20" s="74">
        <f>IF('Wtr-Gas'!K22&lt;0,"0",('Wtr-Gas'!K22)*0.0038)</f>
        <v>0</v>
      </c>
      <c r="AI20" s="74">
        <f>IF('Wtr-Gas'!N22&lt;0,"0",('Wtr-Gas'!N22)*0.0038)</f>
        <v>0</v>
      </c>
      <c r="AJ20" s="74">
        <f>IF('Wtr-Gas'!Q22&lt;0,"0",('Wtr-Gas'!Q22)*0.0038)</f>
        <v>0</v>
      </c>
      <c r="AK20" s="75">
        <f>IF('Wtr-Gas'!U22&lt;0,"0",('Wtr-Gas'!U22)*0.0038)</f>
        <v>0</v>
      </c>
      <c r="AL20" s="75">
        <f>IF('Wtr-Gas'!X22&lt;0,"0",('Wtr-Gas'!X22)*0.0038)</f>
        <v>0</v>
      </c>
      <c r="AM20" s="74">
        <f>IF('Wtr-Gas'!AB22&lt;0,"0",('Wtr-Gas'!AB22)*0.0038)</f>
        <v>0</v>
      </c>
      <c r="AN20" s="74">
        <f>IF('Wtr-Gas'!AD22&lt;0,"0",('Wtr-Gas'!AD22)*0.0038)</f>
        <v>0</v>
      </c>
      <c r="AO20" s="74">
        <f>IF('Wtr-Gas'!AF22&lt;0,"0",('Wtr-Gas'!AF22)*0.0038)</f>
        <v>0</v>
      </c>
      <c r="AP20" s="74">
        <f>IF('Wtr-Gas'!AH22&lt;0,"0",('Wtr-Gas'!AH22)*0.0038)</f>
        <v>0</v>
      </c>
      <c r="AQ20" s="74">
        <f>IF('Wtr-Gas'!AJ22&lt;0,"0",('Wtr-Gas'!AJ22)*0.0038)</f>
        <v>0</v>
      </c>
      <c r="AR20" s="74">
        <f>IF('Wtr-Gas'!AL22&lt;0,"0",('Wtr-Gas'!AL22)*0.0038)</f>
        <v>0</v>
      </c>
      <c r="AS20" s="74">
        <f>IF('Wtr-Gas'!AN22&lt;0,"0",('Wtr-Gas'!AN22)*0.0038)</f>
        <v>0</v>
      </c>
      <c r="AT20" s="74">
        <f>IF('Wtr-Gas'!AP22&lt;0,"0",('Wtr-Gas'!AP22)*0.0038)</f>
        <v>0</v>
      </c>
      <c r="AU20" s="87">
        <f>IF('Wtr-Gas'!AT22&lt;0,"0",('Wtr-Gas'!AT22)*0.0038)</f>
        <v>0</v>
      </c>
      <c r="AV20" s="74">
        <f>IF('Wtr-Gas'!AW22&lt;0,"0",('Wtr-Gas'!AW22)*0.0038)</f>
        <v>0</v>
      </c>
      <c r="AW20" s="74">
        <f>IF('Wtr-Gas'!AY22&lt;0,"0",('Wtr-Gas'!AY22)*0.0038)</f>
        <v>0</v>
      </c>
      <c r="AX20" s="74">
        <f>IF('Wtr-Gas'!AZ22&lt;0,"0",('Wtr-Gas'!AZ22)*0.0038)</f>
        <v>0</v>
      </c>
      <c r="AY20" s="74">
        <f>IF('Wtr-Gas'!BB22&lt;0,"0",('Wtr-Gas'!BB22)*0.0038)</f>
        <v>0</v>
      </c>
      <c r="AZ20" s="74">
        <f>IF('Wtr-Gas'!BD22&lt;0,"0",('Wtr-Gas'!BD22)*0.0038)</f>
        <v>0</v>
      </c>
      <c r="BA20" s="74">
        <f>IF('Wtr-Gas'!BF22&lt;0,"0",('Wtr-Gas'!BF22)*0.0038)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0</v>
      </c>
      <c r="F21" s="36">
        <f>IF(Elect!I23&lt;0,"0",Elect!I23)</f>
        <v>0</v>
      </c>
      <c r="G21" s="36">
        <f>Elect!H23</f>
        <v>0</v>
      </c>
      <c r="H21" s="36">
        <f>IF(Elect!F23&lt;0,"0",Elect!F23)</f>
        <v>0</v>
      </c>
      <c r="I21" s="36">
        <f>Elect!E23</f>
        <v>0</v>
      </c>
      <c r="J21" s="36">
        <f>IF(Elect!U23&lt;0,"0",Elect!U23)</f>
        <v>0</v>
      </c>
      <c r="K21" s="36">
        <f>Elect!T23</f>
        <v>0</v>
      </c>
      <c r="L21" s="36">
        <f>IF(Elect!AJ23&lt;0,"0",Elect!AJ23)</f>
        <v>0</v>
      </c>
      <c r="M21" s="36">
        <f>Elect!AI23</f>
        <v>0</v>
      </c>
      <c r="N21" s="36">
        <f>IF(Elect!X23&lt;0,"0",Elect!X23)</f>
        <v>0</v>
      </c>
      <c r="O21" s="36">
        <f>Elect!W23</f>
        <v>0</v>
      </c>
      <c r="P21" s="36">
        <f>IF(Elect!O23&lt;0,"0",Elect!O23)</f>
        <v>0</v>
      </c>
      <c r="Q21" s="36">
        <f>Elect!N23</f>
        <v>0</v>
      </c>
      <c r="R21" s="36">
        <f>IF(Elect!L23&lt;0,"0",Elect!L23)</f>
        <v>0</v>
      </c>
      <c r="S21" s="36">
        <f>Elect!K23</f>
        <v>0</v>
      </c>
      <c r="T21" s="36">
        <f>IF(Elect!R23&lt;0,"0",Elect!R23)</f>
        <v>0</v>
      </c>
      <c r="U21" s="36">
        <f>Elect!Q23</f>
        <v>0</v>
      </c>
      <c r="V21" s="36">
        <f>IF(Elect!AA23&lt;0,"0",Elect!AA23)</f>
        <v>0</v>
      </c>
      <c r="W21" s="36">
        <f>Elect!Z23</f>
        <v>0</v>
      </c>
      <c r="X21" s="36">
        <f>IF(Elect!AD23&lt;0,"0",Elect!AD23)</f>
        <v>0</v>
      </c>
      <c r="Y21" s="36">
        <f>Elect!AC23</f>
        <v>0</v>
      </c>
      <c r="Z21" s="36">
        <f>IF(Elect!AG23&lt;0,"0",Elect!AG23)</f>
        <v>0</v>
      </c>
      <c r="AA21" s="36">
        <f>Elect!AF23</f>
        <v>0</v>
      </c>
      <c r="AB21" s="36">
        <f>IF(Elect!AX23&lt;0,"0",Elect!AX23)</f>
        <v>0</v>
      </c>
      <c r="AC21" s="36">
        <f>IF(Elect!AV23&lt;0,"0",Elect!AV23)</f>
        <v>0</v>
      </c>
      <c r="AD21" s="36">
        <f>IF(Elect!AZ23&lt;0,"0",Elect!AZ23)</f>
        <v>0</v>
      </c>
      <c r="AE21" s="36">
        <f>IF(Elect!BB23&lt;0,"0",Elect!BB23)</f>
        <v>0</v>
      </c>
      <c r="AF21" s="74">
        <f>IF('Wtr-Gas'!E23&lt;0,"0",('Wtr-Gas'!E23)*0.0038)</f>
        <v>0</v>
      </c>
      <c r="AG21" s="74">
        <f>IF('Wtr-Gas'!H23&lt;0,"0",('Wtr-Gas'!H23)*0.0038)</f>
        <v>0</v>
      </c>
      <c r="AH21" s="74">
        <f>IF('Wtr-Gas'!K23&lt;0,"0",('Wtr-Gas'!K23)*0.0038)</f>
        <v>0</v>
      </c>
      <c r="AI21" s="74">
        <f>IF('Wtr-Gas'!N23&lt;0,"0",('Wtr-Gas'!N23)*0.0038)</f>
        <v>0</v>
      </c>
      <c r="AJ21" s="74">
        <f>IF('Wtr-Gas'!Q23&lt;0,"0",('Wtr-Gas'!Q23)*0.0038)</f>
        <v>0</v>
      </c>
      <c r="AK21" s="75">
        <f>IF('Wtr-Gas'!U23&lt;0,"0",('Wtr-Gas'!U23)*0.0038)</f>
        <v>0</v>
      </c>
      <c r="AL21" s="75">
        <f>IF('Wtr-Gas'!X23&lt;0,"0",('Wtr-Gas'!X23)*0.0038)</f>
        <v>0</v>
      </c>
      <c r="AM21" s="74">
        <f>IF('Wtr-Gas'!AB23&lt;0,"0",('Wtr-Gas'!AB23)*0.0038)</f>
        <v>0</v>
      </c>
      <c r="AN21" s="74">
        <f>IF('Wtr-Gas'!AD23&lt;0,"0",('Wtr-Gas'!AD23)*0.0038)</f>
        <v>0</v>
      </c>
      <c r="AO21" s="74">
        <f>IF('Wtr-Gas'!AF23&lt;0,"0",('Wtr-Gas'!AF23)*0.0038)</f>
        <v>0</v>
      </c>
      <c r="AP21" s="74">
        <f>IF('Wtr-Gas'!AH23&lt;0,"0",('Wtr-Gas'!AH23)*0.0038)</f>
        <v>0</v>
      </c>
      <c r="AQ21" s="74">
        <f>IF('Wtr-Gas'!AJ23&lt;0,"0",('Wtr-Gas'!AJ23)*0.0038)</f>
        <v>0</v>
      </c>
      <c r="AR21" s="74">
        <f>IF('Wtr-Gas'!AL23&lt;0,"0",('Wtr-Gas'!AL23)*0.0038)</f>
        <v>0</v>
      </c>
      <c r="AS21" s="74">
        <f>IF('Wtr-Gas'!AN23&lt;0,"0",('Wtr-Gas'!AN23)*0.0038)</f>
        <v>0</v>
      </c>
      <c r="AT21" s="74">
        <f>IF('Wtr-Gas'!AP23&lt;0,"0",('Wtr-Gas'!AP23)*0.0038)</f>
        <v>0</v>
      </c>
      <c r="AU21" s="87">
        <f>IF('Wtr-Gas'!AT23&lt;0,"0",('Wtr-Gas'!AT23)*0.0038)</f>
        <v>0</v>
      </c>
      <c r="AV21" s="74">
        <f>IF('Wtr-Gas'!AW23&lt;0,"0",('Wtr-Gas'!AW23)*0.0038)</f>
        <v>0</v>
      </c>
      <c r="AW21" s="74">
        <f>IF('Wtr-Gas'!AY23&lt;0,"0",('Wtr-Gas'!AY23)*0.0038)</f>
        <v>0</v>
      </c>
      <c r="AX21" s="74">
        <f>IF('Wtr-Gas'!AZ23&lt;0,"0",('Wtr-Gas'!AZ23)*0.0038)</f>
        <v>0</v>
      </c>
      <c r="AY21" s="74">
        <f>IF('Wtr-Gas'!BB23&lt;0,"0",('Wtr-Gas'!BB23)*0.0038)</f>
        <v>0</v>
      </c>
      <c r="AZ21" s="74">
        <f>IF('Wtr-Gas'!BD23&lt;0,"0",('Wtr-Gas'!BD23)*0.0038)</f>
        <v>0</v>
      </c>
      <c r="BA21" s="74">
        <f>IF('Wtr-Gas'!BF23&lt;0,"0",('Wtr-Gas'!BF23)*0.0038)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0</v>
      </c>
      <c r="H22" s="36">
        <f>IF(Elect!F24&lt;0,"0",Elect!F24)</f>
        <v>0</v>
      </c>
      <c r="I22" s="36">
        <f>Elect!E24</f>
        <v>0</v>
      </c>
      <c r="J22" s="36">
        <f>IF(Elect!U24&lt;0,"0",Elect!U24)</f>
        <v>0</v>
      </c>
      <c r="K22" s="36">
        <f>Elect!T24</f>
        <v>0</v>
      </c>
      <c r="L22" s="36">
        <f>IF(Elect!AJ24&lt;0,"0",Elect!AJ24)</f>
        <v>0</v>
      </c>
      <c r="M22" s="36">
        <f>Elect!AI24</f>
        <v>0</v>
      </c>
      <c r="N22" s="36">
        <f>IF(Elect!X24&lt;0,"0",Elect!X24)</f>
        <v>0</v>
      </c>
      <c r="O22" s="36">
        <f>Elect!W24</f>
        <v>0</v>
      </c>
      <c r="P22" s="36">
        <f>IF(Elect!O24&lt;0,"0",Elect!O24)</f>
        <v>0</v>
      </c>
      <c r="Q22" s="36">
        <f>Elect!N24</f>
        <v>0</v>
      </c>
      <c r="R22" s="36">
        <f>IF(Elect!L24&lt;0,"0",Elect!L24)</f>
        <v>0</v>
      </c>
      <c r="S22" s="36">
        <f>Elect!K24</f>
        <v>0</v>
      </c>
      <c r="T22" s="36">
        <f>IF(Elect!R24&lt;0,"0",Elect!R24)</f>
        <v>0</v>
      </c>
      <c r="U22" s="36">
        <f>Elect!Q24</f>
        <v>0</v>
      </c>
      <c r="V22" s="36">
        <f>IF(Elect!AA24&lt;0,"0",Elect!AA24)</f>
        <v>0</v>
      </c>
      <c r="W22" s="36">
        <f>Elect!Z24</f>
        <v>0</v>
      </c>
      <c r="X22" s="36">
        <f>IF(Elect!AD24&lt;0,"0",Elect!AD24)</f>
        <v>0</v>
      </c>
      <c r="Y22" s="36">
        <f>Elect!AC24</f>
        <v>0</v>
      </c>
      <c r="Z22" s="36">
        <f>IF(Elect!AG24&lt;0,"0",Elect!AG24)</f>
        <v>0</v>
      </c>
      <c r="AA22" s="36">
        <f>Elect!AF24</f>
        <v>0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IF('Wtr-Gas'!AF24&lt;0,"0",('Wtr-Gas'!AF24)*0.0038)</f>
        <v>0</v>
      </c>
      <c r="AP22" s="74">
        <f>IF('Wtr-Gas'!AH24&lt;0,"0",('Wtr-Gas'!AH24)*0.0038)</f>
        <v>0</v>
      </c>
      <c r="AQ22" s="74">
        <f>IF('Wtr-Gas'!AJ24&lt;0,"0",('Wtr-Gas'!AJ24)*0.0038)</f>
        <v>0</v>
      </c>
      <c r="AR22" s="74">
        <f>IF('Wtr-Gas'!AL24&lt;0,"0",('Wtr-Gas'!AL24)*0.0038)</f>
        <v>0</v>
      </c>
      <c r="AS22" s="74">
        <f>IF('Wtr-Gas'!AN24&lt;0,"0",('Wtr-Gas'!AN24)*0.0038)</f>
        <v>0</v>
      </c>
      <c r="AT22" s="74">
        <f>IF('Wtr-Gas'!AP24&lt;0,"0",('Wtr-Gas'!AP24)*0.0038)</f>
        <v>0</v>
      </c>
      <c r="AU22" s="87">
        <f>IF('Wtr-Gas'!AT24&lt;0,"0",('Wtr-Gas'!AT24)*0.0038)</f>
        <v>0</v>
      </c>
      <c r="AV22" s="74">
        <f>IF('Wtr-Gas'!AW24&lt;0,"0",('Wtr-Gas'!AW24)*0.0038)</f>
        <v>0</v>
      </c>
      <c r="AW22" s="74">
        <f>IF('Wtr-Gas'!AY24&lt;0,"0",('Wtr-Gas'!AY24)*0.0038)</f>
        <v>0</v>
      </c>
      <c r="AX22" s="74">
        <f>IF('Wtr-Gas'!AZ24&lt;0,"0",('Wtr-Gas'!AZ24)*0.0038)</f>
        <v>0</v>
      </c>
      <c r="AY22" s="74">
        <f>IF('Wtr-Gas'!BB24&lt;0,"0",('Wtr-Gas'!BB24)*0.0038)</f>
        <v>0</v>
      </c>
      <c r="AZ22" s="74">
        <f>IF('Wtr-Gas'!BD24&lt;0,"0",('Wtr-Gas'!BD24)*0.0038)</f>
        <v>0</v>
      </c>
      <c r="BA22" s="74">
        <f>IF('Wtr-Gas'!BF24&lt;0,"0",('Wtr-Gas'!BF24)*0.0038)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0</v>
      </c>
      <c r="F23" s="36">
        <f>IF(Elect!I25&lt;0,"0",Elect!I25)</f>
        <v>0</v>
      </c>
      <c r="G23" s="36">
        <f>Elect!H25</f>
        <v>0</v>
      </c>
      <c r="H23" s="36">
        <f>IF(Elect!F25&lt;0,"0",Elect!F25)</f>
        <v>0</v>
      </c>
      <c r="I23" s="36">
        <f>Elect!E25</f>
        <v>0</v>
      </c>
      <c r="J23" s="36">
        <f>IF(Elect!U25&lt;0,"0",Elect!U25)</f>
        <v>0</v>
      </c>
      <c r="K23" s="36">
        <f>Elect!T25</f>
        <v>0</v>
      </c>
      <c r="L23" s="36">
        <f>IF(Elect!AJ25&lt;0,"0",Elect!AJ25)</f>
        <v>0</v>
      </c>
      <c r="M23" s="36">
        <f>Elect!AI25</f>
        <v>0</v>
      </c>
      <c r="N23" s="36">
        <f>IF(Elect!X25&lt;0,"0",Elect!X25)</f>
        <v>0</v>
      </c>
      <c r="O23" s="36">
        <f>Elect!W25</f>
        <v>0</v>
      </c>
      <c r="P23" s="36">
        <f>IF(Elect!O25&lt;0,"0",Elect!O25)</f>
        <v>0</v>
      </c>
      <c r="Q23" s="36">
        <f>Elect!N25</f>
        <v>0</v>
      </c>
      <c r="R23" s="36">
        <f>IF(Elect!L25&lt;0,"0",Elect!L25)</f>
        <v>0</v>
      </c>
      <c r="S23" s="36">
        <f>Elect!K25</f>
        <v>0</v>
      </c>
      <c r="T23" s="36">
        <f>IF(Elect!R25&lt;0,"0",Elect!R25)</f>
        <v>0</v>
      </c>
      <c r="U23" s="36">
        <f>Elect!Q25</f>
        <v>0</v>
      </c>
      <c r="V23" s="36">
        <f>IF(Elect!AA25&lt;0,"0",Elect!AA25)</f>
        <v>0</v>
      </c>
      <c r="W23" s="36">
        <f>Elect!Z25</f>
        <v>0</v>
      </c>
      <c r="X23" s="36">
        <f>IF(Elect!AD25&lt;0,"0",Elect!AD25)</f>
        <v>0</v>
      </c>
      <c r="Y23" s="36">
        <f>Elect!AC25</f>
        <v>0</v>
      </c>
      <c r="Z23" s="36">
        <f>IF(Elect!AG25&lt;0,"0",Elect!AG25)</f>
        <v>0</v>
      </c>
      <c r="AA23" s="36">
        <f>Elect!AF25</f>
        <v>0</v>
      </c>
      <c r="AB23" s="36">
        <f>IF(Elect!AX25&lt;0,"0",Elect!AX25)</f>
        <v>0</v>
      </c>
      <c r="AC23" s="36">
        <f>IF(Elect!AV25&lt;0,"0",Elect!AV25)</f>
        <v>0</v>
      </c>
      <c r="AD23" s="36">
        <f>IF(Elect!AZ25&lt;0,"0",Elect!AZ25)</f>
        <v>0</v>
      </c>
      <c r="AE23" s="36">
        <f>IF(Elect!BB25&lt;0,"0",Elect!BB25)</f>
        <v>0</v>
      </c>
      <c r="AF23" s="74">
        <f>IF('Wtr-Gas'!E25&lt;0,"0",('Wtr-Gas'!E25)*0.0038)</f>
        <v>0</v>
      </c>
      <c r="AG23" s="74">
        <f>IF('Wtr-Gas'!H25&lt;0,"0",('Wtr-Gas'!H25)*0.0038)</f>
        <v>0</v>
      </c>
      <c r="AH23" s="74">
        <f>IF('Wtr-Gas'!K25&lt;0,"0",('Wtr-Gas'!K25)*0.0038)</f>
        <v>0</v>
      </c>
      <c r="AI23" s="74">
        <f>IF('Wtr-Gas'!N25&lt;0,"0",('Wtr-Gas'!N25)*0.0038)</f>
        <v>0</v>
      </c>
      <c r="AJ23" s="74">
        <f>IF('Wtr-Gas'!Q25&lt;0,"0",('Wtr-Gas'!Q25)*0.0038)</f>
        <v>0</v>
      </c>
      <c r="AK23" s="75">
        <f>IF('Wtr-Gas'!U25&lt;0,"0",('Wtr-Gas'!U25)*0.0038)</f>
        <v>0</v>
      </c>
      <c r="AL23" s="75">
        <f>IF('Wtr-Gas'!X25&lt;0,"0",('Wtr-Gas'!X25)*0.0038)</f>
        <v>0</v>
      </c>
      <c r="AM23" s="74">
        <f>IF('Wtr-Gas'!AB25&lt;0,"0",('Wtr-Gas'!AB25)*0.0038)</f>
        <v>0</v>
      </c>
      <c r="AN23" s="74">
        <f>IF('Wtr-Gas'!AD25&lt;0,"0",('Wtr-Gas'!AD25)*0.0038)</f>
        <v>0</v>
      </c>
      <c r="AO23" s="74">
        <f>IF('Wtr-Gas'!AF25&lt;0,"0",('Wtr-Gas'!AF25)*0.0038)</f>
        <v>0</v>
      </c>
      <c r="AP23" s="74">
        <f>IF('Wtr-Gas'!AH25&lt;0,"0",('Wtr-Gas'!AH25)*0.0038)</f>
        <v>0</v>
      </c>
      <c r="AQ23" s="74">
        <f>IF('Wtr-Gas'!AJ25&lt;0,"0",('Wtr-Gas'!AJ25)*0.0038)</f>
        <v>0</v>
      </c>
      <c r="AR23" s="74">
        <f>IF('Wtr-Gas'!AL25&lt;0,"0",('Wtr-Gas'!AL25)*0.0038)</f>
        <v>0</v>
      </c>
      <c r="AS23" s="74">
        <f>IF('Wtr-Gas'!AN25&lt;0,"0",('Wtr-Gas'!AN25)*0.0038)</f>
        <v>0</v>
      </c>
      <c r="AT23" s="74">
        <f>IF('Wtr-Gas'!AP25&lt;0,"0",('Wtr-Gas'!AP25)*0.0038)</f>
        <v>0</v>
      </c>
      <c r="AU23" s="87">
        <f>IF('Wtr-Gas'!AT25&lt;0,"0",('Wtr-Gas'!AT25)*0.0038)</f>
        <v>0</v>
      </c>
      <c r="AV23" s="74">
        <f>IF('Wtr-Gas'!AW25&lt;0,"0",('Wtr-Gas'!AW25)*0.0038)</f>
        <v>0</v>
      </c>
      <c r="AW23" s="74">
        <f>IF('Wtr-Gas'!AY25&lt;0,"0",('Wtr-Gas'!AY25)*0.0038)</f>
        <v>0</v>
      </c>
      <c r="AX23" s="74">
        <f>IF('Wtr-Gas'!AZ25&lt;0,"0",('Wtr-Gas'!AZ25)*0.0038)</f>
        <v>0</v>
      </c>
      <c r="AY23" s="74">
        <f>IF('Wtr-Gas'!BB25&lt;0,"0",('Wtr-Gas'!BB25)*0.0038)</f>
        <v>0</v>
      </c>
      <c r="AZ23" s="74">
        <f>IF('Wtr-Gas'!BD25&lt;0,"0",('Wtr-Gas'!BD25)*0.0038)</f>
        <v>0</v>
      </c>
      <c r="BA23" s="74">
        <f>IF('Wtr-Gas'!BF25&lt;0,"0",('Wtr-Gas'!BF25)*0.0038)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0</v>
      </c>
      <c r="F24" s="36">
        <f>IF(Elect!I26&lt;0,"0",Elect!I26)</f>
        <v>0</v>
      </c>
      <c r="G24" s="36">
        <f>Elect!H26</f>
        <v>0</v>
      </c>
      <c r="H24" s="36">
        <f>IF(Elect!F26&lt;0,"0",Elect!F26)</f>
        <v>0</v>
      </c>
      <c r="I24" s="36">
        <f>Elect!E26</f>
        <v>0</v>
      </c>
      <c r="J24" s="36">
        <f>IF(Elect!U26&lt;0,"0",Elect!U26)</f>
        <v>0</v>
      </c>
      <c r="K24" s="36">
        <f>Elect!T26</f>
        <v>0</v>
      </c>
      <c r="L24" s="36">
        <f>IF(Elect!AJ26&lt;0,"0",Elect!AJ26)</f>
        <v>0</v>
      </c>
      <c r="M24" s="36">
        <f>Elect!AI26</f>
        <v>0</v>
      </c>
      <c r="N24" s="36">
        <f>IF(Elect!X26&lt;0,"0",Elect!X26)</f>
        <v>0</v>
      </c>
      <c r="O24" s="36">
        <f>Elect!W26</f>
        <v>0</v>
      </c>
      <c r="P24" s="36">
        <f>IF(Elect!O26&lt;0,"0",Elect!O26)</f>
        <v>0</v>
      </c>
      <c r="Q24" s="36">
        <f>Elect!N26</f>
        <v>0</v>
      </c>
      <c r="R24" s="36">
        <f>IF(Elect!L26&lt;0,"0",Elect!L26)</f>
        <v>0</v>
      </c>
      <c r="S24" s="36">
        <f>Elect!K26</f>
        <v>0</v>
      </c>
      <c r="T24" s="36">
        <f>IF(Elect!R26&lt;0,"0",Elect!R26)</f>
        <v>0</v>
      </c>
      <c r="U24" s="36">
        <f>Elect!Q26</f>
        <v>0</v>
      </c>
      <c r="V24" s="36">
        <f>IF(Elect!AA26&lt;0,"0",Elect!AA26)</f>
        <v>0</v>
      </c>
      <c r="W24" s="36">
        <f>Elect!Z26</f>
        <v>0</v>
      </c>
      <c r="X24" s="36">
        <f>IF(Elect!AD26&lt;0,"0",Elect!AD26)</f>
        <v>0</v>
      </c>
      <c r="Y24" s="36">
        <f>Elect!AC26</f>
        <v>0</v>
      </c>
      <c r="Z24" s="36">
        <f>IF(Elect!AG26&lt;0,"0",Elect!AG26)</f>
        <v>0</v>
      </c>
      <c r="AA24" s="36">
        <f>Elect!AF26</f>
        <v>0</v>
      </c>
      <c r="AB24" s="36">
        <f>IF(Elect!AX26&lt;0,"0",Elect!AX26)</f>
        <v>0</v>
      </c>
      <c r="AC24" s="36">
        <f>IF(Elect!AV26&lt;0,"0",Elect!AV26)</f>
        <v>0</v>
      </c>
      <c r="AD24" s="36">
        <f>IF(Elect!AZ26&lt;0,"0",Elect!AZ26)</f>
        <v>0</v>
      </c>
      <c r="AE24" s="36">
        <f>IF(Elect!BB26&lt;0,"0",Elect!BB26)</f>
        <v>0</v>
      </c>
      <c r="AF24" s="74">
        <f>IF('Wtr-Gas'!E26&lt;0,"0",('Wtr-Gas'!E26)*0.0038)</f>
        <v>0</v>
      </c>
      <c r="AG24" s="74">
        <f>IF('Wtr-Gas'!H26&lt;0,"0",('Wtr-Gas'!H26)*0.0038)</f>
        <v>0</v>
      </c>
      <c r="AH24" s="74">
        <f>IF('Wtr-Gas'!K26&lt;0,"0",('Wtr-Gas'!K26)*0.0038)</f>
        <v>0</v>
      </c>
      <c r="AI24" s="74">
        <f>IF('Wtr-Gas'!N26&lt;0,"0",('Wtr-Gas'!N26)*0.0038)</f>
        <v>0</v>
      </c>
      <c r="AJ24" s="74">
        <f>IF('Wtr-Gas'!Q26&lt;0,"0",('Wtr-Gas'!Q26)*0.0038)</f>
        <v>0</v>
      </c>
      <c r="AK24" s="75">
        <f>IF('Wtr-Gas'!U26&lt;0,"0",('Wtr-Gas'!U26)*0.0038)</f>
        <v>0</v>
      </c>
      <c r="AL24" s="75">
        <f>IF('Wtr-Gas'!X26&lt;0,"0",('Wtr-Gas'!X26)*0.0038)</f>
        <v>0</v>
      </c>
      <c r="AM24" s="74">
        <f>IF('Wtr-Gas'!AB26&lt;0,"0",('Wtr-Gas'!AB26)*0.0038)</f>
        <v>0</v>
      </c>
      <c r="AN24" s="74">
        <f>IF('Wtr-Gas'!AD26&lt;0,"0",('Wtr-Gas'!AD26)*0.0038)</f>
        <v>0</v>
      </c>
      <c r="AO24" s="74">
        <f>IF('Wtr-Gas'!AF26&lt;0,"0",('Wtr-Gas'!AF26)*0.0038)</f>
        <v>0</v>
      </c>
      <c r="AP24" s="74">
        <f>IF('Wtr-Gas'!AH26&lt;0,"0",('Wtr-Gas'!AH26)*0.0038)</f>
        <v>0</v>
      </c>
      <c r="AQ24" s="74">
        <f>IF('Wtr-Gas'!AJ26&lt;0,"0",('Wtr-Gas'!AJ26)*0.0038)</f>
        <v>0</v>
      </c>
      <c r="AR24" s="74">
        <f>IF('Wtr-Gas'!AL26&lt;0,"0",('Wtr-Gas'!AL26)*0.0038)</f>
        <v>0</v>
      </c>
      <c r="AS24" s="74">
        <f>IF('Wtr-Gas'!AN26&lt;0,"0",('Wtr-Gas'!AN26)*0.0038)</f>
        <v>0</v>
      </c>
      <c r="AT24" s="74">
        <f>IF('Wtr-Gas'!AP26&lt;0,"0",('Wtr-Gas'!AP26)*0.0038)</f>
        <v>0</v>
      </c>
      <c r="AU24" s="87">
        <f>IF('Wtr-Gas'!AT26&lt;0,"0",('Wtr-Gas'!AT26)*0.0038)</f>
        <v>0</v>
      </c>
      <c r="AV24" s="74">
        <f>IF('Wtr-Gas'!AW26&lt;0,"0",('Wtr-Gas'!AW26)*0.0038)</f>
        <v>0</v>
      </c>
      <c r="AW24" s="74">
        <f>IF('Wtr-Gas'!AY26&lt;0,"0",('Wtr-Gas'!AY26)*0.0038)</f>
        <v>0</v>
      </c>
      <c r="AX24" s="74">
        <f>IF('Wtr-Gas'!AZ26&lt;0,"0",('Wtr-Gas'!AZ26)*0.0038)</f>
        <v>0</v>
      </c>
      <c r="AY24" s="74">
        <f>IF('Wtr-Gas'!BB26&lt;0,"0",('Wtr-Gas'!BB26)*0.0038)</f>
        <v>0</v>
      </c>
      <c r="AZ24" s="74">
        <f>IF('Wtr-Gas'!BD26&lt;0,"0",('Wtr-Gas'!BD26)*0.0038)</f>
        <v>0</v>
      </c>
      <c r="BA24" s="74">
        <f>IF('Wtr-Gas'!BF26&lt;0,"0",('Wtr-Gas'!BF26)*0.0038)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0</v>
      </c>
      <c r="F25" s="36">
        <f>IF(Elect!I27&lt;0,"0",Elect!I27)</f>
        <v>0</v>
      </c>
      <c r="G25" s="36">
        <f>Elect!H27</f>
        <v>0</v>
      </c>
      <c r="H25" s="36">
        <f>IF(Elect!F27&lt;0,"0",Elect!F27)</f>
        <v>0</v>
      </c>
      <c r="I25" s="36">
        <f>Elect!E27</f>
        <v>0</v>
      </c>
      <c r="J25" s="36">
        <f>IF(Elect!U27&lt;0,"0",Elect!U27)</f>
        <v>0</v>
      </c>
      <c r="K25" s="36">
        <f>Elect!T27</f>
        <v>0</v>
      </c>
      <c r="L25" s="36">
        <f>IF(Elect!AJ27&lt;0,"0",Elect!AJ27)</f>
        <v>0</v>
      </c>
      <c r="M25" s="36">
        <f>Elect!AI27</f>
        <v>0</v>
      </c>
      <c r="N25" s="36">
        <f>IF(Elect!X27&lt;0,"0",Elect!X27)</f>
        <v>0</v>
      </c>
      <c r="O25" s="36">
        <f>Elect!W27</f>
        <v>0</v>
      </c>
      <c r="P25" s="36">
        <f>IF(Elect!O27&lt;0,"0",Elect!O27)</f>
        <v>0</v>
      </c>
      <c r="Q25" s="36">
        <f>Elect!N27</f>
        <v>0</v>
      </c>
      <c r="R25" s="36">
        <f>IF(Elect!L27&lt;0,"0",Elect!L27)</f>
        <v>0</v>
      </c>
      <c r="S25" s="36">
        <f>Elect!K27</f>
        <v>0</v>
      </c>
      <c r="T25" s="36">
        <f>IF(Elect!R27&lt;0,"0",Elect!R27)</f>
        <v>0</v>
      </c>
      <c r="U25" s="36">
        <f>Elect!Q27</f>
        <v>0</v>
      </c>
      <c r="V25" s="36">
        <f>IF(Elect!AA27&lt;0,"0",Elect!AA27)</f>
        <v>0</v>
      </c>
      <c r="W25" s="36">
        <f>Elect!Z27</f>
        <v>0</v>
      </c>
      <c r="X25" s="36">
        <f>IF(Elect!AD27&lt;0,"0",Elect!AD27)</f>
        <v>0</v>
      </c>
      <c r="Y25" s="36">
        <f>Elect!AC27</f>
        <v>0</v>
      </c>
      <c r="Z25" s="36">
        <f>IF(Elect!AG27&lt;0,"0",Elect!AG27)</f>
        <v>0</v>
      </c>
      <c r="AA25" s="36">
        <f>Elect!AF27</f>
        <v>0</v>
      </c>
      <c r="AB25" s="36">
        <f>IF(Elect!AX27&lt;0,"0",Elect!AX27)</f>
        <v>0</v>
      </c>
      <c r="AC25" s="36">
        <f>IF(Elect!AV27&lt;0,"0",Elect!AV27)</f>
        <v>0</v>
      </c>
      <c r="AD25" s="36">
        <f>IF(Elect!AZ27&lt;0,"0",Elect!AZ27)</f>
        <v>0</v>
      </c>
      <c r="AE25" s="36">
        <f>IF(Elect!BB27&lt;0,"0",Elect!BB27)</f>
        <v>0</v>
      </c>
      <c r="AF25" s="74">
        <f>IF('Wtr-Gas'!E27&lt;0,"0",('Wtr-Gas'!E27)*0.0038)</f>
        <v>0</v>
      </c>
      <c r="AG25" s="74">
        <f>IF('Wtr-Gas'!H27&lt;0,"0",('Wtr-Gas'!H27)*0.0038)</f>
        <v>0</v>
      </c>
      <c r="AH25" s="74">
        <f>IF('Wtr-Gas'!K27&lt;0,"0",('Wtr-Gas'!K27)*0.0038)</f>
        <v>0</v>
      </c>
      <c r="AI25" s="74">
        <f>IF('Wtr-Gas'!N27&lt;0,"0",('Wtr-Gas'!N27)*0.0038)</f>
        <v>0</v>
      </c>
      <c r="AJ25" s="74">
        <f>IF('Wtr-Gas'!Q27&lt;0,"0",('Wtr-Gas'!Q27)*0.0038)</f>
        <v>0</v>
      </c>
      <c r="AK25" s="75">
        <f>IF('Wtr-Gas'!U27&lt;0,"0",('Wtr-Gas'!U27)*0.0038)</f>
        <v>0</v>
      </c>
      <c r="AL25" s="75">
        <f>IF('Wtr-Gas'!X27&lt;0,"0",('Wtr-Gas'!X27)*0.0038)</f>
        <v>0</v>
      </c>
      <c r="AM25" s="74">
        <f>IF('Wtr-Gas'!AB27&lt;0,"0",('Wtr-Gas'!AB27)*0.0038)</f>
        <v>0</v>
      </c>
      <c r="AN25" s="74">
        <f>IF('Wtr-Gas'!AD27&lt;0,"0",('Wtr-Gas'!AD27)*0.0038)</f>
        <v>0</v>
      </c>
      <c r="AO25" s="74">
        <f>IF('Wtr-Gas'!AF27&lt;0,"0",('Wtr-Gas'!AF27)*0.0038)</f>
        <v>0</v>
      </c>
      <c r="AP25" s="74">
        <f>IF('Wtr-Gas'!AH27&lt;0,"0",('Wtr-Gas'!AH27)*0.0038)</f>
        <v>0</v>
      </c>
      <c r="AQ25" s="74">
        <f>IF('Wtr-Gas'!AJ27&lt;0,"0",('Wtr-Gas'!AJ27)*0.0038)</f>
        <v>0</v>
      </c>
      <c r="AR25" s="74">
        <f>IF('Wtr-Gas'!AL27&lt;0,"0",('Wtr-Gas'!AL27)*0.0038)</f>
        <v>0</v>
      </c>
      <c r="AS25" s="74">
        <f>IF('Wtr-Gas'!AN27&lt;0,"0",('Wtr-Gas'!AN27)*0.0038)</f>
        <v>0</v>
      </c>
      <c r="AT25" s="74">
        <f>IF('Wtr-Gas'!AP27&lt;0,"0",('Wtr-Gas'!AP27)*0.0038)</f>
        <v>0</v>
      </c>
      <c r="AU25" s="87">
        <f>IF('Wtr-Gas'!AT27&lt;0,"0",('Wtr-Gas'!AT27)*0.0038)</f>
        <v>0</v>
      </c>
      <c r="AV25" s="74">
        <f>IF('Wtr-Gas'!AW27&lt;0,"0",('Wtr-Gas'!AW27)*0.0038)</f>
        <v>0</v>
      </c>
      <c r="AW25" s="74">
        <f>IF('Wtr-Gas'!AY27&lt;0,"0",('Wtr-Gas'!AY27)*0.0038)</f>
        <v>0</v>
      </c>
      <c r="AX25" s="74">
        <f>IF('Wtr-Gas'!AZ27&lt;0,"0",('Wtr-Gas'!AZ27)*0.0038)</f>
        <v>0</v>
      </c>
      <c r="AY25" s="74">
        <f>IF('Wtr-Gas'!BB27&lt;0,"0",('Wtr-Gas'!BB27)*0.0038)</f>
        <v>0</v>
      </c>
      <c r="AZ25" s="74">
        <f>IF('Wtr-Gas'!BD27&lt;0,"0",('Wtr-Gas'!BD27)*0.0038)</f>
        <v>0</v>
      </c>
      <c r="BA25" s="74">
        <f>IF('Wtr-Gas'!BF27&lt;0,"0",('Wtr-Gas'!BF27)*0.0038)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0</v>
      </c>
      <c r="F26" s="36">
        <f>IF(Elect!I28&lt;0,"0",Elect!I28)</f>
        <v>0</v>
      </c>
      <c r="G26" s="36">
        <f>Elect!H28</f>
        <v>0</v>
      </c>
      <c r="H26" s="36">
        <f>IF(Elect!F28&lt;0,"0",Elect!F28)</f>
        <v>0</v>
      </c>
      <c r="I26" s="36">
        <f>Elect!E28</f>
        <v>0</v>
      </c>
      <c r="J26" s="36">
        <f>IF(Elect!U28&lt;0,"0",Elect!U28)</f>
        <v>0</v>
      </c>
      <c r="K26" s="36">
        <f>Elect!T28</f>
        <v>0</v>
      </c>
      <c r="L26" s="36">
        <f>IF(Elect!AJ28&lt;0,"0",Elect!AJ28)</f>
        <v>0</v>
      </c>
      <c r="M26" s="36">
        <f>Elect!AI28</f>
        <v>0</v>
      </c>
      <c r="N26" s="36">
        <f>IF(Elect!X28&lt;0,"0",Elect!X28)</f>
        <v>0</v>
      </c>
      <c r="O26" s="36">
        <f>Elect!W28</f>
        <v>0</v>
      </c>
      <c r="P26" s="36">
        <f>IF(Elect!O28&lt;0,"0",Elect!O28)</f>
        <v>0</v>
      </c>
      <c r="Q26" s="36">
        <f>Elect!N28</f>
        <v>0</v>
      </c>
      <c r="R26" s="36">
        <f>IF(Elect!L28&lt;0,"0",Elect!L28)</f>
        <v>0</v>
      </c>
      <c r="S26" s="36">
        <f>Elect!K28</f>
        <v>0</v>
      </c>
      <c r="T26" s="36">
        <f>IF(Elect!R28&lt;0,"0",Elect!R28)</f>
        <v>0</v>
      </c>
      <c r="U26" s="36">
        <f>Elect!Q28</f>
        <v>0</v>
      </c>
      <c r="V26" s="36">
        <f>IF(Elect!AA28&lt;0,"0",Elect!AA28)</f>
        <v>0</v>
      </c>
      <c r="W26" s="36">
        <f>Elect!Z28</f>
        <v>0</v>
      </c>
      <c r="X26" s="36">
        <f>IF(Elect!AD28&lt;0,"0",Elect!AD28)</f>
        <v>0</v>
      </c>
      <c r="Y26" s="36">
        <f>Elect!AC28</f>
        <v>0</v>
      </c>
      <c r="Z26" s="36">
        <f>IF(Elect!AG28&lt;0,"0",Elect!AG28)</f>
        <v>0</v>
      </c>
      <c r="AA26" s="36">
        <f>Elect!AF28</f>
        <v>0</v>
      </c>
      <c r="AB26" s="36">
        <f>IF(Elect!AX28&lt;0,"0",Elect!AX28)</f>
        <v>0</v>
      </c>
      <c r="AC26" s="36">
        <f>IF(Elect!AV28&lt;0,"0",Elect!AV28)</f>
        <v>0</v>
      </c>
      <c r="AD26" s="36">
        <f>IF(Elect!AZ28&lt;0,"0",Elect!AZ28)</f>
        <v>0</v>
      </c>
      <c r="AE26" s="36">
        <f>IF(Elect!BB28&lt;0,"0",Elect!BB28)</f>
        <v>0</v>
      </c>
      <c r="AF26" s="74">
        <f>IF('Wtr-Gas'!E28&lt;0,"0",('Wtr-Gas'!E28)*0.0038)</f>
        <v>0</v>
      </c>
      <c r="AG26" s="74">
        <f>IF('Wtr-Gas'!H28&lt;0,"0",('Wtr-Gas'!H28)*0.0038)</f>
        <v>0</v>
      </c>
      <c r="AH26" s="74">
        <f>IF('Wtr-Gas'!K28&lt;0,"0",('Wtr-Gas'!K28)*0.0038)</f>
        <v>0</v>
      </c>
      <c r="AI26" s="74">
        <f>IF('Wtr-Gas'!N28&lt;0,"0",('Wtr-Gas'!N28)*0.0038)</f>
        <v>0</v>
      </c>
      <c r="AJ26" s="74">
        <f>IF('Wtr-Gas'!Q28&lt;0,"0",('Wtr-Gas'!Q28)*0.0038)</f>
        <v>0</v>
      </c>
      <c r="AK26" s="75">
        <f>IF('Wtr-Gas'!U28&lt;0,"0",('Wtr-Gas'!U28)*0.0038)</f>
        <v>0</v>
      </c>
      <c r="AL26" s="75">
        <f>IF('Wtr-Gas'!X28&lt;0,"0",('Wtr-Gas'!X28)*0.0038)</f>
        <v>0</v>
      </c>
      <c r="AM26" s="74">
        <f>IF('Wtr-Gas'!AB28&lt;0,"0",('Wtr-Gas'!AB28)*0.0038)</f>
        <v>0</v>
      </c>
      <c r="AN26" s="74">
        <f>IF('Wtr-Gas'!AD28&lt;0,"0",('Wtr-Gas'!AD28)*0.0038)</f>
        <v>0</v>
      </c>
      <c r="AO26" s="74">
        <f>IF('Wtr-Gas'!AF28&lt;0,"0",('Wtr-Gas'!AF28)*0.0038)</f>
        <v>0</v>
      </c>
      <c r="AP26" s="74">
        <f>IF('Wtr-Gas'!AH28&lt;0,"0",('Wtr-Gas'!AH28)*0.0038)</f>
        <v>0</v>
      </c>
      <c r="AQ26" s="74">
        <f>IF('Wtr-Gas'!AJ28&lt;0,"0",('Wtr-Gas'!AJ28)*0.0038)</f>
        <v>0</v>
      </c>
      <c r="AR26" s="74">
        <f>IF('Wtr-Gas'!AL28&lt;0,"0",('Wtr-Gas'!AL28)*0.0038)</f>
        <v>0</v>
      </c>
      <c r="AS26" s="74">
        <f>IF('Wtr-Gas'!AN28&lt;0,"0",('Wtr-Gas'!AN28)*0.0038)</f>
        <v>0</v>
      </c>
      <c r="AT26" s="74">
        <f>IF('Wtr-Gas'!AP28&lt;0,"0",('Wtr-Gas'!AP28)*0.0038)</f>
        <v>0</v>
      </c>
      <c r="AU26" s="87">
        <f>IF('Wtr-Gas'!AT28&lt;0,"0",('Wtr-Gas'!AT28)*0.0038)</f>
        <v>0</v>
      </c>
      <c r="AV26" s="74">
        <f>IF('Wtr-Gas'!AW28&lt;0,"0",('Wtr-Gas'!AW28)*0.0038)</f>
        <v>0</v>
      </c>
      <c r="AW26" s="74">
        <f>IF('Wtr-Gas'!AY28&lt;0,"0",('Wtr-Gas'!AY28)*0.0038)</f>
        <v>0</v>
      </c>
      <c r="AX26" s="74">
        <f>IF('Wtr-Gas'!AZ28&lt;0,"0",('Wtr-Gas'!AZ28)*0.0038)</f>
        <v>0</v>
      </c>
      <c r="AY26" s="74">
        <f>IF('Wtr-Gas'!BB28&lt;0,"0",('Wtr-Gas'!BB28)*0.0038)</f>
        <v>0</v>
      </c>
      <c r="AZ26" s="74">
        <f>IF('Wtr-Gas'!BD28&lt;0,"0",('Wtr-Gas'!BD28)*0.0038)</f>
        <v>0</v>
      </c>
      <c r="BA26" s="74">
        <f>IF('Wtr-Gas'!BF28&lt;0,"0",('Wtr-Gas'!BF28)*0.0038)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0</v>
      </c>
      <c r="F27" s="36">
        <f>IF(Elect!I29&lt;0,"0",Elect!I29)</f>
        <v>0</v>
      </c>
      <c r="G27" s="36">
        <f>Elect!H29</f>
        <v>0</v>
      </c>
      <c r="H27" s="36">
        <f>IF(Elect!F29&lt;0,"0",Elect!F29)</f>
        <v>0</v>
      </c>
      <c r="I27" s="36">
        <f>Elect!E29</f>
        <v>0</v>
      </c>
      <c r="J27" s="36">
        <f>IF(Elect!U29&lt;0,"0",Elect!U29)</f>
        <v>0</v>
      </c>
      <c r="K27" s="36">
        <f>Elect!T29</f>
        <v>0</v>
      </c>
      <c r="L27" s="36">
        <f>IF(Elect!AJ29&lt;0,"0",Elect!AJ29)</f>
        <v>0</v>
      </c>
      <c r="M27" s="36">
        <f>Elect!AI29</f>
        <v>0</v>
      </c>
      <c r="N27" s="36">
        <f>IF(Elect!X29&lt;0,"0",Elect!X29)</f>
        <v>0</v>
      </c>
      <c r="O27" s="36">
        <f>Elect!W29</f>
        <v>0</v>
      </c>
      <c r="P27" s="36">
        <f>IF(Elect!O29&lt;0,"0",Elect!O29)</f>
        <v>0</v>
      </c>
      <c r="Q27" s="36">
        <f>Elect!N29</f>
        <v>0</v>
      </c>
      <c r="R27" s="36">
        <f>IF(Elect!L29&lt;0,"0",Elect!L29)</f>
        <v>0</v>
      </c>
      <c r="S27" s="36">
        <f>Elect!K29</f>
        <v>0</v>
      </c>
      <c r="T27" s="36">
        <f>IF(Elect!R29&lt;0,"0",Elect!R29)</f>
        <v>0</v>
      </c>
      <c r="U27" s="36">
        <f>Elect!Q29</f>
        <v>0</v>
      </c>
      <c r="V27" s="36">
        <f>IF(Elect!AA29&lt;0,"0",Elect!AA29)</f>
        <v>0</v>
      </c>
      <c r="W27" s="36">
        <f>Elect!Z29</f>
        <v>0</v>
      </c>
      <c r="X27" s="36">
        <f>IF(Elect!AD29&lt;0,"0",Elect!AD29)</f>
        <v>0</v>
      </c>
      <c r="Y27" s="36">
        <f>Elect!AC29</f>
        <v>0</v>
      </c>
      <c r="Z27" s="36">
        <f>IF(Elect!AG29&lt;0,"0",Elect!AG29)</f>
        <v>0</v>
      </c>
      <c r="AA27" s="36">
        <f>Elect!AF29</f>
        <v>0</v>
      </c>
      <c r="AB27" s="36">
        <f>IF(Elect!AX29&lt;0,"0",Elect!AX29)</f>
        <v>0</v>
      </c>
      <c r="AC27" s="36">
        <f>IF(Elect!AV29&lt;0,"0",Elect!AV29)</f>
        <v>0</v>
      </c>
      <c r="AD27" s="36">
        <f>IF(Elect!AZ29&lt;0,"0",Elect!AZ29)</f>
        <v>0</v>
      </c>
      <c r="AE27" s="36">
        <f>IF(Elect!BB29&lt;0,"0",Elect!BB29)</f>
        <v>0</v>
      </c>
      <c r="AF27" s="74">
        <f>IF('Wtr-Gas'!E29&lt;0,"0",('Wtr-Gas'!E29)*0.0038)</f>
        <v>0</v>
      </c>
      <c r="AG27" s="74">
        <f>IF('Wtr-Gas'!H29&lt;0,"0",('Wtr-Gas'!H29)*0.0038)</f>
        <v>0</v>
      </c>
      <c r="AH27" s="74">
        <f>IF('Wtr-Gas'!K29&lt;0,"0",('Wtr-Gas'!K29)*0.0038)</f>
        <v>0</v>
      </c>
      <c r="AI27" s="74">
        <f>IF('Wtr-Gas'!N29&lt;0,"0",('Wtr-Gas'!N29)*0.0038)</f>
        <v>0</v>
      </c>
      <c r="AJ27" s="74">
        <f>IF('Wtr-Gas'!Q29&lt;0,"0",('Wtr-Gas'!Q29)*0.0038)</f>
        <v>0</v>
      </c>
      <c r="AK27" s="75">
        <f>IF('Wtr-Gas'!U29&lt;0,"0",('Wtr-Gas'!U29)*0.0038)</f>
        <v>0</v>
      </c>
      <c r="AL27" s="75">
        <f>IF('Wtr-Gas'!X29&lt;0,"0",('Wtr-Gas'!X29)*0.0038)</f>
        <v>0</v>
      </c>
      <c r="AM27" s="74">
        <f>IF('Wtr-Gas'!AB29&lt;0,"0",('Wtr-Gas'!AB29)*0.0038)</f>
        <v>0</v>
      </c>
      <c r="AN27" s="74">
        <f>IF('Wtr-Gas'!AD29&lt;0,"0",('Wtr-Gas'!AD29)*0.0038)</f>
        <v>0</v>
      </c>
      <c r="AO27" s="74">
        <f>IF('Wtr-Gas'!AF29&lt;0,"0",('Wtr-Gas'!AF29)*0.0038)</f>
        <v>0</v>
      </c>
      <c r="AP27" s="74">
        <f>IF('Wtr-Gas'!AH29&lt;0,"0",('Wtr-Gas'!AH29)*0.0038)</f>
        <v>0</v>
      </c>
      <c r="AQ27" s="74">
        <f>IF('Wtr-Gas'!AJ29&lt;0,"0",('Wtr-Gas'!AJ29)*0.0038)</f>
        <v>0</v>
      </c>
      <c r="AR27" s="74">
        <f>IF('Wtr-Gas'!AL29&lt;0,"0",('Wtr-Gas'!AL29)*0.0038)</f>
        <v>0</v>
      </c>
      <c r="AS27" s="74">
        <f>IF('Wtr-Gas'!AN29&lt;0,"0",('Wtr-Gas'!AN29)*0.0038)</f>
        <v>0</v>
      </c>
      <c r="AT27" s="74">
        <f>IF('Wtr-Gas'!AP29&lt;0,"0",('Wtr-Gas'!AP29)*0.0038)</f>
        <v>0</v>
      </c>
      <c r="AU27" s="87">
        <f>IF('Wtr-Gas'!AT29&lt;0,"0",('Wtr-Gas'!AT29)*0.0038)</f>
        <v>0</v>
      </c>
      <c r="AV27" s="74">
        <f>IF('Wtr-Gas'!AW29&lt;0,"0",('Wtr-Gas'!AW29)*0.0038)</f>
        <v>0</v>
      </c>
      <c r="AW27" s="74">
        <f>IF('Wtr-Gas'!AY29&lt;0,"0",('Wtr-Gas'!AY29)*0.0038)</f>
        <v>0</v>
      </c>
      <c r="AX27" s="74">
        <f>IF('Wtr-Gas'!AZ29&lt;0,"0",('Wtr-Gas'!AZ29)*0.0038)</f>
        <v>0</v>
      </c>
      <c r="AY27" s="74">
        <f>IF('Wtr-Gas'!BB29&lt;0,"0",('Wtr-Gas'!BB29)*0.0038)</f>
        <v>0</v>
      </c>
      <c r="AZ27" s="74">
        <f>IF('Wtr-Gas'!BD29&lt;0,"0",('Wtr-Gas'!BD29)*0.0038)</f>
        <v>0</v>
      </c>
      <c r="BA27" s="74">
        <f>IF('Wtr-Gas'!BF29&lt;0,"0",('Wtr-Gas'!BF29)*0.0038)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0</v>
      </c>
      <c r="F28" s="36">
        <f>IF(Elect!I30&lt;0,"0",Elect!I30)</f>
        <v>0</v>
      </c>
      <c r="G28" s="36">
        <f>Elect!H30</f>
        <v>0</v>
      </c>
      <c r="H28" s="36">
        <f>IF(Elect!F30&lt;0,"0",Elect!F30)</f>
        <v>0</v>
      </c>
      <c r="I28" s="36">
        <f>Elect!E30</f>
        <v>0</v>
      </c>
      <c r="J28" s="36">
        <f>IF(Elect!U30&lt;0,"0",Elect!U30)</f>
        <v>0</v>
      </c>
      <c r="K28" s="36">
        <f>Elect!T30</f>
        <v>0</v>
      </c>
      <c r="L28" s="36">
        <f>IF(Elect!AJ30&lt;0,"0",Elect!AJ30)</f>
        <v>0</v>
      </c>
      <c r="M28" s="36">
        <f>Elect!AI30</f>
        <v>0</v>
      </c>
      <c r="N28" s="36">
        <f>IF(Elect!X30&lt;0,"0",Elect!X30)</f>
        <v>0</v>
      </c>
      <c r="O28" s="36">
        <f>Elect!W30</f>
        <v>0</v>
      </c>
      <c r="P28" s="36">
        <f>IF(Elect!O30&lt;0,"0",Elect!O30)</f>
        <v>0</v>
      </c>
      <c r="Q28" s="36">
        <f>Elect!N30</f>
        <v>0</v>
      </c>
      <c r="R28" s="36">
        <f>IF(Elect!L30&lt;0,"0",Elect!L30)</f>
        <v>0</v>
      </c>
      <c r="S28" s="36">
        <f>Elect!K30</f>
        <v>0</v>
      </c>
      <c r="T28" s="36">
        <f>IF(Elect!R30&lt;0,"0",Elect!R30)</f>
        <v>0</v>
      </c>
      <c r="U28" s="36">
        <f>Elect!Q30</f>
        <v>0</v>
      </c>
      <c r="V28" s="36">
        <f>IF(Elect!AA30&lt;0,"0",Elect!AA30)</f>
        <v>0</v>
      </c>
      <c r="W28" s="36">
        <f>Elect!Z30</f>
        <v>0</v>
      </c>
      <c r="X28" s="36">
        <f>IF(Elect!AD30&lt;0,"0",Elect!AD30)</f>
        <v>0</v>
      </c>
      <c r="Y28" s="36">
        <f>Elect!AC30</f>
        <v>0</v>
      </c>
      <c r="Z28" s="36">
        <f>IF(Elect!AG30&lt;0,"0",Elect!AG30)</f>
        <v>0</v>
      </c>
      <c r="AA28" s="36">
        <f>Elect!AF30</f>
        <v>0</v>
      </c>
      <c r="AB28" s="36">
        <f>IF(Elect!AX30&lt;0,"0",Elect!AX30)</f>
        <v>0</v>
      </c>
      <c r="AC28" s="36">
        <f>IF(Elect!AV30&lt;0,"0",Elect!AV30)</f>
        <v>0</v>
      </c>
      <c r="AD28" s="36">
        <f>IF(Elect!AZ30&lt;0,"0",Elect!AZ30)</f>
        <v>0</v>
      </c>
      <c r="AE28" s="36">
        <f>IF(Elect!BB30&lt;0,"0",Elect!BB30)</f>
        <v>0</v>
      </c>
      <c r="AF28" s="74">
        <f>IF('Wtr-Gas'!E30&lt;0,"0",('Wtr-Gas'!E30)*0.0038)</f>
        <v>0</v>
      </c>
      <c r="AG28" s="74">
        <f>IF('Wtr-Gas'!H30&lt;0,"0",('Wtr-Gas'!H30)*0.0038)</f>
        <v>0</v>
      </c>
      <c r="AH28" s="74">
        <f>IF('Wtr-Gas'!K30&lt;0,"0",('Wtr-Gas'!K30)*0.0038)</f>
        <v>0</v>
      </c>
      <c r="AI28" s="74">
        <f>IF('Wtr-Gas'!N30&lt;0,"0",('Wtr-Gas'!N30)*0.0038)</f>
        <v>0</v>
      </c>
      <c r="AJ28" s="74">
        <f>IF('Wtr-Gas'!Q30&lt;0,"0",('Wtr-Gas'!Q30)*0.0038)</f>
        <v>0</v>
      </c>
      <c r="AK28" s="75">
        <f>IF('Wtr-Gas'!U30&lt;0,"0",('Wtr-Gas'!U30)*0.0038)</f>
        <v>0</v>
      </c>
      <c r="AL28" s="75">
        <f>IF('Wtr-Gas'!X30&lt;0,"0",('Wtr-Gas'!X30)*0.0038)</f>
        <v>0</v>
      </c>
      <c r="AM28" s="74">
        <f>IF('Wtr-Gas'!AB30&lt;0,"0",('Wtr-Gas'!AB30)*0.0038)</f>
        <v>0</v>
      </c>
      <c r="AN28" s="74">
        <f>IF('Wtr-Gas'!AD30&lt;0,"0",('Wtr-Gas'!AD30)*0.0038)</f>
        <v>0</v>
      </c>
      <c r="AO28" s="74">
        <f>IF('Wtr-Gas'!AF30&lt;0,"0",('Wtr-Gas'!AF30)*0.0038)</f>
        <v>0</v>
      </c>
      <c r="AP28" s="74">
        <f>IF('Wtr-Gas'!AH30&lt;0,"0",('Wtr-Gas'!AH30)*0.0038)</f>
        <v>0</v>
      </c>
      <c r="AQ28" s="74">
        <f>IF('Wtr-Gas'!AJ30&lt;0,"0",('Wtr-Gas'!AJ30)*0.0038)</f>
        <v>0</v>
      </c>
      <c r="AR28" s="74">
        <f>IF('Wtr-Gas'!AL30&lt;0,"0",('Wtr-Gas'!AL30)*0.0038)</f>
        <v>0</v>
      </c>
      <c r="AS28" s="74">
        <f>IF('Wtr-Gas'!AN30&lt;0,"0",('Wtr-Gas'!AN30)*0.0038)</f>
        <v>0</v>
      </c>
      <c r="AT28" s="74">
        <f>IF('Wtr-Gas'!AP30&lt;0,"0",('Wtr-Gas'!AP30)*0.0038)</f>
        <v>0</v>
      </c>
      <c r="AU28" s="87">
        <f>IF('Wtr-Gas'!AT30&lt;0,"0",('Wtr-Gas'!AT30)*0.0038)</f>
        <v>0</v>
      </c>
      <c r="AV28" s="74">
        <f>IF('Wtr-Gas'!AW30&lt;0,"0",('Wtr-Gas'!AW30)*0.0038)</f>
        <v>0</v>
      </c>
      <c r="AW28" s="74">
        <f>IF('Wtr-Gas'!AY30&lt;0,"0",('Wtr-Gas'!AY30)*0.0038)</f>
        <v>0</v>
      </c>
      <c r="AX28" s="74">
        <f>IF('Wtr-Gas'!AZ30&lt;0,"0",('Wtr-Gas'!AZ30)*0.0038)</f>
        <v>0</v>
      </c>
      <c r="AY28" s="74">
        <f>IF('Wtr-Gas'!BB30&lt;0,"0",('Wtr-Gas'!BB30)*0.0038)</f>
        <v>0</v>
      </c>
      <c r="AZ28" s="74">
        <f>IF('Wtr-Gas'!BD30&lt;0,"0",('Wtr-Gas'!BD30)*0.0038)</f>
        <v>0</v>
      </c>
      <c r="BA28" s="74">
        <f>IF('Wtr-Gas'!BF30&lt;0,"0",('Wtr-Gas'!BF30)*0.0038)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0</v>
      </c>
      <c r="F29" s="36">
        <f>IF(Elect!I31&lt;0,"0",Elect!I31)</f>
        <v>0</v>
      </c>
      <c r="G29" s="36">
        <f>Elect!H31</f>
        <v>0</v>
      </c>
      <c r="H29" s="36">
        <f>IF(Elect!F31&lt;0,"0",Elect!F31)</f>
        <v>0</v>
      </c>
      <c r="I29" s="36">
        <f>Elect!E31</f>
        <v>0</v>
      </c>
      <c r="J29" s="36">
        <f>IF(Elect!U31&lt;0,"0",Elect!U31)</f>
        <v>0</v>
      </c>
      <c r="K29" s="36">
        <f>Elect!T31</f>
        <v>0</v>
      </c>
      <c r="L29" s="36">
        <f>IF(Elect!AJ31&lt;0,"0",Elect!AJ31)</f>
        <v>0</v>
      </c>
      <c r="M29" s="36">
        <f>Elect!AI31</f>
        <v>0</v>
      </c>
      <c r="N29" s="36">
        <f>IF(Elect!X31&lt;0,"0",Elect!X31)</f>
        <v>0</v>
      </c>
      <c r="O29" s="36">
        <f>Elect!W31</f>
        <v>0</v>
      </c>
      <c r="P29" s="36">
        <f>IF(Elect!O31&lt;0,"0",Elect!O31)</f>
        <v>0</v>
      </c>
      <c r="Q29" s="36">
        <f>Elect!N31</f>
        <v>0</v>
      </c>
      <c r="R29" s="36">
        <f>IF(Elect!L31&lt;0,"0",Elect!L31)</f>
        <v>0</v>
      </c>
      <c r="S29" s="36">
        <f>Elect!K31</f>
        <v>0</v>
      </c>
      <c r="T29" s="36">
        <f>IF(Elect!R31&lt;0,"0",Elect!R31)</f>
        <v>0</v>
      </c>
      <c r="U29" s="36">
        <f>Elect!Q31</f>
        <v>0</v>
      </c>
      <c r="V29" s="36">
        <f>IF(Elect!AA31&lt;0,"0",Elect!AA31)</f>
        <v>0</v>
      </c>
      <c r="W29" s="36">
        <f>Elect!Z31</f>
        <v>0</v>
      </c>
      <c r="X29" s="36">
        <f>IF(Elect!AD31&lt;0,"0",Elect!AD31)</f>
        <v>0</v>
      </c>
      <c r="Y29" s="36">
        <f>Elect!AC31</f>
        <v>0</v>
      </c>
      <c r="Z29" s="36">
        <f>IF(Elect!AG31&lt;0,"0",Elect!AG31)</f>
        <v>0</v>
      </c>
      <c r="AA29" s="36">
        <f>Elect!AF31</f>
        <v>0</v>
      </c>
      <c r="AB29" s="36">
        <f>IF(Elect!AX31&lt;0,"0",Elect!AX31)</f>
        <v>0</v>
      </c>
      <c r="AC29" s="36">
        <f>IF(Elect!AV31&lt;0,"0",Elect!AV31)</f>
        <v>0</v>
      </c>
      <c r="AD29" s="36">
        <f>IF(Elect!AZ31&lt;0,"0",Elect!AZ31)</f>
        <v>0</v>
      </c>
      <c r="AE29" s="36">
        <f>IF(Elect!BB31&lt;0,"0",Elect!BB31)</f>
        <v>0</v>
      </c>
      <c r="AF29" s="74">
        <f>IF('Wtr-Gas'!E31&lt;0,"0",('Wtr-Gas'!E31)*0.0038)</f>
        <v>0</v>
      </c>
      <c r="AG29" s="74">
        <f>IF('Wtr-Gas'!H31&lt;0,"0",('Wtr-Gas'!H31)*0.0038)</f>
        <v>0</v>
      </c>
      <c r="AH29" s="74">
        <f>IF('Wtr-Gas'!K31&lt;0,"0",('Wtr-Gas'!K31)*0.0038)</f>
        <v>0</v>
      </c>
      <c r="AI29" s="74">
        <f>IF('Wtr-Gas'!N31&lt;0,"0",('Wtr-Gas'!N31)*0.0038)</f>
        <v>0</v>
      </c>
      <c r="AJ29" s="74">
        <f>IF('Wtr-Gas'!Q31&lt;0,"0",('Wtr-Gas'!Q31)*0.0038)</f>
        <v>0</v>
      </c>
      <c r="AK29" s="75">
        <f>IF('Wtr-Gas'!U31&lt;0,"0",('Wtr-Gas'!U31)*0.0038)</f>
        <v>0</v>
      </c>
      <c r="AL29" s="75">
        <f>IF('Wtr-Gas'!X31&lt;0,"0",('Wtr-Gas'!X31)*0.0038)</f>
        <v>0</v>
      </c>
      <c r="AM29" s="74">
        <f>IF('Wtr-Gas'!AB31&lt;0,"0",('Wtr-Gas'!AB31)*0.0038)</f>
        <v>0</v>
      </c>
      <c r="AN29" s="74">
        <f>IF('Wtr-Gas'!AD31&lt;0,"0",('Wtr-Gas'!AD31)*0.0038)</f>
        <v>0</v>
      </c>
      <c r="AO29" s="74">
        <f>IF('Wtr-Gas'!AF31&lt;0,"0",('Wtr-Gas'!AF31)*0.0038)</f>
        <v>0</v>
      </c>
      <c r="AP29" s="74">
        <f>IF('Wtr-Gas'!AH31&lt;0,"0",('Wtr-Gas'!AH31)*0.0038)</f>
        <v>0</v>
      </c>
      <c r="AQ29" s="74">
        <f>IF('Wtr-Gas'!AJ31&lt;0,"0",('Wtr-Gas'!AJ31)*0.0038)</f>
        <v>0</v>
      </c>
      <c r="AR29" s="74">
        <f>IF('Wtr-Gas'!AL31&lt;0,"0",('Wtr-Gas'!AL31)*0.0038)</f>
        <v>0</v>
      </c>
      <c r="AS29" s="74">
        <f>IF('Wtr-Gas'!AN31&lt;0,"0",('Wtr-Gas'!AN31)*0.0038)</f>
        <v>0</v>
      </c>
      <c r="AT29" s="74">
        <f>IF('Wtr-Gas'!AP31&lt;0,"0",('Wtr-Gas'!AP31)*0.0038)</f>
        <v>0</v>
      </c>
      <c r="AU29" s="87">
        <f>IF('Wtr-Gas'!AT31&lt;0,"0",('Wtr-Gas'!AT31)*0.0038)</f>
        <v>0</v>
      </c>
      <c r="AV29" s="74">
        <f>IF('Wtr-Gas'!AW31&lt;0,"0",('Wtr-Gas'!AW31)*0.0038)</f>
        <v>0</v>
      </c>
      <c r="AW29" s="74">
        <f>IF('Wtr-Gas'!AY31&lt;0,"0",('Wtr-Gas'!AY31)*0.0038)</f>
        <v>0</v>
      </c>
      <c r="AX29" s="74">
        <f>IF('Wtr-Gas'!AZ31&lt;0,"0",('Wtr-Gas'!AZ31)*0.0038)</f>
        <v>0</v>
      </c>
      <c r="AY29" s="74">
        <f>IF('Wtr-Gas'!BB31&lt;0,"0",('Wtr-Gas'!BB31)*0.0038)</f>
        <v>0</v>
      </c>
      <c r="AZ29" s="74">
        <f>IF('Wtr-Gas'!BD31&lt;0,"0",('Wtr-Gas'!BD31)*0.0038)</f>
        <v>0</v>
      </c>
      <c r="BA29" s="74">
        <f>IF('Wtr-Gas'!BF31&lt;0,"0",('Wtr-Gas'!BF31)*0.0038)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0</v>
      </c>
      <c r="F30" s="36">
        <f>IF(Elect!I32&lt;0,"0",Elect!I32)</f>
        <v>0</v>
      </c>
      <c r="G30" s="36">
        <f>Elect!H32</f>
        <v>0</v>
      </c>
      <c r="H30" s="36">
        <f>IF(Elect!F32&lt;0,"0",Elect!F32)</f>
        <v>0</v>
      </c>
      <c r="I30" s="36">
        <f>Elect!E32</f>
        <v>0</v>
      </c>
      <c r="J30" s="36">
        <f>IF(Elect!U32&lt;0,"0",Elect!U32)</f>
        <v>0</v>
      </c>
      <c r="K30" s="36">
        <f>Elect!T32</f>
        <v>0</v>
      </c>
      <c r="L30" s="36">
        <f>IF(Elect!AJ32&lt;0,"0",Elect!AJ32)</f>
        <v>0</v>
      </c>
      <c r="M30" s="36">
        <f>Elect!AI32</f>
        <v>0</v>
      </c>
      <c r="N30" s="36">
        <f>IF(Elect!X32&lt;0,"0",Elect!X32)</f>
        <v>0</v>
      </c>
      <c r="O30" s="36">
        <f>Elect!W32</f>
        <v>0</v>
      </c>
      <c r="P30" s="36">
        <f>IF(Elect!O32&lt;0,"0",Elect!O32)</f>
        <v>0</v>
      </c>
      <c r="Q30" s="36">
        <f>Elect!N32</f>
        <v>0</v>
      </c>
      <c r="R30" s="36">
        <f>IF(Elect!L32&lt;0,"0",Elect!L32)</f>
        <v>0</v>
      </c>
      <c r="S30" s="36">
        <f>Elect!K32</f>
        <v>0</v>
      </c>
      <c r="T30" s="36">
        <f>IF(Elect!R32&lt;0,"0",Elect!R32)</f>
        <v>0</v>
      </c>
      <c r="U30" s="36">
        <f>Elect!Q32</f>
        <v>0</v>
      </c>
      <c r="V30" s="36">
        <f>IF(Elect!AA32&lt;0,"0",Elect!AA32)</f>
        <v>0</v>
      </c>
      <c r="W30" s="36">
        <f>Elect!Z32</f>
        <v>0</v>
      </c>
      <c r="X30" s="36">
        <f>IF(Elect!AD32&lt;0,"0",Elect!AD32)</f>
        <v>0</v>
      </c>
      <c r="Y30" s="36">
        <f>Elect!AC32</f>
        <v>0</v>
      </c>
      <c r="Z30" s="36">
        <f>IF(Elect!AG32&lt;0,"0",Elect!AG32)</f>
        <v>0</v>
      </c>
      <c r="AA30" s="36">
        <f>Elect!AF32</f>
        <v>0</v>
      </c>
      <c r="AB30" s="36">
        <f>IF(Elect!AX32&lt;0,"0",Elect!AX32)</f>
        <v>0</v>
      </c>
      <c r="AC30" s="36">
        <f>IF(Elect!AV32&lt;0,"0",Elect!AV32)</f>
        <v>0</v>
      </c>
      <c r="AD30" s="36">
        <f>IF(Elect!AZ32&lt;0,"0",Elect!AZ32)</f>
        <v>0</v>
      </c>
      <c r="AE30" s="36">
        <f>IF(Elect!BB32&lt;0,"0",Elect!BB32)</f>
        <v>0</v>
      </c>
      <c r="AF30" s="74">
        <f>IF('Wtr-Gas'!E32&lt;0,"0",('Wtr-Gas'!E32)*0.0038)</f>
        <v>0</v>
      </c>
      <c r="AG30" s="74">
        <f>IF('Wtr-Gas'!H32&lt;0,"0",('Wtr-Gas'!H32)*0.0038)</f>
        <v>0</v>
      </c>
      <c r="AH30" s="74">
        <f>IF('Wtr-Gas'!K32&lt;0,"0",('Wtr-Gas'!K32)*0.0038)</f>
        <v>0</v>
      </c>
      <c r="AI30" s="74">
        <f>IF('Wtr-Gas'!N32&lt;0,"0",('Wtr-Gas'!N32)*0.0038)</f>
        <v>0</v>
      </c>
      <c r="AJ30" s="74">
        <f>IF('Wtr-Gas'!Q32&lt;0,"0",('Wtr-Gas'!Q32)*0.0038)</f>
        <v>0</v>
      </c>
      <c r="AK30" s="75">
        <f>IF('Wtr-Gas'!U32&lt;0,"0",('Wtr-Gas'!U32)*0.0038)</f>
        <v>0</v>
      </c>
      <c r="AL30" s="75">
        <f>IF('Wtr-Gas'!X32&lt;0,"0",('Wtr-Gas'!X32)*0.0038)</f>
        <v>0</v>
      </c>
      <c r="AM30" s="74">
        <f>IF('Wtr-Gas'!AB32&lt;0,"0",('Wtr-Gas'!AB32)*0.0038)</f>
        <v>0</v>
      </c>
      <c r="AN30" s="74">
        <f>IF('Wtr-Gas'!AD32&lt;0,"0",('Wtr-Gas'!AD32)*0.0038)</f>
        <v>0</v>
      </c>
      <c r="AO30" s="74">
        <f>IF('Wtr-Gas'!AF32&lt;0,"0",('Wtr-Gas'!AF32)*0.0038)</f>
        <v>0</v>
      </c>
      <c r="AP30" s="74">
        <f>IF('Wtr-Gas'!AH32&lt;0,"0",('Wtr-Gas'!AH32)*0.0038)</f>
        <v>0</v>
      </c>
      <c r="AQ30" s="74">
        <f>IF('Wtr-Gas'!AJ32&lt;0,"0",('Wtr-Gas'!AJ32)*0.0038)</f>
        <v>0</v>
      </c>
      <c r="AR30" s="74">
        <f>IF('Wtr-Gas'!AL32&lt;0,"0",('Wtr-Gas'!AL32)*0.0038)</f>
        <v>0</v>
      </c>
      <c r="AS30" s="74">
        <f>IF('Wtr-Gas'!AN32&lt;0,"0",('Wtr-Gas'!AN32)*0.0038)</f>
        <v>0</v>
      </c>
      <c r="AT30" s="74">
        <f>IF('Wtr-Gas'!AP32&lt;0,"0",('Wtr-Gas'!AP32)*0.0038)</f>
        <v>0</v>
      </c>
      <c r="AU30" s="87">
        <f>IF('Wtr-Gas'!AT32&lt;0,"0",('Wtr-Gas'!AT32)*0.0038)</f>
        <v>0</v>
      </c>
      <c r="AV30" s="74">
        <f>IF('Wtr-Gas'!AW32&lt;0,"0",('Wtr-Gas'!AW32)*0.0038)</f>
        <v>0</v>
      </c>
      <c r="AW30" s="74">
        <f>IF('Wtr-Gas'!AY32&lt;0,"0",('Wtr-Gas'!AY32)*0.0038)</f>
        <v>0</v>
      </c>
      <c r="AX30" s="74">
        <f>IF('Wtr-Gas'!AZ32&lt;0,"0",('Wtr-Gas'!AZ32)*0.0038)</f>
        <v>0</v>
      </c>
      <c r="AY30" s="74">
        <f>IF('Wtr-Gas'!BB32&lt;0,"0",('Wtr-Gas'!BB32)*0.0038)</f>
        <v>0</v>
      </c>
      <c r="AZ30" s="74">
        <f>IF('Wtr-Gas'!BD32&lt;0,"0",('Wtr-Gas'!BD32)*0.0038)</f>
        <v>0</v>
      </c>
      <c r="BA30" s="74">
        <f>IF('Wtr-Gas'!BF32&lt;0,"0",('Wtr-Gas'!BF32)*0.0038)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0</v>
      </c>
      <c r="F31" s="36">
        <f>IF(Elect!I33&lt;0,"0",Elect!I33)</f>
        <v>0</v>
      </c>
      <c r="G31" s="36">
        <f>Elect!H33</f>
        <v>0</v>
      </c>
      <c r="H31" s="36">
        <f>IF(Elect!F33&lt;0,"0",Elect!F33)</f>
        <v>0</v>
      </c>
      <c r="I31" s="36">
        <f>Elect!E33</f>
        <v>0</v>
      </c>
      <c r="J31" s="36">
        <f>IF(Elect!U33&lt;0,"0",Elect!U33)</f>
        <v>0</v>
      </c>
      <c r="K31" s="36">
        <f>Elect!T33</f>
        <v>0</v>
      </c>
      <c r="L31" s="36">
        <f>IF(Elect!AJ33&lt;0,"0",Elect!AJ33)</f>
        <v>0</v>
      </c>
      <c r="M31" s="36">
        <f>Elect!AI33</f>
        <v>0</v>
      </c>
      <c r="N31" s="36">
        <f>IF(Elect!X33&lt;0,"0",Elect!X33)</f>
        <v>0</v>
      </c>
      <c r="O31" s="36">
        <f>Elect!W33</f>
        <v>0</v>
      </c>
      <c r="P31" s="36">
        <f>IF(Elect!O33&lt;0,"0",Elect!O33)</f>
        <v>0</v>
      </c>
      <c r="Q31" s="36">
        <f>Elect!N33</f>
        <v>0</v>
      </c>
      <c r="R31" s="36">
        <f>IF(Elect!L33&lt;0,"0",Elect!L33)</f>
        <v>0</v>
      </c>
      <c r="S31" s="36">
        <f>Elect!K33</f>
        <v>0</v>
      </c>
      <c r="T31" s="36">
        <f>IF(Elect!R33&lt;0,"0",Elect!R33)</f>
        <v>0</v>
      </c>
      <c r="U31" s="36">
        <f>Elect!Q33</f>
        <v>0</v>
      </c>
      <c r="V31" s="36">
        <f>IF(Elect!AA33&lt;0,"0",Elect!AA33)</f>
        <v>0</v>
      </c>
      <c r="W31" s="36">
        <f>Elect!Z33</f>
        <v>0</v>
      </c>
      <c r="X31" s="36">
        <f>IF(Elect!AD33&lt;0,"0",Elect!AD33)</f>
        <v>0</v>
      </c>
      <c r="Y31" s="36">
        <f>Elect!AC33</f>
        <v>0</v>
      </c>
      <c r="Z31" s="36">
        <f>IF(Elect!AG33&lt;0,"0",Elect!AG33)</f>
        <v>0</v>
      </c>
      <c r="AA31" s="36">
        <f>Elect!AF33</f>
        <v>0</v>
      </c>
      <c r="AB31" s="36">
        <f>IF(Elect!AX33&lt;0,"0",Elect!AX33)</f>
        <v>0</v>
      </c>
      <c r="AC31" s="36">
        <f>IF(Elect!AV33&lt;0,"0",Elect!AV33)</f>
        <v>0</v>
      </c>
      <c r="AD31" s="36">
        <f>IF(Elect!AZ33&lt;0,"0",Elect!AZ33)</f>
        <v>0</v>
      </c>
      <c r="AE31" s="36">
        <f>IF(Elect!BB33&lt;0,"0",Elect!BB33)</f>
        <v>0</v>
      </c>
      <c r="AF31" s="74">
        <f>IF('Wtr-Gas'!E33&lt;0,"0",('Wtr-Gas'!E33)*0.0038)</f>
        <v>0</v>
      </c>
      <c r="AG31" s="74">
        <f>IF('Wtr-Gas'!H33&lt;0,"0",('Wtr-Gas'!H33)*0.0038)</f>
        <v>0</v>
      </c>
      <c r="AH31" s="74">
        <f>IF('Wtr-Gas'!K33&lt;0,"0",('Wtr-Gas'!K33)*0.0038)</f>
        <v>0</v>
      </c>
      <c r="AI31" s="74">
        <f>IF('Wtr-Gas'!N33&lt;0,"0",('Wtr-Gas'!N33)*0.0038)</f>
        <v>0</v>
      </c>
      <c r="AJ31" s="74">
        <f>IF('Wtr-Gas'!Q33&lt;0,"0",('Wtr-Gas'!Q33)*0.0038)</f>
        <v>0</v>
      </c>
      <c r="AK31" s="75">
        <f>IF('Wtr-Gas'!U33&lt;0,"0",('Wtr-Gas'!U33)*0.0038)</f>
        <v>0</v>
      </c>
      <c r="AL31" s="75">
        <f>IF('Wtr-Gas'!X33&lt;0,"0",('Wtr-Gas'!X33)*0.0038)</f>
        <v>0</v>
      </c>
      <c r="AM31" s="74">
        <f>IF('Wtr-Gas'!AB33&lt;0,"0",('Wtr-Gas'!AB33)*0.0038)</f>
        <v>0</v>
      </c>
      <c r="AN31" s="74">
        <f>IF('Wtr-Gas'!AD33&lt;0,"0",('Wtr-Gas'!AD33)*0.0038)</f>
        <v>0</v>
      </c>
      <c r="AO31" s="74">
        <f>IF('Wtr-Gas'!AF33&lt;0,"0",('Wtr-Gas'!AF33)*0.0038)</f>
        <v>0</v>
      </c>
      <c r="AP31" s="74">
        <f>IF('Wtr-Gas'!AH33&lt;0,"0",('Wtr-Gas'!AH33)*0.0038)</f>
        <v>0</v>
      </c>
      <c r="AQ31" s="74">
        <f>IF('Wtr-Gas'!AJ33&lt;0,"0",('Wtr-Gas'!AJ33)*0.0038)</f>
        <v>0</v>
      </c>
      <c r="AR31" s="74">
        <f>IF('Wtr-Gas'!AL33&lt;0,"0",('Wtr-Gas'!AL33)*0.0038)</f>
        <v>0</v>
      </c>
      <c r="AS31" s="74">
        <f>IF('Wtr-Gas'!AN33&lt;0,"0",('Wtr-Gas'!AN33)*0.0038)</f>
        <v>0</v>
      </c>
      <c r="AT31" s="74">
        <f>IF('Wtr-Gas'!AP33&lt;0,"0",('Wtr-Gas'!AP33)*0.0038)</f>
        <v>0</v>
      </c>
      <c r="AU31" s="87">
        <f>IF('Wtr-Gas'!AT33&lt;0,"0",('Wtr-Gas'!AT33)*0.0038)</f>
        <v>0</v>
      </c>
      <c r="AV31" s="74">
        <f>IF('Wtr-Gas'!AW33&lt;0,"0",('Wtr-Gas'!AW33)*0.0038)</f>
        <v>0</v>
      </c>
      <c r="AW31" s="74">
        <f>IF('Wtr-Gas'!AY33&lt;0,"0",('Wtr-Gas'!AY33)*0.0038)</f>
        <v>0</v>
      </c>
      <c r="AX31" s="74">
        <f>IF('Wtr-Gas'!AZ33&lt;0,"0",('Wtr-Gas'!AZ33)*0.0038)</f>
        <v>0</v>
      </c>
      <c r="AY31" s="74">
        <f>IF('Wtr-Gas'!BB33&lt;0,"0",('Wtr-Gas'!BB33)*0.0038)</f>
        <v>0</v>
      </c>
      <c r="AZ31" s="74">
        <f>IF('Wtr-Gas'!BD33&lt;0,"0",('Wtr-Gas'!BD33)*0.0038)</f>
        <v>0</v>
      </c>
      <c r="BA31" s="74">
        <f>IF('Wtr-Gas'!BF33&lt;0,"0",('Wtr-Gas'!BF33)*0.0038)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0</v>
      </c>
      <c r="F32" s="36">
        <f>IF(Elect!I34&lt;0,"0",Elect!I34)</f>
        <v>0</v>
      </c>
      <c r="G32" s="36">
        <f>Elect!H34</f>
        <v>0</v>
      </c>
      <c r="H32" s="36">
        <f>IF(Elect!F34&lt;0,"0",Elect!F34)</f>
        <v>0</v>
      </c>
      <c r="I32" s="36">
        <f>Elect!E34</f>
        <v>0</v>
      </c>
      <c r="J32" s="36">
        <f>IF(Elect!U34&lt;0,"0",Elect!U34)</f>
        <v>0</v>
      </c>
      <c r="K32" s="36">
        <f>Elect!T34</f>
        <v>0</v>
      </c>
      <c r="L32" s="36">
        <f>IF(Elect!AJ34&lt;0,"0",Elect!AJ34)</f>
        <v>0</v>
      </c>
      <c r="M32" s="36">
        <f>Elect!AI34</f>
        <v>0</v>
      </c>
      <c r="N32" s="36">
        <f>IF(Elect!X34&lt;0,"0",Elect!X34)</f>
        <v>0</v>
      </c>
      <c r="O32" s="36">
        <f>Elect!W34</f>
        <v>0</v>
      </c>
      <c r="P32" s="36">
        <f>IF(Elect!O34&lt;0,"0",Elect!O34)</f>
        <v>0</v>
      </c>
      <c r="Q32" s="36">
        <f>Elect!N34</f>
        <v>0</v>
      </c>
      <c r="R32" s="36">
        <f>IF(Elect!L34&lt;0,"0",Elect!L34)</f>
        <v>0</v>
      </c>
      <c r="S32" s="36">
        <f>Elect!K34</f>
        <v>0</v>
      </c>
      <c r="T32" s="36">
        <f>IF(Elect!R34&lt;0,"0",Elect!R34)</f>
        <v>0</v>
      </c>
      <c r="U32" s="36">
        <f>Elect!Q34</f>
        <v>0</v>
      </c>
      <c r="V32" s="36">
        <f>IF(Elect!AA34&lt;0,"0",Elect!AA34)</f>
        <v>0</v>
      </c>
      <c r="W32" s="36">
        <f>Elect!Z34</f>
        <v>0</v>
      </c>
      <c r="X32" s="36">
        <f>IF(Elect!AD34&lt;0,"0",Elect!AD34)</f>
        <v>0</v>
      </c>
      <c r="Y32" s="36">
        <f>Elect!AC34</f>
        <v>0</v>
      </c>
      <c r="Z32" s="36">
        <f>IF(Elect!AG34&lt;0,"0",Elect!AG34)</f>
        <v>0</v>
      </c>
      <c r="AA32" s="36">
        <f>Elect!AF34</f>
        <v>0</v>
      </c>
      <c r="AB32" s="36">
        <f>IF(Elect!AX34&lt;0,"0",Elect!AX34)</f>
        <v>0</v>
      </c>
      <c r="AC32" s="36">
        <f>IF(Elect!AV34&lt;0,"0",Elect!AV34)</f>
        <v>0</v>
      </c>
      <c r="AD32" s="36">
        <f>IF(Elect!AZ34&lt;0,"0",Elect!AZ34)</f>
        <v>0</v>
      </c>
      <c r="AE32" s="36">
        <f>IF(Elect!BB34&lt;0,"0",Elect!BB34)</f>
        <v>0</v>
      </c>
      <c r="AF32" s="74">
        <f>IF('Wtr-Gas'!E34&lt;0,"0",('Wtr-Gas'!E34)*0.0038)</f>
        <v>0</v>
      </c>
      <c r="AG32" s="74">
        <f>IF('Wtr-Gas'!H34&lt;0,"0",('Wtr-Gas'!H34)*0.0038)</f>
        <v>0</v>
      </c>
      <c r="AH32" s="74">
        <f>IF('Wtr-Gas'!K34&lt;0,"0",('Wtr-Gas'!K34)*0.0038)</f>
        <v>0</v>
      </c>
      <c r="AI32" s="74">
        <f>IF('Wtr-Gas'!N34&lt;0,"0",('Wtr-Gas'!N34)*0.0038)</f>
        <v>0</v>
      </c>
      <c r="AJ32" s="74">
        <f>IF('Wtr-Gas'!Q34&lt;0,"0",('Wtr-Gas'!Q34)*0.0038)</f>
        <v>0</v>
      </c>
      <c r="AK32" s="75">
        <f>IF('Wtr-Gas'!U34&lt;0,"0",('Wtr-Gas'!U34)*0.0038)</f>
        <v>0</v>
      </c>
      <c r="AL32" s="75">
        <f>IF('Wtr-Gas'!X34&lt;0,"0",('Wtr-Gas'!X34)*0.0038)</f>
        <v>0</v>
      </c>
      <c r="AM32" s="74">
        <f>IF('Wtr-Gas'!AB34&lt;0,"0",('Wtr-Gas'!AB34)*0.0038)</f>
        <v>0</v>
      </c>
      <c r="AN32" s="74">
        <f>IF('Wtr-Gas'!AD34&lt;0,"0",('Wtr-Gas'!AD34)*0.0038)</f>
        <v>0</v>
      </c>
      <c r="AO32" s="74">
        <f>IF('Wtr-Gas'!AF34&lt;0,"0",('Wtr-Gas'!AF34)*0.0038)</f>
        <v>0</v>
      </c>
      <c r="AP32" s="74">
        <f>IF('Wtr-Gas'!AH34&lt;0,"0",('Wtr-Gas'!AH34)*0.0038)</f>
        <v>0</v>
      </c>
      <c r="AQ32" s="74">
        <f>IF('Wtr-Gas'!AJ34&lt;0,"0",('Wtr-Gas'!AJ34)*0.0038)</f>
        <v>0</v>
      </c>
      <c r="AR32" s="74">
        <f>IF('Wtr-Gas'!AL34&lt;0,"0",('Wtr-Gas'!AL34)*0.0038)</f>
        <v>0</v>
      </c>
      <c r="AS32" s="74">
        <f>IF('Wtr-Gas'!AN34&lt;0,"0",('Wtr-Gas'!AN34)*0.0038)</f>
        <v>0</v>
      </c>
      <c r="AT32" s="74">
        <f>IF('Wtr-Gas'!AP34&lt;0,"0",('Wtr-Gas'!AP34)*0.0038)</f>
        <v>0</v>
      </c>
      <c r="AU32" s="87">
        <f>IF('Wtr-Gas'!AT34&lt;0,"0",('Wtr-Gas'!AT34)*0.0038)</f>
        <v>0</v>
      </c>
      <c r="AV32" s="74">
        <f>IF('Wtr-Gas'!AW34&lt;0,"0",('Wtr-Gas'!AW34)*0.0038)</f>
        <v>0</v>
      </c>
      <c r="AW32" s="74">
        <f>IF('Wtr-Gas'!AY34&lt;0,"0",('Wtr-Gas'!AY34)*0.0038)</f>
        <v>0</v>
      </c>
      <c r="AX32" s="74">
        <f>IF('Wtr-Gas'!AZ34&lt;0,"0",('Wtr-Gas'!AZ34)*0.0038)</f>
        <v>0</v>
      </c>
      <c r="AY32" s="74">
        <f>IF('Wtr-Gas'!BB34&lt;0,"0",('Wtr-Gas'!BB34)*0.0038)</f>
        <v>0</v>
      </c>
      <c r="AZ32" s="74">
        <f>IF('Wtr-Gas'!BD34&lt;0,"0",('Wtr-Gas'!BD34)*0.0038)</f>
        <v>0</v>
      </c>
      <c r="BA32" s="74">
        <f>IF('Wtr-Gas'!BF34&lt;0,"0",('Wtr-Gas'!BF34)*0.0038)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0</v>
      </c>
      <c r="F33" s="36">
        <f>IF(Elect!I35&lt;0,"0",Elect!I35)</f>
        <v>0</v>
      </c>
      <c r="G33" s="36">
        <f>Elect!H35</f>
        <v>0</v>
      </c>
      <c r="H33" s="36">
        <f>IF(Elect!F35&lt;0,"0",Elect!F35)</f>
        <v>0</v>
      </c>
      <c r="I33" s="36">
        <f>Elect!E35</f>
        <v>0</v>
      </c>
      <c r="J33" s="36">
        <f>IF(Elect!U35&lt;0,"0",Elect!U35)</f>
        <v>0</v>
      </c>
      <c r="K33" s="36">
        <f>Elect!T35</f>
        <v>0</v>
      </c>
      <c r="L33" s="36">
        <f>IF(Elect!AJ35&lt;0,"0",Elect!AJ35)</f>
        <v>0</v>
      </c>
      <c r="M33" s="36">
        <f>Elect!AI35</f>
        <v>0</v>
      </c>
      <c r="N33" s="36">
        <f>IF(Elect!X35&lt;0,"0",Elect!X35)</f>
        <v>0</v>
      </c>
      <c r="O33" s="36">
        <f>Elect!W35</f>
        <v>0</v>
      </c>
      <c r="P33" s="36">
        <f>IF(Elect!O35&lt;0,"0",Elect!O35)</f>
        <v>0</v>
      </c>
      <c r="Q33" s="36">
        <f>Elect!N35</f>
        <v>0</v>
      </c>
      <c r="R33" s="36">
        <f>IF(Elect!L35&lt;0,"0",Elect!L35)</f>
        <v>0</v>
      </c>
      <c r="S33" s="36">
        <f>Elect!K35</f>
        <v>0</v>
      </c>
      <c r="T33" s="36">
        <f>IF(Elect!R35&lt;0,"0",Elect!R35)</f>
        <v>0</v>
      </c>
      <c r="U33" s="36">
        <f>Elect!Q35</f>
        <v>0</v>
      </c>
      <c r="V33" s="36">
        <f>IF(Elect!AA35&lt;0,"0",Elect!AA35)</f>
        <v>0</v>
      </c>
      <c r="W33" s="36">
        <f>Elect!Z35</f>
        <v>0</v>
      </c>
      <c r="X33" s="36">
        <f>IF(Elect!AD35&lt;0,"0",Elect!AD35)</f>
        <v>0</v>
      </c>
      <c r="Y33" s="36">
        <f>Elect!AC35</f>
        <v>0</v>
      </c>
      <c r="Z33" s="36">
        <f>IF(Elect!AG35&lt;0,"0",Elect!AG35)</f>
        <v>0</v>
      </c>
      <c r="AA33" s="36">
        <f>Elect!AF35</f>
        <v>0</v>
      </c>
      <c r="AB33" s="36">
        <f>IF(Elect!AX35&lt;0,"0",Elect!AX35)</f>
        <v>0</v>
      </c>
      <c r="AC33" s="36">
        <f>IF(Elect!AV35&lt;0,"0",Elect!AV35)</f>
        <v>0</v>
      </c>
      <c r="AD33" s="36">
        <f>IF(Elect!AZ35&lt;0,"0",Elect!AZ35)</f>
        <v>0</v>
      </c>
      <c r="AE33" s="36">
        <f>IF(Elect!BB35&lt;0,"0",Elect!BB35)</f>
        <v>0</v>
      </c>
      <c r="AF33" s="74">
        <f>IF('Wtr-Gas'!E35&lt;0,"0",('Wtr-Gas'!E35)*0.0038)</f>
        <v>0</v>
      </c>
      <c r="AG33" s="74">
        <f>IF('Wtr-Gas'!H35&lt;0,"0",('Wtr-Gas'!H35)*0.0038)</f>
        <v>0</v>
      </c>
      <c r="AH33" s="74">
        <f>IF('Wtr-Gas'!K35&lt;0,"0",('Wtr-Gas'!K35)*0.0038)</f>
        <v>0</v>
      </c>
      <c r="AI33" s="74">
        <f>IF('Wtr-Gas'!N35&lt;0,"0",('Wtr-Gas'!N35)*0.0038)</f>
        <v>0</v>
      </c>
      <c r="AJ33" s="74">
        <f>IF('Wtr-Gas'!Q35&lt;0,"0",('Wtr-Gas'!Q35)*0.0038)</f>
        <v>0</v>
      </c>
      <c r="AK33" s="75">
        <f>IF('Wtr-Gas'!U35&lt;0,"0",('Wtr-Gas'!U35)*0.0038)</f>
        <v>0</v>
      </c>
      <c r="AL33" s="75">
        <f>IF('Wtr-Gas'!X35&lt;0,"0",('Wtr-Gas'!X35)*0.0038)</f>
        <v>0</v>
      </c>
      <c r="AM33" s="74">
        <f>IF('Wtr-Gas'!AB35&lt;0,"0",('Wtr-Gas'!AB35)*0.0038)</f>
        <v>0</v>
      </c>
      <c r="AN33" s="74">
        <f>IF('Wtr-Gas'!AD35&lt;0,"0",('Wtr-Gas'!AD35)*0.0038)</f>
        <v>0</v>
      </c>
      <c r="AO33" s="74">
        <f>IF('Wtr-Gas'!AF35&lt;0,"0",('Wtr-Gas'!AF35)*0.0038)</f>
        <v>0</v>
      </c>
      <c r="AP33" s="74">
        <f>IF('Wtr-Gas'!AH35&lt;0,"0",('Wtr-Gas'!AH35)*0.0038)</f>
        <v>0</v>
      </c>
      <c r="AQ33" s="74">
        <f>IF('Wtr-Gas'!AJ35&lt;0,"0",('Wtr-Gas'!AJ35)*0.0038)</f>
        <v>0</v>
      </c>
      <c r="AR33" s="74">
        <f>IF('Wtr-Gas'!AL35&lt;0,"0",('Wtr-Gas'!AL35)*0.0038)</f>
        <v>0</v>
      </c>
      <c r="AS33" s="74">
        <f>IF('Wtr-Gas'!AN35&lt;0,"0",('Wtr-Gas'!AN35)*0.0038)</f>
        <v>0</v>
      </c>
      <c r="AT33" s="74">
        <f>IF('Wtr-Gas'!AP35&lt;0,"0",('Wtr-Gas'!AP35)*0.0038)</f>
        <v>0</v>
      </c>
      <c r="AU33" s="87">
        <f>IF('Wtr-Gas'!AT35&lt;0,"0",('Wtr-Gas'!AT35)*0.0038)</f>
        <v>0</v>
      </c>
      <c r="AV33" s="74">
        <f>IF('Wtr-Gas'!AW35&lt;0,"0",('Wtr-Gas'!AW35)*0.0038)</f>
        <v>0</v>
      </c>
      <c r="AW33" s="74">
        <f>IF('Wtr-Gas'!AY35&lt;0,"0",('Wtr-Gas'!AY35)*0.0038)</f>
        <v>0</v>
      </c>
      <c r="AX33" s="74">
        <f>IF('Wtr-Gas'!AZ35&lt;0,"0",('Wtr-Gas'!AZ35)*0.0038)</f>
        <v>0</v>
      </c>
      <c r="AY33" s="74">
        <f>IF('Wtr-Gas'!BB35&lt;0,"0",('Wtr-Gas'!BB35)*0.0038)</f>
        <v>0</v>
      </c>
      <c r="AZ33" s="74">
        <f>IF('Wtr-Gas'!BD35&lt;0,"0",('Wtr-Gas'!BD35)*0.0038)</f>
        <v>0</v>
      </c>
      <c r="BA33" s="74">
        <f>IF('Wtr-Gas'!BF35&lt;0,"0",('Wtr-Gas'!BF35)*0.0038)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0</v>
      </c>
      <c r="F34" s="36">
        <f>IF(Elect!I36&lt;0,"0",Elect!I36)</f>
        <v>0</v>
      </c>
      <c r="G34" s="36">
        <f>Elect!H36</f>
        <v>0</v>
      </c>
      <c r="H34" s="36">
        <f>IF(Elect!F36&lt;0,"0",Elect!F36)</f>
        <v>0</v>
      </c>
      <c r="I34" s="36">
        <f>Elect!E36</f>
        <v>0</v>
      </c>
      <c r="J34" s="36">
        <f>IF(Elect!U36&lt;0,"0",Elect!U36)</f>
        <v>0</v>
      </c>
      <c r="K34" s="36">
        <f>Elect!T36</f>
        <v>0</v>
      </c>
      <c r="L34" s="36">
        <f>IF(Elect!AJ36&lt;0,"0",Elect!AJ36)</f>
        <v>0</v>
      </c>
      <c r="M34" s="36">
        <f>Elect!AI36</f>
        <v>0</v>
      </c>
      <c r="N34" s="36">
        <f>IF(Elect!X36&lt;0,"0",Elect!X36)</f>
        <v>0</v>
      </c>
      <c r="O34" s="36">
        <f>Elect!W36</f>
        <v>0</v>
      </c>
      <c r="P34" s="36">
        <f>IF(Elect!O36&lt;0,"0",Elect!O36)</f>
        <v>0</v>
      </c>
      <c r="Q34" s="36">
        <f>Elect!N36</f>
        <v>0</v>
      </c>
      <c r="R34" s="36">
        <f>IF(Elect!L36&lt;0,"0",Elect!L36)</f>
        <v>0</v>
      </c>
      <c r="S34" s="36">
        <f>Elect!K36</f>
        <v>0</v>
      </c>
      <c r="T34" s="36">
        <f>IF(Elect!R36&lt;0,"0",Elect!R36)</f>
        <v>0</v>
      </c>
      <c r="U34" s="36">
        <f>Elect!Q36</f>
        <v>0</v>
      </c>
      <c r="V34" s="36">
        <f>IF(Elect!AA36&lt;0,"0",Elect!AA36)</f>
        <v>0</v>
      </c>
      <c r="W34" s="36">
        <f>Elect!Z36</f>
        <v>0</v>
      </c>
      <c r="X34" s="36">
        <f>IF(Elect!AD36&lt;0,"0",Elect!AD36)</f>
        <v>0</v>
      </c>
      <c r="Y34" s="36">
        <f>Elect!AC36</f>
        <v>0</v>
      </c>
      <c r="Z34" s="36">
        <f>IF(Elect!AG36&lt;0,"0",Elect!AG36)</f>
        <v>0</v>
      </c>
      <c r="AA34" s="36">
        <f>Elect!AF36</f>
        <v>0</v>
      </c>
      <c r="AB34" s="36">
        <f>IF(Elect!AX36&lt;0,"0",Elect!AX36)</f>
        <v>0</v>
      </c>
      <c r="AC34" s="36">
        <f>IF(Elect!AV36&lt;0,"0",Elect!AV36)</f>
        <v>0</v>
      </c>
      <c r="AD34" s="36">
        <f>IF(Elect!AZ36&lt;0,"0",Elect!AZ36)</f>
        <v>0</v>
      </c>
      <c r="AE34" s="36">
        <f>IF(Elect!BB36&lt;0,"0",Elect!BB36)</f>
        <v>0</v>
      </c>
      <c r="AF34" s="74">
        <f>IF('Wtr-Gas'!E36&lt;0,"0",('Wtr-Gas'!E36)*0.0038)</f>
        <v>0</v>
      </c>
      <c r="AG34" s="74">
        <f>IF('Wtr-Gas'!H36&lt;0,"0",('Wtr-Gas'!H36)*0.0038)</f>
        <v>0</v>
      </c>
      <c r="AH34" s="74">
        <f>IF('Wtr-Gas'!K36&lt;0,"0",('Wtr-Gas'!K36)*0.0038)</f>
        <v>0</v>
      </c>
      <c r="AI34" s="74">
        <f>IF('Wtr-Gas'!N36&lt;0,"0",('Wtr-Gas'!N36)*0.0038)</f>
        <v>0</v>
      </c>
      <c r="AJ34" s="74">
        <f>IF('Wtr-Gas'!Q36&lt;0,"0",('Wtr-Gas'!Q36)*0.0038)</f>
        <v>0</v>
      </c>
      <c r="AK34" s="75">
        <f>IF('Wtr-Gas'!U36&lt;0,"0",('Wtr-Gas'!U36)*0.0038)</f>
        <v>0</v>
      </c>
      <c r="AL34" s="75">
        <f>IF('Wtr-Gas'!X36&lt;0,"0",('Wtr-Gas'!X36)*0.0038)</f>
        <v>0</v>
      </c>
      <c r="AM34" s="74">
        <f>IF('Wtr-Gas'!AB36&lt;0,"0",('Wtr-Gas'!AB36)*0.0038)</f>
        <v>0</v>
      </c>
      <c r="AN34" s="74">
        <f>IF('Wtr-Gas'!AD36&lt;0,"0",('Wtr-Gas'!AD36)*0.0038)</f>
        <v>0</v>
      </c>
      <c r="AO34" s="74">
        <f>IF('Wtr-Gas'!AF36&lt;0,"0",('Wtr-Gas'!AF36)*0.0038)</f>
        <v>0</v>
      </c>
      <c r="AP34" s="74">
        <f>IF('Wtr-Gas'!AH36&lt;0,"0",('Wtr-Gas'!AH36)*0.0038)</f>
        <v>0</v>
      </c>
      <c r="AQ34" s="74">
        <f>IF('Wtr-Gas'!AJ36&lt;0,"0",('Wtr-Gas'!AJ36)*0.0038)</f>
        <v>0</v>
      </c>
      <c r="AR34" s="74">
        <f>IF('Wtr-Gas'!AL36&lt;0,"0",('Wtr-Gas'!AL36)*0.0038)</f>
        <v>0</v>
      </c>
      <c r="AS34" s="74">
        <f>IF('Wtr-Gas'!AN36&lt;0,"0",('Wtr-Gas'!AN36)*0.0038)</f>
        <v>0</v>
      </c>
      <c r="AT34" s="74">
        <f>IF('Wtr-Gas'!AP36&lt;0,"0",('Wtr-Gas'!AP36)*0.0038)</f>
        <v>0</v>
      </c>
      <c r="AU34" s="87">
        <f>IF('Wtr-Gas'!AT36&lt;0,"0",('Wtr-Gas'!AT36)*0.0038)</f>
        <v>0</v>
      </c>
      <c r="AV34" s="74">
        <f>IF('Wtr-Gas'!AW36&lt;0,"0",('Wtr-Gas'!AW36)*0.0038)</f>
        <v>0</v>
      </c>
      <c r="AW34" s="74">
        <f>IF('Wtr-Gas'!AY36&lt;0,"0",('Wtr-Gas'!AY36)*0.0038)</f>
        <v>0</v>
      </c>
      <c r="AX34" s="74">
        <f>IF('Wtr-Gas'!AZ36&lt;0,"0",('Wtr-Gas'!AZ36)*0.0038)</f>
        <v>0</v>
      </c>
      <c r="AY34" s="74">
        <f>IF('Wtr-Gas'!BB36&lt;0,"0",('Wtr-Gas'!BB36)*0.0038)</f>
        <v>0</v>
      </c>
      <c r="AZ34" s="74">
        <f>IF('Wtr-Gas'!BD36&lt;0,"0",('Wtr-Gas'!BD36)*0.0038)</f>
        <v>0</v>
      </c>
      <c r="BA34" s="74">
        <f>IF('Wtr-Gas'!BF36&lt;0,"0",('Wtr-Gas'!BF36)*0.0038)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0</v>
      </c>
      <c r="F35" s="36">
        <f>IF(Elect!I37&lt;0,"0",Elect!I37)</f>
        <v>0</v>
      </c>
      <c r="G35" s="36">
        <f>Elect!H37</f>
        <v>0</v>
      </c>
      <c r="H35" s="36">
        <f>IF(Elect!F37&lt;0,"0",Elect!F37)</f>
        <v>0</v>
      </c>
      <c r="I35" s="36">
        <f>Elect!E37</f>
        <v>0</v>
      </c>
      <c r="J35" s="36">
        <f>IF(Elect!U37&lt;0,"0",Elect!U37)</f>
        <v>0</v>
      </c>
      <c r="K35" s="36">
        <f>Elect!T37</f>
        <v>0</v>
      </c>
      <c r="L35" s="36">
        <f>IF(Elect!AJ37&lt;0,"0",Elect!AJ37)</f>
        <v>0</v>
      </c>
      <c r="M35" s="36">
        <f>Elect!AI37</f>
        <v>0</v>
      </c>
      <c r="N35" s="36">
        <f>IF(Elect!X37&lt;0,"0",Elect!X37)</f>
        <v>0</v>
      </c>
      <c r="O35" s="36">
        <f>Elect!W37</f>
        <v>0</v>
      </c>
      <c r="P35" s="36">
        <f>IF(Elect!O37&lt;0,"0",Elect!O37)</f>
        <v>0</v>
      </c>
      <c r="Q35" s="36">
        <f>Elect!N37</f>
        <v>0</v>
      </c>
      <c r="R35" s="36">
        <f>IF(Elect!L37&lt;0,"0",Elect!L37)</f>
        <v>0</v>
      </c>
      <c r="S35" s="36">
        <f>Elect!K37</f>
        <v>0</v>
      </c>
      <c r="T35" s="36">
        <f>IF(Elect!R37&lt;0,"0",Elect!R37)</f>
        <v>0</v>
      </c>
      <c r="U35" s="36">
        <f>Elect!Q37</f>
        <v>0</v>
      </c>
      <c r="V35" s="36">
        <f>IF(Elect!AA37&lt;0,"0",Elect!AA37)</f>
        <v>0</v>
      </c>
      <c r="W35" s="36">
        <f>Elect!Z37</f>
        <v>0</v>
      </c>
      <c r="X35" s="36">
        <f>IF(Elect!AD37&lt;0,"0",Elect!AD37)</f>
        <v>0</v>
      </c>
      <c r="Y35" s="36">
        <f>Elect!AC37</f>
        <v>0</v>
      </c>
      <c r="Z35" s="36">
        <f>IF(Elect!AG37&lt;0,"0",Elect!AG37)</f>
        <v>0</v>
      </c>
      <c r="AA35" s="36">
        <f>Elect!AF37</f>
        <v>0</v>
      </c>
      <c r="AB35" s="36">
        <f>IF(Elect!AX37&lt;0,"0",Elect!AX37)</f>
        <v>0</v>
      </c>
      <c r="AC35" s="36">
        <f>IF(Elect!AV37&lt;0,"0",Elect!AV37)</f>
        <v>0</v>
      </c>
      <c r="AD35" s="36">
        <f>IF(Elect!AZ37&lt;0,"0",Elect!AZ37)</f>
        <v>0</v>
      </c>
      <c r="AE35" s="36">
        <f>IF(Elect!BB37&lt;0,"0",Elect!BB37)</f>
        <v>0</v>
      </c>
      <c r="AF35" s="74">
        <f>IF('Wtr-Gas'!E37&lt;0,"0",('Wtr-Gas'!E37)*0.0038)</f>
        <v>0</v>
      </c>
      <c r="AG35" s="74">
        <f>IF('Wtr-Gas'!H37&lt;0,"0",('Wtr-Gas'!H37)*0.0038)</f>
        <v>0</v>
      </c>
      <c r="AH35" s="74">
        <f>IF('Wtr-Gas'!K37&lt;0,"0",('Wtr-Gas'!K37)*0.0038)</f>
        <v>0</v>
      </c>
      <c r="AI35" s="74">
        <f>IF('Wtr-Gas'!N37&lt;0,"0",('Wtr-Gas'!N37)*0.0038)</f>
        <v>0</v>
      </c>
      <c r="AJ35" s="74">
        <f>IF('Wtr-Gas'!Q37&lt;0,"0",('Wtr-Gas'!Q37)*0.0038)</f>
        <v>0</v>
      </c>
      <c r="AK35" s="75">
        <f>IF('Wtr-Gas'!U37&lt;0,"0",('Wtr-Gas'!U37)*0.0038)</f>
        <v>0</v>
      </c>
      <c r="AL35" s="75">
        <f>IF('Wtr-Gas'!X37&lt;0,"0",('Wtr-Gas'!X37)*0.0038)</f>
        <v>0</v>
      </c>
      <c r="AM35" s="74">
        <f>IF('Wtr-Gas'!AB37&lt;0,"0",('Wtr-Gas'!AB37)*0.0038)</f>
        <v>0</v>
      </c>
      <c r="AN35" s="74">
        <f>IF('Wtr-Gas'!AD37&lt;0,"0",('Wtr-Gas'!AD37)*0.0038)</f>
        <v>0</v>
      </c>
      <c r="AO35" s="74">
        <f>IF('Wtr-Gas'!AF37&lt;0,"0",('Wtr-Gas'!AF37)*0.0038)</f>
        <v>0</v>
      </c>
      <c r="AP35" s="74">
        <f>IF('Wtr-Gas'!AH37&lt;0,"0",('Wtr-Gas'!AH37)*0.0038)</f>
        <v>0</v>
      </c>
      <c r="AQ35" s="74">
        <f>IF('Wtr-Gas'!AJ37&lt;0,"0",('Wtr-Gas'!AJ37)*0.0038)</f>
        <v>0</v>
      </c>
      <c r="AR35" s="74">
        <f>IF('Wtr-Gas'!AL37&lt;0,"0",('Wtr-Gas'!AL37)*0.0038)</f>
        <v>0</v>
      </c>
      <c r="AS35" s="74">
        <f>IF('Wtr-Gas'!AN37&lt;0,"0",('Wtr-Gas'!AN37)*0.0038)</f>
        <v>0</v>
      </c>
      <c r="AT35" s="74">
        <f>IF('Wtr-Gas'!AP37&lt;0,"0",('Wtr-Gas'!AP37)*0.0038)</f>
        <v>0</v>
      </c>
      <c r="AU35" s="87">
        <f>IF('Wtr-Gas'!AT37&lt;0,"0",('Wtr-Gas'!AT37)*0.0038)</f>
        <v>0</v>
      </c>
      <c r="AV35" s="74">
        <f>IF('Wtr-Gas'!AW37&lt;0,"0",('Wtr-Gas'!AW37)*0.0038)</f>
        <v>0</v>
      </c>
      <c r="AW35" s="74">
        <f>IF('Wtr-Gas'!AY37&lt;0,"0",('Wtr-Gas'!AY37)*0.0038)</f>
        <v>0</v>
      </c>
      <c r="AX35" s="74">
        <f>IF('Wtr-Gas'!AZ37&lt;0,"0",('Wtr-Gas'!AZ37)*0.0038)</f>
        <v>0</v>
      </c>
      <c r="AY35" s="74">
        <f>IF('Wtr-Gas'!BB37&lt;0,"0",('Wtr-Gas'!BB37)*0.0038)</f>
        <v>0</v>
      </c>
      <c r="AZ35" s="74">
        <f>IF('Wtr-Gas'!BD37&lt;0,"0",('Wtr-Gas'!BD37)*0.0038)</f>
        <v>0</v>
      </c>
      <c r="BA35" s="74">
        <f>IF('Wtr-Gas'!BF37&lt;0,"0",('Wtr-Gas'!BF37)*0.0038)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0</v>
      </c>
      <c r="F36" s="36">
        <f>IF(Elect!I38&lt;0,"0",Elect!I38)</f>
        <v>0</v>
      </c>
      <c r="G36" s="36">
        <f>Elect!H38</f>
        <v>0</v>
      </c>
      <c r="H36" s="36">
        <f>IF(Elect!F38&lt;0,"0",Elect!F38)</f>
        <v>0</v>
      </c>
      <c r="I36" s="36">
        <f>Elect!E38</f>
        <v>0</v>
      </c>
      <c r="J36" s="36">
        <f>IF(Elect!U38&lt;0,"0",Elect!U38)</f>
        <v>0</v>
      </c>
      <c r="K36" s="36">
        <f>Elect!T38</f>
        <v>0</v>
      </c>
      <c r="L36" s="36">
        <f>IF(Elect!AJ38&lt;0,"0",Elect!AJ38)</f>
        <v>0</v>
      </c>
      <c r="M36" s="36">
        <f>Elect!AI38</f>
        <v>0</v>
      </c>
      <c r="N36" s="36">
        <f>IF(Elect!X38&lt;0,"0",Elect!X38)</f>
        <v>0</v>
      </c>
      <c r="O36" s="36">
        <f>Elect!W38</f>
        <v>0</v>
      </c>
      <c r="P36" s="36">
        <f>IF(Elect!O38&lt;0,"0",Elect!O38)</f>
        <v>0</v>
      </c>
      <c r="Q36" s="36">
        <f>Elect!N38</f>
        <v>0</v>
      </c>
      <c r="R36" s="36">
        <f>IF(Elect!L38&lt;0,"0",Elect!L38)</f>
        <v>0</v>
      </c>
      <c r="S36" s="36">
        <f>Elect!K38</f>
        <v>0</v>
      </c>
      <c r="T36" s="36">
        <f>IF(Elect!R38&lt;0,"0",Elect!R38)</f>
        <v>0</v>
      </c>
      <c r="U36" s="36">
        <f>Elect!Q38</f>
        <v>0</v>
      </c>
      <c r="V36" s="36">
        <f>IF(Elect!AA38&lt;0,"0",Elect!AA38)</f>
        <v>0</v>
      </c>
      <c r="W36" s="36">
        <f>Elect!Z38</f>
        <v>0</v>
      </c>
      <c r="X36" s="36">
        <f>IF(Elect!AD38&lt;0,"0",Elect!AD38)</f>
        <v>0</v>
      </c>
      <c r="Y36" s="36">
        <f>Elect!AC38</f>
        <v>0</v>
      </c>
      <c r="Z36" s="36">
        <f>IF(Elect!AG38&lt;0,"0",Elect!AG38)</f>
        <v>0</v>
      </c>
      <c r="AA36" s="36">
        <f>Elect!AF38</f>
        <v>0</v>
      </c>
      <c r="AB36" s="36">
        <f>IF(Elect!AX38&lt;0,"0",Elect!AX38)</f>
        <v>0</v>
      </c>
      <c r="AC36" s="36">
        <f>IF(Elect!AV38&lt;0,"0",Elect!AV38)</f>
        <v>0</v>
      </c>
      <c r="AD36" s="36">
        <f>IF(Elect!AZ38&lt;0,"0",Elect!AZ38)</f>
        <v>0</v>
      </c>
      <c r="AE36" s="36">
        <f>IF(Elect!BB38&lt;0,"0",Elect!BB38)</f>
        <v>0</v>
      </c>
      <c r="AF36" s="74">
        <f>IF('Wtr-Gas'!E38&lt;0,"0",('Wtr-Gas'!E38)*0.0038)</f>
        <v>0</v>
      </c>
      <c r="AG36" s="74">
        <f>IF('Wtr-Gas'!H38&lt;0,"0",('Wtr-Gas'!H38)*0.0038)</f>
        <v>0</v>
      </c>
      <c r="AH36" s="74">
        <f>IF('Wtr-Gas'!K38&lt;0,"0",('Wtr-Gas'!K38)*0.0038)</f>
        <v>0</v>
      </c>
      <c r="AI36" s="74">
        <f>IF('Wtr-Gas'!N38&lt;0,"0",('Wtr-Gas'!N38)*0.0038)</f>
        <v>0</v>
      </c>
      <c r="AJ36" s="74">
        <f>IF('Wtr-Gas'!Q38&lt;0,"0",('Wtr-Gas'!Q38)*0.0038)</f>
        <v>0</v>
      </c>
      <c r="AK36" s="75">
        <f>IF('Wtr-Gas'!U38&lt;0,"0",('Wtr-Gas'!U38)*0.0038)</f>
        <v>0</v>
      </c>
      <c r="AL36" s="75">
        <f>IF('Wtr-Gas'!X38&lt;0,"0",('Wtr-Gas'!X38)*0.0038)</f>
        <v>0</v>
      </c>
      <c r="AM36" s="74">
        <f>IF('Wtr-Gas'!AB38&lt;0,"0",('Wtr-Gas'!AB38)*0.0038)</f>
        <v>0</v>
      </c>
      <c r="AN36" s="74">
        <f>IF('Wtr-Gas'!AD38&lt;0,"0",('Wtr-Gas'!AD38)*0.0038)</f>
        <v>0</v>
      </c>
      <c r="AO36" s="74">
        <f>IF('Wtr-Gas'!AF38&lt;0,"0",('Wtr-Gas'!AF38)*0.0038)</f>
        <v>0</v>
      </c>
      <c r="AP36" s="74">
        <f>IF('Wtr-Gas'!AH38&lt;0,"0",('Wtr-Gas'!AH38)*0.0038)</f>
        <v>0</v>
      </c>
      <c r="AQ36" s="74">
        <f>IF('Wtr-Gas'!AJ38&lt;0,"0",('Wtr-Gas'!AJ38)*0.0038)</f>
        <v>0</v>
      </c>
      <c r="AR36" s="74">
        <f>IF('Wtr-Gas'!AL38&lt;0,"0",('Wtr-Gas'!AL38)*0.0038)</f>
        <v>0</v>
      </c>
      <c r="AS36" s="74">
        <f>IF('Wtr-Gas'!AN38&lt;0,"0",('Wtr-Gas'!AN38)*0.0038)</f>
        <v>0</v>
      </c>
      <c r="AT36" s="74">
        <f>IF('Wtr-Gas'!AP38&lt;0,"0",('Wtr-Gas'!AP38)*0.0038)</f>
        <v>0</v>
      </c>
      <c r="AU36" s="87">
        <f>IF('Wtr-Gas'!AT38&lt;0,"0",('Wtr-Gas'!AT38)*0.0038)</f>
        <v>0</v>
      </c>
      <c r="AV36" s="74">
        <f>IF('Wtr-Gas'!AW38&lt;0,"0",('Wtr-Gas'!AW38)*0.0038)</f>
        <v>0</v>
      </c>
      <c r="AW36" s="74">
        <f>IF('Wtr-Gas'!AY38&lt;0,"0",('Wtr-Gas'!AY38)*0.0038)</f>
        <v>0</v>
      </c>
      <c r="AX36" s="74">
        <f>IF('Wtr-Gas'!AZ38&lt;0,"0",('Wtr-Gas'!AZ38)*0.0038)</f>
        <v>0</v>
      </c>
      <c r="AY36" s="74">
        <f>IF('Wtr-Gas'!BB38&lt;0,"0",('Wtr-Gas'!BB38)*0.0038)</f>
        <v>0</v>
      </c>
      <c r="AZ36" s="74">
        <f>IF('Wtr-Gas'!BD38&lt;0,"0",('Wtr-Gas'!BD38)*0.0038)</f>
        <v>0</v>
      </c>
      <c r="BA36" s="74">
        <f>IF('Wtr-Gas'!BF38&lt;0,"0",('Wtr-Gas'!BF38)*0.0038)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0</v>
      </c>
      <c r="F37" s="36">
        <f>IF(Elect!I39&lt;0,"0",Elect!I39)</f>
        <v>0</v>
      </c>
      <c r="G37" s="36">
        <f>Elect!H39</f>
        <v>0</v>
      </c>
      <c r="H37" s="36">
        <f>IF(Elect!F39&lt;0,"0",Elect!F39)</f>
        <v>0</v>
      </c>
      <c r="I37" s="36">
        <f>Elect!E39</f>
        <v>0</v>
      </c>
      <c r="J37" s="36">
        <f>IF(Elect!U39&lt;0,"0",Elect!U39)</f>
        <v>0</v>
      </c>
      <c r="K37" s="36">
        <f>Elect!T39</f>
        <v>0</v>
      </c>
      <c r="L37" s="36">
        <f>IF(Elect!AJ39&lt;0,"0",Elect!AJ39)</f>
        <v>0</v>
      </c>
      <c r="M37" s="36">
        <f>Elect!AI39</f>
        <v>0</v>
      </c>
      <c r="N37" s="36">
        <f>IF(Elect!X39&lt;0,"0",Elect!X39)</f>
        <v>0</v>
      </c>
      <c r="O37" s="36">
        <f>Elect!W39</f>
        <v>0</v>
      </c>
      <c r="P37" s="36">
        <f>IF(Elect!O39&lt;0,"0",Elect!O39)</f>
        <v>0</v>
      </c>
      <c r="Q37" s="36">
        <f>Elect!N39</f>
        <v>0</v>
      </c>
      <c r="R37" s="36">
        <f>IF(Elect!L39&lt;0,"0",Elect!L39)</f>
        <v>0</v>
      </c>
      <c r="S37" s="36">
        <f>Elect!K39</f>
        <v>0</v>
      </c>
      <c r="T37" s="36">
        <f>IF(Elect!R39&lt;0,"0",Elect!R39)</f>
        <v>0</v>
      </c>
      <c r="U37" s="36">
        <f>Elect!Q39</f>
        <v>0</v>
      </c>
      <c r="V37" s="36">
        <f>IF(Elect!AA39&lt;0,"0",Elect!AA39)</f>
        <v>0</v>
      </c>
      <c r="W37" s="36">
        <f>Elect!Z39</f>
        <v>0</v>
      </c>
      <c r="X37" s="36">
        <f>IF(Elect!AD39&lt;0,"0",Elect!AD39)</f>
        <v>0</v>
      </c>
      <c r="Y37" s="36">
        <f>Elect!AC39</f>
        <v>0</v>
      </c>
      <c r="Z37" s="36">
        <f>IF(Elect!AG39&lt;0,"0",Elect!AG39)</f>
        <v>0</v>
      </c>
      <c r="AA37" s="36">
        <f>Elect!AF39</f>
        <v>0</v>
      </c>
      <c r="AB37" s="36">
        <f>IF(Elect!AX39&lt;0,"0",Elect!AX39)</f>
        <v>0</v>
      </c>
      <c r="AC37" s="36">
        <f>IF(Elect!AV39&lt;0,"0",Elect!AV39)</f>
        <v>0</v>
      </c>
      <c r="AD37" s="36">
        <f>IF(Elect!AZ39&lt;0,"0",Elect!AZ39)</f>
        <v>0</v>
      </c>
      <c r="AE37" s="36">
        <f>IF(Elect!BB39&lt;0,"0",Elect!BB39)</f>
        <v>0</v>
      </c>
      <c r="AF37" s="74">
        <f>IF('Wtr-Gas'!E39&lt;0,"0",('Wtr-Gas'!E39)*0.0038)</f>
        <v>0</v>
      </c>
      <c r="AG37" s="74">
        <f>IF('Wtr-Gas'!H39&lt;0,"0",('Wtr-Gas'!H39)*0.0038)</f>
        <v>0</v>
      </c>
      <c r="AH37" s="74">
        <f>IF('Wtr-Gas'!K39&lt;0,"0",('Wtr-Gas'!K39)*0.0038)</f>
        <v>0</v>
      </c>
      <c r="AI37" s="74">
        <f>IF('Wtr-Gas'!N39&lt;0,"0",('Wtr-Gas'!N39)*0.0038)</f>
        <v>0</v>
      </c>
      <c r="AJ37" s="74">
        <f>IF('Wtr-Gas'!Q39&lt;0,"0",('Wtr-Gas'!Q39)*0.0038)</f>
        <v>0</v>
      </c>
      <c r="AK37" s="75">
        <f>IF('Wtr-Gas'!U39&lt;0,"0",('Wtr-Gas'!U39)*0.0038)</f>
        <v>0</v>
      </c>
      <c r="AL37" s="75">
        <f>IF('Wtr-Gas'!X39&lt;0,"0",('Wtr-Gas'!X39)*0.0038)</f>
        <v>0</v>
      </c>
      <c r="AM37" s="74">
        <f>IF('Wtr-Gas'!AB39&lt;0,"0",('Wtr-Gas'!AB39)*0.0038)</f>
        <v>0</v>
      </c>
      <c r="AN37" s="74">
        <f>IF('Wtr-Gas'!AD39&lt;0,"0",('Wtr-Gas'!AD39)*0.0038)</f>
        <v>0</v>
      </c>
      <c r="AO37" s="74">
        <f>IF('Wtr-Gas'!AF39&lt;0,"0",('Wtr-Gas'!AF39)*0.0038)</f>
        <v>0</v>
      </c>
      <c r="AP37" s="74">
        <f>IF('Wtr-Gas'!AH39&lt;0,"0",('Wtr-Gas'!AH39)*0.0038)</f>
        <v>0</v>
      </c>
      <c r="AQ37" s="74">
        <f>IF('Wtr-Gas'!AJ39&lt;0,"0",('Wtr-Gas'!AJ39)*0.0038)</f>
        <v>0</v>
      </c>
      <c r="AR37" s="74">
        <f>IF('Wtr-Gas'!AL39&lt;0,"0",('Wtr-Gas'!AL39)*0.0038)</f>
        <v>0</v>
      </c>
      <c r="AS37" s="74">
        <f>IF('Wtr-Gas'!AN39&lt;0,"0",('Wtr-Gas'!AN39)*0.0038)</f>
        <v>0</v>
      </c>
      <c r="AT37" s="74">
        <f>IF('Wtr-Gas'!AP39&lt;0,"0",('Wtr-Gas'!AP39)*0.0038)</f>
        <v>0</v>
      </c>
      <c r="AU37" s="87">
        <f>IF('Wtr-Gas'!AT39&lt;0,"0",('Wtr-Gas'!AT39)*0.0038)</f>
        <v>0</v>
      </c>
      <c r="AV37" s="74">
        <f>IF('Wtr-Gas'!AW39&lt;0,"0",('Wtr-Gas'!AW39)*0.0038)</f>
        <v>0</v>
      </c>
      <c r="AW37" s="74">
        <f>IF('Wtr-Gas'!AY39&lt;0,"0",('Wtr-Gas'!AY39)*0.0038)</f>
        <v>0</v>
      </c>
      <c r="AX37" s="74">
        <f>IF('Wtr-Gas'!AZ39&lt;0,"0",('Wtr-Gas'!AZ39)*0.0038)</f>
        <v>0</v>
      </c>
      <c r="AY37" s="74">
        <f>IF('Wtr-Gas'!BB39&lt;0,"0",('Wtr-Gas'!BB39)*0.0038)</f>
        <v>0</v>
      </c>
      <c r="AZ37" s="74">
        <f>IF('Wtr-Gas'!BD39&lt;0,"0",('Wtr-Gas'!BD39)*0.0038)</f>
        <v>0</v>
      </c>
      <c r="BA37" s="74">
        <f>IF('Wtr-Gas'!BF39&lt;0,"0",('Wtr-Gas'!BF39)*0.0038)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4">
        <f>IF('Wtr-Gas'!E40&lt;0,"0",('Wtr-Gas'!E40)*0.0038)</f>
        <v>0</v>
      </c>
      <c r="AG38" s="74">
        <f>IF('Wtr-Gas'!H40&lt;0,"0",('Wtr-Gas'!H40)*0.0038)</f>
        <v>0</v>
      </c>
      <c r="AH38" s="74">
        <f>IF('Wtr-Gas'!K40&lt;0,"0",('Wtr-Gas'!K40)*0.0038)</f>
        <v>0</v>
      </c>
      <c r="AI38" s="74">
        <f>IF('Wtr-Gas'!N40&lt;0,"0",('Wtr-Gas'!N40)*0.0038)</f>
        <v>0</v>
      </c>
      <c r="AJ38" s="74">
        <f>IF('Wtr-Gas'!Q40&lt;0,"0",('Wtr-Gas'!Q40)*0.0038)</f>
        <v>0</v>
      </c>
      <c r="AK38" s="75">
        <f>IF('Wtr-Gas'!U40&lt;0,"0",('Wtr-Gas'!U40)*0.0038)</f>
        <v>0</v>
      </c>
      <c r="AL38" s="75">
        <f>IF('Wtr-Gas'!X40&lt;0,"0",('Wtr-Gas'!X40)*0.0038)</f>
        <v>0</v>
      </c>
      <c r="AM38" s="74">
        <f>IF('Wtr-Gas'!AB40&lt;0,"0",('Wtr-Gas'!AB40)*0.0038)</f>
        <v>0</v>
      </c>
      <c r="AN38" s="74">
        <f>IF('Wtr-Gas'!AD40&lt;0,"0",('Wtr-Gas'!AD40)*0.0038)</f>
        <v>0</v>
      </c>
      <c r="AO38" s="74">
        <f>IF('Wtr-Gas'!AF40&lt;0,"0",('Wtr-Gas'!AF40)*0.0038)</f>
        <v>0</v>
      </c>
      <c r="AP38" s="74">
        <f>IF('Wtr-Gas'!AH40&lt;0,"0",('Wtr-Gas'!AH40)*0.0038)</f>
        <v>0</v>
      </c>
      <c r="AQ38" s="74">
        <f>IF('Wtr-Gas'!AJ40&lt;0,"0",('Wtr-Gas'!AJ40)*0.0038)</f>
        <v>0</v>
      </c>
      <c r="AR38" s="74">
        <f>IF('Wtr-Gas'!AL40&lt;0,"0",('Wtr-Gas'!AL40)*0.0038)</f>
        <v>0</v>
      </c>
      <c r="AS38" s="74">
        <f>IF('Wtr-Gas'!AN40&lt;0,"0",('Wtr-Gas'!AN40)*0.0038)</f>
        <v>0</v>
      </c>
      <c r="AT38" s="74">
        <f>IF('Wtr-Gas'!AP40&lt;0,"0",('Wtr-Gas'!AP40)*0.0038)</f>
        <v>0</v>
      </c>
      <c r="AU38" s="87">
        <f>IF('Wtr-Gas'!AT40&lt;0,"0",('Wtr-Gas'!AT40)*0.0038)</f>
        <v>0</v>
      </c>
      <c r="AV38" s="74">
        <f>IF('Wtr-Gas'!AW40&lt;0,"0",('Wtr-Gas'!AW40)*0.0038)</f>
        <v>0</v>
      </c>
      <c r="AW38" s="74">
        <f>IF('Wtr-Gas'!AY40&lt;0,"0",('Wtr-Gas'!AY40)*0.0038)</f>
        <v>0</v>
      </c>
      <c r="AX38" s="74">
        <f>IF('Wtr-Gas'!AZ40&lt;0,"0",('Wtr-Gas'!AZ40)*0.0038)</f>
        <v>0</v>
      </c>
      <c r="AY38" s="74">
        <f>IF('Wtr-Gas'!BB40&lt;0,"0",('Wtr-Gas'!BB40)*0.0038)</f>
        <v>0</v>
      </c>
      <c r="AZ38" s="74">
        <f>IF('Wtr-Gas'!BD40&lt;0,"0",('Wtr-Gas'!BD40)*0.0038)</f>
        <v>0</v>
      </c>
      <c r="BA38" s="74">
        <f>IF('Wtr-Gas'!BF40&lt;0,"0",('Wtr-Gas'!BF40)*0.0038)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>
        <f>IF('Wtr-Gas'!E41&lt;0,"0",('Wtr-Gas'!E41)*0.0038)</f>
        <v>0</v>
      </c>
      <c r="AG39" s="74">
        <f>IF('Wtr-Gas'!H41&lt;0,"0",('Wtr-Gas'!H41)*0.0038)</f>
        <v>0</v>
      </c>
      <c r="AH39" s="74">
        <f>IF('Wtr-Gas'!K41&lt;0,"0",('Wtr-Gas'!K41)*0.0038)</f>
        <v>0</v>
      </c>
      <c r="AI39" s="74">
        <f>IF('Wtr-Gas'!N41&lt;0,"0",('Wtr-Gas'!N41)*0.0038)</f>
        <v>0</v>
      </c>
      <c r="AJ39" s="74">
        <f>IF('Wtr-Gas'!Q41&lt;0,"0",('Wtr-Gas'!Q41)*0.0038)</f>
        <v>0</v>
      </c>
      <c r="AK39" s="75">
        <f>IF('Wtr-Gas'!U41&lt;0,"0",('Wtr-Gas'!U41)*0.0038)</f>
        <v>0</v>
      </c>
      <c r="AL39" s="75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IF('Wtr-Gas'!AF41&lt;0,"0",('Wtr-Gas'!AF41)*0.0038)</f>
        <v>0</v>
      </c>
      <c r="AP39" s="74">
        <f>IF('Wtr-Gas'!AH41&lt;0,"0",('Wtr-Gas'!AH41)*0.0038)</f>
        <v>0</v>
      </c>
      <c r="AQ39" s="74">
        <f>IF('Wtr-Gas'!AJ41&lt;0,"0",('Wtr-Gas'!AJ41)*0.0038)</f>
        <v>0</v>
      </c>
      <c r="AR39" s="74">
        <f>IF('Wtr-Gas'!AL41&lt;0,"0",('Wtr-Gas'!AL41)*0.0038)</f>
        <v>0</v>
      </c>
      <c r="AS39" s="74">
        <f>IF('Wtr-Gas'!AN41&lt;0,"0",('Wtr-Gas'!AN41)*0.0038)</f>
        <v>0</v>
      </c>
      <c r="AT39" s="74">
        <f>IF('Wtr-Gas'!AP41&lt;0,"0",('Wtr-Gas'!AP41)*0.0038)</f>
        <v>0</v>
      </c>
      <c r="AU39" s="87">
        <f>IF('Wtr-Gas'!AT41&lt;0,"0",('Wtr-Gas'!AT41)*0.0038)</f>
        <v>0</v>
      </c>
      <c r="AV39" s="74">
        <f>IF('Wtr-Gas'!AW41&lt;0,"0",('Wtr-Gas'!AW41)*0.0038)</f>
        <v>0</v>
      </c>
      <c r="AW39" s="74">
        <f>IF('Wtr-Gas'!AY41&lt;0,"0",('Wtr-Gas'!AY41)*0.0038)</f>
        <v>0</v>
      </c>
      <c r="AX39" s="74">
        <f>IF('Wtr-Gas'!AZ41&lt;0,"0",('Wtr-Gas'!AZ41)*0.0038)</f>
        <v>0</v>
      </c>
      <c r="AY39" s="74">
        <f>IF('Wtr-Gas'!BB41&lt;0,"0",('Wtr-Gas'!BB41)*0.0038)</f>
        <v>0</v>
      </c>
      <c r="AZ39" s="74">
        <f>IF('Wtr-Gas'!BD41&lt;0,"0",('Wtr-Gas'!BD41)*0.0038)</f>
        <v>0</v>
      </c>
      <c r="BA39" s="74">
        <f>IF('Wtr-Gas'!BF41&lt;0,"0",('Wtr-Gas'!BF41)*0.0038)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IF('Wtr-Gas'!AF42&lt;0,"0",('Wtr-Gas'!AF42)*0.0038)</f>
        <v>0</v>
      </c>
      <c r="AP40" s="74">
        <f>IF('Wtr-Gas'!AH42&lt;0,"0",('Wtr-Gas'!AH42)*0.0038)</f>
        <v>0</v>
      </c>
      <c r="AQ40" s="74">
        <f>IF('Wtr-Gas'!AJ42&lt;0,"0",('Wtr-Gas'!AJ42)*0.0038)</f>
        <v>0</v>
      </c>
      <c r="AR40" s="74">
        <f>IF('Wtr-Gas'!AL42&lt;0,"0",('Wtr-Gas'!AL42)*0.0038)</f>
        <v>0</v>
      </c>
      <c r="AS40" s="74">
        <f>IF('Wtr-Gas'!AN42&lt;0,"0",('Wtr-Gas'!AN42)*0.0038)</f>
        <v>0</v>
      </c>
      <c r="AT40" s="74">
        <f>IF('Wtr-Gas'!AP42&lt;0,"0",('Wtr-Gas'!AP42)*0.0038)</f>
        <v>0</v>
      </c>
      <c r="AU40" s="87">
        <f>IF('Wtr-Gas'!AT42&lt;0,"0",('Wtr-Gas'!AT42)*0.0038)</f>
        <v>0</v>
      </c>
      <c r="AV40" s="74">
        <f>IF('Wtr-Gas'!AW42&lt;0,"0",('Wtr-Gas'!AW42)*0.0038)</f>
        <v>0</v>
      </c>
      <c r="AW40" s="74">
        <f>IF('Wtr-Gas'!AY42&lt;0,"0",('Wtr-Gas'!AY42)*0.0038)</f>
        <v>0</v>
      </c>
      <c r="AX40" s="74">
        <f>IF('Wtr-Gas'!AZ42&lt;0,"0",('Wtr-Gas'!AZ42)*0.0038)</f>
        <v>0</v>
      </c>
      <c r="AY40" s="74">
        <f>IF('Wtr-Gas'!BB42&lt;0,"0",('Wtr-Gas'!BB42)*0.0038)</f>
        <v>0</v>
      </c>
      <c r="AZ40" s="74">
        <f>IF('Wtr-Gas'!BD42&lt;0,"0",('Wtr-Gas'!BD42)*0.0038)</f>
        <v>0</v>
      </c>
      <c r="BA40" s="74">
        <f>IF('Wtr-Gas'!BF42&lt;0,"0",('Wtr-Gas'!BF42)*0.0038)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IF('Wtr-Gas'!AF43&lt;0,"0",('Wtr-Gas'!AF43)*0.0038)</f>
        <v>0</v>
      </c>
      <c r="AP41" s="74">
        <f>IF('Wtr-Gas'!AH43&lt;0,"0",('Wtr-Gas'!AH43)*0.0038)</f>
        <v>0</v>
      </c>
      <c r="AQ41" s="74">
        <f>IF('Wtr-Gas'!AJ43&lt;0,"0",('Wtr-Gas'!AJ43)*0.0038)</f>
        <v>0</v>
      </c>
      <c r="AR41" s="74">
        <f>IF('Wtr-Gas'!AL43&lt;0,"0",('Wtr-Gas'!AL43)*0.0038)</f>
        <v>0</v>
      </c>
      <c r="AS41" s="74">
        <f>IF('Wtr-Gas'!AN43&lt;0,"0",('Wtr-Gas'!AN43)*0.0038)</f>
        <v>0</v>
      </c>
      <c r="AT41" s="74">
        <f>IF('Wtr-Gas'!AP43&lt;0,"0",('Wtr-Gas'!AP43)*0.0038)</f>
        <v>0</v>
      </c>
      <c r="AU41" s="87">
        <f>IF('Wtr-Gas'!AT43&lt;0,"0",('Wtr-Gas'!AT43)*0.0038)</f>
        <v>0</v>
      </c>
      <c r="AV41" s="74">
        <f>IF('Wtr-Gas'!AW43&lt;0,"0",('Wtr-Gas'!AW43)*0.0038)</f>
        <v>0</v>
      </c>
      <c r="AW41" s="74">
        <f>IF('Wtr-Gas'!AY43&lt;0,"0",('Wtr-Gas'!AY43)*0.0038)</f>
        <v>0</v>
      </c>
      <c r="AX41" s="74">
        <f>IF('Wtr-Gas'!AZ43&lt;0,"0",('Wtr-Gas'!AZ43)*0.0038)</f>
        <v>0</v>
      </c>
      <c r="AY41" s="74">
        <f>IF('Wtr-Gas'!BB43&lt;0,"0",('Wtr-Gas'!BB43)*0.0038)</f>
        <v>0</v>
      </c>
      <c r="AZ41" s="74">
        <f>IF('Wtr-Gas'!BD43&lt;0,"0",('Wtr-Gas'!BD43)*0.0038)</f>
        <v>0</v>
      </c>
      <c r="BA41" s="74">
        <f>IF('Wtr-Gas'!BF43&lt;0,"0",('Wtr-Gas'!BF43)*0.0038)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IF('Wtr-Gas'!AF44&lt;0,"0",('Wtr-Gas'!AF44)*0.0038)</f>
        <v>0</v>
      </c>
      <c r="AP42" s="74">
        <f>IF('Wtr-Gas'!AH44&lt;0,"0",('Wtr-Gas'!AH44)*0.0038)</f>
        <v>0</v>
      </c>
      <c r="AQ42" s="74">
        <f>IF('Wtr-Gas'!AJ44&lt;0,"0",('Wtr-Gas'!AJ44)*0.0038)</f>
        <v>0</v>
      </c>
      <c r="AR42" s="74">
        <f>IF('Wtr-Gas'!AL44&lt;0,"0",('Wtr-Gas'!AL44)*0.0038)</f>
        <v>0</v>
      </c>
      <c r="AS42" s="74">
        <f>IF('Wtr-Gas'!AN44&lt;0,"0",('Wtr-Gas'!AN44)*0.0038)</f>
        <v>0</v>
      </c>
      <c r="AT42" s="74">
        <f>IF('Wtr-Gas'!AP44&lt;0,"0",('Wtr-Gas'!AP44)*0.0038)</f>
        <v>0</v>
      </c>
      <c r="AU42" s="87">
        <f>IF('Wtr-Gas'!AT44&lt;0,"0",('Wtr-Gas'!AT44)*0.0038)</f>
        <v>0</v>
      </c>
      <c r="AV42" s="74">
        <f>IF('Wtr-Gas'!AW44&lt;0,"0",('Wtr-Gas'!AW44)*0.0038)</f>
        <v>0</v>
      </c>
      <c r="AW42" s="74">
        <f>IF('Wtr-Gas'!AY44&lt;0,"0",('Wtr-Gas'!AY44)*0.0038)</f>
        <v>0</v>
      </c>
      <c r="AX42" s="74">
        <f>IF('Wtr-Gas'!AZ44&lt;0,"0",('Wtr-Gas'!AZ44)*0.0038)</f>
        <v>0</v>
      </c>
      <c r="AY42" s="74">
        <f>IF('Wtr-Gas'!BB44&lt;0,"0",('Wtr-Gas'!BB44)*0.0038)</f>
        <v>0</v>
      </c>
      <c r="AZ42" s="74">
        <f>IF('Wtr-Gas'!BD44&lt;0,"0",('Wtr-Gas'!BD44)*0.0038)</f>
        <v>0</v>
      </c>
      <c r="BA42" s="74">
        <f>IF('Wtr-Gas'!BF44&lt;0,"0",('Wtr-Gas'!BF44)*0.0038)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IF('Wtr-Gas'!AF45&lt;0,"0",('Wtr-Gas'!AF45)*0.0038)</f>
        <v>0</v>
      </c>
      <c r="AP43" s="74">
        <f>IF('Wtr-Gas'!AH45&lt;0,"0",('Wtr-Gas'!AH45)*0.0038)</f>
        <v>0</v>
      </c>
      <c r="AQ43" s="74">
        <f>IF('Wtr-Gas'!AJ45&lt;0,"0",('Wtr-Gas'!AJ45)*0.0038)</f>
        <v>0</v>
      </c>
      <c r="AR43" s="74">
        <f>IF('Wtr-Gas'!AL45&lt;0,"0",('Wtr-Gas'!AL45)*0.0038)</f>
        <v>0</v>
      </c>
      <c r="AS43" s="74">
        <f>IF('Wtr-Gas'!AN45&lt;0,"0",('Wtr-Gas'!AN45)*0.0038)</f>
        <v>0</v>
      </c>
      <c r="AT43" s="74">
        <f>IF('Wtr-Gas'!AP45&lt;0,"0",('Wtr-Gas'!AP45)*0.0038)</f>
        <v>0</v>
      </c>
      <c r="AU43" s="87">
        <f>IF('Wtr-Gas'!AT45&lt;0,"0",('Wtr-Gas'!AT45)*0.0038)</f>
        <v>0</v>
      </c>
      <c r="AV43" s="74">
        <f>IF('Wtr-Gas'!AW45&lt;0,"0",('Wtr-Gas'!AW45)*0.0038)</f>
        <v>0</v>
      </c>
      <c r="AW43" s="74">
        <f>IF('Wtr-Gas'!AY45&lt;0,"0",('Wtr-Gas'!AY45)*0.0038)</f>
        <v>0</v>
      </c>
      <c r="AX43" s="74">
        <f>IF('Wtr-Gas'!AZ45&lt;0,"0",('Wtr-Gas'!AZ45)*0.0038)</f>
        <v>0</v>
      </c>
      <c r="AY43" s="74">
        <f>IF('Wtr-Gas'!BB45&lt;0,"0",('Wtr-Gas'!BB45)*0.0038)</f>
        <v>0</v>
      </c>
      <c r="AZ43" s="74">
        <f>IF('Wtr-Gas'!BD45&lt;0,"0",('Wtr-Gas'!BD45)*0.0038)</f>
        <v>0</v>
      </c>
      <c r="BA43" s="74">
        <f>IF('Wtr-Gas'!BF45&lt;0,"0",('Wtr-Gas'!BF45)*0.0038)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IF('Wtr-Gas'!AF46&lt;0,"0",('Wtr-Gas'!AF46)*0.0038)</f>
        <v>0</v>
      </c>
      <c r="AP44" s="74">
        <f>IF('Wtr-Gas'!AH46&lt;0,"0",('Wtr-Gas'!AH46)*0.0038)</f>
        <v>0</v>
      </c>
      <c r="AQ44" s="74">
        <f>IF('Wtr-Gas'!AJ46&lt;0,"0",('Wtr-Gas'!AJ46)*0.0038)</f>
        <v>0</v>
      </c>
      <c r="AR44" s="74">
        <f>IF('Wtr-Gas'!AL46&lt;0,"0",('Wtr-Gas'!AL46)*0.0038)</f>
        <v>0</v>
      </c>
      <c r="AS44" s="74">
        <f>IF('Wtr-Gas'!AN46&lt;0,"0",('Wtr-Gas'!AN46)*0.0038)</f>
        <v>0</v>
      </c>
      <c r="AT44" s="74">
        <f>IF('Wtr-Gas'!AP46&lt;0,"0",('Wtr-Gas'!AP46)*0.0038)</f>
        <v>0</v>
      </c>
      <c r="AU44" s="87">
        <f>IF('Wtr-Gas'!AT46&lt;0,"0",('Wtr-Gas'!AT46)*0.0038)</f>
        <v>0</v>
      </c>
      <c r="AV44" s="74">
        <f>IF('Wtr-Gas'!AW46&lt;0,"0",('Wtr-Gas'!AW46)*0.0038)</f>
        <v>0</v>
      </c>
      <c r="AW44" s="74">
        <f>IF('Wtr-Gas'!AY46&lt;0,"0",('Wtr-Gas'!AY46)*0.0038)</f>
        <v>0</v>
      </c>
      <c r="AX44" s="74">
        <f>IF('Wtr-Gas'!AZ46&lt;0,"0",('Wtr-Gas'!AZ46)*0.0038)</f>
        <v>0</v>
      </c>
      <c r="AY44" s="74">
        <f>IF('Wtr-Gas'!BB46&lt;0,"0",('Wtr-Gas'!BB46)*0.0038)</f>
        <v>0</v>
      </c>
      <c r="AZ44" s="74">
        <f>IF('Wtr-Gas'!BD46&lt;0,"0",('Wtr-Gas'!BD46)*0.0038)</f>
        <v>0</v>
      </c>
      <c r="BA44" s="74">
        <f>IF('Wtr-Gas'!BF46&lt;0,"0",('Wtr-Gas'!BF46)*0.0038)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IF('Wtr-Gas'!AF47&lt;0,"0",('Wtr-Gas'!AF47)*0.0038)</f>
        <v>0</v>
      </c>
      <c r="AP45" s="74">
        <f>IF('Wtr-Gas'!AH47&lt;0,"0",('Wtr-Gas'!AH47)*0.0038)</f>
        <v>0</v>
      </c>
      <c r="AQ45" s="74">
        <f>IF('Wtr-Gas'!AJ47&lt;0,"0",('Wtr-Gas'!AJ47)*0.0038)</f>
        <v>0</v>
      </c>
      <c r="AR45" s="74">
        <f>IF('Wtr-Gas'!AL47&lt;0,"0",('Wtr-Gas'!AL47)*0.0038)</f>
        <v>0</v>
      </c>
      <c r="AS45" s="74">
        <f>IF('Wtr-Gas'!AN47&lt;0,"0",('Wtr-Gas'!AN47)*0.0038)</f>
        <v>0</v>
      </c>
      <c r="AT45" s="74">
        <f>IF('Wtr-Gas'!AP47&lt;0,"0",('Wtr-Gas'!AP47)*0.0038)</f>
        <v>0</v>
      </c>
      <c r="AU45" s="87">
        <f>IF('Wtr-Gas'!AT47&lt;0,"0",('Wtr-Gas'!AT47)*0.0038)</f>
        <v>0</v>
      </c>
      <c r="AV45" s="74">
        <f>IF('Wtr-Gas'!AW47&lt;0,"0",('Wtr-Gas'!AW47)*0.0038)</f>
        <v>0</v>
      </c>
      <c r="AW45" s="74">
        <f>IF('Wtr-Gas'!AY47&lt;0,"0",('Wtr-Gas'!AY47)*0.0038)</f>
        <v>0</v>
      </c>
      <c r="AX45" s="74">
        <f>IF('Wtr-Gas'!AZ47&lt;0,"0",('Wtr-Gas'!AZ47)*0.0038)</f>
        <v>0</v>
      </c>
      <c r="AY45" s="74">
        <f>IF('Wtr-Gas'!BB47&lt;0,"0",('Wtr-Gas'!BB47)*0.0038)</f>
        <v>0</v>
      </c>
      <c r="AZ45" s="74">
        <f>IF('Wtr-Gas'!BD47&lt;0,"0",('Wtr-Gas'!BD47)*0.0038)</f>
        <v>0</v>
      </c>
      <c r="BA45" s="74">
        <f>IF('Wtr-Gas'!BF47&lt;0,"0",('Wtr-Gas'!BF47)*0.0038)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IF('Wtr-Gas'!AF48&lt;0,"0",('Wtr-Gas'!AF48)*0.0038)</f>
        <v>0</v>
      </c>
      <c r="AP46" s="74">
        <f>IF('Wtr-Gas'!AH48&lt;0,"0",('Wtr-Gas'!AH48)*0.0038)</f>
        <v>0</v>
      </c>
      <c r="AQ46" s="74">
        <f>IF('Wtr-Gas'!AJ48&lt;0,"0",('Wtr-Gas'!AJ48)*0.0038)</f>
        <v>0</v>
      </c>
      <c r="AR46" s="74">
        <f>IF('Wtr-Gas'!AL48&lt;0,"0",('Wtr-Gas'!AL48)*0.0038)</f>
        <v>0</v>
      </c>
      <c r="AS46" s="74">
        <f>IF('Wtr-Gas'!AN48&lt;0,"0",('Wtr-Gas'!AN48)*0.0038)</f>
        <v>0</v>
      </c>
      <c r="AT46" s="74">
        <f>IF('Wtr-Gas'!AP48&lt;0,"0",('Wtr-Gas'!AP48)*0.0038)</f>
        <v>0</v>
      </c>
      <c r="AU46" s="87">
        <f>IF('Wtr-Gas'!AT48&lt;0,"0",('Wtr-Gas'!AT48)*0.0038)</f>
        <v>0</v>
      </c>
      <c r="AV46" s="74">
        <f>IF('Wtr-Gas'!AW48&lt;0,"0",('Wtr-Gas'!AW48)*0.0038)</f>
        <v>0</v>
      </c>
      <c r="AW46" s="74">
        <f>IF('Wtr-Gas'!AY48&lt;0,"0",('Wtr-Gas'!AY48)*0.0038)</f>
        <v>0</v>
      </c>
      <c r="AX46" s="74">
        <f>IF('Wtr-Gas'!AZ48&lt;0,"0",('Wtr-Gas'!AZ48)*0.0038)</f>
        <v>0</v>
      </c>
      <c r="AY46" s="74">
        <f>IF('Wtr-Gas'!BB48&lt;0,"0",('Wtr-Gas'!BB48)*0.0038)</f>
        <v>0</v>
      </c>
      <c r="AZ46" s="74">
        <f>IF('Wtr-Gas'!BD48&lt;0,"0",('Wtr-Gas'!BD48)*0.0038)</f>
        <v>0</v>
      </c>
      <c r="BA46" s="74">
        <f>IF('Wtr-Gas'!BF48&lt;0,"0",('Wtr-Gas'!BF48)*0.0038)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IF('Wtr-Gas'!AF49&lt;0,"0",('Wtr-Gas'!AF49)*0.0038)</f>
        <v>0</v>
      </c>
      <c r="AP47" s="74">
        <f>IF('Wtr-Gas'!AH49&lt;0,"0",('Wtr-Gas'!AH49)*0.0038)</f>
        <v>0</v>
      </c>
      <c r="AQ47" s="74">
        <f>IF('Wtr-Gas'!AJ49&lt;0,"0",('Wtr-Gas'!AJ49)*0.0038)</f>
        <v>0</v>
      </c>
      <c r="AR47" s="74">
        <f>IF('Wtr-Gas'!AL49&lt;0,"0",('Wtr-Gas'!AL49)*0.0038)</f>
        <v>0</v>
      </c>
      <c r="AS47" s="74">
        <f>IF('Wtr-Gas'!AN49&lt;0,"0",('Wtr-Gas'!AN49)*0.0038)</f>
        <v>0</v>
      </c>
      <c r="AT47" s="74">
        <f>IF('Wtr-Gas'!AP49&lt;0,"0",('Wtr-Gas'!AP49)*0.0038)</f>
        <v>0</v>
      </c>
      <c r="AU47" s="87">
        <f>IF('Wtr-Gas'!AT49&lt;0,"0",('Wtr-Gas'!AT49)*0.0038)</f>
        <v>0</v>
      </c>
      <c r="AV47" s="74">
        <f>IF('Wtr-Gas'!AW49&lt;0,"0",('Wtr-Gas'!AW49)*0.0038)</f>
        <v>0</v>
      </c>
      <c r="AW47" s="74">
        <f>IF('Wtr-Gas'!AY49&lt;0,"0",('Wtr-Gas'!AY49)*0.0038)</f>
        <v>0</v>
      </c>
      <c r="AX47" s="74">
        <f>IF('Wtr-Gas'!AZ49&lt;0,"0",('Wtr-Gas'!AZ49)*0.0038)</f>
        <v>0</v>
      </c>
      <c r="AY47" s="74">
        <f>IF('Wtr-Gas'!BB49&lt;0,"0",('Wtr-Gas'!BB49)*0.0038)</f>
        <v>0</v>
      </c>
      <c r="AZ47" s="74">
        <f>IF('Wtr-Gas'!BD49&lt;0,"0",('Wtr-Gas'!BD49)*0.0038)</f>
        <v>0</v>
      </c>
      <c r="BA47" s="74">
        <f>IF('Wtr-Gas'!BF49&lt;0,"0",('Wtr-Gas'!BF49)*0.0038)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IF('Wtr-Gas'!AF50&lt;0,"0",('Wtr-Gas'!AF50)*0.0038)</f>
        <v>0</v>
      </c>
      <c r="AP48" s="74">
        <f>IF('Wtr-Gas'!AH50&lt;0,"0",('Wtr-Gas'!AH50)*0.0038)</f>
        <v>0</v>
      </c>
      <c r="AQ48" s="74">
        <f>IF('Wtr-Gas'!AJ50&lt;0,"0",('Wtr-Gas'!AJ50)*0.0038)</f>
        <v>0</v>
      </c>
      <c r="AR48" s="74">
        <f>IF('Wtr-Gas'!AL50&lt;0,"0",('Wtr-Gas'!AL50)*0.0038)</f>
        <v>0</v>
      </c>
      <c r="AS48" s="74">
        <f>IF('Wtr-Gas'!AN50&lt;0,"0",('Wtr-Gas'!AN50)*0.0038)</f>
        <v>0</v>
      </c>
      <c r="AT48" s="74">
        <f>IF('Wtr-Gas'!AP50&lt;0,"0",('Wtr-Gas'!AP50)*0.0038)</f>
        <v>0</v>
      </c>
      <c r="AU48" s="87">
        <f>IF('Wtr-Gas'!AT50&lt;0,"0",('Wtr-Gas'!AT50)*0.0038)</f>
        <v>0</v>
      </c>
      <c r="AV48" s="74">
        <f>IF('Wtr-Gas'!AW50&lt;0,"0",('Wtr-Gas'!AW50)*0.0038)</f>
        <v>0</v>
      </c>
      <c r="AW48" s="74">
        <f>IF('Wtr-Gas'!AY50&lt;0,"0",('Wtr-Gas'!AY50)*0.0038)</f>
        <v>0</v>
      </c>
      <c r="AX48" s="74">
        <f>IF('Wtr-Gas'!AZ50&lt;0,"0",('Wtr-Gas'!AZ50)*0.0038)</f>
        <v>0</v>
      </c>
      <c r="AY48" s="74">
        <f>IF('Wtr-Gas'!BB50&lt;0,"0",('Wtr-Gas'!BB50)*0.0038)</f>
        <v>0</v>
      </c>
      <c r="AZ48" s="74">
        <f>IF('Wtr-Gas'!BD50&lt;0,"0",('Wtr-Gas'!BD50)*0.0038)</f>
        <v>0</v>
      </c>
      <c r="BA48" s="74">
        <f>IF('Wtr-Gas'!BF50&lt;0,"0",('Wtr-Gas'!BF50)*0.0038)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IF('Wtr-Gas'!AF51&lt;0,"0",('Wtr-Gas'!AF51)*0.0038)</f>
        <v>0</v>
      </c>
      <c r="AP49" s="74">
        <f>IF('Wtr-Gas'!AH51&lt;0,"0",('Wtr-Gas'!AH51)*0.0038)</f>
        <v>0</v>
      </c>
      <c r="AQ49" s="74">
        <f>IF('Wtr-Gas'!AJ51&lt;0,"0",('Wtr-Gas'!AJ51)*0.0038)</f>
        <v>0</v>
      </c>
      <c r="AR49" s="74">
        <f>IF('Wtr-Gas'!AL51&lt;0,"0",('Wtr-Gas'!AL51)*0.0038)</f>
        <v>0</v>
      </c>
      <c r="AS49" s="74">
        <f>IF('Wtr-Gas'!AN51&lt;0,"0",('Wtr-Gas'!AN51)*0.0038)</f>
        <v>0</v>
      </c>
      <c r="AT49" s="74">
        <f>IF('Wtr-Gas'!AP51&lt;0,"0",('Wtr-Gas'!AP51)*0.0038)</f>
        <v>0</v>
      </c>
      <c r="AU49" s="87">
        <f>IF('Wtr-Gas'!AT51&lt;0,"0",('Wtr-Gas'!AT51)*0.0038)</f>
        <v>0</v>
      </c>
      <c r="AV49" s="74">
        <f>IF('Wtr-Gas'!AW51&lt;0,"0",('Wtr-Gas'!AW51)*0.0038)</f>
        <v>0</v>
      </c>
      <c r="AW49" s="74">
        <f>IF('Wtr-Gas'!AY51&lt;0,"0",('Wtr-Gas'!AY51)*0.0038)</f>
        <v>0</v>
      </c>
      <c r="AX49" s="74">
        <f>IF('Wtr-Gas'!AZ51&lt;0,"0",('Wtr-Gas'!AZ51)*0.0038)</f>
        <v>0</v>
      </c>
      <c r="AY49" s="74">
        <f>IF('Wtr-Gas'!BB51&lt;0,"0",('Wtr-Gas'!BB51)*0.0038)</f>
        <v>0</v>
      </c>
      <c r="AZ49" s="74">
        <f>IF('Wtr-Gas'!BD51&lt;0,"0",('Wtr-Gas'!BD51)*0.0038)</f>
        <v>0</v>
      </c>
      <c r="BA49" s="74">
        <f>IF('Wtr-Gas'!BF51&lt;0,"0",('Wtr-Gas'!BF51)*0.0038)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IF('Wtr-Gas'!AF52&lt;0,"0",('Wtr-Gas'!AF52)*0.0038)</f>
        <v>0</v>
      </c>
      <c r="AP50" s="74">
        <f>IF('Wtr-Gas'!AH52&lt;0,"0",('Wtr-Gas'!AH52)*0.0038)</f>
        <v>0</v>
      </c>
      <c r="AQ50" s="74">
        <f>IF('Wtr-Gas'!AJ52&lt;0,"0",('Wtr-Gas'!AJ52)*0.0038)</f>
        <v>0</v>
      </c>
      <c r="AR50" s="74">
        <f>IF('Wtr-Gas'!AL52&lt;0,"0",('Wtr-Gas'!AL52)*0.0038)</f>
        <v>0</v>
      </c>
      <c r="AS50" s="74">
        <f>IF('Wtr-Gas'!AN52&lt;0,"0",('Wtr-Gas'!AN52)*0.0038)</f>
        <v>0</v>
      </c>
      <c r="AT50" s="74">
        <f>IF('Wtr-Gas'!AP52&lt;0,"0",('Wtr-Gas'!AP52)*0.0038)</f>
        <v>0</v>
      </c>
      <c r="AU50" s="87">
        <f>IF('Wtr-Gas'!AT52&lt;0,"0",('Wtr-Gas'!AT52)*0.0038)</f>
        <v>0</v>
      </c>
      <c r="AV50" s="74">
        <f>IF('Wtr-Gas'!AW52&lt;0,"0",('Wtr-Gas'!AW52)*0.0038)</f>
        <v>0</v>
      </c>
      <c r="AW50" s="74">
        <f>IF('Wtr-Gas'!AY52&lt;0,"0",('Wtr-Gas'!AY52)*0.0038)</f>
        <v>0</v>
      </c>
      <c r="AX50" s="74">
        <f>IF('Wtr-Gas'!AZ52&lt;0,"0",('Wtr-Gas'!AZ52)*0.0038)</f>
        <v>0</v>
      </c>
      <c r="AY50" s="74">
        <f>IF('Wtr-Gas'!BB52&lt;0,"0",('Wtr-Gas'!BB52)*0.0038)</f>
        <v>0</v>
      </c>
      <c r="AZ50" s="74">
        <f>IF('Wtr-Gas'!BD52&lt;0,"0",('Wtr-Gas'!BD52)*0.0038)</f>
        <v>0</v>
      </c>
      <c r="BA50" s="74">
        <f>IF('Wtr-Gas'!BF52&lt;0,"0",('Wtr-Gas'!BF52)*0.0038)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IF('Wtr-Gas'!AF53&lt;0,"0",('Wtr-Gas'!AF53)*0.0038)</f>
        <v>0</v>
      </c>
      <c r="AP51" s="74">
        <f>IF('Wtr-Gas'!AH53&lt;0,"0",('Wtr-Gas'!AH53)*0.0038)</f>
        <v>0</v>
      </c>
      <c r="AQ51" s="74">
        <f>IF('Wtr-Gas'!AJ53&lt;0,"0",('Wtr-Gas'!AJ53)*0.0038)</f>
        <v>0</v>
      </c>
      <c r="AR51" s="74">
        <f>IF('Wtr-Gas'!AL53&lt;0,"0",('Wtr-Gas'!AL53)*0.0038)</f>
        <v>0</v>
      </c>
      <c r="AS51" s="74">
        <f>IF('Wtr-Gas'!AN53&lt;0,"0",('Wtr-Gas'!AN53)*0.0038)</f>
        <v>0</v>
      </c>
      <c r="AT51" s="74">
        <f>IF('Wtr-Gas'!AP53&lt;0,"0",('Wtr-Gas'!AP53)*0.0038)</f>
        <v>0</v>
      </c>
      <c r="AU51" s="87">
        <f>IF('Wtr-Gas'!AT53&lt;0,"0",('Wtr-Gas'!AT53)*0.0038)</f>
        <v>0</v>
      </c>
      <c r="AV51" s="74">
        <f>IF('Wtr-Gas'!AW53&lt;0,"0",('Wtr-Gas'!AW53)*0.0038)</f>
        <v>0</v>
      </c>
      <c r="AW51" s="74">
        <f>IF('Wtr-Gas'!AY53&lt;0,"0",('Wtr-Gas'!AY53)*0.0038)</f>
        <v>0</v>
      </c>
      <c r="AX51" s="74">
        <f>IF('Wtr-Gas'!AZ53&lt;0,"0",('Wtr-Gas'!AZ53)*0.0038)</f>
        <v>0</v>
      </c>
      <c r="AY51" s="74">
        <f>IF('Wtr-Gas'!BB53&lt;0,"0",('Wtr-Gas'!BB53)*0.0038)</f>
        <v>0</v>
      </c>
      <c r="AZ51" s="74">
        <f>IF('Wtr-Gas'!BD53&lt;0,"0",('Wtr-Gas'!BD53)*0.0038)</f>
        <v>0</v>
      </c>
      <c r="BA51" s="74">
        <f>IF('Wtr-Gas'!BF53&lt;0,"0",('Wtr-Gas'!BF53)*0.0038)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IF('Wtr-Gas'!AF54&lt;0,"0",('Wtr-Gas'!AF54)*0.0038)</f>
        <v>0</v>
      </c>
      <c r="AP52" s="74">
        <f>IF('Wtr-Gas'!AH54&lt;0,"0",('Wtr-Gas'!AH54)*0.0038)</f>
        <v>0</v>
      </c>
      <c r="AQ52" s="74">
        <f>IF('Wtr-Gas'!AJ54&lt;0,"0",('Wtr-Gas'!AJ54)*0.0038)</f>
        <v>0</v>
      </c>
      <c r="AR52" s="74">
        <f>IF('Wtr-Gas'!AL54&lt;0,"0",('Wtr-Gas'!AL54)*0.0038)</f>
        <v>0</v>
      </c>
      <c r="AS52" s="74">
        <f>IF('Wtr-Gas'!AN54&lt;0,"0",('Wtr-Gas'!AN54)*0.0038)</f>
        <v>0</v>
      </c>
      <c r="AT52" s="74">
        <f>IF('Wtr-Gas'!AP54&lt;0,"0",('Wtr-Gas'!AP54)*0.0038)</f>
        <v>0</v>
      </c>
      <c r="AU52" s="87">
        <f>IF('Wtr-Gas'!AT54&lt;0,"0",('Wtr-Gas'!AT54)*0.0038)</f>
        <v>0</v>
      </c>
      <c r="AV52" s="74">
        <f>IF('Wtr-Gas'!AW54&lt;0,"0",('Wtr-Gas'!AW54)*0.0038)</f>
        <v>0</v>
      </c>
      <c r="AW52" s="74">
        <f>IF('Wtr-Gas'!AY54&lt;0,"0",('Wtr-Gas'!AY54)*0.0038)</f>
        <v>0</v>
      </c>
      <c r="AX52" s="74">
        <f>IF('Wtr-Gas'!AZ54&lt;0,"0",('Wtr-Gas'!AZ54)*0.0038)</f>
        <v>0</v>
      </c>
      <c r="AY52" s="74">
        <f>IF('Wtr-Gas'!BB54&lt;0,"0",('Wtr-Gas'!BB54)*0.0038)</f>
        <v>0</v>
      </c>
      <c r="AZ52" s="74">
        <f>IF('Wtr-Gas'!BD54&lt;0,"0",('Wtr-Gas'!BD54)*0.0038)</f>
        <v>0</v>
      </c>
      <c r="BA52" s="74">
        <f>IF('Wtr-Gas'!BF54&lt;0,"0",('Wtr-Gas'!BF54)*0.0038)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IF('Wtr-Gas'!AF55&lt;0,"0",('Wtr-Gas'!AF55)*0.0038)</f>
        <v>0</v>
      </c>
      <c r="AP53" s="74">
        <f>IF('Wtr-Gas'!AH55&lt;0,"0",('Wtr-Gas'!AH55)*0.0038)</f>
        <v>0</v>
      </c>
      <c r="AQ53" s="74">
        <f>IF('Wtr-Gas'!AJ55&lt;0,"0",('Wtr-Gas'!AJ55)*0.0038)</f>
        <v>0</v>
      </c>
      <c r="AR53" s="74">
        <f>IF('Wtr-Gas'!AL55&lt;0,"0",('Wtr-Gas'!AL55)*0.0038)</f>
        <v>0</v>
      </c>
      <c r="AS53" s="74">
        <f>IF('Wtr-Gas'!AN55&lt;0,"0",('Wtr-Gas'!AN55)*0.0038)</f>
        <v>0</v>
      </c>
      <c r="AT53" s="74">
        <f>IF('Wtr-Gas'!AP55&lt;0,"0",('Wtr-Gas'!AP55)*0.0038)</f>
        <v>0</v>
      </c>
      <c r="AU53" s="87">
        <f>IF('Wtr-Gas'!AT55&lt;0,"0",('Wtr-Gas'!AT55)*0.0038)</f>
        <v>0</v>
      </c>
      <c r="AV53" s="74">
        <f>IF('Wtr-Gas'!AW55&lt;0,"0",('Wtr-Gas'!AW55)*0.0038)</f>
        <v>0</v>
      </c>
      <c r="AW53" s="74">
        <f>IF('Wtr-Gas'!AY55&lt;0,"0",('Wtr-Gas'!AY55)*0.0038)</f>
        <v>0</v>
      </c>
      <c r="AX53" s="74">
        <f>IF('Wtr-Gas'!AZ55&lt;0,"0",('Wtr-Gas'!AZ55)*0.0038)</f>
        <v>0</v>
      </c>
      <c r="AY53" s="74">
        <f>IF('Wtr-Gas'!BB55&lt;0,"0",('Wtr-Gas'!BB55)*0.0038)</f>
        <v>0</v>
      </c>
      <c r="AZ53" s="74">
        <f>IF('Wtr-Gas'!BD55&lt;0,"0",('Wtr-Gas'!BD55)*0.0038)</f>
        <v>0</v>
      </c>
      <c r="BA53" s="74">
        <f>IF('Wtr-Gas'!BF55&lt;0,"0",('Wtr-Gas'!BF55)*0.0038)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IF('Wtr-Gas'!AF56&lt;0,"0",('Wtr-Gas'!AF56)*0.0038)</f>
        <v>0</v>
      </c>
      <c r="AP54" s="74">
        <f>IF('Wtr-Gas'!AH56&lt;0,"0",('Wtr-Gas'!AH56)*0.0038)</f>
        <v>0</v>
      </c>
      <c r="AQ54" s="74">
        <f>IF('Wtr-Gas'!AJ56&lt;0,"0",('Wtr-Gas'!AJ56)*0.0038)</f>
        <v>0</v>
      </c>
      <c r="AR54" s="74">
        <f>IF('Wtr-Gas'!AL56&lt;0,"0",('Wtr-Gas'!AL56)*0.0038)</f>
        <v>0</v>
      </c>
      <c r="AS54" s="74">
        <f>IF('Wtr-Gas'!AN56&lt;0,"0",('Wtr-Gas'!AN56)*0.0038)</f>
        <v>0</v>
      </c>
      <c r="AT54" s="74">
        <f>IF('Wtr-Gas'!AP56&lt;0,"0",('Wtr-Gas'!AP56)*0.0038)</f>
        <v>0</v>
      </c>
      <c r="AU54" s="87">
        <f>IF('Wtr-Gas'!AT56&lt;0,"0",('Wtr-Gas'!AT56)*0.0038)</f>
        <v>0</v>
      </c>
      <c r="AV54" s="74">
        <f>IF('Wtr-Gas'!AW56&lt;0,"0",('Wtr-Gas'!AW56)*0.0038)</f>
        <v>0</v>
      </c>
      <c r="AW54" s="74">
        <f>IF('Wtr-Gas'!AY56&lt;0,"0",('Wtr-Gas'!AY56)*0.0038)</f>
        <v>0</v>
      </c>
      <c r="AX54" s="74">
        <f>IF('Wtr-Gas'!AZ56&lt;0,"0",('Wtr-Gas'!AZ56)*0.0038)</f>
        <v>0</v>
      </c>
      <c r="AY54" s="74">
        <f>IF('Wtr-Gas'!BB56&lt;0,"0",('Wtr-Gas'!BB56)*0.0038)</f>
        <v>0</v>
      </c>
      <c r="AZ54" s="74">
        <f>IF('Wtr-Gas'!BD56&lt;0,"0",('Wtr-Gas'!BD56)*0.0038)</f>
        <v>0</v>
      </c>
      <c r="BA54" s="74">
        <f>IF('Wtr-Gas'!BF56&lt;0,"0",('Wtr-Gas'!BF56)*0.0038)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IF('Wtr-Gas'!AF57&lt;0,"0",('Wtr-Gas'!AF57)*0.0038)</f>
        <v>0</v>
      </c>
      <c r="AP55" s="74">
        <f>IF('Wtr-Gas'!AH57&lt;0,"0",('Wtr-Gas'!AH57)*0.0038)</f>
        <v>0</v>
      </c>
      <c r="AQ55" s="74">
        <f>IF('Wtr-Gas'!AJ57&lt;0,"0",('Wtr-Gas'!AJ57)*0.0038)</f>
        <v>0</v>
      </c>
      <c r="AR55" s="74">
        <f>IF('Wtr-Gas'!AL57&lt;0,"0",('Wtr-Gas'!AL57)*0.0038)</f>
        <v>0</v>
      </c>
      <c r="AS55" s="74">
        <f>IF('Wtr-Gas'!AN57&lt;0,"0",('Wtr-Gas'!AN57)*0.0038)</f>
        <v>0</v>
      </c>
      <c r="AT55" s="74">
        <f>IF('Wtr-Gas'!AP57&lt;0,"0",('Wtr-Gas'!AP57)*0.0038)</f>
        <v>0</v>
      </c>
      <c r="AU55" s="87">
        <f>IF('Wtr-Gas'!AT57&lt;0,"0",('Wtr-Gas'!AT57)*0.0038)</f>
        <v>0</v>
      </c>
      <c r="AV55" s="74">
        <f>IF('Wtr-Gas'!AW57&lt;0,"0",('Wtr-Gas'!AW57)*0.0038)</f>
        <v>0</v>
      </c>
      <c r="AW55" s="74">
        <f>IF('Wtr-Gas'!AY57&lt;0,"0",('Wtr-Gas'!AY57)*0.0038)</f>
        <v>0</v>
      </c>
      <c r="AX55" s="74">
        <f>IF('Wtr-Gas'!AZ57&lt;0,"0",('Wtr-Gas'!AZ57)*0.0038)</f>
        <v>0</v>
      </c>
      <c r="AY55" s="74">
        <f>IF('Wtr-Gas'!BB57&lt;0,"0",('Wtr-Gas'!BB57)*0.0038)</f>
        <v>0</v>
      </c>
      <c r="AZ55" s="74">
        <f>IF('Wtr-Gas'!BD57&lt;0,"0",('Wtr-Gas'!BD57)*0.0038)</f>
        <v>0</v>
      </c>
      <c r="BA55" s="74">
        <f>IF('Wtr-Gas'!BF57&lt;0,"0",('Wtr-Gas'!BF57)*0.0038)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IF('Wtr-Gas'!AF58&lt;0,"0",('Wtr-Gas'!AF58)*0.0038)</f>
        <v>0</v>
      </c>
      <c r="AP56" s="74">
        <f>IF('Wtr-Gas'!AH58&lt;0,"0",('Wtr-Gas'!AH58)*0.0038)</f>
        <v>0</v>
      </c>
      <c r="AQ56" s="74">
        <f>IF('Wtr-Gas'!AJ58&lt;0,"0",('Wtr-Gas'!AJ58)*0.0038)</f>
        <v>0</v>
      </c>
      <c r="AR56" s="74">
        <f>IF('Wtr-Gas'!AL58&lt;0,"0",('Wtr-Gas'!AL58)*0.0038)</f>
        <v>0</v>
      </c>
      <c r="AS56" s="74">
        <f>IF('Wtr-Gas'!AN58&lt;0,"0",('Wtr-Gas'!AN58)*0.0038)</f>
        <v>0</v>
      </c>
      <c r="AT56" s="74">
        <f>IF('Wtr-Gas'!AP58&lt;0,"0",('Wtr-Gas'!AP58)*0.0038)</f>
        <v>0</v>
      </c>
      <c r="AU56" s="87">
        <f>IF('Wtr-Gas'!AT58&lt;0,"0",('Wtr-Gas'!AT58)*0.0038)</f>
        <v>0</v>
      </c>
      <c r="AV56" s="74">
        <f>IF('Wtr-Gas'!AW58&lt;0,"0",('Wtr-Gas'!AW58)*0.0038)</f>
        <v>0</v>
      </c>
      <c r="AW56" s="74">
        <f>IF('Wtr-Gas'!AY58&lt;0,"0",('Wtr-Gas'!AY58)*0.0038)</f>
        <v>0</v>
      </c>
      <c r="AX56" s="74">
        <f>IF('Wtr-Gas'!AZ58&lt;0,"0",('Wtr-Gas'!AZ58)*0.0038)</f>
        <v>0</v>
      </c>
      <c r="AY56" s="74">
        <f>IF('Wtr-Gas'!BB58&lt;0,"0",('Wtr-Gas'!BB58)*0.0038)</f>
        <v>0</v>
      </c>
      <c r="AZ56" s="74">
        <f>IF('Wtr-Gas'!BD58&lt;0,"0",('Wtr-Gas'!BD58)*0.0038)</f>
        <v>0</v>
      </c>
      <c r="BA56" s="74">
        <f>IF('Wtr-Gas'!BF58&lt;0,"0",('Wtr-Gas'!BF58)*0.0038)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IF('Wtr-Gas'!AF59&lt;0,"0",('Wtr-Gas'!AF59)*0.0038)</f>
        <v>0</v>
      </c>
      <c r="AP57" s="74">
        <f>IF('Wtr-Gas'!AH59&lt;0,"0",('Wtr-Gas'!AH59)*0.0038)</f>
        <v>0</v>
      </c>
      <c r="AQ57" s="74">
        <f>IF('Wtr-Gas'!AJ59&lt;0,"0",('Wtr-Gas'!AJ59)*0.0038)</f>
        <v>0</v>
      </c>
      <c r="AR57" s="74">
        <f>IF('Wtr-Gas'!AL59&lt;0,"0",('Wtr-Gas'!AL59)*0.0038)</f>
        <v>0</v>
      </c>
      <c r="AS57" s="74">
        <f>IF('Wtr-Gas'!AN59&lt;0,"0",('Wtr-Gas'!AN59)*0.0038)</f>
        <v>0</v>
      </c>
      <c r="AT57" s="74">
        <f>IF('Wtr-Gas'!AP59&lt;0,"0",('Wtr-Gas'!AP59)*0.0038)</f>
        <v>0</v>
      </c>
      <c r="AU57" s="87">
        <f>IF('Wtr-Gas'!AT59&lt;0,"0",('Wtr-Gas'!AT59)*0.0038)</f>
        <v>0</v>
      </c>
      <c r="AV57" s="74">
        <f>IF('Wtr-Gas'!AW59&lt;0,"0",('Wtr-Gas'!AW59)*0.0038)</f>
        <v>0</v>
      </c>
      <c r="AW57" s="74">
        <f>IF('Wtr-Gas'!AY59&lt;0,"0",('Wtr-Gas'!AY59)*0.0038)</f>
        <v>0</v>
      </c>
      <c r="AX57" s="74">
        <f>IF('Wtr-Gas'!AZ59&lt;0,"0",('Wtr-Gas'!AZ59)*0.0038)</f>
        <v>0</v>
      </c>
      <c r="AY57" s="74">
        <f>IF('Wtr-Gas'!BB59&lt;0,"0",('Wtr-Gas'!BB59)*0.0038)</f>
        <v>0</v>
      </c>
      <c r="AZ57" s="74">
        <f>IF('Wtr-Gas'!BD59&lt;0,"0",('Wtr-Gas'!BD59)*0.0038)</f>
        <v>0</v>
      </c>
      <c r="BA57" s="74">
        <f>IF('Wtr-Gas'!BF59&lt;0,"0",('Wtr-Gas'!BF59)*0.0038)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IF('Wtr-Gas'!AF60&lt;0,"0",('Wtr-Gas'!AF60)*0.0038)</f>
        <v>0</v>
      </c>
      <c r="AP58" s="74">
        <f>IF('Wtr-Gas'!AH60&lt;0,"0",('Wtr-Gas'!AH60)*0.0038)</f>
        <v>0</v>
      </c>
      <c r="AQ58" s="74">
        <f>IF('Wtr-Gas'!AJ60&lt;0,"0",('Wtr-Gas'!AJ60)*0.0038)</f>
        <v>0</v>
      </c>
      <c r="AR58" s="74">
        <f>IF('Wtr-Gas'!AL60&lt;0,"0",('Wtr-Gas'!AL60)*0.0038)</f>
        <v>0</v>
      </c>
      <c r="AS58" s="74">
        <f>IF('Wtr-Gas'!AN60&lt;0,"0",('Wtr-Gas'!AN60)*0.0038)</f>
        <v>0</v>
      </c>
      <c r="AT58" s="74">
        <f>IF('Wtr-Gas'!AP60&lt;0,"0",('Wtr-Gas'!AP60)*0.0038)</f>
        <v>0</v>
      </c>
      <c r="AU58" s="87">
        <f>IF('Wtr-Gas'!AT60&lt;0,"0",('Wtr-Gas'!AT60)*0.0038)</f>
        <v>0</v>
      </c>
      <c r="AV58" s="74">
        <f>IF('Wtr-Gas'!AW60&lt;0,"0",('Wtr-Gas'!AW60)*0.0038)</f>
        <v>0</v>
      </c>
      <c r="AW58" s="74">
        <f>IF('Wtr-Gas'!AY60&lt;0,"0",('Wtr-Gas'!AY60)*0.0038)</f>
        <v>0</v>
      </c>
      <c r="AX58" s="74">
        <f>IF('Wtr-Gas'!AZ60&lt;0,"0",('Wtr-Gas'!AZ60)*0.0038)</f>
        <v>0</v>
      </c>
      <c r="AY58" s="74">
        <f>IF('Wtr-Gas'!BB60&lt;0,"0",('Wtr-Gas'!BB60)*0.0038)</f>
        <v>0</v>
      </c>
      <c r="AZ58" s="74">
        <f>IF('Wtr-Gas'!BD60&lt;0,"0",('Wtr-Gas'!BD60)*0.0038)</f>
        <v>0</v>
      </c>
      <c r="BA58" s="74">
        <f>IF('Wtr-Gas'!BF60&lt;0,"0",('Wtr-Gas'!BF60)*0.0038)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IF('Wtr-Gas'!AF61&lt;0,"0",('Wtr-Gas'!AF61)*0.0038)</f>
        <v>0</v>
      </c>
      <c r="AP59" s="74">
        <f>IF('Wtr-Gas'!AH61&lt;0,"0",('Wtr-Gas'!AH61)*0.0038)</f>
        <v>0</v>
      </c>
      <c r="AQ59" s="74">
        <f>IF('Wtr-Gas'!AJ61&lt;0,"0",('Wtr-Gas'!AJ61)*0.0038)</f>
        <v>0</v>
      </c>
      <c r="AR59" s="74">
        <f>IF('Wtr-Gas'!AL61&lt;0,"0",('Wtr-Gas'!AL61)*0.0038)</f>
        <v>0</v>
      </c>
      <c r="AS59" s="74">
        <f>IF('Wtr-Gas'!AN61&lt;0,"0",('Wtr-Gas'!AN61)*0.0038)</f>
        <v>0</v>
      </c>
      <c r="AT59" s="74">
        <f>IF('Wtr-Gas'!AP61&lt;0,"0",('Wtr-Gas'!AP61)*0.0038)</f>
        <v>0</v>
      </c>
      <c r="AU59" s="87">
        <f>IF('Wtr-Gas'!AT61&lt;0,"0",('Wtr-Gas'!AT61)*0.0038)</f>
        <v>0</v>
      </c>
      <c r="AV59" s="74">
        <f>IF('Wtr-Gas'!AW61&lt;0,"0",('Wtr-Gas'!AW61)*0.0038)</f>
        <v>0</v>
      </c>
      <c r="AW59" s="74">
        <f>IF('Wtr-Gas'!AY61&lt;0,"0",('Wtr-Gas'!AY61)*0.0038)</f>
        <v>0</v>
      </c>
      <c r="AX59" s="74">
        <f>IF('Wtr-Gas'!AZ61&lt;0,"0",('Wtr-Gas'!AZ61)*0.0038)</f>
        <v>0</v>
      </c>
      <c r="AY59" s="74">
        <f>IF('Wtr-Gas'!BB61&lt;0,"0",('Wtr-Gas'!BB61)*0.0038)</f>
        <v>0</v>
      </c>
      <c r="AZ59" s="74">
        <f>IF('Wtr-Gas'!BD61&lt;0,"0",('Wtr-Gas'!BD61)*0.0038)</f>
        <v>0</v>
      </c>
      <c r="BA59" s="74">
        <f>IF('Wtr-Gas'!BF61&lt;0,"0",('Wtr-Gas'!BF61)*0.0038)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IF('Wtr-Gas'!AF62&lt;0,"0",('Wtr-Gas'!AF62)*0.0038)</f>
        <v>0</v>
      </c>
      <c r="AP60" s="74">
        <f>IF('Wtr-Gas'!AH62&lt;0,"0",('Wtr-Gas'!AH62)*0.0038)</f>
        <v>0</v>
      </c>
      <c r="AQ60" s="74">
        <f>IF('Wtr-Gas'!AJ62&lt;0,"0",('Wtr-Gas'!AJ62)*0.0038)</f>
        <v>0</v>
      </c>
      <c r="AR60" s="74">
        <f>IF('Wtr-Gas'!AL62&lt;0,"0",('Wtr-Gas'!AL62)*0.0038)</f>
        <v>0</v>
      </c>
      <c r="AS60" s="74">
        <f>IF('Wtr-Gas'!AN62&lt;0,"0",('Wtr-Gas'!AN62)*0.0038)</f>
        <v>0</v>
      </c>
      <c r="AT60" s="74">
        <f>IF('Wtr-Gas'!AP62&lt;0,"0",('Wtr-Gas'!AP62)*0.0038)</f>
        <v>0</v>
      </c>
      <c r="AU60" s="87">
        <f>IF('Wtr-Gas'!AT62&lt;0,"0",('Wtr-Gas'!AT62)*0.0038)</f>
        <v>0</v>
      </c>
      <c r="AV60" s="74">
        <f>IF('Wtr-Gas'!AW62&lt;0,"0",('Wtr-Gas'!AW62)*0.0038)</f>
        <v>0</v>
      </c>
      <c r="AW60" s="74">
        <f>IF('Wtr-Gas'!AY62&lt;0,"0",('Wtr-Gas'!AY62)*0.0038)</f>
        <v>0</v>
      </c>
      <c r="AX60" s="74">
        <f>IF('Wtr-Gas'!AZ62&lt;0,"0",('Wtr-Gas'!AZ62)*0.0038)</f>
        <v>0</v>
      </c>
      <c r="AY60" s="74">
        <f>IF('Wtr-Gas'!BB62&lt;0,"0",('Wtr-Gas'!BB62)*0.0038)</f>
        <v>0</v>
      </c>
      <c r="AZ60" s="74">
        <f>IF('Wtr-Gas'!BD62&lt;0,"0",('Wtr-Gas'!BD62)*0.0038)</f>
        <v>0</v>
      </c>
      <c r="BA60" s="74">
        <f>IF('Wtr-Gas'!BF62&lt;0,"0",('Wtr-Gas'!BF62)*0.0038)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IF('Wtr-Gas'!AF63&lt;0,"0",('Wtr-Gas'!AF63)*0.0038)</f>
        <v>0</v>
      </c>
      <c r="AP61" s="74">
        <f>IF('Wtr-Gas'!AH63&lt;0,"0",('Wtr-Gas'!AH63)*0.0038)</f>
        <v>0</v>
      </c>
      <c r="AQ61" s="74">
        <f>IF('Wtr-Gas'!AJ63&lt;0,"0",('Wtr-Gas'!AJ63)*0.0038)</f>
        <v>0</v>
      </c>
      <c r="AR61" s="74">
        <f>IF('Wtr-Gas'!AL63&lt;0,"0",('Wtr-Gas'!AL63)*0.0038)</f>
        <v>0</v>
      </c>
      <c r="AS61" s="74">
        <f>IF('Wtr-Gas'!AN63&lt;0,"0",('Wtr-Gas'!AN63)*0.0038)</f>
        <v>0</v>
      </c>
      <c r="AT61" s="74">
        <f>IF('Wtr-Gas'!AP63&lt;0,"0",('Wtr-Gas'!AP63)*0.0038)</f>
        <v>0</v>
      </c>
      <c r="AU61" s="87">
        <f>IF('Wtr-Gas'!AT63&lt;0,"0",('Wtr-Gas'!AT63)*0.0038)</f>
        <v>0</v>
      </c>
      <c r="AV61" s="74">
        <f>IF('Wtr-Gas'!AW63&lt;0,"0",('Wtr-Gas'!AW63)*0.0038)</f>
        <v>0</v>
      </c>
      <c r="AW61" s="74">
        <f>IF('Wtr-Gas'!AY63&lt;0,"0",('Wtr-Gas'!AY63)*0.0038)</f>
        <v>0</v>
      </c>
      <c r="AX61" s="74">
        <f>IF('Wtr-Gas'!AZ63&lt;0,"0",('Wtr-Gas'!AZ63)*0.0038)</f>
        <v>0</v>
      </c>
      <c r="AY61" s="74">
        <f>IF('Wtr-Gas'!BB63&lt;0,"0",('Wtr-Gas'!BB63)*0.0038)</f>
        <v>0</v>
      </c>
      <c r="AZ61" s="74">
        <f>IF('Wtr-Gas'!BD63&lt;0,"0",('Wtr-Gas'!BD63)*0.0038)</f>
        <v>0</v>
      </c>
      <c r="BA61" s="74">
        <f>IF('Wtr-Gas'!BF63&lt;0,"0",('Wtr-Gas'!BF63)*0.0038)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IF('Wtr-Gas'!AF64&lt;0,"0",('Wtr-Gas'!AF64)*0.0038)</f>
        <v>0</v>
      </c>
      <c r="AP62" s="74">
        <f>IF('Wtr-Gas'!AH64&lt;0,"0",('Wtr-Gas'!AH64)*0.0038)</f>
        <v>0</v>
      </c>
      <c r="AQ62" s="74">
        <f>IF('Wtr-Gas'!AJ64&lt;0,"0",('Wtr-Gas'!AJ64)*0.0038)</f>
        <v>0</v>
      </c>
      <c r="AR62" s="74">
        <f>IF('Wtr-Gas'!AL64&lt;0,"0",('Wtr-Gas'!AL64)*0.0038)</f>
        <v>0</v>
      </c>
      <c r="AS62" s="74">
        <f>IF('Wtr-Gas'!AN64&lt;0,"0",('Wtr-Gas'!AN64)*0.0038)</f>
        <v>0</v>
      </c>
      <c r="AT62" s="74">
        <f>IF('Wtr-Gas'!AP64&lt;0,"0",('Wtr-Gas'!AP64)*0.0038)</f>
        <v>0</v>
      </c>
      <c r="AU62" s="87">
        <f>IF('Wtr-Gas'!AT64&lt;0,"0",('Wtr-Gas'!AT64)*0.0038)</f>
        <v>0</v>
      </c>
      <c r="AV62" s="74">
        <f>IF('Wtr-Gas'!AW64&lt;0,"0",('Wtr-Gas'!AW64)*0.0038)</f>
        <v>0</v>
      </c>
      <c r="AW62" s="74">
        <f>IF('Wtr-Gas'!AY64&lt;0,"0",('Wtr-Gas'!AY64)*0.0038)</f>
        <v>0</v>
      </c>
      <c r="AX62" s="74">
        <f>IF('Wtr-Gas'!AZ64&lt;0,"0",('Wtr-Gas'!AZ64)*0.0038)</f>
        <v>0</v>
      </c>
      <c r="AY62" s="74">
        <f>IF('Wtr-Gas'!BB64&lt;0,"0",('Wtr-Gas'!BB64)*0.0038)</f>
        <v>0</v>
      </c>
      <c r="AZ62" s="74">
        <f>IF('Wtr-Gas'!BD64&lt;0,"0",('Wtr-Gas'!BD64)*0.0038)</f>
        <v>0</v>
      </c>
      <c r="BA62" s="74">
        <f>IF('Wtr-Gas'!BF64&lt;0,"0",('Wtr-Gas'!BF64)*0.0038)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abSelected="1" topLeftCell="B1" zoomScale="115" zoomScaleNormal="115" workbookViewId="0">
      <selection activeCell="AU19" sqref="AU19:BB20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3" t="s">
        <v>63</v>
      </c>
      <c r="E1" s="124"/>
      <c r="F1" s="124"/>
      <c r="G1" s="123" t="s">
        <v>66</v>
      </c>
      <c r="H1" s="124"/>
      <c r="I1" s="124"/>
      <c r="J1" s="123" t="s">
        <v>69</v>
      </c>
      <c r="K1" s="124"/>
      <c r="L1" s="124"/>
      <c r="M1" s="123" t="s">
        <v>72</v>
      </c>
      <c r="N1" s="124"/>
      <c r="O1" s="124"/>
      <c r="P1" s="123" t="s">
        <v>75</v>
      </c>
      <c r="Q1" s="124"/>
      <c r="R1" s="124"/>
      <c r="S1" s="123" t="s">
        <v>78</v>
      </c>
      <c r="T1" s="124"/>
      <c r="U1" s="124"/>
      <c r="V1" s="123" t="s">
        <v>81</v>
      </c>
      <c r="W1" s="124"/>
      <c r="X1" s="124"/>
      <c r="Y1" s="123" t="s">
        <v>84</v>
      </c>
      <c r="Z1" s="124"/>
      <c r="AA1" s="124"/>
      <c r="AB1" s="123" t="s">
        <v>87</v>
      </c>
      <c r="AC1" s="124"/>
      <c r="AD1" s="124"/>
      <c r="AE1" s="123" t="s">
        <v>90</v>
      </c>
      <c r="AF1" s="124"/>
      <c r="AG1" s="124"/>
      <c r="AH1" s="123" t="s">
        <v>93</v>
      </c>
      <c r="AI1" s="124"/>
      <c r="AJ1" s="124"/>
      <c r="AK1" s="123" t="s">
        <v>95</v>
      </c>
      <c r="AL1" s="124"/>
      <c r="AM1" s="124"/>
      <c r="AN1" s="51"/>
      <c r="AO1" s="51"/>
      <c r="AP1" s="52" t="s">
        <v>162</v>
      </c>
      <c r="AQ1" s="52" t="s">
        <v>163</v>
      </c>
      <c r="AR1" s="52"/>
      <c r="AS1" s="51"/>
      <c r="AT1" s="51"/>
      <c r="AU1" s="123" t="s">
        <v>97</v>
      </c>
      <c r="AV1" s="124"/>
      <c r="AW1" s="123" t="s">
        <v>96</v>
      </c>
      <c r="AX1" s="124"/>
      <c r="AY1" s="123" t="s">
        <v>98</v>
      </c>
      <c r="AZ1" s="124"/>
      <c r="BA1" s="123" t="s">
        <v>164</v>
      </c>
      <c r="BB1" s="124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1" t="s">
        <v>94</v>
      </c>
      <c r="AL2" s="122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1" t="s">
        <v>109</v>
      </c>
      <c r="AL3" s="122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20" si="1">SUM(G5-G4)*160</f>
        <v>14560</v>
      </c>
      <c r="J5" s="17">
        <v>12296</v>
      </c>
      <c r="K5" s="17">
        <v>3.65</v>
      </c>
      <c r="L5" s="33">
        <f t="shared" ref="L5:L20" si="2">SUM(J5-J4)*400</f>
        <v>3600</v>
      </c>
      <c r="M5" s="17">
        <v>12104</v>
      </c>
      <c r="N5" s="17">
        <v>3.73</v>
      </c>
      <c r="O5" s="33">
        <f t="shared" ref="O5:O20" si="3">SUM(M5-M4)*400</f>
        <v>3200</v>
      </c>
      <c r="P5" s="17">
        <v>12731</v>
      </c>
      <c r="Q5" s="17">
        <v>3.73</v>
      </c>
      <c r="R5" s="33">
        <f t="shared" ref="R5:R20" si="4">SUM(P5-P4)*400</f>
        <v>3200</v>
      </c>
      <c r="S5" s="17">
        <v>87232</v>
      </c>
      <c r="T5" s="17">
        <v>2.2490000000000001</v>
      </c>
      <c r="U5" s="33">
        <f t="shared" ref="U5:U20" si="5">SUM(S5-S4)*300</f>
        <v>18300</v>
      </c>
      <c r="V5" s="17">
        <v>83905</v>
      </c>
      <c r="W5" s="17">
        <v>1.8380000000000001</v>
      </c>
      <c r="X5" s="33">
        <f t="shared" ref="X5:X20" si="6">SUM(V5-V4)*300</f>
        <v>17700</v>
      </c>
      <c r="Y5" s="17">
        <v>19769</v>
      </c>
      <c r="Z5" s="17">
        <v>2.75</v>
      </c>
      <c r="AA5" s="33">
        <f t="shared" ref="AA5:AA20" si="7">SUM(Y5-Y4)*160</f>
        <v>1440</v>
      </c>
      <c r="AB5" s="17">
        <v>12892</v>
      </c>
      <c r="AC5" s="17">
        <v>2.31</v>
      </c>
      <c r="AD5" s="33">
        <f t="shared" ref="AD5:AD20" si="8">SUM(AB5-AB4)*160</f>
        <v>960</v>
      </c>
      <c r="AE5" s="17">
        <v>6693</v>
      </c>
      <c r="AF5" s="17">
        <v>2.1659999999999999</v>
      </c>
      <c r="AG5" s="33">
        <f t="shared" ref="AG5:AG20" si="9">SUM(AE5-AE4)*200</f>
        <v>15200</v>
      </c>
      <c r="AH5" s="17">
        <v>19437</v>
      </c>
      <c r="AI5" s="17">
        <v>0.29699999999999999</v>
      </c>
      <c r="AJ5" s="33">
        <f t="shared" ref="AJ5:AJ20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20" si="16">SUM(AU5-AU4)*100</f>
        <v>6200</v>
      </c>
      <c r="AW5" s="17">
        <v>9010</v>
      </c>
      <c r="AX5" s="33">
        <f t="shared" ref="AX5:AX20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20" si="19">SUM(BA5-BA4)*40</f>
        <v>520</v>
      </c>
      <c r="BC5" s="46"/>
      <c r="BD5" s="17">
        <f t="shared" ref="BD5:BD64" si="20">SUM(AU5+AW5,AY5,BA5)</f>
        <v>155948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20" si="21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2">SUM(AG6+AD6+AA6+X6+U6+R6+O6+L6+I6+F6+AJ6+AL6)</f>
        <v>262910</v>
      </c>
      <c r="AP6" s="119">
        <f t="shared" ref="AP6" si="23">SUM(AG6+AJ6)</f>
        <v>55640</v>
      </c>
      <c r="AQ6" s="53">
        <f t="shared" ref="AQ6" si="24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si="20"/>
        <v>156986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1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0"/>
        <v>157855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1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0"/>
        <v>158729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1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0"/>
        <v>159729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1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0"/>
        <v>160642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1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0"/>
        <v>161584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1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0"/>
        <v>162546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1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0"/>
        <v>163609</v>
      </c>
      <c r="BE13" s="17"/>
      <c r="BF13" s="17"/>
    </row>
    <row r="14" spans="2:59" x14ac:dyDescent="0.25">
      <c r="B14" s="45">
        <v>44627</v>
      </c>
      <c r="C14" s="70">
        <f>SUM(Occupancy!K67:K74)</f>
        <v>2097</v>
      </c>
      <c r="D14" s="17">
        <v>13779</v>
      </c>
      <c r="E14" s="17">
        <v>1.9690000000000001</v>
      </c>
      <c r="F14" s="33">
        <f t="shared" si="21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0"/>
        <v>164562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1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0"/>
        <v>165647</v>
      </c>
      <c r="BE15" s="17"/>
      <c r="BF15" s="17"/>
    </row>
    <row r="16" spans="2:59" x14ac:dyDescent="0.25">
      <c r="B16" s="45">
        <v>44641</v>
      </c>
      <c r="C16" s="70">
        <f>SUM(Occupancy!K83:K90)</f>
        <v>2919</v>
      </c>
      <c r="D16" s="17">
        <v>14299</v>
      </c>
      <c r="E16" s="17">
        <v>2.0030000000000001</v>
      </c>
      <c r="F16" s="33">
        <f t="shared" si="21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0"/>
        <v>166489</v>
      </c>
      <c r="BE16" s="17"/>
      <c r="BF16" s="17"/>
    </row>
    <row r="17" spans="2:58" x14ac:dyDescent="0.25">
      <c r="B17" s="45">
        <v>44648</v>
      </c>
      <c r="C17" s="70">
        <f>SUM(Occupancy!K91:K96)</f>
        <v>2219</v>
      </c>
      <c r="D17" s="17">
        <v>14553</v>
      </c>
      <c r="E17" s="17">
        <v>1.819</v>
      </c>
      <c r="F17" s="33">
        <f t="shared" si="21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0"/>
        <v>167541</v>
      </c>
      <c r="BE17" s="17"/>
      <c r="BF17" s="17"/>
    </row>
    <row r="18" spans="2:58" x14ac:dyDescent="0.25">
      <c r="B18" s="45">
        <v>44651</v>
      </c>
      <c r="C18" s="70">
        <f>SUM(Occupancy!K97:K98)</f>
        <v>744</v>
      </c>
      <c r="D18" s="17">
        <v>14704</v>
      </c>
      <c r="E18" s="17">
        <v>1.819</v>
      </c>
      <c r="F18" s="33">
        <f t="shared" si="21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0"/>
        <v>168163</v>
      </c>
      <c r="BE18" s="17"/>
      <c r="BF18" s="17"/>
    </row>
    <row r="19" spans="2:58" x14ac:dyDescent="0.25">
      <c r="B19" s="45">
        <v>44655</v>
      </c>
      <c r="C19" s="70">
        <f>SUM(Occupancy!K99:K102)</f>
        <v>1353</v>
      </c>
      <c r="D19" s="17">
        <v>14803</v>
      </c>
      <c r="E19" s="17">
        <v>1.8680000000000001</v>
      </c>
      <c r="F19" s="33">
        <f t="shared" si="21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0"/>
        <v>168623</v>
      </c>
      <c r="BE19" s="17"/>
      <c r="BF19" s="17"/>
    </row>
    <row r="20" spans="2:58" x14ac:dyDescent="0.25">
      <c r="B20" s="45">
        <v>44662</v>
      </c>
      <c r="C20" s="70">
        <f>SUM(Occupancy!K103:K109)</f>
        <v>2733</v>
      </c>
      <c r="D20" s="17">
        <v>15062</v>
      </c>
      <c r="E20" s="17">
        <v>1.879</v>
      </c>
      <c r="F20" s="33">
        <f t="shared" si="21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0"/>
        <v>169689</v>
      </c>
      <c r="BE20" s="17"/>
      <c r="BF20" s="17"/>
    </row>
    <row r="21" spans="2:58" x14ac:dyDescent="0.25">
      <c r="B21" s="45">
        <v>44669</v>
      </c>
      <c r="C21" s="70">
        <f>SUM(Occupancy!K110:K116)</f>
        <v>2761</v>
      </c>
      <c r="D21" s="59"/>
      <c r="E21" s="59"/>
      <c r="F21" s="61"/>
      <c r="G21" s="59"/>
      <c r="H21" s="59"/>
      <c r="I21" s="61"/>
      <c r="J21" s="59"/>
      <c r="K21" s="59"/>
      <c r="L21" s="61"/>
      <c r="M21" s="59"/>
      <c r="N21" s="59"/>
      <c r="O21" s="61"/>
      <c r="P21" s="59"/>
      <c r="Q21" s="59"/>
      <c r="R21" s="61"/>
      <c r="S21" s="59"/>
      <c r="T21" s="59"/>
      <c r="U21" s="61"/>
      <c r="V21" s="59"/>
      <c r="W21" s="59"/>
      <c r="X21" s="61"/>
      <c r="Y21" s="59"/>
      <c r="Z21" s="59"/>
      <c r="AA21" s="61"/>
      <c r="AB21" s="59"/>
      <c r="AC21" s="59"/>
      <c r="AD21" s="61"/>
      <c r="AE21" s="59"/>
      <c r="AF21" s="59"/>
      <c r="AG21" s="61"/>
      <c r="AH21" s="59"/>
      <c r="AI21" s="59"/>
      <c r="AJ21" s="61"/>
      <c r="AK21" s="65"/>
      <c r="AL21" s="61"/>
      <c r="AM21" s="33"/>
      <c r="AO21" s="33">
        <f t="shared" si="28"/>
        <v>0</v>
      </c>
      <c r="AP21" s="119">
        <f t="shared" si="29"/>
        <v>0</v>
      </c>
      <c r="AQ21" s="53" t="e">
        <f t="shared" si="30"/>
        <v>#DIV/0!</v>
      </c>
      <c r="AR21" s="17"/>
      <c r="AS21" s="14"/>
      <c r="AT21" s="48">
        <f t="shared" si="15"/>
        <v>44669</v>
      </c>
      <c r="AU21" s="59"/>
      <c r="AV21" s="61"/>
      <c r="AW21" s="59"/>
      <c r="AX21" s="61"/>
      <c r="AY21" s="60"/>
      <c r="AZ21" s="64"/>
      <c r="BA21" s="59"/>
      <c r="BB21" s="61"/>
      <c r="BC21" s="46"/>
      <c r="BD21" s="17">
        <f t="shared" si="20"/>
        <v>0</v>
      </c>
      <c r="BE21" s="17"/>
      <c r="BF21" s="17"/>
    </row>
    <row r="22" spans="2:58" x14ac:dyDescent="0.25">
      <c r="B22" s="45">
        <v>44676</v>
      </c>
      <c r="C22" s="70">
        <f>SUM(Occupancy!K117:K123)</f>
        <v>2525</v>
      </c>
      <c r="D22" s="59"/>
      <c r="E22" s="59"/>
      <c r="F22" s="61"/>
      <c r="G22" s="59"/>
      <c r="H22" s="59"/>
      <c r="I22" s="61"/>
      <c r="J22" s="59"/>
      <c r="K22" s="59"/>
      <c r="L22" s="61"/>
      <c r="M22" s="59"/>
      <c r="N22" s="59"/>
      <c r="O22" s="61"/>
      <c r="P22" s="59"/>
      <c r="Q22" s="59"/>
      <c r="R22" s="61"/>
      <c r="S22" s="59"/>
      <c r="T22" s="59"/>
      <c r="U22" s="61"/>
      <c r="V22" s="59"/>
      <c r="W22" s="59"/>
      <c r="X22" s="61"/>
      <c r="Y22" s="59"/>
      <c r="Z22" s="59"/>
      <c r="AA22" s="61"/>
      <c r="AB22" s="59"/>
      <c r="AC22" s="59"/>
      <c r="AD22" s="61"/>
      <c r="AE22" s="59"/>
      <c r="AF22" s="59"/>
      <c r="AG22" s="61"/>
      <c r="AH22" s="59"/>
      <c r="AI22" s="59"/>
      <c r="AJ22" s="61"/>
      <c r="AK22" s="65"/>
      <c r="AL22" s="61"/>
      <c r="AM22" s="33"/>
      <c r="AO22" s="33">
        <f t="shared" si="28"/>
        <v>0</v>
      </c>
      <c r="AP22" s="119">
        <f t="shared" si="29"/>
        <v>0</v>
      </c>
      <c r="AQ22" s="53" t="e">
        <f t="shared" si="30"/>
        <v>#DIV/0!</v>
      </c>
      <c r="AR22" s="17"/>
      <c r="AS22" s="14"/>
      <c r="AT22" s="48">
        <f t="shared" si="15"/>
        <v>44676</v>
      </c>
      <c r="AU22" s="59"/>
      <c r="AV22" s="61"/>
      <c r="AW22" s="59"/>
      <c r="AX22" s="61"/>
      <c r="AY22" s="60"/>
      <c r="AZ22" s="64"/>
      <c r="BA22" s="59"/>
      <c r="BB22" s="61"/>
      <c r="BC22" s="46"/>
      <c r="BD22" s="17">
        <f t="shared" si="20"/>
        <v>0</v>
      </c>
      <c r="BE22" s="17"/>
      <c r="BF22" s="17"/>
    </row>
    <row r="23" spans="2:58" x14ac:dyDescent="0.25">
      <c r="B23" s="45">
        <v>44681</v>
      </c>
      <c r="C23" s="70">
        <f>SUM(Occupancy!K124:K128)</f>
        <v>1600</v>
      </c>
      <c r="D23" s="59"/>
      <c r="E23" s="59"/>
      <c r="F23" s="61"/>
      <c r="G23" s="59"/>
      <c r="H23" s="59"/>
      <c r="I23" s="61"/>
      <c r="J23" s="59"/>
      <c r="K23" s="59"/>
      <c r="L23" s="61"/>
      <c r="M23" s="59"/>
      <c r="N23" s="59"/>
      <c r="O23" s="61"/>
      <c r="P23" s="59"/>
      <c r="Q23" s="59"/>
      <c r="R23" s="61"/>
      <c r="S23" s="59"/>
      <c r="T23" s="59"/>
      <c r="U23" s="61"/>
      <c r="V23" s="59"/>
      <c r="W23" s="59"/>
      <c r="X23" s="61"/>
      <c r="Y23" s="59"/>
      <c r="Z23" s="59"/>
      <c r="AA23" s="61"/>
      <c r="AB23" s="59"/>
      <c r="AC23" s="59"/>
      <c r="AD23" s="61"/>
      <c r="AE23" s="59"/>
      <c r="AF23" s="59"/>
      <c r="AG23" s="61"/>
      <c r="AH23" s="59"/>
      <c r="AI23" s="59"/>
      <c r="AJ23" s="61"/>
      <c r="AK23" s="65"/>
      <c r="AL23" s="61"/>
      <c r="AM23" s="33"/>
      <c r="AO23" s="33">
        <f t="shared" si="28"/>
        <v>0</v>
      </c>
      <c r="AP23" s="119">
        <f t="shared" si="29"/>
        <v>0</v>
      </c>
      <c r="AQ23" s="53" t="e">
        <f t="shared" si="30"/>
        <v>#DIV/0!</v>
      </c>
      <c r="AR23" s="17"/>
      <c r="AS23" s="14"/>
      <c r="AT23" s="48">
        <f t="shared" si="15"/>
        <v>44681</v>
      </c>
      <c r="AU23" s="59"/>
      <c r="AV23" s="61"/>
      <c r="AW23" s="59"/>
      <c r="AX23" s="61"/>
      <c r="AY23" s="60"/>
      <c r="AZ23" s="64"/>
      <c r="BA23" s="59"/>
      <c r="BB23" s="61"/>
      <c r="BC23" s="46"/>
      <c r="BD23" s="17">
        <f t="shared" si="20"/>
        <v>0</v>
      </c>
      <c r="BE23" s="17"/>
      <c r="BF23" s="17"/>
    </row>
    <row r="24" spans="2:58" x14ac:dyDescent="0.25">
      <c r="B24" s="45">
        <v>44683</v>
      </c>
      <c r="C24" s="70"/>
      <c r="D24" s="59"/>
      <c r="E24" s="59"/>
      <c r="F24" s="61"/>
      <c r="G24" s="59"/>
      <c r="H24" s="59"/>
      <c r="I24" s="61"/>
      <c r="J24" s="59"/>
      <c r="K24" s="59"/>
      <c r="L24" s="61"/>
      <c r="M24" s="59"/>
      <c r="N24" s="59"/>
      <c r="O24" s="61"/>
      <c r="P24" s="59"/>
      <c r="Q24" s="59"/>
      <c r="R24" s="61"/>
      <c r="S24" s="59"/>
      <c r="T24" s="59"/>
      <c r="U24" s="61"/>
      <c r="V24" s="59"/>
      <c r="W24" s="59"/>
      <c r="X24" s="61"/>
      <c r="Y24" s="59"/>
      <c r="Z24" s="59"/>
      <c r="AA24" s="61"/>
      <c r="AB24" s="59"/>
      <c r="AC24" s="59"/>
      <c r="AD24" s="61"/>
      <c r="AE24" s="59"/>
      <c r="AF24" s="59"/>
      <c r="AG24" s="61"/>
      <c r="AH24" s="59"/>
      <c r="AI24" s="59"/>
      <c r="AJ24" s="61"/>
      <c r="AK24" s="65"/>
      <c r="AL24" s="61"/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59"/>
      <c r="AV24" s="61"/>
      <c r="AW24" s="59"/>
      <c r="AX24" s="61"/>
      <c r="AY24" s="60"/>
      <c r="AZ24" s="64"/>
      <c r="BA24" s="59"/>
      <c r="BB24" s="61"/>
      <c r="BC24" s="46"/>
      <c r="BD24" s="17">
        <f t="shared" si="20"/>
        <v>0</v>
      </c>
      <c r="BE24" s="17"/>
      <c r="BF24" s="17"/>
    </row>
    <row r="25" spans="2:58" x14ac:dyDescent="0.25">
      <c r="B25" s="45">
        <v>44690</v>
      </c>
      <c r="C25" s="70"/>
      <c r="D25" s="59"/>
      <c r="E25" s="59"/>
      <c r="F25" s="61"/>
      <c r="G25" s="59"/>
      <c r="H25" s="59"/>
      <c r="I25" s="61"/>
      <c r="J25" s="59"/>
      <c r="K25" s="59"/>
      <c r="L25" s="61"/>
      <c r="M25" s="59"/>
      <c r="N25" s="59"/>
      <c r="O25" s="61"/>
      <c r="P25" s="59"/>
      <c r="Q25" s="59"/>
      <c r="R25" s="61"/>
      <c r="S25" s="59"/>
      <c r="T25" s="59"/>
      <c r="U25" s="61"/>
      <c r="V25" s="59"/>
      <c r="W25" s="59"/>
      <c r="X25" s="61"/>
      <c r="Y25" s="59"/>
      <c r="Z25" s="59"/>
      <c r="AA25" s="61"/>
      <c r="AB25" s="59"/>
      <c r="AC25" s="59"/>
      <c r="AD25" s="61"/>
      <c r="AE25" s="59"/>
      <c r="AF25" s="59"/>
      <c r="AG25" s="61"/>
      <c r="AH25" s="59"/>
      <c r="AI25" s="59"/>
      <c r="AJ25" s="61"/>
      <c r="AK25" s="65"/>
      <c r="AL25" s="61"/>
      <c r="AM25" s="33"/>
      <c r="AO25" s="33">
        <f t="shared" si="28"/>
        <v>0</v>
      </c>
      <c r="AP25" s="119">
        <f t="shared" si="29"/>
        <v>0</v>
      </c>
      <c r="AQ25" s="53" t="e">
        <f t="shared" si="30"/>
        <v>#DIV/0!</v>
      </c>
      <c r="AR25" s="17"/>
      <c r="AS25" s="14"/>
      <c r="AT25" s="48">
        <f t="shared" si="15"/>
        <v>44690</v>
      </c>
      <c r="AU25" s="59"/>
      <c r="AV25" s="61"/>
      <c r="AW25" s="59"/>
      <c r="AX25" s="61"/>
      <c r="AY25" s="60"/>
      <c r="AZ25" s="64"/>
      <c r="BA25" s="59"/>
      <c r="BB25" s="61"/>
      <c r="BC25" s="46"/>
      <c r="BD25" s="17">
        <f t="shared" si="20"/>
        <v>0</v>
      </c>
      <c r="BE25" s="17"/>
      <c r="BF25" s="17"/>
    </row>
    <row r="26" spans="2:58" x14ac:dyDescent="0.25">
      <c r="B26" s="45">
        <v>44697</v>
      </c>
      <c r="C26" s="70"/>
      <c r="D26" s="59"/>
      <c r="E26" s="59"/>
      <c r="F26" s="61"/>
      <c r="G26" s="59"/>
      <c r="H26" s="59"/>
      <c r="I26" s="61"/>
      <c r="J26" s="59"/>
      <c r="K26" s="59"/>
      <c r="L26" s="61"/>
      <c r="M26" s="59"/>
      <c r="N26" s="59"/>
      <c r="O26" s="61"/>
      <c r="P26" s="59"/>
      <c r="Q26" s="59"/>
      <c r="R26" s="61"/>
      <c r="S26" s="59"/>
      <c r="T26" s="59"/>
      <c r="U26" s="61"/>
      <c r="V26" s="59"/>
      <c r="W26" s="59"/>
      <c r="X26" s="61"/>
      <c r="Y26" s="59"/>
      <c r="Z26" s="59"/>
      <c r="AA26" s="61"/>
      <c r="AB26" s="59"/>
      <c r="AC26" s="59"/>
      <c r="AD26" s="61"/>
      <c r="AE26" s="59"/>
      <c r="AF26" s="59"/>
      <c r="AG26" s="61"/>
      <c r="AH26" s="59"/>
      <c r="AI26" s="59"/>
      <c r="AJ26" s="61"/>
      <c r="AK26" s="65"/>
      <c r="AL26" s="61"/>
      <c r="AM26" s="33"/>
      <c r="AO26" s="33">
        <f t="shared" si="28"/>
        <v>0</v>
      </c>
      <c r="AP26" s="119">
        <f t="shared" si="29"/>
        <v>0</v>
      </c>
      <c r="AQ26" s="53" t="e">
        <f t="shared" si="30"/>
        <v>#DIV/0!</v>
      </c>
      <c r="AR26" s="17"/>
      <c r="AS26" s="14"/>
      <c r="AT26" s="48">
        <f t="shared" si="15"/>
        <v>44697</v>
      </c>
      <c r="AU26" s="59"/>
      <c r="AV26" s="61"/>
      <c r="AW26" s="59"/>
      <c r="AX26" s="61"/>
      <c r="AY26" s="60"/>
      <c r="AZ26" s="64"/>
      <c r="BA26" s="59"/>
      <c r="BB26" s="61"/>
      <c r="BC26" s="46"/>
      <c r="BD26" s="17">
        <f t="shared" si="20"/>
        <v>0</v>
      </c>
      <c r="BE26" s="17"/>
      <c r="BF26" s="17"/>
    </row>
    <row r="27" spans="2:58" x14ac:dyDescent="0.25">
      <c r="B27" s="45">
        <v>44704</v>
      </c>
      <c r="C27" s="70"/>
      <c r="D27" s="59"/>
      <c r="E27" s="59"/>
      <c r="F27" s="61"/>
      <c r="G27" s="59"/>
      <c r="H27" s="59"/>
      <c r="I27" s="61"/>
      <c r="J27" s="59"/>
      <c r="K27" s="59"/>
      <c r="L27" s="61"/>
      <c r="M27" s="59"/>
      <c r="N27" s="59"/>
      <c r="O27" s="61"/>
      <c r="P27" s="59"/>
      <c r="Q27" s="59"/>
      <c r="R27" s="61"/>
      <c r="S27" s="59"/>
      <c r="T27" s="59"/>
      <c r="U27" s="61"/>
      <c r="V27" s="59"/>
      <c r="W27" s="59"/>
      <c r="X27" s="61"/>
      <c r="Y27" s="59"/>
      <c r="Z27" s="59"/>
      <c r="AA27" s="61"/>
      <c r="AB27" s="59"/>
      <c r="AC27" s="59"/>
      <c r="AD27" s="61"/>
      <c r="AE27" s="59"/>
      <c r="AF27" s="59"/>
      <c r="AG27" s="61"/>
      <c r="AH27" s="59"/>
      <c r="AI27" s="59"/>
      <c r="AJ27" s="61"/>
      <c r="AK27" s="65"/>
      <c r="AL27" s="61"/>
      <c r="AM27" s="33"/>
      <c r="AO27" s="33">
        <f t="shared" si="28"/>
        <v>0</v>
      </c>
      <c r="AP27" s="119">
        <f t="shared" si="29"/>
        <v>0</v>
      </c>
      <c r="AQ27" s="53" t="e">
        <f t="shared" si="30"/>
        <v>#DIV/0!</v>
      </c>
      <c r="AR27" s="17"/>
      <c r="AS27" s="14"/>
      <c r="AT27" s="48">
        <f t="shared" si="15"/>
        <v>44704</v>
      </c>
      <c r="AU27" s="59"/>
      <c r="AV27" s="61"/>
      <c r="AW27" s="59"/>
      <c r="AX27" s="61"/>
      <c r="AY27" s="60"/>
      <c r="AZ27" s="64"/>
      <c r="BA27" s="59"/>
      <c r="BB27" s="61"/>
      <c r="BC27" s="46"/>
      <c r="BD27" s="17">
        <f t="shared" si="20"/>
        <v>0</v>
      </c>
      <c r="BE27" s="17"/>
      <c r="BF27" s="17"/>
    </row>
    <row r="28" spans="2:58" x14ac:dyDescent="0.25">
      <c r="B28" s="45">
        <v>44711</v>
      </c>
      <c r="C28" s="70"/>
      <c r="D28" s="59"/>
      <c r="E28" s="59"/>
      <c r="F28" s="61"/>
      <c r="G28" s="59"/>
      <c r="H28" s="59"/>
      <c r="I28" s="61"/>
      <c r="J28" s="59"/>
      <c r="K28" s="59"/>
      <c r="L28" s="61"/>
      <c r="M28" s="59"/>
      <c r="N28" s="59"/>
      <c r="O28" s="61"/>
      <c r="P28" s="59"/>
      <c r="Q28" s="59"/>
      <c r="R28" s="61"/>
      <c r="S28" s="59"/>
      <c r="T28" s="59"/>
      <c r="U28" s="61"/>
      <c r="V28" s="59"/>
      <c r="W28" s="59"/>
      <c r="X28" s="61"/>
      <c r="Y28" s="59"/>
      <c r="Z28" s="59"/>
      <c r="AA28" s="61"/>
      <c r="AB28" s="59"/>
      <c r="AC28" s="59"/>
      <c r="AD28" s="61"/>
      <c r="AE28" s="59"/>
      <c r="AF28" s="59"/>
      <c r="AG28" s="61"/>
      <c r="AH28" s="59"/>
      <c r="AI28" s="59"/>
      <c r="AJ28" s="61"/>
      <c r="AK28" s="65"/>
      <c r="AL28" s="61"/>
      <c r="AM28" s="33"/>
      <c r="AO28" s="33">
        <f t="shared" si="28"/>
        <v>0</v>
      </c>
      <c r="AP28" s="119">
        <f t="shared" si="29"/>
        <v>0</v>
      </c>
      <c r="AQ28" s="53" t="e">
        <f t="shared" si="30"/>
        <v>#DIV/0!</v>
      </c>
      <c r="AR28" s="17"/>
      <c r="AS28" s="14"/>
      <c r="AT28" s="48">
        <f t="shared" si="15"/>
        <v>44711</v>
      </c>
      <c r="AU28" s="59"/>
      <c r="AV28" s="61"/>
      <c r="AW28" s="59"/>
      <c r="AX28" s="61"/>
      <c r="AY28" s="60"/>
      <c r="AZ28" s="64"/>
      <c r="BA28" s="59"/>
      <c r="BB28" s="61"/>
      <c r="BC28" s="46"/>
      <c r="BD28" s="17">
        <f t="shared" si="20"/>
        <v>0</v>
      </c>
      <c r="BE28" s="17"/>
      <c r="BF28" s="17"/>
    </row>
    <row r="29" spans="2:58" x14ac:dyDescent="0.25">
      <c r="B29" s="45">
        <v>44712</v>
      </c>
      <c r="C29" s="70"/>
      <c r="D29" s="59"/>
      <c r="E29" s="59"/>
      <c r="F29" s="61"/>
      <c r="G29" s="59"/>
      <c r="H29" s="59"/>
      <c r="I29" s="61"/>
      <c r="J29" s="59"/>
      <c r="K29" s="59"/>
      <c r="L29" s="61"/>
      <c r="M29" s="59"/>
      <c r="N29" s="59"/>
      <c r="O29" s="61"/>
      <c r="P29" s="59"/>
      <c r="Q29" s="59"/>
      <c r="R29" s="61"/>
      <c r="S29" s="59"/>
      <c r="T29" s="59"/>
      <c r="U29" s="61"/>
      <c r="V29" s="59"/>
      <c r="W29" s="59"/>
      <c r="X29" s="61"/>
      <c r="Y29" s="59"/>
      <c r="Z29" s="59"/>
      <c r="AA29" s="61"/>
      <c r="AB29" s="59"/>
      <c r="AC29" s="59"/>
      <c r="AD29" s="61"/>
      <c r="AE29" s="59"/>
      <c r="AF29" s="59"/>
      <c r="AG29" s="61"/>
      <c r="AH29" s="59"/>
      <c r="AI29" s="59"/>
      <c r="AJ29" s="61"/>
      <c r="AK29" s="65"/>
      <c r="AL29" s="61"/>
      <c r="AM29" s="33"/>
      <c r="AO29" s="33">
        <f t="shared" si="28"/>
        <v>0</v>
      </c>
      <c r="AP29" s="119">
        <f t="shared" si="29"/>
        <v>0</v>
      </c>
      <c r="AQ29" s="53" t="e">
        <f t="shared" si="30"/>
        <v>#DIV/0!</v>
      </c>
      <c r="AR29" s="17"/>
      <c r="AS29" s="14"/>
      <c r="AT29" s="48">
        <f t="shared" si="15"/>
        <v>44712</v>
      </c>
      <c r="AU29" s="59"/>
      <c r="AV29" s="61"/>
      <c r="AW29" s="59"/>
      <c r="AX29" s="61"/>
      <c r="AY29" s="60"/>
      <c r="AZ29" s="64"/>
      <c r="BA29" s="59"/>
      <c r="BB29" s="61"/>
      <c r="BC29" s="46"/>
      <c r="BD29" s="17">
        <f t="shared" si="20"/>
        <v>0</v>
      </c>
      <c r="BE29" s="17"/>
      <c r="BF29" s="17"/>
    </row>
    <row r="30" spans="2:58" x14ac:dyDescent="0.25">
      <c r="B30" s="45">
        <v>44718</v>
      </c>
      <c r="C30" s="70"/>
      <c r="D30" s="59"/>
      <c r="E30" s="59"/>
      <c r="F30" s="61"/>
      <c r="G30" s="59"/>
      <c r="H30" s="59"/>
      <c r="I30" s="61"/>
      <c r="J30" s="59"/>
      <c r="K30" s="59"/>
      <c r="L30" s="61"/>
      <c r="M30" s="59"/>
      <c r="N30" s="59"/>
      <c r="O30" s="61"/>
      <c r="P30" s="59"/>
      <c r="Q30" s="59"/>
      <c r="R30" s="61"/>
      <c r="S30" s="59"/>
      <c r="T30" s="59"/>
      <c r="U30" s="61"/>
      <c r="V30" s="59"/>
      <c r="W30" s="59"/>
      <c r="X30" s="61"/>
      <c r="Y30" s="59"/>
      <c r="Z30" s="59"/>
      <c r="AA30" s="61"/>
      <c r="AB30" s="59"/>
      <c r="AC30" s="59"/>
      <c r="AD30" s="61"/>
      <c r="AE30" s="59"/>
      <c r="AF30" s="59"/>
      <c r="AG30" s="61"/>
      <c r="AH30" s="59"/>
      <c r="AI30" s="59"/>
      <c r="AJ30" s="61"/>
      <c r="AK30" s="65"/>
      <c r="AL30" s="61"/>
      <c r="AM30" s="33"/>
      <c r="AO30" s="33">
        <f t="shared" si="28"/>
        <v>0</v>
      </c>
      <c r="AP30" s="119">
        <f t="shared" si="29"/>
        <v>0</v>
      </c>
      <c r="AQ30" s="53" t="e">
        <f t="shared" si="30"/>
        <v>#DIV/0!</v>
      </c>
      <c r="AR30" s="17"/>
      <c r="AS30" s="14"/>
      <c r="AT30" s="48">
        <f t="shared" si="15"/>
        <v>44718</v>
      </c>
      <c r="AU30" s="59"/>
      <c r="AV30" s="61"/>
      <c r="AW30" s="59"/>
      <c r="AX30" s="61"/>
      <c r="AY30" s="60"/>
      <c r="AZ30" s="64"/>
      <c r="BA30" s="59"/>
      <c r="BB30" s="61"/>
      <c r="BC30" s="46"/>
      <c r="BD30" s="17">
        <f t="shared" si="20"/>
        <v>0</v>
      </c>
      <c r="BE30" s="17"/>
      <c r="BF30" s="17"/>
    </row>
    <row r="31" spans="2:58" x14ac:dyDescent="0.25">
      <c r="B31" s="45">
        <v>44725</v>
      </c>
      <c r="C31" s="70"/>
      <c r="D31" s="59"/>
      <c r="E31" s="59"/>
      <c r="F31" s="61"/>
      <c r="G31" s="59"/>
      <c r="H31" s="59"/>
      <c r="I31" s="61"/>
      <c r="J31" s="59"/>
      <c r="K31" s="59"/>
      <c r="L31" s="61"/>
      <c r="M31" s="59"/>
      <c r="N31" s="59"/>
      <c r="O31" s="61"/>
      <c r="P31" s="59"/>
      <c r="Q31" s="59"/>
      <c r="R31" s="61"/>
      <c r="S31" s="59"/>
      <c r="T31" s="59"/>
      <c r="U31" s="61"/>
      <c r="V31" s="59"/>
      <c r="W31" s="59"/>
      <c r="X31" s="61"/>
      <c r="Y31" s="59"/>
      <c r="Z31" s="59"/>
      <c r="AA31" s="61"/>
      <c r="AB31" s="59"/>
      <c r="AC31" s="59"/>
      <c r="AD31" s="61"/>
      <c r="AE31" s="59"/>
      <c r="AF31" s="59"/>
      <c r="AG31" s="61"/>
      <c r="AH31" s="59"/>
      <c r="AI31" s="59"/>
      <c r="AJ31" s="61"/>
      <c r="AK31" s="65"/>
      <c r="AL31" s="61"/>
      <c r="AM31" s="33"/>
      <c r="AO31" s="33">
        <f t="shared" si="28"/>
        <v>0</v>
      </c>
      <c r="AP31" s="119">
        <f t="shared" si="29"/>
        <v>0</v>
      </c>
      <c r="AQ31" s="53" t="e">
        <f t="shared" si="30"/>
        <v>#DIV/0!</v>
      </c>
      <c r="AR31" s="17"/>
      <c r="AS31" s="14"/>
      <c r="AT31" s="48">
        <f t="shared" si="15"/>
        <v>44725</v>
      </c>
      <c r="AU31" s="59"/>
      <c r="AV31" s="61"/>
      <c r="AW31" s="59"/>
      <c r="AX31" s="61"/>
      <c r="AY31" s="60"/>
      <c r="AZ31" s="64"/>
      <c r="BA31" s="59"/>
      <c r="BB31" s="61"/>
      <c r="BC31" s="46"/>
      <c r="BD31" s="17">
        <f t="shared" si="20"/>
        <v>0</v>
      </c>
      <c r="BE31" s="17"/>
      <c r="BF31" s="17"/>
    </row>
    <row r="32" spans="2:58" x14ac:dyDescent="0.25">
      <c r="B32" s="45">
        <v>44732</v>
      </c>
      <c r="C32" s="70"/>
      <c r="D32" s="59"/>
      <c r="E32" s="59"/>
      <c r="F32" s="61"/>
      <c r="G32" s="59"/>
      <c r="H32" s="59"/>
      <c r="I32" s="61"/>
      <c r="J32" s="59"/>
      <c r="K32" s="59"/>
      <c r="L32" s="61"/>
      <c r="M32" s="59"/>
      <c r="N32" s="59"/>
      <c r="O32" s="61"/>
      <c r="P32" s="59"/>
      <c r="Q32" s="59"/>
      <c r="R32" s="61"/>
      <c r="S32" s="59"/>
      <c r="T32" s="59"/>
      <c r="U32" s="61"/>
      <c r="V32" s="59"/>
      <c r="W32" s="59"/>
      <c r="X32" s="61"/>
      <c r="Y32" s="59"/>
      <c r="Z32" s="59"/>
      <c r="AA32" s="61"/>
      <c r="AB32" s="59"/>
      <c r="AC32" s="59"/>
      <c r="AD32" s="61"/>
      <c r="AE32" s="59"/>
      <c r="AF32" s="59"/>
      <c r="AG32" s="61"/>
      <c r="AH32" s="59"/>
      <c r="AI32" s="59"/>
      <c r="AJ32" s="61"/>
      <c r="AK32" s="65"/>
      <c r="AL32" s="61"/>
      <c r="AM32" s="33"/>
      <c r="AO32" s="33">
        <f t="shared" si="28"/>
        <v>0</v>
      </c>
      <c r="AP32" s="119">
        <f t="shared" si="29"/>
        <v>0</v>
      </c>
      <c r="AQ32" s="53" t="e">
        <f t="shared" si="30"/>
        <v>#DIV/0!</v>
      </c>
      <c r="AR32" s="17"/>
      <c r="AS32" s="14"/>
      <c r="AT32" s="48">
        <f t="shared" si="15"/>
        <v>44732</v>
      </c>
      <c r="AU32" s="59"/>
      <c r="AV32" s="61"/>
      <c r="AW32" s="59"/>
      <c r="AX32" s="61"/>
      <c r="AY32" s="60"/>
      <c r="AZ32" s="64"/>
      <c r="BA32" s="59"/>
      <c r="BB32" s="61"/>
      <c r="BC32" s="46"/>
      <c r="BD32" s="17">
        <f t="shared" si="20"/>
        <v>0</v>
      </c>
      <c r="BE32" s="17"/>
      <c r="BF32" s="17"/>
    </row>
    <row r="33" spans="2:58" x14ac:dyDescent="0.25">
      <c r="B33" s="45">
        <v>44739</v>
      </c>
      <c r="C33" s="70"/>
      <c r="D33" s="59"/>
      <c r="E33" s="59"/>
      <c r="F33" s="61"/>
      <c r="G33" s="59"/>
      <c r="H33" s="59"/>
      <c r="I33" s="61"/>
      <c r="J33" s="59"/>
      <c r="K33" s="59"/>
      <c r="L33" s="61"/>
      <c r="M33" s="59"/>
      <c r="N33" s="59"/>
      <c r="O33" s="61"/>
      <c r="P33" s="59"/>
      <c r="Q33" s="59"/>
      <c r="R33" s="61"/>
      <c r="S33" s="59"/>
      <c r="T33" s="59"/>
      <c r="U33" s="61"/>
      <c r="V33" s="59"/>
      <c r="W33" s="59"/>
      <c r="X33" s="61"/>
      <c r="Y33" s="59"/>
      <c r="Z33" s="59"/>
      <c r="AA33" s="61"/>
      <c r="AB33" s="59"/>
      <c r="AC33" s="59"/>
      <c r="AD33" s="61"/>
      <c r="AE33" s="59"/>
      <c r="AF33" s="59"/>
      <c r="AG33" s="61"/>
      <c r="AH33" s="59"/>
      <c r="AI33" s="59"/>
      <c r="AJ33" s="61"/>
      <c r="AK33" s="65"/>
      <c r="AL33" s="61"/>
      <c r="AM33" s="33"/>
      <c r="AO33" s="33">
        <f t="shared" si="28"/>
        <v>0</v>
      </c>
      <c r="AP33" s="119">
        <f t="shared" si="29"/>
        <v>0</v>
      </c>
      <c r="AQ33" s="53" t="e">
        <f t="shared" si="30"/>
        <v>#DIV/0!</v>
      </c>
      <c r="AR33" s="17"/>
      <c r="AS33" s="14"/>
      <c r="AT33" s="48">
        <f t="shared" si="15"/>
        <v>44739</v>
      </c>
      <c r="AU33" s="59"/>
      <c r="AV33" s="61"/>
      <c r="AW33" s="59"/>
      <c r="AX33" s="61"/>
      <c r="AY33" s="60"/>
      <c r="AZ33" s="64"/>
      <c r="BA33" s="59"/>
      <c r="BB33" s="61"/>
      <c r="BC33" s="46"/>
      <c r="BD33" s="17">
        <f t="shared" si="20"/>
        <v>0</v>
      </c>
      <c r="BE33" s="17"/>
      <c r="BF33" s="17"/>
    </row>
    <row r="34" spans="2:58" x14ac:dyDescent="0.25">
      <c r="B34" s="45">
        <v>44742</v>
      </c>
      <c r="C34" s="70"/>
      <c r="D34" s="59"/>
      <c r="E34" s="59"/>
      <c r="F34" s="61"/>
      <c r="G34" s="59"/>
      <c r="H34" s="59"/>
      <c r="I34" s="61"/>
      <c r="J34" s="59"/>
      <c r="K34" s="59"/>
      <c r="L34" s="61"/>
      <c r="M34" s="59"/>
      <c r="N34" s="59"/>
      <c r="O34" s="61"/>
      <c r="P34" s="59"/>
      <c r="Q34" s="59"/>
      <c r="R34" s="61"/>
      <c r="S34" s="59"/>
      <c r="T34" s="59"/>
      <c r="U34" s="61"/>
      <c r="V34" s="59"/>
      <c r="W34" s="59"/>
      <c r="X34" s="61"/>
      <c r="Y34" s="59"/>
      <c r="Z34" s="59"/>
      <c r="AA34" s="61"/>
      <c r="AB34" s="59"/>
      <c r="AC34" s="59"/>
      <c r="AD34" s="61"/>
      <c r="AE34" s="59"/>
      <c r="AF34" s="59"/>
      <c r="AG34" s="61"/>
      <c r="AH34" s="59"/>
      <c r="AI34" s="59"/>
      <c r="AJ34" s="61"/>
      <c r="AK34" s="65"/>
      <c r="AL34" s="61"/>
      <c r="AM34" s="33"/>
      <c r="AO34" s="33">
        <f t="shared" si="28"/>
        <v>0</v>
      </c>
      <c r="AP34" s="119">
        <f t="shared" si="29"/>
        <v>0</v>
      </c>
      <c r="AQ34" s="53" t="e">
        <f t="shared" si="30"/>
        <v>#DIV/0!</v>
      </c>
      <c r="AR34" s="17"/>
      <c r="AS34" s="14"/>
      <c r="AT34" s="48">
        <f t="shared" si="15"/>
        <v>44742</v>
      </c>
      <c r="AU34" s="59"/>
      <c r="AV34" s="61"/>
      <c r="AW34" s="59"/>
      <c r="AX34" s="61"/>
      <c r="AY34" s="60"/>
      <c r="AZ34" s="64"/>
      <c r="BA34" s="59"/>
      <c r="BB34" s="61"/>
      <c r="BC34" s="46"/>
      <c r="BD34" s="17">
        <f t="shared" si="20"/>
        <v>0</v>
      </c>
      <c r="BE34" s="17"/>
      <c r="BF34" s="17"/>
    </row>
    <row r="35" spans="2:58" x14ac:dyDescent="0.25">
      <c r="B35" s="45">
        <v>44746</v>
      </c>
      <c r="C35" s="70"/>
      <c r="D35" s="59"/>
      <c r="E35" s="59"/>
      <c r="F35" s="61"/>
      <c r="G35" s="59"/>
      <c r="H35" s="59"/>
      <c r="I35" s="61"/>
      <c r="J35" s="59"/>
      <c r="K35" s="59"/>
      <c r="L35" s="61"/>
      <c r="M35" s="59"/>
      <c r="N35" s="59"/>
      <c r="O35" s="61"/>
      <c r="P35" s="59"/>
      <c r="Q35" s="59"/>
      <c r="R35" s="61"/>
      <c r="S35" s="59"/>
      <c r="T35" s="59"/>
      <c r="U35" s="61"/>
      <c r="V35" s="59"/>
      <c r="W35" s="59"/>
      <c r="X35" s="61"/>
      <c r="Y35" s="59"/>
      <c r="Z35" s="59"/>
      <c r="AA35" s="61"/>
      <c r="AB35" s="59"/>
      <c r="AC35" s="59"/>
      <c r="AD35" s="61"/>
      <c r="AE35" s="59"/>
      <c r="AF35" s="59"/>
      <c r="AG35" s="61"/>
      <c r="AH35" s="59"/>
      <c r="AI35" s="59"/>
      <c r="AJ35" s="61"/>
      <c r="AK35" s="65"/>
      <c r="AL35" s="61"/>
      <c r="AM35" s="33"/>
      <c r="AO35" s="33">
        <f t="shared" si="28"/>
        <v>0</v>
      </c>
      <c r="AP35" s="119">
        <f t="shared" si="29"/>
        <v>0</v>
      </c>
      <c r="AQ35" s="53" t="e">
        <f t="shared" si="30"/>
        <v>#DIV/0!</v>
      </c>
      <c r="AR35" s="17"/>
      <c r="AS35" s="14"/>
      <c r="AT35" s="48">
        <f t="shared" si="15"/>
        <v>44746</v>
      </c>
      <c r="AU35" s="59"/>
      <c r="AV35" s="61"/>
      <c r="AW35" s="59"/>
      <c r="AX35" s="61"/>
      <c r="AY35" s="60"/>
      <c r="AZ35" s="64"/>
      <c r="BA35" s="59"/>
      <c r="BB35" s="61"/>
      <c r="BC35" s="46"/>
      <c r="BD35" s="17">
        <f t="shared" si="20"/>
        <v>0</v>
      </c>
      <c r="BE35" s="17"/>
      <c r="BF35" s="17"/>
    </row>
    <row r="36" spans="2:58" x14ac:dyDescent="0.25">
      <c r="B36" s="45">
        <v>44753</v>
      </c>
      <c r="C36" s="70"/>
      <c r="D36" s="59"/>
      <c r="E36" s="59"/>
      <c r="F36" s="61"/>
      <c r="G36" s="59"/>
      <c r="H36" s="59"/>
      <c r="I36" s="61"/>
      <c r="J36" s="59"/>
      <c r="K36" s="59"/>
      <c r="L36" s="61"/>
      <c r="M36" s="59"/>
      <c r="N36" s="59"/>
      <c r="O36" s="61"/>
      <c r="P36" s="59"/>
      <c r="Q36" s="59"/>
      <c r="R36" s="61"/>
      <c r="S36" s="59"/>
      <c r="T36" s="59"/>
      <c r="U36" s="61"/>
      <c r="V36" s="59"/>
      <c r="W36" s="59"/>
      <c r="X36" s="61"/>
      <c r="Y36" s="59"/>
      <c r="Z36" s="59"/>
      <c r="AA36" s="61"/>
      <c r="AB36" s="59"/>
      <c r="AC36" s="59"/>
      <c r="AD36" s="61"/>
      <c r="AE36" s="59"/>
      <c r="AF36" s="59"/>
      <c r="AG36" s="61"/>
      <c r="AH36" s="59"/>
      <c r="AI36" s="59"/>
      <c r="AJ36" s="61"/>
      <c r="AK36" s="65"/>
      <c r="AL36" s="61"/>
      <c r="AM36" s="33"/>
      <c r="AO36" s="33">
        <f t="shared" si="28"/>
        <v>0</v>
      </c>
      <c r="AP36" s="119">
        <f t="shared" si="29"/>
        <v>0</v>
      </c>
      <c r="AQ36" s="53" t="e">
        <f t="shared" si="30"/>
        <v>#DIV/0!</v>
      </c>
      <c r="AR36" s="17"/>
      <c r="AS36" s="14"/>
      <c r="AT36" s="48">
        <f t="shared" si="15"/>
        <v>44753</v>
      </c>
      <c r="AU36" s="59"/>
      <c r="AV36" s="61"/>
      <c r="AW36" s="59"/>
      <c r="AX36" s="61"/>
      <c r="AY36" s="60"/>
      <c r="AZ36" s="64"/>
      <c r="BA36" s="59"/>
      <c r="BB36" s="61"/>
      <c r="BC36" s="46"/>
      <c r="BD36" s="17">
        <f t="shared" si="20"/>
        <v>0</v>
      </c>
      <c r="BE36" s="17"/>
      <c r="BF36" s="17"/>
    </row>
    <row r="37" spans="2:58" x14ac:dyDescent="0.25">
      <c r="B37" s="45">
        <v>44760</v>
      </c>
      <c r="C37" s="70"/>
      <c r="D37" s="59"/>
      <c r="E37" s="59"/>
      <c r="F37" s="61"/>
      <c r="G37" s="59"/>
      <c r="H37" s="59"/>
      <c r="I37" s="61"/>
      <c r="J37" s="59"/>
      <c r="K37" s="59"/>
      <c r="L37" s="61"/>
      <c r="M37" s="59"/>
      <c r="N37" s="59"/>
      <c r="O37" s="61"/>
      <c r="P37" s="59"/>
      <c r="Q37" s="59"/>
      <c r="R37" s="61"/>
      <c r="S37" s="59"/>
      <c r="T37" s="59"/>
      <c r="U37" s="61"/>
      <c r="V37" s="59"/>
      <c r="W37" s="59"/>
      <c r="X37" s="61"/>
      <c r="Y37" s="59"/>
      <c r="Z37" s="59"/>
      <c r="AA37" s="61"/>
      <c r="AB37" s="59"/>
      <c r="AC37" s="59"/>
      <c r="AD37" s="61"/>
      <c r="AE37" s="59"/>
      <c r="AF37" s="59"/>
      <c r="AG37" s="61"/>
      <c r="AH37" s="59"/>
      <c r="AI37" s="59"/>
      <c r="AJ37" s="61"/>
      <c r="AK37" s="65"/>
      <c r="AL37" s="61"/>
      <c r="AM37" s="33"/>
      <c r="AO37" s="33">
        <f t="shared" si="28"/>
        <v>0</v>
      </c>
      <c r="AP37" s="119">
        <f t="shared" si="29"/>
        <v>0</v>
      </c>
      <c r="AQ37" s="53" t="e">
        <f t="shared" si="30"/>
        <v>#DIV/0!</v>
      </c>
      <c r="AR37" s="17"/>
      <c r="AS37" s="14"/>
      <c r="AT37" s="48">
        <f t="shared" si="15"/>
        <v>44760</v>
      </c>
      <c r="AU37" s="59"/>
      <c r="AV37" s="61"/>
      <c r="AW37" s="59"/>
      <c r="AX37" s="61"/>
      <c r="AY37" s="60"/>
      <c r="AZ37" s="64"/>
      <c r="BA37" s="59"/>
      <c r="BB37" s="61"/>
      <c r="BC37" s="46"/>
      <c r="BD37" s="17">
        <f t="shared" si="20"/>
        <v>0</v>
      </c>
      <c r="BE37" s="17"/>
      <c r="BF37" s="17"/>
    </row>
    <row r="38" spans="2:58" x14ac:dyDescent="0.25">
      <c r="B38" s="45">
        <v>44767</v>
      </c>
      <c r="C38" s="70"/>
      <c r="D38" s="59"/>
      <c r="E38" s="59"/>
      <c r="F38" s="61"/>
      <c r="G38" s="59"/>
      <c r="H38" s="59"/>
      <c r="I38" s="61"/>
      <c r="J38" s="59"/>
      <c r="K38" s="59"/>
      <c r="L38" s="61"/>
      <c r="M38" s="59"/>
      <c r="N38" s="59"/>
      <c r="O38" s="61"/>
      <c r="P38" s="59"/>
      <c r="Q38" s="59"/>
      <c r="R38" s="61"/>
      <c r="S38" s="59"/>
      <c r="T38" s="59"/>
      <c r="U38" s="61"/>
      <c r="V38" s="59"/>
      <c r="W38" s="59"/>
      <c r="X38" s="61"/>
      <c r="Y38" s="59"/>
      <c r="Z38" s="59"/>
      <c r="AA38" s="61"/>
      <c r="AB38" s="59"/>
      <c r="AC38" s="59"/>
      <c r="AD38" s="61"/>
      <c r="AE38" s="59"/>
      <c r="AF38" s="59"/>
      <c r="AG38" s="61"/>
      <c r="AH38" s="59"/>
      <c r="AI38" s="59"/>
      <c r="AJ38" s="61"/>
      <c r="AK38" s="65"/>
      <c r="AL38" s="61"/>
      <c r="AM38" s="33"/>
      <c r="AO38" s="33">
        <f t="shared" si="28"/>
        <v>0</v>
      </c>
      <c r="AP38" s="119">
        <f t="shared" si="29"/>
        <v>0</v>
      </c>
      <c r="AQ38" s="53" t="e">
        <f t="shared" si="30"/>
        <v>#DIV/0!</v>
      </c>
      <c r="AR38" s="17"/>
      <c r="AS38" s="14"/>
      <c r="AT38" s="48">
        <f t="shared" si="15"/>
        <v>44767</v>
      </c>
      <c r="AU38" s="59"/>
      <c r="AV38" s="61"/>
      <c r="AW38" s="59"/>
      <c r="AX38" s="61"/>
      <c r="AY38" s="60"/>
      <c r="AZ38" s="64"/>
      <c r="BA38" s="59"/>
      <c r="BB38" s="61"/>
      <c r="BC38" s="46"/>
      <c r="BD38" s="17">
        <f t="shared" si="20"/>
        <v>0</v>
      </c>
      <c r="BE38" s="17"/>
      <c r="BF38" s="17"/>
    </row>
    <row r="39" spans="2:58" x14ac:dyDescent="0.25">
      <c r="B39" s="45">
        <v>44774</v>
      </c>
      <c r="C39" s="70"/>
      <c r="D39" s="59"/>
      <c r="E39" s="59"/>
      <c r="F39" s="61"/>
      <c r="G39" s="59"/>
      <c r="H39" s="59"/>
      <c r="I39" s="61"/>
      <c r="J39" s="59"/>
      <c r="K39" s="59"/>
      <c r="L39" s="61"/>
      <c r="M39" s="59"/>
      <c r="N39" s="59"/>
      <c r="O39" s="61"/>
      <c r="P39" s="59"/>
      <c r="Q39" s="59"/>
      <c r="R39" s="61"/>
      <c r="S39" s="59"/>
      <c r="T39" s="59"/>
      <c r="U39" s="61"/>
      <c r="V39" s="59"/>
      <c r="W39" s="59"/>
      <c r="X39" s="61"/>
      <c r="Y39" s="59"/>
      <c r="Z39" s="59"/>
      <c r="AA39" s="61"/>
      <c r="AB39" s="59"/>
      <c r="AC39" s="59"/>
      <c r="AD39" s="61"/>
      <c r="AE39" s="59"/>
      <c r="AF39" s="59"/>
      <c r="AG39" s="61"/>
      <c r="AH39" s="59"/>
      <c r="AI39" s="59"/>
      <c r="AJ39" s="61"/>
      <c r="AK39" s="65"/>
      <c r="AL39" s="61"/>
      <c r="AM39" s="33"/>
      <c r="AO39" s="33">
        <f t="shared" si="28"/>
        <v>0</v>
      </c>
      <c r="AP39" s="119">
        <f t="shared" si="29"/>
        <v>0</v>
      </c>
      <c r="AQ39" s="53" t="e">
        <f t="shared" si="30"/>
        <v>#DIV/0!</v>
      </c>
      <c r="AR39" s="17"/>
      <c r="AS39" s="14"/>
      <c r="AT39" s="48">
        <f t="shared" si="15"/>
        <v>44774</v>
      </c>
      <c r="AU39" s="59"/>
      <c r="AV39" s="61"/>
      <c r="AW39" s="59"/>
      <c r="AX39" s="61"/>
      <c r="AY39" s="60"/>
      <c r="AZ39" s="64"/>
      <c r="BA39" s="59"/>
      <c r="BB39" s="61"/>
      <c r="BC39" s="46"/>
      <c r="BD39" s="17">
        <f t="shared" si="20"/>
        <v>0</v>
      </c>
      <c r="BE39" s="17"/>
      <c r="BF39" s="17"/>
    </row>
    <row r="40" spans="2:58" x14ac:dyDescent="0.25">
      <c r="B40" s="45">
        <v>44781</v>
      </c>
      <c r="C40" s="70"/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1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0"/>
        <v>0</v>
      </c>
      <c r="BE40" s="17"/>
      <c r="BF40" s="17"/>
    </row>
    <row r="41" spans="2:58" x14ac:dyDescent="0.25">
      <c r="B41" s="45">
        <v>44788</v>
      </c>
      <c r="C41" s="70"/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0"/>
        <v>0</v>
      </c>
      <c r="BE41" s="17"/>
      <c r="BF41" s="17"/>
    </row>
    <row r="42" spans="2:58" x14ac:dyDescent="0.25">
      <c r="B42" s="45">
        <v>44795</v>
      </c>
      <c r="C42" s="70"/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0"/>
        <v>0</v>
      </c>
      <c r="BE42" s="17"/>
      <c r="BF42" s="17"/>
    </row>
    <row r="43" spans="2:58" x14ac:dyDescent="0.25">
      <c r="B43" s="45">
        <v>44802</v>
      </c>
      <c r="C43" s="70"/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0"/>
        <v>0</v>
      </c>
      <c r="BE43" s="17"/>
      <c r="BF43" s="17"/>
    </row>
    <row r="44" spans="2:58" x14ac:dyDescent="0.25">
      <c r="B44" s="45">
        <v>44804</v>
      </c>
      <c r="C44" s="70"/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0"/>
        <v>0</v>
      </c>
      <c r="BE44" s="17"/>
      <c r="BF44" s="17"/>
    </row>
    <row r="45" spans="2:58" x14ac:dyDescent="0.25">
      <c r="B45" s="45">
        <v>44809</v>
      </c>
      <c r="C45" s="70"/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0"/>
        <v>0</v>
      </c>
      <c r="BE45" s="17"/>
      <c r="BF45" s="17"/>
    </row>
    <row r="46" spans="2:58" x14ac:dyDescent="0.25">
      <c r="B46" s="45">
        <v>44816</v>
      </c>
      <c r="C46" s="70"/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0"/>
        <v>0</v>
      </c>
      <c r="BE46" s="17"/>
      <c r="BF46" s="17"/>
    </row>
    <row r="47" spans="2:58" x14ac:dyDescent="0.25">
      <c r="B47" s="45">
        <v>44823</v>
      </c>
      <c r="C47" s="70"/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0"/>
        <v>0</v>
      </c>
      <c r="BE47" s="17"/>
      <c r="BF47" s="17"/>
    </row>
    <row r="48" spans="2:58" x14ac:dyDescent="0.25">
      <c r="B48" s="45">
        <v>44830</v>
      </c>
      <c r="C48" s="70"/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0"/>
        <v>0</v>
      </c>
      <c r="BE48" s="17"/>
      <c r="BF48" s="17"/>
    </row>
    <row r="49" spans="2:58" x14ac:dyDescent="0.25">
      <c r="B49" s="45">
        <v>44834</v>
      </c>
      <c r="C49" s="70"/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0"/>
        <v>0</v>
      </c>
      <c r="BE49" s="17"/>
      <c r="BF49" s="17"/>
    </row>
    <row r="50" spans="2:58" x14ac:dyDescent="0.25">
      <c r="B50" s="45">
        <v>44837</v>
      </c>
      <c r="C50" s="70"/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0"/>
        <v>0</v>
      </c>
      <c r="BE50" s="17"/>
      <c r="BF50" s="17"/>
    </row>
    <row r="51" spans="2:58" x14ac:dyDescent="0.25">
      <c r="B51" s="45">
        <v>44844</v>
      </c>
      <c r="C51" s="70"/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0"/>
        <v>0</v>
      </c>
      <c r="BE51" s="17"/>
      <c r="BF51" s="17"/>
    </row>
    <row r="52" spans="2:58" x14ac:dyDescent="0.25">
      <c r="B52" s="45">
        <v>44851</v>
      </c>
      <c r="C52" s="70"/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0"/>
        <v>0</v>
      </c>
      <c r="BE52" s="17"/>
      <c r="BF52" s="17"/>
    </row>
    <row r="53" spans="2:58" x14ac:dyDescent="0.25">
      <c r="B53" s="45">
        <v>44858</v>
      </c>
      <c r="C53" s="70"/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0"/>
        <v>0</v>
      </c>
      <c r="BE53" s="17"/>
      <c r="BF53" s="17"/>
    </row>
    <row r="54" spans="2:58" x14ac:dyDescent="0.25">
      <c r="B54" s="45">
        <v>44865</v>
      </c>
      <c r="C54" s="70"/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0"/>
        <v>0</v>
      </c>
      <c r="BE54" s="17"/>
      <c r="BF54" s="17"/>
    </row>
    <row r="55" spans="2:58" x14ac:dyDescent="0.25">
      <c r="B55" s="45">
        <v>44872</v>
      </c>
      <c r="C55" s="70"/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0"/>
        <v>0</v>
      </c>
      <c r="BE55" s="17"/>
      <c r="BF55" s="17"/>
    </row>
    <row r="56" spans="2:58" x14ac:dyDescent="0.25">
      <c r="B56" s="45">
        <v>44879</v>
      </c>
      <c r="C56" s="70"/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0"/>
        <v>0</v>
      </c>
      <c r="BE56" s="17"/>
      <c r="BF56" s="17"/>
    </row>
    <row r="57" spans="2:58" x14ac:dyDescent="0.25">
      <c r="B57" s="45">
        <v>44886</v>
      </c>
      <c r="C57" s="70"/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0"/>
        <v>0</v>
      </c>
      <c r="BE57" s="17"/>
      <c r="BF57" s="17"/>
    </row>
    <row r="58" spans="2:58" x14ac:dyDescent="0.25">
      <c r="B58" s="45">
        <v>44893</v>
      </c>
      <c r="C58" s="70"/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0"/>
        <v>0</v>
      </c>
      <c r="BE58" s="17"/>
      <c r="BF58" s="17"/>
    </row>
    <row r="59" spans="2:58" x14ac:dyDescent="0.25">
      <c r="B59" s="45">
        <v>44895</v>
      </c>
      <c r="C59" s="70"/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0"/>
        <v>0</v>
      </c>
      <c r="BE59" s="17"/>
      <c r="BF59" s="17"/>
    </row>
    <row r="60" spans="2:58" x14ac:dyDescent="0.25">
      <c r="B60" s="45">
        <v>44900</v>
      </c>
      <c r="C60" s="70"/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0"/>
        <v>0</v>
      </c>
      <c r="BE60" s="17"/>
      <c r="BF60" s="17"/>
    </row>
    <row r="61" spans="2:58" x14ac:dyDescent="0.25">
      <c r="B61" s="45">
        <v>44907</v>
      </c>
      <c r="C61" s="70"/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0"/>
        <v>0</v>
      </c>
      <c r="BE61" s="17"/>
      <c r="BF61" s="17"/>
    </row>
    <row r="62" spans="2:58" x14ac:dyDescent="0.25">
      <c r="B62" s="45">
        <v>44914</v>
      </c>
      <c r="C62" s="70"/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0"/>
        <v>0</v>
      </c>
      <c r="BE62" s="17"/>
      <c r="BF62" s="17"/>
    </row>
    <row r="63" spans="2:58" x14ac:dyDescent="0.25">
      <c r="B63" s="45">
        <v>44921</v>
      </c>
      <c r="C63" s="70"/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0"/>
        <v>0</v>
      </c>
      <c r="BE63" s="17"/>
      <c r="BF63" s="17"/>
    </row>
    <row r="64" spans="2:58" x14ac:dyDescent="0.25">
      <c r="B64" s="45">
        <v>44926</v>
      </c>
      <c r="C64" s="70"/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1"/>
      <c r="AL64" s="122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0"/>
        <v>0</v>
      </c>
      <c r="BE64" s="17"/>
      <c r="BF64" s="17"/>
    </row>
  </sheetData>
  <mergeCells count="19">
    <mergeCell ref="AU1:AV1"/>
    <mergeCell ref="AW1:AX1"/>
    <mergeCell ref="AY1:AZ1"/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F65"/>
  <sheetViews>
    <sheetView topLeftCell="AP1" zoomScale="85" zoomScaleNormal="85" workbookViewId="0">
      <selection activeCell="AS19" sqref="AS19:BF20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2" width="11.7109375" style="39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</cols>
  <sheetData>
    <row r="1" spans="2:58" s="49" customFormat="1" ht="31.5" x14ac:dyDescent="0.35">
      <c r="B1" s="56">
        <v>2022</v>
      </c>
      <c r="C1" s="130">
        <v>74860172</v>
      </c>
      <c r="D1" s="132"/>
      <c r="E1" s="131"/>
      <c r="F1" s="130">
        <v>74860173</v>
      </c>
      <c r="G1" s="132"/>
      <c r="H1" s="131"/>
      <c r="I1" s="130">
        <v>44553004</v>
      </c>
      <c r="J1" s="132"/>
      <c r="K1" s="131"/>
      <c r="L1" s="130">
        <v>70275191</v>
      </c>
      <c r="M1" s="132"/>
      <c r="N1" s="131"/>
      <c r="O1" s="130">
        <v>2130521</v>
      </c>
      <c r="P1" s="132"/>
      <c r="Q1" s="131"/>
      <c r="R1" s="16"/>
      <c r="S1" s="133" t="s">
        <v>104</v>
      </c>
      <c r="T1" s="132"/>
      <c r="U1" s="131"/>
      <c r="V1" s="134">
        <v>93477704</v>
      </c>
      <c r="W1" s="135"/>
      <c r="X1" s="136"/>
      <c r="Y1" s="21" t="s">
        <v>180</v>
      </c>
      <c r="Z1" s="16"/>
      <c r="AA1" s="137">
        <v>79177804</v>
      </c>
      <c r="AB1" s="138"/>
      <c r="AC1" s="137">
        <v>79305675</v>
      </c>
      <c r="AD1" s="138"/>
      <c r="AE1" s="137">
        <v>79190041</v>
      </c>
      <c r="AF1" s="138"/>
      <c r="AG1" s="137" t="s">
        <v>49</v>
      </c>
      <c r="AH1" s="138"/>
      <c r="AI1" s="137">
        <v>79190039</v>
      </c>
      <c r="AJ1" s="138"/>
      <c r="AK1" s="137">
        <v>79324776</v>
      </c>
      <c r="AL1" s="138"/>
      <c r="AM1" s="137" t="s">
        <v>102</v>
      </c>
      <c r="AN1" s="138"/>
      <c r="AO1" s="137" t="s">
        <v>103</v>
      </c>
      <c r="AP1" s="138"/>
      <c r="AQ1" s="14"/>
      <c r="AS1" s="130" t="s">
        <v>115</v>
      </c>
      <c r="AT1" s="131"/>
      <c r="AU1" s="14"/>
      <c r="AV1" s="130" t="s">
        <v>55</v>
      </c>
      <c r="AW1" s="131"/>
      <c r="AX1" s="130">
        <v>65956268</v>
      </c>
      <c r="AY1" s="131"/>
      <c r="AZ1" s="22" t="s">
        <v>57</v>
      </c>
      <c r="BA1" s="130">
        <v>1334021</v>
      </c>
      <c r="BB1" s="131"/>
      <c r="BC1" s="130">
        <v>63265094</v>
      </c>
      <c r="BD1" s="131"/>
      <c r="BE1" s="130" t="s">
        <v>181</v>
      </c>
      <c r="BF1" s="131"/>
    </row>
    <row r="2" spans="2:58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41" t="s">
        <v>100</v>
      </c>
      <c r="P2" s="142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39" t="s">
        <v>184</v>
      </c>
      <c r="AB2" s="140"/>
      <c r="AC2" s="139" t="s">
        <v>185</v>
      </c>
      <c r="AD2" s="140"/>
      <c r="AE2" s="139" t="s">
        <v>186</v>
      </c>
      <c r="AF2" s="140"/>
      <c r="AG2" s="139" t="s">
        <v>187</v>
      </c>
      <c r="AH2" s="140"/>
      <c r="AI2" s="139" t="s">
        <v>118</v>
      </c>
      <c r="AJ2" s="140"/>
      <c r="AK2" s="139" t="s">
        <v>188</v>
      </c>
      <c r="AL2" s="140"/>
      <c r="AM2" s="139" t="s">
        <v>189</v>
      </c>
      <c r="AN2" s="140"/>
      <c r="AO2" s="139" t="s">
        <v>190</v>
      </c>
      <c r="AP2" s="140"/>
      <c r="AQ2" s="14"/>
      <c r="AS2" s="23">
        <v>46801014</v>
      </c>
      <c r="AT2" s="26"/>
      <c r="AU2" s="14"/>
      <c r="AV2" s="23"/>
      <c r="AW2" s="25" t="s">
        <v>170</v>
      </c>
      <c r="AX2" s="23" t="s">
        <v>191</v>
      </c>
      <c r="AY2" s="25" t="s">
        <v>170</v>
      </c>
      <c r="AZ2" s="25" t="s">
        <v>170</v>
      </c>
      <c r="BA2" s="23"/>
      <c r="BB2" s="25" t="s">
        <v>170</v>
      </c>
      <c r="BC2" s="23"/>
      <c r="BD2" s="25" t="s">
        <v>170</v>
      </c>
      <c r="BE2" s="23"/>
      <c r="BF2" s="25" t="s">
        <v>170</v>
      </c>
    </row>
    <row r="3" spans="2:58" x14ac:dyDescent="0.25">
      <c r="B3" s="44"/>
      <c r="C3" s="139" t="s">
        <v>105</v>
      </c>
      <c r="D3" s="140"/>
      <c r="E3" s="18" t="s">
        <v>192</v>
      </c>
      <c r="F3" s="139" t="s">
        <v>106</v>
      </c>
      <c r="G3" s="140"/>
      <c r="H3" s="18" t="s">
        <v>192</v>
      </c>
      <c r="I3" s="139" t="s">
        <v>107</v>
      </c>
      <c r="J3" s="140"/>
      <c r="K3" s="18"/>
      <c r="L3" s="139" t="s">
        <v>193</v>
      </c>
      <c r="M3" s="140"/>
      <c r="N3" s="18"/>
      <c r="O3" s="139" t="s">
        <v>108</v>
      </c>
      <c r="P3" s="140"/>
      <c r="Q3" s="18" t="s">
        <v>192</v>
      </c>
      <c r="R3" s="28"/>
      <c r="S3" s="139" t="s">
        <v>194</v>
      </c>
      <c r="T3" s="140"/>
      <c r="U3" s="19"/>
      <c r="V3" s="139" t="s">
        <v>194</v>
      </c>
      <c r="W3" s="140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91" t="s">
        <v>119</v>
      </c>
      <c r="AF3" s="91" t="s">
        <v>195</v>
      </c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14"/>
      <c r="AS3" s="90" t="s">
        <v>117</v>
      </c>
      <c r="AT3" s="19"/>
      <c r="AU3" s="14"/>
      <c r="AV3" s="90" t="s">
        <v>116</v>
      </c>
      <c r="AW3" s="18" t="s">
        <v>192</v>
      </c>
      <c r="AX3" s="90" t="s">
        <v>116</v>
      </c>
      <c r="AY3" s="18" t="s">
        <v>192</v>
      </c>
      <c r="AZ3" s="18" t="s">
        <v>192</v>
      </c>
      <c r="BA3" s="90" t="s">
        <v>116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</row>
    <row r="4" spans="2:58" s="86" customFormat="1" x14ac:dyDescent="0.25">
      <c r="B4" s="45">
        <v>44562</v>
      </c>
      <c r="C4" s="125">
        <v>47284050</v>
      </c>
      <c r="D4" s="125"/>
      <c r="E4" s="33">
        <v>0</v>
      </c>
      <c r="F4" s="128">
        <v>5735080</v>
      </c>
      <c r="G4" s="129"/>
      <c r="H4" s="33">
        <v>0</v>
      </c>
      <c r="I4" s="128">
        <v>18184</v>
      </c>
      <c r="J4" s="129"/>
      <c r="K4" s="33">
        <v>0</v>
      </c>
      <c r="L4" s="128">
        <v>343381</v>
      </c>
      <c r="M4" s="129"/>
      <c r="N4" s="33">
        <v>0</v>
      </c>
      <c r="O4" s="128">
        <v>21347</v>
      </c>
      <c r="P4" s="129"/>
      <c r="Q4" s="33">
        <v>0</v>
      </c>
      <c r="R4" s="77"/>
      <c r="S4" s="128">
        <v>804501</v>
      </c>
      <c r="T4" s="129"/>
      <c r="U4" s="33">
        <v>0</v>
      </c>
      <c r="V4" s="128">
        <v>837808</v>
      </c>
      <c r="W4" s="129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79">
        <v>120526</v>
      </c>
      <c r="AF4" s="80">
        <v>0</v>
      </c>
      <c r="AG4" s="79">
        <v>3721338</v>
      </c>
      <c r="AH4" s="80">
        <v>0</v>
      </c>
      <c r="AI4" s="79">
        <v>4598660</v>
      </c>
      <c r="AJ4" s="80">
        <v>0</v>
      </c>
      <c r="AK4" s="79">
        <v>25450</v>
      </c>
      <c r="AL4" s="80">
        <v>0</v>
      </c>
      <c r="AM4" s="79">
        <v>1292</v>
      </c>
      <c r="AN4" s="80">
        <v>0</v>
      </c>
      <c r="AO4" s="79">
        <v>13368</v>
      </c>
      <c r="AP4" s="80">
        <v>0</v>
      </c>
      <c r="AQ4" s="81"/>
      <c r="AR4" s="57">
        <f>B4</f>
        <v>44562</v>
      </c>
      <c r="AS4" s="79">
        <v>4046</v>
      </c>
      <c r="AT4" s="80">
        <v>0</v>
      </c>
      <c r="AU4" s="82"/>
      <c r="AV4" s="79">
        <v>2108658</v>
      </c>
      <c r="AW4" s="79">
        <v>0</v>
      </c>
      <c r="AX4" s="79">
        <v>652629730</v>
      </c>
      <c r="AY4" s="83">
        <v>0</v>
      </c>
      <c r="AZ4" s="79">
        <v>0</v>
      </c>
      <c r="BA4" s="79">
        <v>7133000</v>
      </c>
      <c r="BB4" s="84">
        <v>0</v>
      </c>
      <c r="BC4" s="83">
        <v>3791200</v>
      </c>
      <c r="BD4" s="85">
        <v>0</v>
      </c>
      <c r="BE4" s="79">
        <v>1133177</v>
      </c>
      <c r="BF4" s="80">
        <v>0</v>
      </c>
    </row>
    <row r="5" spans="2:58" s="58" customFormat="1" x14ac:dyDescent="0.25">
      <c r="B5" s="45">
        <v>44564</v>
      </c>
      <c r="C5" s="125">
        <v>47321292</v>
      </c>
      <c r="D5" s="125"/>
      <c r="E5" s="33">
        <f t="shared" ref="E5:E64" si="0">SUM(C5-C4)*10</f>
        <v>372420</v>
      </c>
      <c r="F5" s="125">
        <v>5741571</v>
      </c>
      <c r="G5" s="125"/>
      <c r="H5" s="33">
        <f t="shared" ref="H5:H64" si="1">SUM(F5-F4)*10</f>
        <v>64910</v>
      </c>
      <c r="I5" s="125">
        <v>18187</v>
      </c>
      <c r="J5" s="125"/>
      <c r="K5" s="33">
        <f t="shared" ref="K5:K64" si="2">SUM(I5-I4)*10</f>
        <v>30</v>
      </c>
      <c r="L5" s="125">
        <v>343661</v>
      </c>
      <c r="M5" s="125"/>
      <c r="N5" s="33">
        <f t="shared" ref="N5:N64" si="3">SUM(L5-L4)*1000</f>
        <v>280000</v>
      </c>
      <c r="O5" s="125">
        <v>21465</v>
      </c>
      <c r="P5" s="125"/>
      <c r="Q5" s="33">
        <f t="shared" ref="Q5:Q64" si="4">SUM(O5-O4)*100</f>
        <v>11800</v>
      </c>
      <c r="R5" s="29"/>
      <c r="S5" s="121">
        <v>805268</v>
      </c>
      <c r="T5" s="122"/>
      <c r="U5" s="33">
        <f t="shared" ref="U5:U64" si="5">SUM(S5-S4)*100</f>
        <v>76700</v>
      </c>
      <c r="V5" s="125">
        <v>840790</v>
      </c>
      <c r="W5" s="125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20" si="8">SUM(AA5-AA4)*10000</f>
        <v>650000</v>
      </c>
      <c r="AC5" s="17">
        <v>701086300</v>
      </c>
      <c r="AD5" s="33">
        <f t="shared" ref="AD5:AD20" si="9">SUM(AC5-AC4)*0.1</f>
        <v>173014.1</v>
      </c>
      <c r="AE5" s="17">
        <v>120604</v>
      </c>
      <c r="AF5" s="33">
        <f t="shared" ref="AF5:AF20" si="10">SUM(AE5-AE4)*10</f>
        <v>780</v>
      </c>
      <c r="AG5" s="17">
        <v>3722473</v>
      </c>
      <c r="AH5" s="33">
        <f t="shared" ref="AH5:AH20" si="11">SUM(AG5-AG4)*10</f>
        <v>11350</v>
      </c>
      <c r="AI5" s="17">
        <v>4601417</v>
      </c>
      <c r="AJ5" s="33">
        <f t="shared" ref="AJ5:AJ20" si="12">SUM(AI5-AI4)</f>
        <v>2757</v>
      </c>
      <c r="AK5" s="17">
        <v>25501</v>
      </c>
      <c r="AL5" s="33">
        <f t="shared" ref="AL5:AL20" si="13">SUM(AK5-AK4)*1000</f>
        <v>51000</v>
      </c>
      <c r="AM5" s="17">
        <v>1295</v>
      </c>
      <c r="AN5" s="33">
        <f t="shared" ref="AN5:AN20" si="14">SUM(AM5-AM4)</f>
        <v>3</v>
      </c>
      <c r="AO5" s="17">
        <v>13377</v>
      </c>
      <c r="AP5" s="33">
        <f t="shared" ref="AP5:AP20" si="15">SUM(AO5-AO4)*100</f>
        <v>900</v>
      </c>
      <c r="AQ5" s="31"/>
      <c r="AR5" s="57">
        <f>B5</f>
        <v>44564</v>
      </c>
      <c r="AS5" s="17">
        <v>4100</v>
      </c>
      <c r="AT5" s="33">
        <f t="shared" ref="AT5:AT20" si="16">SUM(AS5-AS4)</f>
        <v>54</v>
      </c>
      <c r="AU5" s="14"/>
      <c r="AV5" s="17">
        <v>2131903</v>
      </c>
      <c r="AW5" s="33">
        <f t="shared" ref="AW5:AW20" si="17">SUM(AV5-AV4)</f>
        <v>23245</v>
      </c>
      <c r="AX5" s="17">
        <v>654316702</v>
      </c>
      <c r="AY5" s="34">
        <f t="shared" ref="AY5:AY20" si="18">SUM(AX5-AX4)/100</f>
        <v>16869.72</v>
      </c>
      <c r="AZ5" s="33">
        <f t="shared" ref="AZ5:AZ20" si="19">SUM(AW5-AY5)</f>
        <v>6375.2799999999988</v>
      </c>
      <c r="BA5" s="17">
        <v>7133400</v>
      </c>
      <c r="BB5" s="89">
        <f t="shared" ref="BB5:BB20" si="20">SUM(BA5-BA4)</f>
        <v>400</v>
      </c>
      <c r="BC5" s="53">
        <v>3791400</v>
      </c>
      <c r="BD5" s="54">
        <f t="shared" ref="BD5:BD20" si="21">SUM(BC5-BC4)</f>
        <v>200</v>
      </c>
      <c r="BE5" s="17">
        <v>1133187</v>
      </c>
      <c r="BF5" s="33">
        <f t="shared" ref="BF5:BF20" si="22">SUM(BE5-BE4)</f>
        <v>10</v>
      </c>
    </row>
    <row r="6" spans="2:58" s="58" customFormat="1" x14ac:dyDescent="0.25">
      <c r="B6" s="45">
        <v>44571</v>
      </c>
      <c r="C6" s="125">
        <v>47434585</v>
      </c>
      <c r="D6" s="125"/>
      <c r="E6" s="33">
        <f t="shared" si="0"/>
        <v>1132930</v>
      </c>
      <c r="F6" s="125">
        <v>5755598</v>
      </c>
      <c r="G6" s="125"/>
      <c r="H6" s="33">
        <f t="shared" si="1"/>
        <v>140270</v>
      </c>
      <c r="I6" s="125">
        <v>18208</v>
      </c>
      <c r="J6" s="125"/>
      <c r="K6" s="33">
        <f t="shared" si="2"/>
        <v>210</v>
      </c>
      <c r="L6" s="125">
        <v>344442</v>
      </c>
      <c r="M6" s="125"/>
      <c r="N6" s="33">
        <f t="shared" si="3"/>
        <v>781000</v>
      </c>
      <c r="O6" s="125">
        <v>21853</v>
      </c>
      <c r="P6" s="125"/>
      <c r="Q6" s="33">
        <f t="shared" si="4"/>
        <v>38800</v>
      </c>
      <c r="R6" s="29"/>
      <c r="S6" s="121">
        <v>807780</v>
      </c>
      <c r="T6" s="122"/>
      <c r="U6" s="33">
        <f t="shared" si="5"/>
        <v>251200</v>
      </c>
      <c r="V6" s="125">
        <v>855610</v>
      </c>
      <c r="W6" s="125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17">
        <v>120876</v>
      </c>
      <c r="AF6" s="33">
        <f t="shared" si="10"/>
        <v>2720</v>
      </c>
      <c r="AG6" s="17">
        <v>3726339</v>
      </c>
      <c r="AH6" s="33">
        <f t="shared" si="11"/>
        <v>38660</v>
      </c>
      <c r="AI6" s="17">
        <v>4613682</v>
      </c>
      <c r="AJ6" s="33">
        <f t="shared" si="12"/>
        <v>12265</v>
      </c>
      <c r="AK6" s="17">
        <v>25699</v>
      </c>
      <c r="AL6" s="33">
        <f t="shared" si="13"/>
        <v>198000</v>
      </c>
      <c r="AM6" s="17">
        <v>1312</v>
      </c>
      <c r="AN6" s="33">
        <f t="shared" si="14"/>
        <v>17</v>
      </c>
      <c r="AO6" s="17">
        <v>13405</v>
      </c>
      <c r="AP6" s="33">
        <f t="shared" si="15"/>
        <v>2800</v>
      </c>
      <c r="AQ6" s="31"/>
      <c r="AR6" s="57">
        <f t="shared" ref="AR6:AR64" si="25">B6</f>
        <v>44571</v>
      </c>
      <c r="AS6" s="17">
        <v>4230</v>
      </c>
      <c r="AT6" s="33">
        <f t="shared" si="16"/>
        <v>130</v>
      </c>
      <c r="AU6" s="14"/>
      <c r="AV6" s="17">
        <v>2183224</v>
      </c>
      <c r="AW6" s="33">
        <f t="shared" si="17"/>
        <v>51321</v>
      </c>
      <c r="AX6" s="17">
        <v>658272252</v>
      </c>
      <c r="AY6" s="34">
        <f t="shared" si="18"/>
        <v>39555.5</v>
      </c>
      <c r="AZ6" s="33">
        <f t="shared" si="19"/>
        <v>11765.5</v>
      </c>
      <c r="BA6" s="17">
        <v>7138700</v>
      </c>
      <c r="BB6" s="89">
        <f t="shared" si="20"/>
        <v>5300</v>
      </c>
      <c r="BC6" s="53">
        <v>3791700</v>
      </c>
      <c r="BD6" s="54">
        <f t="shared" si="21"/>
        <v>300</v>
      </c>
      <c r="BE6" s="17">
        <v>1133232</v>
      </c>
      <c r="BF6" s="33">
        <f t="shared" si="22"/>
        <v>45</v>
      </c>
    </row>
    <row r="7" spans="2:58" s="58" customFormat="1" x14ac:dyDescent="0.25">
      <c r="B7" s="45">
        <v>44578</v>
      </c>
      <c r="C7" s="125">
        <v>47541571</v>
      </c>
      <c r="D7" s="125"/>
      <c r="E7" s="33">
        <f t="shared" si="0"/>
        <v>1069860</v>
      </c>
      <c r="F7" s="125">
        <v>5765249</v>
      </c>
      <c r="G7" s="125"/>
      <c r="H7" s="33">
        <f t="shared" si="1"/>
        <v>96510</v>
      </c>
      <c r="I7" s="125">
        <v>18248</v>
      </c>
      <c r="J7" s="125"/>
      <c r="K7" s="33">
        <f t="shared" si="2"/>
        <v>400</v>
      </c>
      <c r="L7" s="125">
        <v>345151</v>
      </c>
      <c r="M7" s="125"/>
      <c r="N7" s="33">
        <f t="shared" si="3"/>
        <v>709000</v>
      </c>
      <c r="O7" s="125">
        <v>22245</v>
      </c>
      <c r="P7" s="125"/>
      <c r="Q7" s="33">
        <f t="shared" si="4"/>
        <v>39200</v>
      </c>
      <c r="R7" s="29"/>
      <c r="S7" s="121">
        <v>810263</v>
      </c>
      <c r="T7" s="122"/>
      <c r="U7" s="33">
        <f t="shared" si="5"/>
        <v>248300</v>
      </c>
      <c r="V7" s="125">
        <v>874623</v>
      </c>
      <c r="W7" s="125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17">
        <v>121126</v>
      </c>
      <c r="AF7" s="33">
        <f t="shared" si="10"/>
        <v>2500</v>
      </c>
      <c r="AG7" s="17">
        <v>3728247</v>
      </c>
      <c r="AH7" s="33">
        <f t="shared" si="11"/>
        <v>19080</v>
      </c>
      <c r="AI7" s="17">
        <v>4627029</v>
      </c>
      <c r="AJ7" s="33">
        <f t="shared" si="12"/>
        <v>13347</v>
      </c>
      <c r="AK7" s="17">
        <v>25915</v>
      </c>
      <c r="AL7" s="33">
        <f t="shared" si="13"/>
        <v>216000</v>
      </c>
      <c r="AM7" s="17">
        <v>1331</v>
      </c>
      <c r="AN7" s="33">
        <f t="shared" si="14"/>
        <v>19</v>
      </c>
      <c r="AO7" s="17">
        <v>13437</v>
      </c>
      <c r="AP7" s="33">
        <f t="shared" si="15"/>
        <v>3200</v>
      </c>
      <c r="AQ7" s="31"/>
      <c r="AR7" s="57">
        <f t="shared" si="25"/>
        <v>44578</v>
      </c>
      <c r="AS7" s="17">
        <v>4331</v>
      </c>
      <c r="AT7" s="33">
        <f t="shared" si="16"/>
        <v>101</v>
      </c>
      <c r="AU7" s="14"/>
      <c r="AV7" s="17">
        <v>2234949</v>
      </c>
      <c r="AW7" s="33">
        <f t="shared" si="17"/>
        <v>51725</v>
      </c>
      <c r="AX7" s="17">
        <v>662223408</v>
      </c>
      <c r="AY7" s="34">
        <f t="shared" si="18"/>
        <v>39511.56</v>
      </c>
      <c r="AZ7" s="33">
        <f t="shared" si="19"/>
        <v>12213.440000000002</v>
      </c>
      <c r="BA7" s="17">
        <v>7143200</v>
      </c>
      <c r="BB7" s="89">
        <f t="shared" si="20"/>
        <v>4500</v>
      </c>
      <c r="BC7" s="53">
        <v>3792000</v>
      </c>
      <c r="BD7" s="54">
        <f t="shared" si="21"/>
        <v>300</v>
      </c>
      <c r="BE7" s="17">
        <v>1133316</v>
      </c>
      <c r="BF7" s="33">
        <f t="shared" si="22"/>
        <v>84</v>
      </c>
    </row>
    <row r="8" spans="2:58" s="58" customFormat="1" x14ac:dyDescent="0.25">
      <c r="B8" s="45">
        <v>44585</v>
      </c>
      <c r="C8" s="125">
        <v>47648684</v>
      </c>
      <c r="D8" s="125"/>
      <c r="E8" s="33">
        <f t="shared" si="0"/>
        <v>1071130</v>
      </c>
      <c r="F8" s="125">
        <v>5771687</v>
      </c>
      <c r="G8" s="125"/>
      <c r="H8" s="33">
        <f t="shared" si="1"/>
        <v>64380</v>
      </c>
      <c r="I8" s="125">
        <v>18296</v>
      </c>
      <c r="J8" s="125"/>
      <c r="K8" s="33">
        <f t="shared" si="2"/>
        <v>480</v>
      </c>
      <c r="L8" s="125">
        <v>345901</v>
      </c>
      <c r="M8" s="125"/>
      <c r="N8" s="33">
        <f t="shared" si="3"/>
        <v>750000</v>
      </c>
      <c r="O8" s="125">
        <v>22594</v>
      </c>
      <c r="P8" s="125"/>
      <c r="Q8" s="33">
        <f t="shared" si="4"/>
        <v>34900</v>
      </c>
      <c r="R8" s="29"/>
      <c r="S8" s="121">
        <v>812966</v>
      </c>
      <c r="T8" s="122"/>
      <c r="U8" s="33">
        <f t="shared" si="5"/>
        <v>270300</v>
      </c>
      <c r="V8" s="125">
        <v>895060</v>
      </c>
      <c r="W8" s="125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17">
        <v>121459</v>
      </c>
      <c r="AF8" s="33">
        <f t="shared" si="10"/>
        <v>3330</v>
      </c>
      <c r="AG8" s="17">
        <v>3734808</v>
      </c>
      <c r="AH8" s="33">
        <f t="shared" si="11"/>
        <v>65610</v>
      </c>
      <c r="AI8" s="17">
        <v>4637231</v>
      </c>
      <c r="AJ8" s="33">
        <f t="shared" si="12"/>
        <v>10202</v>
      </c>
      <c r="AK8" s="17">
        <v>26049</v>
      </c>
      <c r="AL8" s="33">
        <f t="shared" si="13"/>
        <v>134000</v>
      </c>
      <c r="AM8" s="17">
        <v>1351</v>
      </c>
      <c r="AN8" s="33">
        <f t="shared" si="14"/>
        <v>20</v>
      </c>
      <c r="AO8" s="17">
        <v>13464</v>
      </c>
      <c r="AP8" s="33">
        <f t="shared" si="15"/>
        <v>2700</v>
      </c>
      <c r="AQ8" s="31"/>
      <c r="AR8" s="57">
        <f t="shared" si="25"/>
        <v>44585</v>
      </c>
      <c r="AS8" s="17">
        <v>4475</v>
      </c>
      <c r="AT8" s="33">
        <f t="shared" si="16"/>
        <v>144</v>
      </c>
      <c r="AU8" s="14"/>
      <c r="AV8" s="17">
        <v>2286500</v>
      </c>
      <c r="AW8" s="33">
        <f t="shared" si="17"/>
        <v>51551</v>
      </c>
      <c r="AX8" s="17">
        <v>666250250</v>
      </c>
      <c r="AY8" s="34">
        <f t="shared" si="18"/>
        <v>40268.42</v>
      </c>
      <c r="AZ8" s="33">
        <f t="shared" si="19"/>
        <v>11282.580000000002</v>
      </c>
      <c r="BA8" s="17">
        <v>7145500</v>
      </c>
      <c r="BB8" s="89">
        <f t="shared" si="20"/>
        <v>2300</v>
      </c>
      <c r="BC8" s="53">
        <v>3792300</v>
      </c>
      <c r="BD8" s="54">
        <f t="shared" si="21"/>
        <v>300</v>
      </c>
      <c r="BE8" s="17">
        <v>1133316</v>
      </c>
      <c r="BF8" s="33">
        <f t="shared" si="22"/>
        <v>0</v>
      </c>
    </row>
    <row r="9" spans="2:58" s="58" customFormat="1" x14ac:dyDescent="0.25">
      <c r="B9" s="45">
        <v>44592</v>
      </c>
      <c r="C9" s="125">
        <v>47742689</v>
      </c>
      <c r="D9" s="125"/>
      <c r="E9" s="33">
        <f t="shared" si="0"/>
        <v>940050</v>
      </c>
      <c r="F9" s="125">
        <v>5772478</v>
      </c>
      <c r="G9" s="125"/>
      <c r="H9" s="33">
        <f t="shared" si="1"/>
        <v>7910</v>
      </c>
      <c r="I9" s="125">
        <v>18310</v>
      </c>
      <c r="J9" s="125"/>
      <c r="K9" s="33">
        <f t="shared" si="2"/>
        <v>140</v>
      </c>
      <c r="L9" s="125">
        <v>346448</v>
      </c>
      <c r="M9" s="125"/>
      <c r="N9" s="33">
        <f t="shared" si="3"/>
        <v>547000</v>
      </c>
      <c r="O9" s="125">
        <v>22960</v>
      </c>
      <c r="P9" s="125"/>
      <c r="Q9" s="33">
        <f t="shared" si="4"/>
        <v>36600</v>
      </c>
      <c r="R9" s="29"/>
      <c r="S9" s="121">
        <v>815475</v>
      </c>
      <c r="T9" s="122"/>
      <c r="U9" s="33">
        <f t="shared" si="5"/>
        <v>250900</v>
      </c>
      <c r="V9" s="125">
        <v>916450</v>
      </c>
      <c r="W9" s="125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17">
        <v>121688</v>
      </c>
      <c r="AF9" s="33">
        <f t="shared" si="10"/>
        <v>2290</v>
      </c>
      <c r="AG9" s="17">
        <v>3739930</v>
      </c>
      <c r="AH9" s="33">
        <f t="shared" si="11"/>
        <v>51220</v>
      </c>
      <c r="AI9" s="17">
        <v>4649110</v>
      </c>
      <c r="AJ9" s="33">
        <f t="shared" si="12"/>
        <v>11879</v>
      </c>
      <c r="AK9" s="17">
        <v>26261</v>
      </c>
      <c r="AL9" s="33">
        <f t="shared" si="13"/>
        <v>212000</v>
      </c>
      <c r="AM9" s="17">
        <v>1377</v>
      </c>
      <c r="AN9" s="33">
        <f t="shared" si="14"/>
        <v>26</v>
      </c>
      <c r="AO9" s="17">
        <v>13495</v>
      </c>
      <c r="AP9" s="33">
        <f t="shared" si="15"/>
        <v>3100</v>
      </c>
      <c r="AQ9" s="31"/>
      <c r="AR9" s="57">
        <f t="shared" si="25"/>
        <v>44592</v>
      </c>
      <c r="AS9" s="17">
        <v>4662</v>
      </c>
      <c r="AT9" s="33">
        <f t="shared" si="16"/>
        <v>187</v>
      </c>
      <c r="AU9" s="14"/>
      <c r="AV9" s="17">
        <v>2338432</v>
      </c>
      <c r="AW9" s="33">
        <f t="shared" si="17"/>
        <v>51932</v>
      </c>
      <c r="AX9" s="17">
        <v>670240809</v>
      </c>
      <c r="AY9" s="34">
        <f t="shared" si="18"/>
        <v>39905.589999999997</v>
      </c>
      <c r="AZ9" s="33">
        <f t="shared" si="19"/>
        <v>12026.410000000003</v>
      </c>
      <c r="BA9" s="17">
        <v>7148700</v>
      </c>
      <c r="BB9" s="89">
        <f t="shared" si="20"/>
        <v>3200</v>
      </c>
      <c r="BC9" s="53">
        <v>3792600</v>
      </c>
      <c r="BD9" s="54">
        <f t="shared" si="21"/>
        <v>300</v>
      </c>
      <c r="BE9" s="17">
        <v>1133474</v>
      </c>
      <c r="BF9" s="33">
        <f t="shared" si="22"/>
        <v>158</v>
      </c>
    </row>
    <row r="10" spans="2:58" s="58" customFormat="1" x14ac:dyDescent="0.25">
      <c r="B10" s="45">
        <v>44599</v>
      </c>
      <c r="C10" s="125">
        <v>47852173</v>
      </c>
      <c r="D10" s="125"/>
      <c r="E10" s="33">
        <f t="shared" si="0"/>
        <v>1094840</v>
      </c>
      <c r="F10" s="125">
        <v>5782056</v>
      </c>
      <c r="G10" s="125"/>
      <c r="H10" s="33">
        <f t="shared" si="1"/>
        <v>95780</v>
      </c>
      <c r="I10" s="125">
        <v>18354</v>
      </c>
      <c r="J10" s="125"/>
      <c r="K10" s="33">
        <f t="shared" si="2"/>
        <v>440</v>
      </c>
      <c r="L10" s="125">
        <v>347178</v>
      </c>
      <c r="M10" s="125"/>
      <c r="N10" s="33">
        <f t="shared" si="3"/>
        <v>730000</v>
      </c>
      <c r="O10" s="125">
        <v>23343</v>
      </c>
      <c r="P10" s="125"/>
      <c r="Q10" s="33">
        <f t="shared" si="4"/>
        <v>38300</v>
      </c>
      <c r="R10" s="29"/>
      <c r="S10" s="121">
        <v>817983</v>
      </c>
      <c r="T10" s="122"/>
      <c r="U10" s="33">
        <f t="shared" si="5"/>
        <v>250800</v>
      </c>
      <c r="V10" s="125">
        <v>932930</v>
      </c>
      <c r="W10" s="125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17">
        <v>122038</v>
      </c>
      <c r="AF10" s="33">
        <f t="shared" si="10"/>
        <v>3500</v>
      </c>
      <c r="AG10" s="17">
        <v>3746365</v>
      </c>
      <c r="AH10" s="33">
        <f t="shared" si="11"/>
        <v>64350</v>
      </c>
      <c r="AI10" s="17">
        <v>4661514</v>
      </c>
      <c r="AJ10" s="33">
        <f t="shared" si="12"/>
        <v>12404</v>
      </c>
      <c r="AK10" s="17">
        <v>26431</v>
      </c>
      <c r="AL10" s="33">
        <f t="shared" si="13"/>
        <v>170000</v>
      </c>
      <c r="AM10" s="17">
        <v>1390</v>
      </c>
      <c r="AN10" s="33">
        <f t="shared" si="14"/>
        <v>13</v>
      </c>
      <c r="AO10" s="17">
        <v>13522</v>
      </c>
      <c r="AP10" s="33">
        <f t="shared" si="15"/>
        <v>2700</v>
      </c>
      <c r="AQ10" s="31"/>
      <c r="AR10" s="57">
        <f t="shared" si="25"/>
        <v>44599</v>
      </c>
      <c r="AS10" s="17">
        <v>4787</v>
      </c>
      <c r="AT10" s="33">
        <f t="shared" si="16"/>
        <v>125</v>
      </c>
      <c r="AU10" s="14"/>
      <c r="AV10" s="17">
        <v>2388520</v>
      </c>
      <c r="AW10" s="33">
        <f t="shared" si="17"/>
        <v>50088</v>
      </c>
      <c r="AX10" s="17">
        <v>674138636</v>
      </c>
      <c r="AY10" s="34">
        <f t="shared" si="18"/>
        <v>38978.269999999997</v>
      </c>
      <c r="AZ10" s="33">
        <f t="shared" si="19"/>
        <v>11109.730000000003</v>
      </c>
      <c r="BA10" s="17">
        <v>7151100</v>
      </c>
      <c r="BB10" s="89">
        <f t="shared" si="20"/>
        <v>2400</v>
      </c>
      <c r="BC10" s="53">
        <v>3793000</v>
      </c>
      <c r="BD10" s="54">
        <f t="shared" si="21"/>
        <v>400</v>
      </c>
      <c r="BE10" s="17">
        <v>1133527</v>
      </c>
      <c r="BF10" s="33">
        <f t="shared" si="22"/>
        <v>53</v>
      </c>
    </row>
    <row r="11" spans="2:58" s="58" customFormat="1" x14ac:dyDescent="0.25">
      <c r="B11" s="45">
        <v>44606</v>
      </c>
      <c r="C11" s="125">
        <v>47958101</v>
      </c>
      <c r="D11" s="125"/>
      <c r="E11" s="33">
        <f t="shared" si="0"/>
        <v>1059280</v>
      </c>
      <c r="F11" s="125">
        <v>5789125</v>
      </c>
      <c r="G11" s="125"/>
      <c r="H11" s="33">
        <f t="shared" si="1"/>
        <v>70690</v>
      </c>
      <c r="I11" s="125">
        <v>18386</v>
      </c>
      <c r="J11" s="125"/>
      <c r="K11" s="33">
        <f t="shared" si="2"/>
        <v>320</v>
      </c>
      <c r="L11" s="125">
        <v>347864</v>
      </c>
      <c r="M11" s="125"/>
      <c r="N11" s="33">
        <f t="shared" si="3"/>
        <v>686000</v>
      </c>
      <c r="O11" s="125">
        <v>23722</v>
      </c>
      <c r="P11" s="125"/>
      <c r="Q11" s="33">
        <f t="shared" si="4"/>
        <v>37900</v>
      </c>
      <c r="R11" s="29"/>
      <c r="S11" s="121">
        <v>820428</v>
      </c>
      <c r="T11" s="122"/>
      <c r="U11" s="33">
        <f t="shared" si="5"/>
        <v>244500</v>
      </c>
      <c r="V11" s="125">
        <v>941330</v>
      </c>
      <c r="W11" s="125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17">
        <v>122657</v>
      </c>
      <c r="AF11" s="33">
        <f t="shared" si="10"/>
        <v>6190</v>
      </c>
      <c r="AG11" s="17">
        <v>3754099</v>
      </c>
      <c r="AH11" s="33">
        <f t="shared" si="11"/>
        <v>77340</v>
      </c>
      <c r="AI11" s="17">
        <v>4673016</v>
      </c>
      <c r="AJ11" s="33">
        <f t="shared" si="12"/>
        <v>11502</v>
      </c>
      <c r="AK11" s="17">
        <v>26612</v>
      </c>
      <c r="AL11" s="33">
        <f t="shared" si="13"/>
        <v>181000</v>
      </c>
      <c r="AM11" s="17">
        <v>1410</v>
      </c>
      <c r="AN11" s="33">
        <f t="shared" si="14"/>
        <v>20</v>
      </c>
      <c r="AO11" s="17">
        <v>13541</v>
      </c>
      <c r="AP11" s="33">
        <f t="shared" si="15"/>
        <v>1900</v>
      </c>
      <c r="AQ11" s="31"/>
      <c r="AR11" s="57">
        <f t="shared" si="25"/>
        <v>44606</v>
      </c>
      <c r="AS11" s="17">
        <v>4931</v>
      </c>
      <c r="AT11" s="33">
        <f t="shared" si="16"/>
        <v>144</v>
      </c>
      <c r="AU11" s="14"/>
      <c r="AV11" s="17">
        <v>2438476</v>
      </c>
      <c r="AW11" s="33">
        <f t="shared" si="17"/>
        <v>49956</v>
      </c>
      <c r="AX11" s="17">
        <v>678105032</v>
      </c>
      <c r="AY11" s="34">
        <f t="shared" si="18"/>
        <v>39663.96</v>
      </c>
      <c r="AZ11" s="33">
        <f t="shared" si="19"/>
        <v>10292.040000000001</v>
      </c>
      <c r="BA11" s="17">
        <v>7154700</v>
      </c>
      <c r="BB11" s="89">
        <f t="shared" si="20"/>
        <v>3600</v>
      </c>
      <c r="BC11" s="53">
        <v>3793300</v>
      </c>
      <c r="BD11" s="54">
        <f t="shared" si="21"/>
        <v>300</v>
      </c>
      <c r="BE11" s="17">
        <v>1133535</v>
      </c>
      <c r="BF11" s="33">
        <f t="shared" si="22"/>
        <v>8</v>
      </c>
    </row>
    <row r="12" spans="2:58" s="58" customFormat="1" x14ac:dyDescent="0.25">
      <c r="B12" s="45">
        <v>44613</v>
      </c>
      <c r="C12" s="125">
        <v>48094151</v>
      </c>
      <c r="D12" s="125"/>
      <c r="E12" s="33">
        <f t="shared" si="0"/>
        <v>1360500</v>
      </c>
      <c r="F12" s="125">
        <v>5800451</v>
      </c>
      <c r="G12" s="125"/>
      <c r="H12" s="33">
        <f t="shared" si="1"/>
        <v>113260</v>
      </c>
      <c r="I12" s="125">
        <v>18417</v>
      </c>
      <c r="J12" s="125"/>
      <c r="K12" s="33">
        <f t="shared" si="2"/>
        <v>310</v>
      </c>
      <c r="L12" s="125">
        <v>348848</v>
      </c>
      <c r="M12" s="125"/>
      <c r="N12" s="33">
        <f t="shared" si="3"/>
        <v>984000</v>
      </c>
      <c r="O12" s="121">
        <v>24008</v>
      </c>
      <c r="P12" s="122"/>
      <c r="Q12" s="33">
        <f t="shared" si="4"/>
        <v>28600</v>
      </c>
      <c r="R12" s="29"/>
      <c r="S12" s="121">
        <v>823082</v>
      </c>
      <c r="T12" s="122"/>
      <c r="U12" s="33">
        <f t="shared" si="5"/>
        <v>265400</v>
      </c>
      <c r="V12" s="125">
        <v>967120</v>
      </c>
      <c r="W12" s="125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17">
        <v>123151</v>
      </c>
      <c r="AF12" s="33">
        <f t="shared" si="10"/>
        <v>4940</v>
      </c>
      <c r="AG12" s="17">
        <v>3762884</v>
      </c>
      <c r="AH12" s="33">
        <f t="shared" si="11"/>
        <v>87850</v>
      </c>
      <c r="AI12" s="17">
        <v>4684322</v>
      </c>
      <c r="AJ12" s="33">
        <f t="shared" si="12"/>
        <v>11306</v>
      </c>
      <c r="AK12" s="17">
        <v>26748</v>
      </c>
      <c r="AL12" s="33">
        <f t="shared" si="13"/>
        <v>136000</v>
      </c>
      <c r="AM12" s="17">
        <v>1423</v>
      </c>
      <c r="AN12" s="33">
        <f t="shared" si="14"/>
        <v>13</v>
      </c>
      <c r="AO12" s="17">
        <v>13569</v>
      </c>
      <c r="AP12" s="33">
        <f t="shared" si="15"/>
        <v>2800</v>
      </c>
      <c r="AQ12" s="31"/>
      <c r="AR12" s="57">
        <f t="shared" si="25"/>
        <v>44613</v>
      </c>
      <c r="AS12" s="17">
        <v>5056</v>
      </c>
      <c r="AT12" s="33">
        <f t="shared" si="16"/>
        <v>125</v>
      </c>
      <c r="AU12" s="14"/>
      <c r="AV12" s="17">
        <v>2491361</v>
      </c>
      <c r="AW12" s="33">
        <f t="shared" si="17"/>
        <v>52885</v>
      </c>
      <c r="AX12" s="17">
        <v>682011196</v>
      </c>
      <c r="AY12" s="34">
        <f t="shared" si="18"/>
        <v>39061.64</v>
      </c>
      <c r="AZ12" s="33">
        <f t="shared" si="19"/>
        <v>13823.36</v>
      </c>
      <c r="BA12" s="17">
        <v>7157800</v>
      </c>
      <c r="BB12" s="89">
        <f t="shared" si="20"/>
        <v>3100</v>
      </c>
      <c r="BC12" s="53">
        <v>3793600</v>
      </c>
      <c r="BD12" s="54">
        <f t="shared" si="21"/>
        <v>300</v>
      </c>
      <c r="BE12" s="17">
        <v>1133568</v>
      </c>
      <c r="BF12" s="33">
        <f t="shared" si="22"/>
        <v>33</v>
      </c>
    </row>
    <row r="13" spans="2:58" s="58" customFormat="1" x14ac:dyDescent="0.25">
      <c r="B13" s="45">
        <v>44620</v>
      </c>
      <c r="C13" s="125">
        <v>48239930</v>
      </c>
      <c r="D13" s="125"/>
      <c r="E13" s="33">
        <f t="shared" si="0"/>
        <v>1457790</v>
      </c>
      <c r="F13" s="125">
        <v>5814733</v>
      </c>
      <c r="G13" s="125"/>
      <c r="H13" s="33">
        <f t="shared" si="1"/>
        <v>142820</v>
      </c>
      <c r="I13" s="125">
        <v>18532</v>
      </c>
      <c r="J13" s="125"/>
      <c r="K13" s="33">
        <f t="shared" si="2"/>
        <v>1150</v>
      </c>
      <c r="L13" s="125">
        <v>349944</v>
      </c>
      <c r="M13" s="125"/>
      <c r="N13" s="33">
        <f t="shared" si="3"/>
        <v>1096000</v>
      </c>
      <c r="O13" s="121">
        <v>24271</v>
      </c>
      <c r="P13" s="122"/>
      <c r="Q13" s="33">
        <f t="shared" si="4"/>
        <v>26300</v>
      </c>
      <c r="R13" s="29"/>
      <c r="S13" s="121">
        <v>825621</v>
      </c>
      <c r="T13" s="122"/>
      <c r="U13" s="33">
        <f t="shared" si="5"/>
        <v>253900</v>
      </c>
      <c r="V13" s="125">
        <v>977388</v>
      </c>
      <c r="W13" s="125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17">
        <v>123546</v>
      </c>
      <c r="AF13" s="33">
        <f t="shared" si="10"/>
        <v>3950</v>
      </c>
      <c r="AG13" s="17">
        <v>3772685</v>
      </c>
      <c r="AH13" s="33">
        <f t="shared" si="11"/>
        <v>98010</v>
      </c>
      <c r="AI13" s="17">
        <v>4697719</v>
      </c>
      <c r="AJ13" s="33">
        <f t="shared" si="12"/>
        <v>13397</v>
      </c>
      <c r="AK13" s="17">
        <v>26860</v>
      </c>
      <c r="AL13" s="33">
        <f t="shared" si="13"/>
        <v>112000</v>
      </c>
      <c r="AM13" s="17">
        <v>1434</v>
      </c>
      <c r="AN13" s="33">
        <f t="shared" si="14"/>
        <v>11</v>
      </c>
      <c r="AO13" s="17">
        <v>13589</v>
      </c>
      <c r="AP13" s="33">
        <f t="shared" si="15"/>
        <v>2000</v>
      </c>
      <c r="AQ13" s="31"/>
      <c r="AR13" s="57">
        <f t="shared" si="25"/>
        <v>44620</v>
      </c>
      <c r="AS13" s="17">
        <v>5176</v>
      </c>
      <c r="AT13" s="33">
        <f t="shared" si="16"/>
        <v>120</v>
      </c>
      <c r="AU13" s="14"/>
      <c r="AV13" s="17">
        <v>2542007</v>
      </c>
      <c r="AW13" s="33">
        <f t="shared" si="17"/>
        <v>50646</v>
      </c>
      <c r="AX13" s="17">
        <v>685908256</v>
      </c>
      <c r="AY13" s="34">
        <f t="shared" si="18"/>
        <v>38970.6</v>
      </c>
      <c r="AZ13" s="33">
        <f t="shared" si="19"/>
        <v>11675.400000000001</v>
      </c>
      <c r="BA13" s="17">
        <v>7159500</v>
      </c>
      <c r="BB13" s="89">
        <f t="shared" si="20"/>
        <v>1700</v>
      </c>
      <c r="BC13" s="53">
        <v>3794100</v>
      </c>
      <c r="BD13" s="54">
        <f t="shared" si="21"/>
        <v>500</v>
      </c>
      <c r="BE13" s="17">
        <v>1133594</v>
      </c>
      <c r="BF13" s="33">
        <f t="shared" si="22"/>
        <v>26</v>
      </c>
    </row>
    <row r="14" spans="2:58" s="72" customFormat="1" x14ac:dyDescent="0.25">
      <c r="B14" s="45">
        <v>44627</v>
      </c>
      <c r="C14" s="125">
        <v>48370220</v>
      </c>
      <c r="D14" s="125"/>
      <c r="E14" s="33">
        <f t="shared" si="0"/>
        <v>1302900</v>
      </c>
      <c r="F14" s="125">
        <v>5828755</v>
      </c>
      <c r="G14" s="125"/>
      <c r="H14" s="33">
        <f t="shared" si="1"/>
        <v>140220</v>
      </c>
      <c r="I14" s="125">
        <v>18558</v>
      </c>
      <c r="J14" s="125"/>
      <c r="K14" s="33">
        <f t="shared" si="2"/>
        <v>260</v>
      </c>
      <c r="L14" s="125">
        <v>350993</v>
      </c>
      <c r="M14" s="125"/>
      <c r="N14" s="33">
        <f t="shared" si="3"/>
        <v>1049000</v>
      </c>
      <c r="O14" s="121">
        <v>24331</v>
      </c>
      <c r="P14" s="122"/>
      <c r="Q14" s="33">
        <f t="shared" si="4"/>
        <v>6000</v>
      </c>
      <c r="R14" s="29"/>
      <c r="S14" s="121">
        <v>828132</v>
      </c>
      <c r="T14" s="122"/>
      <c r="U14" s="33">
        <f t="shared" si="5"/>
        <v>251100</v>
      </c>
      <c r="V14" s="125">
        <v>989770</v>
      </c>
      <c r="W14" s="125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17">
        <v>123875</v>
      </c>
      <c r="AF14" s="33">
        <f t="shared" si="10"/>
        <v>3290</v>
      </c>
      <c r="AG14" s="17">
        <v>3781080</v>
      </c>
      <c r="AH14" s="33">
        <f t="shared" si="11"/>
        <v>83950</v>
      </c>
      <c r="AI14" s="17">
        <v>4711070</v>
      </c>
      <c r="AJ14" s="33">
        <f t="shared" si="12"/>
        <v>13351</v>
      </c>
      <c r="AK14" s="17">
        <v>26946</v>
      </c>
      <c r="AL14" s="33">
        <f t="shared" si="13"/>
        <v>86000</v>
      </c>
      <c r="AM14" s="17">
        <v>1447</v>
      </c>
      <c r="AN14" s="33">
        <f t="shared" si="14"/>
        <v>13</v>
      </c>
      <c r="AO14" s="17">
        <v>13618</v>
      </c>
      <c r="AP14" s="33">
        <f t="shared" si="15"/>
        <v>2900</v>
      </c>
      <c r="AQ14" s="88"/>
      <c r="AR14" s="57">
        <f t="shared" si="25"/>
        <v>44627</v>
      </c>
      <c r="AS14" s="17">
        <v>5283</v>
      </c>
      <c r="AT14" s="33">
        <f t="shared" si="16"/>
        <v>107</v>
      </c>
      <c r="AU14" s="14"/>
      <c r="AV14" s="17">
        <v>2596357</v>
      </c>
      <c r="AW14" s="33">
        <f t="shared" si="17"/>
        <v>54350</v>
      </c>
      <c r="AX14" s="17">
        <v>689783397</v>
      </c>
      <c r="AY14" s="34">
        <f t="shared" si="18"/>
        <v>38751.410000000003</v>
      </c>
      <c r="AZ14" s="33">
        <f t="shared" si="19"/>
        <v>15598.589999999997</v>
      </c>
      <c r="BA14" s="17">
        <v>7162700</v>
      </c>
      <c r="BB14" s="89">
        <f t="shared" si="20"/>
        <v>3200</v>
      </c>
      <c r="BC14" s="53">
        <v>3794950</v>
      </c>
      <c r="BD14" s="54">
        <f t="shared" si="21"/>
        <v>850</v>
      </c>
      <c r="BE14" s="17">
        <v>1133602</v>
      </c>
      <c r="BF14" s="33">
        <f t="shared" si="22"/>
        <v>8</v>
      </c>
    </row>
    <row r="15" spans="2:58" s="58" customFormat="1" x14ac:dyDescent="0.25">
      <c r="B15" s="45">
        <v>44634</v>
      </c>
      <c r="C15" s="125">
        <v>48491861</v>
      </c>
      <c r="D15" s="125"/>
      <c r="E15" s="33">
        <f t="shared" si="0"/>
        <v>1216410</v>
      </c>
      <c r="F15" s="125">
        <v>5833144</v>
      </c>
      <c r="G15" s="125"/>
      <c r="H15" s="33">
        <f t="shared" si="1"/>
        <v>43890</v>
      </c>
      <c r="I15" s="125">
        <v>18582</v>
      </c>
      <c r="J15" s="125"/>
      <c r="K15" s="33">
        <f t="shared" si="2"/>
        <v>240</v>
      </c>
      <c r="L15" s="125">
        <v>351974</v>
      </c>
      <c r="M15" s="125"/>
      <c r="N15" s="33">
        <f t="shared" si="3"/>
        <v>981000</v>
      </c>
      <c r="O15" s="121">
        <v>24899</v>
      </c>
      <c r="P15" s="122"/>
      <c r="Q15" s="33">
        <f t="shared" si="4"/>
        <v>56800</v>
      </c>
      <c r="R15" s="29"/>
      <c r="S15" s="121">
        <v>830742</v>
      </c>
      <c r="T15" s="122"/>
      <c r="U15" s="33">
        <f t="shared" si="5"/>
        <v>261000</v>
      </c>
      <c r="V15" s="125">
        <v>90</v>
      </c>
      <c r="W15" s="125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17">
        <v>124026</v>
      </c>
      <c r="AF15" s="33">
        <f t="shared" si="10"/>
        <v>1510</v>
      </c>
      <c r="AG15" s="17">
        <v>3787191</v>
      </c>
      <c r="AH15" s="33">
        <f t="shared" si="11"/>
        <v>61110</v>
      </c>
      <c r="AI15" s="17">
        <v>4718580</v>
      </c>
      <c r="AJ15" s="33">
        <f t="shared" si="12"/>
        <v>7510</v>
      </c>
      <c r="AK15" s="17">
        <v>26954</v>
      </c>
      <c r="AL15" s="33">
        <f t="shared" si="13"/>
        <v>8000</v>
      </c>
      <c r="AM15" s="17">
        <v>1459</v>
      </c>
      <c r="AN15" s="33">
        <f t="shared" si="14"/>
        <v>12</v>
      </c>
      <c r="AO15" s="17">
        <v>13645</v>
      </c>
      <c r="AP15" s="33">
        <f t="shared" si="15"/>
        <v>2700</v>
      </c>
      <c r="AQ15" s="31"/>
      <c r="AR15" s="57">
        <f t="shared" si="25"/>
        <v>44634</v>
      </c>
      <c r="AS15" s="17">
        <v>5411</v>
      </c>
      <c r="AT15" s="33">
        <f t="shared" si="16"/>
        <v>128</v>
      </c>
      <c r="AU15" s="14"/>
      <c r="AV15" s="17">
        <v>2652013</v>
      </c>
      <c r="AW15" s="33">
        <f t="shared" si="17"/>
        <v>55656</v>
      </c>
      <c r="AX15" s="17">
        <v>694141331</v>
      </c>
      <c r="AY15" s="34">
        <f t="shared" si="18"/>
        <v>43579.34</v>
      </c>
      <c r="AZ15" s="33">
        <f t="shared" si="19"/>
        <v>12076.660000000003</v>
      </c>
      <c r="BA15" s="17">
        <v>7165200</v>
      </c>
      <c r="BB15" s="89">
        <f t="shared" si="20"/>
        <v>2500</v>
      </c>
      <c r="BC15" s="53">
        <v>3794950</v>
      </c>
      <c r="BD15" s="54">
        <f t="shared" si="21"/>
        <v>0</v>
      </c>
      <c r="BE15" s="17">
        <v>1133602</v>
      </c>
      <c r="BF15" s="33">
        <f t="shared" si="22"/>
        <v>0</v>
      </c>
    </row>
    <row r="16" spans="2:58" s="58" customFormat="1" x14ac:dyDescent="0.25">
      <c r="B16" s="45">
        <v>44641</v>
      </c>
      <c r="C16" s="125">
        <v>48624954</v>
      </c>
      <c r="D16" s="125"/>
      <c r="E16" s="33">
        <f t="shared" si="0"/>
        <v>1330930</v>
      </c>
      <c r="F16" s="125">
        <v>5844439</v>
      </c>
      <c r="G16" s="125"/>
      <c r="H16" s="33">
        <f t="shared" si="1"/>
        <v>112950</v>
      </c>
      <c r="I16" s="125">
        <v>18610</v>
      </c>
      <c r="J16" s="125"/>
      <c r="K16" s="33">
        <f t="shared" si="2"/>
        <v>280</v>
      </c>
      <c r="L16" s="125">
        <v>353062</v>
      </c>
      <c r="M16" s="125"/>
      <c r="N16" s="33">
        <f t="shared" si="3"/>
        <v>1088000</v>
      </c>
      <c r="O16" s="121">
        <v>25185</v>
      </c>
      <c r="P16" s="122"/>
      <c r="Q16" s="33">
        <f t="shared" si="4"/>
        <v>28600</v>
      </c>
      <c r="R16" s="29"/>
      <c r="S16" s="121">
        <v>833299</v>
      </c>
      <c r="T16" s="122"/>
      <c r="U16" s="33">
        <f t="shared" si="5"/>
        <v>255700</v>
      </c>
      <c r="V16" s="125">
        <v>1071</v>
      </c>
      <c r="W16" s="125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17">
        <v>124149</v>
      </c>
      <c r="AF16" s="33">
        <f t="shared" si="10"/>
        <v>1230</v>
      </c>
      <c r="AG16" s="17">
        <v>3795711</v>
      </c>
      <c r="AH16" s="33">
        <f t="shared" si="11"/>
        <v>85200</v>
      </c>
      <c r="AI16" s="17">
        <v>4726417</v>
      </c>
      <c r="AJ16" s="33">
        <f t="shared" si="12"/>
        <v>7837</v>
      </c>
      <c r="AK16" s="17">
        <v>27007</v>
      </c>
      <c r="AL16" s="33">
        <f t="shared" si="13"/>
        <v>53000</v>
      </c>
      <c r="AM16" s="17">
        <v>1468</v>
      </c>
      <c r="AN16" s="33">
        <f t="shared" si="14"/>
        <v>9</v>
      </c>
      <c r="AO16" s="17">
        <v>13658</v>
      </c>
      <c r="AP16" s="33">
        <f t="shared" si="15"/>
        <v>1300</v>
      </c>
      <c r="AQ16" s="31"/>
      <c r="AR16" s="57">
        <f t="shared" si="25"/>
        <v>44641</v>
      </c>
      <c r="AS16" s="17">
        <v>5510</v>
      </c>
      <c r="AT16" s="33">
        <f t="shared" si="16"/>
        <v>99</v>
      </c>
      <c r="AU16" s="14"/>
      <c r="AV16" s="17">
        <v>2697562</v>
      </c>
      <c r="AW16" s="33">
        <f t="shared" si="17"/>
        <v>45549</v>
      </c>
      <c r="AX16" s="17">
        <v>697511469</v>
      </c>
      <c r="AY16" s="34">
        <f t="shared" si="18"/>
        <v>33701.379999999997</v>
      </c>
      <c r="AZ16" s="33">
        <f t="shared" si="19"/>
        <v>11847.620000000003</v>
      </c>
      <c r="BA16" s="17">
        <v>7167100</v>
      </c>
      <c r="BB16" s="89">
        <f t="shared" si="20"/>
        <v>1900</v>
      </c>
      <c r="BC16" s="53">
        <v>3795200</v>
      </c>
      <c r="BD16" s="54">
        <f t="shared" si="21"/>
        <v>250</v>
      </c>
      <c r="BE16" s="17">
        <v>1133602</v>
      </c>
      <c r="BF16" s="33">
        <f t="shared" si="22"/>
        <v>0</v>
      </c>
    </row>
    <row r="17" spans="2:58" s="58" customFormat="1" x14ac:dyDescent="0.25">
      <c r="B17" s="45">
        <v>44648</v>
      </c>
      <c r="C17" s="125">
        <v>48755342</v>
      </c>
      <c r="D17" s="125"/>
      <c r="E17" s="33">
        <f t="shared" si="0"/>
        <v>1303880</v>
      </c>
      <c r="F17" s="125">
        <v>5853332</v>
      </c>
      <c r="G17" s="125"/>
      <c r="H17" s="33">
        <f t="shared" si="1"/>
        <v>88930</v>
      </c>
      <c r="I17" s="125">
        <v>18632</v>
      </c>
      <c r="J17" s="125"/>
      <c r="K17" s="33">
        <f t="shared" si="2"/>
        <v>220</v>
      </c>
      <c r="L17" s="125">
        <v>354090</v>
      </c>
      <c r="M17" s="125"/>
      <c r="N17" s="33">
        <f t="shared" si="3"/>
        <v>1028000</v>
      </c>
      <c r="O17" s="121">
        <v>25487</v>
      </c>
      <c r="P17" s="122"/>
      <c r="Q17" s="33">
        <f t="shared" si="4"/>
        <v>30200</v>
      </c>
      <c r="R17" s="29"/>
      <c r="S17" s="121">
        <v>835892</v>
      </c>
      <c r="T17" s="122"/>
      <c r="U17" s="33">
        <f t="shared" si="5"/>
        <v>259300</v>
      </c>
      <c r="V17" s="125">
        <v>2224</v>
      </c>
      <c r="W17" s="125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17">
        <v>124596</v>
      </c>
      <c r="AF17" s="33">
        <f t="shared" si="10"/>
        <v>4470</v>
      </c>
      <c r="AG17" s="17">
        <v>3805365</v>
      </c>
      <c r="AH17" s="33">
        <f t="shared" si="11"/>
        <v>96540</v>
      </c>
      <c r="AI17" s="17">
        <v>4739445</v>
      </c>
      <c r="AJ17" s="33">
        <f t="shared" si="12"/>
        <v>13028</v>
      </c>
      <c r="AK17" s="17">
        <v>27066</v>
      </c>
      <c r="AL17" s="33">
        <f t="shared" si="13"/>
        <v>59000</v>
      </c>
      <c r="AM17" s="17">
        <v>1482</v>
      </c>
      <c r="AN17" s="33">
        <f t="shared" si="14"/>
        <v>14</v>
      </c>
      <c r="AO17" s="17">
        <v>13684</v>
      </c>
      <c r="AP17" s="33">
        <f t="shared" si="15"/>
        <v>2600</v>
      </c>
      <c r="AQ17" s="31"/>
      <c r="AR17" s="57">
        <f t="shared" si="25"/>
        <v>44648</v>
      </c>
      <c r="AS17" s="17">
        <v>5619</v>
      </c>
      <c r="AT17" s="33">
        <f t="shared" si="16"/>
        <v>109</v>
      </c>
      <c r="AU17" s="14"/>
      <c r="AV17" s="17">
        <v>2749878</v>
      </c>
      <c r="AW17" s="33">
        <f t="shared" si="17"/>
        <v>52316</v>
      </c>
      <c r="AX17" s="17">
        <v>701421714</v>
      </c>
      <c r="AY17" s="34">
        <f t="shared" si="18"/>
        <v>39102.449999999997</v>
      </c>
      <c r="AZ17" s="33">
        <f t="shared" si="19"/>
        <v>13213.550000000003</v>
      </c>
      <c r="BA17" s="17">
        <v>7171800</v>
      </c>
      <c r="BB17" s="89">
        <f t="shared" si="20"/>
        <v>4700</v>
      </c>
      <c r="BC17" s="53">
        <v>3795500</v>
      </c>
      <c r="BD17" s="54">
        <f t="shared" si="21"/>
        <v>300</v>
      </c>
      <c r="BE17" s="17">
        <v>1133603</v>
      </c>
      <c r="BF17" s="33">
        <f t="shared" si="22"/>
        <v>1</v>
      </c>
    </row>
    <row r="18" spans="2:58" s="58" customFormat="1" x14ac:dyDescent="0.25">
      <c r="B18" s="45">
        <v>44651</v>
      </c>
      <c r="C18" s="125">
        <v>48840516</v>
      </c>
      <c r="D18" s="125"/>
      <c r="E18" s="33">
        <f t="shared" si="0"/>
        <v>851740</v>
      </c>
      <c r="F18" s="125">
        <v>5859771</v>
      </c>
      <c r="G18" s="125"/>
      <c r="H18" s="33">
        <f t="shared" si="1"/>
        <v>64390</v>
      </c>
      <c r="I18" s="125">
        <v>18656</v>
      </c>
      <c r="J18" s="125"/>
      <c r="K18" s="33">
        <f t="shared" si="2"/>
        <v>240</v>
      </c>
      <c r="L18" s="125">
        <v>354733</v>
      </c>
      <c r="M18" s="125"/>
      <c r="N18" s="33">
        <f t="shared" si="3"/>
        <v>643000</v>
      </c>
      <c r="O18" s="121">
        <v>25689</v>
      </c>
      <c r="P18" s="122"/>
      <c r="Q18" s="33">
        <f t="shared" si="4"/>
        <v>20200</v>
      </c>
      <c r="R18" s="29"/>
      <c r="S18" s="121">
        <v>837470</v>
      </c>
      <c r="T18" s="122"/>
      <c r="U18" s="33">
        <f t="shared" si="5"/>
        <v>157800</v>
      </c>
      <c r="V18" s="125">
        <v>2846</v>
      </c>
      <c r="W18" s="125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17">
        <v>124923</v>
      </c>
      <c r="AF18" s="33">
        <f t="shared" si="10"/>
        <v>3270</v>
      </c>
      <c r="AG18" s="17">
        <v>3812934</v>
      </c>
      <c r="AH18" s="33">
        <f t="shared" si="11"/>
        <v>75690</v>
      </c>
      <c r="AI18" s="17">
        <v>4751604</v>
      </c>
      <c r="AJ18" s="33">
        <f t="shared" si="12"/>
        <v>12159</v>
      </c>
      <c r="AK18" s="17">
        <v>27119</v>
      </c>
      <c r="AL18" s="33">
        <f t="shared" si="13"/>
        <v>53000</v>
      </c>
      <c r="AM18" s="17">
        <v>1490</v>
      </c>
      <c r="AN18" s="33">
        <f t="shared" si="14"/>
        <v>8</v>
      </c>
      <c r="AO18" s="17">
        <v>13699</v>
      </c>
      <c r="AP18" s="33">
        <f t="shared" si="15"/>
        <v>1500</v>
      </c>
      <c r="AQ18" s="31"/>
      <c r="AR18" s="57">
        <f t="shared" si="25"/>
        <v>44651</v>
      </c>
      <c r="AS18" s="17">
        <v>5671</v>
      </c>
      <c r="AT18" s="33">
        <f t="shared" si="16"/>
        <v>52</v>
      </c>
      <c r="AU18" s="14"/>
      <c r="AV18" s="17">
        <v>2778133</v>
      </c>
      <c r="AW18" s="33">
        <f t="shared" si="17"/>
        <v>28255</v>
      </c>
      <c r="AX18" s="17">
        <v>702580699</v>
      </c>
      <c r="AY18" s="34">
        <f t="shared" si="18"/>
        <v>11589.85</v>
      </c>
      <c r="AZ18" s="33">
        <f t="shared" si="19"/>
        <v>16665.150000000001</v>
      </c>
      <c r="BA18" s="17">
        <v>7173100</v>
      </c>
      <c r="BB18" s="89">
        <f t="shared" si="20"/>
        <v>1300</v>
      </c>
      <c r="BC18" s="53">
        <v>3795800</v>
      </c>
      <c r="BD18" s="54">
        <f t="shared" si="21"/>
        <v>300</v>
      </c>
      <c r="BE18" s="17">
        <v>1133605</v>
      </c>
      <c r="BF18" s="33">
        <f t="shared" si="22"/>
        <v>2</v>
      </c>
    </row>
    <row r="19" spans="2:58" s="58" customFormat="1" x14ac:dyDescent="0.25">
      <c r="B19" s="45">
        <v>44655</v>
      </c>
      <c r="C19" s="125">
        <v>48885087</v>
      </c>
      <c r="D19" s="125"/>
      <c r="E19" s="33">
        <f t="shared" si="0"/>
        <v>445710</v>
      </c>
      <c r="F19" s="125">
        <v>5859771</v>
      </c>
      <c r="G19" s="125"/>
      <c r="H19" s="33">
        <f t="shared" si="1"/>
        <v>0</v>
      </c>
      <c r="I19" s="125">
        <v>18661</v>
      </c>
      <c r="J19" s="125"/>
      <c r="K19" s="33">
        <f t="shared" si="2"/>
        <v>50</v>
      </c>
      <c r="L19" s="125">
        <v>355117</v>
      </c>
      <c r="M19" s="125"/>
      <c r="N19" s="33">
        <f t="shared" si="3"/>
        <v>384000</v>
      </c>
      <c r="O19" s="121">
        <v>25806</v>
      </c>
      <c r="P19" s="122"/>
      <c r="Q19" s="33">
        <f t="shared" si="4"/>
        <v>11700</v>
      </c>
      <c r="R19" s="29"/>
      <c r="S19" s="121">
        <v>838450</v>
      </c>
      <c r="T19" s="122"/>
      <c r="U19" s="33">
        <f t="shared" si="5"/>
        <v>98000</v>
      </c>
      <c r="V19" s="125">
        <v>3156</v>
      </c>
      <c r="W19" s="125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17">
        <v>124953</v>
      </c>
      <c r="AF19" s="33">
        <f t="shared" si="10"/>
        <v>300</v>
      </c>
      <c r="AG19" s="17">
        <v>3814469</v>
      </c>
      <c r="AH19" s="33">
        <f t="shared" si="11"/>
        <v>15350</v>
      </c>
      <c r="AI19" s="17">
        <v>4751604</v>
      </c>
      <c r="AJ19" s="33">
        <f t="shared" si="12"/>
        <v>0</v>
      </c>
      <c r="AK19" s="17">
        <v>27135</v>
      </c>
      <c r="AL19" s="33">
        <f t="shared" si="13"/>
        <v>16000</v>
      </c>
      <c r="AM19" s="17">
        <v>1495</v>
      </c>
      <c r="AN19" s="33">
        <f t="shared" si="14"/>
        <v>5</v>
      </c>
      <c r="AO19" s="17">
        <v>13706</v>
      </c>
      <c r="AP19" s="33">
        <f t="shared" si="15"/>
        <v>700</v>
      </c>
      <c r="AQ19" s="31"/>
      <c r="AR19" s="57">
        <f t="shared" si="25"/>
        <v>44655</v>
      </c>
      <c r="AS19" s="17">
        <v>5721</v>
      </c>
      <c r="AT19" s="33">
        <f t="shared" si="16"/>
        <v>50</v>
      </c>
      <c r="AU19" s="14"/>
      <c r="AV19" s="17">
        <v>2800029</v>
      </c>
      <c r="AW19" s="33">
        <f t="shared" si="17"/>
        <v>21896</v>
      </c>
      <c r="AX19" s="17">
        <v>705281767</v>
      </c>
      <c r="AY19" s="34">
        <f t="shared" si="18"/>
        <v>27010.68</v>
      </c>
      <c r="AZ19" s="33">
        <f t="shared" si="19"/>
        <v>-5114.68</v>
      </c>
      <c r="BA19" s="17">
        <v>7174300</v>
      </c>
      <c r="BB19" s="89">
        <f t="shared" si="20"/>
        <v>1200</v>
      </c>
      <c r="BC19" s="53">
        <v>3795900</v>
      </c>
      <c r="BD19" s="54">
        <f t="shared" si="21"/>
        <v>100</v>
      </c>
      <c r="BE19" s="17">
        <v>1133605</v>
      </c>
      <c r="BF19" s="33">
        <f t="shared" si="22"/>
        <v>0</v>
      </c>
    </row>
    <row r="20" spans="2:58" s="58" customFormat="1" x14ac:dyDescent="0.25">
      <c r="B20" s="45">
        <v>44662</v>
      </c>
      <c r="C20" s="125">
        <v>49013641</v>
      </c>
      <c r="D20" s="125"/>
      <c r="E20" s="33">
        <f t="shared" si="0"/>
        <v>1285540</v>
      </c>
      <c r="F20" s="125">
        <v>5867918</v>
      </c>
      <c r="G20" s="125"/>
      <c r="H20" s="33">
        <f t="shared" si="1"/>
        <v>81470</v>
      </c>
      <c r="I20" s="125">
        <v>18685</v>
      </c>
      <c r="J20" s="125"/>
      <c r="K20" s="33">
        <f t="shared" si="2"/>
        <v>240</v>
      </c>
      <c r="L20" s="125">
        <v>356102</v>
      </c>
      <c r="M20" s="125"/>
      <c r="N20" s="33">
        <f t="shared" si="3"/>
        <v>985000</v>
      </c>
      <c r="O20" s="121">
        <v>26102</v>
      </c>
      <c r="P20" s="122"/>
      <c r="Q20" s="33">
        <f t="shared" si="4"/>
        <v>29600</v>
      </c>
      <c r="R20" s="29"/>
      <c r="S20" s="121">
        <v>840781</v>
      </c>
      <c r="T20" s="122"/>
      <c r="U20" s="33">
        <f t="shared" si="5"/>
        <v>233100</v>
      </c>
      <c r="V20" s="125">
        <v>4234</v>
      </c>
      <c r="W20" s="125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17">
        <v>125254</v>
      </c>
      <c r="AF20" s="33">
        <f t="shared" si="10"/>
        <v>3010</v>
      </c>
      <c r="AG20" s="17">
        <v>3822890</v>
      </c>
      <c r="AH20" s="33">
        <f t="shared" si="11"/>
        <v>84210</v>
      </c>
      <c r="AI20" s="17">
        <v>4765671</v>
      </c>
      <c r="AJ20" s="33">
        <f t="shared" si="12"/>
        <v>14067</v>
      </c>
      <c r="AK20" s="17">
        <v>27218</v>
      </c>
      <c r="AL20" s="33">
        <f t="shared" si="13"/>
        <v>83000</v>
      </c>
      <c r="AM20" s="17">
        <v>1509</v>
      </c>
      <c r="AN20" s="33">
        <f t="shared" si="14"/>
        <v>14</v>
      </c>
      <c r="AO20" s="17">
        <v>13729</v>
      </c>
      <c r="AP20" s="33">
        <f t="shared" si="15"/>
        <v>2300</v>
      </c>
      <c r="AQ20" s="31"/>
      <c r="AR20" s="57">
        <f t="shared" si="25"/>
        <v>44662</v>
      </c>
      <c r="AS20" s="17">
        <v>5828</v>
      </c>
      <c r="AT20" s="33">
        <f t="shared" si="16"/>
        <v>107</v>
      </c>
      <c r="AU20" s="14"/>
      <c r="AV20" s="17">
        <v>2852906</v>
      </c>
      <c r="AW20" s="33">
        <f t="shared" si="17"/>
        <v>52877</v>
      </c>
      <c r="AX20" s="17">
        <v>709254196</v>
      </c>
      <c r="AY20" s="34">
        <f t="shared" si="18"/>
        <v>39724.29</v>
      </c>
      <c r="AZ20" s="33">
        <f t="shared" si="19"/>
        <v>13152.71</v>
      </c>
      <c r="BA20" s="17">
        <v>7176800</v>
      </c>
      <c r="BB20" s="89">
        <f t="shared" si="20"/>
        <v>2500</v>
      </c>
      <c r="BC20" s="53">
        <v>3796300</v>
      </c>
      <c r="BD20" s="54">
        <f t="shared" si="21"/>
        <v>400</v>
      </c>
      <c r="BE20" s="17">
        <v>1133605</v>
      </c>
      <c r="BF20" s="33">
        <f t="shared" si="22"/>
        <v>0</v>
      </c>
    </row>
    <row r="21" spans="2:58" s="58" customFormat="1" x14ac:dyDescent="0.25">
      <c r="B21" s="45">
        <v>44669</v>
      </c>
      <c r="C21" s="126"/>
      <c r="D21" s="127"/>
      <c r="E21" s="33">
        <f t="shared" si="0"/>
        <v>-490136410</v>
      </c>
      <c r="F21" s="126"/>
      <c r="G21" s="127"/>
      <c r="H21" s="33">
        <f t="shared" si="1"/>
        <v>-58679180</v>
      </c>
      <c r="I21" s="126"/>
      <c r="J21" s="127"/>
      <c r="K21" s="33">
        <f t="shared" si="2"/>
        <v>-186850</v>
      </c>
      <c r="L21" s="126"/>
      <c r="M21" s="127"/>
      <c r="N21" s="33">
        <f t="shared" si="3"/>
        <v>-356102000</v>
      </c>
      <c r="O21" s="126"/>
      <c r="P21" s="127"/>
      <c r="Q21" s="33">
        <f t="shared" si="4"/>
        <v>-2610200</v>
      </c>
      <c r="R21" s="29"/>
      <c r="S21" s="126"/>
      <c r="T21" s="127"/>
      <c r="U21" s="33">
        <f t="shared" si="5"/>
        <v>-84078100</v>
      </c>
      <c r="V21" s="126"/>
      <c r="W21" s="127"/>
      <c r="X21" s="33">
        <f t="shared" si="23"/>
        <v>-423400</v>
      </c>
      <c r="Y21" s="32">
        <f t="shared" si="24"/>
        <v>-84501500</v>
      </c>
      <c r="Z21" s="30"/>
      <c r="AA21" s="59"/>
      <c r="AB21" s="61"/>
      <c r="AC21" s="59"/>
      <c r="AD21" s="61"/>
      <c r="AE21" s="59"/>
      <c r="AF21" s="61"/>
      <c r="AG21" s="59"/>
      <c r="AH21" s="61"/>
      <c r="AI21" s="59"/>
      <c r="AJ21" s="61"/>
      <c r="AK21" s="59"/>
      <c r="AL21" s="61"/>
      <c r="AM21" s="59"/>
      <c r="AN21" s="61"/>
      <c r="AO21" s="59"/>
      <c r="AP21" s="61"/>
      <c r="AQ21" s="31"/>
      <c r="AR21" s="57">
        <f t="shared" si="25"/>
        <v>44669</v>
      </c>
      <c r="AS21" s="59"/>
      <c r="AT21" s="61"/>
      <c r="AU21" s="62"/>
      <c r="AV21" s="59"/>
      <c r="AW21" s="61"/>
      <c r="AX21" s="59"/>
      <c r="AY21" s="61"/>
      <c r="AZ21" s="61"/>
      <c r="BA21" s="59"/>
      <c r="BB21" s="63"/>
      <c r="BC21" s="60"/>
      <c r="BD21" s="64"/>
      <c r="BE21" s="59"/>
      <c r="BF21" s="61"/>
    </row>
    <row r="22" spans="2:58" s="58" customFormat="1" x14ac:dyDescent="0.25">
      <c r="B22" s="45">
        <v>44676</v>
      </c>
      <c r="C22" s="126"/>
      <c r="D22" s="127"/>
      <c r="E22" s="33">
        <f t="shared" si="0"/>
        <v>0</v>
      </c>
      <c r="F22" s="126"/>
      <c r="G22" s="127"/>
      <c r="H22" s="33">
        <f t="shared" si="1"/>
        <v>0</v>
      </c>
      <c r="I22" s="126"/>
      <c r="J22" s="127"/>
      <c r="K22" s="33">
        <f t="shared" si="2"/>
        <v>0</v>
      </c>
      <c r="L22" s="126"/>
      <c r="M22" s="127"/>
      <c r="N22" s="33">
        <f t="shared" si="3"/>
        <v>0</v>
      </c>
      <c r="O22" s="126"/>
      <c r="P22" s="127"/>
      <c r="Q22" s="33">
        <f t="shared" si="4"/>
        <v>0</v>
      </c>
      <c r="R22" s="29"/>
      <c r="S22" s="126"/>
      <c r="T22" s="127"/>
      <c r="U22" s="33">
        <f t="shared" si="5"/>
        <v>0</v>
      </c>
      <c r="V22" s="126"/>
      <c r="W22" s="127"/>
      <c r="X22" s="33">
        <f t="shared" si="23"/>
        <v>0</v>
      </c>
      <c r="Y22" s="32">
        <f t="shared" si="24"/>
        <v>0</v>
      </c>
      <c r="Z22" s="30"/>
      <c r="AA22" s="59"/>
      <c r="AB22" s="61"/>
      <c r="AC22" s="59"/>
      <c r="AD22" s="61"/>
      <c r="AE22" s="59"/>
      <c r="AF22" s="61"/>
      <c r="AG22" s="59"/>
      <c r="AH22" s="61"/>
      <c r="AI22" s="59"/>
      <c r="AJ22" s="61"/>
      <c r="AK22" s="59"/>
      <c r="AL22" s="61"/>
      <c r="AM22" s="59"/>
      <c r="AN22" s="61"/>
      <c r="AO22" s="59"/>
      <c r="AP22" s="61"/>
      <c r="AQ22" s="31"/>
      <c r="AR22" s="57">
        <f t="shared" si="25"/>
        <v>44676</v>
      </c>
      <c r="AS22" s="59"/>
      <c r="AT22" s="61"/>
      <c r="AU22" s="62"/>
      <c r="AV22" s="59"/>
      <c r="AW22" s="61"/>
      <c r="AX22" s="59"/>
      <c r="AY22" s="61"/>
      <c r="AZ22" s="61"/>
      <c r="BA22" s="59"/>
      <c r="BB22" s="63"/>
      <c r="BC22" s="60"/>
      <c r="BD22" s="64"/>
      <c r="BE22" s="59"/>
      <c r="BF22" s="61"/>
    </row>
    <row r="23" spans="2:58" s="58" customFormat="1" x14ac:dyDescent="0.25">
      <c r="B23" s="45">
        <v>44681</v>
      </c>
      <c r="C23" s="126"/>
      <c r="D23" s="127"/>
      <c r="E23" s="33">
        <f t="shared" si="0"/>
        <v>0</v>
      </c>
      <c r="F23" s="126"/>
      <c r="G23" s="127"/>
      <c r="H23" s="33">
        <f t="shared" si="1"/>
        <v>0</v>
      </c>
      <c r="I23" s="126"/>
      <c r="J23" s="127"/>
      <c r="K23" s="33">
        <f t="shared" si="2"/>
        <v>0</v>
      </c>
      <c r="L23" s="126"/>
      <c r="M23" s="127"/>
      <c r="N23" s="33">
        <f t="shared" si="3"/>
        <v>0</v>
      </c>
      <c r="O23" s="126"/>
      <c r="P23" s="127"/>
      <c r="Q23" s="33">
        <f t="shared" si="4"/>
        <v>0</v>
      </c>
      <c r="R23" s="29"/>
      <c r="S23" s="126"/>
      <c r="T23" s="127"/>
      <c r="U23" s="33">
        <f t="shared" si="5"/>
        <v>0</v>
      </c>
      <c r="V23" s="126"/>
      <c r="W23" s="127"/>
      <c r="X23" s="33">
        <f t="shared" si="23"/>
        <v>0</v>
      </c>
      <c r="Y23" s="32">
        <f t="shared" si="24"/>
        <v>0</v>
      </c>
      <c r="Z23" s="30"/>
      <c r="AA23" s="59"/>
      <c r="AB23" s="61"/>
      <c r="AC23" s="59"/>
      <c r="AD23" s="61"/>
      <c r="AE23" s="59"/>
      <c r="AF23" s="61"/>
      <c r="AG23" s="59"/>
      <c r="AH23" s="61"/>
      <c r="AI23" s="59"/>
      <c r="AJ23" s="61"/>
      <c r="AK23" s="59"/>
      <c r="AL23" s="61"/>
      <c r="AM23" s="59"/>
      <c r="AN23" s="61"/>
      <c r="AO23" s="59"/>
      <c r="AP23" s="61"/>
      <c r="AQ23" s="31"/>
      <c r="AR23" s="57">
        <f t="shared" si="25"/>
        <v>44681</v>
      </c>
      <c r="AS23" s="59"/>
      <c r="AT23" s="61"/>
      <c r="AU23" s="62"/>
      <c r="AV23" s="59"/>
      <c r="AW23" s="61"/>
      <c r="AX23" s="59"/>
      <c r="AY23" s="61"/>
      <c r="AZ23" s="61"/>
      <c r="BA23" s="59"/>
      <c r="BB23" s="63"/>
      <c r="BC23" s="60"/>
      <c r="BD23" s="64"/>
      <c r="BE23" s="59"/>
      <c r="BF23" s="61"/>
    </row>
    <row r="24" spans="2:58" s="58" customFormat="1" x14ac:dyDescent="0.25">
      <c r="B24" s="45">
        <v>44683</v>
      </c>
      <c r="C24" s="126"/>
      <c r="D24" s="127"/>
      <c r="E24" s="33">
        <f t="shared" si="0"/>
        <v>0</v>
      </c>
      <c r="F24" s="126"/>
      <c r="G24" s="127"/>
      <c r="H24" s="33">
        <f t="shared" si="1"/>
        <v>0</v>
      </c>
      <c r="I24" s="126"/>
      <c r="J24" s="127"/>
      <c r="K24" s="33">
        <f t="shared" si="2"/>
        <v>0</v>
      </c>
      <c r="L24" s="126"/>
      <c r="M24" s="127"/>
      <c r="N24" s="33">
        <f t="shared" si="3"/>
        <v>0</v>
      </c>
      <c r="O24" s="126"/>
      <c r="P24" s="127"/>
      <c r="Q24" s="33">
        <f t="shared" si="4"/>
        <v>0</v>
      </c>
      <c r="R24" s="29"/>
      <c r="S24" s="126"/>
      <c r="T24" s="127"/>
      <c r="U24" s="33">
        <f t="shared" si="5"/>
        <v>0</v>
      </c>
      <c r="V24" s="126"/>
      <c r="W24" s="127"/>
      <c r="X24" s="33">
        <f t="shared" si="23"/>
        <v>0</v>
      </c>
      <c r="Y24" s="32">
        <f t="shared" si="24"/>
        <v>0</v>
      </c>
      <c r="Z24" s="30"/>
      <c r="AA24" s="59"/>
      <c r="AB24" s="61"/>
      <c r="AC24" s="59"/>
      <c r="AD24" s="61"/>
      <c r="AE24" s="59"/>
      <c r="AF24" s="61"/>
      <c r="AG24" s="59"/>
      <c r="AH24" s="61"/>
      <c r="AI24" s="59"/>
      <c r="AJ24" s="61"/>
      <c r="AK24" s="59"/>
      <c r="AL24" s="61"/>
      <c r="AM24" s="59"/>
      <c r="AN24" s="61"/>
      <c r="AO24" s="59"/>
      <c r="AP24" s="61"/>
      <c r="AQ24" s="31"/>
      <c r="AR24" s="57">
        <f t="shared" si="25"/>
        <v>44683</v>
      </c>
      <c r="AS24" s="59"/>
      <c r="AT24" s="61"/>
      <c r="AU24" s="62"/>
      <c r="AV24" s="59"/>
      <c r="AW24" s="61"/>
      <c r="AX24" s="59"/>
      <c r="AY24" s="61"/>
      <c r="AZ24" s="61"/>
      <c r="BA24" s="59"/>
      <c r="BB24" s="63"/>
      <c r="BC24" s="60"/>
      <c r="BD24" s="64"/>
      <c r="BE24" s="59"/>
      <c r="BF24" s="61"/>
    </row>
    <row r="25" spans="2:58" s="58" customFormat="1" x14ac:dyDescent="0.25">
      <c r="B25" s="45">
        <v>44690</v>
      </c>
      <c r="C25" s="126"/>
      <c r="D25" s="127"/>
      <c r="E25" s="33">
        <f t="shared" si="0"/>
        <v>0</v>
      </c>
      <c r="F25" s="126"/>
      <c r="G25" s="127"/>
      <c r="H25" s="33">
        <f t="shared" si="1"/>
        <v>0</v>
      </c>
      <c r="I25" s="126"/>
      <c r="J25" s="127"/>
      <c r="K25" s="33">
        <f t="shared" si="2"/>
        <v>0</v>
      </c>
      <c r="L25" s="126"/>
      <c r="M25" s="127"/>
      <c r="N25" s="33">
        <f t="shared" si="3"/>
        <v>0</v>
      </c>
      <c r="O25" s="126"/>
      <c r="P25" s="127"/>
      <c r="Q25" s="33">
        <f t="shared" si="4"/>
        <v>0</v>
      </c>
      <c r="R25" s="29"/>
      <c r="S25" s="126"/>
      <c r="T25" s="127"/>
      <c r="U25" s="33">
        <f t="shared" si="5"/>
        <v>0</v>
      </c>
      <c r="V25" s="126"/>
      <c r="W25" s="127"/>
      <c r="X25" s="33">
        <f t="shared" si="23"/>
        <v>0</v>
      </c>
      <c r="Y25" s="32">
        <f t="shared" si="24"/>
        <v>0</v>
      </c>
      <c r="Z25" s="30"/>
      <c r="AA25" s="59"/>
      <c r="AB25" s="61"/>
      <c r="AC25" s="59"/>
      <c r="AD25" s="61"/>
      <c r="AE25" s="59"/>
      <c r="AF25" s="61"/>
      <c r="AG25" s="59"/>
      <c r="AH25" s="61"/>
      <c r="AI25" s="59"/>
      <c r="AJ25" s="61"/>
      <c r="AK25" s="59"/>
      <c r="AL25" s="61"/>
      <c r="AM25" s="59"/>
      <c r="AN25" s="61"/>
      <c r="AO25" s="59"/>
      <c r="AP25" s="61"/>
      <c r="AQ25" s="31"/>
      <c r="AR25" s="57">
        <f t="shared" si="25"/>
        <v>44690</v>
      </c>
      <c r="AS25" s="59"/>
      <c r="AT25" s="61"/>
      <c r="AU25" s="62"/>
      <c r="AV25" s="59"/>
      <c r="AW25" s="61"/>
      <c r="AX25" s="59"/>
      <c r="AY25" s="61"/>
      <c r="AZ25" s="61"/>
      <c r="BA25" s="59"/>
      <c r="BB25" s="63"/>
      <c r="BC25" s="60"/>
      <c r="BD25" s="64"/>
      <c r="BE25" s="59"/>
      <c r="BF25" s="61"/>
    </row>
    <row r="26" spans="2:58" s="58" customFormat="1" x14ac:dyDescent="0.25">
      <c r="B26" s="45">
        <v>44697</v>
      </c>
      <c r="C26" s="126"/>
      <c r="D26" s="127"/>
      <c r="E26" s="33">
        <f t="shared" si="0"/>
        <v>0</v>
      </c>
      <c r="F26" s="126"/>
      <c r="G26" s="127"/>
      <c r="H26" s="33">
        <f t="shared" si="1"/>
        <v>0</v>
      </c>
      <c r="I26" s="126"/>
      <c r="J26" s="127"/>
      <c r="K26" s="33">
        <f t="shared" si="2"/>
        <v>0</v>
      </c>
      <c r="L26" s="126"/>
      <c r="M26" s="127"/>
      <c r="N26" s="33">
        <f t="shared" si="3"/>
        <v>0</v>
      </c>
      <c r="O26" s="126"/>
      <c r="P26" s="127"/>
      <c r="Q26" s="33">
        <f t="shared" si="4"/>
        <v>0</v>
      </c>
      <c r="R26" s="29"/>
      <c r="S26" s="126"/>
      <c r="T26" s="127"/>
      <c r="U26" s="33">
        <f t="shared" si="5"/>
        <v>0</v>
      </c>
      <c r="V26" s="126"/>
      <c r="W26" s="127"/>
      <c r="X26" s="33">
        <f t="shared" si="23"/>
        <v>0</v>
      </c>
      <c r="Y26" s="32">
        <f t="shared" si="24"/>
        <v>0</v>
      </c>
      <c r="Z26" s="30"/>
      <c r="AA26" s="59"/>
      <c r="AB26" s="61"/>
      <c r="AC26" s="59"/>
      <c r="AD26" s="61"/>
      <c r="AE26" s="59"/>
      <c r="AF26" s="61"/>
      <c r="AG26" s="59"/>
      <c r="AH26" s="61"/>
      <c r="AI26" s="59"/>
      <c r="AJ26" s="61"/>
      <c r="AK26" s="59"/>
      <c r="AL26" s="61"/>
      <c r="AM26" s="59"/>
      <c r="AN26" s="61"/>
      <c r="AO26" s="59"/>
      <c r="AP26" s="61"/>
      <c r="AQ26" s="31"/>
      <c r="AR26" s="57">
        <f t="shared" si="25"/>
        <v>44697</v>
      </c>
      <c r="AS26" s="59"/>
      <c r="AT26" s="61"/>
      <c r="AU26" s="62"/>
      <c r="AV26" s="59"/>
      <c r="AW26" s="61"/>
      <c r="AX26" s="59"/>
      <c r="AY26" s="61"/>
      <c r="AZ26" s="61"/>
      <c r="BA26" s="59"/>
      <c r="BB26" s="63"/>
      <c r="BC26" s="60"/>
      <c r="BD26" s="64"/>
      <c r="BE26" s="59"/>
      <c r="BF26" s="61"/>
    </row>
    <row r="27" spans="2:58" s="58" customFormat="1" x14ac:dyDescent="0.25">
      <c r="B27" s="45">
        <v>44704</v>
      </c>
      <c r="C27" s="126"/>
      <c r="D27" s="127"/>
      <c r="E27" s="33">
        <f t="shared" si="0"/>
        <v>0</v>
      </c>
      <c r="F27" s="126"/>
      <c r="G27" s="127"/>
      <c r="H27" s="33">
        <f t="shared" si="1"/>
        <v>0</v>
      </c>
      <c r="I27" s="126"/>
      <c r="J27" s="127"/>
      <c r="K27" s="33">
        <f t="shared" si="2"/>
        <v>0</v>
      </c>
      <c r="L27" s="126"/>
      <c r="M27" s="127"/>
      <c r="N27" s="33">
        <f t="shared" si="3"/>
        <v>0</v>
      </c>
      <c r="O27" s="126"/>
      <c r="P27" s="127"/>
      <c r="Q27" s="33">
        <f t="shared" si="4"/>
        <v>0</v>
      </c>
      <c r="R27" s="29"/>
      <c r="S27" s="126"/>
      <c r="T27" s="127"/>
      <c r="U27" s="33">
        <f t="shared" si="5"/>
        <v>0</v>
      </c>
      <c r="V27" s="126"/>
      <c r="W27" s="127"/>
      <c r="X27" s="33">
        <f t="shared" si="23"/>
        <v>0</v>
      </c>
      <c r="Y27" s="32">
        <f t="shared" si="24"/>
        <v>0</v>
      </c>
      <c r="Z27" s="30"/>
      <c r="AA27" s="59"/>
      <c r="AB27" s="61"/>
      <c r="AC27" s="59"/>
      <c r="AD27" s="61"/>
      <c r="AE27" s="59"/>
      <c r="AF27" s="61"/>
      <c r="AG27" s="59"/>
      <c r="AH27" s="61"/>
      <c r="AI27" s="59"/>
      <c r="AJ27" s="61"/>
      <c r="AK27" s="59"/>
      <c r="AL27" s="61"/>
      <c r="AM27" s="59"/>
      <c r="AN27" s="61"/>
      <c r="AO27" s="59"/>
      <c r="AP27" s="61"/>
      <c r="AQ27" s="31"/>
      <c r="AR27" s="57">
        <f t="shared" si="25"/>
        <v>44704</v>
      </c>
      <c r="AS27" s="59"/>
      <c r="AT27" s="61"/>
      <c r="AU27" s="62"/>
      <c r="AV27" s="59"/>
      <c r="AW27" s="61"/>
      <c r="AX27" s="59"/>
      <c r="AY27" s="61"/>
      <c r="AZ27" s="61"/>
      <c r="BA27" s="59"/>
      <c r="BB27" s="63"/>
      <c r="BC27" s="60"/>
      <c r="BD27" s="64"/>
      <c r="BE27" s="59"/>
      <c r="BF27" s="61"/>
    </row>
    <row r="28" spans="2:58" s="58" customFormat="1" x14ac:dyDescent="0.25">
      <c r="B28" s="45">
        <v>44711</v>
      </c>
      <c r="C28" s="126"/>
      <c r="D28" s="127"/>
      <c r="E28" s="33">
        <f t="shared" si="0"/>
        <v>0</v>
      </c>
      <c r="F28" s="126"/>
      <c r="G28" s="127"/>
      <c r="H28" s="33">
        <f t="shared" si="1"/>
        <v>0</v>
      </c>
      <c r="I28" s="126"/>
      <c r="J28" s="127"/>
      <c r="K28" s="33">
        <f t="shared" si="2"/>
        <v>0</v>
      </c>
      <c r="L28" s="126"/>
      <c r="M28" s="127"/>
      <c r="N28" s="33">
        <f t="shared" si="3"/>
        <v>0</v>
      </c>
      <c r="O28" s="126"/>
      <c r="P28" s="127"/>
      <c r="Q28" s="33">
        <f t="shared" si="4"/>
        <v>0</v>
      </c>
      <c r="R28" s="29"/>
      <c r="S28" s="126"/>
      <c r="T28" s="127"/>
      <c r="U28" s="33">
        <f t="shared" si="5"/>
        <v>0</v>
      </c>
      <c r="V28" s="126"/>
      <c r="W28" s="127"/>
      <c r="X28" s="33">
        <f t="shared" si="23"/>
        <v>0</v>
      </c>
      <c r="Y28" s="32">
        <f t="shared" si="24"/>
        <v>0</v>
      </c>
      <c r="Z28" s="30"/>
      <c r="AA28" s="59"/>
      <c r="AB28" s="61"/>
      <c r="AC28" s="59"/>
      <c r="AD28" s="61"/>
      <c r="AE28" s="59"/>
      <c r="AF28" s="61"/>
      <c r="AG28" s="59"/>
      <c r="AH28" s="61"/>
      <c r="AI28" s="59"/>
      <c r="AJ28" s="61"/>
      <c r="AK28" s="59"/>
      <c r="AL28" s="61"/>
      <c r="AM28" s="59"/>
      <c r="AN28" s="61"/>
      <c r="AO28" s="59"/>
      <c r="AP28" s="61"/>
      <c r="AQ28" s="31"/>
      <c r="AR28" s="57">
        <f t="shared" si="25"/>
        <v>44711</v>
      </c>
      <c r="AS28" s="59"/>
      <c r="AT28" s="61"/>
      <c r="AU28" s="62"/>
      <c r="AV28" s="59"/>
      <c r="AW28" s="61"/>
      <c r="AX28" s="59"/>
      <c r="AY28" s="61"/>
      <c r="AZ28" s="61"/>
      <c r="BA28" s="59"/>
      <c r="BB28" s="63"/>
      <c r="BC28" s="60"/>
      <c r="BD28" s="64"/>
      <c r="BE28" s="59"/>
      <c r="BF28" s="61"/>
    </row>
    <row r="29" spans="2:58" s="58" customFormat="1" x14ac:dyDescent="0.25">
      <c r="B29" s="45">
        <v>44712</v>
      </c>
      <c r="C29" s="126"/>
      <c r="D29" s="127"/>
      <c r="E29" s="33">
        <f t="shared" si="0"/>
        <v>0</v>
      </c>
      <c r="F29" s="126"/>
      <c r="G29" s="127"/>
      <c r="H29" s="33">
        <f t="shared" si="1"/>
        <v>0</v>
      </c>
      <c r="I29" s="126"/>
      <c r="J29" s="127"/>
      <c r="K29" s="33">
        <f t="shared" si="2"/>
        <v>0</v>
      </c>
      <c r="L29" s="126"/>
      <c r="M29" s="127"/>
      <c r="N29" s="33">
        <f t="shared" si="3"/>
        <v>0</v>
      </c>
      <c r="O29" s="126"/>
      <c r="P29" s="127"/>
      <c r="Q29" s="33">
        <f t="shared" si="4"/>
        <v>0</v>
      </c>
      <c r="R29" s="29"/>
      <c r="S29" s="126"/>
      <c r="T29" s="127"/>
      <c r="U29" s="33">
        <f t="shared" si="5"/>
        <v>0</v>
      </c>
      <c r="V29" s="126"/>
      <c r="W29" s="127"/>
      <c r="X29" s="33">
        <f t="shared" si="23"/>
        <v>0</v>
      </c>
      <c r="Y29" s="32">
        <f t="shared" si="24"/>
        <v>0</v>
      </c>
      <c r="Z29" s="30"/>
      <c r="AA29" s="59"/>
      <c r="AB29" s="61"/>
      <c r="AC29" s="59"/>
      <c r="AD29" s="61"/>
      <c r="AE29" s="59"/>
      <c r="AF29" s="61"/>
      <c r="AG29" s="59"/>
      <c r="AH29" s="61"/>
      <c r="AI29" s="59"/>
      <c r="AJ29" s="61"/>
      <c r="AK29" s="59"/>
      <c r="AL29" s="61"/>
      <c r="AM29" s="59"/>
      <c r="AN29" s="61"/>
      <c r="AO29" s="59"/>
      <c r="AP29" s="61"/>
      <c r="AQ29" s="31"/>
      <c r="AR29" s="57">
        <f t="shared" si="25"/>
        <v>44712</v>
      </c>
      <c r="AS29" s="59"/>
      <c r="AT29" s="61"/>
      <c r="AU29" s="62"/>
      <c r="AV29" s="59"/>
      <c r="AW29" s="61"/>
      <c r="AX29" s="59"/>
      <c r="AY29" s="61"/>
      <c r="AZ29" s="61"/>
      <c r="BA29" s="59"/>
      <c r="BB29" s="63"/>
      <c r="BC29" s="60"/>
      <c r="BD29" s="64"/>
      <c r="BE29" s="59"/>
      <c r="BF29" s="61"/>
    </row>
    <row r="30" spans="2:58" s="58" customFormat="1" x14ac:dyDescent="0.25">
      <c r="B30" s="45">
        <v>44718</v>
      </c>
      <c r="C30" s="126"/>
      <c r="D30" s="127"/>
      <c r="E30" s="33">
        <f t="shared" si="0"/>
        <v>0</v>
      </c>
      <c r="F30" s="126"/>
      <c r="G30" s="127"/>
      <c r="H30" s="33">
        <f t="shared" si="1"/>
        <v>0</v>
      </c>
      <c r="I30" s="126"/>
      <c r="J30" s="127"/>
      <c r="K30" s="33">
        <f t="shared" si="2"/>
        <v>0</v>
      </c>
      <c r="L30" s="126"/>
      <c r="M30" s="127"/>
      <c r="N30" s="33">
        <f t="shared" si="3"/>
        <v>0</v>
      </c>
      <c r="O30" s="126"/>
      <c r="P30" s="127"/>
      <c r="Q30" s="33">
        <f t="shared" si="4"/>
        <v>0</v>
      </c>
      <c r="R30" s="29"/>
      <c r="S30" s="126"/>
      <c r="T30" s="127"/>
      <c r="U30" s="33">
        <f t="shared" si="5"/>
        <v>0</v>
      </c>
      <c r="V30" s="126"/>
      <c r="W30" s="127"/>
      <c r="X30" s="33">
        <f t="shared" si="23"/>
        <v>0</v>
      </c>
      <c r="Y30" s="32">
        <f t="shared" si="24"/>
        <v>0</v>
      </c>
      <c r="Z30" s="30"/>
      <c r="AA30" s="59"/>
      <c r="AB30" s="61"/>
      <c r="AC30" s="59"/>
      <c r="AD30" s="61"/>
      <c r="AE30" s="59"/>
      <c r="AF30" s="61"/>
      <c r="AG30" s="59"/>
      <c r="AH30" s="61"/>
      <c r="AI30" s="59"/>
      <c r="AJ30" s="61"/>
      <c r="AK30" s="59"/>
      <c r="AL30" s="61"/>
      <c r="AM30" s="59"/>
      <c r="AN30" s="61"/>
      <c r="AO30" s="59"/>
      <c r="AP30" s="61"/>
      <c r="AQ30" s="31"/>
      <c r="AR30" s="57">
        <f t="shared" si="25"/>
        <v>44718</v>
      </c>
      <c r="AS30" s="59"/>
      <c r="AT30" s="61"/>
      <c r="AU30" s="62"/>
      <c r="AV30" s="59"/>
      <c r="AW30" s="61"/>
      <c r="AX30" s="59"/>
      <c r="AY30" s="61"/>
      <c r="AZ30" s="61"/>
      <c r="BA30" s="59"/>
      <c r="BB30" s="63"/>
      <c r="BC30" s="60"/>
      <c r="BD30" s="64"/>
      <c r="BE30" s="59"/>
      <c r="BF30" s="61"/>
    </row>
    <row r="31" spans="2:58" s="58" customFormat="1" x14ac:dyDescent="0.25">
      <c r="B31" s="45">
        <v>44725</v>
      </c>
      <c r="C31" s="126"/>
      <c r="D31" s="127"/>
      <c r="E31" s="33">
        <f t="shared" si="0"/>
        <v>0</v>
      </c>
      <c r="F31" s="126"/>
      <c r="G31" s="127"/>
      <c r="H31" s="33">
        <f t="shared" si="1"/>
        <v>0</v>
      </c>
      <c r="I31" s="126"/>
      <c r="J31" s="127"/>
      <c r="K31" s="33">
        <f t="shared" si="2"/>
        <v>0</v>
      </c>
      <c r="L31" s="126"/>
      <c r="M31" s="127"/>
      <c r="N31" s="33">
        <f t="shared" si="3"/>
        <v>0</v>
      </c>
      <c r="O31" s="126"/>
      <c r="P31" s="127"/>
      <c r="Q31" s="33">
        <f t="shared" si="4"/>
        <v>0</v>
      </c>
      <c r="R31" s="29"/>
      <c r="S31" s="126"/>
      <c r="T31" s="127"/>
      <c r="U31" s="33">
        <f t="shared" si="5"/>
        <v>0</v>
      </c>
      <c r="V31" s="126"/>
      <c r="W31" s="127"/>
      <c r="X31" s="33">
        <f t="shared" si="23"/>
        <v>0</v>
      </c>
      <c r="Y31" s="32">
        <f t="shared" si="24"/>
        <v>0</v>
      </c>
      <c r="Z31" s="30"/>
      <c r="AA31" s="59"/>
      <c r="AB31" s="61"/>
      <c r="AC31" s="59"/>
      <c r="AD31" s="61"/>
      <c r="AE31" s="59"/>
      <c r="AF31" s="61"/>
      <c r="AG31" s="59"/>
      <c r="AH31" s="61"/>
      <c r="AI31" s="59"/>
      <c r="AJ31" s="61"/>
      <c r="AK31" s="59"/>
      <c r="AL31" s="61"/>
      <c r="AM31" s="59"/>
      <c r="AN31" s="61"/>
      <c r="AO31" s="59"/>
      <c r="AP31" s="61"/>
      <c r="AQ31" s="31"/>
      <c r="AR31" s="57">
        <f t="shared" si="25"/>
        <v>44725</v>
      </c>
      <c r="AS31" s="59"/>
      <c r="AT31" s="61"/>
      <c r="AU31" s="62"/>
      <c r="AV31" s="59"/>
      <c r="AW31" s="61"/>
      <c r="AX31" s="59"/>
      <c r="AY31" s="61"/>
      <c r="AZ31" s="61"/>
      <c r="BA31" s="59"/>
      <c r="BB31" s="63"/>
      <c r="BC31" s="60"/>
      <c r="BD31" s="64"/>
      <c r="BE31" s="59"/>
      <c r="BF31" s="61"/>
    </row>
    <row r="32" spans="2:58" s="58" customFormat="1" x14ac:dyDescent="0.25">
      <c r="B32" s="45">
        <v>44732</v>
      </c>
      <c r="C32" s="126"/>
      <c r="D32" s="127"/>
      <c r="E32" s="33">
        <f t="shared" si="0"/>
        <v>0</v>
      </c>
      <c r="F32" s="126"/>
      <c r="G32" s="127"/>
      <c r="H32" s="33">
        <f t="shared" si="1"/>
        <v>0</v>
      </c>
      <c r="I32" s="126"/>
      <c r="J32" s="127"/>
      <c r="K32" s="33">
        <f t="shared" si="2"/>
        <v>0</v>
      </c>
      <c r="L32" s="126"/>
      <c r="M32" s="127"/>
      <c r="N32" s="33">
        <f t="shared" si="3"/>
        <v>0</v>
      </c>
      <c r="O32" s="126"/>
      <c r="P32" s="127"/>
      <c r="Q32" s="33">
        <f t="shared" si="4"/>
        <v>0</v>
      </c>
      <c r="R32" s="29"/>
      <c r="S32" s="126"/>
      <c r="T32" s="127"/>
      <c r="U32" s="33">
        <f t="shared" si="5"/>
        <v>0</v>
      </c>
      <c r="V32" s="126"/>
      <c r="W32" s="127"/>
      <c r="X32" s="33">
        <f t="shared" si="23"/>
        <v>0</v>
      </c>
      <c r="Y32" s="32">
        <f t="shared" si="24"/>
        <v>0</v>
      </c>
      <c r="Z32" s="30"/>
      <c r="AA32" s="59"/>
      <c r="AB32" s="61"/>
      <c r="AC32" s="59"/>
      <c r="AD32" s="61"/>
      <c r="AE32" s="59"/>
      <c r="AF32" s="61"/>
      <c r="AG32" s="59"/>
      <c r="AH32" s="61"/>
      <c r="AI32" s="59"/>
      <c r="AJ32" s="61"/>
      <c r="AK32" s="59"/>
      <c r="AL32" s="61"/>
      <c r="AM32" s="59"/>
      <c r="AN32" s="61"/>
      <c r="AO32" s="59"/>
      <c r="AP32" s="61"/>
      <c r="AQ32" s="31"/>
      <c r="AR32" s="57">
        <f t="shared" si="25"/>
        <v>44732</v>
      </c>
      <c r="AS32" s="59"/>
      <c r="AT32" s="61"/>
      <c r="AU32" s="62"/>
      <c r="AV32" s="59"/>
      <c r="AW32" s="61"/>
      <c r="AX32" s="59"/>
      <c r="AY32" s="61"/>
      <c r="AZ32" s="61"/>
      <c r="BA32" s="59"/>
      <c r="BB32" s="63"/>
      <c r="BC32" s="60"/>
      <c r="BD32" s="64"/>
      <c r="BE32" s="59"/>
      <c r="BF32" s="61"/>
    </row>
    <row r="33" spans="2:58" s="58" customFormat="1" x14ac:dyDescent="0.25">
      <c r="B33" s="45">
        <v>44739</v>
      </c>
      <c r="C33" s="125"/>
      <c r="D33" s="125"/>
      <c r="E33" s="33">
        <f t="shared" si="0"/>
        <v>0</v>
      </c>
      <c r="F33" s="125"/>
      <c r="G33" s="125"/>
      <c r="H33" s="33">
        <f t="shared" si="1"/>
        <v>0</v>
      </c>
      <c r="I33" s="125"/>
      <c r="J33" s="125"/>
      <c r="K33" s="33">
        <f t="shared" si="2"/>
        <v>0</v>
      </c>
      <c r="L33" s="125"/>
      <c r="M33" s="125"/>
      <c r="N33" s="33">
        <f t="shared" si="3"/>
        <v>0</v>
      </c>
      <c r="O33" s="125"/>
      <c r="P33" s="125"/>
      <c r="Q33" s="33">
        <f t="shared" si="4"/>
        <v>0</v>
      </c>
      <c r="R33" s="29"/>
      <c r="S33" s="125"/>
      <c r="T33" s="125"/>
      <c r="U33" s="33">
        <f t="shared" si="5"/>
        <v>0</v>
      </c>
      <c r="V33" s="125"/>
      <c r="W33" s="125"/>
      <c r="X33" s="33">
        <f t="shared" si="23"/>
        <v>0</v>
      </c>
      <c r="Y33" s="32">
        <f t="shared" si="24"/>
        <v>0</v>
      </c>
      <c r="Z33" s="30"/>
      <c r="AA33" s="17"/>
      <c r="AB33" s="33"/>
      <c r="AC33" s="17"/>
      <c r="AD33" s="33"/>
      <c r="AE33" s="17"/>
      <c r="AF33" s="33"/>
      <c r="AG33" s="17"/>
      <c r="AH33" s="33"/>
      <c r="AI33" s="17"/>
      <c r="AJ33" s="33"/>
      <c r="AK33" s="17"/>
      <c r="AL33" s="33"/>
      <c r="AM33" s="17"/>
      <c r="AN33" s="33"/>
      <c r="AO33" s="17"/>
      <c r="AP33" s="33"/>
      <c r="AQ33" s="31"/>
      <c r="AR33" s="57">
        <f t="shared" si="25"/>
        <v>44739</v>
      </c>
      <c r="AS33" s="17"/>
      <c r="AT33" s="33"/>
      <c r="AU33" s="14"/>
      <c r="AV33" s="17"/>
      <c r="AW33" s="33"/>
      <c r="AX33" s="17"/>
      <c r="AY33" s="34"/>
      <c r="AZ33" s="33"/>
      <c r="BA33" s="17"/>
      <c r="BB33" s="89"/>
      <c r="BC33" s="53"/>
      <c r="BD33" s="54"/>
      <c r="BE33" s="17"/>
      <c r="BF33" s="33"/>
    </row>
    <row r="34" spans="2:58" s="58" customFormat="1" x14ac:dyDescent="0.25">
      <c r="B34" s="45">
        <v>44742</v>
      </c>
      <c r="C34" s="126"/>
      <c r="D34" s="127"/>
      <c r="E34" s="33">
        <f t="shared" si="0"/>
        <v>0</v>
      </c>
      <c r="F34" s="126"/>
      <c r="G34" s="127"/>
      <c r="H34" s="33">
        <f t="shared" si="1"/>
        <v>0</v>
      </c>
      <c r="I34" s="126"/>
      <c r="J34" s="127"/>
      <c r="K34" s="33">
        <f t="shared" si="2"/>
        <v>0</v>
      </c>
      <c r="L34" s="126"/>
      <c r="M34" s="127"/>
      <c r="N34" s="33">
        <f t="shared" si="3"/>
        <v>0</v>
      </c>
      <c r="O34" s="126"/>
      <c r="P34" s="127"/>
      <c r="Q34" s="33">
        <f t="shared" si="4"/>
        <v>0</v>
      </c>
      <c r="R34" s="29"/>
      <c r="S34" s="126"/>
      <c r="T34" s="127"/>
      <c r="U34" s="33">
        <f t="shared" si="5"/>
        <v>0</v>
      </c>
      <c r="V34" s="126"/>
      <c r="W34" s="127"/>
      <c r="X34" s="33">
        <f t="shared" si="23"/>
        <v>0</v>
      </c>
      <c r="Y34" s="32">
        <f t="shared" si="24"/>
        <v>0</v>
      </c>
      <c r="Z34" s="30"/>
      <c r="AA34" s="59"/>
      <c r="AB34" s="61"/>
      <c r="AC34" s="59"/>
      <c r="AD34" s="61"/>
      <c r="AE34" s="59"/>
      <c r="AF34" s="61"/>
      <c r="AG34" s="59"/>
      <c r="AH34" s="61"/>
      <c r="AI34" s="59"/>
      <c r="AJ34" s="61"/>
      <c r="AK34" s="59"/>
      <c r="AL34" s="61"/>
      <c r="AM34" s="59"/>
      <c r="AN34" s="61"/>
      <c r="AO34" s="59"/>
      <c r="AP34" s="61"/>
      <c r="AQ34" s="31"/>
      <c r="AR34" s="57">
        <f t="shared" si="25"/>
        <v>44742</v>
      </c>
      <c r="AS34" s="59"/>
      <c r="AT34" s="61"/>
      <c r="AU34" s="62"/>
      <c r="AV34" s="59"/>
      <c r="AW34" s="61"/>
      <c r="AX34" s="59"/>
      <c r="AY34" s="61"/>
      <c r="AZ34" s="61"/>
      <c r="BA34" s="59"/>
      <c r="BB34" s="63"/>
      <c r="BC34" s="60"/>
      <c r="BD34" s="64"/>
      <c r="BE34" s="59"/>
      <c r="BF34" s="61"/>
    </row>
    <row r="35" spans="2:58" s="58" customFormat="1" x14ac:dyDescent="0.25">
      <c r="B35" s="45">
        <v>44746</v>
      </c>
      <c r="C35" s="126"/>
      <c r="D35" s="127"/>
      <c r="E35" s="33">
        <f t="shared" si="0"/>
        <v>0</v>
      </c>
      <c r="F35" s="126"/>
      <c r="G35" s="127"/>
      <c r="H35" s="33">
        <f t="shared" si="1"/>
        <v>0</v>
      </c>
      <c r="I35" s="126"/>
      <c r="J35" s="127"/>
      <c r="K35" s="33">
        <f t="shared" si="2"/>
        <v>0</v>
      </c>
      <c r="L35" s="126"/>
      <c r="M35" s="127"/>
      <c r="N35" s="33">
        <f t="shared" si="3"/>
        <v>0</v>
      </c>
      <c r="O35" s="126"/>
      <c r="P35" s="127"/>
      <c r="Q35" s="33">
        <f t="shared" si="4"/>
        <v>0</v>
      </c>
      <c r="R35" s="29"/>
      <c r="S35" s="126"/>
      <c r="T35" s="127"/>
      <c r="U35" s="33">
        <f t="shared" si="5"/>
        <v>0</v>
      </c>
      <c r="V35" s="126"/>
      <c r="W35" s="127"/>
      <c r="X35" s="33">
        <f t="shared" si="23"/>
        <v>0</v>
      </c>
      <c r="Y35" s="32">
        <f t="shared" si="24"/>
        <v>0</v>
      </c>
      <c r="Z35" s="30"/>
      <c r="AA35" s="59"/>
      <c r="AB35" s="61"/>
      <c r="AC35" s="59"/>
      <c r="AD35" s="61"/>
      <c r="AE35" s="59"/>
      <c r="AF35" s="61"/>
      <c r="AG35" s="59"/>
      <c r="AH35" s="61"/>
      <c r="AI35" s="59"/>
      <c r="AJ35" s="61"/>
      <c r="AK35" s="59"/>
      <c r="AL35" s="61"/>
      <c r="AM35" s="59"/>
      <c r="AN35" s="61"/>
      <c r="AO35" s="59"/>
      <c r="AP35" s="61"/>
      <c r="AQ35" s="31"/>
      <c r="AR35" s="57">
        <f t="shared" si="25"/>
        <v>44746</v>
      </c>
      <c r="AS35" s="59"/>
      <c r="AT35" s="61"/>
      <c r="AU35" s="62"/>
      <c r="AV35" s="59"/>
      <c r="AW35" s="61"/>
      <c r="AX35" s="59"/>
      <c r="AY35" s="61"/>
      <c r="AZ35" s="61"/>
      <c r="BA35" s="59"/>
      <c r="BB35" s="63"/>
      <c r="BC35" s="60"/>
      <c r="BD35" s="64"/>
      <c r="BE35" s="59"/>
      <c r="BF35" s="61"/>
    </row>
    <row r="36" spans="2:58" s="58" customFormat="1" x14ac:dyDescent="0.25">
      <c r="B36" s="45">
        <v>44753</v>
      </c>
      <c r="C36" s="126"/>
      <c r="D36" s="127"/>
      <c r="E36" s="33">
        <f t="shared" si="0"/>
        <v>0</v>
      </c>
      <c r="F36" s="126"/>
      <c r="G36" s="127"/>
      <c r="H36" s="33">
        <f t="shared" si="1"/>
        <v>0</v>
      </c>
      <c r="I36" s="126"/>
      <c r="J36" s="127"/>
      <c r="K36" s="33">
        <f t="shared" si="2"/>
        <v>0</v>
      </c>
      <c r="L36" s="126"/>
      <c r="M36" s="127"/>
      <c r="N36" s="33">
        <f t="shared" si="3"/>
        <v>0</v>
      </c>
      <c r="O36" s="126"/>
      <c r="P36" s="127"/>
      <c r="Q36" s="33">
        <f t="shared" si="4"/>
        <v>0</v>
      </c>
      <c r="R36" s="29"/>
      <c r="S36" s="126"/>
      <c r="T36" s="127"/>
      <c r="U36" s="33">
        <f t="shared" si="5"/>
        <v>0</v>
      </c>
      <c r="V36" s="126"/>
      <c r="W36" s="127"/>
      <c r="X36" s="33">
        <f t="shared" si="23"/>
        <v>0</v>
      </c>
      <c r="Y36" s="32">
        <f t="shared" si="24"/>
        <v>0</v>
      </c>
      <c r="Z36" s="30"/>
      <c r="AA36" s="59"/>
      <c r="AB36" s="61"/>
      <c r="AC36" s="59"/>
      <c r="AD36" s="61"/>
      <c r="AE36" s="59"/>
      <c r="AF36" s="61"/>
      <c r="AG36" s="59"/>
      <c r="AH36" s="61"/>
      <c r="AI36" s="59"/>
      <c r="AJ36" s="61"/>
      <c r="AK36" s="59"/>
      <c r="AL36" s="61"/>
      <c r="AM36" s="59"/>
      <c r="AN36" s="61"/>
      <c r="AO36" s="59"/>
      <c r="AP36" s="61"/>
      <c r="AQ36" s="31"/>
      <c r="AR36" s="57">
        <f t="shared" si="25"/>
        <v>44753</v>
      </c>
      <c r="AS36" s="59"/>
      <c r="AT36" s="61"/>
      <c r="AU36" s="62"/>
      <c r="AV36" s="59"/>
      <c r="AW36" s="61"/>
      <c r="AX36" s="59"/>
      <c r="AY36" s="61"/>
      <c r="AZ36" s="61"/>
      <c r="BA36" s="59"/>
      <c r="BB36" s="63"/>
      <c r="BC36" s="60"/>
      <c r="BD36" s="64"/>
      <c r="BE36" s="59"/>
      <c r="BF36" s="61"/>
    </row>
    <row r="37" spans="2:58" s="58" customFormat="1" x14ac:dyDescent="0.25">
      <c r="B37" s="45">
        <v>44760</v>
      </c>
      <c r="C37" s="126"/>
      <c r="D37" s="127"/>
      <c r="E37" s="33">
        <f t="shared" si="0"/>
        <v>0</v>
      </c>
      <c r="F37" s="126"/>
      <c r="G37" s="127"/>
      <c r="H37" s="33">
        <f t="shared" si="1"/>
        <v>0</v>
      </c>
      <c r="I37" s="126"/>
      <c r="J37" s="127"/>
      <c r="K37" s="33">
        <f t="shared" si="2"/>
        <v>0</v>
      </c>
      <c r="L37" s="126"/>
      <c r="M37" s="127"/>
      <c r="N37" s="33">
        <f t="shared" si="3"/>
        <v>0</v>
      </c>
      <c r="O37" s="126"/>
      <c r="P37" s="127"/>
      <c r="Q37" s="33">
        <f t="shared" si="4"/>
        <v>0</v>
      </c>
      <c r="R37" s="29"/>
      <c r="S37" s="126"/>
      <c r="T37" s="127"/>
      <c r="U37" s="33">
        <f t="shared" si="5"/>
        <v>0</v>
      </c>
      <c r="V37" s="126"/>
      <c r="W37" s="127"/>
      <c r="X37" s="33">
        <f t="shared" si="23"/>
        <v>0</v>
      </c>
      <c r="Y37" s="32">
        <f t="shared" si="24"/>
        <v>0</v>
      </c>
      <c r="Z37" s="30"/>
      <c r="AA37" s="59"/>
      <c r="AB37" s="61"/>
      <c r="AC37" s="59"/>
      <c r="AD37" s="61"/>
      <c r="AE37" s="59"/>
      <c r="AF37" s="61"/>
      <c r="AG37" s="59"/>
      <c r="AH37" s="61"/>
      <c r="AI37" s="59"/>
      <c r="AJ37" s="61"/>
      <c r="AK37" s="59"/>
      <c r="AL37" s="61"/>
      <c r="AM37" s="59"/>
      <c r="AN37" s="61"/>
      <c r="AO37" s="59"/>
      <c r="AP37" s="61"/>
      <c r="AQ37" s="31"/>
      <c r="AR37" s="57">
        <f t="shared" si="25"/>
        <v>44760</v>
      </c>
      <c r="AS37" s="59"/>
      <c r="AT37" s="61"/>
      <c r="AU37" s="62"/>
      <c r="AV37" s="59"/>
      <c r="AW37" s="61"/>
      <c r="AX37" s="59"/>
      <c r="AY37" s="61"/>
      <c r="AZ37" s="61"/>
      <c r="BA37" s="59"/>
      <c r="BB37" s="63"/>
      <c r="BC37" s="60"/>
      <c r="BD37" s="64"/>
      <c r="BE37" s="59"/>
      <c r="BF37" s="61"/>
    </row>
    <row r="38" spans="2:58" s="58" customFormat="1" x14ac:dyDescent="0.25">
      <c r="B38" s="45">
        <v>44767</v>
      </c>
      <c r="C38" s="126"/>
      <c r="D38" s="127"/>
      <c r="E38" s="33">
        <f t="shared" si="0"/>
        <v>0</v>
      </c>
      <c r="F38" s="126"/>
      <c r="G38" s="127"/>
      <c r="H38" s="33">
        <f t="shared" si="1"/>
        <v>0</v>
      </c>
      <c r="I38" s="126"/>
      <c r="J38" s="127"/>
      <c r="K38" s="33">
        <f t="shared" si="2"/>
        <v>0</v>
      </c>
      <c r="L38" s="126"/>
      <c r="M38" s="127"/>
      <c r="N38" s="33">
        <f t="shared" si="3"/>
        <v>0</v>
      </c>
      <c r="O38" s="126"/>
      <c r="P38" s="127"/>
      <c r="Q38" s="33">
        <f t="shared" si="4"/>
        <v>0</v>
      </c>
      <c r="R38" s="29"/>
      <c r="S38" s="126"/>
      <c r="T38" s="127"/>
      <c r="U38" s="33">
        <f t="shared" si="5"/>
        <v>0</v>
      </c>
      <c r="V38" s="126"/>
      <c r="W38" s="127"/>
      <c r="X38" s="33">
        <f t="shared" si="23"/>
        <v>0</v>
      </c>
      <c r="Y38" s="32">
        <f t="shared" si="24"/>
        <v>0</v>
      </c>
      <c r="Z38" s="30"/>
      <c r="AA38" s="59"/>
      <c r="AB38" s="61"/>
      <c r="AC38" s="59"/>
      <c r="AD38" s="61"/>
      <c r="AE38" s="59"/>
      <c r="AF38" s="61"/>
      <c r="AG38" s="59"/>
      <c r="AH38" s="61"/>
      <c r="AI38" s="59"/>
      <c r="AJ38" s="61"/>
      <c r="AK38" s="59"/>
      <c r="AL38" s="61"/>
      <c r="AM38" s="59"/>
      <c r="AN38" s="61"/>
      <c r="AO38" s="59"/>
      <c r="AP38" s="61"/>
      <c r="AQ38" s="31"/>
      <c r="AR38" s="57">
        <f t="shared" si="25"/>
        <v>44767</v>
      </c>
      <c r="AS38" s="59"/>
      <c r="AT38" s="61"/>
      <c r="AU38" s="62"/>
      <c r="AV38" s="59"/>
      <c r="AW38" s="61"/>
      <c r="AX38" s="59"/>
      <c r="AY38" s="61"/>
      <c r="AZ38" s="61"/>
      <c r="BA38" s="59"/>
      <c r="BB38" s="63"/>
      <c r="BC38" s="60"/>
      <c r="BD38" s="64"/>
      <c r="BE38" s="59"/>
      <c r="BF38" s="61"/>
    </row>
    <row r="39" spans="2:58" s="58" customFormat="1" x14ac:dyDescent="0.25">
      <c r="B39" s="45">
        <v>44774</v>
      </c>
      <c r="C39" s="126"/>
      <c r="D39" s="127"/>
      <c r="E39" s="33">
        <f t="shared" si="0"/>
        <v>0</v>
      </c>
      <c r="F39" s="126"/>
      <c r="G39" s="127"/>
      <c r="H39" s="33">
        <f t="shared" si="1"/>
        <v>0</v>
      </c>
      <c r="I39" s="126"/>
      <c r="J39" s="127"/>
      <c r="K39" s="33">
        <f t="shared" si="2"/>
        <v>0</v>
      </c>
      <c r="L39" s="126"/>
      <c r="M39" s="127"/>
      <c r="N39" s="33">
        <f t="shared" si="3"/>
        <v>0</v>
      </c>
      <c r="O39" s="126"/>
      <c r="P39" s="127"/>
      <c r="Q39" s="33">
        <f t="shared" si="4"/>
        <v>0</v>
      </c>
      <c r="R39" s="29"/>
      <c r="S39" s="126"/>
      <c r="T39" s="127"/>
      <c r="U39" s="33">
        <f t="shared" si="5"/>
        <v>0</v>
      </c>
      <c r="V39" s="126"/>
      <c r="W39" s="127"/>
      <c r="X39" s="33">
        <f t="shared" si="23"/>
        <v>0</v>
      </c>
      <c r="Y39" s="32">
        <f t="shared" si="24"/>
        <v>0</v>
      </c>
      <c r="Z39" s="30"/>
      <c r="AA39" s="59"/>
      <c r="AB39" s="61"/>
      <c r="AC39" s="59"/>
      <c r="AD39" s="61"/>
      <c r="AE39" s="59"/>
      <c r="AF39" s="61"/>
      <c r="AG39" s="59"/>
      <c r="AH39" s="61"/>
      <c r="AI39" s="59"/>
      <c r="AJ39" s="61"/>
      <c r="AK39" s="59"/>
      <c r="AL39" s="61"/>
      <c r="AM39" s="59"/>
      <c r="AN39" s="61"/>
      <c r="AO39" s="59"/>
      <c r="AP39" s="61"/>
      <c r="AQ39" s="31"/>
      <c r="AR39" s="57">
        <f t="shared" si="25"/>
        <v>44774</v>
      </c>
      <c r="AS39" s="59"/>
      <c r="AT39" s="61"/>
      <c r="AU39" s="62"/>
      <c r="AV39" s="59"/>
      <c r="AW39" s="61"/>
      <c r="AX39" s="59"/>
      <c r="AY39" s="61"/>
      <c r="AZ39" s="61"/>
      <c r="BA39" s="59"/>
      <c r="BB39" s="63"/>
      <c r="BC39" s="60"/>
      <c r="BD39" s="64"/>
      <c r="BE39" s="59"/>
      <c r="BF39" s="61"/>
    </row>
    <row r="40" spans="2:58" s="58" customFormat="1" x14ac:dyDescent="0.25">
      <c r="B40" s="45">
        <v>44781</v>
      </c>
      <c r="C40" s="126"/>
      <c r="D40" s="127"/>
      <c r="E40" s="33">
        <f t="shared" si="0"/>
        <v>0</v>
      </c>
      <c r="F40" s="126"/>
      <c r="G40" s="127"/>
      <c r="H40" s="33">
        <f t="shared" si="1"/>
        <v>0</v>
      </c>
      <c r="I40" s="126"/>
      <c r="J40" s="127"/>
      <c r="K40" s="33">
        <f t="shared" si="2"/>
        <v>0</v>
      </c>
      <c r="L40" s="126"/>
      <c r="M40" s="127"/>
      <c r="N40" s="33">
        <f t="shared" si="3"/>
        <v>0</v>
      </c>
      <c r="O40" s="126"/>
      <c r="P40" s="127"/>
      <c r="Q40" s="33">
        <f t="shared" si="4"/>
        <v>0</v>
      </c>
      <c r="R40" s="29"/>
      <c r="S40" s="126"/>
      <c r="T40" s="127"/>
      <c r="U40" s="33">
        <f t="shared" si="5"/>
        <v>0</v>
      </c>
      <c r="V40" s="126"/>
      <c r="W40" s="127"/>
      <c r="X40" s="33">
        <f t="shared" si="23"/>
        <v>0</v>
      </c>
      <c r="Y40" s="32">
        <f t="shared" si="24"/>
        <v>0</v>
      </c>
      <c r="Z40" s="30"/>
      <c r="AA40" s="59"/>
      <c r="AB40" s="61"/>
      <c r="AC40" s="59"/>
      <c r="AD40" s="61"/>
      <c r="AE40" s="59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31"/>
      <c r="AR40" s="57">
        <f t="shared" si="25"/>
        <v>44781</v>
      </c>
      <c r="AS40" s="59"/>
      <c r="AT40" s="61"/>
      <c r="AU40" s="62"/>
      <c r="AV40" s="59"/>
      <c r="AW40" s="61"/>
      <c r="AX40" s="59"/>
      <c r="AY40" s="61"/>
      <c r="AZ40" s="61"/>
      <c r="BA40" s="59"/>
      <c r="BB40" s="63"/>
      <c r="BC40" s="60"/>
      <c r="BD40" s="64"/>
      <c r="BE40" s="59"/>
      <c r="BF40" s="61"/>
    </row>
    <row r="41" spans="2:58" s="58" customFormat="1" x14ac:dyDescent="0.25">
      <c r="B41" s="45">
        <v>44788</v>
      </c>
      <c r="C41" s="126"/>
      <c r="D41" s="127"/>
      <c r="E41" s="33">
        <f t="shared" si="0"/>
        <v>0</v>
      </c>
      <c r="F41" s="126"/>
      <c r="G41" s="127"/>
      <c r="H41" s="33">
        <f t="shared" si="1"/>
        <v>0</v>
      </c>
      <c r="I41" s="126"/>
      <c r="J41" s="127"/>
      <c r="K41" s="33">
        <f t="shared" si="2"/>
        <v>0</v>
      </c>
      <c r="L41" s="126"/>
      <c r="M41" s="127"/>
      <c r="N41" s="33">
        <f t="shared" si="3"/>
        <v>0</v>
      </c>
      <c r="O41" s="126"/>
      <c r="P41" s="127"/>
      <c r="Q41" s="33">
        <f t="shared" si="4"/>
        <v>0</v>
      </c>
      <c r="R41" s="29"/>
      <c r="S41" s="126"/>
      <c r="T41" s="127"/>
      <c r="U41" s="33">
        <f t="shared" si="5"/>
        <v>0</v>
      </c>
      <c r="V41" s="126"/>
      <c r="W41" s="127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59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31"/>
      <c r="AR41" s="57">
        <f t="shared" si="25"/>
        <v>44788</v>
      </c>
      <c r="AS41" s="59"/>
      <c r="AT41" s="61"/>
      <c r="AU41" s="62"/>
      <c r="AV41" s="59"/>
      <c r="AW41" s="61"/>
      <c r="AX41" s="59"/>
      <c r="AY41" s="61"/>
      <c r="AZ41" s="61"/>
      <c r="BA41" s="59"/>
      <c r="BB41" s="63"/>
      <c r="BC41" s="60"/>
      <c r="BD41" s="64"/>
      <c r="BE41" s="59"/>
      <c r="BF41" s="61"/>
    </row>
    <row r="42" spans="2:58" s="58" customFormat="1" x14ac:dyDescent="0.25">
      <c r="B42" s="45">
        <v>44795</v>
      </c>
      <c r="C42" s="126"/>
      <c r="D42" s="127"/>
      <c r="E42" s="33">
        <f t="shared" si="0"/>
        <v>0</v>
      </c>
      <c r="F42" s="126"/>
      <c r="G42" s="127"/>
      <c r="H42" s="33">
        <f t="shared" si="1"/>
        <v>0</v>
      </c>
      <c r="I42" s="126"/>
      <c r="J42" s="127"/>
      <c r="K42" s="33">
        <f t="shared" si="2"/>
        <v>0</v>
      </c>
      <c r="L42" s="126"/>
      <c r="M42" s="127"/>
      <c r="N42" s="33">
        <f t="shared" si="3"/>
        <v>0</v>
      </c>
      <c r="O42" s="126"/>
      <c r="P42" s="127"/>
      <c r="Q42" s="33">
        <f t="shared" si="4"/>
        <v>0</v>
      </c>
      <c r="R42" s="29"/>
      <c r="S42" s="126"/>
      <c r="T42" s="127"/>
      <c r="U42" s="33">
        <f t="shared" si="5"/>
        <v>0</v>
      </c>
      <c r="V42" s="126"/>
      <c r="W42" s="127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59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31"/>
      <c r="AR42" s="57">
        <f t="shared" si="25"/>
        <v>44795</v>
      </c>
      <c r="AS42" s="59"/>
      <c r="AT42" s="61"/>
      <c r="AU42" s="62"/>
      <c r="AV42" s="59"/>
      <c r="AW42" s="61"/>
      <c r="AX42" s="59"/>
      <c r="AY42" s="61"/>
      <c r="AZ42" s="61"/>
      <c r="BA42" s="59"/>
      <c r="BB42" s="63"/>
      <c r="BC42" s="60"/>
      <c r="BD42" s="64"/>
      <c r="BE42" s="59"/>
      <c r="BF42" s="61"/>
    </row>
    <row r="43" spans="2:58" s="58" customFormat="1" x14ac:dyDescent="0.25">
      <c r="B43" s="45">
        <v>44802</v>
      </c>
      <c r="C43" s="125"/>
      <c r="D43" s="125"/>
      <c r="E43" s="33">
        <f t="shared" si="0"/>
        <v>0</v>
      </c>
      <c r="F43" s="125"/>
      <c r="G43" s="125"/>
      <c r="H43" s="33">
        <f t="shared" si="1"/>
        <v>0</v>
      </c>
      <c r="I43" s="125"/>
      <c r="J43" s="125"/>
      <c r="K43" s="33">
        <f t="shared" si="2"/>
        <v>0</v>
      </c>
      <c r="L43" s="125"/>
      <c r="M43" s="125"/>
      <c r="N43" s="33">
        <f t="shared" si="3"/>
        <v>0</v>
      </c>
      <c r="O43" s="125"/>
      <c r="P43" s="125"/>
      <c r="Q43" s="33">
        <f t="shared" si="4"/>
        <v>0</v>
      </c>
      <c r="R43" s="29"/>
      <c r="S43" s="125"/>
      <c r="T43" s="125"/>
      <c r="U43" s="33">
        <f t="shared" si="5"/>
        <v>0</v>
      </c>
      <c r="V43" s="125"/>
      <c r="W43" s="125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17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31"/>
      <c r="AR43" s="57">
        <f t="shared" si="25"/>
        <v>44802</v>
      </c>
      <c r="AS43" s="17"/>
      <c r="AT43" s="33"/>
      <c r="AU43" s="14"/>
      <c r="AV43" s="17"/>
      <c r="AW43" s="33"/>
      <c r="AX43" s="17"/>
      <c r="AY43" s="34"/>
      <c r="AZ43" s="33"/>
      <c r="BA43" s="17"/>
      <c r="BB43" s="89"/>
      <c r="BC43" s="53"/>
      <c r="BD43" s="54"/>
      <c r="BE43" s="17"/>
      <c r="BF43" s="33"/>
    </row>
    <row r="44" spans="2:58" s="58" customFormat="1" x14ac:dyDescent="0.25">
      <c r="B44" s="45">
        <v>44804</v>
      </c>
      <c r="C44" s="125"/>
      <c r="D44" s="125"/>
      <c r="E44" s="33">
        <f t="shared" si="0"/>
        <v>0</v>
      </c>
      <c r="F44" s="125"/>
      <c r="G44" s="125"/>
      <c r="H44" s="33">
        <f t="shared" si="1"/>
        <v>0</v>
      </c>
      <c r="I44" s="125"/>
      <c r="J44" s="125"/>
      <c r="K44" s="33">
        <f t="shared" si="2"/>
        <v>0</v>
      </c>
      <c r="L44" s="125"/>
      <c r="M44" s="125"/>
      <c r="N44" s="33">
        <f t="shared" si="3"/>
        <v>0</v>
      </c>
      <c r="O44" s="125"/>
      <c r="P44" s="125"/>
      <c r="Q44" s="33">
        <f t="shared" si="4"/>
        <v>0</v>
      </c>
      <c r="R44" s="29"/>
      <c r="S44" s="125"/>
      <c r="T44" s="125"/>
      <c r="U44" s="33">
        <f t="shared" si="5"/>
        <v>0</v>
      </c>
      <c r="V44" s="125"/>
      <c r="W44" s="125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17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31"/>
      <c r="AR44" s="57">
        <f t="shared" si="25"/>
        <v>44804</v>
      </c>
      <c r="AS44" s="17"/>
      <c r="AT44" s="33"/>
      <c r="AU44" s="14"/>
      <c r="AV44" s="17"/>
      <c r="AW44" s="33"/>
      <c r="AX44" s="17"/>
      <c r="AY44" s="33"/>
      <c r="AZ44" s="33"/>
      <c r="BA44" s="17"/>
      <c r="BB44" s="33"/>
      <c r="BC44" s="53"/>
      <c r="BD44" s="33"/>
      <c r="BE44" s="17"/>
      <c r="BF44" s="33"/>
    </row>
    <row r="45" spans="2:58" x14ac:dyDescent="0.25">
      <c r="B45" s="45">
        <v>44809</v>
      </c>
      <c r="C45" s="126"/>
      <c r="D45" s="127"/>
      <c r="E45" s="33">
        <f t="shared" si="0"/>
        <v>0</v>
      </c>
      <c r="F45" s="126"/>
      <c r="G45" s="127"/>
      <c r="H45" s="33">
        <f t="shared" si="1"/>
        <v>0</v>
      </c>
      <c r="I45" s="126"/>
      <c r="J45" s="127"/>
      <c r="K45" s="33">
        <f t="shared" si="2"/>
        <v>0</v>
      </c>
      <c r="L45" s="126"/>
      <c r="M45" s="127"/>
      <c r="N45" s="33">
        <f t="shared" si="3"/>
        <v>0</v>
      </c>
      <c r="O45" s="126"/>
      <c r="P45" s="127"/>
      <c r="Q45" s="33">
        <f t="shared" si="4"/>
        <v>0</v>
      </c>
      <c r="R45" s="29"/>
      <c r="S45" s="126"/>
      <c r="T45" s="127"/>
      <c r="U45" s="33">
        <f t="shared" si="5"/>
        <v>0</v>
      </c>
      <c r="V45" s="126"/>
      <c r="W45" s="127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59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31"/>
      <c r="AR45" s="57">
        <f t="shared" si="25"/>
        <v>44809</v>
      </c>
      <c r="AS45" s="59"/>
      <c r="AT45" s="61"/>
      <c r="AU45" s="62"/>
      <c r="AV45" s="59"/>
      <c r="AW45" s="61"/>
      <c r="AX45" s="59"/>
      <c r="AY45" s="61"/>
      <c r="AZ45" s="61"/>
      <c r="BA45" s="59"/>
      <c r="BB45" s="63"/>
      <c r="BC45" s="60"/>
      <c r="BD45" s="64"/>
      <c r="BE45" s="59"/>
      <c r="BF45" s="61"/>
    </row>
    <row r="46" spans="2:58" x14ac:dyDescent="0.25">
      <c r="B46" s="45">
        <v>44816</v>
      </c>
      <c r="C46" s="125"/>
      <c r="D46" s="125"/>
      <c r="E46" s="33">
        <f t="shared" si="0"/>
        <v>0</v>
      </c>
      <c r="F46" s="125"/>
      <c r="G46" s="125"/>
      <c r="H46" s="33">
        <f t="shared" si="1"/>
        <v>0</v>
      </c>
      <c r="I46" s="125"/>
      <c r="J46" s="125"/>
      <c r="K46" s="33">
        <f t="shared" si="2"/>
        <v>0</v>
      </c>
      <c r="L46" s="125"/>
      <c r="M46" s="125"/>
      <c r="N46" s="33">
        <f t="shared" si="3"/>
        <v>0</v>
      </c>
      <c r="O46" s="125"/>
      <c r="P46" s="125"/>
      <c r="Q46" s="33">
        <f t="shared" si="4"/>
        <v>0</v>
      </c>
      <c r="R46" s="29"/>
      <c r="S46" s="125"/>
      <c r="T46" s="125"/>
      <c r="U46" s="33">
        <f t="shared" si="5"/>
        <v>0</v>
      </c>
      <c r="V46" s="125"/>
      <c r="W46" s="125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17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31"/>
      <c r="AR46" s="57">
        <f t="shared" si="25"/>
        <v>44816</v>
      </c>
      <c r="AS46" s="17"/>
      <c r="AT46" s="33"/>
      <c r="AU46" s="14"/>
      <c r="AV46" s="17"/>
      <c r="AW46" s="33"/>
      <c r="AX46" s="17"/>
      <c r="AY46" s="34"/>
      <c r="AZ46" s="33"/>
      <c r="BA46" s="17"/>
      <c r="BB46" s="89"/>
      <c r="BC46" s="53"/>
      <c r="BD46" s="54"/>
      <c r="BE46" s="17"/>
      <c r="BF46" s="33"/>
    </row>
    <row r="47" spans="2:58" x14ac:dyDescent="0.25">
      <c r="B47" s="45">
        <v>44823</v>
      </c>
      <c r="C47" s="126"/>
      <c r="D47" s="127"/>
      <c r="E47" s="33">
        <f t="shared" si="0"/>
        <v>0</v>
      </c>
      <c r="F47" s="126"/>
      <c r="G47" s="127"/>
      <c r="H47" s="33">
        <f t="shared" si="1"/>
        <v>0</v>
      </c>
      <c r="I47" s="126"/>
      <c r="J47" s="127"/>
      <c r="K47" s="33">
        <f t="shared" si="2"/>
        <v>0</v>
      </c>
      <c r="L47" s="126"/>
      <c r="M47" s="127"/>
      <c r="N47" s="33">
        <f t="shared" si="3"/>
        <v>0</v>
      </c>
      <c r="O47" s="126"/>
      <c r="P47" s="127"/>
      <c r="Q47" s="33">
        <f t="shared" si="4"/>
        <v>0</v>
      </c>
      <c r="R47" s="29"/>
      <c r="S47" s="126"/>
      <c r="T47" s="127"/>
      <c r="U47" s="33">
        <f t="shared" si="5"/>
        <v>0</v>
      </c>
      <c r="V47" s="126"/>
      <c r="W47" s="127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59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31"/>
      <c r="AR47" s="57">
        <f t="shared" si="25"/>
        <v>44823</v>
      </c>
      <c r="AS47" s="59"/>
      <c r="AT47" s="61"/>
      <c r="AU47" s="62"/>
      <c r="AV47" s="59"/>
      <c r="AW47" s="61"/>
      <c r="AX47" s="59"/>
      <c r="AY47" s="61"/>
      <c r="AZ47" s="61"/>
      <c r="BA47" s="59"/>
      <c r="BB47" s="63"/>
      <c r="BC47" s="60"/>
      <c r="BD47" s="64"/>
      <c r="BE47" s="59"/>
      <c r="BF47" s="61"/>
    </row>
    <row r="48" spans="2:58" x14ac:dyDescent="0.25">
      <c r="B48" s="45">
        <v>44830</v>
      </c>
      <c r="C48" s="126"/>
      <c r="D48" s="127"/>
      <c r="E48" s="33">
        <f t="shared" si="0"/>
        <v>0</v>
      </c>
      <c r="F48" s="126"/>
      <c r="G48" s="127"/>
      <c r="H48" s="33">
        <f t="shared" si="1"/>
        <v>0</v>
      </c>
      <c r="I48" s="126"/>
      <c r="J48" s="127"/>
      <c r="K48" s="33">
        <f t="shared" si="2"/>
        <v>0</v>
      </c>
      <c r="L48" s="126"/>
      <c r="M48" s="127"/>
      <c r="N48" s="33">
        <f t="shared" si="3"/>
        <v>0</v>
      </c>
      <c r="O48" s="126"/>
      <c r="P48" s="127"/>
      <c r="Q48" s="33">
        <f t="shared" si="4"/>
        <v>0</v>
      </c>
      <c r="R48" s="29"/>
      <c r="S48" s="126"/>
      <c r="T48" s="127"/>
      <c r="U48" s="33">
        <f t="shared" si="5"/>
        <v>0</v>
      </c>
      <c r="V48" s="126"/>
      <c r="W48" s="127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59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31"/>
      <c r="AR48" s="57">
        <f t="shared" si="25"/>
        <v>44830</v>
      </c>
      <c r="AS48" s="59"/>
      <c r="AT48" s="61"/>
      <c r="AU48" s="62"/>
      <c r="AV48" s="59"/>
      <c r="AW48" s="61"/>
      <c r="AX48" s="59"/>
      <c r="AY48" s="61"/>
      <c r="AZ48" s="61"/>
      <c r="BA48" s="59"/>
      <c r="BB48" s="63"/>
      <c r="BC48" s="60"/>
      <c r="BD48" s="64"/>
      <c r="BE48" s="59"/>
      <c r="BF48" s="61"/>
    </row>
    <row r="49" spans="2:58" x14ac:dyDescent="0.25">
      <c r="B49" s="45">
        <v>44834</v>
      </c>
      <c r="C49" s="126"/>
      <c r="D49" s="127"/>
      <c r="E49" s="33">
        <f t="shared" si="0"/>
        <v>0</v>
      </c>
      <c r="F49" s="126"/>
      <c r="G49" s="127"/>
      <c r="H49" s="33">
        <f t="shared" si="1"/>
        <v>0</v>
      </c>
      <c r="I49" s="126"/>
      <c r="J49" s="127"/>
      <c r="K49" s="33">
        <f t="shared" si="2"/>
        <v>0</v>
      </c>
      <c r="L49" s="126"/>
      <c r="M49" s="127"/>
      <c r="N49" s="33">
        <f t="shared" si="3"/>
        <v>0</v>
      </c>
      <c r="O49" s="126"/>
      <c r="P49" s="127"/>
      <c r="Q49" s="33">
        <f t="shared" si="4"/>
        <v>0</v>
      </c>
      <c r="R49" s="29"/>
      <c r="S49" s="126"/>
      <c r="T49" s="127"/>
      <c r="U49" s="33">
        <f t="shared" si="5"/>
        <v>0</v>
      </c>
      <c r="V49" s="126"/>
      <c r="W49" s="127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59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31"/>
      <c r="AR49" s="57">
        <f t="shared" si="25"/>
        <v>44834</v>
      </c>
      <c r="AS49" s="59"/>
      <c r="AT49" s="61"/>
      <c r="AU49" s="62"/>
      <c r="AV49" s="59"/>
      <c r="AW49" s="61"/>
      <c r="AX49" s="59"/>
      <c r="AY49" s="61"/>
      <c r="AZ49" s="61"/>
      <c r="BA49" s="59"/>
      <c r="BB49" s="63"/>
      <c r="BC49" s="60"/>
      <c r="BD49" s="64"/>
      <c r="BE49" s="59"/>
      <c r="BF49" s="61"/>
    </row>
    <row r="50" spans="2:58" x14ac:dyDescent="0.25">
      <c r="B50" s="45">
        <v>44837</v>
      </c>
      <c r="C50" s="125"/>
      <c r="D50" s="125"/>
      <c r="E50" s="33">
        <f t="shared" si="0"/>
        <v>0</v>
      </c>
      <c r="F50" s="125"/>
      <c r="G50" s="125"/>
      <c r="H50" s="33">
        <f t="shared" si="1"/>
        <v>0</v>
      </c>
      <c r="I50" s="125"/>
      <c r="J50" s="125"/>
      <c r="K50" s="33">
        <f t="shared" si="2"/>
        <v>0</v>
      </c>
      <c r="L50" s="125"/>
      <c r="M50" s="125"/>
      <c r="N50" s="33">
        <f t="shared" si="3"/>
        <v>0</v>
      </c>
      <c r="O50" s="125"/>
      <c r="P50" s="125"/>
      <c r="Q50" s="33">
        <f t="shared" si="4"/>
        <v>0</v>
      </c>
      <c r="R50" s="29"/>
      <c r="S50" s="125"/>
      <c r="T50" s="125"/>
      <c r="U50" s="33">
        <f t="shared" si="5"/>
        <v>0</v>
      </c>
      <c r="V50" s="125"/>
      <c r="W50" s="125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17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31"/>
      <c r="AR50" s="57">
        <f t="shared" si="25"/>
        <v>44837</v>
      </c>
      <c r="AS50" s="17"/>
      <c r="AT50" s="33"/>
      <c r="AU50" s="14"/>
      <c r="AV50" s="17"/>
      <c r="AW50" s="33"/>
      <c r="AX50" s="17"/>
      <c r="AY50" s="34"/>
      <c r="AZ50" s="33"/>
      <c r="BA50" s="17"/>
      <c r="BB50" s="89"/>
      <c r="BC50" s="53"/>
      <c r="BD50" s="54"/>
      <c r="BE50" s="17"/>
      <c r="BF50" s="33"/>
    </row>
    <row r="51" spans="2:58" x14ac:dyDescent="0.25">
      <c r="B51" s="45">
        <v>44844</v>
      </c>
      <c r="C51" s="125"/>
      <c r="D51" s="125"/>
      <c r="E51" s="33">
        <f t="shared" si="0"/>
        <v>0</v>
      </c>
      <c r="F51" s="125"/>
      <c r="G51" s="125"/>
      <c r="H51" s="33">
        <f t="shared" si="1"/>
        <v>0</v>
      </c>
      <c r="I51" s="125"/>
      <c r="J51" s="125"/>
      <c r="K51" s="33">
        <f t="shared" si="2"/>
        <v>0</v>
      </c>
      <c r="L51" s="125"/>
      <c r="M51" s="125"/>
      <c r="N51" s="33">
        <f t="shared" si="3"/>
        <v>0</v>
      </c>
      <c r="O51" s="125"/>
      <c r="P51" s="125"/>
      <c r="Q51" s="33">
        <f t="shared" si="4"/>
        <v>0</v>
      </c>
      <c r="R51" s="29"/>
      <c r="S51" s="125"/>
      <c r="T51" s="125"/>
      <c r="U51" s="33">
        <f t="shared" si="5"/>
        <v>0</v>
      </c>
      <c r="V51" s="125"/>
      <c r="W51" s="125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17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31"/>
      <c r="AR51" s="57">
        <f t="shared" si="25"/>
        <v>44844</v>
      </c>
      <c r="AS51" s="17"/>
      <c r="AT51" s="33"/>
      <c r="AU51" s="14"/>
      <c r="AV51" s="17"/>
      <c r="AW51" s="33"/>
      <c r="AX51" s="17"/>
      <c r="AY51" s="34"/>
      <c r="AZ51" s="33"/>
      <c r="BA51" s="17"/>
      <c r="BB51" s="89"/>
      <c r="BC51" s="53"/>
      <c r="BD51" s="54"/>
      <c r="BE51" s="17"/>
      <c r="BF51" s="33"/>
    </row>
    <row r="52" spans="2:58" x14ac:dyDescent="0.25">
      <c r="B52" s="45">
        <v>44851</v>
      </c>
      <c r="C52" s="125"/>
      <c r="D52" s="125"/>
      <c r="E52" s="33">
        <f t="shared" si="0"/>
        <v>0</v>
      </c>
      <c r="F52" s="125"/>
      <c r="G52" s="125"/>
      <c r="H52" s="33">
        <f t="shared" si="1"/>
        <v>0</v>
      </c>
      <c r="I52" s="125"/>
      <c r="J52" s="125"/>
      <c r="K52" s="33">
        <f t="shared" si="2"/>
        <v>0</v>
      </c>
      <c r="L52" s="125"/>
      <c r="M52" s="125"/>
      <c r="N52" s="33">
        <f t="shared" si="3"/>
        <v>0</v>
      </c>
      <c r="O52" s="125"/>
      <c r="P52" s="125"/>
      <c r="Q52" s="33">
        <f t="shared" si="4"/>
        <v>0</v>
      </c>
      <c r="R52" s="29"/>
      <c r="S52" s="125"/>
      <c r="T52" s="125"/>
      <c r="U52" s="33">
        <f t="shared" si="5"/>
        <v>0</v>
      </c>
      <c r="V52" s="125"/>
      <c r="W52" s="125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17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31"/>
      <c r="AR52" s="57">
        <f t="shared" si="25"/>
        <v>44851</v>
      </c>
      <c r="AS52" s="17"/>
      <c r="AT52" s="33"/>
      <c r="AU52" s="14"/>
      <c r="AV52" s="17"/>
      <c r="AW52" s="33"/>
      <c r="AX52" s="17"/>
      <c r="AY52" s="34"/>
      <c r="AZ52" s="33"/>
      <c r="BA52" s="17"/>
      <c r="BB52" s="89"/>
      <c r="BC52" s="53"/>
      <c r="BD52" s="54"/>
      <c r="BE52" s="17"/>
      <c r="BF52" s="33"/>
    </row>
    <row r="53" spans="2:58" x14ac:dyDescent="0.25">
      <c r="B53" s="45">
        <v>44858</v>
      </c>
      <c r="C53" s="125"/>
      <c r="D53" s="125"/>
      <c r="E53" s="33">
        <f t="shared" si="0"/>
        <v>0</v>
      </c>
      <c r="F53" s="125"/>
      <c r="G53" s="125"/>
      <c r="H53" s="33">
        <f t="shared" si="1"/>
        <v>0</v>
      </c>
      <c r="I53" s="125"/>
      <c r="J53" s="125"/>
      <c r="K53" s="33">
        <f t="shared" si="2"/>
        <v>0</v>
      </c>
      <c r="L53" s="125"/>
      <c r="M53" s="125"/>
      <c r="N53" s="33">
        <f t="shared" si="3"/>
        <v>0</v>
      </c>
      <c r="O53" s="125"/>
      <c r="P53" s="125"/>
      <c r="Q53" s="33">
        <f t="shared" si="4"/>
        <v>0</v>
      </c>
      <c r="R53" s="29"/>
      <c r="S53" s="125"/>
      <c r="T53" s="125"/>
      <c r="U53" s="33">
        <f t="shared" si="5"/>
        <v>0</v>
      </c>
      <c r="V53" s="125"/>
      <c r="W53" s="125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17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31"/>
      <c r="AR53" s="57">
        <f t="shared" si="25"/>
        <v>44858</v>
      </c>
      <c r="AS53" s="17"/>
      <c r="AT53" s="33"/>
      <c r="AU53" s="14"/>
      <c r="AV53" s="17"/>
      <c r="AW53" s="33"/>
      <c r="AX53" s="17"/>
      <c r="AY53" s="34"/>
      <c r="AZ53" s="33"/>
      <c r="BA53" s="17"/>
      <c r="BB53" s="89"/>
      <c r="BC53" s="53"/>
      <c r="BD53" s="54"/>
      <c r="BE53" s="17"/>
      <c r="BF53" s="33"/>
    </row>
    <row r="54" spans="2:58" x14ac:dyDescent="0.25">
      <c r="B54" s="45">
        <v>44865</v>
      </c>
      <c r="C54" s="125"/>
      <c r="D54" s="125"/>
      <c r="E54" s="33">
        <f t="shared" si="0"/>
        <v>0</v>
      </c>
      <c r="F54" s="125"/>
      <c r="G54" s="125"/>
      <c r="H54" s="33">
        <f t="shared" si="1"/>
        <v>0</v>
      </c>
      <c r="I54" s="125"/>
      <c r="J54" s="125"/>
      <c r="K54" s="33">
        <f t="shared" si="2"/>
        <v>0</v>
      </c>
      <c r="L54" s="125"/>
      <c r="M54" s="125"/>
      <c r="N54" s="33">
        <f t="shared" si="3"/>
        <v>0</v>
      </c>
      <c r="O54" s="125"/>
      <c r="P54" s="125"/>
      <c r="Q54" s="33">
        <f t="shared" si="4"/>
        <v>0</v>
      </c>
      <c r="R54" s="29"/>
      <c r="S54" s="125"/>
      <c r="T54" s="125"/>
      <c r="U54" s="33">
        <f t="shared" si="5"/>
        <v>0</v>
      </c>
      <c r="V54" s="125"/>
      <c r="W54" s="125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17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31"/>
      <c r="AR54" s="57">
        <f t="shared" si="25"/>
        <v>44865</v>
      </c>
      <c r="AS54" s="17"/>
      <c r="AT54" s="33"/>
      <c r="AU54" s="14"/>
      <c r="AV54" s="17"/>
      <c r="AW54" s="33"/>
      <c r="AX54" s="17"/>
      <c r="AY54" s="34"/>
      <c r="AZ54" s="33"/>
      <c r="BA54" s="17"/>
      <c r="BB54" s="89"/>
      <c r="BC54" s="53"/>
      <c r="BD54" s="54"/>
      <c r="BE54" s="17"/>
      <c r="BF54" s="33"/>
    </row>
    <row r="55" spans="2:58" x14ac:dyDescent="0.25">
      <c r="B55" s="45">
        <v>44872</v>
      </c>
      <c r="C55" s="125"/>
      <c r="D55" s="125"/>
      <c r="E55" s="33">
        <f t="shared" si="0"/>
        <v>0</v>
      </c>
      <c r="F55" s="125"/>
      <c r="G55" s="125"/>
      <c r="H55" s="33">
        <f t="shared" si="1"/>
        <v>0</v>
      </c>
      <c r="I55" s="125"/>
      <c r="J55" s="125"/>
      <c r="K55" s="33">
        <f t="shared" si="2"/>
        <v>0</v>
      </c>
      <c r="L55" s="125"/>
      <c r="M55" s="125"/>
      <c r="N55" s="33">
        <f t="shared" si="3"/>
        <v>0</v>
      </c>
      <c r="O55" s="125"/>
      <c r="P55" s="125"/>
      <c r="Q55" s="33">
        <f t="shared" si="4"/>
        <v>0</v>
      </c>
      <c r="R55" s="29"/>
      <c r="S55" s="121"/>
      <c r="T55" s="122"/>
      <c r="U55" s="33">
        <f t="shared" si="5"/>
        <v>0</v>
      </c>
      <c r="V55" s="125"/>
      <c r="W55" s="125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17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31"/>
      <c r="AR55" s="57">
        <f t="shared" si="25"/>
        <v>44872</v>
      </c>
      <c r="AS55" s="17"/>
      <c r="AT55" s="33"/>
      <c r="AU55" s="14"/>
      <c r="AV55" s="17"/>
      <c r="AW55" s="33"/>
      <c r="AX55" s="17"/>
      <c r="AY55" s="34"/>
      <c r="AZ55" s="33"/>
      <c r="BA55" s="17"/>
      <c r="BB55" s="89"/>
      <c r="BC55" s="53"/>
      <c r="BD55" s="54"/>
      <c r="BE55" s="17"/>
      <c r="BF55" s="33"/>
    </row>
    <row r="56" spans="2:58" x14ac:dyDescent="0.25">
      <c r="B56" s="45">
        <v>44879</v>
      </c>
      <c r="C56" s="125"/>
      <c r="D56" s="125"/>
      <c r="E56" s="33">
        <f t="shared" si="0"/>
        <v>0</v>
      </c>
      <c r="F56" s="125"/>
      <c r="G56" s="125"/>
      <c r="H56" s="33">
        <f t="shared" si="1"/>
        <v>0</v>
      </c>
      <c r="I56" s="125"/>
      <c r="J56" s="125"/>
      <c r="K56" s="33">
        <f t="shared" si="2"/>
        <v>0</v>
      </c>
      <c r="L56" s="125"/>
      <c r="M56" s="125"/>
      <c r="N56" s="33">
        <f t="shared" si="3"/>
        <v>0</v>
      </c>
      <c r="O56" s="125"/>
      <c r="P56" s="125"/>
      <c r="Q56" s="33">
        <f t="shared" si="4"/>
        <v>0</v>
      </c>
      <c r="R56" s="29"/>
      <c r="S56" s="121"/>
      <c r="T56" s="122"/>
      <c r="U56" s="33">
        <f t="shared" si="5"/>
        <v>0</v>
      </c>
      <c r="V56" s="125"/>
      <c r="W56" s="125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17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31"/>
      <c r="AR56" s="57">
        <f t="shared" si="25"/>
        <v>44879</v>
      </c>
      <c r="AS56" s="17"/>
      <c r="AT56" s="33"/>
      <c r="AU56" s="14"/>
      <c r="AV56" s="17"/>
      <c r="AW56" s="33"/>
      <c r="AX56" s="17"/>
      <c r="AY56" s="34"/>
      <c r="AZ56" s="33"/>
      <c r="BA56" s="17"/>
      <c r="BB56" s="89"/>
      <c r="BC56" s="53"/>
      <c r="BD56" s="54"/>
      <c r="BE56" s="17"/>
      <c r="BF56" s="33"/>
    </row>
    <row r="57" spans="2:58" x14ac:dyDescent="0.25">
      <c r="B57" s="45">
        <v>44886</v>
      </c>
      <c r="C57" s="125"/>
      <c r="D57" s="125"/>
      <c r="E57" s="33">
        <f t="shared" si="0"/>
        <v>0</v>
      </c>
      <c r="F57" s="125"/>
      <c r="G57" s="125"/>
      <c r="H57" s="33">
        <f t="shared" si="1"/>
        <v>0</v>
      </c>
      <c r="I57" s="125"/>
      <c r="J57" s="125"/>
      <c r="K57" s="33">
        <f t="shared" si="2"/>
        <v>0</v>
      </c>
      <c r="L57" s="125"/>
      <c r="M57" s="125"/>
      <c r="N57" s="33">
        <f t="shared" si="3"/>
        <v>0</v>
      </c>
      <c r="O57" s="125"/>
      <c r="P57" s="125"/>
      <c r="Q57" s="33">
        <f t="shared" si="4"/>
        <v>0</v>
      </c>
      <c r="R57" s="29"/>
      <c r="S57" s="121"/>
      <c r="T57" s="122"/>
      <c r="U57" s="33">
        <f t="shared" si="5"/>
        <v>0</v>
      </c>
      <c r="V57" s="125"/>
      <c r="W57" s="125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17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31"/>
      <c r="AR57" s="57">
        <f t="shared" si="25"/>
        <v>44886</v>
      </c>
      <c r="AS57" s="17"/>
      <c r="AT57" s="33"/>
      <c r="AU57" s="14"/>
      <c r="AV57" s="17"/>
      <c r="AW57" s="33"/>
      <c r="AX57" s="17"/>
      <c r="AY57" s="34"/>
      <c r="AZ57" s="33"/>
      <c r="BA57" s="17"/>
      <c r="BB57" s="89"/>
      <c r="BC57" s="53"/>
      <c r="BD57" s="54"/>
      <c r="BE57" s="17"/>
      <c r="BF57" s="33"/>
    </row>
    <row r="58" spans="2:58" x14ac:dyDescent="0.25">
      <c r="B58" s="45">
        <v>44893</v>
      </c>
      <c r="C58" s="125"/>
      <c r="D58" s="125"/>
      <c r="E58" s="33">
        <f t="shared" si="0"/>
        <v>0</v>
      </c>
      <c r="F58" s="125"/>
      <c r="G58" s="125"/>
      <c r="H58" s="33">
        <f t="shared" si="1"/>
        <v>0</v>
      </c>
      <c r="I58" s="125"/>
      <c r="J58" s="125"/>
      <c r="K58" s="33">
        <f t="shared" si="2"/>
        <v>0</v>
      </c>
      <c r="L58" s="125"/>
      <c r="M58" s="125"/>
      <c r="N58" s="33">
        <f t="shared" si="3"/>
        <v>0</v>
      </c>
      <c r="O58" s="125"/>
      <c r="P58" s="125"/>
      <c r="Q58" s="33">
        <f t="shared" si="4"/>
        <v>0</v>
      </c>
      <c r="R58" s="29"/>
      <c r="S58" s="121"/>
      <c r="T58" s="122"/>
      <c r="U58" s="33">
        <f t="shared" si="5"/>
        <v>0</v>
      </c>
      <c r="V58" s="125"/>
      <c r="W58" s="125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17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31"/>
      <c r="AR58" s="57">
        <f t="shared" si="25"/>
        <v>44893</v>
      </c>
      <c r="AS58" s="17"/>
      <c r="AT58" s="33"/>
      <c r="AU58" s="14"/>
      <c r="AV58" s="17"/>
      <c r="AW58" s="33"/>
      <c r="AX58" s="17"/>
      <c r="AY58" s="34"/>
      <c r="AZ58" s="33"/>
      <c r="BA58" s="17"/>
      <c r="BB58" s="89"/>
      <c r="BC58" s="53"/>
      <c r="BD58" s="54"/>
      <c r="BE58" s="17"/>
      <c r="BF58" s="33"/>
    </row>
    <row r="59" spans="2:58" x14ac:dyDescent="0.25">
      <c r="B59" s="45">
        <v>44895</v>
      </c>
      <c r="C59" s="125"/>
      <c r="D59" s="125"/>
      <c r="E59" s="33">
        <f t="shared" si="0"/>
        <v>0</v>
      </c>
      <c r="F59" s="125"/>
      <c r="G59" s="125"/>
      <c r="H59" s="33">
        <f t="shared" si="1"/>
        <v>0</v>
      </c>
      <c r="I59" s="125"/>
      <c r="J59" s="125"/>
      <c r="K59" s="33">
        <f t="shared" si="2"/>
        <v>0</v>
      </c>
      <c r="L59" s="125"/>
      <c r="M59" s="125"/>
      <c r="N59" s="33">
        <f t="shared" si="3"/>
        <v>0</v>
      </c>
      <c r="O59" s="125"/>
      <c r="P59" s="125"/>
      <c r="Q59" s="33">
        <f t="shared" si="4"/>
        <v>0</v>
      </c>
      <c r="R59" s="29"/>
      <c r="S59" s="121"/>
      <c r="T59" s="122"/>
      <c r="U59" s="33">
        <f t="shared" si="5"/>
        <v>0</v>
      </c>
      <c r="V59" s="125"/>
      <c r="W59" s="125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17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31"/>
      <c r="AR59" s="57">
        <f t="shared" si="25"/>
        <v>44895</v>
      </c>
      <c r="AS59" s="17"/>
      <c r="AT59" s="33"/>
      <c r="AU59" s="14"/>
      <c r="AV59" s="17"/>
      <c r="AW59" s="33"/>
      <c r="AX59" s="17"/>
      <c r="AY59" s="34"/>
      <c r="AZ59" s="33"/>
      <c r="BA59" s="17"/>
      <c r="BB59" s="89"/>
      <c r="BC59" s="53"/>
      <c r="BD59" s="54"/>
      <c r="BE59" s="17"/>
      <c r="BF59" s="33"/>
    </row>
    <row r="60" spans="2:58" x14ac:dyDescent="0.25">
      <c r="B60" s="45">
        <v>44900</v>
      </c>
      <c r="C60" s="125"/>
      <c r="D60" s="125"/>
      <c r="E60" s="33">
        <f t="shared" si="0"/>
        <v>0</v>
      </c>
      <c r="F60" s="125"/>
      <c r="G60" s="125"/>
      <c r="H60" s="33">
        <f t="shared" si="1"/>
        <v>0</v>
      </c>
      <c r="I60" s="125"/>
      <c r="J60" s="125"/>
      <c r="K60" s="33">
        <f t="shared" si="2"/>
        <v>0</v>
      </c>
      <c r="L60" s="125"/>
      <c r="M60" s="125"/>
      <c r="N60" s="33">
        <f t="shared" si="3"/>
        <v>0</v>
      </c>
      <c r="O60" s="125"/>
      <c r="P60" s="125"/>
      <c r="Q60" s="33">
        <f t="shared" si="4"/>
        <v>0</v>
      </c>
      <c r="R60" s="29"/>
      <c r="S60" s="121"/>
      <c r="T60" s="122"/>
      <c r="U60" s="33">
        <f t="shared" si="5"/>
        <v>0</v>
      </c>
      <c r="V60" s="125"/>
      <c r="W60" s="125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17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31"/>
      <c r="AR60" s="57">
        <f t="shared" si="25"/>
        <v>44900</v>
      </c>
      <c r="AS60" s="17"/>
      <c r="AT60" s="33"/>
      <c r="AU60" s="14"/>
      <c r="AV60" s="17"/>
      <c r="AW60" s="33"/>
      <c r="AX60" s="17"/>
      <c r="AY60" s="34"/>
      <c r="AZ60" s="33"/>
      <c r="BA60" s="17"/>
      <c r="BB60" s="89"/>
      <c r="BC60" s="53"/>
      <c r="BD60" s="54"/>
      <c r="BE60" s="17"/>
      <c r="BF60" s="33"/>
    </row>
    <row r="61" spans="2:58" x14ac:dyDescent="0.25">
      <c r="B61" s="45">
        <v>44907</v>
      </c>
      <c r="C61" s="125"/>
      <c r="D61" s="125"/>
      <c r="E61" s="33">
        <f t="shared" si="0"/>
        <v>0</v>
      </c>
      <c r="F61" s="125"/>
      <c r="G61" s="125"/>
      <c r="H61" s="33">
        <f t="shared" si="1"/>
        <v>0</v>
      </c>
      <c r="I61" s="125"/>
      <c r="J61" s="125"/>
      <c r="K61" s="33">
        <f t="shared" si="2"/>
        <v>0</v>
      </c>
      <c r="L61" s="125"/>
      <c r="M61" s="125"/>
      <c r="N61" s="33">
        <f t="shared" si="3"/>
        <v>0</v>
      </c>
      <c r="O61" s="125"/>
      <c r="P61" s="125"/>
      <c r="Q61" s="33">
        <f t="shared" si="4"/>
        <v>0</v>
      </c>
      <c r="R61" s="29"/>
      <c r="S61" s="121"/>
      <c r="T61" s="122"/>
      <c r="U61" s="33">
        <f t="shared" si="5"/>
        <v>0</v>
      </c>
      <c r="V61" s="125"/>
      <c r="W61" s="125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17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31"/>
      <c r="AR61" s="57">
        <f t="shared" si="25"/>
        <v>44907</v>
      </c>
      <c r="AS61" s="17"/>
      <c r="AT61" s="33"/>
      <c r="AU61" s="14"/>
      <c r="AV61" s="17"/>
      <c r="AW61" s="33"/>
      <c r="AX61" s="17"/>
      <c r="AY61" s="34"/>
      <c r="AZ61" s="33"/>
      <c r="BA61" s="17"/>
      <c r="BB61" s="89"/>
      <c r="BC61" s="53"/>
      <c r="BD61" s="54"/>
      <c r="BE61" s="17"/>
      <c r="BF61" s="33"/>
    </row>
    <row r="62" spans="2:58" x14ac:dyDescent="0.25">
      <c r="B62" s="45">
        <v>44914</v>
      </c>
      <c r="C62" s="125"/>
      <c r="D62" s="125"/>
      <c r="E62" s="33">
        <f t="shared" si="0"/>
        <v>0</v>
      </c>
      <c r="F62" s="125"/>
      <c r="G62" s="125"/>
      <c r="H62" s="33">
        <f t="shared" si="1"/>
        <v>0</v>
      </c>
      <c r="I62" s="125"/>
      <c r="J62" s="125"/>
      <c r="K62" s="33">
        <f t="shared" si="2"/>
        <v>0</v>
      </c>
      <c r="L62" s="125"/>
      <c r="M62" s="125"/>
      <c r="N62" s="33">
        <f t="shared" si="3"/>
        <v>0</v>
      </c>
      <c r="O62" s="125"/>
      <c r="P62" s="125"/>
      <c r="Q62" s="33">
        <f t="shared" si="4"/>
        <v>0</v>
      </c>
      <c r="R62" s="29"/>
      <c r="S62" s="121"/>
      <c r="T62" s="122"/>
      <c r="U62" s="33">
        <f t="shared" si="5"/>
        <v>0</v>
      </c>
      <c r="V62" s="125"/>
      <c r="W62" s="125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17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31"/>
      <c r="AR62" s="57">
        <f t="shared" si="25"/>
        <v>44914</v>
      </c>
      <c r="AS62" s="17"/>
      <c r="AT62" s="33"/>
      <c r="AU62" s="14"/>
      <c r="AV62" s="17"/>
      <c r="AW62" s="33"/>
      <c r="AX62" s="17"/>
      <c r="AY62" s="34"/>
      <c r="AZ62" s="33"/>
      <c r="BA62" s="17"/>
      <c r="BB62" s="89"/>
      <c r="BC62" s="53"/>
      <c r="BD62" s="54"/>
      <c r="BE62" s="17"/>
      <c r="BF62" s="33"/>
    </row>
    <row r="63" spans="2:58" x14ac:dyDescent="0.25">
      <c r="B63" s="45">
        <v>44921</v>
      </c>
      <c r="C63" s="125"/>
      <c r="D63" s="125"/>
      <c r="E63" s="33">
        <f t="shared" si="0"/>
        <v>0</v>
      </c>
      <c r="F63" s="125"/>
      <c r="G63" s="125"/>
      <c r="H63" s="33">
        <f t="shared" si="1"/>
        <v>0</v>
      </c>
      <c r="I63" s="125"/>
      <c r="J63" s="125"/>
      <c r="K63" s="33">
        <f t="shared" si="2"/>
        <v>0</v>
      </c>
      <c r="L63" s="125"/>
      <c r="M63" s="125"/>
      <c r="N63" s="33">
        <f t="shared" si="3"/>
        <v>0</v>
      </c>
      <c r="O63" s="125"/>
      <c r="P63" s="125"/>
      <c r="Q63" s="33">
        <f t="shared" si="4"/>
        <v>0</v>
      </c>
      <c r="R63" s="29"/>
      <c r="S63" s="121"/>
      <c r="T63" s="122"/>
      <c r="U63" s="33">
        <f t="shared" si="5"/>
        <v>0</v>
      </c>
      <c r="V63" s="125"/>
      <c r="W63" s="125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17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31"/>
      <c r="AR63" s="57">
        <f t="shared" si="25"/>
        <v>44921</v>
      </c>
      <c r="AS63" s="17"/>
      <c r="AT63" s="33"/>
      <c r="AU63" s="14"/>
      <c r="AV63" s="17"/>
      <c r="AW63" s="33"/>
      <c r="AX63" s="17"/>
      <c r="AY63" s="34"/>
      <c r="AZ63" s="33"/>
      <c r="BA63" s="17"/>
      <c r="BB63" s="89"/>
      <c r="BC63" s="53"/>
      <c r="BD63" s="54"/>
      <c r="BE63" s="17"/>
      <c r="BF63" s="33"/>
    </row>
    <row r="64" spans="2:58" x14ac:dyDescent="0.25">
      <c r="B64" s="45">
        <v>44926</v>
      </c>
      <c r="C64" s="125"/>
      <c r="D64" s="125"/>
      <c r="E64" s="33">
        <f t="shared" si="0"/>
        <v>0</v>
      </c>
      <c r="F64" s="125"/>
      <c r="G64" s="125"/>
      <c r="H64" s="33">
        <f t="shared" si="1"/>
        <v>0</v>
      </c>
      <c r="I64" s="125"/>
      <c r="J64" s="125"/>
      <c r="K64" s="33">
        <f t="shared" si="2"/>
        <v>0</v>
      </c>
      <c r="L64" s="125"/>
      <c r="M64" s="125"/>
      <c r="N64" s="33">
        <f t="shared" si="3"/>
        <v>0</v>
      </c>
      <c r="O64" s="125"/>
      <c r="P64" s="125"/>
      <c r="Q64" s="33">
        <f t="shared" si="4"/>
        <v>0</v>
      </c>
      <c r="R64" s="29"/>
      <c r="S64" s="121"/>
      <c r="T64" s="122"/>
      <c r="U64" s="33">
        <f t="shared" si="5"/>
        <v>0</v>
      </c>
      <c r="V64" s="125"/>
      <c r="W64" s="125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17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31"/>
      <c r="AR64" s="57">
        <f t="shared" si="25"/>
        <v>44926</v>
      </c>
      <c r="AS64" s="17"/>
      <c r="AT64" s="33"/>
      <c r="AU64" s="14"/>
      <c r="AV64" s="17"/>
      <c r="AW64" s="33"/>
      <c r="AX64" s="17"/>
      <c r="AY64" s="34"/>
      <c r="AZ64" s="33"/>
      <c r="BA64" s="17"/>
      <c r="BB64" s="89"/>
      <c r="BC64" s="53"/>
      <c r="BD64" s="54"/>
      <c r="BE64" s="17"/>
      <c r="BF64" s="33"/>
    </row>
    <row r="65" spans="44:44" x14ac:dyDescent="0.25">
      <c r="AR65" s="115"/>
    </row>
  </sheetData>
  <mergeCells count="464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O2:AP2"/>
    <mergeCell ref="O2:P2"/>
    <mergeCell ref="AA2:AB2"/>
    <mergeCell ref="AE2:AF2"/>
    <mergeCell ref="AG2:AH2"/>
    <mergeCell ref="AI2:AJ2"/>
    <mergeCell ref="AK2:AL2"/>
    <mergeCell ref="AM2:AN2"/>
    <mergeCell ref="AC2:AD2"/>
    <mergeCell ref="BA1:BB1"/>
    <mergeCell ref="BC1:BD1"/>
    <mergeCell ref="BE1:BF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55" workbookViewId="0">
      <selection activeCell="M14" sqref="M14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0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349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266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401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377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321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339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326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346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365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365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360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362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378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389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380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364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297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307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346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403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406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356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398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404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409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368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392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396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388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422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411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409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353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382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374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392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394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345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272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392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356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355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399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267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291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288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308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300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250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323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371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337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332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210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320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304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329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422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332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367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282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305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341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325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250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310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308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329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307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251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344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356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421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421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225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185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187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200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331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370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381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358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356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218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259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360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432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346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327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307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245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276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390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381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252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227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219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210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285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396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431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428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431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431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434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428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416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380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367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296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256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274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285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298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288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214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205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200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205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242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16">
        <v>308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307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307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296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322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335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371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320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323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239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230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251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315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306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341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349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284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348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421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421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425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418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352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276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263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271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320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335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348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349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436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430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425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427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265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280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332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238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283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287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294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305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342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376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394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361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357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205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179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294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317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282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130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229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281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332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371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355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174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212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366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367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379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213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248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203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248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365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396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295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328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349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269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282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245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245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161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192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421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354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341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343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361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258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337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393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359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272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307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420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430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308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295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398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389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378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245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258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268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266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257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428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429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420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182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216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273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197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199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260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383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384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390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320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227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207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206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210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205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235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268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255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368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363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367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219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252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272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358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343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231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196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186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198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192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397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420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412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247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174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171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274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346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392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290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237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211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230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237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210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189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260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352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382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2022-04-11T18:18:53Z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