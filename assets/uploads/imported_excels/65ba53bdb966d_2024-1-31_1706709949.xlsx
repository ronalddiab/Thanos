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 codeName="ThisWorkbook"/>
  <xr:revisionPtr revIDLastSave="7" documentId="13_ncr:1_{5C05B4F0-D28B-404C-BFBD-B4CFD25E7234}" xr6:coauthVersionLast="36" xr6:coauthVersionMax="36" xr10:uidLastSave="{A4A389D1-1776-4756-9A49-A40B5B95C58A}"/>
  <bookViews>
    <workbookView xWindow="-120" yWindow="-120" windowWidth="29040" windowHeight="15840" firstSheet="21" activeTab="33" xr2:uid="{00000000-000D-0000-FFFF-FFFF00000000}"/>
  </bookViews>
  <sheets>
    <sheet name="1" sheetId="636" r:id="rId1"/>
    <sheet name="2" sheetId="637" r:id="rId2"/>
    <sheet name="3" sheetId="638" r:id="rId3"/>
    <sheet name="4" sheetId="639" r:id="rId4"/>
    <sheet name="5" sheetId="640" r:id="rId5"/>
    <sheet name="6" sheetId="641" r:id="rId6"/>
    <sheet name="7" sheetId="642" r:id="rId7"/>
    <sheet name="8" sheetId="643" r:id="rId8"/>
    <sheet name="9" sheetId="644" r:id="rId9"/>
    <sheet name="10" sheetId="645" r:id="rId10"/>
    <sheet name="11" sheetId="646" r:id="rId11"/>
    <sheet name="12" sheetId="647" r:id="rId12"/>
    <sheet name="13" sheetId="648" r:id="rId13"/>
    <sheet name="14" sheetId="649" r:id="rId14"/>
    <sheet name="15" sheetId="650" r:id="rId15"/>
    <sheet name="16" sheetId="651" r:id="rId16"/>
    <sheet name="17" sheetId="652" r:id="rId17"/>
    <sheet name="18" sheetId="653" r:id="rId18"/>
    <sheet name="19" sheetId="654" r:id="rId19"/>
    <sheet name="20" sheetId="655" r:id="rId20"/>
    <sheet name="21" sheetId="656" r:id="rId21"/>
    <sheet name="22" sheetId="657" r:id="rId22"/>
    <sheet name="23" sheetId="658" r:id="rId23"/>
    <sheet name="24" sheetId="659" r:id="rId24"/>
    <sheet name="25" sheetId="606" r:id="rId25"/>
    <sheet name="26" sheetId="607" r:id="rId26"/>
    <sheet name="27" sheetId="631" r:id="rId27"/>
    <sheet name="28" sheetId="632" r:id="rId28"/>
    <sheet name="29" sheetId="633" r:id="rId29"/>
    <sheet name="30" sheetId="634" r:id="rId30"/>
    <sheet name="31" sheetId="635" r:id="rId31"/>
    <sheet name="dec. 19 to jan. 19" sheetId="613" r:id="rId32"/>
    <sheet name="jan. 1 to 31" sheetId="614" r:id="rId33"/>
    <sheet name="Daily Meter" sheetId="460" r:id="rId34"/>
  </sheets>
  <definedNames>
    <definedName name="_xlnm.Print_Area" localSheetId="33">'Daily Meter'!$A$1:$O$38</definedName>
    <definedName name="_xlnm.Print_Area" localSheetId="31">'dec. 19 to jan. 19'!$A$1:$H$50</definedName>
    <definedName name="_xlnm.Print_Area" localSheetId="32">'jan. 1 to 31'!$A$1:$G$50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7" i="460" l="1"/>
  <c r="E22" i="635" l="1"/>
  <c r="E18" i="635"/>
  <c r="E17" i="635"/>
  <c r="E16" i="635"/>
  <c r="E15" i="635"/>
  <c r="E14" i="635"/>
  <c r="E13" i="635"/>
  <c r="E10" i="635"/>
  <c r="E7" i="635"/>
  <c r="F13" i="613" l="1"/>
  <c r="F13" i="614" l="1"/>
  <c r="H13" i="613" l="1"/>
  <c r="E10" i="640" l="1"/>
  <c r="G42" i="613" l="1"/>
  <c r="G37" i="613"/>
  <c r="G23" i="613"/>
  <c r="G13" i="613"/>
  <c r="G12" i="613"/>
  <c r="E15" i="636" l="1"/>
  <c r="B3" i="607" l="1"/>
  <c r="B3" i="631"/>
  <c r="B3" i="632"/>
  <c r="B3" i="633"/>
  <c r="B3" i="634"/>
  <c r="B3" i="635"/>
  <c r="E3" i="635"/>
  <c r="E3" i="634"/>
  <c r="E3" i="633"/>
  <c r="E3" i="632"/>
  <c r="E3" i="631"/>
  <c r="E3" i="607"/>
  <c r="E3" i="606"/>
  <c r="B3" i="606"/>
  <c r="E22" i="659"/>
  <c r="D22" i="606" s="1"/>
  <c r="E18" i="659"/>
  <c r="D18" i="606" s="1"/>
  <c r="E17" i="659"/>
  <c r="D17" i="606" s="1"/>
  <c r="E16" i="659"/>
  <c r="D16" i="606" s="1"/>
  <c r="E15" i="659"/>
  <c r="D15" i="606" s="1"/>
  <c r="E14" i="659"/>
  <c r="D14" i="606" s="1"/>
  <c r="E13" i="659"/>
  <c r="D13" i="606" s="1"/>
  <c r="E10" i="659"/>
  <c r="D10" i="606" s="1"/>
  <c r="E7" i="659"/>
  <c r="D7" i="606" s="1"/>
  <c r="E3" i="659"/>
  <c r="B3" i="659"/>
  <c r="E22" i="658"/>
  <c r="D22" i="659" s="1"/>
  <c r="E18" i="658"/>
  <c r="D18" i="659" s="1"/>
  <c r="E17" i="658"/>
  <c r="D17" i="659" s="1"/>
  <c r="E16" i="658"/>
  <c r="D16" i="659" s="1"/>
  <c r="E15" i="658"/>
  <c r="D15" i="659" s="1"/>
  <c r="E14" i="658"/>
  <c r="D14" i="659" s="1"/>
  <c r="E13" i="658"/>
  <c r="D13" i="659" s="1"/>
  <c r="E10" i="658"/>
  <c r="E7" i="658"/>
  <c r="D7" i="659" s="1"/>
  <c r="E3" i="658"/>
  <c r="B3" i="658"/>
  <c r="E22" i="657"/>
  <c r="D22" i="658" s="1"/>
  <c r="E18" i="657"/>
  <c r="D18" i="658" s="1"/>
  <c r="E17" i="657"/>
  <c r="D17" i="658" s="1"/>
  <c r="E16" i="657"/>
  <c r="D16" i="658" s="1"/>
  <c r="E15" i="657"/>
  <c r="D15" i="658" s="1"/>
  <c r="E14" i="657"/>
  <c r="D14" i="658" s="1"/>
  <c r="E13" i="657"/>
  <c r="D13" i="658" s="1"/>
  <c r="E10" i="657"/>
  <c r="D10" i="658" s="1"/>
  <c r="E7" i="657"/>
  <c r="D7" i="658" s="1"/>
  <c r="E3" i="657"/>
  <c r="B3" i="657"/>
  <c r="E22" i="656"/>
  <c r="E18" i="656"/>
  <c r="D18" i="657" s="1"/>
  <c r="E17" i="656"/>
  <c r="E16" i="656"/>
  <c r="D16" i="657" s="1"/>
  <c r="E15" i="656"/>
  <c r="D15" i="657" s="1"/>
  <c r="E14" i="656"/>
  <c r="D14" i="657" s="1"/>
  <c r="E13" i="656"/>
  <c r="D13" i="657" s="1"/>
  <c r="E10" i="656"/>
  <c r="D10" i="657" s="1"/>
  <c r="E7" i="656"/>
  <c r="D7" i="657" s="1"/>
  <c r="E3" i="656"/>
  <c r="B3" i="656"/>
  <c r="E22" i="655"/>
  <c r="E18" i="655"/>
  <c r="E17" i="655"/>
  <c r="D17" i="656" s="1"/>
  <c r="E16" i="655"/>
  <c r="D16" i="656" s="1"/>
  <c r="E15" i="655"/>
  <c r="D15" i="656" s="1"/>
  <c r="E14" i="655"/>
  <c r="D14" i="656" s="1"/>
  <c r="E13" i="655"/>
  <c r="D13" i="656" s="1"/>
  <c r="E10" i="655"/>
  <c r="D10" i="656" s="1"/>
  <c r="E7" i="655"/>
  <c r="D7" i="656" s="1"/>
  <c r="E3" i="655"/>
  <c r="B3" i="655"/>
  <c r="E22" i="654"/>
  <c r="D22" i="655" s="1"/>
  <c r="E18" i="654"/>
  <c r="D18" i="655" s="1"/>
  <c r="E17" i="654"/>
  <c r="D17" i="655" s="1"/>
  <c r="E16" i="654"/>
  <c r="D16" i="655" s="1"/>
  <c r="E15" i="654"/>
  <c r="E14" i="654"/>
  <c r="D14" i="655" s="1"/>
  <c r="E13" i="654"/>
  <c r="D13" i="655" s="1"/>
  <c r="E10" i="654"/>
  <c r="E7" i="654"/>
  <c r="D7" i="655" s="1"/>
  <c r="E3" i="654"/>
  <c r="B3" i="654"/>
  <c r="E22" i="653"/>
  <c r="D22" i="654" s="1"/>
  <c r="E18" i="653"/>
  <c r="D18" i="654" s="1"/>
  <c r="E17" i="653"/>
  <c r="D17" i="654" s="1"/>
  <c r="E16" i="653"/>
  <c r="D16" i="654" s="1"/>
  <c r="E15" i="653"/>
  <c r="D15" i="654" s="1"/>
  <c r="E14" i="653"/>
  <c r="D14" i="654" s="1"/>
  <c r="E13" i="653"/>
  <c r="D13" i="654" s="1"/>
  <c r="E10" i="653"/>
  <c r="E7" i="653"/>
  <c r="D7" i="654" s="1"/>
  <c r="E3" i="653"/>
  <c r="B3" i="653"/>
  <c r="E22" i="652"/>
  <c r="D22" i="653" s="1"/>
  <c r="E18" i="652"/>
  <c r="D18" i="653" s="1"/>
  <c r="E17" i="652"/>
  <c r="E16" i="652"/>
  <c r="D16" i="653" s="1"/>
  <c r="E15" i="652"/>
  <c r="E14" i="652"/>
  <c r="E13" i="652"/>
  <c r="D13" i="653" s="1"/>
  <c r="E10" i="652"/>
  <c r="D10" i="653" s="1"/>
  <c r="E7" i="652"/>
  <c r="E3" i="652"/>
  <c r="B3" i="652"/>
  <c r="E22" i="651"/>
  <c r="D22" i="652" s="1"/>
  <c r="E18" i="651"/>
  <c r="D18" i="652" s="1"/>
  <c r="E17" i="651"/>
  <c r="E16" i="651"/>
  <c r="D16" i="652" s="1"/>
  <c r="E15" i="651"/>
  <c r="D15" i="652" s="1"/>
  <c r="E14" i="651"/>
  <c r="E13" i="651"/>
  <c r="D13" i="652" s="1"/>
  <c r="E10" i="651"/>
  <c r="D10" i="652" s="1"/>
  <c r="E7" i="651"/>
  <c r="D7" i="652" s="1"/>
  <c r="E3" i="651"/>
  <c r="B3" i="651"/>
  <c r="E22" i="650"/>
  <c r="D22" i="651" s="1"/>
  <c r="E18" i="650"/>
  <c r="D18" i="651" s="1"/>
  <c r="E17" i="650"/>
  <c r="D17" i="651" s="1"/>
  <c r="E16" i="650"/>
  <c r="D16" i="651" s="1"/>
  <c r="E15" i="650"/>
  <c r="D15" i="651" s="1"/>
  <c r="E14" i="650"/>
  <c r="D14" i="651" s="1"/>
  <c r="E13" i="650"/>
  <c r="D13" i="651" s="1"/>
  <c r="E10" i="650"/>
  <c r="D10" i="651" s="1"/>
  <c r="E7" i="650"/>
  <c r="E3" i="650"/>
  <c r="B3" i="650"/>
  <c r="E22" i="649"/>
  <c r="E18" i="649"/>
  <c r="D18" i="650" s="1"/>
  <c r="E17" i="649"/>
  <c r="D17" i="650" s="1"/>
  <c r="E16" i="649"/>
  <c r="D16" i="650" s="1"/>
  <c r="E15" i="649"/>
  <c r="D15" i="650" s="1"/>
  <c r="E14" i="649"/>
  <c r="D14" i="650" s="1"/>
  <c r="E13" i="649"/>
  <c r="D13" i="650" s="1"/>
  <c r="E10" i="649"/>
  <c r="D10" i="650" s="1"/>
  <c r="E7" i="649"/>
  <c r="D7" i="650" s="1"/>
  <c r="E3" i="649"/>
  <c r="B3" i="649"/>
  <c r="E22" i="648"/>
  <c r="D22" i="649" s="1"/>
  <c r="E18" i="648"/>
  <c r="D18" i="649" s="1"/>
  <c r="E17" i="648"/>
  <c r="D17" i="649" s="1"/>
  <c r="E16" i="648"/>
  <c r="D16" i="649" s="1"/>
  <c r="E15" i="648"/>
  <c r="D15" i="649" s="1"/>
  <c r="E14" i="648"/>
  <c r="D14" i="649" s="1"/>
  <c r="E13" i="648"/>
  <c r="D13" i="649" s="1"/>
  <c r="E10" i="648"/>
  <c r="D10" i="649" s="1"/>
  <c r="E7" i="648"/>
  <c r="D7" i="649" s="1"/>
  <c r="E3" i="648"/>
  <c r="B3" i="648"/>
  <c r="E22" i="647"/>
  <c r="D22" i="648" s="1"/>
  <c r="E18" i="647"/>
  <c r="D18" i="648" s="1"/>
  <c r="E17" i="647"/>
  <c r="D17" i="648" s="1"/>
  <c r="E16" i="647"/>
  <c r="D16" i="648" s="1"/>
  <c r="E15" i="647"/>
  <c r="D15" i="648" s="1"/>
  <c r="E14" i="647"/>
  <c r="D14" i="648" s="1"/>
  <c r="E13" i="647"/>
  <c r="D13" i="648" s="1"/>
  <c r="E10" i="647"/>
  <c r="D10" i="648" s="1"/>
  <c r="E7" i="647"/>
  <c r="E3" i="647"/>
  <c r="B3" i="647"/>
  <c r="E22" i="646"/>
  <c r="D22" i="647" s="1"/>
  <c r="E18" i="646"/>
  <c r="D18" i="647" s="1"/>
  <c r="E17" i="646"/>
  <c r="D17" i="647" s="1"/>
  <c r="E16" i="646"/>
  <c r="D16" i="647" s="1"/>
  <c r="E15" i="646"/>
  <c r="D15" i="647" s="1"/>
  <c r="E14" i="646"/>
  <c r="D14" i="647" s="1"/>
  <c r="E13" i="646"/>
  <c r="D13" i="647" s="1"/>
  <c r="E10" i="646"/>
  <c r="D10" i="647" s="1"/>
  <c r="E7" i="646"/>
  <c r="D7" i="647" s="1"/>
  <c r="E3" i="646"/>
  <c r="B3" i="646"/>
  <c r="E22" i="645"/>
  <c r="D22" i="646" s="1"/>
  <c r="E18" i="645"/>
  <c r="D18" i="646" s="1"/>
  <c r="E17" i="645"/>
  <c r="D17" i="646" s="1"/>
  <c r="E16" i="645"/>
  <c r="D16" i="646" s="1"/>
  <c r="E15" i="645"/>
  <c r="D15" i="646" s="1"/>
  <c r="E14" i="645"/>
  <c r="D14" i="646" s="1"/>
  <c r="E13" i="645"/>
  <c r="D13" i="646" s="1"/>
  <c r="E10" i="645"/>
  <c r="D10" i="646" s="1"/>
  <c r="E7" i="645"/>
  <c r="D7" i="646" s="1"/>
  <c r="E3" i="645"/>
  <c r="B3" i="645"/>
  <c r="E22" i="644"/>
  <c r="D22" i="645" s="1"/>
  <c r="E18" i="644"/>
  <c r="D18" i="645" s="1"/>
  <c r="E17" i="644"/>
  <c r="D17" i="645" s="1"/>
  <c r="E16" i="644"/>
  <c r="D16" i="645" s="1"/>
  <c r="E15" i="644"/>
  <c r="D15" i="645" s="1"/>
  <c r="E14" i="644"/>
  <c r="D14" i="645" s="1"/>
  <c r="E13" i="644"/>
  <c r="D13" i="645" s="1"/>
  <c r="E10" i="644"/>
  <c r="D10" i="645" s="1"/>
  <c r="E7" i="644"/>
  <c r="D7" i="645" s="1"/>
  <c r="E3" i="644"/>
  <c r="E3" i="643"/>
  <c r="B3" i="644"/>
  <c r="E22" i="643"/>
  <c r="D22" i="644" s="1"/>
  <c r="E18" i="643"/>
  <c r="D18" i="644" s="1"/>
  <c r="E17" i="643"/>
  <c r="D17" i="644" s="1"/>
  <c r="E16" i="643"/>
  <c r="D16" i="644" s="1"/>
  <c r="E15" i="643"/>
  <c r="D15" i="644" s="1"/>
  <c r="E14" i="643"/>
  <c r="D14" i="644" s="1"/>
  <c r="E13" i="643"/>
  <c r="D13" i="644" s="1"/>
  <c r="E10" i="643"/>
  <c r="D10" i="644" s="1"/>
  <c r="E7" i="643"/>
  <c r="D7" i="644" s="1"/>
  <c r="B3" i="643"/>
  <c r="E22" i="642"/>
  <c r="D22" i="643" s="1"/>
  <c r="E18" i="642"/>
  <c r="D18" i="643" s="1"/>
  <c r="E17" i="642"/>
  <c r="D17" i="643" s="1"/>
  <c r="E16" i="642"/>
  <c r="D16" i="643" s="1"/>
  <c r="E15" i="642"/>
  <c r="D15" i="643" s="1"/>
  <c r="E14" i="642"/>
  <c r="D14" i="643" s="1"/>
  <c r="E13" i="642"/>
  <c r="D13" i="643" s="1"/>
  <c r="E10" i="642"/>
  <c r="D10" i="643" s="1"/>
  <c r="E7" i="642"/>
  <c r="D7" i="643" s="1"/>
  <c r="E3" i="642"/>
  <c r="B3" i="642"/>
  <c r="E22" i="641"/>
  <c r="D22" i="642" s="1"/>
  <c r="E16" i="641"/>
  <c r="D16" i="642" s="1"/>
  <c r="E18" i="641"/>
  <c r="D18" i="642" s="1"/>
  <c r="E17" i="641"/>
  <c r="D17" i="642" s="1"/>
  <c r="E15" i="641"/>
  <c r="D15" i="642" s="1"/>
  <c r="E14" i="641"/>
  <c r="D14" i="642" s="1"/>
  <c r="E13" i="641"/>
  <c r="D13" i="642" s="1"/>
  <c r="E10" i="641"/>
  <c r="D10" i="642" s="1"/>
  <c r="E7" i="641"/>
  <c r="D7" i="642" s="1"/>
  <c r="E3" i="641"/>
  <c r="B3" i="641"/>
  <c r="E22" i="640"/>
  <c r="D22" i="641" s="1"/>
  <c r="E18" i="640"/>
  <c r="D18" i="641" s="1"/>
  <c r="E17" i="640"/>
  <c r="D17" i="641" s="1"/>
  <c r="E16" i="640"/>
  <c r="D16" i="641" s="1"/>
  <c r="E15" i="640"/>
  <c r="D15" i="641" s="1"/>
  <c r="E14" i="640"/>
  <c r="D14" i="641" s="1"/>
  <c r="E13" i="640"/>
  <c r="D13" i="641" s="1"/>
  <c r="D10" i="641"/>
  <c r="E7" i="640"/>
  <c r="D7" i="641" s="1"/>
  <c r="E3" i="640"/>
  <c r="B3" i="640"/>
  <c r="E22" i="639"/>
  <c r="D22" i="640" s="1"/>
  <c r="E18" i="639"/>
  <c r="D18" i="640" s="1"/>
  <c r="E17" i="639"/>
  <c r="D17" i="640" s="1"/>
  <c r="E16" i="639"/>
  <c r="D16" i="640" s="1"/>
  <c r="E15" i="639"/>
  <c r="D15" i="640" s="1"/>
  <c r="E14" i="639"/>
  <c r="D14" i="640" s="1"/>
  <c r="E13" i="639"/>
  <c r="D13" i="640" s="1"/>
  <c r="E10" i="639"/>
  <c r="D10" i="640" s="1"/>
  <c r="E7" i="639"/>
  <c r="D7" i="640" s="1"/>
  <c r="E3" i="639"/>
  <c r="B3" i="639"/>
  <c r="E22" i="638"/>
  <c r="D22" i="639" s="1"/>
  <c r="E18" i="638"/>
  <c r="D18" i="639" s="1"/>
  <c r="E17" i="638"/>
  <c r="D17" i="639" s="1"/>
  <c r="E16" i="638"/>
  <c r="D16" i="639" s="1"/>
  <c r="E15" i="638"/>
  <c r="D15" i="639" s="1"/>
  <c r="E14" i="638"/>
  <c r="D14" i="639" s="1"/>
  <c r="E13" i="638"/>
  <c r="D13" i="639" s="1"/>
  <c r="E10" i="638"/>
  <c r="D10" i="639" s="1"/>
  <c r="E7" i="638"/>
  <c r="D7" i="639" s="1"/>
  <c r="E3" i="638"/>
  <c r="E22" i="637"/>
  <c r="D22" i="638" s="1"/>
  <c r="E18" i="637"/>
  <c r="D18" i="638" s="1"/>
  <c r="E17" i="637"/>
  <c r="D17" i="638" s="1"/>
  <c r="E16" i="637"/>
  <c r="D16" i="638" s="1"/>
  <c r="E15" i="637"/>
  <c r="D15" i="638" s="1"/>
  <c r="E14" i="637"/>
  <c r="D14" i="638" s="1"/>
  <c r="E13" i="637"/>
  <c r="D13" i="638" s="1"/>
  <c r="E10" i="637"/>
  <c r="D10" i="638" s="1"/>
  <c r="E7" i="637"/>
  <c r="D7" i="638" s="1"/>
  <c r="D15" i="637"/>
  <c r="B3" i="637"/>
  <c r="B3" i="638"/>
  <c r="E3" i="637"/>
  <c r="E3" i="636"/>
  <c r="E22" i="636"/>
  <c r="F22" i="636" s="1"/>
  <c r="F31" i="636" s="1"/>
  <c r="E18" i="636"/>
  <c r="F18" i="636" s="1"/>
  <c r="E17" i="636"/>
  <c r="F17" i="636" s="1"/>
  <c r="E16" i="636"/>
  <c r="D16" i="637" s="1"/>
  <c r="E14" i="636"/>
  <c r="D14" i="637" s="1"/>
  <c r="E13" i="636"/>
  <c r="D13" i="637" s="1"/>
  <c r="E10" i="636"/>
  <c r="F10" i="636" s="1"/>
  <c r="F11" i="636" s="1"/>
  <c r="E7" i="636"/>
  <c r="F7" i="636" s="1"/>
  <c r="F8" i="636" s="1"/>
  <c r="F15" i="636"/>
  <c r="F10" i="649" l="1"/>
  <c r="F11" i="649" s="1"/>
  <c r="F29" i="649" s="1"/>
  <c r="F15" i="659"/>
  <c r="F17" i="655"/>
  <c r="F14" i="647"/>
  <c r="F10" i="641"/>
  <c r="F11" i="641" s="1"/>
  <c r="G11" i="641" s="1"/>
  <c r="G29" i="641" s="1"/>
  <c r="F22" i="659"/>
  <c r="F31" i="659" s="1"/>
  <c r="F10" i="642"/>
  <c r="F11" i="642" s="1"/>
  <c r="F29" i="642" s="1"/>
  <c r="F17" i="647"/>
  <c r="F16" i="640"/>
  <c r="F13" i="652"/>
  <c r="F7" i="640"/>
  <c r="F8" i="640" s="1"/>
  <c r="G8" i="640" s="1"/>
  <c r="G28" i="640" s="1"/>
  <c r="F14" i="659"/>
  <c r="F13" i="654"/>
  <c r="F18" i="652"/>
  <c r="F16" i="653"/>
  <c r="F10" i="651"/>
  <c r="F11" i="651" s="1"/>
  <c r="F29" i="651" s="1"/>
  <c r="F17" i="649"/>
  <c r="F16" i="648"/>
  <c r="F13" i="648"/>
  <c r="F22" i="647"/>
  <c r="F31" i="647" s="1"/>
  <c r="F22" i="646"/>
  <c r="F31" i="646" s="1"/>
  <c r="F16" i="646"/>
  <c r="F7" i="646"/>
  <c r="F8" i="646" s="1"/>
  <c r="F28" i="646" s="1"/>
  <c r="F14" i="644"/>
  <c r="F14" i="638"/>
  <c r="F10" i="639"/>
  <c r="F11" i="639" s="1"/>
  <c r="F29" i="639" s="1"/>
  <c r="F16" i="636"/>
  <c r="F14" i="636"/>
  <c r="D10" i="637"/>
  <c r="F10" i="637" s="1"/>
  <c r="F11" i="637" s="1"/>
  <c r="F29" i="637" s="1"/>
  <c r="F10" i="643"/>
  <c r="F11" i="643" s="1"/>
  <c r="F29" i="643" s="1"/>
  <c r="F7" i="658"/>
  <c r="F8" i="658" s="1"/>
  <c r="F28" i="658" s="1"/>
  <c r="F18" i="638"/>
  <c r="F13" i="642"/>
  <c r="F22" i="649"/>
  <c r="F31" i="649" s="1"/>
  <c r="F22" i="644"/>
  <c r="F23" i="644" s="1"/>
  <c r="G23" i="644" s="1"/>
  <c r="G31" i="644" s="1"/>
  <c r="F7" i="647"/>
  <c r="F8" i="647" s="1"/>
  <c r="G8" i="647" s="1"/>
  <c r="G28" i="647" s="1"/>
  <c r="F13" i="658"/>
  <c r="F16" i="645"/>
  <c r="F15" i="658"/>
  <c r="F13" i="638"/>
  <c r="F15" i="643"/>
  <c r="F18" i="645"/>
  <c r="F10" i="650"/>
  <c r="F11" i="650" s="1"/>
  <c r="F29" i="650" s="1"/>
  <c r="F22" i="642"/>
  <c r="F31" i="642" s="1"/>
  <c r="F17" i="643"/>
  <c r="F15" i="649"/>
  <c r="F17" i="656"/>
  <c r="F7" i="652"/>
  <c r="F8" i="652" s="1"/>
  <c r="F28" i="652" s="1"/>
  <c r="F16" i="655"/>
  <c r="F14" i="651"/>
  <c r="F10" i="653"/>
  <c r="F11" i="653" s="1"/>
  <c r="F29" i="653" s="1"/>
  <c r="F7" i="645"/>
  <c r="F8" i="645" s="1"/>
  <c r="G8" i="645" s="1"/>
  <c r="G28" i="645" s="1"/>
  <c r="F22" i="658"/>
  <c r="F31" i="658" s="1"/>
  <c r="F18" i="658"/>
  <c r="F16" i="658"/>
  <c r="F18" i="657"/>
  <c r="F16" i="657"/>
  <c r="F15" i="657"/>
  <c r="F13" i="657"/>
  <c r="F22" i="655"/>
  <c r="F31" i="655" s="1"/>
  <c r="F22" i="654"/>
  <c r="F31" i="654" s="1"/>
  <c r="F18" i="654"/>
  <c r="F16" i="656"/>
  <c r="F16" i="654"/>
  <c r="F15" i="656"/>
  <c r="F10" i="656"/>
  <c r="F11" i="656" s="1"/>
  <c r="F29" i="656" s="1"/>
  <c r="F7" i="656"/>
  <c r="F8" i="656" s="1"/>
  <c r="F28" i="656" s="1"/>
  <c r="F22" i="653"/>
  <c r="F31" i="653" s="1"/>
  <c r="F17" i="654"/>
  <c r="F13" i="653"/>
  <c r="F22" i="652"/>
  <c r="F31" i="652" s="1"/>
  <c r="F10" i="652"/>
  <c r="F11" i="652" s="1"/>
  <c r="G11" i="652" s="1"/>
  <c r="G29" i="652" s="1"/>
  <c r="F22" i="651"/>
  <c r="F31" i="651" s="1"/>
  <c r="F16" i="651"/>
  <c r="F15" i="651"/>
  <c r="D14" i="652"/>
  <c r="F14" i="652" s="1"/>
  <c r="F13" i="651"/>
  <c r="F18" i="650"/>
  <c r="F17" i="651"/>
  <c r="F17" i="650"/>
  <c r="F14" i="650"/>
  <c r="D22" i="650"/>
  <c r="F22" i="650" s="1"/>
  <c r="F31" i="650" s="1"/>
  <c r="F18" i="649"/>
  <c r="F14" i="649"/>
  <c r="F7" i="649"/>
  <c r="F8" i="649" s="1"/>
  <c r="G8" i="649" s="1"/>
  <c r="G28" i="649" s="1"/>
  <c r="F7" i="650"/>
  <c r="F8" i="650" s="1"/>
  <c r="G8" i="650" s="1"/>
  <c r="G28" i="650" s="1"/>
  <c r="F22" i="648"/>
  <c r="F31" i="648" s="1"/>
  <c r="F18" i="648"/>
  <c r="F17" i="648"/>
  <c r="F16" i="649"/>
  <c r="F15" i="648"/>
  <c r="F14" i="648"/>
  <c r="F13" i="649"/>
  <c r="F10" i="648"/>
  <c r="F11" i="648" s="1"/>
  <c r="G11" i="648" s="1"/>
  <c r="G29" i="648" s="1"/>
  <c r="F15" i="647"/>
  <c r="D7" i="648"/>
  <c r="F7" i="648" s="1"/>
  <c r="F8" i="648" s="1"/>
  <c r="F28" i="648" s="1"/>
  <c r="F15" i="646"/>
  <c r="F18" i="647"/>
  <c r="F14" i="646"/>
  <c r="F10" i="647"/>
  <c r="F11" i="647" s="1"/>
  <c r="G11" i="647" s="1"/>
  <c r="G29" i="647" s="1"/>
  <c r="F18" i="646"/>
  <c r="F17" i="646"/>
  <c r="F17" i="645"/>
  <c r="F14" i="645"/>
  <c r="F13" i="645"/>
  <c r="F10" i="645"/>
  <c r="F11" i="645" s="1"/>
  <c r="F29" i="645" s="1"/>
  <c r="F16" i="644"/>
  <c r="F15" i="644"/>
  <c r="F7" i="644"/>
  <c r="F8" i="644" s="1"/>
  <c r="F28" i="644" s="1"/>
  <c r="F18" i="644"/>
  <c r="F17" i="644"/>
  <c r="F15" i="645"/>
  <c r="F13" i="644"/>
  <c r="F10" i="644"/>
  <c r="F11" i="644" s="1"/>
  <c r="F29" i="644" s="1"/>
  <c r="F18" i="643"/>
  <c r="F16" i="643"/>
  <c r="F13" i="643"/>
  <c r="F22" i="643"/>
  <c r="F31" i="643" s="1"/>
  <c r="F18" i="642"/>
  <c r="F18" i="641"/>
  <c r="F17" i="642"/>
  <c r="F17" i="641"/>
  <c r="F15" i="641"/>
  <c r="F14" i="642"/>
  <c r="F13" i="641"/>
  <c r="F13" i="640"/>
  <c r="F10" i="640"/>
  <c r="F11" i="640" s="1"/>
  <c r="F29" i="640" s="1"/>
  <c r="F7" i="643"/>
  <c r="F8" i="643" s="1"/>
  <c r="G8" i="643" s="1"/>
  <c r="G28" i="643" s="1"/>
  <c r="F7" i="642"/>
  <c r="F8" i="642" s="1"/>
  <c r="G8" i="642" s="1"/>
  <c r="G28" i="642" s="1"/>
  <c r="F7" i="641"/>
  <c r="F8" i="641" s="1"/>
  <c r="G8" i="641" s="1"/>
  <c r="G28" i="641" s="1"/>
  <c r="F10" i="638"/>
  <c r="F11" i="638" s="1"/>
  <c r="G11" i="638" s="1"/>
  <c r="G29" i="638" s="1"/>
  <c r="F22" i="639"/>
  <c r="F31" i="639" s="1"/>
  <c r="F22" i="640"/>
  <c r="F31" i="640" s="1"/>
  <c r="F18" i="639"/>
  <c r="F18" i="640"/>
  <c r="F16" i="638"/>
  <c r="F17" i="640"/>
  <c r="F16" i="639"/>
  <c r="F15" i="640"/>
  <c r="F15" i="639"/>
  <c r="F15" i="638"/>
  <c r="F13" i="639"/>
  <c r="F7" i="639"/>
  <c r="F8" i="639" s="1"/>
  <c r="G8" i="639" s="1"/>
  <c r="G28" i="639" s="1"/>
  <c r="F17" i="638"/>
  <c r="F15" i="637"/>
  <c r="F7" i="638"/>
  <c r="F8" i="638" s="1"/>
  <c r="G8" i="638" s="1"/>
  <c r="G28" i="638" s="1"/>
  <c r="D18" i="637"/>
  <c r="F18" i="637" s="1"/>
  <c r="D22" i="637"/>
  <c r="F22" i="637" s="1"/>
  <c r="F31" i="637" s="1"/>
  <c r="D17" i="637"/>
  <c r="F17" i="637" s="1"/>
  <c r="F14" i="637"/>
  <c r="F13" i="636"/>
  <c r="D7" i="637"/>
  <c r="F7" i="637" s="1"/>
  <c r="F8" i="637" s="1"/>
  <c r="G8" i="637" s="1"/>
  <c r="G28" i="637" s="1"/>
  <c r="F18" i="655"/>
  <c r="F10" i="658"/>
  <c r="F11" i="658" s="1"/>
  <c r="G11" i="658" s="1"/>
  <c r="G29" i="658" s="1"/>
  <c r="F16" i="650"/>
  <c r="F15" i="652"/>
  <c r="F18" i="653"/>
  <c r="F13" i="659"/>
  <c r="D7" i="653"/>
  <c r="F7" i="653" s="1"/>
  <c r="F8" i="653" s="1"/>
  <c r="F28" i="653" s="1"/>
  <c r="D18" i="656"/>
  <c r="F18" i="656" s="1"/>
  <c r="F14" i="656"/>
  <c r="D22" i="656"/>
  <c r="F22" i="656" s="1"/>
  <c r="F7" i="657"/>
  <c r="F8" i="657" s="1"/>
  <c r="G8" i="657" s="1"/>
  <c r="G28" i="657" s="1"/>
  <c r="F16" i="659"/>
  <c r="F7" i="659"/>
  <c r="F8" i="659" s="1"/>
  <c r="G8" i="659" s="1"/>
  <c r="G28" i="659" s="1"/>
  <c r="D17" i="652"/>
  <c r="F17" i="652" s="1"/>
  <c r="D10" i="654"/>
  <c r="F10" i="654" s="1"/>
  <c r="F11" i="654" s="1"/>
  <c r="F10" i="657"/>
  <c r="F11" i="657" s="1"/>
  <c r="F29" i="657" s="1"/>
  <c r="F17" i="659"/>
  <c r="D14" i="653"/>
  <c r="F14" i="653" s="1"/>
  <c r="F15" i="654"/>
  <c r="D15" i="653"/>
  <c r="F15" i="653" s="1"/>
  <c r="D10" i="655"/>
  <c r="F10" i="655" s="1"/>
  <c r="F11" i="655" s="1"/>
  <c r="F29" i="655" s="1"/>
  <c r="F14" i="655"/>
  <c r="F14" i="657"/>
  <c r="D17" i="657"/>
  <c r="F17" i="657" s="1"/>
  <c r="D10" i="659"/>
  <c r="F10" i="659" s="1"/>
  <c r="F11" i="659" s="1"/>
  <c r="F29" i="659" s="1"/>
  <c r="D7" i="651"/>
  <c r="F7" i="651" s="1"/>
  <c r="F8" i="651" s="1"/>
  <c r="F16" i="652"/>
  <c r="F17" i="658"/>
  <c r="D17" i="653"/>
  <c r="F17" i="653" s="1"/>
  <c r="D22" i="657"/>
  <c r="F22" i="657" s="1"/>
  <c r="F31" i="657" s="1"/>
  <c r="D15" i="655"/>
  <c r="F15" i="655" s="1"/>
  <c r="F18" i="659"/>
  <c r="F14" i="658"/>
  <c r="F13" i="656"/>
  <c r="F13" i="655"/>
  <c r="F7" i="655"/>
  <c r="F8" i="655" s="1"/>
  <c r="G8" i="655" s="1"/>
  <c r="G28" i="655" s="1"/>
  <c r="F14" i="654"/>
  <c r="F7" i="654"/>
  <c r="F8" i="654" s="1"/>
  <c r="F28" i="654" s="1"/>
  <c r="F18" i="651"/>
  <c r="F15" i="650"/>
  <c r="F13" i="650"/>
  <c r="F16" i="647"/>
  <c r="F13" i="647"/>
  <c r="F13" i="646"/>
  <c r="F10" i="646"/>
  <c r="F11" i="646" s="1"/>
  <c r="G11" i="646" s="1"/>
  <c r="G29" i="646" s="1"/>
  <c r="F22" i="645"/>
  <c r="F31" i="645" s="1"/>
  <c r="F14" i="643"/>
  <c r="F16" i="642"/>
  <c r="F15" i="642"/>
  <c r="F22" i="641"/>
  <c r="F31" i="641" s="1"/>
  <c r="F16" i="641"/>
  <c r="F14" i="641"/>
  <c r="F14" i="640"/>
  <c r="F17" i="639"/>
  <c r="F14" i="639"/>
  <c r="F22" i="638"/>
  <c r="F31" i="638" s="1"/>
  <c r="F16" i="637"/>
  <c r="F13" i="637"/>
  <c r="F29" i="636"/>
  <c r="G11" i="636"/>
  <c r="G29" i="636" s="1"/>
  <c r="F28" i="636"/>
  <c r="G8" i="636"/>
  <c r="G28" i="636" s="1"/>
  <c r="F23" i="636"/>
  <c r="G23" i="636" s="1"/>
  <c r="G31" i="636" s="1"/>
  <c r="E22" i="634"/>
  <c r="D22" i="635" s="1"/>
  <c r="E18" i="634"/>
  <c r="D18" i="635" s="1"/>
  <c r="E17" i="634"/>
  <c r="D17" i="635" s="1"/>
  <c r="E16" i="634"/>
  <c r="D16" i="635" s="1"/>
  <c r="E15" i="634"/>
  <c r="D15" i="635" s="1"/>
  <c r="E14" i="634"/>
  <c r="D14" i="635" s="1"/>
  <c r="E13" i="634"/>
  <c r="D13" i="635" s="1"/>
  <c r="E10" i="634"/>
  <c r="D10" i="635" s="1"/>
  <c r="E7" i="634"/>
  <c r="D7" i="635" s="1"/>
  <c r="E22" i="633"/>
  <c r="D22" i="634" s="1"/>
  <c r="E18" i="633"/>
  <c r="D18" i="634" s="1"/>
  <c r="E17" i="633"/>
  <c r="D17" i="634" s="1"/>
  <c r="E16" i="633"/>
  <c r="D16" i="634" s="1"/>
  <c r="E15" i="633"/>
  <c r="D15" i="634" s="1"/>
  <c r="E14" i="633"/>
  <c r="D14" i="634" s="1"/>
  <c r="E13" i="633"/>
  <c r="D13" i="634" s="1"/>
  <c r="E10" i="633"/>
  <c r="D10" i="634" s="1"/>
  <c r="E7" i="633"/>
  <c r="D7" i="634" s="1"/>
  <c r="E22" i="632"/>
  <c r="D22" i="633" s="1"/>
  <c r="E18" i="632"/>
  <c r="D18" i="633" s="1"/>
  <c r="E17" i="632"/>
  <c r="D17" i="633" s="1"/>
  <c r="E16" i="632"/>
  <c r="D16" i="633" s="1"/>
  <c r="E15" i="632"/>
  <c r="D15" i="633" s="1"/>
  <c r="E14" i="632"/>
  <c r="E13" i="632"/>
  <c r="D13" i="633" s="1"/>
  <c r="E10" i="632"/>
  <c r="D10" i="633" s="1"/>
  <c r="E7" i="632"/>
  <c r="D7" i="633" s="1"/>
  <c r="E22" i="631"/>
  <c r="D22" i="632" s="1"/>
  <c r="E18" i="631"/>
  <c r="D18" i="632" s="1"/>
  <c r="E17" i="631"/>
  <c r="D17" i="632" s="1"/>
  <c r="E16" i="631"/>
  <c r="D16" i="632" s="1"/>
  <c r="E15" i="631"/>
  <c r="D15" i="632" s="1"/>
  <c r="E14" i="631"/>
  <c r="D14" i="632" s="1"/>
  <c r="E13" i="631"/>
  <c r="D13" i="632" s="1"/>
  <c r="E10" i="631"/>
  <c r="D10" i="632" s="1"/>
  <c r="E7" i="631"/>
  <c r="D7" i="632" s="1"/>
  <c r="E22" i="607"/>
  <c r="D22" i="631" s="1"/>
  <c r="E18" i="607"/>
  <c r="D18" i="631" s="1"/>
  <c r="E17" i="607"/>
  <c r="D17" i="631" s="1"/>
  <c r="E16" i="607"/>
  <c r="D16" i="631" s="1"/>
  <c r="E15" i="607"/>
  <c r="D15" i="631" s="1"/>
  <c r="E14" i="607"/>
  <c r="D14" i="631" s="1"/>
  <c r="E13" i="607"/>
  <c r="D13" i="631" s="1"/>
  <c r="E10" i="607"/>
  <c r="D10" i="631" s="1"/>
  <c r="E7" i="607"/>
  <c r="D7" i="631" s="1"/>
  <c r="E22" i="606"/>
  <c r="D22" i="607" s="1"/>
  <c r="F29" i="641" l="1"/>
  <c r="G8" i="652"/>
  <c r="G28" i="652" s="1"/>
  <c r="G11" i="649"/>
  <c r="G29" i="649" s="1"/>
  <c r="F31" i="644"/>
  <c r="G8" i="646"/>
  <c r="G28" i="646" s="1"/>
  <c r="F23" i="659"/>
  <c r="G23" i="659" s="1"/>
  <c r="G31" i="659" s="1"/>
  <c r="F23" i="658"/>
  <c r="G23" i="658" s="1"/>
  <c r="G31" i="658" s="1"/>
  <c r="G8" i="658"/>
  <c r="G28" i="658" s="1"/>
  <c r="G11" i="651"/>
  <c r="G29" i="651" s="1"/>
  <c r="G8" i="648"/>
  <c r="G28" i="648" s="1"/>
  <c r="F23" i="646"/>
  <c r="G23" i="646" s="1"/>
  <c r="G31" i="646" s="1"/>
  <c r="G11" i="643"/>
  <c r="G29" i="643" s="1"/>
  <c r="G11" i="642"/>
  <c r="G29" i="642" s="1"/>
  <c r="G8" i="644"/>
  <c r="G28" i="644" s="1"/>
  <c r="F28" i="640"/>
  <c r="F28" i="645"/>
  <c r="F29" i="638"/>
  <c r="F23" i="647"/>
  <c r="G23" i="647" s="1"/>
  <c r="G31" i="647" s="1"/>
  <c r="F29" i="658"/>
  <c r="G8" i="656"/>
  <c r="G28" i="656" s="1"/>
  <c r="G11" i="653"/>
  <c r="G29" i="653" s="1"/>
  <c r="F29" i="652"/>
  <c r="G11" i="650"/>
  <c r="G29" i="650" s="1"/>
  <c r="F28" i="647"/>
  <c r="G11" i="644"/>
  <c r="G29" i="644" s="1"/>
  <c r="F23" i="642"/>
  <c r="G23" i="642" s="1"/>
  <c r="G31" i="642" s="1"/>
  <c r="G11" i="639"/>
  <c r="G29" i="639" s="1"/>
  <c r="G11" i="640"/>
  <c r="G29" i="640" s="1"/>
  <c r="F28" i="639"/>
  <c r="F19" i="636"/>
  <c r="G19" i="636" s="1"/>
  <c r="G30" i="636" s="1"/>
  <c r="G32" i="636" s="1"/>
  <c r="F31" i="656"/>
  <c r="F23" i="656"/>
  <c r="G23" i="656" s="1"/>
  <c r="G31" i="656" s="1"/>
  <c r="F29" i="648"/>
  <c r="F28" i="657"/>
  <c r="F19" i="645"/>
  <c r="F30" i="645" s="1"/>
  <c r="F23" i="649"/>
  <c r="G23" i="649" s="1"/>
  <c r="G31" i="649" s="1"/>
  <c r="F19" i="649"/>
  <c r="F30" i="649" s="1"/>
  <c r="F28" i="641"/>
  <c r="G11" i="645"/>
  <c r="G29" i="645" s="1"/>
  <c r="F19" i="659"/>
  <c r="G19" i="659" s="1"/>
  <c r="G30" i="659" s="1"/>
  <c r="F19" i="657"/>
  <c r="G19" i="657" s="1"/>
  <c r="G30" i="657" s="1"/>
  <c r="F19" i="658"/>
  <c r="G19" i="658" s="1"/>
  <c r="G30" i="658" s="1"/>
  <c r="F23" i="655"/>
  <c r="G23" i="655" s="1"/>
  <c r="G31" i="655" s="1"/>
  <c r="F23" i="654"/>
  <c r="G23" i="654" s="1"/>
  <c r="G31" i="654" s="1"/>
  <c r="G11" i="657"/>
  <c r="G29" i="657" s="1"/>
  <c r="G11" i="656"/>
  <c r="G29" i="656" s="1"/>
  <c r="G11" i="655"/>
  <c r="G29" i="655" s="1"/>
  <c r="F23" i="653"/>
  <c r="G23" i="653" s="1"/>
  <c r="G31" i="653" s="1"/>
  <c r="G8" i="653"/>
  <c r="G28" i="653" s="1"/>
  <c r="F23" i="652"/>
  <c r="G23" i="652" s="1"/>
  <c r="G31" i="652" s="1"/>
  <c r="F19" i="653"/>
  <c r="G19" i="653" s="1"/>
  <c r="G30" i="653" s="1"/>
  <c r="F23" i="651"/>
  <c r="G23" i="651" s="1"/>
  <c r="G31" i="651" s="1"/>
  <c r="F19" i="652"/>
  <c r="F30" i="652" s="1"/>
  <c r="F19" i="651"/>
  <c r="F30" i="651" s="1"/>
  <c r="F28" i="650"/>
  <c r="F28" i="649"/>
  <c r="F23" i="648"/>
  <c r="G23" i="648" s="1"/>
  <c r="G31" i="648" s="1"/>
  <c r="F19" i="648"/>
  <c r="F30" i="648" s="1"/>
  <c r="F29" i="647"/>
  <c r="F19" i="647"/>
  <c r="G19" i="647" s="1"/>
  <c r="G30" i="647" s="1"/>
  <c r="F29" i="646"/>
  <c r="F19" i="646"/>
  <c r="G19" i="646" s="1"/>
  <c r="G30" i="646" s="1"/>
  <c r="F19" i="644"/>
  <c r="F30" i="644" s="1"/>
  <c r="F19" i="643"/>
  <c r="G19" i="643" s="1"/>
  <c r="G30" i="643" s="1"/>
  <c r="F23" i="643"/>
  <c r="G23" i="643" s="1"/>
  <c r="G31" i="643" s="1"/>
  <c r="F23" i="640"/>
  <c r="G23" i="640" s="1"/>
  <c r="G31" i="640" s="1"/>
  <c r="F23" i="641"/>
  <c r="G23" i="641" s="1"/>
  <c r="G31" i="641" s="1"/>
  <c r="F19" i="642"/>
  <c r="F30" i="642" s="1"/>
  <c r="F28" i="643"/>
  <c r="F28" i="642"/>
  <c r="F23" i="639"/>
  <c r="G23" i="639" s="1"/>
  <c r="G31" i="639" s="1"/>
  <c r="F19" i="638"/>
  <c r="G19" i="638" s="1"/>
  <c r="G30" i="638" s="1"/>
  <c r="F19" i="640"/>
  <c r="G19" i="640" s="1"/>
  <c r="G30" i="640" s="1"/>
  <c r="F19" i="639"/>
  <c r="F30" i="639" s="1"/>
  <c r="F28" i="638"/>
  <c r="F23" i="637"/>
  <c r="G23" i="637" s="1"/>
  <c r="G31" i="637" s="1"/>
  <c r="F19" i="637"/>
  <c r="F30" i="637" s="1"/>
  <c r="G11" i="637"/>
  <c r="G29" i="637" s="1"/>
  <c r="F28" i="637"/>
  <c r="F28" i="651"/>
  <c r="G8" i="651"/>
  <c r="G28" i="651" s="1"/>
  <c r="G11" i="654"/>
  <c r="G29" i="654" s="1"/>
  <c r="F29" i="654"/>
  <c r="F19" i="656"/>
  <c r="G19" i="656" s="1"/>
  <c r="G30" i="656" s="1"/>
  <c r="F19" i="654"/>
  <c r="G19" i="654" s="1"/>
  <c r="G30" i="654" s="1"/>
  <c r="G11" i="659"/>
  <c r="G29" i="659" s="1"/>
  <c r="F28" i="659"/>
  <c r="F23" i="650"/>
  <c r="G23" i="650" s="1"/>
  <c r="G31" i="650" s="1"/>
  <c r="F23" i="657"/>
  <c r="G23" i="657" s="1"/>
  <c r="G31" i="657" s="1"/>
  <c r="F19" i="655"/>
  <c r="G19" i="655" s="1"/>
  <c r="G30" i="655" s="1"/>
  <c r="F28" i="655"/>
  <c r="G8" i="654"/>
  <c r="G28" i="654" s="1"/>
  <c r="F19" i="650"/>
  <c r="G19" i="650" s="1"/>
  <c r="G30" i="650" s="1"/>
  <c r="F23" i="645"/>
  <c r="G23" i="645" s="1"/>
  <c r="G31" i="645" s="1"/>
  <c r="F19" i="641"/>
  <c r="G19" i="641" s="1"/>
  <c r="G30" i="641" s="1"/>
  <c r="F23" i="638"/>
  <c r="G23" i="638" s="1"/>
  <c r="G31" i="638" s="1"/>
  <c r="F14" i="631"/>
  <c r="F22" i="607"/>
  <c r="F14" i="632"/>
  <c r="F22" i="634"/>
  <c r="F31" i="634" s="1"/>
  <c r="F22" i="633"/>
  <c r="F23" i="633" s="1"/>
  <c r="G23" i="633" s="1"/>
  <c r="G31" i="633" s="1"/>
  <c r="F18" i="635"/>
  <c r="F18" i="634"/>
  <c r="F17" i="633"/>
  <c r="F16" i="635"/>
  <c r="F15" i="634"/>
  <c r="F15" i="633"/>
  <c r="F14" i="635"/>
  <c r="F10" i="635"/>
  <c r="F11" i="635" s="1"/>
  <c r="F29" i="635" s="1"/>
  <c r="F10" i="634"/>
  <c r="F11" i="634" s="1"/>
  <c r="G11" i="634" s="1"/>
  <c r="G29" i="634" s="1"/>
  <c r="F7" i="635"/>
  <c r="F8" i="635" s="1"/>
  <c r="F18" i="633"/>
  <c r="D14" i="633"/>
  <c r="F14" i="633" s="1"/>
  <c r="F7" i="633"/>
  <c r="F8" i="633" s="1"/>
  <c r="F28" i="633" s="1"/>
  <c r="F22" i="632"/>
  <c r="F31" i="632" s="1"/>
  <c r="F17" i="632"/>
  <c r="F15" i="631"/>
  <c r="F17" i="631"/>
  <c r="F7" i="631"/>
  <c r="F8" i="631" s="1"/>
  <c r="F28" i="631" s="1"/>
  <c r="F22" i="635"/>
  <c r="F23" i="635" s="1"/>
  <c r="G23" i="635" s="1"/>
  <c r="G31" i="635" s="1"/>
  <c r="F17" i="635"/>
  <c r="F15" i="635"/>
  <c r="F13" i="635"/>
  <c r="F17" i="634"/>
  <c r="F16" i="634"/>
  <c r="F14" i="634"/>
  <c r="F13" i="634"/>
  <c r="F7" i="634"/>
  <c r="F8" i="634" s="1"/>
  <c r="G8" i="634" s="1"/>
  <c r="G28" i="634" s="1"/>
  <c r="F16" i="633"/>
  <c r="F13" i="633"/>
  <c r="F10" i="633"/>
  <c r="F11" i="633" s="1"/>
  <c r="F29" i="633" s="1"/>
  <c r="F7" i="632"/>
  <c r="F8" i="632" s="1"/>
  <c r="F28" i="632" s="1"/>
  <c r="F18" i="632"/>
  <c r="F16" i="632"/>
  <c r="F15" i="632"/>
  <c r="F13" i="632"/>
  <c r="F10" i="632"/>
  <c r="F11" i="632" s="1"/>
  <c r="G11" i="632" s="1"/>
  <c r="G29" i="632" s="1"/>
  <c r="F22" i="631"/>
  <c r="F31" i="631" s="1"/>
  <c r="F18" i="631"/>
  <c r="F16" i="631"/>
  <c r="F13" i="631"/>
  <c r="F10" i="631"/>
  <c r="F11" i="631" s="1"/>
  <c r="G11" i="631" s="1"/>
  <c r="G29" i="631" s="1"/>
  <c r="G8" i="635" l="1"/>
  <c r="G28" i="635" s="1"/>
  <c r="G32" i="646"/>
  <c r="G32" i="658"/>
  <c r="G32" i="647"/>
  <c r="F30" i="657"/>
  <c r="G32" i="655"/>
  <c r="G19" i="649"/>
  <c r="G30" i="649" s="1"/>
  <c r="G32" i="649" s="1"/>
  <c r="G19" i="645"/>
  <c r="G30" i="645" s="1"/>
  <c r="G32" i="645" s="1"/>
  <c r="F30" i="636"/>
  <c r="G19" i="648"/>
  <c r="G30" i="648" s="1"/>
  <c r="G32" i="648" s="1"/>
  <c r="G32" i="656"/>
  <c r="G32" i="650"/>
  <c r="F29" i="634"/>
  <c r="F30" i="659"/>
  <c r="F30" i="658"/>
  <c r="F30" i="656"/>
  <c r="F30" i="655"/>
  <c r="G32" i="653"/>
  <c r="F30" i="654"/>
  <c r="G32" i="654"/>
  <c r="F30" i="653"/>
  <c r="G19" i="652"/>
  <c r="G30" i="652" s="1"/>
  <c r="G32" i="652" s="1"/>
  <c r="G19" i="651"/>
  <c r="G30" i="651" s="1"/>
  <c r="G32" i="651" s="1"/>
  <c r="F30" i="647"/>
  <c r="F30" i="646"/>
  <c r="G19" i="644"/>
  <c r="G30" i="644" s="1"/>
  <c r="G32" i="644" s="1"/>
  <c r="F30" i="643"/>
  <c r="G32" i="643"/>
  <c r="G32" i="641"/>
  <c r="G32" i="640"/>
  <c r="G19" i="642"/>
  <c r="G30" i="642" s="1"/>
  <c r="G32" i="642" s="1"/>
  <c r="F30" i="638"/>
  <c r="G32" i="638"/>
  <c r="G19" i="639"/>
  <c r="G30" i="639" s="1"/>
  <c r="G32" i="639" s="1"/>
  <c r="F30" i="640"/>
  <c r="G19" i="637"/>
  <c r="G30" i="637" s="1"/>
  <c r="G32" i="637" s="1"/>
  <c r="G32" i="659"/>
  <c r="G32" i="657"/>
  <c r="F30" i="650"/>
  <c r="F30" i="641"/>
  <c r="F23" i="634"/>
  <c r="G23" i="634" s="1"/>
  <c r="G31" i="634" s="1"/>
  <c r="G8" i="633"/>
  <c r="G28" i="633" s="1"/>
  <c r="F31" i="633"/>
  <c r="F19" i="633"/>
  <c r="F30" i="633" s="1"/>
  <c r="G11" i="635"/>
  <c r="G29" i="635" s="1"/>
  <c r="F28" i="635"/>
  <c r="F23" i="632"/>
  <c r="G23" i="632" s="1"/>
  <c r="G31" i="632" s="1"/>
  <c r="F31" i="635"/>
  <c r="F19" i="635"/>
  <c r="G19" i="635" s="1"/>
  <c r="G30" i="635" s="1"/>
  <c r="F19" i="634"/>
  <c r="F30" i="634" s="1"/>
  <c r="F28" i="634"/>
  <c r="G11" i="633"/>
  <c r="G29" i="633" s="1"/>
  <c r="G8" i="632"/>
  <c r="G28" i="632" s="1"/>
  <c r="F19" i="632"/>
  <c r="G19" i="632" s="1"/>
  <c r="G30" i="632" s="1"/>
  <c r="F29" i="632"/>
  <c r="F23" i="631"/>
  <c r="G23" i="631" s="1"/>
  <c r="G31" i="631" s="1"/>
  <c r="F19" i="631"/>
  <c r="F30" i="631" s="1"/>
  <c r="G8" i="631"/>
  <c r="G28" i="631" s="1"/>
  <c r="F29" i="631"/>
  <c r="G19" i="633" l="1"/>
  <c r="G30" i="633" s="1"/>
  <c r="G32" i="633" s="1"/>
  <c r="G32" i="635"/>
  <c r="G32" i="632"/>
  <c r="F30" i="635"/>
  <c r="G19" i="634"/>
  <c r="G30" i="634" s="1"/>
  <c r="G32" i="634" s="1"/>
  <c r="F30" i="632"/>
  <c r="G19" i="631"/>
  <c r="G30" i="631" s="1"/>
  <c r="G32" i="631" s="1"/>
  <c r="G14" i="613"/>
  <c r="G14" i="614" l="1"/>
  <c r="H14" i="613" l="1"/>
  <c r="F40" i="614" l="1"/>
  <c r="F30" i="614"/>
  <c r="F29" i="614"/>
  <c r="F28" i="614"/>
  <c r="F27" i="614"/>
  <c r="F26" i="614"/>
  <c r="F25" i="614"/>
  <c r="F16" i="614"/>
  <c r="F17" i="614" s="1"/>
  <c r="F8" i="614"/>
  <c r="F9" i="614" s="1"/>
  <c r="F11" i="614" s="1"/>
  <c r="M27" i="614" l="1"/>
  <c r="H27" i="614"/>
  <c r="M25" i="614" s="1"/>
  <c r="H26" i="614"/>
  <c r="L25" i="614" s="1"/>
  <c r="L27" i="614"/>
  <c r="N27" i="614"/>
  <c r="H28" i="614"/>
  <c r="N25" i="614" s="1"/>
  <c r="O27" i="614"/>
  <c r="H29" i="614"/>
  <c r="O25" i="614" s="1"/>
  <c r="H25" i="614"/>
  <c r="K25" i="614" s="1"/>
  <c r="K27" i="614"/>
  <c r="H30" i="614"/>
  <c r="P25" i="614" s="1"/>
  <c r="P27" i="614"/>
  <c r="F21" i="614"/>
  <c r="F22" i="614"/>
  <c r="D49" i="614"/>
  <c r="F41" i="614"/>
  <c r="F42" i="614" s="1"/>
  <c r="E49" i="614" s="1"/>
  <c r="F31" i="614"/>
  <c r="F36" i="614" s="1"/>
  <c r="F10" i="614"/>
  <c r="D46" i="614"/>
  <c r="F20" i="614"/>
  <c r="D47" i="614"/>
  <c r="K28" i="614" l="1"/>
  <c r="O28" i="614"/>
  <c r="N28" i="614"/>
  <c r="M28" i="614"/>
  <c r="P28" i="614"/>
  <c r="L28" i="614"/>
  <c r="D48" i="614"/>
  <c r="F35" i="614"/>
  <c r="F37" i="614" s="1"/>
  <c r="E48" i="614" s="1"/>
  <c r="F12" i="614"/>
  <c r="F14" i="614" s="1"/>
  <c r="F23" i="614"/>
  <c r="E47" i="614" s="1"/>
  <c r="E46" i="614" l="1"/>
  <c r="E50" i="614" s="1"/>
  <c r="F40" i="613" l="1"/>
  <c r="F30" i="613"/>
  <c r="F29" i="613"/>
  <c r="F28" i="613"/>
  <c r="F27" i="613"/>
  <c r="F26" i="613"/>
  <c r="F25" i="613"/>
  <c r="F16" i="613"/>
  <c r="F17" i="613" s="1"/>
  <c r="F8" i="613"/>
  <c r="F9" i="613" s="1"/>
  <c r="F11" i="613" s="1"/>
  <c r="D49" i="613" l="1"/>
  <c r="F41" i="613"/>
  <c r="F42" i="613" s="1"/>
  <c r="E49" i="613" s="1"/>
  <c r="F20" i="613"/>
  <c r="F22" i="613"/>
  <c r="F21" i="613"/>
  <c r="F31" i="613"/>
  <c r="D47" i="613"/>
  <c r="F10" i="613"/>
  <c r="D46" i="613"/>
  <c r="F23" i="613" l="1"/>
  <c r="E47" i="613" s="1"/>
  <c r="F36" i="613"/>
  <c r="F35" i="613"/>
  <c r="D48" i="613"/>
  <c r="F12" i="613"/>
  <c r="F14" i="613" s="1"/>
  <c r="H15" i="613" s="1"/>
  <c r="E46" i="613" l="1"/>
  <c r="F37" i="613"/>
  <c r="E48" i="613" s="1"/>
  <c r="E50" i="613" l="1"/>
  <c r="E18" i="606" l="1"/>
  <c r="D18" i="607" s="1"/>
  <c r="F18" i="607" s="1"/>
  <c r="E17" i="606"/>
  <c r="D17" i="607" s="1"/>
  <c r="F17" i="607" s="1"/>
  <c r="E16" i="606"/>
  <c r="D16" i="607" s="1"/>
  <c r="F16" i="607" s="1"/>
  <c r="E15" i="606"/>
  <c r="E14" i="606"/>
  <c r="E13" i="606"/>
  <c r="D13" i="607" s="1"/>
  <c r="F13" i="607" s="1"/>
  <c r="E10" i="606"/>
  <c r="D10" i="607" s="1"/>
  <c r="F10" i="607" s="1"/>
  <c r="E7" i="606"/>
  <c r="F14" i="606" l="1"/>
  <c r="D14" i="607"/>
  <c r="F14" i="607" s="1"/>
  <c r="F15" i="606"/>
  <c r="D15" i="607"/>
  <c r="F15" i="607" s="1"/>
  <c r="F16" i="606"/>
  <c r="F17" i="606"/>
  <c r="D7" i="607"/>
  <c r="F7" i="607" s="1"/>
  <c r="F8" i="607" s="1"/>
  <c r="F28" i="607" s="1"/>
  <c r="F7" i="606"/>
  <c r="F8" i="606" s="1"/>
  <c r="F18" i="606"/>
  <c r="F10" i="606"/>
  <c r="F11" i="606" s="1"/>
  <c r="F13" i="606"/>
  <c r="F11" i="607"/>
  <c r="G11" i="607" s="1"/>
  <c r="G29" i="607" s="1"/>
  <c r="F22" i="606"/>
  <c r="F23" i="606" l="1"/>
  <c r="G23" i="606" s="1"/>
  <c r="G31" i="606" s="1"/>
  <c r="F23" i="607"/>
  <c r="G23" i="607" s="1"/>
  <c r="G31" i="607" s="1"/>
  <c r="F31" i="607"/>
  <c r="F29" i="607"/>
  <c r="G8" i="607"/>
  <c r="G28" i="607" s="1"/>
  <c r="F19" i="607"/>
  <c r="F30" i="607" s="1"/>
  <c r="F19" i="606"/>
  <c r="G19" i="606" s="1"/>
  <c r="G30" i="606" s="1"/>
  <c r="F28" i="606"/>
  <c r="G8" i="606"/>
  <c r="G28" i="606" s="1"/>
  <c r="F29" i="606"/>
  <c r="G11" i="606"/>
  <c r="G29" i="606" s="1"/>
  <c r="F31" i="606"/>
  <c r="F30" i="606" l="1"/>
  <c r="G19" i="607"/>
  <c r="G30" i="607" s="1"/>
  <c r="G32" i="607" s="1"/>
  <c r="G32" i="60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3" authorId="0" shapeId="0" xr:uid="{66FEE81D-97C6-4374-B902-1CF72039C3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AED 3,082.22 DAY
</t>
        </r>
      </text>
    </comment>
  </commentList>
</comments>
</file>

<file path=xl/sharedStrings.xml><?xml version="1.0" encoding="utf-8"?>
<sst xmlns="http://schemas.openxmlformats.org/spreadsheetml/2006/main" count="1929" uniqueCount="124">
  <si>
    <t>ENGINEERING DEPARTMENT</t>
  </si>
  <si>
    <t>SR.NO</t>
  </si>
  <si>
    <t>ITEM MEASURED</t>
  </si>
  <si>
    <t>Cost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</si>
  <si>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</si>
  <si>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</si>
  <si>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</si>
  <si>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</si>
  <si>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</si>
  <si>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</si>
  <si>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</si>
  <si>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imp. Gallon</t>
  </si>
  <si>
    <t>IV</t>
  </si>
  <si>
    <t>ELECTRICAL METERS</t>
  </si>
  <si>
    <t>TOTAL ELECTRICAL CONS.(kWh)</t>
  </si>
  <si>
    <t>V</t>
  </si>
  <si>
    <t>GAS CONSUMPTION</t>
  </si>
  <si>
    <t>MAIN LPG METER</t>
  </si>
  <si>
    <t>M3</t>
  </si>
  <si>
    <t xml:space="preserve"> 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</si>
  <si>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</si>
  <si>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</si>
  <si>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</si>
  <si>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</si>
  <si>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</si>
  <si>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</si>
  <si>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</si>
  <si>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Electricity</t>
  </si>
  <si>
    <t xml:space="preserve">Gas </t>
  </si>
  <si>
    <t>Total cost</t>
  </si>
  <si>
    <t>Meter 1</t>
  </si>
  <si>
    <t>Meter 2</t>
  </si>
  <si>
    <t>Meter 3</t>
  </si>
  <si>
    <t>Previous Reading</t>
  </si>
  <si>
    <t>UTILITY CONSUMPTION  SHEET</t>
  </si>
  <si>
    <t>kW x 480</t>
  </si>
  <si>
    <t>m3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</si>
  <si>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</si>
  <si>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</si>
  <si>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</si>
  <si>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</si>
  <si>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</si>
  <si>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</si>
  <si>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18E0300032</t>
  </si>
  <si>
    <t>18E0300060</t>
  </si>
  <si>
    <t>18E0300057</t>
  </si>
  <si>
    <t>Date</t>
  </si>
  <si>
    <t xml:space="preserve"> 24hrs CONSUMPTION</t>
  </si>
  <si>
    <t>BTU Meter</t>
  </si>
  <si>
    <t>kwh</t>
  </si>
  <si>
    <t>77092321/2019</t>
  </si>
  <si>
    <t>P103FF043BC</t>
  </si>
  <si>
    <t>Meter 4</t>
  </si>
  <si>
    <t>Meter 6</t>
  </si>
  <si>
    <t>Meter 7</t>
  </si>
  <si>
    <t>IG</t>
  </si>
  <si>
    <r>
      <t>Imperial Gallon = m</t>
    </r>
    <r>
      <rPr>
        <sz val="11"/>
        <rFont val="Calibri"/>
        <family val="2"/>
      </rPr>
      <t>³</t>
    </r>
    <r>
      <rPr>
        <sz val="11"/>
        <rFont val="Arial"/>
        <family val="2"/>
      </rPr>
      <t xml:space="preserve"> x 219.969</t>
    </r>
  </si>
  <si>
    <t>L</t>
  </si>
  <si>
    <t>RTH (MWH X 284.35)</t>
  </si>
  <si>
    <t>Cost (Consumption Charges: 0.568 aed)</t>
  </si>
  <si>
    <t>Total Cost</t>
  </si>
  <si>
    <t>TOTAL ELECTRICAL CONS. (kWh)</t>
  </si>
  <si>
    <t>m³</t>
  </si>
  <si>
    <t>AED (w/o VAT)</t>
  </si>
  <si>
    <t>Imperial Gallon</t>
  </si>
  <si>
    <t>kWh</t>
  </si>
  <si>
    <t>Total Cost:</t>
  </si>
  <si>
    <t>Cost (first 10,000: .0350 aed)</t>
  </si>
  <si>
    <t>Cost (second 10,000: .040 aed)</t>
  </si>
  <si>
    <t>Cost (above 20,000: .046 aed)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</si>
  <si>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</si>
  <si>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</si>
  <si>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</si>
  <si>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</si>
  <si>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</si>
  <si>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1st</t>
  </si>
  <si>
    <t>ELECTRICITY</t>
  </si>
  <si>
    <t>WATER</t>
  </si>
  <si>
    <t>daily reading</t>
  </si>
  <si>
    <t>%</t>
  </si>
  <si>
    <t>OCC.</t>
  </si>
  <si>
    <t>DAILY</t>
  </si>
  <si>
    <t>Cost (Fuel Charges: 0.075 aed)</t>
  </si>
  <si>
    <t xml:space="preserve">Total Occ. Rooms: </t>
  </si>
  <si>
    <t>Imperial Gallon (M: m3 x 219.969)</t>
  </si>
  <si>
    <t>Imperial Gallon (M: m3 X 219.969)</t>
  </si>
  <si>
    <t>%Occupancy:</t>
  </si>
  <si>
    <t xml:space="preserve">Previous Reading </t>
  </si>
  <si>
    <t>Current Month Reading</t>
  </si>
  <si>
    <t>TOTAL CONSUMPTION</t>
  </si>
  <si>
    <t>vs. MONTHLY TARGET</t>
  </si>
  <si>
    <t>engr123.</t>
  </si>
  <si>
    <t>Rooms:</t>
  </si>
  <si>
    <t>ACTUAL TOTAL CONSUMPTION</t>
  </si>
  <si>
    <t>ACTUAL EMPOWER BILL</t>
  </si>
  <si>
    <t>Cost (Fuel Charges: 0.005 aed)</t>
  </si>
  <si>
    <t>Cost (Sewerage Fee: 0.010 aed)</t>
  </si>
  <si>
    <r>
      <t>Liters (m</t>
    </r>
    <r>
      <rPr>
        <sz val="10"/>
        <rFont val="Calibri"/>
        <family val="2"/>
      </rPr>
      <t>³</t>
    </r>
    <r>
      <rPr>
        <sz val="10"/>
        <rFont val="Arial Rounded MT Bold"/>
        <family val="2"/>
      </rPr>
      <t xml:space="preserve"> X 3.70)</t>
    </r>
  </si>
  <si>
    <t>Cost (Consumption Charges: 2.50 aed)</t>
  </si>
  <si>
    <t>L = m³ x 3.70</t>
  </si>
  <si>
    <t>Meter 1 - 06065253 -- 3004260732</t>
  </si>
  <si>
    <t>Meter 2 - 06065255 -- 3004260743</t>
  </si>
  <si>
    <t>Meter 3 - 06065259 -- 3004260754</t>
  </si>
  <si>
    <t>Meter 4 - 06065262 -- 3004260765</t>
  </si>
  <si>
    <t>Meter 7 - 06065283 -- 3004260787</t>
  </si>
  <si>
    <t>plus contracted load (aed 3,082.2per mo.)</t>
  </si>
  <si>
    <t>plus contracted load (aed 3,082.2 per mo.)</t>
  </si>
  <si>
    <t>Meter 6 - 06065269 -- 3004260776</t>
  </si>
  <si>
    <t>GAS</t>
  </si>
  <si>
    <t>CHILLED WATER</t>
  </si>
  <si>
    <t>4 AM Reading</t>
  </si>
  <si>
    <t>% OCCUPANCY:</t>
  </si>
  <si>
    <t>difference:</t>
  </si>
  <si>
    <t>Nov. 30</t>
  </si>
  <si>
    <t>4am</t>
  </si>
  <si>
    <t>empower bill is lower</t>
  </si>
  <si>
    <t>Date: November 19 to December , 2023</t>
  </si>
  <si>
    <t>Date: December 1 - 31, 2023</t>
  </si>
  <si>
    <t>Dec. 31</t>
  </si>
  <si>
    <t>DECEMBER 31</t>
  </si>
  <si>
    <t>JANUARY 2024</t>
  </si>
  <si>
    <t>January 19</t>
  </si>
  <si>
    <t>December 19</t>
  </si>
  <si>
    <t>JANUARY 2024 UTILITY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</si>
</sst>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.000_);_(* \(#,##0.000\);_(* &quot;-&quot;???_);_(@_)"/>
    <numFmt numFmtId="166" formatCode="0.0"/>
    <numFmt numFmtId="167" formatCode="[$AED]\ #,##0.00_);\([$AED]\ #,##0.00\)"/>
    <numFmt numFmtId="168" formatCode="0.000E+00"/>
    <numFmt numFmtId="169" formatCode="&quot;AED&quot;#,##0.00"/>
    <numFmt numFmtId="170" formatCode="#,##0.0"/>
    <numFmt numFmtId="171" formatCode="#,##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b/>
      <sz val="11"/>
      <color theme="3"/>
      <name val="Arial"/>
      <family val="2"/>
    </font>
    <font>
      <b/>
      <sz val="9"/>
      <name val="Arial"/>
      <family val="2"/>
    </font>
    <font>
      <i/>
      <sz val="11"/>
      <name val="Arial"/>
      <family val="2"/>
    </font>
    <font>
      <sz val="10"/>
      <name val="Arial Rounded MT Bold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99FF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6" fillId="0" borderId="0" applyNumberFormat="0" applyFill="0" applyBorder="0" applyAlignment="0" applyProtection="0"/>
  </cellStyleXfs>
  <cellXfs count="3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 vertical="center"/>
    </xf>
    <xf numFmtId="43" fontId="0" fillId="2" borderId="0" xfId="0" applyNumberFormat="1" applyFill="1"/>
    <xf numFmtId="1" fontId="0" fillId="2" borderId="0" xfId="0" applyNumberFormat="1" applyFill="1" applyAlignment="1">
      <alignment vertical="center"/>
    </xf>
    <xf numFmtId="0" fontId="2" fillId="2" borderId="3" xfId="0" applyFont="1" applyFill="1" applyBorder="1" applyAlignment="1">
      <alignment horizontal="center"/>
    </xf>
    <xf numFmtId="43" fontId="2" fillId="2" borderId="3" xfId="0" applyNumberFormat="1" applyFont="1" applyFill="1" applyBorder="1" applyAlignment="1">
      <alignment horizontal="center"/>
    </xf>
    <xf numFmtId="0" fontId="14" fillId="2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2" fillId="0" borderId="0" xfId="0" applyFont="1"/>
    <xf numFmtId="0" fontId="2" fillId="2" borderId="3" xfId="0" applyFont="1" applyFill="1" applyBorder="1"/>
    <xf numFmtId="43" fontId="2" fillId="2" borderId="3" xfId="0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3" fontId="2" fillId="2" borderId="0" xfId="1" applyFont="1" applyFill="1" applyBorder="1" applyAlignment="1">
      <alignment horizontal="center" vertical="center"/>
    </xf>
    <xf numFmtId="43" fontId="15" fillId="2" borderId="0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167" fontId="2" fillId="2" borderId="3" xfId="1" applyNumberFormat="1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/>
    <xf numFmtId="0" fontId="4" fillId="2" borderId="3" xfId="0" applyFont="1" applyFill="1" applyBorder="1" applyAlignment="1">
      <alignment horizontal="center"/>
    </xf>
    <xf numFmtId="43" fontId="5" fillId="2" borderId="3" xfId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 wrapText="1"/>
    </xf>
    <xf numFmtId="0" fontId="4" fillId="2" borderId="3" xfId="0" applyFont="1" applyFill="1" applyBorder="1" applyAlignment="1"/>
    <xf numFmtId="43" fontId="5" fillId="2" borderId="3" xfId="1" applyFont="1" applyFill="1" applyBorder="1" applyAlignment="1">
      <alignment horizontal="center"/>
    </xf>
    <xf numFmtId="0" fontId="6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43" fontId="7" fillId="2" borderId="3" xfId="1" applyFont="1" applyFill="1" applyBorder="1"/>
    <xf numFmtId="43" fontId="16" fillId="2" borderId="3" xfId="1" applyFont="1" applyFill="1" applyBorder="1"/>
    <xf numFmtId="43" fontId="8" fillId="2" borderId="3" xfId="1" applyFont="1" applyFill="1" applyBorder="1" applyAlignment="1">
      <alignment horizontal="center" vertical="center"/>
    </xf>
    <xf numFmtId="43" fontId="8" fillId="2" borderId="3" xfId="1" applyFont="1" applyFill="1" applyBorder="1"/>
    <xf numFmtId="0" fontId="8" fillId="2" borderId="3" xfId="0" applyFont="1" applyFill="1" applyBorder="1" applyAlignment="1">
      <alignment horizontal="center"/>
    </xf>
    <xf numFmtId="43" fontId="19" fillId="2" borderId="3" xfId="1" applyFont="1" applyFill="1" applyBorder="1" applyAlignment="1">
      <alignment vertical="center"/>
    </xf>
    <xf numFmtId="167" fontId="5" fillId="2" borderId="3" xfId="1" applyNumberFormat="1" applyFont="1" applyFill="1" applyBorder="1"/>
    <xf numFmtId="0" fontId="6" fillId="2" borderId="3" xfId="0" applyFont="1" applyFill="1" applyBorder="1" applyAlignment="1"/>
    <xf numFmtId="43" fontId="9" fillId="0" borderId="3" xfId="1" applyFont="1" applyFill="1" applyBorder="1"/>
    <xf numFmtId="0" fontId="8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43" fontId="9" fillId="2" borderId="3" xfId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 wrapText="1"/>
    </xf>
    <xf numFmtId="4" fontId="8" fillId="2" borderId="3" xfId="1" applyNumberFormat="1" applyFont="1" applyFill="1" applyBorder="1" applyAlignment="1">
      <alignment horizontal="center" vertical="center"/>
    </xf>
    <xf numFmtId="4" fontId="18" fillId="0" borderId="3" xfId="1" applyNumberFormat="1" applyFont="1" applyFill="1" applyBorder="1" applyAlignment="1">
      <alignment vertical="center"/>
    </xf>
    <xf numFmtId="43" fontId="16" fillId="0" borderId="3" xfId="1" applyFont="1" applyFill="1" applyBorder="1"/>
    <xf numFmtId="0" fontId="0" fillId="2" borderId="3" xfId="0" applyFill="1" applyBorder="1" applyAlignment="1"/>
    <xf numFmtId="43" fontId="8" fillId="2" borderId="3" xfId="1" applyNumberFormat="1" applyFont="1" applyFill="1" applyBorder="1"/>
    <xf numFmtId="0" fontId="11" fillId="2" borderId="3" xfId="0" applyFont="1" applyFill="1" applyBorder="1" applyAlignment="1"/>
    <xf numFmtId="43" fontId="5" fillId="0" borderId="3" xfId="1" applyFont="1" applyFill="1" applyBorder="1"/>
    <xf numFmtId="43" fontId="12" fillId="2" borderId="3" xfId="1" applyFont="1" applyFill="1" applyBorder="1" applyAlignment="1">
      <alignment horizontal="center" vertical="center"/>
    </xf>
    <xf numFmtId="43" fontId="10" fillId="0" borderId="3" xfId="1" applyFont="1" applyFill="1" applyBorder="1"/>
    <xf numFmtId="43" fontId="9" fillId="2" borderId="3" xfId="1" applyNumberFormat="1" applyFont="1" applyFill="1" applyBorder="1"/>
    <xf numFmtId="165" fontId="8" fillId="2" borderId="3" xfId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/>
    <xf numFmtId="0" fontId="13" fillId="2" borderId="3" xfId="0" applyFont="1" applyFill="1" applyBorder="1" applyAlignment="1">
      <alignment horizontal="center"/>
    </xf>
    <xf numFmtId="39" fontId="5" fillId="2" borderId="3" xfId="1" applyNumberFormat="1" applyFont="1" applyFill="1" applyBorder="1"/>
    <xf numFmtId="167" fontId="17" fillId="2" borderId="3" xfId="1" applyNumberFormat="1" applyFont="1" applyFill="1" applyBorder="1"/>
    <xf numFmtId="43" fontId="5" fillId="2" borderId="3" xfId="1" applyFont="1" applyFill="1" applyBorder="1"/>
    <xf numFmtId="43" fontId="17" fillId="2" borderId="3" xfId="1" applyFont="1" applyFill="1" applyBorder="1"/>
    <xf numFmtId="43" fontId="5" fillId="2" borderId="3" xfId="0" applyNumberFormat="1" applyFont="1" applyFill="1" applyBorder="1"/>
    <xf numFmtId="0" fontId="4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167" fontId="17" fillId="2" borderId="3" xfId="1" applyNumberFormat="1" applyFont="1" applyFill="1" applyBorder="1" applyAlignment="1">
      <alignment horizontal="right" vertical="center"/>
    </xf>
    <xf numFmtId="43" fontId="5" fillId="2" borderId="3" xfId="1" applyFont="1" applyFill="1" applyBorder="1" applyAlignment="1">
      <alignment vertical="center"/>
    </xf>
    <xf numFmtId="168" fontId="0" fillId="0" borderId="0" xfId="0" applyNumberFormat="1" applyAlignment="1">
      <alignment horizontal="center" vertical="center"/>
    </xf>
    <xf numFmtId="43" fontId="5" fillId="2" borderId="9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43" fontId="16" fillId="2" borderId="3" xfId="1" applyFont="1" applyFill="1" applyBorder="1" applyAlignment="1">
      <alignment vertical="center"/>
    </xf>
    <xf numFmtId="43" fontId="8" fillId="2" borderId="3" xfId="1" applyFont="1" applyFill="1" applyBorder="1" applyAlignment="1">
      <alignment vertical="center"/>
    </xf>
    <xf numFmtId="4" fontId="19" fillId="2" borderId="3" xfId="1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4" fontId="12" fillId="2" borderId="3" xfId="1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43" fontId="9" fillId="0" borderId="3" xfId="1" applyFont="1" applyFill="1" applyBorder="1" applyAlignment="1">
      <alignment vertical="center"/>
    </xf>
    <xf numFmtId="43" fontId="16" fillId="0" borderId="3" xfId="1" applyFont="1" applyFill="1" applyBorder="1" applyAlignment="1">
      <alignment vertical="center"/>
    </xf>
    <xf numFmtId="43" fontId="5" fillId="0" borderId="3" xfId="1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6" fillId="2" borderId="7" xfId="0" applyFont="1" applyFill="1" applyBorder="1" applyAlignment="1">
      <alignment horizontal="center" vertical="center"/>
    </xf>
    <xf numFmtId="43" fontId="16" fillId="2" borderId="8" xfId="1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43" fontId="8" fillId="2" borderId="8" xfId="1" applyFont="1" applyFill="1" applyBorder="1" applyAlignment="1">
      <alignment vertical="center"/>
    </xf>
    <xf numFmtId="43" fontId="22" fillId="2" borderId="3" xfId="1" applyFont="1" applyFill="1" applyBorder="1" applyAlignment="1">
      <alignment vertical="center"/>
    </xf>
    <xf numFmtId="43" fontId="5" fillId="2" borderId="8" xfId="1" applyFont="1" applyFill="1" applyBorder="1" applyAlignment="1">
      <alignment vertical="center"/>
    </xf>
    <xf numFmtId="0" fontId="16" fillId="8" borderId="3" xfId="0" applyFont="1" applyFill="1" applyBorder="1" applyAlignment="1">
      <alignment vertical="center"/>
    </xf>
    <xf numFmtId="43" fontId="22" fillId="8" borderId="3" xfId="1" applyFont="1" applyFill="1" applyBorder="1" applyAlignment="1">
      <alignment vertical="center"/>
    </xf>
    <xf numFmtId="167" fontId="5" fillId="8" borderId="8" xfId="1" applyNumberFormat="1" applyFont="1" applyFill="1" applyBorder="1" applyAlignment="1">
      <alignment vertical="center"/>
    </xf>
    <xf numFmtId="0" fontId="16" fillId="9" borderId="3" xfId="0" applyFont="1" applyFill="1" applyBorder="1" applyAlignment="1">
      <alignment vertical="center"/>
    </xf>
    <xf numFmtId="43" fontId="22" fillId="9" borderId="3" xfId="1" applyFont="1" applyFill="1" applyBorder="1" applyAlignment="1">
      <alignment vertical="center"/>
    </xf>
    <xf numFmtId="167" fontId="5" fillId="9" borderId="8" xfId="1" applyNumberFormat="1" applyFont="1" applyFill="1" applyBorder="1" applyAlignment="1">
      <alignment vertical="center"/>
    </xf>
    <xf numFmtId="0" fontId="16" fillId="2" borderId="3" xfId="0" applyFont="1" applyFill="1" applyBorder="1" applyAlignment="1">
      <alignment vertical="center"/>
    </xf>
    <xf numFmtId="43" fontId="9" fillId="0" borderId="8" xfId="1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43" fontId="17" fillId="0" borderId="8" xfId="1" applyFont="1" applyFill="1" applyBorder="1" applyAlignment="1">
      <alignment vertical="center"/>
    </xf>
    <xf numFmtId="0" fontId="5" fillId="8" borderId="3" xfId="0" applyFont="1" applyFill="1" applyBorder="1" applyAlignment="1">
      <alignment horizontal="center" vertical="center" wrapText="1"/>
    </xf>
    <xf numFmtId="43" fontId="5" fillId="8" borderId="3" xfId="1" applyFont="1" applyFill="1" applyBorder="1" applyAlignment="1">
      <alignment horizontal="center" vertical="center"/>
    </xf>
    <xf numFmtId="167" fontId="17" fillId="8" borderId="8" xfId="1" applyNumberFormat="1" applyFont="1" applyFill="1" applyBorder="1" applyAlignment="1">
      <alignment vertical="center"/>
    </xf>
    <xf numFmtId="43" fontId="5" fillId="9" borderId="3" xfId="1" applyFont="1" applyFill="1" applyBorder="1" applyAlignment="1">
      <alignment horizontal="center" vertical="center"/>
    </xf>
    <xf numFmtId="167" fontId="17" fillId="9" borderId="8" xfId="1" applyNumberFormat="1" applyFont="1" applyFill="1" applyBorder="1" applyAlignment="1">
      <alignment vertical="center"/>
    </xf>
    <xf numFmtId="43" fontId="16" fillId="0" borderId="8" xfId="1" applyFont="1" applyFill="1" applyBorder="1" applyAlignment="1">
      <alignment vertical="center"/>
    </xf>
    <xf numFmtId="43" fontId="5" fillId="0" borderId="8" xfId="1" applyFon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8" borderId="3" xfId="0" applyFill="1" applyBorder="1" applyAlignment="1">
      <alignment horizontal="center" vertical="center"/>
    </xf>
    <xf numFmtId="43" fontId="12" fillId="8" borderId="3" xfId="1" applyFont="1" applyFill="1" applyBorder="1" applyAlignment="1">
      <alignment horizontal="center" vertical="center"/>
    </xf>
    <xf numFmtId="43" fontId="12" fillId="9" borderId="3" xfId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16" fillId="9" borderId="13" xfId="0" applyFont="1" applyFill="1" applyBorder="1" applyAlignment="1">
      <alignment vertical="center"/>
    </xf>
    <xf numFmtId="0" fontId="0" fillId="9" borderId="13" xfId="0" applyFill="1" applyBorder="1" applyAlignment="1">
      <alignment horizontal="center" vertical="center"/>
    </xf>
    <xf numFmtId="43" fontId="12" fillId="9" borderId="13" xfId="1" applyFont="1" applyFill="1" applyBorder="1" applyAlignment="1">
      <alignment horizontal="center" vertical="center"/>
    </xf>
    <xf numFmtId="0" fontId="20" fillId="5" borderId="3" xfId="0" applyFont="1" applyFill="1" applyBorder="1"/>
    <xf numFmtId="167" fontId="20" fillId="5" borderId="3" xfId="0" applyNumberFormat="1" applyFont="1" applyFill="1" applyBorder="1" applyAlignment="1">
      <alignment horizontal="center" vertical="center"/>
    </xf>
    <xf numFmtId="169" fontId="5" fillId="10" borderId="8" xfId="1" applyNumberFormat="1" applyFont="1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26" fillId="0" borderId="0" xfId="2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166" fontId="0" fillId="0" borderId="7" xfId="0" applyNumberFormat="1" applyFill="1" applyBorder="1" applyAlignment="1">
      <alignment horizontal="center" vertical="center"/>
    </xf>
    <xf numFmtId="166" fontId="0" fillId="0" borderId="8" xfId="0" applyNumberFormat="1" applyFill="1" applyBorder="1" applyAlignment="1">
      <alignment horizontal="center" vertical="center"/>
    </xf>
    <xf numFmtId="166" fontId="0" fillId="0" borderId="3" xfId="0" applyNumberFormat="1" applyFill="1" applyBorder="1" applyAlignment="1">
      <alignment horizontal="center" vertical="center"/>
    </xf>
    <xf numFmtId="0" fontId="0" fillId="0" borderId="0" xfId="0" applyFill="1"/>
    <xf numFmtId="170" fontId="0" fillId="0" borderId="7" xfId="0" applyNumberFormat="1" applyFill="1" applyBorder="1" applyAlignment="1">
      <alignment horizontal="center" vertical="center"/>
    </xf>
    <xf numFmtId="2" fontId="0" fillId="0" borderId="15" xfId="0" applyNumberFormat="1" applyFill="1" applyBorder="1" applyAlignment="1">
      <alignment horizontal="center"/>
    </xf>
    <xf numFmtId="0" fontId="25" fillId="2" borderId="3" xfId="0" applyFont="1" applyFill="1" applyBorder="1" applyAlignment="1">
      <alignment horizontal="center" vertical="center"/>
    </xf>
    <xf numFmtId="167" fontId="5" fillId="8" borderId="3" xfId="1" applyNumberFormat="1" applyFont="1" applyFill="1" applyBorder="1" applyAlignment="1">
      <alignment vertical="center"/>
    </xf>
    <xf numFmtId="167" fontId="5" fillId="9" borderId="3" xfId="1" applyNumberFormat="1" applyFont="1" applyFill="1" applyBorder="1" applyAlignment="1">
      <alignment vertical="center"/>
    </xf>
    <xf numFmtId="167" fontId="5" fillId="10" borderId="3" xfId="1" applyNumberFormat="1" applyFont="1" applyFill="1" applyBorder="1" applyAlignment="1">
      <alignment vertical="center"/>
    </xf>
    <xf numFmtId="43" fontId="17" fillId="0" borderId="3" xfId="1" applyFont="1" applyFill="1" applyBorder="1" applyAlignment="1">
      <alignment vertical="center"/>
    </xf>
    <xf numFmtId="167" fontId="17" fillId="8" borderId="3" xfId="1" applyNumberFormat="1" applyFont="1" applyFill="1" applyBorder="1" applyAlignment="1">
      <alignment vertical="center"/>
    </xf>
    <xf numFmtId="167" fontId="17" fillId="9" borderId="3" xfId="1" applyNumberFormat="1" applyFont="1" applyFill="1" applyBorder="1" applyAlignment="1">
      <alignment vertical="center"/>
    </xf>
    <xf numFmtId="167" fontId="5" fillId="0" borderId="3" xfId="1" applyNumberFormat="1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43" fontId="5" fillId="2" borderId="20" xfId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0" fontId="20" fillId="2" borderId="3" xfId="0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left" vertical="center"/>
    </xf>
    <xf numFmtId="0" fontId="3" fillId="4" borderId="30" xfId="0" applyFont="1" applyFill="1" applyBorder="1" applyAlignment="1">
      <alignment horizontal="center" vertical="center"/>
    </xf>
    <xf numFmtId="10" fontId="3" fillId="4" borderId="31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right" vertical="center"/>
    </xf>
    <xf numFmtId="43" fontId="16" fillId="2" borderId="15" xfId="1" applyFont="1" applyFill="1" applyBorder="1" applyAlignment="1">
      <alignment vertical="center"/>
    </xf>
    <xf numFmtId="43" fontId="8" fillId="2" borderId="15" xfId="1" applyFont="1" applyFill="1" applyBorder="1" applyAlignment="1">
      <alignment vertical="center"/>
    </xf>
    <xf numFmtId="43" fontId="5" fillId="2" borderId="15" xfId="1" applyFont="1" applyFill="1" applyBorder="1" applyAlignment="1">
      <alignment vertical="center"/>
    </xf>
    <xf numFmtId="167" fontId="5" fillId="0" borderId="15" xfId="1" applyNumberFormat="1" applyFont="1" applyFill="1" applyBorder="1" applyAlignment="1">
      <alignment vertical="center"/>
    </xf>
    <xf numFmtId="167" fontId="5" fillId="5" borderId="15" xfId="1" applyNumberFormat="1" applyFont="1" applyFill="1" applyBorder="1" applyAlignment="1">
      <alignment vertical="center"/>
    </xf>
    <xf numFmtId="43" fontId="9" fillId="0" borderId="15" xfId="1" applyFont="1" applyFill="1" applyBorder="1" applyAlignment="1">
      <alignment vertical="center"/>
    </xf>
    <xf numFmtId="43" fontId="17" fillId="0" borderId="15" xfId="1" applyFont="1" applyFill="1" applyBorder="1" applyAlignment="1">
      <alignment vertical="center"/>
    </xf>
    <xf numFmtId="167" fontId="17" fillId="0" borderId="15" xfId="1" applyNumberFormat="1" applyFont="1" applyFill="1" applyBorder="1" applyAlignment="1">
      <alignment vertical="center"/>
    </xf>
    <xf numFmtId="167" fontId="17" fillId="5" borderId="15" xfId="1" applyNumberFormat="1" applyFont="1" applyFill="1" applyBorder="1" applyAlignment="1">
      <alignment vertical="center"/>
    </xf>
    <xf numFmtId="43" fontId="16" fillId="0" borderId="15" xfId="1" applyFont="1" applyFill="1" applyBorder="1" applyAlignment="1">
      <alignment vertical="center"/>
    </xf>
    <xf numFmtId="43" fontId="5" fillId="0" borderId="15" xfId="1" applyFont="1" applyFill="1" applyBorder="1" applyAlignment="1">
      <alignment vertical="center"/>
    </xf>
    <xf numFmtId="167" fontId="5" fillId="5" borderId="16" xfId="1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167" fontId="5" fillId="0" borderId="23" xfId="1" applyNumberFormat="1" applyFont="1" applyFill="1" applyBorder="1" applyAlignment="1">
      <alignment vertical="center"/>
    </xf>
    <xf numFmtId="0" fontId="0" fillId="0" borderId="17" xfId="0" applyFill="1" applyBorder="1" applyAlignment="1">
      <alignment horizontal="center" vertical="center"/>
    </xf>
    <xf numFmtId="166" fontId="0" fillId="0" borderId="18" xfId="0" applyNumberFormat="1" applyFill="1" applyBorder="1" applyAlignment="1">
      <alignment horizontal="center" vertical="center"/>
    </xf>
    <xf numFmtId="166" fontId="0" fillId="0" borderId="19" xfId="0" applyNumberFormat="1" applyFill="1" applyBorder="1" applyAlignment="1">
      <alignment horizontal="center" vertical="center"/>
    </xf>
    <xf numFmtId="170" fontId="0" fillId="0" borderId="18" xfId="0" applyNumberFormat="1" applyFill="1" applyBorder="1" applyAlignment="1">
      <alignment horizontal="center" vertical="center"/>
    </xf>
    <xf numFmtId="166" fontId="0" fillId="0" borderId="20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168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167" fontId="5" fillId="5" borderId="8" xfId="1" applyNumberFormat="1" applyFont="1" applyFill="1" applyBorder="1" applyAlignment="1">
      <alignment vertical="center"/>
    </xf>
    <xf numFmtId="171" fontId="5" fillId="2" borderId="3" xfId="1" applyNumberFormat="1" applyFont="1" applyFill="1" applyBorder="1" applyAlignment="1">
      <alignment vertical="center"/>
    </xf>
    <xf numFmtId="0" fontId="27" fillId="2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3" fontId="5" fillId="2" borderId="20" xfId="1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3" fontId="3" fillId="4" borderId="31" xfId="0" applyNumberFormat="1" applyFont="1" applyFill="1" applyBorder="1" applyAlignment="1">
      <alignment horizontal="center" vertical="center"/>
    </xf>
    <xf numFmtId="167" fontId="5" fillId="9" borderId="13" xfId="1" applyNumberFormat="1" applyFont="1" applyFill="1" applyBorder="1" applyAlignment="1">
      <alignment vertical="center"/>
    </xf>
    <xf numFmtId="49" fontId="5" fillId="2" borderId="3" xfId="1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/>
    </xf>
    <xf numFmtId="49" fontId="5" fillId="2" borderId="3" xfId="1" applyNumberFormat="1" applyFont="1" applyFill="1" applyBorder="1" applyAlignment="1">
      <alignment horizontal="center" vertical="center"/>
    </xf>
    <xf numFmtId="166" fontId="0" fillId="0" borderId="12" xfId="0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/>
    </xf>
    <xf numFmtId="43" fontId="5" fillId="2" borderId="3" xfId="1" applyFont="1" applyFill="1" applyBorder="1" applyAlignment="1">
      <alignment horizontal="center" vertical="center" wrapText="1"/>
    </xf>
    <xf numFmtId="43" fontId="8" fillId="2" borderId="9" xfId="1" applyFont="1" applyFill="1" applyBorder="1" applyAlignment="1">
      <alignment vertical="center"/>
    </xf>
    <xf numFmtId="164" fontId="8" fillId="2" borderId="3" xfId="1" applyNumberFormat="1" applyFont="1" applyFill="1" applyBorder="1"/>
    <xf numFmtId="0" fontId="3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/>
    </xf>
    <xf numFmtId="43" fontId="5" fillId="2" borderId="3" xfId="1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1" fontId="2" fillId="0" borderId="7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1" fontId="2" fillId="0" borderId="1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0" fillId="0" borderId="16" xfId="0" applyFill="1" applyBorder="1" applyAlignment="1">
      <alignment horizontal="center" vertical="center"/>
    </xf>
    <xf numFmtId="43" fontId="5" fillId="2" borderId="3" xfId="1" applyFont="1" applyFill="1" applyBorder="1" applyAlignment="1"/>
    <xf numFmtId="49" fontId="3" fillId="2" borderId="3" xfId="0" applyNumberFormat="1" applyFont="1" applyFill="1" applyBorder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167" fontId="17" fillId="0" borderId="9" xfId="1" applyNumberFormat="1" applyFont="1" applyFill="1" applyBorder="1" applyAlignment="1">
      <alignment vertical="center"/>
    </xf>
    <xf numFmtId="167" fontId="17" fillId="5" borderId="10" xfId="1" applyNumberFormat="1" applyFont="1" applyFill="1" applyBorder="1" applyAlignment="1">
      <alignment vertical="center"/>
    </xf>
    <xf numFmtId="43" fontId="16" fillId="0" borderId="9" xfId="1" applyFont="1" applyFill="1" applyBorder="1" applyAlignment="1">
      <alignment vertical="center"/>
    </xf>
    <xf numFmtId="43" fontId="5" fillId="0" borderId="9" xfId="1" applyFont="1" applyFill="1" applyBorder="1" applyAlignment="1">
      <alignment vertical="center"/>
    </xf>
    <xf numFmtId="167" fontId="5" fillId="0" borderId="9" xfId="1" applyNumberFormat="1" applyFont="1" applyFill="1" applyBorder="1" applyAlignment="1">
      <alignment vertical="center"/>
    </xf>
    <xf numFmtId="167" fontId="5" fillId="5" borderId="10" xfId="1" applyNumberFormat="1" applyFont="1" applyFill="1" applyBorder="1" applyAlignment="1">
      <alignment vertical="center"/>
    </xf>
    <xf numFmtId="167" fontId="5" fillId="5" borderId="9" xfId="1" applyNumberFormat="1" applyFont="1" applyFill="1" applyBorder="1" applyAlignment="1">
      <alignment vertical="center"/>
    </xf>
    <xf numFmtId="43" fontId="17" fillId="0" borderId="9" xfId="1" applyFont="1" applyFill="1" applyBorder="1" applyAlignment="1">
      <alignment horizontal="right" vertical="center"/>
    </xf>
    <xf numFmtId="43" fontId="9" fillId="0" borderId="3" xfId="1" applyFont="1" applyFill="1" applyBorder="1" applyAlignment="1">
      <alignment vertical="center" wrapText="1"/>
    </xf>
    <xf numFmtId="43" fontId="9" fillId="0" borderId="9" xfId="1" applyFont="1" applyFill="1" applyBorder="1" applyAlignment="1">
      <alignment horizontal="right" vertical="center" wrapText="1"/>
    </xf>
    <xf numFmtId="170" fontId="0" fillId="0" borderId="12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44" xfId="0" applyFill="1" applyBorder="1" applyAlignment="1">
      <alignment horizontal="center" vertical="center"/>
    </xf>
    <xf numFmtId="166" fontId="0" fillId="0" borderId="46" xfId="0" applyNumberFormat="1" applyFill="1" applyBorder="1" applyAlignment="1">
      <alignment horizontal="center" vertical="center"/>
    </xf>
    <xf numFmtId="170" fontId="0" fillId="0" borderId="46" xfId="0" applyNumberFormat="1" applyFill="1" applyBorder="1" applyAlignment="1">
      <alignment horizontal="center" vertical="center"/>
    </xf>
    <xf numFmtId="2" fontId="0" fillId="0" borderId="44" xfId="0" applyNumberFormat="1" applyFill="1" applyBorder="1" applyAlignment="1">
      <alignment horizontal="center"/>
    </xf>
    <xf numFmtId="0" fontId="3" fillId="2" borderId="42" xfId="0" applyFont="1" applyFill="1" applyBorder="1" applyAlignment="1">
      <alignment horizontal="center" vertical="center"/>
    </xf>
    <xf numFmtId="0" fontId="3" fillId="2" borderId="40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/>
    </xf>
    <xf numFmtId="0" fontId="27" fillId="2" borderId="20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3" fontId="5" fillId="2" borderId="20" xfId="1" applyFont="1" applyFill="1" applyBorder="1" applyAlignment="1">
      <alignment horizontal="center" vertical="center" wrapText="1"/>
    </xf>
    <xf numFmtId="43" fontId="5" fillId="2" borderId="3" xfId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3" fillId="4" borderId="38" xfId="0" applyNumberFormat="1" applyFont="1" applyFill="1" applyBorder="1" applyAlignment="1">
      <alignment horizontal="center" vertical="center"/>
    </xf>
    <xf numFmtId="3" fontId="3" fillId="4" borderId="28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43" fontId="5" fillId="2" borderId="9" xfId="1" applyFont="1" applyFill="1" applyBorder="1" applyAlignment="1">
      <alignment horizontal="right" vertical="center" wrapText="1"/>
    </xf>
    <xf numFmtId="43" fontId="5" fillId="2" borderId="23" xfId="1" applyFont="1" applyFill="1" applyBorder="1" applyAlignment="1">
      <alignment horizontal="right" vertical="center" wrapText="1"/>
    </xf>
    <xf numFmtId="0" fontId="20" fillId="2" borderId="3" xfId="0" applyFont="1" applyFill="1" applyBorder="1" applyAlignment="1">
      <alignment horizontal="center" vertical="center"/>
    </xf>
    <xf numFmtId="43" fontId="5" fillId="2" borderId="17" xfId="1" applyFont="1" applyFill="1" applyBorder="1" applyAlignment="1">
      <alignment horizontal="center" vertical="center" wrapText="1"/>
    </xf>
    <xf numFmtId="43" fontId="5" fillId="2" borderId="15" xfId="1" applyFont="1" applyFill="1" applyBorder="1" applyAlignment="1">
      <alignment horizontal="center" vertical="center" wrapText="1"/>
    </xf>
    <xf numFmtId="43" fontId="5" fillId="2" borderId="29" xfId="1" applyFont="1" applyFill="1" applyBorder="1" applyAlignment="1">
      <alignment horizontal="center" vertical="center" wrapText="1"/>
    </xf>
    <xf numFmtId="43" fontId="5" fillId="2" borderId="19" xfId="1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10" fontId="3" fillId="4" borderId="2" xfId="0" applyNumberFormat="1" applyFont="1" applyFill="1" applyBorder="1" applyAlignment="1">
      <alignment horizontal="center" vertical="center"/>
    </xf>
    <xf numFmtId="10" fontId="3" fillId="4" borderId="28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1" fontId="2" fillId="0" borderId="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1" fontId="2" fillId="0" borderId="8" xfId="0" applyNumberFormat="1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4BB2FF"/>
      <color rgb="FFFF9B9B"/>
      <color rgb="FFECD9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F5A85B4-5AA8-4448-BABA-E179CC54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1E46D411-33B4-4355-B5B5-5CB61C29D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3A77D999-70DD-4689-A398-3907D51F8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86F5C1-0C6E-405C-ABE8-159FE08EC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D4E268A-1C68-47D3-A6C5-680C76A1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F831A209-2B83-41F7-8683-56887ADB8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D9700A4-1D42-459A-9AA0-5E6DB8CAF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7E84164-2C18-43D2-9205-EDD8A9D1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095EE19C-98E2-4136-AA8B-38101530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A5826A8-C197-4370-9889-62A87484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D8AED59-1FEB-4D1D-9C98-333938F6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4EB3700-09A5-4853-B9D4-44E71698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C838AC1-A5B0-4203-ADB2-BDAD53459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433020F4-2094-4D48-BD44-F35807A4A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8C44E498-3AB1-447C-90AE-90F27066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5E016F4-4F35-4C39-B06F-44E82B7E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942F0CAA-0AC5-4505-927C-DC8E62F4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E7422A6-3161-458E-A242-194C38236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2E89583-4C18-455E-A6BB-8A6467F0D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D05AB0-B80C-4774-BFBD-74AB5899F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B46F2A82-DF58-4FF7-A1C9-DAD07DA8C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A74C8CCC-AC93-4780-8D2A-6BEFA564F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5D0434B8-B18E-4039-BE25-0E96F4C78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610B06F9-BD9A-4A8A-9026-C0B0E8622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855363</xdr:colOff>
      <xdr:row>0</xdr:row>
      <xdr:rowOff>0</xdr:rowOff>
    </xdr:from>
    <xdr:ext cx="468051" cy="4667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18188" y="0"/>
          <a:ext cx="468051" cy="466725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798052</xdr:colOff>
      <xdr:row>0</xdr:row>
      <xdr:rowOff>0</xdr:rowOff>
    </xdr:from>
    <xdr:ext cx="525362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7" y="0"/>
          <a:ext cx="525362" cy="523875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807603</xdr:colOff>
      <xdr:row>0</xdr:row>
      <xdr:rowOff>1</xdr:rowOff>
    </xdr:from>
    <xdr:ext cx="515811" cy="514350"/>
    <xdr:pic>
      <xdr:nvPicPr>
        <xdr:cNvPr id="2" name="Picture 1">
          <a:extLst>
            <a:ext uri="{FF2B5EF4-FFF2-40B4-BE49-F238E27FC236}">
              <a16:creationId xmlns:a16="http://schemas.microsoft.com/office/drawing/2014/main" id="{C0529EAA-F721-4393-8176-F07B261C1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70428" y="1"/>
          <a:ext cx="515811" cy="514350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189ECD9B-AD82-491C-9F5F-D03E3ED6A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76EB12ED-FF8C-471C-906B-1EF99B9DD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F069FF8A-C02D-4B37-A545-A8C5F6A7B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798051</xdr:colOff>
      <xdr:row>0</xdr:row>
      <xdr:rowOff>0</xdr:rowOff>
    </xdr:from>
    <xdr:ext cx="525363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221681AF-0EE2-4C2D-8636-8B6D5159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160876" y="0"/>
          <a:ext cx="525363" cy="523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1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C0A9-142E-40DD-B913-9C5EFCB026EB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">
        <v>120</v>
      </c>
      <c r="C3" s="203">
        <v>1</v>
      </c>
      <c r="D3" s="208" t="s">
        <v>111</v>
      </c>
      <c r="E3" s="223">
        <f>'Daily Meter'!O6</f>
        <v>60.83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 t="s">
        <v>119</v>
      </c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v>53446.3</v>
      </c>
      <c r="E7" s="39">
        <f>'Daily Meter'!B6</f>
        <v>53476.800000000003</v>
      </c>
      <c r="F7" s="40">
        <f>E7-D7</f>
        <v>30.5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8672.369999999999</v>
      </c>
      <c r="G8" s="43">
        <f>F8*0.63</f>
        <v>5463.5930999999991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v>203437</v>
      </c>
      <c r="E10" s="39">
        <f>'Daily Meter'!C6</f>
        <v>203658</v>
      </c>
      <c r="F10" s="40">
        <f>E10-D10</f>
        <v>221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48613.148999999998</v>
      </c>
      <c r="G11" s="71">
        <f>F11*0.06</f>
        <v>2916.7889399999999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v>6559.3</v>
      </c>
      <c r="E13" s="39">
        <f>'Daily Meter'!H6</f>
        <v>6566.3</v>
      </c>
      <c r="F13" s="40">
        <f t="shared" ref="F13:F18" si="0">(E13-D13)*480</f>
        <v>3360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v>3966.1</v>
      </c>
      <c r="E14" s="39">
        <f>'Daily Meter'!I6</f>
        <v>3970.2</v>
      </c>
      <c r="F14" s="40">
        <f t="shared" si="0"/>
        <v>1967.9999999999563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v>4228.8999999999996</v>
      </c>
      <c r="E15" s="39">
        <f>'Daily Meter'!J6</f>
        <v>4233.6000000000004</v>
      </c>
      <c r="F15" s="40">
        <f t="shared" si="0"/>
        <v>2256.0000000003492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v>2358.9</v>
      </c>
      <c r="E16" s="39">
        <f>'Daily Meter'!K6</f>
        <v>2361.9</v>
      </c>
      <c r="F16" s="40">
        <f t="shared" si="0"/>
        <v>1440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v>5569.2</v>
      </c>
      <c r="E17" s="39">
        <f>'Daily Meter'!L6</f>
        <v>5573.8</v>
      </c>
      <c r="F17" s="40">
        <f t="shared" si="0"/>
        <v>2208.0000000001746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v>15010.6</v>
      </c>
      <c r="E18" s="39">
        <f>'Daily Meter'!M6</f>
        <v>15022.4</v>
      </c>
      <c r="F18" s="40">
        <f t="shared" si="0"/>
        <v>5663.9999999996508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16896.000000000131</v>
      </c>
      <c r="G19" s="43">
        <f>F19*0.43</f>
        <v>7265.2800000000561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v>89987.4</v>
      </c>
      <c r="E22" s="39">
        <f>'Daily Meter'!N6</f>
        <v>90136.2</v>
      </c>
      <c r="F22" s="63">
        <f>E22-D22</f>
        <v>148.80000000000291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550.56000000001075</v>
      </c>
      <c r="G23" s="66">
        <f>F23*2.5</f>
        <v>1376.4000000000269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8672.369999999999</v>
      </c>
      <c r="G28" s="23">
        <f>G8</f>
        <v>5463.5930999999991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48613.148999999998</v>
      </c>
      <c r="G29" s="23">
        <f>G11</f>
        <v>2916.7889399999999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16896.000000000131</v>
      </c>
      <c r="G30" s="23">
        <f>G19</f>
        <v>7265.2800000000561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148.80000000000291</v>
      </c>
      <c r="G31" s="23">
        <f>G23</f>
        <v>1376.4000000000269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17022.062040000081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DDCD6D4-189E-49A5-81DD-DCD4CE7747A6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4714-C1DE-4385-94C8-2EFD38EE66A8}">
  <dimension ref="A1:K32"/>
  <sheetViews>
    <sheetView zoomScaleNormal="100" workbookViewId="0">
      <selection activeCell="F8" sqref="F8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</v>
      </c>
      <c r="D3" s="208" t="s">
        <v>111</v>
      </c>
      <c r="E3" s="223">
        <f>'Daily Meter'!O6</f>
        <v>60.83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'1'!E7</f>
        <v>53476.800000000003</v>
      </c>
      <c r="E7" s="39">
        <f>'Daily Meter'!B7</f>
        <v>53504.7</v>
      </c>
      <c r="F7" s="40">
        <f>E7-D7</f>
        <v>27.899999999994179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7933.0859999983441</v>
      </c>
      <c r="G8" s="43">
        <f>F8*0.63</f>
        <v>4997.8441799989569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'1'!E10</f>
        <v>203658</v>
      </c>
      <c r="E10" s="39">
        <f>'Daily Meter'!C7</f>
        <v>203854</v>
      </c>
      <c r="F10" s="40">
        <f>E10-D10</f>
        <v>196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43113.923999999999</v>
      </c>
      <c r="G11" s="71">
        <f>F11*0.06</f>
        <v>2586.8354399999998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'1'!E13</f>
        <v>6566.3</v>
      </c>
      <c r="E13" s="39">
        <f>'Daily Meter'!H7</f>
        <v>6573.5</v>
      </c>
      <c r="F13" s="40">
        <f t="shared" ref="F13:F18" si="0">(E13-D13)*480</f>
        <v>3455.9999999999127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'1'!E14</f>
        <v>3970.2</v>
      </c>
      <c r="E14" s="39">
        <f>'Daily Meter'!I7</f>
        <v>3973.9</v>
      </c>
      <c r="F14" s="40">
        <f t="shared" si="0"/>
        <v>1776.000000000131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'1'!E15</f>
        <v>4233.6000000000004</v>
      </c>
      <c r="E15" s="39">
        <f>'Daily Meter'!J7</f>
        <v>4237.8999999999996</v>
      </c>
      <c r="F15" s="40">
        <f t="shared" si="0"/>
        <v>2063.9999999996508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'1'!E16</f>
        <v>2361.9</v>
      </c>
      <c r="E16" s="39">
        <f>'Daily Meter'!K7</f>
        <v>2364.5</v>
      </c>
      <c r="F16" s="40">
        <f t="shared" si="0"/>
        <v>1247.9999999999563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'1'!E17</f>
        <v>5573.8</v>
      </c>
      <c r="E17" s="39">
        <f>'Daily Meter'!L7</f>
        <v>5578.2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'1'!E18</f>
        <v>15022.4</v>
      </c>
      <c r="E18" s="39">
        <f>'Daily Meter'!M7</f>
        <v>15034</v>
      </c>
      <c r="F18" s="40">
        <f t="shared" si="0"/>
        <v>5568.0000000001746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16223.999999999651</v>
      </c>
      <c r="G19" s="43">
        <f>F19*0.43</f>
        <v>6976.3199999998496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'1'!E22</f>
        <v>90136.2</v>
      </c>
      <c r="E22" s="39">
        <f>'Daily Meter'!N7</f>
        <v>90266</v>
      </c>
      <c r="F22" s="63">
        <f>E22-D22</f>
        <v>129.80000000000291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480.26000000001079</v>
      </c>
      <c r="G23" s="66">
        <f>F23*2.5</f>
        <v>1200.6500000000269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7933.0859999983441</v>
      </c>
      <c r="G28" s="23">
        <f>G8</f>
        <v>4997.8441799989569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43113.923999999999</v>
      </c>
      <c r="G29" s="23">
        <f>G11</f>
        <v>2586.8354399999998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16223.999999999651</v>
      </c>
      <c r="G30" s="23">
        <f>G19</f>
        <v>6976.3199999998496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129.80000000000291</v>
      </c>
      <c r="G31" s="23">
        <f>G23</f>
        <v>1200.6500000000269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15761.649619998832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B316D24-FD66-4903-A654-E0BF2E39342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47600-D8EE-40AD-8FE5-FE204BB30659}">
  <dimension ref="A1:K32"/>
  <sheetViews>
    <sheetView zoomScaleNormal="100" workbookViewId="0">
      <selection activeCell="H11" sqref="H1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3</v>
      </c>
      <c r="D3" s="208" t="s">
        <v>111</v>
      </c>
      <c r="E3" s="223">
        <f>'Daily Meter'!O8</f>
        <v>53.46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'2'!E7</f>
        <v>53504.7</v>
      </c>
      <c r="E7" s="39">
        <f>'Daily Meter'!B8</f>
        <v>53528.800000000003</v>
      </c>
      <c r="F7" s="40">
        <f>E7-D7</f>
        <v>24.100000000005821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6852.5940000016544</v>
      </c>
      <c r="G8" s="43">
        <f>F8*0.63</f>
        <v>4317.1342200010422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'2'!E10</f>
        <v>203854</v>
      </c>
      <c r="E10" s="39">
        <f>'Daily Meter'!C8</f>
        <v>204020</v>
      </c>
      <c r="F10" s="40">
        <f>E10-D10</f>
        <v>166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36514.853999999999</v>
      </c>
      <c r="G11" s="71">
        <f>F11*0.06</f>
        <v>2190.8912399999999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'2'!E13</f>
        <v>6573.5</v>
      </c>
      <c r="E13" s="39">
        <f>'Daily Meter'!H8</f>
        <v>6580.4</v>
      </c>
      <c r="F13" s="40">
        <f t="shared" ref="F13:F18" si="0">(E13-D13)*480</f>
        <v>3311.9999999998254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'2'!E14</f>
        <v>3973.9</v>
      </c>
      <c r="E14" s="39">
        <f>'Daily Meter'!I8</f>
        <v>3977.7</v>
      </c>
      <c r="F14" s="40">
        <f t="shared" si="0"/>
        <v>1823.999999999869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'2'!E15</f>
        <v>4237.8999999999996</v>
      </c>
      <c r="E15" s="39">
        <f>'Daily Meter'!J8</f>
        <v>4242.1000000000004</v>
      </c>
      <c r="F15" s="40">
        <f t="shared" si="0"/>
        <v>2016.0000000003492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'2'!E16</f>
        <v>2364.5</v>
      </c>
      <c r="E16" s="39">
        <f>'Daily Meter'!K8</f>
        <v>2367.1</v>
      </c>
      <c r="F16" s="40">
        <f t="shared" si="0"/>
        <v>1247.9999999999563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'2'!E17</f>
        <v>5578.2</v>
      </c>
      <c r="E17" s="39">
        <f>'Daily Meter'!L8</f>
        <v>5582.6</v>
      </c>
      <c r="F17" s="40">
        <f t="shared" si="0"/>
        <v>2112.0000000002619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'2'!E18</f>
        <v>15034</v>
      </c>
      <c r="E18" s="39">
        <f>'Daily Meter'!M8</f>
        <v>15045.3</v>
      </c>
      <c r="F18" s="40">
        <f t="shared" si="0"/>
        <v>5423.9999999996508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15935.999999999913</v>
      </c>
      <c r="G19" s="43">
        <f>F19*0.43</f>
        <v>6852.4799999999623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'2'!E22</f>
        <v>90266</v>
      </c>
      <c r="E22" s="39">
        <f>'Daily Meter'!N8</f>
        <v>90385.8</v>
      </c>
      <c r="F22" s="63">
        <f>E22-D22</f>
        <v>119.80000000000291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443.26000000001079</v>
      </c>
      <c r="G23" s="66">
        <f>F23*2.5</f>
        <v>1108.1500000000269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6852.5940000016544</v>
      </c>
      <c r="G28" s="23">
        <f>G8</f>
        <v>4317.1342200010422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36514.853999999999</v>
      </c>
      <c r="G29" s="23">
        <f>G11</f>
        <v>2190.8912399999999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15935.999999999913</v>
      </c>
      <c r="G30" s="23">
        <f>G19</f>
        <v>6852.4799999999623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119.80000000000291</v>
      </c>
      <c r="G31" s="23">
        <f>G23</f>
        <v>1108.1500000000269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14468.655460001031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7B0C946-DB8A-4DA8-8BD0-628A80A01B3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CBA7-9E68-4CF4-91F9-70A0CA405C5F}">
  <dimension ref="A1:K32"/>
  <sheetViews>
    <sheetView zoomScaleNormal="100" workbookViewId="0">
      <selection activeCell="F19" sqref="F19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4</v>
      </c>
      <c r="D3" s="208" t="s">
        <v>111</v>
      </c>
      <c r="E3" s="223">
        <f>'Daily Meter'!O9</f>
        <v>53.69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'3'!E7</f>
        <v>53528.800000000003</v>
      </c>
      <c r="E7" s="39">
        <f>'Daily Meter'!B9</f>
        <v>53551.3</v>
      </c>
      <c r="F7" s="40">
        <f>E7-D7</f>
        <v>22.5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6397.65</v>
      </c>
      <c r="G8" s="43">
        <f>F8*0.63</f>
        <v>4030.5194999999999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'3'!E10</f>
        <v>204020</v>
      </c>
      <c r="E10" s="39">
        <f>'Daily Meter'!C9</f>
        <v>204191</v>
      </c>
      <c r="F10" s="40">
        <f>E10-D10</f>
        <v>171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37614.699000000001</v>
      </c>
      <c r="G11" s="71">
        <f>F11*0.06</f>
        <v>2256.8819399999998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'3'!E13</f>
        <v>6580.4</v>
      </c>
      <c r="E13" s="39">
        <f>'Daily Meter'!H9</f>
        <v>6587</v>
      </c>
      <c r="F13" s="40">
        <f t="shared" ref="F13:F18" si="0">(E13-D13)*480</f>
        <v>3168.0000000001746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'3'!E14</f>
        <v>3977.7</v>
      </c>
      <c r="E14" s="39">
        <f>'Daily Meter'!I9</f>
        <v>3981.4</v>
      </c>
      <c r="F14" s="40">
        <f t="shared" si="0"/>
        <v>1776.000000000131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'3'!E15</f>
        <v>4242.1000000000004</v>
      </c>
      <c r="E15" s="39">
        <f>'Daily Meter'!J9</f>
        <v>4246.5</v>
      </c>
      <c r="F15" s="40">
        <f t="shared" si="0"/>
        <v>2111.9999999998254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'3'!E16</f>
        <v>2367.1</v>
      </c>
      <c r="E16" s="39">
        <f>'Daily Meter'!K9</f>
        <v>2369.6999999999998</v>
      </c>
      <c r="F16" s="40">
        <f t="shared" si="0"/>
        <v>1247.9999999999563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'3'!E17</f>
        <v>5582.6</v>
      </c>
      <c r="E17" s="39">
        <f>'Daily Meter'!L9</f>
        <v>5587.1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'3'!E18</f>
        <v>15045.3</v>
      </c>
      <c r="E18" s="39">
        <f>'Daily Meter'!M9</f>
        <v>15055.6</v>
      </c>
      <c r="F18" s="40">
        <f t="shared" si="0"/>
        <v>4944.0000000005239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15408.000000000611</v>
      </c>
      <c r="G19" s="43">
        <f>F19*0.43</f>
        <v>6625.4400000002624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'3'!E22</f>
        <v>90385.8</v>
      </c>
      <c r="E22" s="39">
        <f>'Daily Meter'!N9</f>
        <v>90508.7</v>
      </c>
      <c r="F22" s="63">
        <f>E22-D22</f>
        <v>122.89999999999418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454.72999999997847</v>
      </c>
      <c r="G23" s="66">
        <f>F23*2.5</f>
        <v>1136.8249999999462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3">
        <f>G8</f>
        <v>4030.5194999999999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37614.699000000001</v>
      </c>
      <c r="G29" s="23">
        <f>G11</f>
        <v>2256.8819399999998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15408.000000000611</v>
      </c>
      <c r="G30" s="23">
        <f>G19</f>
        <v>6625.4400000002624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122.89999999999418</v>
      </c>
      <c r="G31" s="23">
        <f>G23</f>
        <v>1136.8249999999462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14049.666440000208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0104AB0-51D3-42E0-A5B5-572658F91D2D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2C45-8C76-4065-97C8-7CFC3686CC9A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5</v>
      </c>
      <c r="D3" s="208" t="s">
        <v>111</v>
      </c>
      <c r="E3" s="223">
        <f>'Daily Meter'!O10</f>
        <v>52.53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'4'!E7</f>
        <v>53551.3</v>
      </c>
      <c r="E7" s="39">
        <f>'Daily Meter'!B10</f>
        <v>53573.8</v>
      </c>
      <c r="F7" s="40">
        <f>E7-D7</f>
        <v>22.5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6397.65</v>
      </c>
      <c r="G8" s="43">
        <f>F8*0.63</f>
        <v>4030.5194999999999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'4'!E10</f>
        <v>204191</v>
      </c>
      <c r="E10" s="39">
        <f>'Daily Meter'!C10</f>
        <v>204310</v>
      </c>
      <c r="F10" s="40">
        <f>E10-D10</f>
        <v>119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26176.310999999998</v>
      </c>
      <c r="G11" s="71">
        <f>F11*0.06</f>
        <v>1570.5786599999999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'4'!E13</f>
        <v>6587</v>
      </c>
      <c r="E13" s="39">
        <f>'Daily Meter'!H10</f>
        <v>6593.6</v>
      </c>
      <c r="F13" s="40">
        <f t="shared" ref="F13:F18" si="0">(E13-D13)*480</f>
        <v>3168.0000000001746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'4'!E14</f>
        <v>3981.4</v>
      </c>
      <c r="E14" s="39">
        <f>'Daily Meter'!I10</f>
        <v>3985.1</v>
      </c>
      <c r="F14" s="40">
        <f t="shared" si="0"/>
        <v>1775.9999999999127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'4'!E15</f>
        <v>4246.5</v>
      </c>
      <c r="E15" s="39">
        <f>'Daily Meter'!J10</f>
        <v>4251</v>
      </c>
      <c r="F15" s="40">
        <f t="shared" si="0"/>
        <v>2160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'4'!E16</f>
        <v>2369.6999999999998</v>
      </c>
      <c r="E16" s="39">
        <f>'Daily Meter'!K10</f>
        <v>2372.3000000000002</v>
      </c>
      <c r="F16" s="40">
        <f t="shared" si="0"/>
        <v>1248.0000000001746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'4'!E17</f>
        <v>5587.1</v>
      </c>
      <c r="E17" s="39">
        <f>'Daily Meter'!L10</f>
        <v>5591.5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'4'!E18</f>
        <v>15055.6</v>
      </c>
      <c r="E18" s="39">
        <f>'Daily Meter'!M10</f>
        <v>15066.2</v>
      </c>
      <c r="F18" s="40">
        <f t="shared" si="0"/>
        <v>5088.0000000001746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15552.000000000262</v>
      </c>
      <c r="G19" s="43">
        <f>F19*0.43</f>
        <v>6687.3600000001124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'4'!E22</f>
        <v>90508.7</v>
      </c>
      <c r="E22" s="39">
        <f>'Daily Meter'!N10</f>
        <v>90630.9</v>
      </c>
      <c r="F22" s="63">
        <f>E22-D22</f>
        <v>122.19999999999709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452.13999999998924</v>
      </c>
      <c r="G23" s="66">
        <f>F23*2.5</f>
        <v>1130.3499999999731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6397.65</v>
      </c>
      <c r="G28" s="23">
        <f>G8</f>
        <v>4030.5194999999999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26176.310999999998</v>
      </c>
      <c r="G29" s="23">
        <f>G11</f>
        <v>1570.5786599999999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15552.000000000262</v>
      </c>
      <c r="G30" s="23">
        <f>G19</f>
        <v>6687.3600000001124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122.19999999999709</v>
      </c>
      <c r="G31" s="23">
        <f>G23</f>
        <v>1130.3499999999731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13418.808160000084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30F5AA2-859D-46A1-8FC1-1803C643C97F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D0C0F-7CEF-413D-8B0D-7FFD7C11EC41}">
  <dimension ref="A1:K32"/>
  <sheetViews>
    <sheetView zoomScaleNormal="100" workbookViewId="0">
      <selection activeCell="F16" sqref="F16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6</v>
      </c>
      <c r="D3" s="208" t="s">
        <v>111</v>
      </c>
      <c r="E3" s="223">
        <f>'Daily Meter'!O11</f>
        <v>49.31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'5'!E7</f>
        <v>53573.8</v>
      </c>
      <c r="E7" s="39">
        <f>'Daily Meter'!B11</f>
        <v>53595</v>
      </c>
      <c r="F7" s="40">
        <f>E7-D7</f>
        <v>21.19999999999709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6028.0079999991722</v>
      </c>
      <c r="G8" s="43">
        <f>F8*0.63</f>
        <v>3797.6450399994783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'5'!E10</f>
        <v>204310</v>
      </c>
      <c r="E10" s="39">
        <f>'Daily Meter'!C11</f>
        <v>204530</v>
      </c>
      <c r="F10" s="40">
        <f>E10-D10</f>
        <v>220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48393.18</v>
      </c>
      <c r="G11" s="71">
        <f>F11*0.06</f>
        <v>2903.5907999999999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'5'!E13</f>
        <v>6593.6</v>
      </c>
      <c r="E13" s="39">
        <f>'Daily Meter'!H11</f>
        <v>6600.3</v>
      </c>
      <c r="F13" s="40">
        <f t="shared" ref="F13:F18" si="0">(E13-D13)*480</f>
        <v>3215.9999999999127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'5'!E14</f>
        <v>3985.1</v>
      </c>
      <c r="E14" s="39">
        <f>'Daily Meter'!I11</f>
        <v>3988.8</v>
      </c>
      <c r="F14" s="40">
        <f t="shared" si="0"/>
        <v>1776.000000000131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'5'!E15</f>
        <v>4251</v>
      </c>
      <c r="E15" s="39">
        <f>'Daily Meter'!J11</f>
        <v>4255.5</v>
      </c>
      <c r="F15" s="40">
        <f t="shared" si="0"/>
        <v>2160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'5'!E16</f>
        <v>2372.3000000000002</v>
      </c>
      <c r="E16" s="39">
        <f>'Daily Meter'!K11</f>
        <v>2374.9</v>
      </c>
      <c r="F16" s="40">
        <f t="shared" si="0"/>
        <v>1247.9999999999563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'5'!E17</f>
        <v>5591.5</v>
      </c>
      <c r="E17" s="39">
        <f>'Daily Meter'!L11</f>
        <v>5595.9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'5'!E18</f>
        <v>15066.2</v>
      </c>
      <c r="E18" s="39">
        <f>'Daily Meter'!M11</f>
        <v>15077.2</v>
      </c>
      <c r="F18" s="40">
        <f t="shared" si="0"/>
        <v>5280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15791.999999999825</v>
      </c>
      <c r="G19" s="43">
        <f>F19*0.43</f>
        <v>6790.5599999999249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'5'!E22</f>
        <v>90630.9</v>
      </c>
      <c r="E22" s="39">
        <f>'Daily Meter'!N11</f>
        <v>90753.1</v>
      </c>
      <c r="F22" s="63">
        <f>E22-D22</f>
        <v>122.20000000001164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452.14000000004307</v>
      </c>
      <c r="G23" s="66">
        <f>F23*2.5</f>
        <v>1130.3500000001077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3">
        <f>G8</f>
        <v>3797.6450399994783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48393.18</v>
      </c>
      <c r="G29" s="23">
        <f>G11</f>
        <v>2903.5907999999999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15791.999999999825</v>
      </c>
      <c r="G30" s="23">
        <f>G19</f>
        <v>6790.5599999999249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122.20000000001164</v>
      </c>
      <c r="G31" s="23">
        <f>G23</f>
        <v>1130.3500000001077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14622.14583999951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38CB9B5-0434-4272-90B9-E685DB262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BF25-28FA-4BF7-A933-675FECA65F18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7</v>
      </c>
      <c r="D3" s="208" t="s">
        <v>111</v>
      </c>
      <c r="E3" s="223">
        <f>'Daily Meter'!O12</f>
        <v>39.630000000000003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'6'!E7</f>
        <v>53595</v>
      </c>
      <c r="E7" s="39">
        <f>'Daily Meter'!B12</f>
        <v>53616.2</v>
      </c>
      <c r="F7" s="40">
        <f>E7-D7</f>
        <v>21.19999999999709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6028.0079999991722</v>
      </c>
      <c r="G8" s="43">
        <f>F8*0.63</f>
        <v>3797.6450399994783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'6'!E10</f>
        <v>204530</v>
      </c>
      <c r="E10" s="39">
        <f>'Daily Meter'!C12</f>
        <v>204766</v>
      </c>
      <c r="F10" s="40">
        <f>E10-D10</f>
        <v>236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51912.684000000001</v>
      </c>
      <c r="G11" s="71">
        <f>F11*0.06</f>
        <v>3114.7610399999999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'6'!E13</f>
        <v>6600.3</v>
      </c>
      <c r="E13" s="39">
        <f>'Daily Meter'!H12</f>
        <v>6607</v>
      </c>
      <c r="F13" s="40">
        <f t="shared" ref="F13:F18" si="0">(E13-D13)*480</f>
        <v>3215.9999999999127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'6'!E14</f>
        <v>3988.8</v>
      </c>
      <c r="E14" s="39">
        <f>'Daily Meter'!I12</f>
        <v>3992.4</v>
      </c>
      <c r="F14" s="40">
        <f t="shared" si="0"/>
        <v>1727.9999999999563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'6'!E15</f>
        <v>4255.5</v>
      </c>
      <c r="E15" s="39">
        <f>'Daily Meter'!J12</f>
        <v>4260.2</v>
      </c>
      <c r="F15" s="40">
        <f t="shared" si="0"/>
        <v>2255.9999999999127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'6'!E16</f>
        <v>2374.9</v>
      </c>
      <c r="E16" s="39">
        <f>'Daily Meter'!K12</f>
        <v>2377.9</v>
      </c>
      <c r="F16" s="40">
        <f t="shared" si="0"/>
        <v>1440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'6'!E17</f>
        <v>5595.9</v>
      </c>
      <c r="E17" s="39">
        <f>'Daily Meter'!L12</f>
        <v>5600.4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'6'!E18</f>
        <v>15077.2</v>
      </c>
      <c r="E18" s="39">
        <f>'Daily Meter'!M12</f>
        <v>15089</v>
      </c>
      <c r="F18" s="40">
        <f t="shared" si="0"/>
        <v>5663.9999999996508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16463.999999999432</v>
      </c>
      <c r="G19" s="43">
        <f>F19*0.43</f>
        <v>7079.5199999997558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'6'!E22</f>
        <v>90753.1</v>
      </c>
      <c r="E22" s="39">
        <f>'Daily Meter'!N12</f>
        <v>90872.5</v>
      </c>
      <c r="F22" s="63">
        <f>E22-D22</f>
        <v>119.39999999999418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441.77999999997849</v>
      </c>
      <c r="G23" s="66">
        <f>F23*2.5</f>
        <v>1104.4499999999462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3">
        <f>G8</f>
        <v>3797.6450399994783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51912.684000000001</v>
      </c>
      <c r="G29" s="23">
        <f>G11</f>
        <v>3114.7610399999999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16463.999999999432</v>
      </c>
      <c r="G30" s="23">
        <f>G19</f>
        <v>7079.5199999997558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119.39999999999418</v>
      </c>
      <c r="G31" s="23">
        <f>G23</f>
        <v>1104.4499999999462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15096.37607999918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8A18ECD5-F6B7-4896-AE72-9274EA298B6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F826-D17C-4C32-A582-D4535540B674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8</v>
      </c>
      <c r="D3" s="208" t="s">
        <v>111</v>
      </c>
      <c r="E3" s="223">
        <f>'Daily Meter'!O13</f>
        <v>70.97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'7'!E7</f>
        <v>53616.2</v>
      </c>
      <c r="E7" s="39">
        <f>'Daily Meter'!B13</f>
        <v>53635.199999999997</v>
      </c>
      <c r="F7" s="40">
        <f>E7-D7</f>
        <v>19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5402.4599999999991</v>
      </c>
      <c r="G8" s="43">
        <f>F8*0.63</f>
        <v>3403.5497999999993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'7'!E10</f>
        <v>204766</v>
      </c>
      <c r="E10" s="39">
        <f>'Daily Meter'!C13</f>
        <v>204928</v>
      </c>
      <c r="F10" s="40">
        <f>E10-D10</f>
        <v>162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35634.977999999996</v>
      </c>
      <c r="G11" s="71">
        <f>F11*0.06</f>
        <v>2138.0986799999996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'7'!E13</f>
        <v>6607</v>
      </c>
      <c r="E13" s="39">
        <f>'Daily Meter'!H13</f>
        <v>6613.7</v>
      </c>
      <c r="F13" s="40">
        <f t="shared" ref="F13:F18" si="0">(E13-D13)*480</f>
        <v>3215.9999999999127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'7'!E14</f>
        <v>3992.4</v>
      </c>
      <c r="E14" s="39">
        <f>'Daily Meter'!I13</f>
        <v>3995.9</v>
      </c>
      <c r="F14" s="40">
        <f t="shared" si="0"/>
        <v>1680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'7'!E15</f>
        <v>4260.2</v>
      </c>
      <c r="E15" s="39">
        <f>'Daily Meter'!J13</f>
        <v>4264.8</v>
      </c>
      <c r="F15" s="40">
        <f t="shared" si="0"/>
        <v>2208.0000000001746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'7'!E16</f>
        <v>2377.9</v>
      </c>
      <c r="E16" s="39">
        <f>'Daily Meter'!K13</f>
        <v>2380.4</v>
      </c>
      <c r="F16" s="40">
        <f t="shared" si="0"/>
        <v>1200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'7'!E17</f>
        <v>5600.4</v>
      </c>
      <c r="E17" s="39">
        <f>'Daily Meter'!L13</f>
        <v>5604.7</v>
      </c>
      <c r="F17" s="40">
        <f t="shared" si="0"/>
        <v>2064.0000000000873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'7'!E18</f>
        <v>15089</v>
      </c>
      <c r="E18" s="39">
        <f>'Daily Meter'!M13</f>
        <v>15100.2</v>
      </c>
      <c r="F18" s="40">
        <f t="shared" si="0"/>
        <v>5376.0000000003492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15744.000000000524</v>
      </c>
      <c r="G19" s="43">
        <f>F19*0.43</f>
        <v>6769.9200000002247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'7'!E22</f>
        <v>90872.5</v>
      </c>
      <c r="E22" s="39">
        <f>'Daily Meter'!N13</f>
        <v>90985.8</v>
      </c>
      <c r="F22" s="63">
        <f>E22-D22</f>
        <v>113.30000000000291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419.21000000001078</v>
      </c>
      <c r="G23" s="66">
        <f>F23*2.5</f>
        <v>1048.0250000000269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3">
        <f>G8</f>
        <v>3403.5497999999993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35634.977999999996</v>
      </c>
      <c r="G29" s="23">
        <f>G11</f>
        <v>2138.0986799999996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15744.000000000524</v>
      </c>
      <c r="G30" s="23">
        <f>G19</f>
        <v>6769.9200000002247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113.30000000000291</v>
      </c>
      <c r="G31" s="23">
        <f>G23</f>
        <v>1048.0250000000269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13359.593480000251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C4163D91-35E4-431D-BE7B-2EF92C9FEB4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A643-BEF3-48EC-A1C4-0B32D4A96E21}">
  <dimension ref="A1:K32"/>
  <sheetViews>
    <sheetView zoomScaleNormal="100" workbookViewId="0">
      <selection activeCell="H14" sqref="H14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9</v>
      </c>
      <c r="D3" s="208" t="s">
        <v>111</v>
      </c>
      <c r="E3" s="223">
        <f>'Daily Meter'!O14</f>
        <v>79.260000000000005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'8'!E7</f>
        <v>53635.199999999997</v>
      </c>
      <c r="E7" s="39">
        <f>'Daily Meter'!B14</f>
        <v>53656</v>
      </c>
      <c r="F7" s="40">
        <f>E7-D7</f>
        <v>20.80000000000291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5914.2720000008267</v>
      </c>
      <c r="G8" s="43">
        <f>F8*0.63</f>
        <v>3725.9913600005207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'8'!E10</f>
        <v>204928</v>
      </c>
      <c r="E10" s="39">
        <f>'Daily Meter'!C14</f>
        <v>205059</v>
      </c>
      <c r="F10" s="40">
        <f>E10-D10</f>
        <v>131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28815.938999999998</v>
      </c>
      <c r="G11" s="71">
        <f>F11*0.06</f>
        <v>1728.95634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'8'!E13</f>
        <v>6613.7</v>
      </c>
      <c r="E13" s="39">
        <f>'Daily Meter'!H14</f>
        <v>6620.5</v>
      </c>
      <c r="F13" s="40">
        <f t="shared" ref="F13:F18" si="0">(E13-D13)*480</f>
        <v>3264.0000000000873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'8'!E14</f>
        <v>3995.9</v>
      </c>
      <c r="E14" s="39">
        <f>'Daily Meter'!I14</f>
        <v>3999.6</v>
      </c>
      <c r="F14" s="40">
        <f t="shared" si="0"/>
        <v>1775.9999999999127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'8'!E15</f>
        <v>4264.8</v>
      </c>
      <c r="E15" s="39">
        <f>'Daily Meter'!J14</f>
        <v>4269.3999999999996</v>
      </c>
      <c r="F15" s="40">
        <f t="shared" si="0"/>
        <v>2207.9999999997381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'8'!E16</f>
        <v>2380.4</v>
      </c>
      <c r="E16" s="39">
        <f>'Daily Meter'!K14</f>
        <v>2383.1</v>
      </c>
      <c r="F16" s="40">
        <f t="shared" si="0"/>
        <v>1295.9999999999127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'8'!E17</f>
        <v>5604.7</v>
      </c>
      <c r="E17" s="39">
        <f>'Daily Meter'!L14</f>
        <v>5609.1</v>
      </c>
      <c r="F17" s="40">
        <f t="shared" si="0"/>
        <v>2112.0000000002619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'8'!E18</f>
        <v>15100.2</v>
      </c>
      <c r="E18" s="39">
        <f>'Daily Meter'!M14</f>
        <v>15111.3</v>
      </c>
      <c r="F18" s="40">
        <f t="shared" si="0"/>
        <v>5327.9999999993015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15983.999999999214</v>
      </c>
      <c r="G19" s="43">
        <f>F19*0.43</f>
        <v>6873.1199999996616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'8'!E22</f>
        <v>90985.8</v>
      </c>
      <c r="E22" s="39">
        <f>'Daily Meter'!N14</f>
        <v>91106</v>
      </c>
      <c r="F22" s="63">
        <f>E22-D22</f>
        <v>120.19999999999709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444.73999999998927</v>
      </c>
      <c r="G23" s="66">
        <f>F23*2.5</f>
        <v>1111.8499999999731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5914.2720000008267</v>
      </c>
      <c r="G28" s="23">
        <f>G8</f>
        <v>3725.9913600005207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28815.938999999998</v>
      </c>
      <c r="G29" s="23">
        <f>G11</f>
        <v>1728.95634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15983.999999999214</v>
      </c>
      <c r="G30" s="23">
        <f>G19</f>
        <v>6873.1199999996616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120.19999999999709</v>
      </c>
      <c r="G31" s="23">
        <f>G23</f>
        <v>1111.8499999999731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13439.917700000155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8655364-0253-4871-BF9F-918E178F429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8A2B6-B237-47E6-A581-08BAF0039AA2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10</v>
      </c>
      <c r="D3" s="208" t="s">
        <v>111</v>
      </c>
      <c r="E3" s="223">
        <f>'Daily Meter'!O15</f>
        <v>86.67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'9'!E7</f>
        <v>53656</v>
      </c>
      <c r="E7" s="39">
        <f>'Daily Meter'!B15</f>
        <v>53676.9</v>
      </c>
      <c r="F7" s="40">
        <f>E7-D7</f>
        <v>20.900000000001455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5942.706000000413</v>
      </c>
      <c r="G8" s="43">
        <f>F8*0.63</f>
        <v>3743.9047800002604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'9'!E10</f>
        <v>205059</v>
      </c>
      <c r="E10" s="39">
        <f>'Daily Meter'!C15</f>
        <v>205282</v>
      </c>
      <c r="F10" s="40">
        <f>E10-D10</f>
        <v>223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49053.087</v>
      </c>
      <c r="G11" s="71">
        <f>F11*0.06</f>
        <v>2943.1852199999998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'9'!E13</f>
        <v>6620.5</v>
      </c>
      <c r="E13" s="39">
        <f>'Daily Meter'!H15</f>
        <v>6627.3</v>
      </c>
      <c r="F13" s="40">
        <f t="shared" ref="F13:F18" si="0">(E13-D13)*480</f>
        <v>3264.0000000000873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'9'!E14</f>
        <v>3999.6</v>
      </c>
      <c r="E14" s="39">
        <f>'Daily Meter'!I15</f>
        <v>4003.7</v>
      </c>
      <c r="F14" s="40">
        <f t="shared" si="0"/>
        <v>1967.9999999999563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'9'!E15</f>
        <v>4269.3999999999996</v>
      </c>
      <c r="E15" s="39">
        <f>'Daily Meter'!J15</f>
        <v>4274.1000000000004</v>
      </c>
      <c r="F15" s="40">
        <f t="shared" si="0"/>
        <v>2256.0000000003492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'9'!E16</f>
        <v>2383.1</v>
      </c>
      <c r="E16" s="39">
        <f>'Daily Meter'!K15</f>
        <v>2385.9</v>
      </c>
      <c r="F16" s="40">
        <f t="shared" si="0"/>
        <v>1344.0000000000873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'9'!E17</f>
        <v>5609.1</v>
      </c>
      <c r="E17" s="39">
        <f>'Daily Meter'!L15</f>
        <v>5613.5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'9'!E18</f>
        <v>15111.3</v>
      </c>
      <c r="E18" s="39">
        <f>'Daily Meter'!M15</f>
        <v>15122.2</v>
      </c>
      <c r="F18" s="40">
        <f t="shared" si="0"/>
        <v>5232.0000000006985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16176.000000001004</v>
      </c>
      <c r="G19" s="43">
        <f>F19*0.43</f>
        <v>6955.6800000004314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'9'!E22</f>
        <v>91106</v>
      </c>
      <c r="E22" s="39">
        <f>'Daily Meter'!N15</f>
        <v>91234</v>
      </c>
      <c r="F22" s="63">
        <f>E22-D22</f>
        <v>128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473.6</v>
      </c>
      <c r="G23" s="66">
        <f>F23*2.5</f>
        <v>1184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3">
        <f>G8</f>
        <v>3743.9047800002604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49053.087</v>
      </c>
      <c r="G29" s="23">
        <f>G11</f>
        <v>2943.1852199999998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16176.000000001004</v>
      </c>
      <c r="G30" s="23">
        <f>G19</f>
        <v>6955.6800000004314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128</v>
      </c>
      <c r="G31" s="23">
        <f>G23</f>
        <v>1184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14826.770000000692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4C10C8F7-5F35-43B6-AFA6-6DC7C2582887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5EE9E-6601-4DBF-8274-40C0EBBC5B64}">
  <dimension ref="A1:K32"/>
  <sheetViews>
    <sheetView zoomScaleNormal="100" workbookViewId="0">
      <selection activeCell="K4" sqref="K4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11</v>
      </c>
      <c r="D3" s="208" t="s">
        <v>111</v>
      </c>
      <c r="E3" s="223">
        <f>'Daily Meter'!O16</f>
        <v>69.819999999999993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'10'!E7</f>
        <v>53676.9</v>
      </c>
      <c r="E7" s="39">
        <f>'Daily Meter'!B16</f>
        <v>53697.4</v>
      </c>
      <c r="F7" s="40">
        <f>E7-D7</f>
        <v>20.5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5828.9699999999993</v>
      </c>
      <c r="G8" s="43">
        <f>F8*0.63</f>
        <v>3672.2510999999995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'10'!E10</f>
        <v>205282</v>
      </c>
      <c r="E10" s="39">
        <f>'Daily Meter'!C16</f>
        <v>205368</v>
      </c>
      <c r="F10" s="40">
        <f>E10-D10</f>
        <v>86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18917.333999999999</v>
      </c>
      <c r="G11" s="71">
        <f>F11*0.06</f>
        <v>1135.0400399999999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'10'!E13</f>
        <v>6627.3</v>
      </c>
      <c r="E13" s="39">
        <f>'Daily Meter'!H16</f>
        <v>6634.1</v>
      </c>
      <c r="F13" s="40">
        <f t="shared" ref="F13:F18" si="0">(E13-D13)*480</f>
        <v>3264.0000000000873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'10'!E14</f>
        <v>4003.7</v>
      </c>
      <c r="E14" s="39">
        <f>'Daily Meter'!I16</f>
        <v>4007.7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'10'!E15</f>
        <v>4274.1000000000004</v>
      </c>
      <c r="E15" s="39">
        <f>'Daily Meter'!J16</f>
        <v>4278.7</v>
      </c>
      <c r="F15" s="40">
        <f t="shared" si="0"/>
        <v>2207.9999999997381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'10'!E16</f>
        <v>2385.9</v>
      </c>
      <c r="E16" s="39">
        <f>'Daily Meter'!K16</f>
        <v>2388.6</v>
      </c>
      <c r="F16" s="40">
        <f t="shared" si="0"/>
        <v>1295.9999999999127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'10'!E17</f>
        <v>5613.5</v>
      </c>
      <c r="E17" s="39">
        <f>'Daily Meter'!L16</f>
        <v>5618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'10'!E18</f>
        <v>15122.2</v>
      </c>
      <c r="E18" s="39">
        <f>'Daily Meter'!M16</f>
        <v>15133.3</v>
      </c>
      <c r="F18" s="40">
        <f t="shared" si="0"/>
        <v>5327.9999999993015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16175.99999999904</v>
      </c>
      <c r="G19" s="43">
        <f>F19*0.43</f>
        <v>6955.6799999995865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'10'!E22</f>
        <v>91234</v>
      </c>
      <c r="E22" s="39">
        <f>'Daily Meter'!N16</f>
        <v>91341.5</v>
      </c>
      <c r="F22" s="63">
        <f>E22-D22</f>
        <v>107.5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397.75</v>
      </c>
      <c r="G23" s="66">
        <f>F23*2.5</f>
        <v>994.375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5828.9699999999993</v>
      </c>
      <c r="G28" s="23">
        <f>G8</f>
        <v>3672.2510999999995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18917.333999999999</v>
      </c>
      <c r="G29" s="23">
        <f>G11</f>
        <v>1135.0400399999999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16175.99999999904</v>
      </c>
      <c r="G30" s="23">
        <f>G19</f>
        <v>6955.6799999995865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107.5</v>
      </c>
      <c r="G31" s="23">
        <f>G23</f>
        <v>994.375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12757.346139999587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2AFC0A00-A3BD-4803-9D4B-EB6D2498333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45D4-6631-4202-AA52-D6E6AE65F853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12</v>
      </c>
      <c r="D3" s="208" t="s">
        <v>111</v>
      </c>
      <c r="E3" s="223">
        <f>'Daily Meter'!O17</f>
        <v>55.99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'11'!E7</f>
        <v>53697.4</v>
      </c>
      <c r="E7" s="39">
        <f>'Daily Meter'!B17</f>
        <v>53716.2</v>
      </c>
      <c r="F7" s="40">
        <f>E7-D7</f>
        <v>18.799999999995634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5345.5919999987582</v>
      </c>
      <c r="G8" s="43">
        <f>F8*0.63</f>
        <v>3367.7229599992179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'11'!E10</f>
        <v>205368</v>
      </c>
      <c r="E10" s="39">
        <f>'Daily Meter'!C17</f>
        <v>205672</v>
      </c>
      <c r="F10" s="40">
        <f>E10-D10</f>
        <v>304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66870.576000000001</v>
      </c>
      <c r="G11" s="71">
        <f>F11*0.06</f>
        <v>4012.2345599999999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'11'!E13</f>
        <v>6634.1</v>
      </c>
      <c r="E13" s="39">
        <f>'Daily Meter'!H17</f>
        <v>6641.2</v>
      </c>
      <c r="F13" s="40">
        <f t="shared" ref="F13:F18" si="0">(E13-D13)*480</f>
        <v>3407.9999999997381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'11'!E14</f>
        <v>4007.7</v>
      </c>
      <c r="E14" s="39">
        <f>'Daily Meter'!I17</f>
        <v>4011.6</v>
      </c>
      <c r="F14" s="40">
        <f t="shared" si="0"/>
        <v>1872.0000000000437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'11'!E15</f>
        <v>4278.7</v>
      </c>
      <c r="E15" s="39">
        <f>'Daily Meter'!J17</f>
        <v>4283.5</v>
      </c>
      <c r="F15" s="40">
        <f t="shared" si="0"/>
        <v>2304.0000000000873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'11'!E16</f>
        <v>2388.6</v>
      </c>
      <c r="E16" s="39">
        <f>'Daily Meter'!K17</f>
        <v>2391.4</v>
      </c>
      <c r="F16" s="40">
        <f t="shared" si="0"/>
        <v>1344.0000000000873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'11'!E17</f>
        <v>5618</v>
      </c>
      <c r="E17" s="39">
        <f>'Daily Meter'!L17</f>
        <v>5622.5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'11'!E18</f>
        <v>15133.3</v>
      </c>
      <c r="E18" s="39">
        <f>'Daily Meter'!M17</f>
        <v>15144.6</v>
      </c>
      <c r="F18" s="40">
        <f t="shared" si="0"/>
        <v>5424.0000000005239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16512.00000000048</v>
      </c>
      <c r="G19" s="43">
        <f>F19*0.43</f>
        <v>7100.1600000002063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'11'!E22</f>
        <v>91341.5</v>
      </c>
      <c r="E22" s="39">
        <f>'Daily Meter'!N17</f>
        <v>91517.7</v>
      </c>
      <c r="F22" s="63">
        <f>E22-D22</f>
        <v>176.19999999999709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651.93999999998925</v>
      </c>
      <c r="G23" s="66">
        <f>F23*2.5</f>
        <v>1629.8499999999731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5345.5919999987582</v>
      </c>
      <c r="G28" s="23">
        <f>G8</f>
        <v>3367.7229599992179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66870.576000000001</v>
      </c>
      <c r="G29" s="23">
        <f>G11</f>
        <v>4012.2345599999999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16512.00000000048</v>
      </c>
      <c r="G30" s="23">
        <f>G19</f>
        <v>7100.1600000002063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176.19999999999709</v>
      </c>
      <c r="G31" s="23">
        <f>G23</f>
        <v>1629.8499999999731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16109.967519999398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6CAE24C0-7343-4409-9918-F65F761C497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D277-3A4C-4F0D-AAF7-39D07D804832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13</v>
      </c>
      <c r="D3" s="208" t="s">
        <v>111</v>
      </c>
      <c r="E3" s="223">
        <f>'Daily Meter'!O18</f>
        <v>44.24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'12'!E7</f>
        <v>53716.2</v>
      </c>
      <c r="E7" s="39">
        <f>'Daily Meter'!B18</f>
        <v>53734.8</v>
      </c>
      <c r="F7" s="40">
        <f>E7-D7</f>
        <v>18.600000000005821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5288.7240000016545</v>
      </c>
      <c r="G8" s="43">
        <f>F8*0.63</f>
        <v>3331.8961200010422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'12'!E10</f>
        <v>205672</v>
      </c>
      <c r="E10" s="39">
        <f>'Daily Meter'!C18</f>
        <v>205925</v>
      </c>
      <c r="F10" s="40">
        <f>E10-D10</f>
        <v>253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55652.156999999999</v>
      </c>
      <c r="G11" s="71">
        <f>F11*0.06</f>
        <v>3339.1294199999998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'12'!E13</f>
        <v>6641.2</v>
      </c>
      <c r="E13" s="39">
        <f>'Daily Meter'!H18</f>
        <v>6648.4</v>
      </c>
      <c r="F13" s="40">
        <f t="shared" ref="F13:F18" si="0">(E13-D13)*480</f>
        <v>3455.9999999999127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'12'!E14</f>
        <v>4011.6</v>
      </c>
      <c r="E14" s="39">
        <f>'Daily Meter'!I18</f>
        <v>4015.4</v>
      </c>
      <c r="F14" s="40">
        <f t="shared" si="0"/>
        <v>1824.0000000000873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'12'!E15</f>
        <v>4283.5</v>
      </c>
      <c r="E15" s="39">
        <f>'Daily Meter'!J18</f>
        <v>4288.3999999999996</v>
      </c>
      <c r="F15" s="40">
        <f t="shared" si="0"/>
        <v>2351.9999999998254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'12'!E16</f>
        <v>2391.4</v>
      </c>
      <c r="E16" s="39">
        <f>'Daily Meter'!K18</f>
        <v>2394.1999999999998</v>
      </c>
      <c r="F16" s="40">
        <f t="shared" si="0"/>
        <v>1343.999999999869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'12'!E17</f>
        <v>5622.5</v>
      </c>
      <c r="E17" s="39">
        <f>'Daily Meter'!L18</f>
        <v>5627.1</v>
      </c>
      <c r="F17" s="40">
        <f t="shared" si="0"/>
        <v>2208.0000000001746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'12'!E18</f>
        <v>15144.6</v>
      </c>
      <c r="E18" s="39">
        <f>'Daily Meter'!M18</f>
        <v>15156</v>
      </c>
      <c r="F18" s="40">
        <f t="shared" si="0"/>
        <v>5471.9999999998254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16655.999999999694</v>
      </c>
      <c r="G19" s="43">
        <f>F19*0.43</f>
        <v>7162.0799999998681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'12'!E22</f>
        <v>91517.7</v>
      </c>
      <c r="E22" s="39">
        <f>'Daily Meter'!N18</f>
        <v>91677.1</v>
      </c>
      <c r="F22" s="63">
        <f>E22-D22</f>
        <v>159.40000000000873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589.78000000003237</v>
      </c>
      <c r="G23" s="66">
        <f>F23*2.5</f>
        <v>1474.450000000081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5288.7240000016545</v>
      </c>
      <c r="G28" s="23">
        <f>G8</f>
        <v>3331.8961200010422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55652.156999999999</v>
      </c>
      <c r="G29" s="23">
        <f>G11</f>
        <v>3339.1294199999998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3">
        <f>G19</f>
        <v>7162.0799999998681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159.40000000000873</v>
      </c>
      <c r="G31" s="23">
        <f>G23</f>
        <v>1474.450000000081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15307.555540000991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1D3D8D68-EECE-4027-81CB-095F7A9BE0E8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931B-9A4E-4DC4-B9E9-2C7234EFC474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14</v>
      </c>
      <c r="D3" s="208" t="s">
        <v>111</v>
      </c>
      <c r="E3" s="223">
        <f>'Daily Meter'!O19</f>
        <v>52.07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'13'!E7</f>
        <v>53734.8</v>
      </c>
      <c r="E7" s="39">
        <f>'Daily Meter'!B19</f>
        <v>53753.3</v>
      </c>
      <c r="F7" s="40">
        <f>E7-D7</f>
        <v>18.5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5260.29</v>
      </c>
      <c r="G8" s="43">
        <f>F8*0.63</f>
        <v>3313.9827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'13'!E10</f>
        <v>205925</v>
      </c>
      <c r="E10" s="39">
        <f>'Daily Meter'!C19</f>
        <v>206117</v>
      </c>
      <c r="F10" s="40">
        <f>E10-D10</f>
        <v>192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42234.047999999995</v>
      </c>
      <c r="G11" s="71">
        <f>F11*0.06</f>
        <v>2534.0428799999995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'13'!E13</f>
        <v>6648.4</v>
      </c>
      <c r="E13" s="39">
        <f>'Daily Meter'!H19</f>
        <v>6655.3</v>
      </c>
      <c r="F13" s="40">
        <f t="shared" ref="F13:F18" si="0">(E13-D13)*480</f>
        <v>3312.0000000002619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'13'!E14</f>
        <v>4015.4</v>
      </c>
      <c r="E14" s="39">
        <f>'Daily Meter'!I19</f>
        <v>4018.9</v>
      </c>
      <c r="F14" s="40">
        <f t="shared" si="0"/>
        <v>1680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'13'!E15</f>
        <v>4288.3999999999996</v>
      </c>
      <c r="E15" s="39">
        <f>'Daily Meter'!J19</f>
        <v>4293</v>
      </c>
      <c r="F15" s="40">
        <f t="shared" si="0"/>
        <v>2208.0000000001746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'13'!E16</f>
        <v>2394.1999999999998</v>
      </c>
      <c r="E16" s="39">
        <f>'Daily Meter'!K19</f>
        <v>2396.9</v>
      </c>
      <c r="F16" s="40">
        <f t="shared" si="0"/>
        <v>1296.000000000131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'13'!E17</f>
        <v>5627.1</v>
      </c>
      <c r="E17" s="39">
        <f>'Daily Meter'!L19</f>
        <v>5631.5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'13'!E18</f>
        <v>15156</v>
      </c>
      <c r="E18" s="39">
        <f>'Daily Meter'!M19</f>
        <v>15166.7</v>
      </c>
      <c r="F18" s="40">
        <f t="shared" si="0"/>
        <v>5136.0000000003492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15744.000000000742</v>
      </c>
      <c r="G19" s="43">
        <f>F19*0.43</f>
        <v>6769.9200000003193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'13'!E22</f>
        <v>91677.1</v>
      </c>
      <c r="E22" s="39">
        <f>'Daily Meter'!N19</f>
        <v>91814.2</v>
      </c>
      <c r="F22" s="63">
        <f>E22-D22</f>
        <v>137.09999999999127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507.26999999996769</v>
      </c>
      <c r="G23" s="66">
        <f>F23*2.5</f>
        <v>1268.1749999999192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5260.29</v>
      </c>
      <c r="G28" s="23">
        <f>G8</f>
        <v>3313.9827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3">
        <f>G11</f>
        <v>2534.0428799999995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15744.000000000742</v>
      </c>
      <c r="G30" s="23">
        <f>G19</f>
        <v>6769.9200000003193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137.09999999999127</v>
      </c>
      <c r="G31" s="23">
        <f>G23</f>
        <v>1268.1749999999192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13886.120580000239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1EB492B-2D5E-4C94-8DAE-C1741D264B3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CD14-0751-4682-823F-93F214FACB2D}">
  <dimension ref="A1:K32"/>
  <sheetViews>
    <sheetView zoomScaleNormal="100" workbookViewId="0">
      <selection activeCell="I14" sqref="I14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15</v>
      </c>
      <c r="D3" s="208" t="s">
        <v>111</v>
      </c>
      <c r="E3" s="223">
        <f>'Daily Meter'!O20</f>
        <v>82.72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'14'!E7</f>
        <v>53753.3</v>
      </c>
      <c r="E7" s="39">
        <f>'Daily Meter'!B20</f>
        <v>53772.3</v>
      </c>
      <c r="F7" s="40">
        <f>E7-D7</f>
        <v>19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5402.4599999999991</v>
      </c>
      <c r="G8" s="43">
        <f>F8*0.63</f>
        <v>3403.5497999999993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'14'!E10</f>
        <v>206117</v>
      </c>
      <c r="E10" s="39">
        <f>'Daily Meter'!C20</f>
        <v>206290</v>
      </c>
      <c r="F10" s="40">
        <f>E10-D10</f>
        <v>173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38054.637000000002</v>
      </c>
      <c r="G11" s="71">
        <f>F11*0.06</f>
        <v>2283.2782200000001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'14'!E13</f>
        <v>6655.3</v>
      </c>
      <c r="E13" s="39">
        <f>'Daily Meter'!H20</f>
        <v>6662</v>
      </c>
      <c r="F13" s="40">
        <f t="shared" ref="F13:F18" si="0">(E13-D13)*480</f>
        <v>3215.9999999999127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'14'!E14</f>
        <v>4018.9</v>
      </c>
      <c r="E14" s="39">
        <f>'Daily Meter'!I20</f>
        <v>4022.85</v>
      </c>
      <c r="F14" s="40">
        <f t="shared" si="0"/>
        <v>1895.9999999999127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'14'!E15</f>
        <v>4293</v>
      </c>
      <c r="E15" s="39">
        <f>'Daily Meter'!J20</f>
        <v>4297.3</v>
      </c>
      <c r="F15" s="40">
        <f t="shared" si="0"/>
        <v>2064.0000000000873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'14'!E16</f>
        <v>2396.9</v>
      </c>
      <c r="E16" s="39">
        <f>'Daily Meter'!K20</f>
        <v>2399.5</v>
      </c>
      <c r="F16" s="40">
        <f t="shared" si="0"/>
        <v>1247.9999999999563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'14'!E17</f>
        <v>5631.5</v>
      </c>
      <c r="E17" s="39">
        <f>'Daily Meter'!L20</f>
        <v>5635.9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'14'!E18</f>
        <v>15166.7</v>
      </c>
      <c r="E18" s="39">
        <f>'Daily Meter'!M20</f>
        <v>15176.3</v>
      </c>
      <c r="F18" s="40">
        <f t="shared" si="0"/>
        <v>4607.9999999993015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15143.999999998996</v>
      </c>
      <c r="G19" s="43">
        <f>F19*0.43</f>
        <v>6511.9199999995681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'14'!E22</f>
        <v>91814.2</v>
      </c>
      <c r="E22" s="39">
        <f>'Daily Meter'!N20</f>
        <v>91928.7</v>
      </c>
      <c r="F22" s="63">
        <f>E22-D22</f>
        <v>114.5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423.65000000000003</v>
      </c>
      <c r="G23" s="66">
        <f>F23*2.5</f>
        <v>1059.125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5402.4599999999991</v>
      </c>
      <c r="G28" s="23">
        <f>G8</f>
        <v>3403.5497999999993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38054.637000000002</v>
      </c>
      <c r="G29" s="23">
        <f>G11</f>
        <v>2283.2782200000001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15143.999999998996</v>
      </c>
      <c r="G30" s="23">
        <f>G19</f>
        <v>6511.9199999995681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114.5</v>
      </c>
      <c r="G31" s="23">
        <f>G23</f>
        <v>1059.125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13257.873019999566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774C0A11-A64A-4A7B-82C1-A7A585DFE36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BE3C-6005-44A0-B222-5A237987EDE4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16</v>
      </c>
      <c r="D3" s="208" t="s">
        <v>111</v>
      </c>
      <c r="E3" s="223">
        <f>'Daily Meter'!O21</f>
        <v>98.16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'15'!E7</f>
        <v>53772.3</v>
      </c>
      <c r="E7" s="39">
        <f>'Daily Meter'!B21</f>
        <v>53791.7</v>
      </c>
      <c r="F7" s="40">
        <f>E7-D7</f>
        <v>19.399999999994179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5516.1959999983446</v>
      </c>
      <c r="G8" s="43">
        <f>F8*0.63</f>
        <v>3475.2034799989569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'15'!E10</f>
        <v>206290</v>
      </c>
      <c r="E10" s="39">
        <f>'Daily Meter'!C21</f>
        <v>206462</v>
      </c>
      <c r="F10" s="40">
        <f>E10-D10</f>
        <v>172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37834.667999999998</v>
      </c>
      <c r="G11" s="71">
        <f>F11*0.06</f>
        <v>2270.0800799999997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'15'!E13</f>
        <v>6662</v>
      </c>
      <c r="E13" s="39">
        <f>'Daily Meter'!H21</f>
        <v>6668.7</v>
      </c>
      <c r="F13" s="40">
        <f t="shared" ref="F13:F18" si="0">(E13-D13)*480</f>
        <v>3215.9999999999127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'15'!E14</f>
        <v>4022.85</v>
      </c>
      <c r="E14" s="39">
        <f>'Daily Meter'!I21</f>
        <v>4026.3</v>
      </c>
      <c r="F14" s="40">
        <f t="shared" si="0"/>
        <v>1656.000000000131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'15'!E15</f>
        <v>4297.3</v>
      </c>
      <c r="E15" s="39">
        <f>'Daily Meter'!J21</f>
        <v>4301.7</v>
      </c>
      <c r="F15" s="40">
        <f t="shared" si="0"/>
        <v>2111.9999999998254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'15'!E16</f>
        <v>2399.5</v>
      </c>
      <c r="E16" s="39">
        <f>'Daily Meter'!K21</f>
        <v>2402.1999999999998</v>
      </c>
      <c r="F16" s="40">
        <f t="shared" si="0"/>
        <v>1295.9999999999127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'15'!E17</f>
        <v>5635.9</v>
      </c>
      <c r="E17" s="39">
        <f>'Daily Meter'!L21</f>
        <v>5640.4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'15'!E18</f>
        <v>15176.3</v>
      </c>
      <c r="E18" s="39">
        <f>'Daily Meter'!M21</f>
        <v>15185.6</v>
      </c>
      <c r="F18" s="40">
        <f t="shared" si="0"/>
        <v>4464.0000000005239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14904.000000000306</v>
      </c>
      <c r="G19" s="43">
        <f>F19*0.43</f>
        <v>6408.7200000001312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'15'!E22</f>
        <v>91928.7</v>
      </c>
      <c r="E22" s="39">
        <f>'Daily Meter'!N21</f>
        <v>92046</v>
      </c>
      <c r="F22" s="63">
        <f>E22-D22</f>
        <v>117.30000000000291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434.01000000001079</v>
      </c>
      <c r="G23" s="66">
        <f>F23*2.5</f>
        <v>1085.0250000000269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5516.1959999983446</v>
      </c>
      <c r="G28" s="23">
        <f>G8</f>
        <v>3475.2034799989569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37834.667999999998</v>
      </c>
      <c r="G29" s="23">
        <f>G11</f>
        <v>2270.0800799999997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14904.000000000306</v>
      </c>
      <c r="G30" s="23">
        <f>G19</f>
        <v>6408.7200000001312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117.30000000000291</v>
      </c>
      <c r="G31" s="23">
        <f>G23</f>
        <v>1085.0250000000269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13239.028559999115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B9B7AEB0-AFB6-41BE-B19B-245E3C91144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7A46-85A1-496E-9533-E2EE2A3CBD58}">
  <dimension ref="A1:K32"/>
  <sheetViews>
    <sheetView zoomScaleNormal="100" workbookViewId="0">
      <selection activeCell="H19" sqref="H19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17</v>
      </c>
      <c r="D3" s="208" t="s">
        <v>111</v>
      </c>
      <c r="E3" s="223">
        <f>'Daily Meter'!O22</f>
        <v>99.08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'16'!E7</f>
        <v>53791.7</v>
      </c>
      <c r="E7" s="39">
        <f>'Daily Meter'!B22</f>
        <v>53814.5</v>
      </c>
      <c r="F7" s="40">
        <f>E7-D7</f>
        <v>22.80000000000291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6482.952000000827</v>
      </c>
      <c r="G8" s="43">
        <f>F8*0.63</f>
        <v>4084.2597600005211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'16'!E10</f>
        <v>206462</v>
      </c>
      <c r="E10" s="39">
        <f>'Daily Meter'!C22</f>
        <v>206662</v>
      </c>
      <c r="F10" s="40">
        <f>E10-D10</f>
        <v>200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43993.799999999996</v>
      </c>
      <c r="G11" s="71">
        <f>F11*0.06</f>
        <v>2639.6279999999997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'16'!E13</f>
        <v>6668.7</v>
      </c>
      <c r="E13" s="39">
        <f>'Daily Meter'!H22</f>
        <v>6675.6</v>
      </c>
      <c r="F13" s="40">
        <f t="shared" ref="F13:F18" si="0">(E13-D13)*480</f>
        <v>3312.0000000002619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'16'!E14</f>
        <v>4026.3</v>
      </c>
      <c r="E14" s="39">
        <f>'Daily Meter'!I22</f>
        <v>4030.3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'16'!E15</f>
        <v>4301.7</v>
      </c>
      <c r="E15" s="39">
        <f>'Daily Meter'!J22</f>
        <v>4305.8</v>
      </c>
      <c r="F15" s="40">
        <f t="shared" si="0"/>
        <v>1968.0000000001746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'16'!E16</f>
        <v>2402.1999999999998</v>
      </c>
      <c r="E16" s="39">
        <f>'Daily Meter'!K22</f>
        <v>2405.1</v>
      </c>
      <c r="F16" s="40">
        <f t="shared" si="0"/>
        <v>1392.0000000000437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'16'!E17</f>
        <v>5640.4</v>
      </c>
      <c r="E17" s="39">
        <f>'Daily Meter'!L22</f>
        <v>5644.9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'16'!E18</f>
        <v>15185.6</v>
      </c>
      <c r="E18" s="39">
        <f>'Daily Meter'!M22</f>
        <v>15194.6</v>
      </c>
      <c r="F18" s="40">
        <f t="shared" si="0"/>
        <v>4320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15072.00000000048</v>
      </c>
      <c r="G19" s="43">
        <f>F19*0.43</f>
        <v>6480.9600000002065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'16'!E22</f>
        <v>92046</v>
      </c>
      <c r="E22" s="39">
        <f>'Daily Meter'!N22</f>
        <v>92194.2</v>
      </c>
      <c r="F22" s="63">
        <f>E22-D22</f>
        <v>148.19999999999709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548.33999999998923</v>
      </c>
      <c r="G23" s="66">
        <f>F23*2.5</f>
        <v>1370.8499999999731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6482.952000000827</v>
      </c>
      <c r="G28" s="23">
        <f>G8</f>
        <v>4084.2597600005211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43993.799999999996</v>
      </c>
      <c r="G29" s="23">
        <f>G11</f>
        <v>2639.6279999999997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15072.00000000048</v>
      </c>
      <c r="G30" s="23">
        <f>G19</f>
        <v>6480.9600000002065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148.19999999999709</v>
      </c>
      <c r="G31" s="23">
        <f>G23</f>
        <v>1370.8499999999731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14575.697760000701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0FCD91C3-4896-45BF-B8DF-9186329157A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1BCB-A0A7-4649-8934-EDD339BF8372}">
  <dimension ref="A1:K32"/>
  <sheetViews>
    <sheetView zoomScaleNormal="100" workbookViewId="0">
      <selection activeCell="H11" sqref="H1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18</v>
      </c>
      <c r="D3" s="208" t="s">
        <v>111</v>
      </c>
      <c r="E3" s="223">
        <f>'Daily Meter'!O23</f>
        <v>86.64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'17'!E7</f>
        <v>53814.5</v>
      </c>
      <c r="E7" s="39">
        <f>'Daily Meter'!B23</f>
        <v>53836.1</v>
      </c>
      <c r="F7" s="40">
        <f>E7-D7</f>
        <v>21.599999999998545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6141.7439999995859</v>
      </c>
      <c r="G8" s="43">
        <f>F8*0.63</f>
        <v>3869.2987199997392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'17'!E10</f>
        <v>206662</v>
      </c>
      <c r="E10" s="39">
        <f>'Daily Meter'!C23</f>
        <v>206868</v>
      </c>
      <c r="F10" s="40">
        <f>E10-D10</f>
        <v>206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45313.614000000001</v>
      </c>
      <c r="G11" s="71">
        <f>F11*0.06</f>
        <v>2718.81684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'17'!E13</f>
        <v>6675.6</v>
      </c>
      <c r="E13" s="39">
        <f>'Daily Meter'!H23</f>
        <v>6682.5</v>
      </c>
      <c r="F13" s="40">
        <f t="shared" ref="F13:F18" si="0">(E13-D13)*480</f>
        <v>3311.9999999998254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'17'!E14</f>
        <v>4030.3</v>
      </c>
      <c r="E14" s="39">
        <f>'Daily Meter'!I23</f>
        <v>4034.2</v>
      </c>
      <c r="F14" s="40">
        <f t="shared" si="0"/>
        <v>1871.9999999998254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'17'!E15</f>
        <v>4305.8</v>
      </c>
      <c r="E15" s="39">
        <f>'Daily Meter'!J23</f>
        <v>4310.3999999999996</v>
      </c>
      <c r="F15" s="40">
        <f t="shared" si="0"/>
        <v>2207.9999999997381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'17'!E16</f>
        <v>2405.1</v>
      </c>
      <c r="E16" s="39">
        <f>'Daily Meter'!K23</f>
        <v>2407.9</v>
      </c>
      <c r="F16" s="40">
        <f t="shared" si="0"/>
        <v>1344.0000000000873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'17'!E17</f>
        <v>5644.9</v>
      </c>
      <c r="E17" s="39">
        <f>'Daily Meter'!L23</f>
        <v>5649.4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'17'!E18</f>
        <v>15194.6</v>
      </c>
      <c r="E18" s="39">
        <f>'Daily Meter'!M23</f>
        <v>15204</v>
      </c>
      <c r="F18" s="40">
        <f t="shared" si="0"/>
        <v>4511.9999999998254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15407.999999999302</v>
      </c>
      <c r="G19" s="43">
        <f>F19*0.43</f>
        <v>6625.4399999996995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'17'!E22</f>
        <v>92194.2</v>
      </c>
      <c r="E22" s="39">
        <f>'Daily Meter'!N23</f>
        <v>92341.5</v>
      </c>
      <c r="F22" s="63">
        <f>E22-D22</f>
        <v>147.30000000000291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545.01000000001079</v>
      </c>
      <c r="G23" s="66">
        <f>F23*2.5</f>
        <v>1362.5250000000269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3">
        <f>G8</f>
        <v>3869.2987199997392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45313.614000000001</v>
      </c>
      <c r="G29" s="23">
        <f>G11</f>
        <v>2718.81684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15407.999999999302</v>
      </c>
      <c r="G30" s="23">
        <f>G19</f>
        <v>6625.4399999996995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147.30000000000291</v>
      </c>
      <c r="G31" s="23">
        <f>G23</f>
        <v>1362.5250000000269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14576.080559999466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D869603-5283-4D81-86EF-CED3F4D0E2C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F32-7429-4A5E-A8B1-B2A5912797AD}">
  <dimension ref="A1:K32"/>
  <sheetViews>
    <sheetView zoomScaleNormal="100" workbookViewId="0">
      <selection activeCell="E7" sqref="E7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19</v>
      </c>
      <c r="D3" s="208" t="s">
        <v>111</v>
      </c>
      <c r="E3" s="223">
        <f>'Daily Meter'!O24</f>
        <v>71.89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'18'!E7</f>
        <v>53836.1</v>
      </c>
      <c r="E7" s="39">
        <f>'Daily Meter'!B24</f>
        <v>53856.4</v>
      </c>
      <c r="F7" s="40">
        <f>E7-D7</f>
        <v>20.30000000000291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5772.1020000008266</v>
      </c>
      <c r="G8" s="43">
        <f>F8*0.63</f>
        <v>3636.4242600005209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'18'!E10</f>
        <v>206868</v>
      </c>
      <c r="E10" s="39">
        <f>'Daily Meter'!C24</f>
        <v>207060</v>
      </c>
      <c r="F10" s="40">
        <f>E10-D10</f>
        <v>192</v>
      </c>
      <c r="G10" s="48"/>
      <c r="H10" s="237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42234.047999999995</v>
      </c>
      <c r="G11" s="71">
        <f>F11*0.06</f>
        <v>2534.0428799999995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'18'!E13</f>
        <v>6682.5</v>
      </c>
      <c r="E13" s="39">
        <f>'Daily Meter'!H24</f>
        <v>6689.3</v>
      </c>
      <c r="F13" s="40">
        <f t="shared" ref="F13:F18" si="0">(E13-D13)*480</f>
        <v>3264.0000000000873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'18'!E14</f>
        <v>4034.2</v>
      </c>
      <c r="E14" s="39">
        <f>'Daily Meter'!I24</f>
        <v>4038.2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'18'!E15</f>
        <v>4310.3999999999996</v>
      </c>
      <c r="E15" s="39">
        <f>'Daily Meter'!J24</f>
        <v>4314.8999999999996</v>
      </c>
      <c r="F15" s="40">
        <f t="shared" si="0"/>
        <v>2160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'18'!E16</f>
        <v>2407.9</v>
      </c>
      <c r="E16" s="39">
        <f>'Daily Meter'!K24</f>
        <v>2410.9</v>
      </c>
      <c r="F16" s="40">
        <f t="shared" si="0"/>
        <v>1440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'18'!E17</f>
        <v>5649.4</v>
      </c>
      <c r="E17" s="39">
        <f>'Daily Meter'!L24</f>
        <v>5653.9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'18'!E18</f>
        <v>15204</v>
      </c>
      <c r="E18" s="39">
        <f>'Daily Meter'!M24</f>
        <v>15214</v>
      </c>
      <c r="F18" s="40">
        <f t="shared" si="0"/>
        <v>4800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15744.000000000087</v>
      </c>
      <c r="G19" s="43">
        <f>F19*0.43</f>
        <v>6769.9200000000374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'18'!E22</f>
        <v>92341.5</v>
      </c>
      <c r="E22" s="39">
        <f>'Daily Meter'!N24</f>
        <v>92486.1</v>
      </c>
      <c r="F22" s="63">
        <f>E22-D22</f>
        <v>144.60000000000582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535.02000000002158</v>
      </c>
      <c r="G23" s="66">
        <f>F23*2.5</f>
        <v>1337.5500000000538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5772.1020000008266</v>
      </c>
      <c r="G28" s="23">
        <f>G8</f>
        <v>3636.4242600005209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42234.047999999995</v>
      </c>
      <c r="G29" s="23">
        <f>G11</f>
        <v>2534.0428799999995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15744.000000000087</v>
      </c>
      <c r="G30" s="23">
        <f>G19</f>
        <v>6769.9200000000374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144.60000000000582</v>
      </c>
      <c r="G31" s="23">
        <f>G23</f>
        <v>1337.5500000000538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14277.937140000613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7E86396-7C20-4FBB-AD47-6ECEB25C50CA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CC1A-8505-477E-832F-381174444326}">
  <dimension ref="A1:K32"/>
  <sheetViews>
    <sheetView zoomScaleNormal="100" workbookViewId="0">
      <selection activeCell="H13" sqref="H1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20</v>
      </c>
      <c r="D3" s="208" t="s">
        <v>111</v>
      </c>
      <c r="E3" s="223">
        <f>'Daily Meter'!O25</f>
        <v>65.44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'19'!E7</f>
        <v>53856.4</v>
      </c>
      <c r="E7" s="39">
        <f>'Daily Meter'!B25</f>
        <v>53877.3</v>
      </c>
      <c r="F7" s="40">
        <f>E7-D7</f>
        <v>20.900000000001455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5942.706000000413</v>
      </c>
      <c r="G8" s="43">
        <f>F8*0.63</f>
        <v>3743.9047800002604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'19'!E10</f>
        <v>207060</v>
      </c>
      <c r="E10" s="39">
        <f>'Daily Meter'!C25</f>
        <v>207241</v>
      </c>
      <c r="F10" s="40">
        <f>E10-D10</f>
        <v>181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39814.388999999996</v>
      </c>
      <c r="G11" s="71">
        <f>F11*0.06</f>
        <v>2388.8633399999994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'19'!E13</f>
        <v>6689.3</v>
      </c>
      <c r="E13" s="39">
        <f>'Daily Meter'!H25</f>
        <v>6696.6</v>
      </c>
      <c r="F13" s="40">
        <f t="shared" ref="F13:F18" si="0">(E13-D13)*480</f>
        <v>3504.0000000000873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'19'!E14</f>
        <v>4038.2</v>
      </c>
      <c r="E14" s="39">
        <f>'Daily Meter'!I25</f>
        <v>4042.2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'19'!E15</f>
        <v>4314.8999999999996</v>
      </c>
      <c r="E15" s="39">
        <f>'Daily Meter'!J25</f>
        <v>4319.3</v>
      </c>
      <c r="F15" s="40">
        <f t="shared" si="0"/>
        <v>2112.0000000002619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'19'!E16</f>
        <v>2410.9</v>
      </c>
      <c r="E16" s="39">
        <f>'Daily Meter'!K25</f>
        <v>2413.6999999999998</v>
      </c>
      <c r="F16" s="40">
        <f t="shared" si="0"/>
        <v>1343.999999999869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'19'!E17</f>
        <v>5653.9</v>
      </c>
      <c r="E17" s="39">
        <f>'Daily Meter'!L25</f>
        <v>5658.4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'19'!E18</f>
        <v>15214</v>
      </c>
      <c r="E18" s="39">
        <f>'Daily Meter'!M25</f>
        <v>15225.5</v>
      </c>
      <c r="F18" s="40">
        <f t="shared" si="0"/>
        <v>5520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16560.000000000218</v>
      </c>
      <c r="G19" s="43">
        <f>F19*0.43</f>
        <v>7120.8000000000939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'19'!E22</f>
        <v>92486.1</v>
      </c>
      <c r="E22" s="39">
        <f>'Daily Meter'!N25</f>
        <v>92625.4</v>
      </c>
      <c r="F22" s="63">
        <f>E22-D22</f>
        <v>139.29999999998836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515.40999999995699</v>
      </c>
      <c r="G23" s="66">
        <f>F23*2.5</f>
        <v>1288.5249999998925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5942.706000000413</v>
      </c>
      <c r="G28" s="23">
        <f>G8</f>
        <v>3743.9047800002604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39814.388999999996</v>
      </c>
      <c r="G29" s="23">
        <f>G11</f>
        <v>2388.8633399999994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16560.000000000218</v>
      </c>
      <c r="G30" s="23">
        <f>G19</f>
        <v>7120.8000000000939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139.29999999998836</v>
      </c>
      <c r="G31" s="23">
        <f>G23</f>
        <v>1288.5249999998925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14542.093120000245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19207E7-A2BE-41D9-AA2B-15E7630E9ACE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60E-8F48-4FF8-ABF3-786D4D09BAC1}">
  <dimension ref="A1:K32"/>
  <sheetViews>
    <sheetView zoomScaleNormal="100" workbookViewId="0">
      <selection activeCell="H1" sqref="H1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21</v>
      </c>
      <c r="D3" s="208" t="s">
        <v>111</v>
      </c>
      <c r="E3" s="223">
        <f>'Daily Meter'!O26</f>
        <v>67.739999999999995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'20'!E7</f>
        <v>53877.3</v>
      </c>
      <c r="E7" s="39">
        <f>'Daily Meter'!B26</f>
        <v>53898.5</v>
      </c>
      <c r="F7" s="40">
        <f>E7-D7</f>
        <v>21.19999999999709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6028.0079999991722</v>
      </c>
      <c r="G8" s="43">
        <f>F8*0.63</f>
        <v>3797.6450399994783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'20'!E10</f>
        <v>207241</v>
      </c>
      <c r="E10" s="39">
        <f>'Daily Meter'!C26</f>
        <v>207416</v>
      </c>
      <c r="F10" s="40">
        <f>E10-D10</f>
        <v>175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38494.574999999997</v>
      </c>
      <c r="G11" s="71">
        <f>F11*0.06</f>
        <v>2309.6744999999996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'20'!E13</f>
        <v>6696.6</v>
      </c>
      <c r="E13" s="39">
        <f>'Daily Meter'!H26</f>
        <v>6703.7</v>
      </c>
      <c r="F13" s="40">
        <f t="shared" ref="F13:F18" si="0">(E13-D13)*480</f>
        <v>3407.9999999997381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'20'!E14</f>
        <v>4042.2</v>
      </c>
      <c r="E14" s="39">
        <f>'Daily Meter'!I26</f>
        <v>4046</v>
      </c>
      <c r="F14" s="40">
        <f t="shared" si="0"/>
        <v>1824.0000000000873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'20'!E15</f>
        <v>4319.3</v>
      </c>
      <c r="E15" s="39">
        <f>'Daily Meter'!J26</f>
        <v>4323.7</v>
      </c>
      <c r="F15" s="40">
        <f t="shared" si="0"/>
        <v>2111.9999999998254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'20'!E16</f>
        <v>2413.6999999999998</v>
      </c>
      <c r="E16" s="39">
        <f>'Daily Meter'!K26</f>
        <v>2416.6</v>
      </c>
      <c r="F16" s="40">
        <f t="shared" si="0"/>
        <v>1392.0000000000437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'20'!E17</f>
        <v>5658.4</v>
      </c>
      <c r="E17" s="39">
        <f>'Daily Meter'!L26</f>
        <v>5663</v>
      </c>
      <c r="F17" s="40">
        <f t="shared" si="0"/>
        <v>2208.0000000001746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'20'!E18</f>
        <v>15225.5</v>
      </c>
      <c r="E18" s="39">
        <f>'Daily Meter'!M26</f>
        <v>15237.4</v>
      </c>
      <c r="F18" s="40">
        <f t="shared" si="0"/>
        <v>5711.9999999998254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16655.999999999694</v>
      </c>
      <c r="G19" s="43">
        <f>F19*0.43</f>
        <v>7162.0799999998681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'20'!E22</f>
        <v>92625.4</v>
      </c>
      <c r="E22" s="39">
        <f>'Daily Meter'!N26</f>
        <v>92758.399999999994</v>
      </c>
      <c r="F22" s="63">
        <f>E22-D22</f>
        <v>133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492.1</v>
      </c>
      <c r="G23" s="66">
        <f>F23*2.5</f>
        <v>1230.25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6028.0079999991722</v>
      </c>
      <c r="G28" s="23">
        <f>G8</f>
        <v>3797.6450399994783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38494.574999999997</v>
      </c>
      <c r="G29" s="23">
        <f>G11</f>
        <v>2309.6744999999996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16655.999999999694</v>
      </c>
      <c r="G30" s="23">
        <f>G19</f>
        <v>7162.0799999998681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133</v>
      </c>
      <c r="G31" s="23">
        <f>G23</f>
        <v>1230.25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14499.649539999347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F8869679-3B96-4BB1-BEE3-5DAD0E627A80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7AC6-A318-4431-BC00-14F8C4F75B9B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22</v>
      </c>
      <c r="D3" s="208" t="s">
        <v>111</v>
      </c>
      <c r="E3" s="223">
        <f>'Daily Meter'!O27</f>
        <v>80.180000000000007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'21'!E7</f>
        <v>53898.5</v>
      </c>
      <c r="E7" s="39">
        <f>'Daily Meter'!B27</f>
        <v>53918.400000000001</v>
      </c>
      <c r="F7" s="40">
        <f>E7-D7</f>
        <v>19.900000000001455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5658.3660000004129</v>
      </c>
      <c r="G8" s="43">
        <f>F8*0.63</f>
        <v>3564.77058000026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'21'!E10</f>
        <v>207416</v>
      </c>
      <c r="E10" s="39">
        <f>'Daily Meter'!C27</f>
        <v>207537</v>
      </c>
      <c r="F10" s="40">
        <f>E10-D10</f>
        <v>121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26616.249</v>
      </c>
      <c r="G11" s="71">
        <f>F11*0.06</f>
        <v>1596.9749399999998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'21'!E13</f>
        <v>6703.7</v>
      </c>
      <c r="E13" s="39">
        <f>'Daily Meter'!H27</f>
        <v>6710.5</v>
      </c>
      <c r="F13" s="40">
        <f t="shared" ref="F13:F18" si="0">(E13-D13)*480</f>
        <v>3264.0000000000873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'21'!E14</f>
        <v>4046</v>
      </c>
      <c r="E14" s="39">
        <f>'Daily Meter'!I27</f>
        <v>4049.8</v>
      </c>
      <c r="F14" s="40">
        <f t="shared" si="0"/>
        <v>1824.0000000000873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'21'!E15</f>
        <v>4323.7</v>
      </c>
      <c r="E15" s="39">
        <f>'Daily Meter'!J27</f>
        <v>4328.1000000000004</v>
      </c>
      <c r="F15" s="40">
        <f t="shared" si="0"/>
        <v>2112.0000000002619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'21'!E16</f>
        <v>2416.6</v>
      </c>
      <c r="E16" s="39">
        <f>'Daily Meter'!K27</f>
        <v>2419.3000000000002</v>
      </c>
      <c r="F16" s="40">
        <f t="shared" si="0"/>
        <v>1296.000000000131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'21'!E17</f>
        <v>5663</v>
      </c>
      <c r="E17" s="39">
        <f>'Daily Meter'!L27</f>
        <v>5667.4</v>
      </c>
      <c r="F17" s="40">
        <f t="shared" si="0"/>
        <v>2111.9999999998254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'21'!E18</f>
        <v>15237.4</v>
      </c>
      <c r="E18" s="39">
        <f>'Daily Meter'!M27</f>
        <v>15248.9</v>
      </c>
      <c r="F18" s="40">
        <f t="shared" si="0"/>
        <v>5520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16128.000000000393</v>
      </c>
      <c r="G19" s="43">
        <f>F19*0.43</f>
        <v>6935.0400000001691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'21'!E22</f>
        <v>92758.399999999994</v>
      </c>
      <c r="E22" s="39">
        <f>'Daily Meter'!N27</f>
        <v>92881.5</v>
      </c>
      <c r="F22" s="63">
        <f>E22-D22</f>
        <v>123.10000000000582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455.47000000002157</v>
      </c>
      <c r="G23" s="66">
        <f>F23*2.5</f>
        <v>1138.6750000000538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5658.3660000004129</v>
      </c>
      <c r="G28" s="23">
        <f>G8</f>
        <v>3564.77058000026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26616.249</v>
      </c>
      <c r="G29" s="23">
        <f>G11</f>
        <v>1596.9749399999998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16128.000000000393</v>
      </c>
      <c r="G30" s="23">
        <f>G19</f>
        <v>6935.0400000001691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123.10000000000582</v>
      </c>
      <c r="G31" s="23">
        <f>G23</f>
        <v>1138.6750000000538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13235.460520000483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594CDDF8-C3CD-4542-BF29-82EC3B912AE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41DA-7985-4506-BD65-720FD2BB2F03}">
  <dimension ref="A1:K32"/>
  <sheetViews>
    <sheetView zoomScaleNormal="100" workbookViewId="0">
      <selection activeCell="I7" sqref="I7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23</v>
      </c>
      <c r="D3" s="208" t="s">
        <v>111</v>
      </c>
      <c r="E3" s="223">
        <f>'Daily Meter'!O28</f>
        <v>82.26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'22'!E7</f>
        <v>53918.400000000001</v>
      </c>
      <c r="E7" s="39">
        <f>'Daily Meter'!B28</f>
        <v>53939.1</v>
      </c>
      <c r="F7" s="40">
        <f>E7-D7</f>
        <v>20.69999999999709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5885.8379999991721</v>
      </c>
      <c r="G8" s="43">
        <f>F8*0.63</f>
        <v>3708.0779399994785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'22'!E10</f>
        <v>207537</v>
      </c>
      <c r="E10" s="39">
        <f>'Daily Meter'!C28</f>
        <v>207739</v>
      </c>
      <c r="F10" s="40">
        <f>E10-D10</f>
        <v>202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44433.737999999998</v>
      </c>
      <c r="G11" s="71">
        <f>F11*0.06</f>
        <v>2666.0242799999996</v>
      </c>
      <c r="H11" s="237"/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'22'!E13</f>
        <v>6710.5</v>
      </c>
      <c r="E13" s="39">
        <f>'Daily Meter'!H28</f>
        <v>6717.5</v>
      </c>
      <c r="F13" s="40">
        <f t="shared" ref="F13:F18" si="0">(E13-D13)*480</f>
        <v>3360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'22'!E14</f>
        <v>4049.8</v>
      </c>
      <c r="E14" s="39">
        <f>'Daily Meter'!I28</f>
        <v>4053.8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'22'!E15</f>
        <v>4328.1000000000004</v>
      </c>
      <c r="E15" s="39">
        <f>'Daily Meter'!J28</f>
        <v>4332.3999999999996</v>
      </c>
      <c r="F15" s="40">
        <f t="shared" si="0"/>
        <v>2063.9999999996508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'22'!E16</f>
        <v>2419.3000000000002</v>
      </c>
      <c r="E16" s="39">
        <f>'Daily Meter'!K28</f>
        <v>2422.1</v>
      </c>
      <c r="F16" s="40">
        <f t="shared" si="0"/>
        <v>1343.999999999869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'22'!E17</f>
        <v>5667.4</v>
      </c>
      <c r="E17" s="39">
        <f>'Daily Meter'!L28</f>
        <v>5671.9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'22'!E18</f>
        <v>15248.9</v>
      </c>
      <c r="E18" s="39">
        <f>'Daily Meter'!M28</f>
        <v>15260.8</v>
      </c>
      <c r="F18" s="40">
        <f t="shared" si="0"/>
        <v>5711.9999999998254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16559.999999999345</v>
      </c>
      <c r="G19" s="43">
        <f>F19*0.43</f>
        <v>7120.7999999997182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'22'!E22</f>
        <v>92881.5</v>
      </c>
      <c r="E22" s="39">
        <f>'Daily Meter'!N28</f>
        <v>93014.8</v>
      </c>
      <c r="F22" s="63">
        <f>E22-D22</f>
        <v>133.30000000000291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493.21000000001078</v>
      </c>
      <c r="G23" s="66">
        <f>F23*2.5</f>
        <v>1233.0250000000269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5885.8379999991721</v>
      </c>
      <c r="G28" s="23">
        <f>G8</f>
        <v>3708.0779399994785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44433.737999999998</v>
      </c>
      <c r="G29" s="23">
        <f>G11</f>
        <v>2666.0242799999996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16559.999999999345</v>
      </c>
      <c r="G30" s="23">
        <f>G19</f>
        <v>7120.7999999997182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133.30000000000291</v>
      </c>
      <c r="G31" s="23">
        <f>G23</f>
        <v>1233.0250000000269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14727.927219999223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A8EF7A5C-562F-4310-87D7-08F29EE49009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AB76-6FCD-43AE-9393-589010161D43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03"/>
      <c r="B3" s="222" t="str">
        <f>'1'!B3</f>
        <v>JANUARY 2024</v>
      </c>
      <c r="C3" s="203">
        <v>24</v>
      </c>
      <c r="D3" s="208" t="s">
        <v>111</v>
      </c>
      <c r="E3" s="223">
        <f>'Daily Meter'!O29</f>
        <v>84.56</v>
      </c>
      <c r="F3" s="203"/>
      <c r="G3" s="203"/>
    </row>
    <row r="4" spans="1:8" ht="30" customHeight="1" x14ac:dyDescent="0.25">
      <c r="A4" s="68" t="s">
        <v>1</v>
      </c>
      <c r="B4" s="28" t="s">
        <v>2</v>
      </c>
      <c r="C4" s="29"/>
      <c r="D4" s="205" t="s">
        <v>33</v>
      </c>
      <c r="E4" s="205" t="s">
        <v>110</v>
      </c>
      <c r="F4" s="207" t="s">
        <v>47</v>
      </c>
      <c r="G4" s="205" t="s">
        <v>3</v>
      </c>
    </row>
    <row r="5" spans="1:8" ht="15.75" customHeight="1" x14ac:dyDescent="0.25">
      <c r="A5" s="68"/>
      <c r="B5" s="32"/>
      <c r="C5" s="29"/>
      <c r="D5" s="193"/>
      <c r="E5" s="221"/>
      <c r="F5" s="206"/>
      <c r="G5" s="206"/>
    </row>
    <row r="6" spans="1:8" x14ac:dyDescent="0.25">
      <c r="A6" s="69">
        <v>1</v>
      </c>
      <c r="B6" s="34" t="s">
        <v>4</v>
      </c>
      <c r="C6" s="35"/>
      <c r="D6" s="80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50">
        <f>'23'!E7</f>
        <v>53939.1</v>
      </c>
      <c r="E7" s="39">
        <f>'Daily Meter'!B29</f>
        <v>53960.7</v>
      </c>
      <c r="F7" s="40">
        <f>E7-D7</f>
        <v>21.599999999998545</v>
      </c>
      <c r="G7" s="40"/>
    </row>
    <row r="8" spans="1:8" x14ac:dyDescent="0.25">
      <c r="A8" s="35"/>
      <c r="B8" s="36"/>
      <c r="C8" s="41" t="s">
        <v>7</v>
      </c>
      <c r="D8" s="83"/>
      <c r="E8" s="42"/>
      <c r="F8" s="40">
        <f>F7*284.34</f>
        <v>6141.7439999995859</v>
      </c>
      <c r="G8" s="43">
        <f>F8*0.63</f>
        <v>3869.2987199997392</v>
      </c>
    </row>
    <row r="9" spans="1:8" x14ac:dyDescent="0.25">
      <c r="A9" s="69" t="s">
        <v>8</v>
      </c>
      <c r="B9" s="44" t="s">
        <v>9</v>
      </c>
      <c r="C9" s="35"/>
      <c r="D9" s="50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50">
        <f>'23'!E10</f>
        <v>207739</v>
      </c>
      <c r="E10" s="39">
        <f>'Daily Meter'!C29</f>
        <v>207921</v>
      </c>
      <c r="F10" s="40">
        <f>E10-D10</f>
        <v>182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40034.358</v>
      </c>
      <c r="G11" s="71">
        <f>F11*0.06</f>
        <v>2402.0614799999998</v>
      </c>
    </row>
    <row r="12" spans="1:8" x14ac:dyDescent="0.25">
      <c r="A12" s="69" t="s">
        <v>12</v>
      </c>
      <c r="B12" s="44" t="s">
        <v>13</v>
      </c>
      <c r="C12" s="35"/>
      <c r="D12" s="50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50">
        <f>'23'!E13</f>
        <v>6717.5</v>
      </c>
      <c r="E13" s="39">
        <f>'Daily Meter'!H29</f>
        <v>6724.5</v>
      </c>
      <c r="F13" s="40">
        <f t="shared" ref="F13:F18" si="0">(E13-D13)*480</f>
        <v>3360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50">
        <f>'23'!E14</f>
        <v>4053.8</v>
      </c>
      <c r="E14" s="39">
        <f>'Daily Meter'!I29</f>
        <v>4058</v>
      </c>
      <c r="F14" s="40">
        <f t="shared" si="0"/>
        <v>2015.9999999999127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50">
        <f>'23'!E15</f>
        <v>4332.3999999999996</v>
      </c>
      <c r="E15" s="39">
        <f>'Daily Meter'!J29</f>
        <v>4336.8999999999996</v>
      </c>
      <c r="F15" s="40">
        <f t="shared" si="0"/>
        <v>2160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50">
        <f>'23'!E16</f>
        <v>2422.1</v>
      </c>
      <c r="E16" s="39">
        <f>'Daily Meter'!K29</f>
        <v>2425.3000000000002</v>
      </c>
      <c r="F16" s="40">
        <f t="shared" si="0"/>
        <v>1536.000000000131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50">
        <f>'23'!E17</f>
        <v>5671.9</v>
      </c>
      <c r="E17" s="39">
        <f>'Daily Meter'!L29</f>
        <v>5676.5</v>
      </c>
      <c r="F17" s="40">
        <f t="shared" si="0"/>
        <v>2208.0000000001746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50">
        <f>'23'!E18</f>
        <v>15260.8</v>
      </c>
      <c r="E18" s="39">
        <f>'Daily Meter'!M29</f>
        <v>15272.9</v>
      </c>
      <c r="F18" s="40">
        <f t="shared" si="0"/>
        <v>5808.0000000001746</v>
      </c>
      <c r="G18" s="54"/>
    </row>
    <row r="19" spans="1:11" x14ac:dyDescent="0.25">
      <c r="A19" s="35"/>
      <c r="B19" s="55" t="s">
        <v>14</v>
      </c>
      <c r="C19" s="35"/>
      <c r="D19" s="50"/>
      <c r="E19" s="39"/>
      <c r="F19" s="56">
        <f>SUM(F13:F18)</f>
        <v>17088.000000000393</v>
      </c>
      <c r="G19" s="43">
        <f>F19*0.43</f>
        <v>7347.8400000001684</v>
      </c>
    </row>
    <row r="20" spans="1:11" x14ac:dyDescent="0.25">
      <c r="A20" s="36"/>
      <c r="B20" s="53"/>
      <c r="C20" s="35"/>
      <c r="D20" s="85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5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50">
        <f>'23'!E22</f>
        <v>93014.8</v>
      </c>
      <c r="E22" s="39">
        <f>'Daily Meter'!N29</f>
        <v>93151.1</v>
      </c>
      <c r="F22" s="63">
        <f>E22-D22</f>
        <v>136.30000000000291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504.3100000000108</v>
      </c>
      <c r="G23" s="66">
        <f>F23*2.5</f>
        <v>1260.7750000000269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04" t="s">
        <v>21</v>
      </c>
      <c r="E27" s="204" t="s">
        <v>22</v>
      </c>
      <c r="F27" s="204" t="s">
        <v>23</v>
      </c>
      <c r="G27" s="20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6141.7439999995859</v>
      </c>
      <c r="G28" s="23">
        <f>G8</f>
        <v>3869.2987199997392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40034.358</v>
      </c>
      <c r="G29" s="23">
        <f>G11</f>
        <v>2402.0614799999998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17088.000000000393</v>
      </c>
      <c r="G30" s="23">
        <f>G19</f>
        <v>7347.8400000001684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136.30000000000291</v>
      </c>
      <c r="G31" s="23">
        <f>G23</f>
        <v>1260.7750000000269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14879.975199999935</v>
      </c>
      <c r="H32" s="1"/>
    </row>
  </sheetData>
  <mergeCells count="3">
    <mergeCell ref="A1:G1"/>
    <mergeCell ref="A2:G2"/>
    <mergeCell ref="D26:G26"/>
  </mergeCells>
  <hyperlinks>
    <hyperlink ref="H1" location="'Daily Meter'!A1" display="daily reading" xr:uid="{9C92426B-1C36-41B1-BF60-791B2034F68C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H16" sqref="H16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1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7"/>
      <c r="B3" s="150" t="str">
        <f>'1'!B3</f>
        <v>JANUARY 2024</v>
      </c>
      <c r="C3" s="27">
        <v>25</v>
      </c>
      <c r="D3" s="208" t="s">
        <v>111</v>
      </c>
      <c r="E3" s="223">
        <f>'Daily Meter'!O30</f>
        <v>93.78</v>
      </c>
      <c r="F3" s="27"/>
      <c r="G3" s="27"/>
    </row>
    <row r="4" spans="1:8" ht="30" customHeight="1" x14ac:dyDescent="0.25">
      <c r="A4" s="68" t="s">
        <v>1</v>
      </c>
      <c r="B4" s="28" t="s">
        <v>2</v>
      </c>
      <c r="C4" s="29"/>
      <c r="D4" s="30" t="s">
        <v>33</v>
      </c>
      <c r="E4" s="74" t="s">
        <v>110</v>
      </c>
      <c r="F4" s="31" t="s">
        <v>47</v>
      </c>
      <c r="G4" s="30" t="s">
        <v>3</v>
      </c>
    </row>
    <row r="5" spans="1:8" ht="15.75" customHeight="1" x14ac:dyDescent="0.25">
      <c r="A5" s="68"/>
      <c r="B5" s="32"/>
      <c r="C5" s="29"/>
      <c r="D5" s="249"/>
      <c r="E5" s="249"/>
      <c r="F5" s="33"/>
      <c r="G5" s="33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'24'!E7</f>
        <v>53960.7</v>
      </c>
      <c r="E7" s="201">
        <f>'Daily Meter'!B30</f>
        <v>53979.8</v>
      </c>
      <c r="F7" s="40">
        <f>E7-D7</f>
        <v>19.100000000005821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5430.8940000016546</v>
      </c>
      <c r="G8" s="43">
        <f>F8*0.63</f>
        <v>3421.4632200010424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'24'!E10</f>
        <v>207921</v>
      </c>
      <c r="E10" s="201">
        <f>'Daily Meter'!C30</f>
        <v>208093</v>
      </c>
      <c r="F10" s="40">
        <f>E10-D10</f>
        <v>172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37834.667999999998</v>
      </c>
      <c r="G11" s="71">
        <f>F11*0.06</f>
        <v>2270.0800799999997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'24'!E13</f>
        <v>6724.5</v>
      </c>
      <c r="E13" s="201">
        <f>'Daily Meter'!H30</f>
        <v>6731.5</v>
      </c>
      <c r="F13" s="40">
        <f t="shared" ref="F13:F18" si="0">(E13-D13)*480</f>
        <v>3360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'24'!E14</f>
        <v>4058</v>
      </c>
      <c r="E14" s="201">
        <f>'Daily Meter'!I30</f>
        <v>4062.2</v>
      </c>
      <c r="F14" s="40">
        <f t="shared" si="0"/>
        <v>2015.9999999999127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'24'!E15</f>
        <v>4336.8999999999996</v>
      </c>
      <c r="E15" s="201">
        <f>'Daily Meter'!J30</f>
        <v>4341.3999999999996</v>
      </c>
      <c r="F15" s="40">
        <f t="shared" si="0"/>
        <v>2160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'24'!E16</f>
        <v>2425.3000000000002</v>
      </c>
      <c r="E16" s="201">
        <f>'Daily Meter'!K30</f>
        <v>2428.3000000000002</v>
      </c>
      <c r="F16" s="40">
        <f t="shared" si="0"/>
        <v>1440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'24'!E17</f>
        <v>5676.5</v>
      </c>
      <c r="E17" s="201">
        <f>'Daily Meter'!L30</f>
        <v>5681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'24'!E18</f>
        <v>15272.9</v>
      </c>
      <c r="E18" s="201">
        <f>'Daily Meter'!M30</f>
        <v>15284.7</v>
      </c>
      <c r="F18" s="40">
        <f t="shared" si="0"/>
        <v>5664.0000000005239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16800.000000000437</v>
      </c>
      <c r="G19" s="43">
        <f>F19*0.43</f>
        <v>7224.0000000001874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'24'!E22</f>
        <v>93151.1</v>
      </c>
      <c r="E22" s="201">
        <f>'Daily Meter'!N30</f>
        <v>93278.7</v>
      </c>
      <c r="F22" s="63">
        <f>E22-D22</f>
        <v>127.59999999999127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472.11999999996772</v>
      </c>
      <c r="G23" s="66">
        <f>F23*2.5</f>
        <v>1180.2999999999192</v>
      </c>
    </row>
    <row r="24" spans="1:11" x14ac:dyDescent="0.25">
      <c r="A24" s="35"/>
      <c r="B24" s="61"/>
      <c r="C24" s="62"/>
      <c r="D24" s="39"/>
      <c r="E24" s="39"/>
      <c r="F24" s="65"/>
      <c r="G24" s="66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4"/>
      <c r="D26" s="248" t="s">
        <v>20</v>
      </c>
      <c r="E26" s="248"/>
      <c r="F26" s="248"/>
      <c r="G26" s="248"/>
      <c r="H26" s="6"/>
    </row>
    <row r="27" spans="1:11" ht="21" x14ac:dyDescent="0.25">
      <c r="A27" s="1"/>
      <c r="B27" s="1"/>
      <c r="C27" s="2"/>
      <c r="D27" s="24" t="s">
        <v>21</v>
      </c>
      <c r="E27" s="24" t="s">
        <v>22</v>
      </c>
      <c r="F27" s="24" t="s">
        <v>23</v>
      </c>
      <c r="G27" s="24" t="s">
        <v>24</v>
      </c>
      <c r="H27" s="6"/>
    </row>
    <row r="28" spans="1:11" x14ac:dyDescent="0.25">
      <c r="A28" s="1"/>
      <c r="B28" s="1"/>
      <c r="C28" s="2"/>
      <c r="D28" s="7" t="s">
        <v>25</v>
      </c>
      <c r="E28" s="7" t="s">
        <v>7</v>
      </c>
      <c r="F28" s="8">
        <f>F8</f>
        <v>5430.8940000016546</v>
      </c>
      <c r="G28" s="23">
        <f>G8</f>
        <v>3421.4632200010424</v>
      </c>
      <c r="H28" s="6"/>
    </row>
    <row r="29" spans="1:11" x14ac:dyDescent="0.25">
      <c r="A29" s="1"/>
      <c r="B29" s="1"/>
      <c r="C29" s="2"/>
      <c r="D29" s="7" t="s">
        <v>26</v>
      </c>
      <c r="E29" s="7" t="s">
        <v>11</v>
      </c>
      <c r="F29" s="8">
        <f>F11</f>
        <v>37834.667999999998</v>
      </c>
      <c r="G29" s="23">
        <f>G11</f>
        <v>2270.0800799999997</v>
      </c>
      <c r="H29" s="6"/>
    </row>
    <row r="30" spans="1:11" x14ac:dyDescent="0.25">
      <c r="A30" s="1"/>
      <c r="B30" s="1"/>
      <c r="C30" s="2"/>
      <c r="D30" s="7" t="s">
        <v>27</v>
      </c>
      <c r="E30" s="7" t="s">
        <v>49</v>
      </c>
      <c r="F30" s="8">
        <f>F19</f>
        <v>16800.000000000437</v>
      </c>
      <c r="G30" s="23">
        <f>G19</f>
        <v>7224.0000000001874</v>
      </c>
      <c r="H30" s="6"/>
    </row>
    <row r="31" spans="1:11" x14ac:dyDescent="0.25">
      <c r="A31" s="1"/>
      <c r="B31" s="1"/>
      <c r="C31" s="2"/>
      <c r="D31" s="7" t="s">
        <v>28</v>
      </c>
      <c r="E31" s="7" t="s">
        <v>36</v>
      </c>
      <c r="F31" s="8">
        <f>F22</f>
        <v>127.59999999999127</v>
      </c>
      <c r="G31" s="23">
        <f>G23</f>
        <v>1180.2999999999192</v>
      </c>
      <c r="H31" s="1"/>
    </row>
    <row r="32" spans="1:11" x14ac:dyDescent="0.25">
      <c r="D32" s="1"/>
      <c r="E32" s="1"/>
      <c r="F32" s="13" t="s">
        <v>29</v>
      </c>
      <c r="G32" s="14">
        <f>SUM(G28:G31)</f>
        <v>14095.843300001148</v>
      </c>
    </row>
  </sheetData>
  <mergeCells count="4">
    <mergeCell ref="A2:G2"/>
    <mergeCell ref="D5:E5"/>
    <mergeCell ref="D26:G26"/>
    <mergeCell ref="A1:G1"/>
  </mergeCells>
  <hyperlinks>
    <hyperlink ref="H1" location="'Daily Meter'!A1" display="daily reading" xr:uid="{94A6CAAD-64F9-411B-AFAB-F560DC1B93F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27"/>
      <c r="B3" s="150" t="str">
        <f>'1'!B3</f>
        <v>JANUARY 2024</v>
      </c>
      <c r="C3" s="27">
        <v>26</v>
      </c>
      <c r="D3" s="208" t="s">
        <v>111</v>
      </c>
      <c r="E3" s="223">
        <f>'Daily Meter'!O31</f>
        <v>90</v>
      </c>
      <c r="F3" s="27"/>
      <c r="G3" s="27"/>
    </row>
    <row r="4" spans="1:8" ht="30" customHeight="1" x14ac:dyDescent="0.25">
      <c r="A4" s="68" t="s">
        <v>1</v>
      </c>
      <c r="B4" s="28" t="s">
        <v>2</v>
      </c>
      <c r="C4" s="29"/>
      <c r="D4" s="30" t="s">
        <v>33</v>
      </c>
      <c r="E4" s="30" t="s">
        <v>110</v>
      </c>
      <c r="F4" s="31" t="s">
        <v>47</v>
      </c>
      <c r="G4" s="30" t="s">
        <v>3</v>
      </c>
    </row>
    <row r="5" spans="1:8" ht="15.75" customHeight="1" x14ac:dyDescent="0.25">
      <c r="A5" s="68"/>
      <c r="B5" s="32"/>
      <c r="C5" s="29"/>
      <c r="D5" s="249"/>
      <c r="E5" s="249"/>
      <c r="F5" s="33"/>
      <c r="G5" s="33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'25'!E7:E7</f>
        <v>53979.8</v>
      </c>
      <c r="E7" s="39">
        <f>'Daily Meter'!B31</f>
        <v>54000.1</v>
      </c>
      <c r="F7" s="202">
        <f>E7-D7</f>
        <v>20.299999999995634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5772.1019999987584</v>
      </c>
      <c r="G8" s="43">
        <f>F8*0.63</f>
        <v>3636.4242599992176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'25'!E10</f>
        <v>208093</v>
      </c>
      <c r="E10" s="39">
        <f>'Daily Meter'!C31</f>
        <v>208262</v>
      </c>
      <c r="F10" s="40">
        <f>E10-D10</f>
        <v>169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37174.760999999999</v>
      </c>
      <c r="G11" s="71">
        <f>F11*0.06</f>
        <v>2230.4856599999998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'25'!E13</f>
        <v>6731.5</v>
      </c>
      <c r="E13" s="39">
        <f>'Daily Meter'!H31</f>
        <v>6738.4</v>
      </c>
      <c r="F13" s="40">
        <f t="shared" ref="F13:F18" si="0">(E13-D13)*480</f>
        <v>3311.9999999998254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'25'!E14</f>
        <v>4062.2</v>
      </c>
      <c r="E14" s="39">
        <f>'Daily Meter'!I31</f>
        <v>4066.3</v>
      </c>
      <c r="F14" s="40">
        <f t="shared" si="0"/>
        <v>1968.0000000001746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'25'!E15</f>
        <v>4341.3999999999996</v>
      </c>
      <c r="E15" s="39">
        <f>'Daily Meter'!J31</f>
        <v>4345.8</v>
      </c>
      <c r="F15" s="40">
        <f t="shared" si="0"/>
        <v>2112.0000000002619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'25'!E16</f>
        <v>2428.3000000000002</v>
      </c>
      <c r="E16" s="39">
        <f>'Daily Meter'!K31</f>
        <v>2431.4</v>
      </c>
      <c r="F16" s="40">
        <f t="shared" si="0"/>
        <v>1487.9999999999563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'25'!E17</f>
        <v>5681</v>
      </c>
      <c r="E17" s="39">
        <f>'Daily Meter'!L31</f>
        <v>5685.5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'25'!E18</f>
        <v>15284.7</v>
      </c>
      <c r="E18" s="39">
        <f>'Daily Meter'!M31</f>
        <v>15296.5</v>
      </c>
      <c r="F18" s="40">
        <f t="shared" si="0"/>
        <v>5663.9999999996508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16703.999999999869</v>
      </c>
      <c r="G19" s="43">
        <f>F19*0.43</f>
        <v>7182.7199999999439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'25'!E22</f>
        <v>93278.7</v>
      </c>
      <c r="E22" s="39">
        <f>'Daily Meter'!N31</f>
        <v>93412.3</v>
      </c>
      <c r="F22" s="63">
        <f>E22-D22</f>
        <v>133.60000000000582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494.32000000002154</v>
      </c>
      <c r="G23" s="66">
        <f>F23*2.5</f>
        <v>1235.8000000000538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24" t="s">
        <v>21</v>
      </c>
      <c r="E27" s="24" t="s">
        <v>22</v>
      </c>
      <c r="F27" s="24" t="s">
        <v>23</v>
      </c>
      <c r="G27" s="24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5772.1019999987584</v>
      </c>
      <c r="G28" s="23">
        <f>G8</f>
        <v>3636.4242599992176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37174.760999999999</v>
      </c>
      <c r="G29" s="23">
        <f>G11</f>
        <v>2230.4856599999998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16703.999999999869</v>
      </c>
      <c r="G30" s="23">
        <f>G19</f>
        <v>7182.7199999999439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133.60000000000582</v>
      </c>
      <c r="G31" s="23">
        <f>G23</f>
        <v>1235.8000000000538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14285.429919999217</v>
      </c>
      <c r="H32" s="1"/>
    </row>
  </sheetData>
  <mergeCells count="4">
    <mergeCell ref="D5:E5"/>
    <mergeCell ref="D26:G26"/>
    <mergeCell ref="A1:G1"/>
    <mergeCell ref="A2:G2"/>
  </mergeCells>
  <hyperlinks>
    <hyperlink ref="H1" location="'Daily Meter'!A1" display="daily reading" xr:uid="{C6B4A910-537E-4FE7-B563-FD50DF8CBB64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D9DA-A67E-4D94-A67B-20D9ABFCABBA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196"/>
      <c r="B3" s="150" t="str">
        <f>'1'!B3</f>
        <v>JANUARY 2024</v>
      </c>
      <c r="C3" s="196">
        <v>27</v>
      </c>
      <c r="D3" s="208" t="s">
        <v>111</v>
      </c>
      <c r="E3" s="223">
        <f>'Daily Meter'!O32</f>
        <v>82</v>
      </c>
      <c r="F3" s="196"/>
      <c r="G3" s="196"/>
    </row>
    <row r="4" spans="1:8" ht="30" customHeight="1" x14ac:dyDescent="0.25">
      <c r="A4" s="68" t="s">
        <v>1</v>
      </c>
      <c r="B4" s="28" t="s">
        <v>2</v>
      </c>
      <c r="C4" s="29"/>
      <c r="D4" s="198" t="s">
        <v>33</v>
      </c>
      <c r="E4" s="198" t="s">
        <v>110</v>
      </c>
      <c r="F4" s="200" t="s">
        <v>47</v>
      </c>
      <c r="G4" s="198" t="s">
        <v>3</v>
      </c>
    </row>
    <row r="5" spans="1:8" ht="15.75" customHeight="1" x14ac:dyDescent="0.25">
      <c r="A5" s="68"/>
      <c r="B5" s="32"/>
      <c r="C5" s="29"/>
      <c r="D5" s="249"/>
      <c r="E5" s="249"/>
      <c r="F5" s="199"/>
      <c r="G5" s="199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'26'!E7</f>
        <v>54000.1</v>
      </c>
      <c r="E7" s="39">
        <f>'Daily Meter'!B32</f>
        <v>54021.5</v>
      </c>
      <c r="F7" s="40">
        <f>E7-D7</f>
        <v>21.400000000001455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6084.8760000004131</v>
      </c>
      <c r="G8" s="43">
        <f>F8*0.63</f>
        <v>3833.4718800002602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'26'!E10</f>
        <v>208262</v>
      </c>
      <c r="E10" s="39">
        <f>'Daily Meter'!C32</f>
        <v>208408</v>
      </c>
      <c r="F10" s="40">
        <f>E10-D10</f>
        <v>146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32115.473999999998</v>
      </c>
      <c r="G11" s="71">
        <f>F11*0.06</f>
        <v>1926.9284399999999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'26'!E13</f>
        <v>6738.4</v>
      </c>
      <c r="E13" s="39">
        <f>'Daily Meter'!H32</f>
        <v>6745.3</v>
      </c>
      <c r="F13" s="40">
        <f t="shared" ref="F13:F18" si="0">(E13-D13)*480</f>
        <v>3312.0000000002619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'26'!E14</f>
        <v>4066.3</v>
      </c>
      <c r="E14" s="39">
        <f>'Daily Meter'!I32</f>
        <v>4070.5</v>
      </c>
      <c r="F14" s="40">
        <f t="shared" si="0"/>
        <v>2015.9999999999127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'26'!E15</f>
        <v>4345.8</v>
      </c>
      <c r="E15" s="39">
        <f>'Daily Meter'!J32</f>
        <v>4350.6000000000004</v>
      </c>
      <c r="F15" s="40">
        <f t="shared" si="0"/>
        <v>2304.0000000000873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'26'!E16</f>
        <v>2431.4</v>
      </c>
      <c r="E16" s="39">
        <f>'Daily Meter'!K32</f>
        <v>2434.6</v>
      </c>
      <c r="F16" s="40">
        <f t="shared" si="0"/>
        <v>1535.9999999999127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'26'!E17</f>
        <v>5685.5</v>
      </c>
      <c r="E17" s="39">
        <f>'Daily Meter'!L32</f>
        <v>5690.2</v>
      </c>
      <c r="F17" s="40">
        <f t="shared" si="0"/>
        <v>2255.9999999999127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'26'!E18</f>
        <v>15296.5</v>
      </c>
      <c r="E18" s="39">
        <f>'Daily Meter'!M32</f>
        <v>15308.4</v>
      </c>
      <c r="F18" s="40">
        <f t="shared" si="0"/>
        <v>5711.9999999998254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17135.999999999913</v>
      </c>
      <c r="G19" s="43">
        <f>F19*0.43</f>
        <v>7368.4799999999623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'26'!E22</f>
        <v>93412.3</v>
      </c>
      <c r="E22" s="39">
        <f>'Daily Meter'!N32</f>
        <v>93564.800000000003</v>
      </c>
      <c r="F22" s="63">
        <f>E22-D22</f>
        <v>152.5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564.25</v>
      </c>
      <c r="G23" s="66">
        <f>F23*2.5</f>
        <v>1410.625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197" t="s">
        <v>21</v>
      </c>
      <c r="E27" s="197" t="s">
        <v>22</v>
      </c>
      <c r="F27" s="197" t="s">
        <v>23</v>
      </c>
      <c r="G27" s="197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6084.8760000004131</v>
      </c>
      <c r="G28" s="23">
        <f>G8</f>
        <v>3833.4718800002602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32115.473999999998</v>
      </c>
      <c r="G29" s="23">
        <f>G11</f>
        <v>1926.9284399999999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17135.999999999913</v>
      </c>
      <c r="G30" s="23">
        <f>G19</f>
        <v>7368.4799999999623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152.5</v>
      </c>
      <c r="G31" s="23">
        <f>G23</f>
        <v>1410.625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14539.505320000222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3D90512-6281-4F43-9348-178880CA7B15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74921-8774-4A51-80AC-E6ACC43A32E3}">
  <dimension ref="A1:K32"/>
  <sheetViews>
    <sheetView zoomScaleNormal="100" workbookViewId="0">
      <selection activeCell="F23" sqref="F2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196"/>
      <c r="B3" s="150" t="str">
        <f>'1'!B3</f>
        <v>JANUARY 2024</v>
      </c>
      <c r="C3" s="196">
        <v>28</v>
      </c>
      <c r="D3" s="208" t="s">
        <v>111</v>
      </c>
      <c r="E3" s="223">
        <f>'Daily Meter'!O33</f>
        <v>92</v>
      </c>
      <c r="F3" s="196"/>
      <c r="G3" s="196"/>
    </row>
    <row r="4" spans="1:8" ht="30" customHeight="1" x14ac:dyDescent="0.25">
      <c r="A4" s="68" t="s">
        <v>1</v>
      </c>
      <c r="B4" s="28" t="s">
        <v>2</v>
      </c>
      <c r="C4" s="29"/>
      <c r="D4" s="198" t="s">
        <v>33</v>
      </c>
      <c r="E4" s="198" t="s">
        <v>110</v>
      </c>
      <c r="F4" s="200" t="s">
        <v>47</v>
      </c>
      <c r="G4" s="198" t="s">
        <v>3</v>
      </c>
    </row>
    <row r="5" spans="1:8" ht="15.75" customHeight="1" x14ac:dyDescent="0.25">
      <c r="A5" s="68"/>
      <c r="B5" s="32"/>
      <c r="C5" s="29"/>
      <c r="D5" s="249"/>
      <c r="E5" s="249"/>
      <c r="F5" s="199"/>
      <c r="G5" s="199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'27'!E7</f>
        <v>54021.5</v>
      </c>
      <c r="E7" s="39">
        <f>'Daily Meter'!B33</f>
        <v>54045.1</v>
      </c>
      <c r="F7" s="40">
        <f>E7-D7</f>
        <v>23.599999999998545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6710.4239999995852</v>
      </c>
      <c r="G8" s="43">
        <f>F8*0.63</f>
        <v>4227.5671199997387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'27'!E10</f>
        <v>208408</v>
      </c>
      <c r="E10" s="39">
        <f>'Daily Meter'!C33</f>
        <v>208607</v>
      </c>
      <c r="F10" s="40">
        <f>E10-D10</f>
        <v>199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43773.830999999998</v>
      </c>
      <c r="G11" s="71">
        <f>F11*0.06</f>
        <v>2626.4298599999997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'27'!E13</f>
        <v>6745.3</v>
      </c>
      <c r="E13" s="39">
        <f>'Daily Meter'!H33</f>
        <v>6752.4</v>
      </c>
      <c r="F13" s="40">
        <f t="shared" ref="F13:F18" si="0">(E13-D13)*480</f>
        <v>3407.9999999997381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'27'!E14</f>
        <v>4070.5</v>
      </c>
      <c r="E14" s="39">
        <f>'Daily Meter'!I33</f>
        <v>4074.5</v>
      </c>
      <c r="F14" s="40">
        <f t="shared" si="0"/>
        <v>1920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'27'!E15</f>
        <v>4350.6000000000004</v>
      </c>
      <c r="E15" s="39">
        <f>'Daily Meter'!J33</f>
        <v>4355</v>
      </c>
      <c r="F15" s="40">
        <f t="shared" si="0"/>
        <v>2111.9999999998254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'27'!E16</f>
        <v>2434.6</v>
      </c>
      <c r="E16" s="39">
        <f>'Daily Meter'!K33</f>
        <v>2437.8000000000002</v>
      </c>
      <c r="F16" s="40">
        <f t="shared" si="0"/>
        <v>1536.000000000131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'27'!E17</f>
        <v>5690.2</v>
      </c>
      <c r="E17" s="39">
        <f>'Daily Meter'!L33</f>
        <v>5694.7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'27'!E18</f>
        <v>15308.4</v>
      </c>
      <c r="E18" s="39">
        <f>'Daily Meter'!M33</f>
        <v>15320.2</v>
      </c>
      <c r="F18" s="40">
        <f t="shared" si="0"/>
        <v>5664.0000000005239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16800.000000000218</v>
      </c>
      <c r="G19" s="43">
        <f>F19*0.43</f>
        <v>7224.0000000000937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'27'!E22</f>
        <v>93564.800000000003</v>
      </c>
      <c r="E22" s="39">
        <f>'Daily Meter'!N33</f>
        <v>93717</v>
      </c>
      <c r="F22" s="63">
        <f>E22-D22</f>
        <v>152.19999999999709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563.1399999999893</v>
      </c>
      <c r="G23" s="66">
        <f>F23*2.5</f>
        <v>1407.8499999999733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197" t="s">
        <v>21</v>
      </c>
      <c r="E27" s="197" t="s">
        <v>22</v>
      </c>
      <c r="F27" s="197" t="s">
        <v>23</v>
      </c>
      <c r="G27" s="197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6710.4239999995852</v>
      </c>
      <c r="G28" s="23">
        <f>G8</f>
        <v>4227.5671199997387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43773.830999999998</v>
      </c>
      <c r="G29" s="23">
        <f>G11</f>
        <v>2626.4298599999997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16800.000000000218</v>
      </c>
      <c r="G30" s="23">
        <f>G19</f>
        <v>7224.0000000000937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152.19999999999709</v>
      </c>
      <c r="G31" s="23">
        <f>G23</f>
        <v>1407.8499999999733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15485.846979999806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36E13EC8-F91A-46B2-9B8E-93ED350F4362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0C4F-3FD3-4627-88B9-012697116E55}">
  <dimension ref="A1:K32"/>
  <sheetViews>
    <sheetView zoomScaleNormal="100" workbookViewId="0">
      <selection activeCell="I25" sqref="I25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196"/>
      <c r="B3" s="150" t="str">
        <f>'1'!B3</f>
        <v>JANUARY 2024</v>
      </c>
      <c r="C3" s="196">
        <v>29</v>
      </c>
      <c r="D3" s="208" t="s">
        <v>111</v>
      </c>
      <c r="E3" s="223">
        <f>'Daily Meter'!O34</f>
        <v>89</v>
      </c>
      <c r="F3" s="196"/>
      <c r="G3" s="196"/>
    </row>
    <row r="4" spans="1:8" ht="30" customHeight="1" x14ac:dyDescent="0.25">
      <c r="A4" s="68" t="s">
        <v>1</v>
      </c>
      <c r="B4" s="28" t="s">
        <v>2</v>
      </c>
      <c r="C4" s="29"/>
      <c r="D4" s="198" t="s">
        <v>33</v>
      </c>
      <c r="E4" s="198" t="s">
        <v>110</v>
      </c>
      <c r="F4" s="200" t="s">
        <v>47</v>
      </c>
      <c r="G4" s="198" t="s">
        <v>3</v>
      </c>
    </row>
    <row r="5" spans="1:8" ht="15.75" customHeight="1" x14ac:dyDescent="0.25">
      <c r="A5" s="68"/>
      <c r="B5" s="32"/>
      <c r="C5" s="29"/>
      <c r="D5" s="249"/>
      <c r="E5" s="249"/>
      <c r="F5" s="199"/>
      <c r="G5" s="199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'28'!E7</f>
        <v>54045.1</v>
      </c>
      <c r="E7" s="39">
        <f>'Daily Meter'!B34</f>
        <v>54067.8</v>
      </c>
      <c r="F7" s="40">
        <f>E7-D7</f>
        <v>22.700000000004366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6454.5180000012406</v>
      </c>
      <c r="G8" s="43">
        <f>F8*0.63</f>
        <v>4066.3463400007818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'28'!E10</f>
        <v>208607</v>
      </c>
      <c r="E10" s="39">
        <f>'Daily Meter'!C34</f>
        <v>208861</v>
      </c>
      <c r="F10" s="40">
        <f>E10-D10</f>
        <v>254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55872.125999999997</v>
      </c>
      <c r="G11" s="71">
        <f>F11*0.06</f>
        <v>3352.3275599999997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'28'!E13</f>
        <v>6752.4</v>
      </c>
      <c r="E13" s="39">
        <f>'Daily Meter'!H34</f>
        <v>6759.3</v>
      </c>
      <c r="F13" s="40">
        <f t="shared" ref="F13:F18" si="0">(E13-D13)*480</f>
        <v>3312.0000000002619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'28'!E14</f>
        <v>4074.5</v>
      </c>
      <c r="E14" s="39">
        <f>'Daily Meter'!I34</f>
        <v>4078.2</v>
      </c>
      <c r="F14" s="40">
        <f t="shared" si="0"/>
        <v>1775.9999999999127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'28'!E15</f>
        <v>4355</v>
      </c>
      <c r="E15" s="39">
        <f>'Daily Meter'!J34</f>
        <v>4359.3</v>
      </c>
      <c r="F15" s="40">
        <f t="shared" si="0"/>
        <v>2064.0000000000873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'28'!E16</f>
        <v>2437.8000000000002</v>
      </c>
      <c r="E16" s="39">
        <f>'Daily Meter'!K34</f>
        <v>2440.6</v>
      </c>
      <c r="F16" s="40">
        <f t="shared" si="0"/>
        <v>1343.999999999869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'28'!E17</f>
        <v>5694.7</v>
      </c>
      <c r="E17" s="39">
        <f>'Daily Meter'!L34</f>
        <v>5699.2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'28'!E18</f>
        <v>15320.2</v>
      </c>
      <c r="E18" s="39">
        <f>'Daily Meter'!M34</f>
        <v>15332</v>
      </c>
      <c r="F18" s="40">
        <f t="shared" si="0"/>
        <v>5663.9999999996508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16319.999999999782</v>
      </c>
      <c r="G19" s="43">
        <f>F19*0.43</f>
        <v>7017.5999999999058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'28'!E22</f>
        <v>93717</v>
      </c>
      <c r="E22" s="39">
        <f>'Daily Meter'!N34</f>
        <v>93851.9</v>
      </c>
      <c r="F22" s="63">
        <f>E22-D22</f>
        <v>134.89999999999418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499.12999999997851</v>
      </c>
      <c r="G23" s="66">
        <f>F23*2.5</f>
        <v>1247.8249999999462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197" t="s">
        <v>21</v>
      </c>
      <c r="E27" s="197" t="s">
        <v>22</v>
      </c>
      <c r="F27" s="197" t="s">
        <v>23</v>
      </c>
      <c r="G27" s="197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6454.5180000012406</v>
      </c>
      <c r="G28" s="23">
        <f>G8</f>
        <v>4066.3463400007818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55872.125999999997</v>
      </c>
      <c r="G29" s="23">
        <f>G11</f>
        <v>3352.3275599999997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16319.999999999782</v>
      </c>
      <c r="G30" s="23">
        <f>G19</f>
        <v>7017.5999999999058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134.89999999999418</v>
      </c>
      <c r="G31" s="23">
        <f>G23</f>
        <v>1247.8249999999462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15684.098900000634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9EFE5B3-DC8D-4400-A502-A83DE0444E91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5DB1-F656-49AA-B5CD-5FC820986CEE}">
  <dimension ref="A1:K32"/>
  <sheetViews>
    <sheetView zoomScaleNormal="100" workbookViewId="0">
      <selection activeCell="I13" sqref="I13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196"/>
      <c r="B3" s="150" t="str">
        <f>'1'!B3</f>
        <v>JANUARY 2024</v>
      </c>
      <c r="C3" s="196">
        <v>30</v>
      </c>
      <c r="D3" s="208" t="s">
        <v>111</v>
      </c>
      <c r="E3" s="223">
        <f>'Daily Meter'!O35</f>
        <v>98</v>
      </c>
      <c r="F3" s="196"/>
      <c r="G3" s="196"/>
    </row>
    <row r="4" spans="1:8" ht="30" customHeight="1" x14ac:dyDescent="0.25">
      <c r="A4" s="68" t="s">
        <v>1</v>
      </c>
      <c r="B4" s="28" t="s">
        <v>2</v>
      </c>
      <c r="C4" s="29"/>
      <c r="D4" s="198" t="s">
        <v>33</v>
      </c>
      <c r="E4" s="198" t="s">
        <v>110</v>
      </c>
      <c r="F4" s="200" t="s">
        <v>47</v>
      </c>
      <c r="G4" s="198" t="s">
        <v>3</v>
      </c>
    </row>
    <row r="5" spans="1:8" ht="15.75" customHeight="1" x14ac:dyDescent="0.25">
      <c r="A5" s="68"/>
      <c r="B5" s="32"/>
      <c r="C5" s="29"/>
      <c r="D5" s="249"/>
      <c r="E5" s="249"/>
      <c r="F5" s="199"/>
      <c r="G5" s="199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'29'!E7</f>
        <v>54067.8</v>
      </c>
      <c r="E7" s="39">
        <f>'Daily Meter'!B35</f>
        <v>54087.8</v>
      </c>
      <c r="F7" s="40">
        <f>E7-D7</f>
        <v>20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5686.7999999999993</v>
      </c>
      <c r="G8" s="43">
        <f>F8*0.63</f>
        <v>3582.6839999999997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'29'!E10</f>
        <v>208861</v>
      </c>
      <c r="E10" s="39">
        <f>'Daily Meter'!C35</f>
        <v>208995</v>
      </c>
      <c r="F10" s="40">
        <f>E10-D10</f>
        <v>134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29475.845999999998</v>
      </c>
      <c r="G11" s="71">
        <f>F11*0.06</f>
        <v>1768.5507599999999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'29'!E13</f>
        <v>6759.3</v>
      </c>
      <c r="E13" s="39">
        <f>'Daily Meter'!H35</f>
        <v>6766.4</v>
      </c>
      <c r="F13" s="40">
        <f t="shared" ref="F13:F18" si="0">(E13-D13)*480</f>
        <v>3407.9999999997381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'29'!E14</f>
        <v>4078.2</v>
      </c>
      <c r="E14" s="39">
        <f>'Daily Meter'!I35</f>
        <v>4082.3</v>
      </c>
      <c r="F14" s="40">
        <f t="shared" si="0"/>
        <v>1968.0000000001746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'29'!E15</f>
        <v>4359.3</v>
      </c>
      <c r="E15" s="39">
        <f>'Daily Meter'!J35</f>
        <v>4364.1000000000004</v>
      </c>
      <c r="F15" s="40">
        <f t="shared" si="0"/>
        <v>2304.0000000000873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'29'!E16</f>
        <v>2440.6</v>
      </c>
      <c r="E16" s="39">
        <f>'Daily Meter'!K35</f>
        <v>2443.5</v>
      </c>
      <c r="F16" s="40">
        <f t="shared" si="0"/>
        <v>1392.0000000000437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'29'!E17</f>
        <v>5699.2</v>
      </c>
      <c r="E17" s="39">
        <f>'Daily Meter'!L35</f>
        <v>5703.8</v>
      </c>
      <c r="F17" s="40">
        <f t="shared" si="0"/>
        <v>2208.0000000001746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'29'!E18</f>
        <v>15332</v>
      </c>
      <c r="E18" s="39">
        <f>'Daily Meter'!M35</f>
        <v>15343.9</v>
      </c>
      <c r="F18" s="40">
        <f t="shared" si="0"/>
        <v>5711.9999999998254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16992.000000000044</v>
      </c>
      <c r="G19" s="43">
        <f>F19*0.43</f>
        <v>7306.5600000000186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'29'!E22</f>
        <v>93851.9</v>
      </c>
      <c r="E22" s="39">
        <f>'Daily Meter'!N35</f>
        <v>93986.8</v>
      </c>
      <c r="F22" s="63">
        <f>E22-D22</f>
        <v>134.90000000000873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499.13000000003234</v>
      </c>
      <c r="G23" s="66">
        <f>F23*2.5</f>
        <v>1247.8250000000808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197" t="s">
        <v>21</v>
      </c>
      <c r="E27" s="197" t="s">
        <v>22</v>
      </c>
      <c r="F27" s="197" t="s">
        <v>23</v>
      </c>
      <c r="G27" s="197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5686.7999999999993</v>
      </c>
      <c r="G28" s="23">
        <f>G8</f>
        <v>3582.6839999999997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29475.845999999998</v>
      </c>
      <c r="G29" s="23">
        <f>G11</f>
        <v>1768.5507599999999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16992.000000000044</v>
      </c>
      <c r="G30" s="23">
        <f>G19</f>
        <v>7306.5600000000186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134.90000000000873</v>
      </c>
      <c r="G31" s="23">
        <f>G23</f>
        <v>1247.8250000000808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13905.6197600001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2709A757-4552-44A5-972F-8E66CA1A621B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2A37C-959F-4D20-8CE4-6829FBC94433}">
  <dimension ref="A1:K32"/>
  <sheetViews>
    <sheetView zoomScaleNormal="100" workbookViewId="0">
      <selection activeCell="E7" sqref="E7:E22"/>
    </sheetView>
  </sheetViews>
  <sheetFormatPr defaultRowHeight="15" x14ac:dyDescent="0.25"/>
  <cols>
    <col min="1" max="1" width="5.5703125" bestFit="1" customWidth="1"/>
    <col min="2" max="2" width="27.85546875" bestFit="1" customWidth="1"/>
    <col min="3" max="3" width="11.7109375" bestFit="1" customWidth="1"/>
    <col min="4" max="5" width="22.28515625" bestFit="1" customWidth="1"/>
    <col min="6" max="6" width="20.7109375" style="12" customWidth="1"/>
    <col min="7" max="7" width="20.7109375" customWidth="1"/>
    <col min="8" max="8" width="20.5703125" bestFit="1" customWidth="1"/>
    <col min="9" max="9" width="16.42578125" bestFit="1" customWidth="1"/>
    <col min="10" max="10" width="22.85546875" bestFit="1" customWidth="1"/>
    <col min="11" max="11" width="22.28515625" bestFit="1" customWidth="1"/>
  </cols>
  <sheetData>
    <row r="1" spans="1:8" ht="25.5" customHeight="1" x14ac:dyDescent="0.25">
      <c r="A1" s="242" t="s">
        <v>0</v>
      </c>
      <c r="B1" s="243"/>
      <c r="C1" s="243"/>
      <c r="D1" s="243"/>
      <c r="E1" s="243"/>
      <c r="F1" s="243"/>
      <c r="G1" s="244"/>
      <c r="H1" s="128" t="s">
        <v>78</v>
      </c>
    </row>
    <row r="2" spans="1:8" ht="18" x14ac:dyDescent="0.25">
      <c r="A2" s="245" t="s">
        <v>34</v>
      </c>
      <c r="B2" s="246"/>
      <c r="C2" s="246"/>
      <c r="D2" s="246"/>
      <c r="E2" s="246"/>
      <c r="F2" s="246"/>
      <c r="G2" s="247"/>
    </row>
    <row r="3" spans="1:8" s="16" customFormat="1" ht="18" x14ac:dyDescent="0.25">
      <c r="A3" s="196"/>
      <c r="B3" s="150" t="str">
        <f>'1'!B3</f>
        <v>JANUARY 2024</v>
      </c>
      <c r="C3" s="196">
        <v>31</v>
      </c>
      <c r="D3" s="208" t="s">
        <v>111</v>
      </c>
      <c r="E3" s="223">
        <f>'Daily Meter'!O37</f>
        <v>73.612580645161302</v>
      </c>
      <c r="F3" s="196"/>
      <c r="G3" s="196"/>
    </row>
    <row r="4" spans="1:8" ht="30" customHeight="1" x14ac:dyDescent="0.25">
      <c r="A4" s="68" t="s">
        <v>1</v>
      </c>
      <c r="B4" s="28" t="s">
        <v>2</v>
      </c>
      <c r="C4" s="29"/>
      <c r="D4" s="198" t="s">
        <v>33</v>
      </c>
      <c r="E4" s="198" t="s">
        <v>110</v>
      </c>
      <c r="F4" s="200" t="s">
        <v>47</v>
      </c>
      <c r="G4" s="198" t="s">
        <v>3</v>
      </c>
    </row>
    <row r="5" spans="1:8" ht="15.75" customHeight="1" x14ac:dyDescent="0.25">
      <c r="A5" s="68"/>
      <c r="B5" s="32"/>
      <c r="C5" s="29"/>
      <c r="D5" s="249"/>
      <c r="E5" s="249"/>
      <c r="F5" s="199"/>
      <c r="G5" s="199"/>
    </row>
    <row r="6" spans="1:8" x14ac:dyDescent="0.25">
      <c r="A6" s="69">
        <v>1</v>
      </c>
      <c r="B6" s="34" t="s">
        <v>4</v>
      </c>
      <c r="C6" s="35"/>
      <c r="D6" s="36"/>
      <c r="E6" s="36"/>
      <c r="F6" s="38"/>
      <c r="G6" s="37"/>
    </row>
    <row r="7" spans="1:8" x14ac:dyDescent="0.25">
      <c r="A7" s="35"/>
      <c r="B7" s="36" t="s">
        <v>5</v>
      </c>
      <c r="C7" s="35" t="s">
        <v>6</v>
      </c>
      <c r="D7" s="39">
        <f>'30'!E7</f>
        <v>54087.8</v>
      </c>
      <c r="E7" s="39">
        <f>'Daily Meter'!B36</f>
        <v>54109.9</v>
      </c>
      <c r="F7" s="40">
        <f>E7-D7</f>
        <v>22.099999999998545</v>
      </c>
      <c r="G7" s="40"/>
    </row>
    <row r="8" spans="1:8" x14ac:dyDescent="0.25">
      <c r="A8" s="35"/>
      <c r="B8" s="36"/>
      <c r="C8" s="41" t="s">
        <v>7</v>
      </c>
      <c r="D8" s="42"/>
      <c r="E8" s="42"/>
      <c r="F8" s="40">
        <f>F7*284.34</f>
        <v>6283.9139999995859</v>
      </c>
      <c r="G8" s="43">
        <f>F8*0.63</f>
        <v>3958.865819999739</v>
      </c>
    </row>
    <row r="9" spans="1:8" x14ac:dyDescent="0.25">
      <c r="A9" s="69" t="s">
        <v>8</v>
      </c>
      <c r="B9" s="44" t="s">
        <v>9</v>
      </c>
      <c r="C9" s="35"/>
      <c r="D9" s="39"/>
      <c r="E9" s="39"/>
      <c r="F9" s="45"/>
      <c r="G9" s="37"/>
    </row>
    <row r="10" spans="1:8" x14ac:dyDescent="0.25">
      <c r="A10" s="70"/>
      <c r="B10" s="46" t="s">
        <v>10</v>
      </c>
      <c r="C10" s="47" t="s">
        <v>36</v>
      </c>
      <c r="D10" s="39">
        <f>'30'!E10</f>
        <v>208995</v>
      </c>
      <c r="E10" s="39">
        <f>'Daily Meter'!C36</f>
        <v>209263</v>
      </c>
      <c r="F10" s="40">
        <f>E10-D10</f>
        <v>268</v>
      </c>
      <c r="G10" s="48"/>
    </row>
    <row r="11" spans="1:8" ht="29.25" x14ac:dyDescent="0.25">
      <c r="A11" s="70"/>
      <c r="B11" s="49" t="s">
        <v>56</v>
      </c>
      <c r="C11" s="47" t="s">
        <v>55</v>
      </c>
      <c r="D11" s="50"/>
      <c r="E11" s="50"/>
      <c r="F11" s="51">
        <f>F10*219.969</f>
        <v>58951.691999999995</v>
      </c>
      <c r="G11" s="71">
        <f>F11*0.06</f>
        <v>3537.1015199999997</v>
      </c>
    </row>
    <row r="12" spans="1:8" x14ac:dyDescent="0.25">
      <c r="A12" s="69" t="s">
        <v>12</v>
      </c>
      <c r="B12" s="44" t="s">
        <v>13</v>
      </c>
      <c r="C12" s="35"/>
      <c r="D12" s="39"/>
      <c r="E12" s="39"/>
      <c r="F12" s="52"/>
      <c r="G12" s="37"/>
    </row>
    <row r="13" spans="1:8" x14ac:dyDescent="0.25">
      <c r="A13" s="35">
        <v>1</v>
      </c>
      <c r="B13" s="53" t="s">
        <v>37</v>
      </c>
      <c r="C13" s="35" t="s">
        <v>35</v>
      </c>
      <c r="D13" s="39">
        <f>'30'!E13</f>
        <v>6766.4</v>
      </c>
      <c r="E13" s="39">
        <f>'Daily Meter'!H36</f>
        <v>6773</v>
      </c>
      <c r="F13" s="40">
        <f t="shared" ref="F13:F18" si="0">(E13-D13)*480</f>
        <v>3168.0000000001746</v>
      </c>
      <c r="G13" s="54"/>
    </row>
    <row r="14" spans="1:8" x14ac:dyDescent="0.25">
      <c r="A14" s="35">
        <v>2</v>
      </c>
      <c r="B14" s="53" t="s">
        <v>38</v>
      </c>
      <c r="C14" s="35" t="s">
        <v>35</v>
      </c>
      <c r="D14" s="39">
        <f>'30'!E14</f>
        <v>4082.3</v>
      </c>
      <c r="E14" s="39">
        <f>'Daily Meter'!I36</f>
        <v>4086.5</v>
      </c>
      <c r="F14" s="40">
        <f t="shared" si="0"/>
        <v>2015.9999999999127</v>
      </c>
      <c r="G14" s="54"/>
    </row>
    <row r="15" spans="1:8" x14ac:dyDescent="0.25">
      <c r="A15" s="35">
        <v>3</v>
      </c>
      <c r="B15" s="53" t="s">
        <v>39</v>
      </c>
      <c r="C15" s="35" t="s">
        <v>35</v>
      </c>
      <c r="D15" s="39">
        <f>'30'!E15</f>
        <v>4364.1000000000004</v>
      </c>
      <c r="E15" s="39">
        <f>'Daily Meter'!J36</f>
        <v>4368.5</v>
      </c>
      <c r="F15" s="40">
        <f t="shared" si="0"/>
        <v>2111.9999999998254</v>
      </c>
      <c r="G15" s="54"/>
    </row>
    <row r="16" spans="1:8" x14ac:dyDescent="0.25">
      <c r="A16" s="35">
        <v>4</v>
      </c>
      <c r="B16" s="53" t="s">
        <v>40</v>
      </c>
      <c r="C16" s="35" t="s">
        <v>35</v>
      </c>
      <c r="D16" s="39">
        <f>'30'!E16</f>
        <v>2443.5</v>
      </c>
      <c r="E16" s="39">
        <f>'Daily Meter'!K36</f>
        <v>2446.3000000000002</v>
      </c>
      <c r="F16" s="40">
        <f t="shared" si="0"/>
        <v>1344.0000000000873</v>
      </c>
      <c r="G16" s="54"/>
    </row>
    <row r="17" spans="1:11" x14ac:dyDescent="0.25">
      <c r="A17" s="35">
        <v>5</v>
      </c>
      <c r="B17" s="53" t="s">
        <v>41</v>
      </c>
      <c r="C17" s="35" t="s">
        <v>35</v>
      </c>
      <c r="D17" s="39">
        <f>'30'!E17</f>
        <v>5703.8</v>
      </c>
      <c r="E17" s="39">
        <f>'Daily Meter'!L36</f>
        <v>5708.3</v>
      </c>
      <c r="F17" s="40">
        <f t="shared" si="0"/>
        <v>2160</v>
      </c>
      <c r="G17" s="54"/>
    </row>
    <row r="18" spans="1:11" x14ac:dyDescent="0.25">
      <c r="A18" s="35">
        <v>6</v>
      </c>
      <c r="B18" s="53" t="s">
        <v>42</v>
      </c>
      <c r="C18" s="35" t="s">
        <v>35</v>
      </c>
      <c r="D18" s="39">
        <f>'30'!E18</f>
        <v>15343.9</v>
      </c>
      <c r="E18" s="39">
        <f>'Daily Meter'!M36</f>
        <v>15355.7</v>
      </c>
      <c r="F18" s="40">
        <f t="shared" si="0"/>
        <v>5664.0000000005239</v>
      </c>
      <c r="G18" s="54"/>
    </row>
    <row r="19" spans="1:11" x14ac:dyDescent="0.25">
      <c r="A19" s="35"/>
      <c r="B19" s="55" t="s">
        <v>14</v>
      </c>
      <c r="C19" s="35"/>
      <c r="D19" s="39"/>
      <c r="E19" s="39"/>
      <c r="F19" s="56">
        <f>SUM(F13:F18)</f>
        <v>16464.000000000524</v>
      </c>
      <c r="G19" s="43">
        <f>F19*0.43</f>
        <v>7079.5200000002251</v>
      </c>
    </row>
    <row r="20" spans="1:11" x14ac:dyDescent="0.25">
      <c r="A20" s="36"/>
      <c r="B20" s="53"/>
      <c r="C20" s="35"/>
      <c r="D20" s="57"/>
      <c r="E20" s="57"/>
      <c r="F20" s="58"/>
      <c r="G20" s="59"/>
    </row>
    <row r="21" spans="1:11" x14ac:dyDescent="0.25">
      <c r="A21" s="69" t="s">
        <v>15</v>
      </c>
      <c r="B21" s="44" t="s">
        <v>16</v>
      </c>
      <c r="C21" s="35"/>
      <c r="D21" s="60"/>
      <c r="E21" s="60"/>
      <c r="F21" s="52"/>
      <c r="G21" s="37"/>
    </row>
    <row r="22" spans="1:11" x14ac:dyDescent="0.25">
      <c r="A22" s="35">
        <v>1</v>
      </c>
      <c r="B22" s="61" t="s">
        <v>17</v>
      </c>
      <c r="C22" s="62" t="s">
        <v>18</v>
      </c>
      <c r="D22" s="39">
        <f>'30'!E22</f>
        <v>93986.8</v>
      </c>
      <c r="E22" s="39">
        <f>'Daily Meter'!N36</f>
        <v>94132.3</v>
      </c>
      <c r="F22" s="63">
        <f>E22-D22</f>
        <v>145.5</v>
      </c>
      <c r="G22" s="64"/>
    </row>
    <row r="23" spans="1:11" x14ac:dyDescent="0.25">
      <c r="A23" s="35"/>
      <c r="B23" s="25" t="s">
        <v>99</v>
      </c>
      <c r="C23" s="26" t="s">
        <v>57</v>
      </c>
      <c r="D23" s="39"/>
      <c r="E23" s="39"/>
      <c r="F23" s="65">
        <f>F22*3.7</f>
        <v>538.35</v>
      </c>
      <c r="G23" s="66">
        <f>F23*2.5</f>
        <v>1345.875</v>
      </c>
    </row>
    <row r="24" spans="1:11" x14ac:dyDescent="0.25">
      <c r="A24" s="35"/>
      <c r="B24" s="61"/>
      <c r="C24" s="62"/>
      <c r="D24" s="39"/>
      <c r="E24" s="39"/>
      <c r="F24" s="45"/>
      <c r="G24" s="67"/>
    </row>
    <row r="25" spans="1:11" x14ac:dyDescent="0.25">
      <c r="A25" s="1"/>
      <c r="B25" s="1"/>
      <c r="C25" s="2"/>
      <c r="D25" s="1"/>
      <c r="E25" s="1" t="s">
        <v>19</v>
      </c>
      <c r="F25" s="11"/>
      <c r="G25" s="1"/>
      <c r="H25" s="1"/>
      <c r="I25" s="1"/>
      <c r="J25" s="1"/>
      <c r="K25" s="1"/>
    </row>
    <row r="26" spans="1:11" ht="21" x14ac:dyDescent="0.25">
      <c r="A26" s="3"/>
      <c r="B26" s="3"/>
      <c r="C26" s="3"/>
      <c r="D26" s="248" t="s">
        <v>20</v>
      </c>
      <c r="E26" s="248"/>
      <c r="F26" s="248"/>
      <c r="G26" s="248"/>
      <c r="H26" s="5"/>
    </row>
    <row r="27" spans="1:11" ht="21" x14ac:dyDescent="0.25">
      <c r="A27" s="3"/>
      <c r="B27" s="3"/>
      <c r="C27" s="3"/>
      <c r="D27" s="197" t="s">
        <v>21</v>
      </c>
      <c r="E27" s="197" t="s">
        <v>22</v>
      </c>
      <c r="F27" s="197" t="s">
        <v>23</v>
      </c>
      <c r="G27" s="197" t="s">
        <v>24</v>
      </c>
      <c r="H27" s="6"/>
    </row>
    <row r="28" spans="1:11" ht="15" customHeight="1" x14ac:dyDescent="0.25">
      <c r="A28" s="3"/>
      <c r="B28" s="3"/>
      <c r="C28" s="3"/>
      <c r="D28" s="7" t="s">
        <v>25</v>
      </c>
      <c r="E28" s="7" t="s">
        <v>7</v>
      </c>
      <c r="F28" s="8">
        <f>F8</f>
        <v>6283.9139999995859</v>
      </c>
      <c r="G28" s="23">
        <f>G8</f>
        <v>3958.865819999739</v>
      </c>
      <c r="H28" s="6"/>
    </row>
    <row r="29" spans="1:11" ht="15" customHeight="1" x14ac:dyDescent="0.25">
      <c r="A29" s="3"/>
      <c r="B29" s="3"/>
      <c r="C29" s="3"/>
      <c r="D29" s="7" t="s">
        <v>26</v>
      </c>
      <c r="E29" s="7" t="s">
        <v>11</v>
      </c>
      <c r="F29" s="8">
        <f>F11</f>
        <v>58951.691999999995</v>
      </c>
      <c r="G29" s="23">
        <f>G11</f>
        <v>3537.1015199999997</v>
      </c>
      <c r="H29" s="6"/>
    </row>
    <row r="30" spans="1:11" ht="15" customHeight="1" x14ac:dyDescent="0.25">
      <c r="A30" s="3"/>
      <c r="B30" s="3"/>
      <c r="C30" s="3"/>
      <c r="D30" s="7" t="s">
        <v>27</v>
      </c>
      <c r="E30" s="7" t="s">
        <v>49</v>
      </c>
      <c r="F30" s="8">
        <f>F19</f>
        <v>16464.000000000524</v>
      </c>
      <c r="G30" s="23">
        <f>G19</f>
        <v>7079.5200000002251</v>
      </c>
      <c r="H30" s="6"/>
    </row>
    <row r="31" spans="1:11" ht="15" customHeight="1" x14ac:dyDescent="0.25">
      <c r="A31" s="3"/>
      <c r="B31" s="3"/>
      <c r="C31" s="3"/>
      <c r="D31" s="7" t="s">
        <v>28</v>
      </c>
      <c r="E31" s="7" t="s">
        <v>36</v>
      </c>
      <c r="F31" s="8">
        <f>F22</f>
        <v>145.5</v>
      </c>
      <c r="G31" s="23">
        <f>G23</f>
        <v>1345.875</v>
      </c>
      <c r="H31" s="6"/>
    </row>
    <row r="32" spans="1:11" ht="15" customHeight="1" x14ac:dyDescent="0.25">
      <c r="A32" s="3"/>
      <c r="B32" s="3"/>
      <c r="C32" s="3"/>
      <c r="D32" s="1"/>
      <c r="E32" s="1"/>
      <c r="F32" s="13" t="s">
        <v>29</v>
      </c>
      <c r="G32" s="14">
        <f>SUM(G28:G31)</f>
        <v>15921.362339999963</v>
      </c>
      <c r="H32" s="1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FB3E059B-C634-4F1F-9DBF-C2D21F342003}"/>
  </hyperlinks>
  <pageMargins left="0.7" right="0.7" top="0.75" bottom="0.75" header="0.3" footer="0.3"/>
  <pageSetup orientation="landscape" horizontalDpi="4294967295" verticalDpi="4294967295" r:id="rId1"/>
  <headerFooter>
    <oddHeader>&amp;R&amp;G</oddHeader>
  </headerFooter>
  <drawing r:id="rId2"/>
  <legacyDrawingHF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6F134-FFF9-4638-B2D3-16F2CBD2D8C4}">
  <sheetPr>
    <tabColor theme="9" tint="-0.249977111117893"/>
  </sheetPr>
  <dimension ref="A1:P50"/>
  <sheetViews>
    <sheetView zoomScaleNormal="100" workbookViewId="0">
      <selection activeCell="B14" sqref="B14:E14"/>
    </sheetView>
  </sheetViews>
  <sheetFormatPr defaultRowHeight="15" x14ac:dyDescent="0.25"/>
  <cols>
    <col min="1" max="1" width="5.5703125" style="16" bestFit="1" customWidth="1"/>
    <col min="2" max="2" width="37.5703125" style="16" customWidth="1"/>
    <col min="3" max="3" width="21.5703125" style="16" bestFit="1" customWidth="1"/>
    <col min="4" max="4" width="21.140625" style="16" customWidth="1"/>
    <col min="5" max="5" width="21.5703125" style="16" customWidth="1"/>
    <col min="6" max="6" width="20.85546875" style="22" customWidth="1"/>
    <col min="7" max="8" width="20" style="22" customWidth="1"/>
    <col min="9" max="12" width="9.140625" style="16"/>
    <col min="13" max="13" width="9.140625" style="16" customWidth="1"/>
    <col min="14" max="16384" width="9.140625" style="16"/>
  </cols>
  <sheetData>
    <row r="1" spans="1:16" ht="15" customHeight="1" x14ac:dyDescent="0.25">
      <c r="A1" s="256" t="s">
        <v>0</v>
      </c>
      <c r="B1" s="256"/>
      <c r="C1" s="256"/>
      <c r="D1" s="256"/>
      <c r="E1" s="256"/>
      <c r="F1" s="256"/>
      <c r="G1" s="256"/>
      <c r="H1" s="166"/>
      <c r="P1" s="128" t="s">
        <v>75</v>
      </c>
    </row>
    <row r="2" spans="1:16" ht="12" customHeight="1" x14ac:dyDescent="0.25">
      <c r="A2" s="256"/>
      <c r="B2" s="256"/>
      <c r="C2" s="256"/>
      <c r="D2" s="256"/>
      <c r="E2" s="256"/>
      <c r="F2" s="256"/>
      <c r="G2" s="256"/>
      <c r="H2" s="166"/>
    </row>
    <row r="3" spans="1:16" ht="18.75" thickBot="1" x14ac:dyDescent="0.3">
      <c r="A3" s="257" t="s">
        <v>34</v>
      </c>
      <c r="B3" s="257"/>
      <c r="C3" s="257"/>
      <c r="D3" s="257"/>
      <c r="E3" s="257"/>
      <c r="F3" s="257"/>
      <c r="G3" s="257"/>
      <c r="H3" s="166"/>
      <c r="P3" s="128" t="s">
        <v>78</v>
      </c>
    </row>
    <row r="4" spans="1:16" ht="18.75" thickBot="1" x14ac:dyDescent="0.3">
      <c r="A4" s="258" t="s">
        <v>116</v>
      </c>
      <c r="B4" s="259"/>
      <c r="C4" s="260"/>
      <c r="D4" s="151" t="s">
        <v>86</v>
      </c>
      <c r="E4" s="152"/>
      <c r="F4" s="153" t="s">
        <v>92</v>
      </c>
      <c r="G4" s="268"/>
      <c r="H4" s="269"/>
    </row>
    <row r="5" spans="1:16" ht="30" x14ac:dyDescent="0.25">
      <c r="A5" s="252" t="s">
        <v>1</v>
      </c>
      <c r="B5" s="250" t="s">
        <v>2</v>
      </c>
      <c r="C5" s="144"/>
      <c r="D5" s="145" t="s">
        <v>87</v>
      </c>
      <c r="E5" s="145" t="s">
        <v>88</v>
      </c>
      <c r="F5" s="254" t="s">
        <v>93</v>
      </c>
      <c r="G5" s="254" t="s">
        <v>90</v>
      </c>
      <c r="H5" s="254" t="s">
        <v>94</v>
      </c>
    </row>
    <row r="6" spans="1:16" ht="24" customHeight="1" x14ac:dyDescent="0.25">
      <c r="A6" s="253"/>
      <c r="B6" s="251"/>
      <c r="C6" s="76"/>
      <c r="D6" s="191" t="s">
        <v>122</v>
      </c>
      <c r="E6" s="191" t="s">
        <v>121</v>
      </c>
      <c r="F6" s="255"/>
      <c r="G6" s="255"/>
      <c r="H6" s="255"/>
    </row>
    <row r="7" spans="1:16" x14ac:dyDescent="0.25">
      <c r="A7" s="77">
        <v>1</v>
      </c>
      <c r="B7" s="78" t="s">
        <v>4</v>
      </c>
      <c r="C7" s="79"/>
      <c r="D7" s="80"/>
      <c r="E7" s="80"/>
      <c r="F7" s="81"/>
      <c r="G7" s="81"/>
      <c r="H7" s="81"/>
    </row>
    <row r="8" spans="1:16" x14ac:dyDescent="0.25">
      <c r="A8" s="79"/>
      <c r="B8" s="80" t="s">
        <v>5</v>
      </c>
      <c r="C8" s="79" t="s">
        <v>6</v>
      </c>
      <c r="D8" s="39">
        <v>53168.4</v>
      </c>
      <c r="E8" s="39">
        <v>53856.4</v>
      </c>
      <c r="F8" s="82">
        <f>E8-D8</f>
        <v>688</v>
      </c>
      <c r="G8" s="82"/>
      <c r="H8" s="82"/>
    </row>
    <row r="9" spans="1:16" ht="15.75" x14ac:dyDescent="0.25">
      <c r="A9" s="79"/>
      <c r="B9" s="80"/>
      <c r="C9" s="70" t="s">
        <v>58</v>
      </c>
      <c r="D9" s="96"/>
      <c r="E9" s="96"/>
      <c r="F9" s="72">
        <f>F8*284.35</f>
        <v>195632.80000000002</v>
      </c>
      <c r="G9" s="72"/>
      <c r="H9" s="179"/>
    </row>
    <row r="10" spans="1:16" ht="15.75" customHeight="1" x14ac:dyDescent="0.25">
      <c r="A10" s="79"/>
      <c r="B10" s="98" t="s">
        <v>59</v>
      </c>
      <c r="C10" s="262"/>
      <c r="D10" s="262"/>
      <c r="E10" s="262"/>
      <c r="F10" s="137">
        <f>F9*0.568</f>
        <v>111119.4304</v>
      </c>
      <c r="G10" s="143"/>
      <c r="H10" s="143"/>
    </row>
    <row r="11" spans="1:16" x14ac:dyDescent="0.25">
      <c r="A11" s="79"/>
      <c r="B11" s="98" t="s">
        <v>82</v>
      </c>
      <c r="C11" s="262"/>
      <c r="D11" s="262"/>
      <c r="E11" s="262"/>
      <c r="F11" s="137">
        <f>F9*0.075</f>
        <v>14672.460000000001</v>
      </c>
      <c r="G11" s="143"/>
      <c r="H11" s="143"/>
    </row>
    <row r="12" spans="1:16" ht="15.75" customHeight="1" x14ac:dyDescent="0.25">
      <c r="A12" s="79"/>
      <c r="B12" s="101" t="s">
        <v>60</v>
      </c>
      <c r="C12" s="263"/>
      <c r="D12" s="263"/>
      <c r="E12" s="263"/>
      <c r="F12" s="138">
        <f>F10+F11</f>
        <v>125791.8904</v>
      </c>
      <c r="G12" s="158">
        <f>'jan. 1 to 31'!G12</f>
        <v>250000</v>
      </c>
      <c r="H12" s="167"/>
    </row>
    <row r="13" spans="1:16" ht="15.75" customHeight="1" x14ac:dyDescent="0.25">
      <c r="A13" s="79"/>
      <c r="B13" s="101" t="s">
        <v>105</v>
      </c>
      <c r="C13" s="263"/>
      <c r="D13" s="263"/>
      <c r="E13" s="263"/>
      <c r="F13" s="138">
        <f>(3082.2*30)</f>
        <v>92466</v>
      </c>
      <c r="G13" s="158">
        <f>'jan. 1 to 31'!G13</f>
        <v>95548.2</v>
      </c>
      <c r="H13" s="167">
        <f>F13</f>
        <v>92466</v>
      </c>
    </row>
    <row r="14" spans="1:16" ht="15.75" customHeight="1" x14ac:dyDescent="0.25">
      <c r="A14" s="79"/>
      <c r="B14" s="264"/>
      <c r="C14" s="264"/>
      <c r="D14" s="264"/>
      <c r="E14" s="264"/>
      <c r="F14" s="139">
        <f>SUM(F12+F13)</f>
        <v>218257.8904</v>
      </c>
      <c r="G14" s="178">
        <f>SUM(G12:G13)</f>
        <v>345548.2</v>
      </c>
      <c r="H14" s="143">
        <f>SUM(H12:H13)</f>
        <v>92466</v>
      </c>
    </row>
    <row r="15" spans="1:16" x14ac:dyDescent="0.25">
      <c r="A15" s="77" t="s">
        <v>8</v>
      </c>
      <c r="B15" s="78" t="s">
        <v>9</v>
      </c>
      <c r="C15" s="265"/>
      <c r="D15" s="265"/>
      <c r="E15" s="265"/>
      <c r="F15" s="88"/>
      <c r="G15" s="233" t="s">
        <v>112</v>
      </c>
      <c r="H15" s="232">
        <f>(F14-H14)</f>
        <v>125791.8904</v>
      </c>
    </row>
    <row r="16" spans="1:16" x14ac:dyDescent="0.25">
      <c r="A16" s="70"/>
      <c r="B16" s="46" t="s">
        <v>10</v>
      </c>
      <c r="C16" s="47" t="s">
        <v>36</v>
      </c>
      <c r="D16" s="39"/>
      <c r="E16" s="39"/>
      <c r="F16" s="82">
        <f>E16-D16</f>
        <v>0</v>
      </c>
      <c r="G16" s="271" t="s">
        <v>115</v>
      </c>
      <c r="H16" s="272"/>
    </row>
    <row r="17" spans="1:8" ht="28.5" x14ac:dyDescent="0.25">
      <c r="A17" s="70"/>
      <c r="B17" s="46"/>
      <c r="C17" s="47" t="s">
        <v>84</v>
      </c>
      <c r="D17" s="39"/>
      <c r="E17" s="39"/>
      <c r="F17" s="140">
        <f>F16*219.969</f>
        <v>0</v>
      </c>
      <c r="G17" s="231"/>
      <c r="H17" s="88"/>
    </row>
    <row r="18" spans="1:8" x14ac:dyDescent="0.25">
      <c r="A18" s="70"/>
      <c r="B18" s="98" t="s">
        <v>67</v>
      </c>
      <c r="C18" s="262"/>
      <c r="D18" s="262"/>
      <c r="E18" s="262"/>
      <c r="F18" s="141">
        <v>350</v>
      </c>
      <c r="G18" s="224"/>
      <c r="H18" s="88"/>
    </row>
    <row r="19" spans="1:8" x14ac:dyDescent="0.25">
      <c r="A19" s="70"/>
      <c r="B19" s="98" t="s">
        <v>68</v>
      </c>
      <c r="C19" s="262"/>
      <c r="D19" s="262"/>
      <c r="E19" s="262"/>
      <c r="F19" s="141">
        <v>400</v>
      </c>
      <c r="G19" s="224"/>
      <c r="H19" s="88"/>
    </row>
    <row r="20" spans="1:8" x14ac:dyDescent="0.25">
      <c r="A20" s="70"/>
      <c r="B20" s="98" t="s">
        <v>69</v>
      </c>
      <c r="C20" s="262"/>
      <c r="D20" s="262"/>
      <c r="E20" s="262"/>
      <c r="F20" s="141">
        <f>SUM(F17-20000)*0.046</f>
        <v>-920</v>
      </c>
      <c r="G20" s="224"/>
      <c r="H20" s="88"/>
    </row>
    <row r="21" spans="1:8" x14ac:dyDescent="0.25">
      <c r="A21" s="70"/>
      <c r="B21" s="98" t="s">
        <v>95</v>
      </c>
      <c r="C21" s="262"/>
      <c r="D21" s="262"/>
      <c r="E21" s="262"/>
      <c r="F21" s="110">
        <f>F17*0.005</f>
        <v>0</v>
      </c>
      <c r="G21" s="224"/>
      <c r="H21" s="88"/>
    </row>
    <row r="22" spans="1:8" x14ac:dyDescent="0.25">
      <c r="A22" s="70"/>
      <c r="B22" s="98" t="s">
        <v>96</v>
      </c>
      <c r="C22" s="262"/>
      <c r="D22" s="262"/>
      <c r="E22" s="262"/>
      <c r="F22" s="110">
        <f>F17*0.01</f>
        <v>0</v>
      </c>
      <c r="G22" s="224"/>
      <c r="H22" s="88"/>
    </row>
    <row r="23" spans="1:8" x14ac:dyDescent="0.25">
      <c r="A23" s="70"/>
      <c r="B23" s="101" t="s">
        <v>60</v>
      </c>
      <c r="C23" s="270"/>
      <c r="D23" s="270"/>
      <c r="E23" s="270"/>
      <c r="F23" s="142">
        <f>SUM(F18:F22)</f>
        <v>-170</v>
      </c>
      <c r="G23" s="225">
        <f>'jan. 1 to 31'!G23</f>
        <v>59385</v>
      </c>
      <c r="H23" s="88"/>
    </row>
    <row r="24" spans="1:8" x14ac:dyDescent="0.25">
      <c r="A24" s="77" t="s">
        <v>12</v>
      </c>
      <c r="B24" s="78" t="s">
        <v>13</v>
      </c>
      <c r="C24" s="265"/>
      <c r="D24" s="265"/>
      <c r="E24" s="265"/>
      <c r="F24" s="89"/>
      <c r="G24" s="226"/>
      <c r="H24" s="88"/>
    </row>
    <row r="25" spans="1:8" x14ac:dyDescent="0.25">
      <c r="A25" s="79">
        <v>1</v>
      </c>
      <c r="B25" s="80" t="s">
        <v>37</v>
      </c>
      <c r="C25" s="79" t="s">
        <v>35</v>
      </c>
      <c r="D25" s="39"/>
      <c r="E25" s="39"/>
      <c r="F25" s="82">
        <f t="shared" ref="F25:F30" si="0">(E25-D25)*480</f>
        <v>0</v>
      </c>
      <c r="G25" s="201"/>
      <c r="H25" s="88"/>
    </row>
    <row r="26" spans="1:8" x14ac:dyDescent="0.25">
      <c r="A26" s="79">
        <v>2</v>
      </c>
      <c r="B26" s="80" t="s">
        <v>38</v>
      </c>
      <c r="C26" s="79" t="s">
        <v>35</v>
      </c>
      <c r="D26" s="39"/>
      <c r="E26" s="39"/>
      <c r="F26" s="82">
        <f t="shared" si="0"/>
        <v>0</v>
      </c>
      <c r="G26" s="201"/>
      <c r="H26" s="88"/>
    </row>
    <row r="27" spans="1:8" x14ac:dyDescent="0.25">
      <c r="A27" s="79">
        <v>3</v>
      </c>
      <c r="B27" s="80" t="s">
        <v>39</v>
      </c>
      <c r="C27" s="79" t="s">
        <v>35</v>
      </c>
      <c r="D27" s="39"/>
      <c r="E27" s="39"/>
      <c r="F27" s="82">
        <f t="shared" si="0"/>
        <v>0</v>
      </c>
      <c r="G27" s="201"/>
      <c r="H27" s="88"/>
    </row>
    <row r="28" spans="1:8" x14ac:dyDescent="0.25">
      <c r="A28" s="79">
        <v>4</v>
      </c>
      <c r="B28" s="80" t="s">
        <v>40</v>
      </c>
      <c r="C28" s="79" t="s">
        <v>35</v>
      </c>
      <c r="D28" s="39"/>
      <c r="E28" s="39"/>
      <c r="F28" s="82">
        <f t="shared" si="0"/>
        <v>0</v>
      </c>
      <c r="G28" s="201"/>
      <c r="H28" s="88"/>
    </row>
    <row r="29" spans="1:8" x14ac:dyDescent="0.25">
      <c r="A29" s="79">
        <v>5</v>
      </c>
      <c r="B29" s="80" t="s">
        <v>41</v>
      </c>
      <c r="C29" s="79" t="s">
        <v>35</v>
      </c>
      <c r="D29" s="39"/>
      <c r="E29" s="39"/>
      <c r="F29" s="82">
        <f t="shared" si="0"/>
        <v>0</v>
      </c>
      <c r="G29" s="201"/>
      <c r="H29" s="88"/>
    </row>
    <row r="30" spans="1:8" x14ac:dyDescent="0.25">
      <c r="A30" s="79">
        <v>6</v>
      </c>
      <c r="B30" s="80" t="s">
        <v>42</v>
      </c>
      <c r="C30" s="79" t="s">
        <v>35</v>
      </c>
      <c r="D30" s="39"/>
      <c r="E30" s="39"/>
      <c r="F30" s="82">
        <f t="shared" si="0"/>
        <v>0</v>
      </c>
      <c r="G30" s="201"/>
      <c r="H30" s="88"/>
    </row>
    <row r="31" spans="1:8" x14ac:dyDescent="0.25">
      <c r="A31" s="79"/>
      <c r="B31" s="84" t="s">
        <v>61</v>
      </c>
      <c r="C31" s="265"/>
      <c r="D31" s="265"/>
      <c r="E31" s="265"/>
      <c r="F31" s="90">
        <f>SUM(F25:F30)</f>
        <v>0</v>
      </c>
      <c r="G31" s="227"/>
      <c r="H31" s="88"/>
    </row>
    <row r="32" spans="1:8" x14ac:dyDescent="0.25">
      <c r="A32" s="80"/>
      <c r="B32" s="98" t="s">
        <v>70</v>
      </c>
      <c r="C32" s="262"/>
      <c r="D32" s="262"/>
      <c r="E32" s="262"/>
      <c r="F32" s="137">
        <v>460</v>
      </c>
      <c r="G32" s="228"/>
      <c r="H32" s="88"/>
    </row>
    <row r="33" spans="1:8" x14ac:dyDescent="0.25">
      <c r="A33" s="80"/>
      <c r="B33" s="98" t="s">
        <v>71</v>
      </c>
      <c r="C33" s="262"/>
      <c r="D33" s="262"/>
      <c r="E33" s="262"/>
      <c r="F33" s="137">
        <v>560</v>
      </c>
      <c r="G33" s="228"/>
      <c r="H33" s="88"/>
    </row>
    <row r="34" spans="1:8" x14ac:dyDescent="0.25">
      <c r="A34" s="80"/>
      <c r="B34" s="98" t="s">
        <v>72</v>
      </c>
      <c r="C34" s="262"/>
      <c r="D34" s="262"/>
      <c r="E34" s="262"/>
      <c r="F34" s="137">
        <v>640</v>
      </c>
      <c r="G34" s="228"/>
      <c r="H34" s="88"/>
    </row>
    <row r="35" spans="1:8" x14ac:dyDescent="0.25">
      <c r="A35" s="80"/>
      <c r="B35" s="98" t="s">
        <v>73</v>
      </c>
      <c r="C35" s="262"/>
      <c r="D35" s="262"/>
      <c r="E35" s="262"/>
      <c r="F35" s="137">
        <f>SUM(F31-6000)*0.38</f>
        <v>-2280</v>
      </c>
      <c r="G35" s="228"/>
      <c r="H35" s="88"/>
    </row>
    <row r="36" spans="1:8" x14ac:dyDescent="0.25">
      <c r="A36" s="80"/>
      <c r="B36" s="98" t="s">
        <v>74</v>
      </c>
      <c r="C36" s="262"/>
      <c r="D36" s="262"/>
      <c r="E36" s="262"/>
      <c r="F36" s="137">
        <f>F31*0.065</f>
        <v>0</v>
      </c>
      <c r="G36" s="228"/>
      <c r="H36" s="88"/>
    </row>
    <row r="37" spans="1:8" x14ac:dyDescent="0.25">
      <c r="A37" s="80"/>
      <c r="B37" s="101" t="s">
        <v>60</v>
      </c>
      <c r="C37" s="266"/>
      <c r="D37" s="266"/>
      <c r="E37" s="266"/>
      <c r="F37" s="138">
        <f>SUM(F32:F36)</f>
        <v>-620</v>
      </c>
      <c r="G37" s="229">
        <f>'jan. 1 to 31'!G37</f>
        <v>281577</v>
      </c>
      <c r="H37" s="88"/>
    </row>
    <row r="38" spans="1:8" x14ac:dyDescent="0.25">
      <c r="A38" s="77" t="s">
        <v>15</v>
      </c>
      <c r="B38" s="78" t="s">
        <v>16</v>
      </c>
      <c r="C38" s="86"/>
      <c r="D38" s="86"/>
      <c r="E38" s="86"/>
      <c r="F38" s="89"/>
      <c r="G38" s="226"/>
      <c r="H38" s="88"/>
    </row>
    <row r="39" spans="1:8" x14ac:dyDescent="0.25">
      <c r="A39" s="79">
        <v>1</v>
      </c>
      <c r="B39" s="86" t="s">
        <v>17</v>
      </c>
      <c r="C39" s="267"/>
      <c r="D39" s="267"/>
      <c r="E39" s="267"/>
      <c r="F39" s="90"/>
      <c r="G39" s="227"/>
      <c r="H39" s="88"/>
    </row>
    <row r="40" spans="1:8" x14ac:dyDescent="0.25">
      <c r="A40" s="79"/>
      <c r="B40" s="86"/>
      <c r="C40" s="119" t="s">
        <v>62</v>
      </c>
      <c r="D40" s="39"/>
      <c r="E40" s="39"/>
      <c r="F40" s="72">
        <f>E40-D40</f>
        <v>0</v>
      </c>
      <c r="G40" s="227"/>
      <c r="H40" s="88"/>
    </row>
    <row r="41" spans="1:8" x14ac:dyDescent="0.25">
      <c r="A41" s="79"/>
      <c r="B41" s="86"/>
      <c r="C41" s="87" t="s">
        <v>97</v>
      </c>
      <c r="D41" s="39"/>
      <c r="E41" s="39"/>
      <c r="F41" s="90">
        <f>F40*3.7</f>
        <v>0</v>
      </c>
      <c r="G41" s="227"/>
      <c r="H41" s="88"/>
    </row>
    <row r="42" spans="1:8" x14ac:dyDescent="0.25">
      <c r="A42" s="79"/>
      <c r="B42" s="101" t="s">
        <v>98</v>
      </c>
      <c r="C42" s="266"/>
      <c r="D42" s="266"/>
      <c r="E42" s="266"/>
      <c r="F42" s="138">
        <f>F41*2.5</f>
        <v>0</v>
      </c>
      <c r="G42" s="230">
        <f>'jan. 1 to 31'!G42</f>
        <v>13040</v>
      </c>
      <c r="H42" s="88"/>
    </row>
    <row r="43" spans="1:8" x14ac:dyDescent="0.25">
      <c r="A43" s="17"/>
      <c r="B43" s="17"/>
      <c r="C43" s="18"/>
      <c r="D43" s="17"/>
      <c r="E43" s="17"/>
      <c r="F43" s="19"/>
      <c r="G43" s="19"/>
      <c r="H43" s="19"/>
    </row>
    <row r="44" spans="1:8" ht="21" x14ac:dyDescent="0.25">
      <c r="A44" s="3"/>
      <c r="B44" s="261" t="s">
        <v>20</v>
      </c>
      <c r="C44" s="261"/>
      <c r="D44" s="261"/>
      <c r="E44" s="261"/>
      <c r="F44" s="9"/>
      <c r="G44" s="9"/>
      <c r="H44" s="9"/>
    </row>
    <row r="45" spans="1:8" ht="21" x14ac:dyDescent="0.25">
      <c r="A45" s="3"/>
      <c r="B45" s="136" t="s">
        <v>21</v>
      </c>
      <c r="C45" s="136" t="s">
        <v>22</v>
      </c>
      <c r="D45" s="136" t="s">
        <v>23</v>
      </c>
      <c r="E45" s="136" t="s">
        <v>63</v>
      </c>
      <c r="F45" s="9"/>
      <c r="G45" s="9"/>
      <c r="H45" s="9"/>
    </row>
    <row r="46" spans="1:8" x14ac:dyDescent="0.25">
      <c r="A46" s="17"/>
      <c r="B46" s="7" t="s">
        <v>25</v>
      </c>
      <c r="C46" s="7" t="s">
        <v>7</v>
      </c>
      <c r="D46" s="8">
        <f>F9</f>
        <v>195632.80000000002</v>
      </c>
      <c r="E46" s="23">
        <f>F12</f>
        <v>125791.8904</v>
      </c>
      <c r="F46" s="20"/>
      <c r="G46" s="20"/>
      <c r="H46" s="20"/>
    </row>
    <row r="47" spans="1:8" x14ac:dyDescent="0.25">
      <c r="A47" s="17"/>
      <c r="B47" s="7" t="s">
        <v>26</v>
      </c>
      <c r="C47" s="7" t="s">
        <v>64</v>
      </c>
      <c r="D47" s="8">
        <f>F17</f>
        <v>0</v>
      </c>
      <c r="E47" s="23">
        <f>F23</f>
        <v>-170</v>
      </c>
      <c r="F47" s="20"/>
      <c r="G47" s="20"/>
      <c r="H47" s="20"/>
    </row>
    <row r="48" spans="1:8" x14ac:dyDescent="0.25">
      <c r="A48" s="17"/>
      <c r="B48" s="7" t="s">
        <v>27</v>
      </c>
      <c r="C48" s="7" t="s">
        <v>65</v>
      </c>
      <c r="D48" s="8">
        <f>F31</f>
        <v>0</v>
      </c>
      <c r="E48" s="23">
        <f>F37</f>
        <v>-620</v>
      </c>
      <c r="F48" s="20"/>
      <c r="G48" s="20"/>
      <c r="H48" s="20"/>
    </row>
    <row r="49" spans="1:8" x14ac:dyDescent="0.25">
      <c r="A49" s="17"/>
      <c r="B49" s="7" t="s">
        <v>28</v>
      </c>
      <c r="C49" s="119" t="s">
        <v>62</v>
      </c>
      <c r="D49" s="8">
        <f>F40</f>
        <v>0</v>
      </c>
      <c r="E49" s="23">
        <f>F42</f>
        <v>0</v>
      </c>
      <c r="F49" s="20"/>
      <c r="G49" s="20"/>
      <c r="H49" s="20"/>
    </row>
    <row r="50" spans="1:8" ht="15.75" x14ac:dyDescent="0.25">
      <c r="A50" s="17"/>
      <c r="B50" s="1"/>
      <c r="C50" s="1"/>
      <c r="D50" s="124" t="s">
        <v>66</v>
      </c>
      <c r="E50" s="125">
        <f>SUM(E46:E49)</f>
        <v>125001.8904</v>
      </c>
      <c r="F50" s="21"/>
      <c r="G50" s="21"/>
      <c r="H50" s="21"/>
    </row>
  </sheetData>
  <mergeCells count="33">
    <mergeCell ref="H5:H6"/>
    <mergeCell ref="G4:H4"/>
    <mergeCell ref="C23:E23"/>
    <mergeCell ref="C37:E37"/>
    <mergeCell ref="C24:E24"/>
    <mergeCell ref="C31:E31"/>
    <mergeCell ref="C34:E34"/>
    <mergeCell ref="C35:E35"/>
    <mergeCell ref="C36:E36"/>
    <mergeCell ref="F5:F6"/>
    <mergeCell ref="G16:H16"/>
    <mergeCell ref="B44:E44"/>
    <mergeCell ref="C10:E10"/>
    <mergeCell ref="C11:E11"/>
    <mergeCell ref="C12:E12"/>
    <mergeCell ref="C13:E13"/>
    <mergeCell ref="B14:E14"/>
    <mergeCell ref="C18:E18"/>
    <mergeCell ref="C19:E19"/>
    <mergeCell ref="C20:E20"/>
    <mergeCell ref="C21:E21"/>
    <mergeCell ref="C22:E22"/>
    <mergeCell ref="C32:E32"/>
    <mergeCell ref="C33:E33"/>
    <mergeCell ref="C15:E15"/>
    <mergeCell ref="C42:E42"/>
    <mergeCell ref="C39:E39"/>
    <mergeCell ref="B5:B6"/>
    <mergeCell ref="A5:A6"/>
    <mergeCell ref="G5:G6"/>
    <mergeCell ref="A1:G2"/>
    <mergeCell ref="A3:G3"/>
    <mergeCell ref="A4:C4"/>
  </mergeCells>
  <hyperlinks>
    <hyperlink ref="P1" location="'1'!A1" display="1st" xr:uid="{D7BE4D4D-E30D-49A4-A41B-C343F01FB706}"/>
    <hyperlink ref="P3" location="'Daily Meter'!A1" display="daily reading" xr:uid="{6B2931C3-14A5-4646-A47E-B7F264BB2DFB}"/>
  </hyperlinks>
  <printOptions horizontalCentered="1"/>
  <pageMargins left="0.7" right="0.7" top="0.25" bottom="0.25" header="0.3" footer="0.3"/>
  <pageSetup paperSize="9" scale="70" orientation="landscape" r:id="rId1"/>
  <headerFooter>
    <oddHeader>&amp;R&amp;G</oddHeader>
  </headerFooter>
  <legacyDrawing r:id="rId2"/>
  <legacyDrawingHF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04FC-870E-4590-B6D0-BC2DCEDACAEF}">
  <sheetPr>
    <tabColor theme="9" tint="-0.249977111117893"/>
  </sheetPr>
  <dimension ref="A1:P50"/>
  <sheetViews>
    <sheetView zoomScaleNormal="100" workbookViewId="0">
      <selection activeCell="J33" sqref="J33"/>
    </sheetView>
  </sheetViews>
  <sheetFormatPr defaultRowHeight="15" x14ac:dyDescent="0.25"/>
  <cols>
    <col min="1" max="1" width="5.5703125" style="16" bestFit="1" customWidth="1"/>
    <col min="2" max="2" width="38.28515625" style="16" bestFit="1" customWidth="1"/>
    <col min="3" max="3" width="21.5703125" style="16" bestFit="1" customWidth="1"/>
    <col min="4" max="4" width="20.140625" style="16" customWidth="1"/>
    <col min="5" max="5" width="20.28515625" style="16" customWidth="1"/>
    <col min="6" max="6" width="21.28515625" style="22" customWidth="1"/>
    <col min="7" max="7" width="20" style="22" customWidth="1"/>
    <col min="8" max="10" width="9.140625" style="16"/>
    <col min="11" max="16" width="10.5703125" style="16" bestFit="1" customWidth="1"/>
    <col min="17" max="16384" width="9.140625" style="16"/>
  </cols>
  <sheetData>
    <row r="1" spans="1:14" ht="15" customHeight="1" x14ac:dyDescent="0.25">
      <c r="A1" s="278" t="s">
        <v>0</v>
      </c>
      <c r="B1" s="279"/>
      <c r="C1" s="279"/>
      <c r="D1" s="279"/>
      <c r="E1" s="279"/>
      <c r="F1" s="279"/>
      <c r="G1" s="280"/>
    </row>
    <row r="2" spans="1:14" ht="10.5" customHeight="1" x14ac:dyDescent="0.25">
      <c r="A2" s="281"/>
      <c r="B2" s="282"/>
      <c r="C2" s="282"/>
      <c r="D2" s="282"/>
      <c r="E2" s="282"/>
      <c r="F2" s="282"/>
      <c r="G2" s="283"/>
    </row>
    <row r="3" spans="1:14" ht="21.75" customHeight="1" thickBot="1" x14ac:dyDescent="0.3">
      <c r="A3" s="284" t="s">
        <v>34</v>
      </c>
      <c r="B3" s="285"/>
      <c r="C3" s="285"/>
      <c r="D3" s="285"/>
      <c r="E3" s="285"/>
      <c r="F3" s="285"/>
      <c r="G3" s="286"/>
    </row>
    <row r="4" spans="1:14" ht="36.75" thickBot="1" x14ac:dyDescent="0.3">
      <c r="A4" s="287" t="s">
        <v>117</v>
      </c>
      <c r="B4" s="288"/>
      <c r="C4" s="146" t="s">
        <v>83</v>
      </c>
      <c r="D4" s="189"/>
      <c r="E4" s="147" t="s">
        <v>86</v>
      </c>
      <c r="F4" s="289"/>
      <c r="G4" s="290"/>
    </row>
    <row r="5" spans="1:14" ht="30" x14ac:dyDescent="0.25">
      <c r="A5" s="148" t="s">
        <v>1</v>
      </c>
      <c r="B5" s="180" t="s">
        <v>2</v>
      </c>
      <c r="C5" s="181"/>
      <c r="D5" s="183" t="s">
        <v>87</v>
      </c>
      <c r="E5" s="183" t="s">
        <v>88</v>
      </c>
      <c r="F5" s="276" t="s">
        <v>89</v>
      </c>
      <c r="G5" s="274" t="s">
        <v>90</v>
      </c>
      <c r="N5" s="128"/>
    </row>
    <row r="6" spans="1:14" ht="21.75" customHeight="1" x14ac:dyDescent="0.25">
      <c r="A6" s="91"/>
      <c r="B6" s="75"/>
      <c r="C6" s="182"/>
      <c r="D6" s="191" t="s">
        <v>113</v>
      </c>
      <c r="E6" s="191" t="s">
        <v>118</v>
      </c>
      <c r="F6" s="277"/>
      <c r="G6" s="275"/>
    </row>
    <row r="7" spans="1:14" x14ac:dyDescent="0.25">
      <c r="A7" s="92">
        <v>1</v>
      </c>
      <c r="B7" s="78" t="s">
        <v>4</v>
      </c>
      <c r="C7" s="186"/>
      <c r="D7" s="80"/>
      <c r="E7" s="80"/>
      <c r="F7" s="93"/>
      <c r="G7" s="154"/>
      <c r="N7" s="128" t="s">
        <v>75</v>
      </c>
    </row>
    <row r="8" spans="1:14" x14ac:dyDescent="0.25">
      <c r="A8" s="94"/>
      <c r="B8" s="80" t="s">
        <v>5</v>
      </c>
      <c r="C8" s="186" t="s">
        <v>6</v>
      </c>
      <c r="D8" s="39">
        <v>53446.3</v>
      </c>
      <c r="E8" s="39">
        <v>53446.3</v>
      </c>
      <c r="F8" s="95">
        <f>E8-D8</f>
        <v>0</v>
      </c>
      <c r="G8" s="155"/>
    </row>
    <row r="9" spans="1:14" ht="15.75" x14ac:dyDescent="0.25">
      <c r="A9" s="94"/>
      <c r="B9" s="80"/>
      <c r="C9" s="70" t="s">
        <v>58</v>
      </c>
      <c r="D9" s="96"/>
      <c r="E9" s="96"/>
      <c r="F9" s="97">
        <f>F8*284.35</f>
        <v>0</v>
      </c>
      <c r="G9" s="156"/>
    </row>
    <row r="10" spans="1:14" ht="15.75" x14ac:dyDescent="0.25">
      <c r="A10" s="94"/>
      <c r="B10" s="98" t="s">
        <v>59</v>
      </c>
      <c r="C10" s="184"/>
      <c r="D10" s="99"/>
      <c r="E10" s="99"/>
      <c r="F10" s="100">
        <f>F9*0.568</f>
        <v>0</v>
      </c>
      <c r="G10" s="157"/>
    </row>
    <row r="11" spans="1:14" ht="15.75" x14ac:dyDescent="0.25">
      <c r="A11" s="94"/>
      <c r="B11" s="98" t="s">
        <v>82</v>
      </c>
      <c r="C11" s="184"/>
      <c r="D11" s="99"/>
      <c r="E11" s="99"/>
      <c r="F11" s="100">
        <f>F9*0.075</f>
        <v>0</v>
      </c>
      <c r="G11" s="157"/>
    </row>
    <row r="12" spans="1:14" ht="15.75" x14ac:dyDescent="0.25">
      <c r="A12" s="94"/>
      <c r="B12" s="101" t="s">
        <v>60</v>
      </c>
      <c r="C12" s="185"/>
      <c r="D12" s="102"/>
      <c r="E12" s="102"/>
      <c r="F12" s="103">
        <f>F10+F11</f>
        <v>0</v>
      </c>
      <c r="G12" s="158">
        <v>250000</v>
      </c>
    </row>
    <row r="13" spans="1:14" ht="15.75" x14ac:dyDescent="0.25">
      <c r="A13" s="94"/>
      <c r="B13" s="101" t="s">
        <v>106</v>
      </c>
      <c r="C13" s="185"/>
      <c r="D13" s="102"/>
      <c r="E13" s="102"/>
      <c r="F13" s="103">
        <f>(3082.2*30)</f>
        <v>92466</v>
      </c>
      <c r="G13" s="158">
        <v>95548.2</v>
      </c>
    </row>
    <row r="14" spans="1:14" ht="15.75" x14ac:dyDescent="0.25">
      <c r="A14" s="94"/>
      <c r="B14" s="104"/>
      <c r="C14" s="70"/>
      <c r="D14" s="96"/>
      <c r="E14" s="96"/>
      <c r="F14" s="126">
        <f>(F12+F13)</f>
        <v>92466</v>
      </c>
      <c r="G14" s="178">
        <f>SUM(G12:G13)</f>
        <v>345548.2</v>
      </c>
    </row>
    <row r="15" spans="1:14" x14ac:dyDescent="0.25">
      <c r="A15" s="92" t="s">
        <v>8</v>
      </c>
      <c r="B15" s="78" t="s">
        <v>9</v>
      </c>
      <c r="C15" s="186"/>
      <c r="D15" s="39"/>
      <c r="E15" s="39"/>
      <c r="F15" s="105"/>
      <c r="G15" s="159"/>
    </row>
    <row r="16" spans="1:14" x14ac:dyDescent="0.25">
      <c r="A16" s="106"/>
      <c r="B16" s="46" t="s">
        <v>10</v>
      </c>
      <c r="C16" s="47" t="s">
        <v>36</v>
      </c>
      <c r="D16" s="39">
        <v>203437</v>
      </c>
      <c r="E16" s="39">
        <v>203437</v>
      </c>
      <c r="F16" s="95">
        <f>E16-D16</f>
        <v>0</v>
      </c>
      <c r="G16" s="155"/>
    </row>
    <row r="17" spans="1:16" ht="28.5" x14ac:dyDescent="0.25">
      <c r="A17" s="106"/>
      <c r="B17" s="46"/>
      <c r="C17" s="47" t="s">
        <v>85</v>
      </c>
      <c r="D17" s="39"/>
      <c r="E17" s="39"/>
      <c r="F17" s="107">
        <f>F16*219.969</f>
        <v>0</v>
      </c>
      <c r="G17" s="160"/>
    </row>
    <row r="18" spans="1:16" x14ac:dyDescent="0.25">
      <c r="A18" s="106"/>
      <c r="B18" s="98" t="s">
        <v>67</v>
      </c>
      <c r="C18" s="108"/>
      <c r="D18" s="109"/>
      <c r="E18" s="109"/>
      <c r="F18" s="110">
        <v>350</v>
      </c>
      <c r="G18" s="161"/>
    </row>
    <row r="19" spans="1:16" x14ac:dyDescent="0.25">
      <c r="A19" s="106"/>
      <c r="B19" s="98" t="s">
        <v>68</v>
      </c>
      <c r="C19" s="108"/>
      <c r="D19" s="109"/>
      <c r="E19" s="109"/>
      <c r="F19" s="110">
        <v>400</v>
      </c>
      <c r="G19" s="161"/>
    </row>
    <row r="20" spans="1:16" x14ac:dyDescent="0.25">
      <c r="A20" s="106"/>
      <c r="B20" s="98" t="s">
        <v>69</v>
      </c>
      <c r="C20" s="108"/>
      <c r="D20" s="109"/>
      <c r="E20" s="109"/>
      <c r="F20" s="110">
        <f>SUM(F17-20000)*0.046</f>
        <v>-920</v>
      </c>
      <c r="G20" s="161"/>
    </row>
    <row r="21" spans="1:16" x14ac:dyDescent="0.25">
      <c r="A21" s="106"/>
      <c r="B21" s="98" t="s">
        <v>95</v>
      </c>
      <c r="C21" s="108"/>
      <c r="D21" s="109"/>
      <c r="E21" s="109"/>
      <c r="F21" s="110">
        <f>F17*0.005</f>
        <v>0</v>
      </c>
      <c r="G21" s="161"/>
    </row>
    <row r="22" spans="1:16" x14ac:dyDescent="0.25">
      <c r="A22" s="106"/>
      <c r="B22" s="98" t="s">
        <v>96</v>
      </c>
      <c r="C22" s="108"/>
      <c r="D22" s="109"/>
      <c r="E22" s="109"/>
      <c r="F22" s="110">
        <f>F17*0.01</f>
        <v>0</v>
      </c>
      <c r="G22" s="161"/>
    </row>
    <row r="23" spans="1:16" x14ac:dyDescent="0.25">
      <c r="A23" s="106"/>
      <c r="B23" s="101" t="s">
        <v>60</v>
      </c>
      <c r="C23" s="188"/>
      <c r="D23" s="111"/>
      <c r="E23" s="111"/>
      <c r="F23" s="112">
        <f>SUM(F18:F22)</f>
        <v>-170</v>
      </c>
      <c r="G23" s="162">
        <v>59385</v>
      </c>
    </row>
    <row r="24" spans="1:16" x14ac:dyDescent="0.25">
      <c r="A24" s="92" t="s">
        <v>12</v>
      </c>
      <c r="B24" s="78" t="s">
        <v>13</v>
      </c>
      <c r="C24" s="186"/>
      <c r="D24" s="39"/>
      <c r="E24" s="39"/>
      <c r="F24" s="113"/>
      <c r="G24" s="163"/>
      <c r="K24" s="235">
        <v>1</v>
      </c>
      <c r="L24" s="235">
        <v>2</v>
      </c>
      <c r="M24" s="235">
        <v>3</v>
      </c>
      <c r="N24" s="235">
        <v>4</v>
      </c>
      <c r="O24" s="235">
        <v>6</v>
      </c>
      <c r="P24" s="235">
        <v>7</v>
      </c>
    </row>
    <row r="25" spans="1:16" x14ac:dyDescent="0.25">
      <c r="A25" s="94">
        <v>1</v>
      </c>
      <c r="B25" s="80" t="s">
        <v>100</v>
      </c>
      <c r="C25" s="186" t="s">
        <v>35</v>
      </c>
      <c r="D25" s="39">
        <v>6559.3</v>
      </c>
      <c r="E25" s="39">
        <v>6559.3</v>
      </c>
      <c r="F25" s="95">
        <f t="shared" ref="F25:F30" si="0">(E25-D25)*480</f>
        <v>0</v>
      </c>
      <c r="G25" s="155"/>
      <c r="H25" s="16">
        <f t="shared" ref="H25:H30" si="1">(F25*0.065)</f>
        <v>0</v>
      </c>
      <c r="K25" s="16">
        <f>H25</f>
        <v>0</v>
      </c>
      <c r="L25" s="16">
        <f>H26</f>
        <v>0</v>
      </c>
      <c r="M25" s="16">
        <f>H27</f>
        <v>0</v>
      </c>
      <c r="N25" s="16">
        <f>H28</f>
        <v>0</v>
      </c>
      <c r="O25" s="16">
        <f>H29</f>
        <v>0</v>
      </c>
      <c r="P25" s="16">
        <f>H30</f>
        <v>0</v>
      </c>
    </row>
    <row r="26" spans="1:16" x14ac:dyDescent="0.25">
      <c r="A26" s="94">
        <v>2</v>
      </c>
      <c r="B26" s="80" t="s">
        <v>101</v>
      </c>
      <c r="C26" s="186" t="s">
        <v>35</v>
      </c>
      <c r="D26" s="39">
        <v>3966.1</v>
      </c>
      <c r="E26" s="39">
        <v>3966.1</v>
      </c>
      <c r="F26" s="95">
        <f t="shared" si="0"/>
        <v>0</v>
      </c>
      <c r="G26" s="155"/>
      <c r="H26" s="16">
        <f t="shared" si="1"/>
        <v>0</v>
      </c>
      <c r="K26" s="16">
        <v>1660</v>
      </c>
      <c r="L26" s="16">
        <v>1660</v>
      </c>
      <c r="M26" s="16">
        <v>1660</v>
      </c>
      <c r="N26" s="16">
        <v>1660</v>
      </c>
      <c r="O26" s="16">
        <v>1660</v>
      </c>
      <c r="P26" s="16">
        <v>1660</v>
      </c>
    </row>
    <row r="27" spans="1:16" x14ac:dyDescent="0.25">
      <c r="A27" s="94">
        <v>3</v>
      </c>
      <c r="B27" s="80" t="s">
        <v>102</v>
      </c>
      <c r="C27" s="186" t="s">
        <v>35</v>
      </c>
      <c r="D27" s="39">
        <v>4228.8999999999996</v>
      </c>
      <c r="E27" s="39">
        <v>4228.8999999999996</v>
      </c>
      <c r="F27" s="95">
        <f t="shared" si="0"/>
        <v>0</v>
      </c>
      <c r="G27" s="155"/>
      <c r="H27" s="16">
        <f t="shared" si="1"/>
        <v>0</v>
      </c>
      <c r="K27" s="192">
        <f>SUM(F25-6000)*0.38</f>
        <v>-2280</v>
      </c>
      <c r="L27" s="192">
        <f>SUM(F26-6000)*0.38</f>
        <v>-2280</v>
      </c>
      <c r="M27" s="192">
        <f>SUM(F27-6000)*0.38</f>
        <v>-2280</v>
      </c>
      <c r="N27" s="192">
        <f>SUM(F28-6000)*0.38</f>
        <v>-2280</v>
      </c>
      <c r="O27" s="192">
        <f>SUM(F29-6000)*0.38</f>
        <v>-2280</v>
      </c>
      <c r="P27" s="192">
        <f>SUM(F30-6000)*0.38</f>
        <v>-2280</v>
      </c>
    </row>
    <row r="28" spans="1:16" x14ac:dyDescent="0.25">
      <c r="A28" s="94">
        <v>4</v>
      </c>
      <c r="B28" s="80" t="s">
        <v>103</v>
      </c>
      <c r="C28" s="186" t="s">
        <v>35</v>
      </c>
      <c r="D28" s="39">
        <v>2358.9</v>
      </c>
      <c r="E28" s="39">
        <v>2358.9</v>
      </c>
      <c r="F28" s="95">
        <f t="shared" si="0"/>
        <v>0</v>
      </c>
      <c r="G28" s="155"/>
      <c r="H28" s="16">
        <f t="shared" si="1"/>
        <v>0</v>
      </c>
      <c r="K28" s="236">
        <f t="shared" ref="K28:P28" si="2">SUM(K25:K27)</f>
        <v>-620</v>
      </c>
      <c r="L28" s="236">
        <f t="shared" si="2"/>
        <v>-620</v>
      </c>
      <c r="M28" s="236">
        <f t="shared" si="2"/>
        <v>-620</v>
      </c>
      <c r="N28" s="236">
        <f t="shared" si="2"/>
        <v>-620</v>
      </c>
      <c r="O28" s="236">
        <f t="shared" si="2"/>
        <v>-620</v>
      </c>
      <c r="P28" s="236">
        <f t="shared" si="2"/>
        <v>-620</v>
      </c>
    </row>
    <row r="29" spans="1:16" x14ac:dyDescent="0.25">
      <c r="A29" s="94">
        <v>5</v>
      </c>
      <c r="B29" s="80" t="s">
        <v>107</v>
      </c>
      <c r="C29" s="186" t="s">
        <v>35</v>
      </c>
      <c r="D29" s="39">
        <v>5569.2</v>
      </c>
      <c r="E29" s="39">
        <v>5569.2</v>
      </c>
      <c r="F29" s="95">
        <f t="shared" si="0"/>
        <v>0</v>
      </c>
      <c r="G29" s="155"/>
      <c r="H29" s="16">
        <f t="shared" si="1"/>
        <v>0</v>
      </c>
    </row>
    <row r="30" spans="1:16" x14ac:dyDescent="0.25">
      <c r="A30" s="94">
        <v>6</v>
      </c>
      <c r="B30" s="80" t="s">
        <v>104</v>
      </c>
      <c r="C30" s="186" t="s">
        <v>35</v>
      </c>
      <c r="D30" s="39">
        <v>15010.6</v>
      </c>
      <c r="E30" s="39">
        <v>15010.6</v>
      </c>
      <c r="F30" s="95">
        <f t="shared" si="0"/>
        <v>0</v>
      </c>
      <c r="G30" s="155"/>
      <c r="H30" s="16">
        <f t="shared" si="1"/>
        <v>0</v>
      </c>
    </row>
    <row r="31" spans="1:16" x14ac:dyDescent="0.25">
      <c r="A31" s="94"/>
      <c r="B31" s="84" t="s">
        <v>61</v>
      </c>
      <c r="C31" s="186"/>
      <c r="D31" s="39"/>
      <c r="E31" s="39"/>
      <c r="F31" s="114">
        <f>SUM(F25:F30)</f>
        <v>0</v>
      </c>
      <c r="G31" s="164"/>
    </row>
    <row r="32" spans="1:16" x14ac:dyDescent="0.25">
      <c r="A32" s="115"/>
      <c r="B32" s="98" t="s">
        <v>70</v>
      </c>
      <c r="C32" s="116"/>
      <c r="D32" s="117"/>
      <c r="E32" s="117"/>
      <c r="F32" s="100">
        <v>460</v>
      </c>
      <c r="G32" s="157"/>
    </row>
    <row r="33" spans="1:7" x14ac:dyDescent="0.25">
      <c r="A33" s="115"/>
      <c r="B33" s="98" t="s">
        <v>71</v>
      </c>
      <c r="C33" s="116"/>
      <c r="D33" s="117"/>
      <c r="E33" s="117"/>
      <c r="F33" s="100">
        <v>560</v>
      </c>
      <c r="G33" s="157"/>
    </row>
    <row r="34" spans="1:7" x14ac:dyDescent="0.25">
      <c r="A34" s="115"/>
      <c r="B34" s="98" t="s">
        <v>72</v>
      </c>
      <c r="C34" s="116"/>
      <c r="D34" s="117"/>
      <c r="E34" s="117"/>
      <c r="F34" s="100">
        <v>640</v>
      </c>
      <c r="G34" s="157"/>
    </row>
    <row r="35" spans="1:7" x14ac:dyDescent="0.25">
      <c r="A35" s="115"/>
      <c r="B35" s="98" t="s">
        <v>73</v>
      </c>
      <c r="C35" s="116"/>
      <c r="D35" s="117"/>
      <c r="E35" s="117"/>
      <c r="F35" s="100">
        <f>SUM(F31-6000)*0.38</f>
        <v>-2280</v>
      </c>
      <c r="G35" s="157"/>
    </row>
    <row r="36" spans="1:7" x14ac:dyDescent="0.25">
      <c r="A36" s="115"/>
      <c r="B36" s="98" t="s">
        <v>74</v>
      </c>
      <c r="C36" s="116"/>
      <c r="D36" s="117"/>
      <c r="E36" s="117"/>
      <c r="F36" s="100">
        <f>F31*0.065</f>
        <v>0</v>
      </c>
      <c r="G36" s="157"/>
    </row>
    <row r="37" spans="1:7" x14ac:dyDescent="0.25">
      <c r="A37" s="115"/>
      <c r="B37" s="101" t="s">
        <v>60</v>
      </c>
      <c r="C37" s="187"/>
      <c r="D37" s="118"/>
      <c r="E37" s="118"/>
      <c r="F37" s="103">
        <f>SUM(F32:F36)</f>
        <v>-620</v>
      </c>
      <c r="G37" s="158">
        <v>281577</v>
      </c>
    </row>
    <row r="38" spans="1:7" x14ac:dyDescent="0.25">
      <c r="A38" s="92" t="s">
        <v>15</v>
      </c>
      <c r="B38" s="78" t="s">
        <v>16</v>
      </c>
      <c r="C38" s="186"/>
      <c r="D38" s="60"/>
      <c r="E38" s="60"/>
      <c r="F38" s="113"/>
      <c r="G38" s="163"/>
    </row>
    <row r="39" spans="1:7" x14ac:dyDescent="0.25">
      <c r="A39" s="94">
        <v>1</v>
      </c>
      <c r="B39" s="86" t="s">
        <v>17</v>
      </c>
      <c r="C39" s="87"/>
      <c r="D39" s="39"/>
      <c r="E39" s="39"/>
      <c r="F39" s="114"/>
      <c r="G39" s="164"/>
    </row>
    <row r="40" spans="1:7" x14ac:dyDescent="0.25">
      <c r="A40" s="94"/>
      <c r="B40" s="86"/>
      <c r="C40" s="119" t="s">
        <v>62</v>
      </c>
      <c r="D40" s="39">
        <v>89987.4</v>
      </c>
      <c r="E40" s="39">
        <v>89987.4</v>
      </c>
      <c r="F40" s="97">
        <f>E40-D40</f>
        <v>0</v>
      </c>
      <c r="G40" s="164"/>
    </row>
    <row r="41" spans="1:7" x14ac:dyDescent="0.25">
      <c r="A41" s="94"/>
      <c r="B41" s="86"/>
      <c r="C41" s="87" t="s">
        <v>97</v>
      </c>
      <c r="D41" s="39"/>
      <c r="E41" s="39"/>
      <c r="F41" s="90">
        <f>F40*3.7</f>
        <v>0</v>
      </c>
      <c r="G41" s="164"/>
    </row>
    <row r="42" spans="1:7" ht="15.75" thickBot="1" x14ac:dyDescent="0.3">
      <c r="A42" s="120"/>
      <c r="B42" s="121" t="s">
        <v>98</v>
      </c>
      <c r="C42" s="122"/>
      <c r="D42" s="123"/>
      <c r="E42" s="123"/>
      <c r="F42" s="190">
        <f>F41*2.5</f>
        <v>0</v>
      </c>
      <c r="G42" s="165">
        <v>13040</v>
      </c>
    </row>
    <row r="43" spans="1:7" ht="11.25" customHeight="1" x14ac:dyDescent="0.25">
      <c r="A43" s="17"/>
      <c r="B43" s="17"/>
      <c r="C43" s="18"/>
      <c r="D43" s="17"/>
      <c r="E43" s="17"/>
      <c r="F43" s="19"/>
      <c r="G43" s="19"/>
    </row>
    <row r="44" spans="1:7" ht="18.95" customHeight="1" x14ac:dyDescent="0.25">
      <c r="A44" s="3"/>
      <c r="B44" s="273" t="s">
        <v>20</v>
      </c>
      <c r="C44" s="273"/>
      <c r="D44" s="273"/>
      <c r="E44" s="273"/>
      <c r="F44" s="9"/>
      <c r="G44" s="9"/>
    </row>
    <row r="45" spans="1:7" ht="18.95" customHeight="1" x14ac:dyDescent="0.25">
      <c r="A45" s="3"/>
      <c r="B45" s="149" t="s">
        <v>21</v>
      </c>
      <c r="C45" s="149" t="s">
        <v>22</v>
      </c>
      <c r="D45" s="149" t="s">
        <v>23</v>
      </c>
      <c r="E45" s="149" t="s">
        <v>63</v>
      </c>
      <c r="F45" s="9"/>
      <c r="G45" s="9"/>
    </row>
    <row r="46" spans="1:7" x14ac:dyDescent="0.25">
      <c r="A46" s="17"/>
      <c r="B46" s="7" t="s">
        <v>25</v>
      </c>
      <c r="C46" s="7" t="s">
        <v>7</v>
      </c>
      <c r="D46" s="8">
        <f>F9</f>
        <v>0</v>
      </c>
      <c r="E46" s="23">
        <f>F12</f>
        <v>0</v>
      </c>
      <c r="F46" s="20"/>
      <c r="G46" s="20"/>
    </row>
    <row r="47" spans="1:7" x14ac:dyDescent="0.25">
      <c r="A47" s="17"/>
      <c r="B47" s="7" t="s">
        <v>26</v>
      </c>
      <c r="C47" s="7" t="s">
        <v>64</v>
      </c>
      <c r="D47" s="8">
        <f>F17</f>
        <v>0</v>
      </c>
      <c r="E47" s="23">
        <f>F23</f>
        <v>-170</v>
      </c>
      <c r="F47" s="20"/>
      <c r="G47" s="20"/>
    </row>
    <row r="48" spans="1:7" x14ac:dyDescent="0.25">
      <c r="A48" s="17"/>
      <c r="B48" s="7" t="s">
        <v>27</v>
      </c>
      <c r="C48" s="7" t="s">
        <v>65</v>
      </c>
      <c r="D48" s="8">
        <f>F31</f>
        <v>0</v>
      </c>
      <c r="E48" s="23">
        <f>F37</f>
        <v>-620</v>
      </c>
      <c r="F48" s="20"/>
      <c r="G48" s="20"/>
    </row>
    <row r="49" spans="1:7" x14ac:dyDescent="0.25">
      <c r="A49" s="17"/>
      <c r="B49" s="7" t="s">
        <v>28</v>
      </c>
      <c r="C49" s="119" t="s">
        <v>62</v>
      </c>
      <c r="D49" s="8">
        <f>F40</f>
        <v>0</v>
      </c>
      <c r="E49" s="23">
        <f>F42</f>
        <v>0</v>
      </c>
      <c r="F49" s="20"/>
      <c r="G49" s="20"/>
    </row>
    <row r="50" spans="1:7" ht="15.75" x14ac:dyDescent="0.25">
      <c r="A50" s="17"/>
      <c r="B50" s="1"/>
      <c r="C50" s="1"/>
      <c r="D50" s="124" t="s">
        <v>66</v>
      </c>
      <c r="E50" s="125">
        <f>SUM(E46:E49)</f>
        <v>-790</v>
      </c>
      <c r="F50" s="21"/>
      <c r="G50" s="21"/>
    </row>
  </sheetData>
  <mergeCells count="7">
    <mergeCell ref="B44:E44"/>
    <mergeCell ref="G5:G6"/>
    <mergeCell ref="F5:F6"/>
    <mergeCell ref="A1:G2"/>
    <mergeCell ref="A3:G3"/>
    <mergeCell ref="A4:B4"/>
    <mergeCell ref="F4:G4"/>
  </mergeCells>
  <hyperlinks>
    <hyperlink ref="N7" location="'1'!A1" display="1st" xr:uid="{C7103A31-84C8-4364-B1CE-C10722934D93}"/>
  </hyperlinks>
  <printOptions horizontalCentered="1"/>
  <pageMargins left="0.70866141732283472" right="0.70866141732283472" top="0.23622047244094491" bottom="3.937007874015748E-2" header="0.31496062992125984" footer="0.31496062992125984"/>
  <pageSetup paperSize="9" scale="70" orientation="landscape" r:id="rId1"/>
  <headerFooter>
    <oddHeader>&amp;R&amp;G</oddHead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U43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N37" sqref="N37"/>
    </sheetView>
  </sheetViews>
  <sheetFormatPr defaultRowHeight="15" x14ac:dyDescent="0.25"/>
  <cols>
    <col min="1" max="1" width="9.140625" style="10"/>
    <col min="2" max="2" width="17.28515625" style="10" customWidth="1"/>
    <col min="3" max="3" width="14.7109375" style="73" customWidth="1"/>
    <col min="4" max="4" width="8.7109375" style="10" hidden="1" customWidth="1"/>
    <col min="5" max="5" width="5.42578125" style="10" hidden="1" customWidth="1"/>
    <col min="6" max="6" width="6.5703125" style="10" hidden="1" customWidth="1"/>
    <col min="7" max="7" width="6.85546875" style="10" hidden="1" customWidth="1"/>
    <col min="8" max="13" width="12.7109375" customWidth="1"/>
    <col min="14" max="14" width="17.140625" style="15" customWidth="1"/>
    <col min="15" max="15" width="10.85546875" style="15" customWidth="1"/>
  </cols>
  <sheetData>
    <row r="1" spans="1:17" ht="25.5" customHeight="1" thickBot="1" x14ac:dyDescent="0.3">
      <c r="A1" s="291" t="s">
        <v>123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3"/>
      <c r="Q1" s="128" t="s">
        <v>75</v>
      </c>
    </row>
    <row r="2" spans="1:17" s="12" customFormat="1" ht="15.75" thickBot="1" x14ac:dyDescent="0.3">
      <c r="A2" s="210"/>
      <c r="B2" s="211" t="s">
        <v>109</v>
      </c>
      <c r="C2" s="303" t="s">
        <v>77</v>
      </c>
      <c r="D2" s="304"/>
      <c r="E2" s="304"/>
      <c r="F2" s="304"/>
      <c r="G2" s="305"/>
      <c r="H2" s="306" t="s">
        <v>76</v>
      </c>
      <c r="I2" s="307"/>
      <c r="J2" s="307"/>
      <c r="K2" s="307"/>
      <c r="L2" s="307"/>
      <c r="M2" s="307"/>
      <c r="N2" s="308" t="s">
        <v>108</v>
      </c>
      <c r="O2" s="294" t="s">
        <v>80</v>
      </c>
    </row>
    <row r="3" spans="1:17" s="12" customFormat="1" x14ac:dyDescent="0.25">
      <c r="A3" s="296" t="s">
        <v>46</v>
      </c>
      <c r="B3" s="212" t="s">
        <v>48</v>
      </c>
      <c r="C3" s="213" t="s">
        <v>30</v>
      </c>
      <c r="D3" s="299" t="s">
        <v>31</v>
      </c>
      <c r="E3" s="299"/>
      <c r="F3" s="299" t="s">
        <v>32</v>
      </c>
      <c r="G3" s="301"/>
      <c r="H3" s="214" t="s">
        <v>30</v>
      </c>
      <c r="I3" s="214" t="s">
        <v>31</v>
      </c>
      <c r="J3" s="214" t="s">
        <v>32</v>
      </c>
      <c r="K3" s="214" t="s">
        <v>52</v>
      </c>
      <c r="L3" s="214" t="s">
        <v>53</v>
      </c>
      <c r="M3" s="214" t="s">
        <v>54</v>
      </c>
      <c r="N3" s="309"/>
      <c r="O3" s="295"/>
    </row>
    <row r="4" spans="1:17" s="12" customFormat="1" x14ac:dyDescent="0.25">
      <c r="A4" s="297"/>
      <c r="B4" s="212" t="s">
        <v>51</v>
      </c>
      <c r="C4" s="215" t="s">
        <v>43</v>
      </c>
      <c r="D4" s="300" t="s">
        <v>44</v>
      </c>
      <c r="E4" s="300"/>
      <c r="F4" s="300" t="s">
        <v>45</v>
      </c>
      <c r="G4" s="302"/>
      <c r="H4" s="216">
        <v>6065253</v>
      </c>
      <c r="I4" s="216">
        <v>6065255</v>
      </c>
      <c r="J4" s="216">
        <v>6065259</v>
      </c>
      <c r="K4" s="216">
        <v>6065262</v>
      </c>
      <c r="L4" s="216">
        <v>6065269</v>
      </c>
      <c r="M4" s="216">
        <v>6065283</v>
      </c>
      <c r="N4" s="216" t="s">
        <v>50</v>
      </c>
      <c r="O4" s="217" t="s">
        <v>79</v>
      </c>
    </row>
    <row r="5" spans="1:17" s="12" customFormat="1" ht="15.75" thickBot="1" x14ac:dyDescent="0.3">
      <c r="A5" s="298"/>
      <c r="B5" s="218" t="s">
        <v>114</v>
      </c>
      <c r="C5" s="218" t="s">
        <v>114</v>
      </c>
      <c r="D5" s="218" t="s">
        <v>114</v>
      </c>
      <c r="E5" s="218" t="s">
        <v>114</v>
      </c>
      <c r="F5" s="218" t="s">
        <v>114</v>
      </c>
      <c r="G5" s="218" t="s">
        <v>114</v>
      </c>
      <c r="H5" s="218" t="s">
        <v>114</v>
      </c>
      <c r="I5" s="218" t="s">
        <v>114</v>
      </c>
      <c r="J5" s="218" t="s">
        <v>114</v>
      </c>
      <c r="K5" s="218" t="s">
        <v>114</v>
      </c>
      <c r="L5" s="218" t="s">
        <v>114</v>
      </c>
      <c r="M5" s="218" t="s">
        <v>114</v>
      </c>
      <c r="N5" s="218" t="s">
        <v>114</v>
      </c>
      <c r="O5" s="219" t="s">
        <v>81</v>
      </c>
    </row>
    <row r="6" spans="1:17" x14ac:dyDescent="0.25">
      <c r="A6" s="168">
        <v>1</v>
      </c>
      <c r="B6" s="169">
        <v>53476.800000000003</v>
      </c>
      <c r="C6" s="171">
        <v>203658</v>
      </c>
      <c r="D6" s="172"/>
      <c r="E6" s="172"/>
      <c r="F6" s="172"/>
      <c r="G6" s="170"/>
      <c r="H6" s="169">
        <v>6566.3</v>
      </c>
      <c r="I6" s="169">
        <v>3970.2</v>
      </c>
      <c r="J6" s="130">
        <v>4233.6000000000004</v>
      </c>
      <c r="K6" s="169">
        <v>2361.9</v>
      </c>
      <c r="L6" s="169">
        <v>5573.8</v>
      </c>
      <c r="M6" s="169">
        <v>15022.4</v>
      </c>
      <c r="N6" s="169">
        <v>90136.2</v>
      </c>
      <c r="O6" s="173">
        <v>60.83</v>
      </c>
      <c r="P6" s="133"/>
    </row>
    <row r="7" spans="1:17" x14ac:dyDescent="0.25">
      <c r="A7" s="127">
        <v>2</v>
      </c>
      <c r="B7" s="130">
        <v>53504.7</v>
      </c>
      <c r="C7" s="134">
        <v>203854</v>
      </c>
      <c r="D7" s="132"/>
      <c r="E7" s="132"/>
      <c r="F7" s="132"/>
      <c r="G7" s="131"/>
      <c r="H7" s="130">
        <v>6573.5</v>
      </c>
      <c r="I7" s="130">
        <v>3973.9</v>
      </c>
      <c r="J7" s="130">
        <v>4237.8999999999996</v>
      </c>
      <c r="K7" s="130">
        <v>2364.5</v>
      </c>
      <c r="L7" s="130">
        <v>5578.2</v>
      </c>
      <c r="M7" s="130">
        <v>15034</v>
      </c>
      <c r="N7" s="130">
        <v>90266</v>
      </c>
      <c r="O7" s="135">
        <v>55.07</v>
      </c>
      <c r="P7" s="133"/>
    </row>
    <row r="8" spans="1:17" x14ac:dyDescent="0.25">
      <c r="A8" s="127">
        <v>3</v>
      </c>
      <c r="B8" s="130">
        <v>53528.800000000003</v>
      </c>
      <c r="C8" s="134">
        <v>204020</v>
      </c>
      <c r="D8" s="132"/>
      <c r="E8" s="132"/>
      <c r="F8" s="132"/>
      <c r="G8" s="131"/>
      <c r="H8" s="130">
        <v>6580.4</v>
      </c>
      <c r="I8" s="130">
        <v>3977.7</v>
      </c>
      <c r="J8" s="130">
        <v>4242.1000000000004</v>
      </c>
      <c r="K8" s="130">
        <v>2367.1</v>
      </c>
      <c r="L8" s="130">
        <v>5582.6</v>
      </c>
      <c r="M8" s="130">
        <v>15045.3</v>
      </c>
      <c r="N8" s="130">
        <v>90385.8</v>
      </c>
      <c r="O8" s="135">
        <v>53.46</v>
      </c>
      <c r="P8" s="133"/>
    </row>
    <row r="9" spans="1:17" x14ac:dyDescent="0.25">
      <c r="A9" s="127">
        <v>4</v>
      </c>
      <c r="B9" s="130">
        <v>53551.3</v>
      </c>
      <c r="C9" s="134">
        <v>204191</v>
      </c>
      <c r="D9" s="132"/>
      <c r="E9" s="132"/>
      <c r="F9" s="132"/>
      <c r="G9" s="131"/>
      <c r="H9" s="130">
        <v>6587</v>
      </c>
      <c r="I9" s="130">
        <v>3981.4</v>
      </c>
      <c r="J9" s="130">
        <v>4246.5</v>
      </c>
      <c r="K9" s="130">
        <v>2369.6999999999998</v>
      </c>
      <c r="L9" s="130">
        <v>5587.1</v>
      </c>
      <c r="M9" s="130">
        <v>15055.6</v>
      </c>
      <c r="N9" s="130">
        <v>90508.7</v>
      </c>
      <c r="O9" s="135">
        <v>53.69</v>
      </c>
      <c r="P9" s="133"/>
    </row>
    <row r="10" spans="1:17" x14ac:dyDescent="0.25">
      <c r="A10" s="127">
        <v>5</v>
      </c>
      <c r="B10" s="130">
        <v>53573.8</v>
      </c>
      <c r="C10" s="134">
        <v>204310</v>
      </c>
      <c r="D10" s="132"/>
      <c r="E10" s="132"/>
      <c r="F10" s="132"/>
      <c r="G10" s="131"/>
      <c r="H10" s="130">
        <v>6593.6</v>
      </c>
      <c r="I10" s="130">
        <v>3985.1</v>
      </c>
      <c r="J10" s="130">
        <v>4251</v>
      </c>
      <c r="K10" s="130">
        <v>2372.3000000000002</v>
      </c>
      <c r="L10" s="130">
        <v>5591.5</v>
      </c>
      <c r="M10" s="130">
        <v>15066.2</v>
      </c>
      <c r="N10" s="130">
        <v>90630.9</v>
      </c>
      <c r="O10" s="135">
        <v>52.53</v>
      </c>
      <c r="P10" s="133"/>
    </row>
    <row r="11" spans="1:17" x14ac:dyDescent="0.25">
      <c r="A11" s="127">
        <v>6</v>
      </c>
      <c r="B11" s="130">
        <v>53595</v>
      </c>
      <c r="C11" s="134">
        <v>204530</v>
      </c>
      <c r="D11" s="132"/>
      <c r="E11" s="132"/>
      <c r="F11" s="132"/>
      <c r="G11" s="131"/>
      <c r="H11" s="130">
        <v>6600.3</v>
      </c>
      <c r="I11" s="130">
        <v>3988.8</v>
      </c>
      <c r="J11" s="130">
        <v>4255.5</v>
      </c>
      <c r="K11" s="130">
        <v>2374.9</v>
      </c>
      <c r="L11" s="130">
        <v>5595.9</v>
      </c>
      <c r="M11" s="130">
        <v>15077.2</v>
      </c>
      <c r="N11" s="130">
        <v>90753.1</v>
      </c>
      <c r="O11" s="135">
        <v>49.31</v>
      </c>
      <c r="P11" s="133"/>
    </row>
    <row r="12" spans="1:17" x14ac:dyDescent="0.25">
      <c r="A12" s="127">
        <v>7</v>
      </c>
      <c r="B12" s="130">
        <v>53616.2</v>
      </c>
      <c r="C12" s="134">
        <v>204766</v>
      </c>
      <c r="D12" s="132"/>
      <c r="E12" s="132"/>
      <c r="F12" s="132"/>
      <c r="G12" s="131"/>
      <c r="H12" s="130">
        <v>6607</v>
      </c>
      <c r="I12" s="130">
        <v>3992.4</v>
      </c>
      <c r="J12" s="130">
        <v>4260.2</v>
      </c>
      <c r="K12" s="130">
        <v>2377.9</v>
      </c>
      <c r="L12" s="130">
        <v>5600.4</v>
      </c>
      <c r="M12" s="130">
        <v>15089</v>
      </c>
      <c r="N12" s="130">
        <v>90872.5</v>
      </c>
      <c r="O12" s="135">
        <v>39.630000000000003</v>
      </c>
      <c r="P12" s="133"/>
    </row>
    <row r="13" spans="1:17" x14ac:dyDescent="0.25">
      <c r="A13" s="127">
        <v>8</v>
      </c>
      <c r="B13" s="130">
        <v>53635.199999999997</v>
      </c>
      <c r="C13" s="134">
        <v>204928</v>
      </c>
      <c r="D13" s="132"/>
      <c r="E13" s="132"/>
      <c r="F13" s="132"/>
      <c r="G13" s="131"/>
      <c r="H13" s="130">
        <v>6613.7</v>
      </c>
      <c r="I13" s="130">
        <v>3995.9</v>
      </c>
      <c r="J13" s="130">
        <v>4264.8</v>
      </c>
      <c r="K13" s="130">
        <v>2380.4</v>
      </c>
      <c r="L13" s="130">
        <v>5604.7</v>
      </c>
      <c r="M13" s="130">
        <v>15100.2</v>
      </c>
      <c r="N13" s="130">
        <v>90985.8</v>
      </c>
      <c r="O13" s="135">
        <v>70.97</v>
      </c>
      <c r="P13" s="133"/>
    </row>
    <row r="14" spans="1:17" x14ac:dyDescent="0.25">
      <c r="A14" s="127">
        <v>9</v>
      </c>
      <c r="B14" s="130">
        <v>53656</v>
      </c>
      <c r="C14" s="134">
        <v>205059</v>
      </c>
      <c r="D14" s="132"/>
      <c r="E14" s="132"/>
      <c r="F14" s="132"/>
      <c r="G14" s="131"/>
      <c r="H14" s="130">
        <v>6620.5</v>
      </c>
      <c r="I14" s="130">
        <v>3999.6</v>
      </c>
      <c r="J14" s="130">
        <v>4269.3999999999996</v>
      </c>
      <c r="K14" s="130">
        <v>2383.1</v>
      </c>
      <c r="L14" s="130">
        <v>5609.1</v>
      </c>
      <c r="M14" s="130">
        <v>15111.3</v>
      </c>
      <c r="N14" s="130">
        <v>91106</v>
      </c>
      <c r="O14" s="135">
        <v>79.260000000000005</v>
      </c>
      <c r="P14" s="133"/>
    </row>
    <row r="15" spans="1:17" x14ac:dyDescent="0.25">
      <c r="A15" s="127">
        <v>10</v>
      </c>
      <c r="B15" s="130">
        <v>53676.9</v>
      </c>
      <c r="C15" s="134">
        <v>205282</v>
      </c>
      <c r="D15" s="132"/>
      <c r="E15" s="132"/>
      <c r="F15" s="132"/>
      <c r="G15" s="131"/>
      <c r="H15" s="130">
        <v>6627.3</v>
      </c>
      <c r="I15" s="130">
        <v>4003.7</v>
      </c>
      <c r="J15" s="130">
        <v>4274.1000000000004</v>
      </c>
      <c r="K15" s="130">
        <v>2385.9</v>
      </c>
      <c r="L15" s="130">
        <v>5613.5</v>
      </c>
      <c r="M15" s="130">
        <v>15122.2</v>
      </c>
      <c r="N15" s="130">
        <v>91234</v>
      </c>
      <c r="O15" s="135">
        <v>86.67</v>
      </c>
      <c r="P15" s="133"/>
    </row>
    <row r="16" spans="1:17" x14ac:dyDescent="0.25">
      <c r="A16" s="127">
        <v>11</v>
      </c>
      <c r="B16" s="130">
        <v>53697.4</v>
      </c>
      <c r="C16" s="134">
        <v>205368</v>
      </c>
      <c r="D16" s="132"/>
      <c r="E16" s="132"/>
      <c r="F16" s="132"/>
      <c r="G16" s="131"/>
      <c r="H16" s="130">
        <v>6634.1</v>
      </c>
      <c r="I16" s="130">
        <v>4007.7</v>
      </c>
      <c r="J16" s="130">
        <v>4278.7</v>
      </c>
      <c r="K16" s="130">
        <v>2388.6</v>
      </c>
      <c r="L16" s="130">
        <v>5618</v>
      </c>
      <c r="M16" s="130">
        <v>15133.3</v>
      </c>
      <c r="N16" s="130">
        <v>91341.5</v>
      </c>
      <c r="O16" s="135">
        <v>69.819999999999993</v>
      </c>
      <c r="P16" s="133"/>
    </row>
    <row r="17" spans="1:21" x14ac:dyDescent="0.25">
      <c r="A17" s="127">
        <v>12</v>
      </c>
      <c r="B17" s="130">
        <v>53716.2</v>
      </c>
      <c r="C17" s="134">
        <v>205672</v>
      </c>
      <c r="D17" s="132"/>
      <c r="E17" s="132"/>
      <c r="F17" s="132"/>
      <c r="G17" s="131"/>
      <c r="H17" s="130">
        <v>6641.2</v>
      </c>
      <c r="I17" s="130">
        <v>4011.6</v>
      </c>
      <c r="J17" s="130">
        <v>4283.5</v>
      </c>
      <c r="K17" s="130">
        <v>2391.4</v>
      </c>
      <c r="L17" s="130">
        <v>5622.5</v>
      </c>
      <c r="M17" s="130">
        <v>15144.6</v>
      </c>
      <c r="N17" s="130">
        <v>91517.7</v>
      </c>
      <c r="O17" s="135">
        <v>55.99</v>
      </c>
      <c r="P17" s="133"/>
    </row>
    <row r="18" spans="1:21" x14ac:dyDescent="0.25">
      <c r="A18" s="127">
        <v>13</v>
      </c>
      <c r="B18" s="130">
        <v>53734.8</v>
      </c>
      <c r="C18" s="134">
        <v>205925</v>
      </c>
      <c r="D18" s="132"/>
      <c r="E18" s="132"/>
      <c r="F18" s="132"/>
      <c r="G18" s="131"/>
      <c r="H18" s="130">
        <v>6648.4</v>
      </c>
      <c r="I18" s="130">
        <v>4015.4</v>
      </c>
      <c r="J18" s="130">
        <v>4288.3999999999996</v>
      </c>
      <c r="K18" s="130">
        <v>2394.1999999999998</v>
      </c>
      <c r="L18" s="130">
        <v>5627.1</v>
      </c>
      <c r="M18" s="130">
        <v>15156</v>
      </c>
      <c r="N18" s="130">
        <v>91677.1</v>
      </c>
      <c r="O18" s="135">
        <v>44.24</v>
      </c>
      <c r="P18" s="133"/>
    </row>
    <row r="19" spans="1:21" x14ac:dyDescent="0.25">
      <c r="A19" s="127">
        <v>14</v>
      </c>
      <c r="B19" s="130">
        <v>53753.3</v>
      </c>
      <c r="C19" s="134">
        <v>206117</v>
      </c>
      <c r="D19" s="132"/>
      <c r="E19" s="132"/>
      <c r="F19" s="132"/>
      <c r="G19" s="131"/>
      <c r="H19" s="130">
        <v>6655.3</v>
      </c>
      <c r="I19" s="130">
        <v>4018.9</v>
      </c>
      <c r="J19" s="130">
        <v>4293</v>
      </c>
      <c r="K19" s="130">
        <v>2396.9</v>
      </c>
      <c r="L19" s="130">
        <v>5631.5</v>
      </c>
      <c r="M19" s="130">
        <v>15166.7</v>
      </c>
      <c r="N19" s="130">
        <v>91814.2</v>
      </c>
      <c r="O19" s="135">
        <v>52.07</v>
      </c>
      <c r="P19" s="133"/>
    </row>
    <row r="20" spans="1:21" x14ac:dyDescent="0.25">
      <c r="A20" s="127">
        <v>15</v>
      </c>
      <c r="B20" s="130">
        <v>53772.3</v>
      </c>
      <c r="C20" s="134">
        <v>206290</v>
      </c>
      <c r="D20" s="132"/>
      <c r="E20" s="132"/>
      <c r="F20" s="132"/>
      <c r="G20" s="131"/>
      <c r="H20" s="130">
        <v>6662</v>
      </c>
      <c r="I20" s="130">
        <v>4022.85</v>
      </c>
      <c r="J20" s="130">
        <v>4297.3</v>
      </c>
      <c r="K20" s="130">
        <v>2399.5</v>
      </c>
      <c r="L20" s="130">
        <v>5635.9</v>
      </c>
      <c r="M20" s="130">
        <v>15176.3</v>
      </c>
      <c r="N20" s="130">
        <v>91928.7</v>
      </c>
      <c r="O20" s="135">
        <v>82.72</v>
      </c>
      <c r="P20" s="133"/>
      <c r="Q20" s="133"/>
    </row>
    <row r="21" spans="1:21" x14ac:dyDescent="0.25">
      <c r="A21" s="127">
        <v>16</v>
      </c>
      <c r="B21" s="130">
        <v>53791.7</v>
      </c>
      <c r="C21" s="134">
        <v>206462</v>
      </c>
      <c r="D21" s="132"/>
      <c r="E21" s="132"/>
      <c r="F21" s="132"/>
      <c r="G21" s="131"/>
      <c r="H21" s="130">
        <v>6668.7</v>
      </c>
      <c r="I21" s="130">
        <v>4026.3</v>
      </c>
      <c r="J21" s="130">
        <v>4301.7</v>
      </c>
      <c r="K21" s="130">
        <v>2402.1999999999998</v>
      </c>
      <c r="L21" s="130">
        <v>5640.4</v>
      </c>
      <c r="M21" s="130">
        <v>15185.6</v>
      </c>
      <c r="N21" s="130">
        <v>92046</v>
      </c>
      <c r="O21" s="135">
        <v>98.16</v>
      </c>
      <c r="P21" s="133"/>
      <c r="Q21" s="133"/>
    </row>
    <row r="22" spans="1:21" x14ac:dyDescent="0.25">
      <c r="A22" s="127">
        <v>17</v>
      </c>
      <c r="B22" s="130">
        <v>53814.5</v>
      </c>
      <c r="C22" s="134">
        <v>206662</v>
      </c>
      <c r="D22" s="132"/>
      <c r="E22" s="132"/>
      <c r="F22" s="132"/>
      <c r="G22" s="131"/>
      <c r="H22" s="130">
        <v>6675.6</v>
      </c>
      <c r="I22" s="130">
        <v>4030.3</v>
      </c>
      <c r="J22" s="130">
        <v>4305.8</v>
      </c>
      <c r="K22" s="130">
        <v>2405.1</v>
      </c>
      <c r="L22" s="130">
        <v>5644.9</v>
      </c>
      <c r="M22" s="130">
        <v>15194.6</v>
      </c>
      <c r="N22" s="130">
        <v>92194.2</v>
      </c>
      <c r="O22" s="135">
        <v>99.08</v>
      </c>
      <c r="P22" s="133"/>
      <c r="Q22" s="133"/>
    </row>
    <row r="23" spans="1:21" x14ac:dyDescent="0.25">
      <c r="A23" s="127">
        <v>18</v>
      </c>
      <c r="B23" s="130">
        <v>53836.1</v>
      </c>
      <c r="C23" s="134">
        <v>206868</v>
      </c>
      <c r="D23" s="132"/>
      <c r="E23" s="132"/>
      <c r="F23" s="132"/>
      <c r="G23" s="131"/>
      <c r="H23" s="130">
        <v>6682.5</v>
      </c>
      <c r="I23" s="130">
        <v>4034.2</v>
      </c>
      <c r="J23" s="130">
        <v>4310.3999999999996</v>
      </c>
      <c r="K23" s="130">
        <v>2407.9</v>
      </c>
      <c r="L23" s="130">
        <v>5649.4</v>
      </c>
      <c r="M23" s="130">
        <v>15204</v>
      </c>
      <c r="N23" s="130">
        <v>92341.5</v>
      </c>
      <c r="O23" s="135">
        <v>86.64</v>
      </c>
      <c r="P23" s="129"/>
      <c r="Q23" s="129"/>
    </row>
    <row r="24" spans="1:21" x14ac:dyDescent="0.25">
      <c r="A24" s="127">
        <v>19</v>
      </c>
      <c r="B24" s="130">
        <v>53856.4</v>
      </c>
      <c r="C24" s="134">
        <v>207060</v>
      </c>
      <c r="D24" s="132"/>
      <c r="E24" s="132"/>
      <c r="F24" s="132"/>
      <c r="G24" s="131"/>
      <c r="H24" s="130">
        <v>6689.3</v>
      </c>
      <c r="I24" s="130">
        <v>4038.2</v>
      </c>
      <c r="J24" s="130">
        <v>4314.8999999999996</v>
      </c>
      <c r="K24" s="130">
        <v>2410.9</v>
      </c>
      <c r="L24" s="130">
        <v>5653.9</v>
      </c>
      <c r="M24" s="130">
        <v>15214</v>
      </c>
      <c r="N24" s="130">
        <v>92486.1</v>
      </c>
      <c r="O24" s="135">
        <v>71.89</v>
      </c>
      <c r="P24" s="133"/>
      <c r="Q24" s="133"/>
    </row>
    <row r="25" spans="1:21" x14ac:dyDescent="0.25">
      <c r="A25" s="127">
        <v>20</v>
      </c>
      <c r="B25" s="130">
        <v>53877.3</v>
      </c>
      <c r="C25" s="134">
        <v>207241</v>
      </c>
      <c r="D25" s="132"/>
      <c r="E25" s="132"/>
      <c r="F25" s="132"/>
      <c r="G25" s="131"/>
      <c r="H25" s="130">
        <v>6696.6</v>
      </c>
      <c r="I25" s="130">
        <v>4042.2</v>
      </c>
      <c r="J25" s="130">
        <v>4319.3</v>
      </c>
      <c r="K25" s="130">
        <v>2413.6999999999998</v>
      </c>
      <c r="L25" s="130">
        <v>5658.4</v>
      </c>
      <c r="M25" s="130">
        <v>15225.5</v>
      </c>
      <c r="N25" s="130">
        <v>92625.4</v>
      </c>
      <c r="O25" s="135">
        <v>65.44</v>
      </c>
      <c r="P25" s="133"/>
      <c r="Q25" s="133"/>
    </row>
    <row r="26" spans="1:21" x14ac:dyDescent="0.25">
      <c r="A26" s="127">
        <v>21</v>
      </c>
      <c r="B26" s="130">
        <v>53898.5</v>
      </c>
      <c r="C26" s="134">
        <v>207416</v>
      </c>
      <c r="D26" s="132"/>
      <c r="E26" s="132"/>
      <c r="F26" s="132"/>
      <c r="G26" s="131"/>
      <c r="H26" s="130">
        <v>6703.7</v>
      </c>
      <c r="I26" s="130">
        <v>4046</v>
      </c>
      <c r="J26" s="130">
        <v>4323.7</v>
      </c>
      <c r="K26" s="130">
        <v>2416.6</v>
      </c>
      <c r="L26" s="130">
        <v>5663</v>
      </c>
      <c r="M26" s="130">
        <v>15237.4</v>
      </c>
      <c r="N26" s="130">
        <v>92758.399999999994</v>
      </c>
      <c r="O26" s="135">
        <v>67.739999999999995</v>
      </c>
      <c r="P26" s="133"/>
      <c r="Q26" s="133"/>
    </row>
    <row r="27" spans="1:21" x14ac:dyDescent="0.25">
      <c r="A27" s="127">
        <v>22</v>
      </c>
      <c r="B27" s="130">
        <v>53918.400000000001</v>
      </c>
      <c r="C27" s="134">
        <v>207537</v>
      </c>
      <c r="D27" s="132"/>
      <c r="E27" s="132"/>
      <c r="F27" s="132"/>
      <c r="G27" s="131"/>
      <c r="H27" s="130">
        <v>6710.5</v>
      </c>
      <c r="I27" s="130">
        <v>4049.8</v>
      </c>
      <c r="J27" s="130">
        <v>4328.1000000000004</v>
      </c>
      <c r="K27" s="130">
        <v>2419.3000000000002</v>
      </c>
      <c r="L27" s="130">
        <v>5667.4</v>
      </c>
      <c r="M27" s="130">
        <v>15248.9</v>
      </c>
      <c r="N27" s="130">
        <v>92881.5</v>
      </c>
      <c r="O27" s="135">
        <v>80.180000000000007</v>
      </c>
      <c r="P27" s="133"/>
      <c r="Q27" s="133"/>
    </row>
    <row r="28" spans="1:21" x14ac:dyDescent="0.25">
      <c r="A28" s="127">
        <v>23</v>
      </c>
      <c r="B28" s="130">
        <v>53939.1</v>
      </c>
      <c r="C28" s="134">
        <v>207739</v>
      </c>
      <c r="D28" s="132"/>
      <c r="E28" s="132"/>
      <c r="F28" s="132"/>
      <c r="G28" s="131"/>
      <c r="H28" s="130">
        <v>6717.5</v>
      </c>
      <c r="I28" s="130">
        <v>4053.8</v>
      </c>
      <c r="J28" s="130">
        <v>4332.3999999999996</v>
      </c>
      <c r="K28" s="130">
        <v>2422.1</v>
      </c>
      <c r="L28" s="130">
        <v>5671.9</v>
      </c>
      <c r="M28" s="130">
        <v>15260.8</v>
      </c>
      <c r="N28" s="130">
        <v>93014.8</v>
      </c>
      <c r="O28" s="135">
        <v>82.26</v>
      </c>
      <c r="P28" s="133"/>
      <c r="Q28" s="133"/>
    </row>
    <row r="29" spans="1:21" x14ac:dyDescent="0.25">
      <c r="A29" s="127">
        <v>24</v>
      </c>
      <c r="B29" s="130">
        <v>53960.7</v>
      </c>
      <c r="C29" s="134">
        <v>207921</v>
      </c>
      <c r="D29" s="132"/>
      <c r="E29" s="132"/>
      <c r="F29" s="132"/>
      <c r="G29" s="131"/>
      <c r="H29" s="130">
        <v>6724.5</v>
      </c>
      <c r="I29" s="130">
        <v>4058</v>
      </c>
      <c r="J29" s="130">
        <v>4336.8999999999996</v>
      </c>
      <c r="K29" s="130">
        <v>2425.3000000000002</v>
      </c>
      <c r="L29" s="130">
        <v>5676.5</v>
      </c>
      <c r="M29" s="130">
        <v>15272.9</v>
      </c>
      <c r="N29" s="130">
        <v>93151.1</v>
      </c>
      <c r="O29" s="135">
        <v>84.56</v>
      </c>
      <c r="P29" s="174"/>
      <c r="Q29" s="133"/>
    </row>
    <row r="30" spans="1:21" x14ac:dyDescent="0.25">
      <c r="A30" s="127">
        <v>25</v>
      </c>
      <c r="B30" s="130">
        <v>53979.8</v>
      </c>
      <c r="C30" s="134">
        <v>208093</v>
      </c>
      <c r="D30" s="130"/>
      <c r="E30" s="130"/>
      <c r="F30" s="130"/>
      <c r="G30" s="130"/>
      <c r="H30" s="130">
        <v>6731.5</v>
      </c>
      <c r="I30" s="130">
        <v>4062.2</v>
      </c>
      <c r="J30" s="130">
        <v>4341.3999999999996</v>
      </c>
      <c r="K30" s="130">
        <v>2428.3000000000002</v>
      </c>
      <c r="L30" s="130">
        <v>5681</v>
      </c>
      <c r="M30" s="130">
        <v>15284.7</v>
      </c>
      <c r="N30" s="130">
        <v>93278.7</v>
      </c>
      <c r="O30" s="135">
        <v>93.78</v>
      </c>
      <c r="P30" s="209"/>
      <c r="Q30" s="209"/>
      <c r="R30" s="133"/>
      <c r="S30" s="133"/>
      <c r="T30" s="133"/>
      <c r="U30" s="133"/>
    </row>
    <row r="31" spans="1:21" x14ac:dyDescent="0.25">
      <c r="A31" s="127">
        <v>26</v>
      </c>
      <c r="B31" s="130">
        <v>54000.1</v>
      </c>
      <c r="C31" s="134">
        <v>208262</v>
      </c>
      <c r="D31" s="130"/>
      <c r="E31" s="130"/>
      <c r="F31" s="130"/>
      <c r="G31" s="130"/>
      <c r="H31" s="130">
        <v>6738.4</v>
      </c>
      <c r="I31" s="130">
        <v>4066.3</v>
      </c>
      <c r="J31" s="130">
        <v>4345.8</v>
      </c>
      <c r="K31" s="130">
        <v>2431.4</v>
      </c>
      <c r="L31" s="130">
        <v>5685.5</v>
      </c>
      <c r="M31" s="130">
        <v>15296.5</v>
      </c>
      <c r="N31" s="130">
        <v>93412.3</v>
      </c>
      <c r="O31" s="135">
        <v>90</v>
      </c>
      <c r="P31" s="133"/>
      <c r="Q31" s="133"/>
      <c r="R31" s="133"/>
      <c r="S31" s="133"/>
      <c r="T31" s="133"/>
      <c r="U31" s="133"/>
    </row>
    <row r="32" spans="1:21" x14ac:dyDescent="0.25">
      <c r="A32" s="127">
        <v>27</v>
      </c>
      <c r="B32" s="130">
        <v>54021.5</v>
      </c>
      <c r="C32" s="134">
        <v>208408</v>
      </c>
      <c r="D32" s="130"/>
      <c r="E32" s="130"/>
      <c r="F32" s="130"/>
      <c r="G32" s="130"/>
      <c r="H32" s="130">
        <v>6745.3</v>
      </c>
      <c r="I32" s="130">
        <v>4070.5</v>
      </c>
      <c r="J32" s="130">
        <v>4350.6000000000004</v>
      </c>
      <c r="K32" s="130">
        <v>2434.6</v>
      </c>
      <c r="L32" s="130">
        <v>5690.2</v>
      </c>
      <c r="M32" s="130">
        <v>15308.4</v>
      </c>
      <c r="N32" s="130">
        <v>93564.800000000003</v>
      </c>
      <c r="O32" s="135">
        <v>82</v>
      </c>
      <c r="P32" s="133"/>
      <c r="Q32" s="133"/>
      <c r="R32" s="133"/>
      <c r="S32" s="133"/>
      <c r="T32" s="133"/>
      <c r="U32" s="133"/>
    </row>
    <row r="33" spans="1:17" x14ac:dyDescent="0.25">
      <c r="A33" s="127">
        <v>28</v>
      </c>
      <c r="B33" s="130">
        <v>54045.1</v>
      </c>
      <c r="C33" s="134">
        <v>208607</v>
      </c>
      <c r="D33" s="130"/>
      <c r="E33" s="130"/>
      <c r="F33" s="130"/>
      <c r="G33" s="130"/>
      <c r="H33" s="130">
        <v>6752.4</v>
      </c>
      <c r="I33" s="130">
        <v>4074.5</v>
      </c>
      <c r="J33" s="130">
        <v>4355</v>
      </c>
      <c r="K33" s="130">
        <v>2437.8000000000002</v>
      </c>
      <c r="L33" s="130">
        <v>5694.7</v>
      </c>
      <c r="M33" s="130">
        <v>15320.2</v>
      </c>
      <c r="N33" s="130">
        <v>93717</v>
      </c>
      <c r="O33" s="135">
        <v>92</v>
      </c>
      <c r="P33" s="133"/>
      <c r="Q33" s="133"/>
    </row>
    <row r="34" spans="1:17" x14ac:dyDescent="0.25">
      <c r="A34" s="127">
        <v>29</v>
      </c>
      <c r="B34" s="130">
        <v>54067.8</v>
      </c>
      <c r="C34" s="134">
        <v>208861</v>
      </c>
      <c r="D34" s="130"/>
      <c r="E34" s="130"/>
      <c r="F34" s="130"/>
      <c r="G34" s="130"/>
      <c r="H34" s="130">
        <v>6759.3</v>
      </c>
      <c r="I34" s="130">
        <v>4078.2</v>
      </c>
      <c r="J34" s="130">
        <v>4359.3</v>
      </c>
      <c r="K34" s="130">
        <v>2440.6</v>
      </c>
      <c r="L34" s="130">
        <v>5699.2</v>
      </c>
      <c r="M34" s="130">
        <v>15332</v>
      </c>
      <c r="N34" s="130">
        <v>93851.9</v>
      </c>
      <c r="O34" s="135">
        <v>89</v>
      </c>
      <c r="P34" s="133"/>
      <c r="Q34" s="133"/>
    </row>
    <row r="35" spans="1:17" x14ac:dyDescent="0.25">
      <c r="A35" s="127">
        <v>30</v>
      </c>
      <c r="B35" s="130">
        <v>54087.8</v>
      </c>
      <c r="C35" s="134">
        <v>208995</v>
      </c>
      <c r="D35" s="130"/>
      <c r="E35" s="130"/>
      <c r="F35" s="130"/>
      <c r="G35" s="130"/>
      <c r="H35" s="130">
        <v>6766.4</v>
      </c>
      <c r="I35" s="130">
        <v>4082.3</v>
      </c>
      <c r="J35" s="130">
        <v>4364.1000000000004</v>
      </c>
      <c r="K35" s="130">
        <v>2443.5</v>
      </c>
      <c r="L35" s="130">
        <v>5703.8</v>
      </c>
      <c r="M35" s="130">
        <v>15343.9</v>
      </c>
      <c r="N35" s="130">
        <v>93986.8</v>
      </c>
      <c r="O35" s="135">
        <v>98</v>
      </c>
      <c r="P35" s="133"/>
      <c r="Q35" s="133"/>
    </row>
    <row r="36" spans="1:17" x14ac:dyDescent="0.25">
      <c r="A36" s="238">
        <v>31</v>
      </c>
      <c r="B36" s="239">
        <v>54109.9</v>
      </c>
      <c r="C36" s="240">
        <v>209263</v>
      </c>
      <c r="D36" s="239"/>
      <c r="E36" s="239"/>
      <c r="F36" s="239"/>
      <c r="G36" s="239"/>
      <c r="H36" s="239">
        <v>6773</v>
      </c>
      <c r="I36" s="239">
        <v>4086.5</v>
      </c>
      <c r="J36" s="239">
        <v>4368.5</v>
      </c>
      <c r="K36" s="239">
        <v>2446.3000000000002</v>
      </c>
      <c r="L36" s="239">
        <v>5708.3</v>
      </c>
      <c r="M36" s="239">
        <v>15355.7</v>
      </c>
      <c r="N36" s="239">
        <v>94132.3</v>
      </c>
      <c r="O36" s="241">
        <v>95</v>
      </c>
      <c r="P36" s="133"/>
      <c r="Q36" s="133"/>
    </row>
    <row r="37" spans="1:17" ht="15.75" customHeight="1" thickBot="1" x14ac:dyDescent="0.3">
      <c r="A37" s="220"/>
      <c r="B37" s="194"/>
      <c r="C37" s="234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5">
        <f>AVERAGE(O6:O36)</f>
        <v>73.612580645161302</v>
      </c>
      <c r="P37" s="133"/>
      <c r="Q37" s="133"/>
    </row>
    <row r="38" spans="1:17" x14ac:dyDescent="0.25">
      <c r="A38" s="175"/>
      <c r="B38" s="175"/>
      <c r="C38" s="176"/>
      <c r="D38" s="175"/>
      <c r="E38" s="175"/>
      <c r="F38" s="175"/>
      <c r="G38" s="175"/>
      <c r="H38" s="133"/>
      <c r="I38" s="133"/>
      <c r="J38" s="133"/>
      <c r="K38" s="133"/>
      <c r="L38" s="133"/>
      <c r="M38" s="133"/>
      <c r="N38" s="177"/>
      <c r="O38" s="177"/>
      <c r="P38" s="133"/>
      <c r="Q38" t="s">
        <v>91</v>
      </c>
    </row>
    <row r="39" spans="1:17" x14ac:dyDescent="0.25">
      <c r="A39" s="175"/>
      <c r="B39" s="175"/>
      <c r="C39" s="176"/>
      <c r="D39" s="175"/>
      <c r="E39" s="175"/>
      <c r="F39" s="175"/>
      <c r="G39" s="175"/>
      <c r="H39" s="133"/>
      <c r="I39" s="133"/>
      <c r="J39" s="133"/>
      <c r="K39" s="133"/>
      <c r="L39" s="133"/>
      <c r="M39" s="133"/>
      <c r="N39" s="177"/>
      <c r="O39" s="177"/>
      <c r="P39" s="133"/>
    </row>
    <row r="40" spans="1:17" x14ac:dyDescent="0.25">
      <c r="A40" s="175"/>
      <c r="B40" s="175"/>
      <c r="C40" s="176"/>
      <c r="D40" s="175"/>
      <c r="E40" s="175"/>
      <c r="F40" s="175"/>
      <c r="G40" s="175"/>
      <c r="H40" s="133"/>
      <c r="I40" s="133"/>
      <c r="J40" s="133"/>
      <c r="K40" s="133"/>
      <c r="L40" s="133"/>
      <c r="M40" s="133"/>
      <c r="N40" s="177"/>
      <c r="O40" s="177"/>
      <c r="P40" s="133"/>
    </row>
    <row r="41" spans="1:17" x14ac:dyDescent="0.25">
      <c r="A41" s="175"/>
      <c r="B41" s="175"/>
      <c r="C41" s="176"/>
      <c r="D41" s="175"/>
      <c r="E41" s="175"/>
      <c r="F41" s="175"/>
      <c r="G41" s="175"/>
      <c r="H41" s="133"/>
      <c r="I41" s="133"/>
      <c r="J41" s="133"/>
      <c r="K41" s="133"/>
      <c r="L41" s="133"/>
      <c r="M41" s="133"/>
      <c r="N41" s="177"/>
      <c r="O41" s="177"/>
      <c r="P41" s="133"/>
    </row>
    <row r="42" spans="1:17" x14ac:dyDescent="0.25">
      <c r="A42" s="175"/>
      <c r="B42" s="175"/>
      <c r="C42" s="176"/>
      <c r="D42" s="175"/>
      <c r="E42" s="175"/>
      <c r="F42" s="175"/>
      <c r="G42" s="175"/>
      <c r="H42" s="133"/>
      <c r="I42" s="133"/>
      <c r="J42" s="133"/>
      <c r="K42" s="133"/>
      <c r="L42" s="133"/>
      <c r="M42" s="133"/>
      <c r="N42" s="177"/>
      <c r="O42" s="177"/>
      <c r="P42" s="133"/>
    </row>
    <row r="43" spans="1:17" x14ac:dyDescent="0.25">
      <c r="A43" s="175"/>
      <c r="B43" s="175"/>
      <c r="C43" s="176"/>
      <c r="D43" s="175"/>
      <c r="E43" s="175"/>
      <c r="F43" s="175"/>
      <c r="G43" s="175"/>
      <c r="H43" s="133"/>
      <c r="I43" s="133"/>
      <c r="J43" s="133"/>
      <c r="K43" s="133"/>
      <c r="L43" s="133"/>
      <c r="M43" s="133"/>
      <c r="N43" s="177"/>
      <c r="O43" s="177"/>
      <c r="P43" s="133"/>
    </row>
  </sheetData>
  <mergeCells count="10">
    <mergeCell ref="A1:O1"/>
    <mergeCell ref="O2:O3"/>
    <mergeCell ref="A3:A5"/>
    <mergeCell ref="D3:E3"/>
    <mergeCell ref="D4:E4"/>
    <mergeCell ref="F3:G3"/>
    <mergeCell ref="F4:G4"/>
    <mergeCell ref="C2:G2"/>
    <mergeCell ref="H2:M2"/>
    <mergeCell ref="N2:N3"/>
  </mergeCells>
  <hyperlinks>
    <hyperlink ref="Q1" location="'1'!A1" display="1st" xr:uid="{CF64F929-591D-467E-A648-18EA8D5C1FF6}"/>
  </hyperlinks>
  <printOptions horizontalCentered="1"/>
  <pageMargins left="0" right="0" top="0.74803149606299213" bottom="0.74803149606299213" header="0.31496062992125984" footer="0.31496062992125984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</vt:i4>
      </vt:variant>
    </vt:vector>
  </HeadingPairs>
  <TitlesOfParts>
    <vt:vector size="37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dec. 19 to jan. 19</vt:lpstr>
      <vt:lpstr>jan. 1 to 31</vt:lpstr>
      <vt:lpstr>Daily Meter</vt:lpstr>
      <vt:lpstr>'Daily Meter'!Print_Area</vt:lpstr>
      <vt:lpstr>'dec. 19 to jan. 19'!Print_Area</vt:lpstr>
      <vt:lpstr>'jan. 1 to 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2024-01-31T13:23:48Z</dcterms:modified>
</cp:coreProperties>
</file>