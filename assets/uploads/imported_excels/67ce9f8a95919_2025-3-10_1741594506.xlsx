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5AF07EBF-C112-4E3B-911A-7BE94A3DA1E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  <c r="E32" i="3"/>
  <c r="AB31" i="2"/>
  <c r="AB30" i="2"/>
  <c r="W31" i="2"/>
  <c r="W30" i="2"/>
  <c r="E31" i="2"/>
  <c r="E30" i="2"/>
  <c r="C31" i="2"/>
  <c r="F31" i="3" s="1"/>
  <c r="C30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U28" i="2" s="1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1" i="2" l="1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<sst xmlns="http://schemas.openxmlformats.org/spreadsheetml/2006/main" count="77" uniqueCount="40">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</sst>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1"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0</v>
      </c>
      <c r="P7" s="100">
        <f>'March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0</v>
      </c>
      <c r="P8" s="100">
        <f>'March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0</v>
      </c>
      <c r="P9" s="100">
        <f>'March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0</v>
      </c>
      <c r="P10" s="100">
        <f>'March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0</v>
      </c>
      <c r="F11" s="110" t="e">
        <f>('March 2025'!C11*0.27)/('March 2025'!C11+'March 2025'!E11)</f>
        <v>#DIV/0!</v>
      </c>
      <c r="G11" s="97">
        <f>'March 2025'!U11</f>
        <v>4795</v>
      </c>
      <c r="H11" s="113">
        <v>0.62</v>
      </c>
      <c r="I11" s="98" t="str">
        <f>'March 2025'!W11</f>
        <v>0</v>
      </c>
      <c r="J11" s="99">
        <v>2.42</v>
      </c>
      <c r="K11" s="106">
        <f>'March 2025'!AB11*5.04</f>
        <v>0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0</v>
      </c>
      <c r="P11" s="100">
        <f>'March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0</v>
      </c>
      <c r="F12" s="110" t="e">
        <f>('March 2025'!C12*0.27)/('March 2025'!C12+'March 2025'!E12)</f>
        <v>#DIV/0!</v>
      </c>
      <c r="G12" s="97" t="str">
        <f>'March 2025'!U12</f>
        <v>0</v>
      </c>
      <c r="H12" s="113">
        <v>0.62</v>
      </c>
      <c r="I12" s="98">
        <f>'March 2025'!W12</f>
        <v>0</v>
      </c>
      <c r="J12" s="99">
        <v>2.42</v>
      </c>
      <c r="K12" s="106">
        <f>'March 2025'!AB12*5.04</f>
        <v>0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0</v>
      </c>
      <c r="P12" s="100">
        <f>'March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0</v>
      </c>
      <c r="F13" s="110" t="e">
        <f>('March 2025'!C13*0.27)/('March 2025'!C13+'March 2025'!E13)</f>
        <v>#DIV/0!</v>
      </c>
      <c r="G13" s="97" t="str">
        <f>'March 2025'!U13</f>
        <v>0</v>
      </c>
      <c r="H13" s="113">
        <v>0.62</v>
      </c>
      <c r="I13" s="98">
        <f>'March 2025'!W13</f>
        <v>0</v>
      </c>
      <c r="J13" s="99">
        <v>2.42</v>
      </c>
      <c r="K13" s="106">
        <f>'March 2025'!AB13*5.04</f>
        <v>0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0</v>
      </c>
      <c r="P13" s="100">
        <f>'March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0</v>
      </c>
      <c r="F14" s="110" t="e">
        <f>('March 2025'!C14*0.27)/('March 2025'!C14+'March 2025'!E14)</f>
        <v>#DIV/0!</v>
      </c>
      <c r="G14" s="97" t="str">
        <f>'March 2025'!U14</f>
        <v>0</v>
      </c>
      <c r="H14" s="113">
        <v>0.62</v>
      </c>
      <c r="I14" s="98">
        <f>'March 2025'!W14</f>
        <v>0</v>
      </c>
      <c r="J14" s="99">
        <v>2.42</v>
      </c>
      <c r="K14" s="106">
        <f>'March 2025'!AB14*5.04</f>
        <v>0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0</v>
      </c>
      <c r="P14" s="100">
        <f>'March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0</v>
      </c>
      <c r="F15" s="110" t="e">
        <f>('March 2025'!C15*0.27)/('March 2025'!C15+'March 2025'!E15)</f>
        <v>#DIV/0!</v>
      </c>
      <c r="G15" s="97" t="str">
        <f>'March 2025'!U15</f>
        <v>0</v>
      </c>
      <c r="H15" s="113">
        <v>0.62</v>
      </c>
      <c r="I15" s="98">
        <f>'March 2025'!W15</f>
        <v>0</v>
      </c>
      <c r="J15" s="99">
        <v>2.42</v>
      </c>
      <c r="K15" s="106">
        <f>'March 2025'!AB15*5.04</f>
        <v>0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0</v>
      </c>
      <c r="P15" s="100">
        <f>'March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0</v>
      </c>
      <c r="F16" s="110" t="e">
        <f>('March 2025'!C16*0.27)/('March 2025'!C16+'March 2025'!E16)</f>
        <v>#DIV/0!</v>
      </c>
      <c r="G16" s="97" t="str">
        <f>'March 2025'!U16</f>
        <v>0</v>
      </c>
      <c r="H16" s="113">
        <v>0.62</v>
      </c>
      <c r="I16" s="98">
        <f>'March 2025'!W16</f>
        <v>0</v>
      </c>
      <c r="J16" s="99">
        <v>2.42</v>
      </c>
      <c r="K16" s="106">
        <f>'March 2025'!AB16*5.04</f>
        <v>0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0</v>
      </c>
      <c r="P16" s="100">
        <f>'March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0</v>
      </c>
      <c r="F17" s="110" t="e">
        <f>('March 2025'!C17*0.27)/('March 2025'!C17+'March 2025'!E17)</f>
        <v>#DIV/0!</v>
      </c>
      <c r="G17" s="97" t="str">
        <f>'March 2025'!U17</f>
        <v>0</v>
      </c>
      <c r="H17" s="113">
        <v>0.62</v>
      </c>
      <c r="I17" s="98">
        <f>'March 2025'!W17</f>
        <v>0</v>
      </c>
      <c r="J17" s="99">
        <v>2.42</v>
      </c>
      <c r="K17" s="106">
        <f>'March 2025'!AB17*5.04</f>
        <v>0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0</v>
      </c>
      <c r="P17" s="100">
        <f>'March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0</v>
      </c>
      <c r="F18" s="110" t="e">
        <f>('March 2025'!C18*0.27)/('March 2025'!C18+'March 2025'!E18)</f>
        <v>#DIV/0!</v>
      </c>
      <c r="G18" s="97" t="str">
        <f>'March 2025'!U18</f>
        <v>0</v>
      </c>
      <c r="H18" s="113">
        <v>0.62</v>
      </c>
      <c r="I18" s="98">
        <f>'March 2025'!W18</f>
        <v>0</v>
      </c>
      <c r="J18" s="99">
        <v>2.42</v>
      </c>
      <c r="K18" s="106">
        <f>'March 2025'!AB18*5.04</f>
        <v>0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0</v>
      </c>
      <c r="P18" s="100">
        <f>'March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0</v>
      </c>
      <c r="F19" s="110" t="e">
        <f>('March 2025'!C19*0.27)/('March 2025'!C19+'March 2025'!E19)</f>
        <v>#DIV/0!</v>
      </c>
      <c r="G19" s="97" t="str">
        <f>'March 2025'!U19</f>
        <v>0</v>
      </c>
      <c r="H19" s="113">
        <v>0.62</v>
      </c>
      <c r="I19" s="98">
        <f>'March 2025'!W19</f>
        <v>0</v>
      </c>
      <c r="J19" s="99">
        <v>2.42</v>
      </c>
      <c r="K19" s="106">
        <f>'March 2025'!AB19*5.04</f>
        <v>0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0</v>
      </c>
      <c r="P19" s="100">
        <f>'March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0</v>
      </c>
      <c r="F20" s="110" t="e">
        <f>('March 2025'!C20*0.27)/('March 2025'!C20+'March 2025'!E20)</f>
        <v>#DIV/0!</v>
      </c>
      <c r="G20" s="97" t="str">
        <f>'March 2025'!U20</f>
        <v>0</v>
      </c>
      <c r="H20" s="113">
        <v>0.62</v>
      </c>
      <c r="I20" s="98">
        <f>'March 2025'!W20</f>
        <v>0</v>
      </c>
      <c r="J20" s="99">
        <v>2.42</v>
      </c>
      <c r="K20" s="106">
        <f>'March 2025'!AB20*5.04</f>
        <v>0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0</v>
      </c>
      <c r="P20" s="100">
        <f>'March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0</v>
      </c>
      <c r="F21" s="110" t="e">
        <f>('March 2025'!C21*0.27)/('March 2025'!C21+'March 2025'!E21)</f>
        <v>#DIV/0!</v>
      </c>
      <c r="G21" s="97" t="str">
        <f>'March 2025'!U21</f>
        <v>0</v>
      </c>
      <c r="H21" s="113">
        <v>0.62</v>
      </c>
      <c r="I21" s="98">
        <f>'March 2025'!W21</f>
        <v>0</v>
      </c>
      <c r="J21" s="99">
        <v>2.42</v>
      </c>
      <c r="K21" s="106">
        <f>'March 2025'!AB21*5.04</f>
        <v>0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0</v>
      </c>
      <c r="P21" s="100">
        <f>'March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0</v>
      </c>
      <c r="F22" s="110" t="e">
        <f>('March 2025'!C22*0.27)/('March 2025'!C22+'March 2025'!E22)</f>
        <v>#DIV/0!</v>
      </c>
      <c r="G22" s="97" t="str">
        <f>'March 2025'!U22</f>
        <v>0</v>
      </c>
      <c r="H22" s="113">
        <v>0.62</v>
      </c>
      <c r="I22" s="98">
        <f>'March 2025'!W22</f>
        <v>0</v>
      </c>
      <c r="J22" s="99">
        <v>2.42</v>
      </c>
      <c r="K22" s="106">
        <f>'March 2025'!AB22*5.04</f>
        <v>0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0</v>
      </c>
      <c r="P22" s="100">
        <f>'March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0</v>
      </c>
      <c r="F23" s="110" t="e">
        <f>('March 2025'!C23*0.27)/('March 2025'!C23+'March 2025'!E23)</f>
        <v>#DIV/0!</v>
      </c>
      <c r="G23" s="97" t="str">
        <f>'March 2025'!U23</f>
        <v>0</v>
      </c>
      <c r="H23" s="113">
        <v>0.62</v>
      </c>
      <c r="I23" s="98">
        <f>'March 2025'!W23</f>
        <v>0</v>
      </c>
      <c r="J23" s="99">
        <v>2.42</v>
      </c>
      <c r="K23" s="106">
        <f>'March 2025'!AB23*5.04</f>
        <v>0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0</v>
      </c>
      <c r="P23" s="100">
        <f>'March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0</v>
      </c>
      <c r="F24" s="110" t="e">
        <f>('March 2025'!C24*0.27)/('March 2025'!C24+'March 2025'!E24)</f>
        <v>#DIV/0!</v>
      </c>
      <c r="G24" s="97" t="str">
        <f>'March 2025'!U24</f>
        <v>0</v>
      </c>
      <c r="H24" s="113">
        <v>0.62</v>
      </c>
      <c r="I24" s="98">
        <f>'March 2025'!W24</f>
        <v>0</v>
      </c>
      <c r="J24" s="99">
        <v>2.42</v>
      </c>
      <c r="K24" s="106">
        <f>'March 2025'!AB24*5.04</f>
        <v>0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0</v>
      </c>
      <c r="P24" s="100">
        <f>'March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0</v>
      </c>
      <c r="F25" s="110" t="e">
        <f>('March 2025'!C25*0.27)/('March 2025'!C25+'March 2025'!E25)</f>
        <v>#DIV/0!</v>
      </c>
      <c r="G25" s="97" t="str">
        <f>'March 2025'!U25</f>
        <v>0</v>
      </c>
      <c r="H25" s="113">
        <v>0.62</v>
      </c>
      <c r="I25" s="98">
        <f>'March 2025'!W25</f>
        <v>0</v>
      </c>
      <c r="J25" s="99">
        <v>2.42</v>
      </c>
      <c r="K25" s="106">
        <f>'March 2025'!AB25*5.04</f>
        <v>0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0</v>
      </c>
      <c r="P25" s="100">
        <f>'March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0</v>
      </c>
      <c r="F26" s="110" t="e">
        <f>('March 2025'!C26*0.27)/('March 2025'!C26+'March 2025'!E26)</f>
        <v>#DIV/0!</v>
      </c>
      <c r="G26" s="97" t="str">
        <f>'March 2025'!U26</f>
        <v>0</v>
      </c>
      <c r="H26" s="113">
        <v>0.62</v>
      </c>
      <c r="I26" s="98">
        <f>'March 2025'!W26</f>
        <v>0</v>
      </c>
      <c r="J26" s="99">
        <v>2.42</v>
      </c>
      <c r="K26" s="106">
        <f>'March 2025'!AB26*5.04</f>
        <v>0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0</v>
      </c>
      <c r="P26" s="100">
        <f>'March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0</v>
      </c>
      <c r="F27" s="110" t="e">
        <f>('March 2025'!C27*0.27)/('March 2025'!C27+'March 2025'!E27)</f>
        <v>#DIV/0!</v>
      </c>
      <c r="G27" s="97" t="str">
        <f>'March 2025'!U27</f>
        <v>0</v>
      </c>
      <c r="H27" s="113">
        <v>0.62</v>
      </c>
      <c r="I27" s="98">
        <f>'March 2025'!W27</f>
        <v>0</v>
      </c>
      <c r="J27" s="99">
        <v>2.42</v>
      </c>
      <c r="K27" s="106">
        <f>'March 2025'!AB27*5.04</f>
        <v>0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0</v>
      </c>
      <c r="P27" s="100">
        <f>'March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0</v>
      </c>
      <c r="F28" s="110" t="e">
        <f>('March 2025'!C28*0.27)/('March 2025'!C28+'March 2025'!E28)</f>
        <v>#DIV/0!</v>
      </c>
      <c r="G28" s="97" t="str">
        <f>'March 2025'!U28</f>
        <v>0</v>
      </c>
      <c r="H28" s="113">
        <v>0.62</v>
      </c>
      <c r="I28" s="98">
        <f>'March 2025'!W28</f>
        <v>0</v>
      </c>
      <c r="J28" s="99">
        <v>2.42</v>
      </c>
      <c r="K28" s="106">
        <f>'March 2025'!AB28*5.04</f>
        <v>0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0</v>
      </c>
      <c r="P28" s="100">
        <f>'March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T12" sqref="T1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/>
      <c r="AD7" s="18"/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/>
      <c r="AD8" s="18"/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/>
      <c r="AD9" s="18"/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-4349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/>
      <c r="AD10" s="18"/>
    </row>
    <row r="11" spans="1:30" ht="20.7" customHeight="1" x14ac:dyDescent="0.2">
      <c r="A11" s="19">
        <v>45726</v>
      </c>
      <c r="B11" s="10">
        <v>13673018</v>
      </c>
      <c r="C11" s="14" t="str">
        <f t="shared" si="1"/>
        <v>0</v>
      </c>
      <c r="D11" s="11">
        <v>674274</v>
      </c>
      <c r="E11" s="14" t="str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-45727.360000000001</v>
      </c>
      <c r="J11" s="32">
        <f t="shared" si="0"/>
        <v>0.36000000000058208</v>
      </c>
      <c r="K11" s="20">
        <f t="shared" si="6"/>
        <v>45726</v>
      </c>
      <c r="L11" s="33">
        <v>7682</v>
      </c>
      <c r="M11" s="31">
        <v>0</v>
      </c>
      <c r="N11" s="32" t="str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4795</v>
      </c>
      <c r="V11" s="41">
        <v>6480</v>
      </c>
      <c r="W11" s="32" t="str">
        <f t="shared" si="10"/>
        <v>0</v>
      </c>
      <c r="X11" s="43">
        <v>61265</v>
      </c>
      <c r="Y11" s="14" t="str">
        <f t="shared" si="11"/>
        <v>0</v>
      </c>
      <c r="Z11" s="47">
        <v>7570</v>
      </c>
      <c r="AA11" s="52">
        <v>0</v>
      </c>
      <c r="AB11" s="32" t="str">
        <f t="shared" si="12"/>
        <v>0</v>
      </c>
      <c r="AC11" s="13"/>
      <c r="AD11" s="18"/>
    </row>
    <row r="12" spans="1:30" ht="20.7" customHeight="1" x14ac:dyDescent="0.2">
      <c r="A12" s="19">
        <v>45727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-45727</v>
      </c>
      <c r="J12" s="32">
        <f t="shared" si="0"/>
        <v>-1</v>
      </c>
      <c r="K12" s="20">
        <f t="shared" si="6"/>
        <v>45727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>
        <v>0</v>
      </c>
      <c r="AB12" s="32" t="str">
        <f t="shared" si="12"/>
        <v>0</v>
      </c>
      <c r="AC12" s="13"/>
      <c r="AD12" s="18"/>
    </row>
    <row r="13" spans="1:30" ht="20.7" customHeight="1" x14ac:dyDescent="0.2">
      <c r="A13" s="19">
        <v>45728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-45728</v>
      </c>
      <c r="J13" s="32">
        <f t="shared" si="0"/>
        <v>-1</v>
      </c>
      <c r="K13" s="20">
        <f t="shared" si="6"/>
        <v>45728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>
        <v>0</v>
      </c>
      <c r="AB13" s="32" t="str">
        <f t="shared" si="12"/>
        <v>0</v>
      </c>
      <c r="AC13" s="13"/>
      <c r="AD13" s="18"/>
    </row>
    <row r="14" spans="1:30" ht="20.7" customHeight="1" x14ac:dyDescent="0.2">
      <c r="A14" s="19">
        <v>45729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-45729</v>
      </c>
      <c r="J14" s="32">
        <f t="shared" si="0"/>
        <v>-1</v>
      </c>
      <c r="K14" s="20">
        <f t="shared" si="6"/>
        <v>45729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>
        <v>0</v>
      </c>
      <c r="AB14" s="32" t="str">
        <f t="shared" si="12"/>
        <v>0</v>
      </c>
      <c r="AC14" s="13"/>
      <c r="AD14" s="18"/>
    </row>
    <row r="15" spans="1:30" ht="20.7" customHeight="1" x14ac:dyDescent="0.2">
      <c r="A15" s="19">
        <v>45730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-45730</v>
      </c>
      <c r="J15" s="32">
        <f t="shared" si="0"/>
        <v>-1</v>
      </c>
      <c r="K15" s="20">
        <f t="shared" si="6"/>
        <v>45730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>
        <v>0</v>
      </c>
      <c r="AB15" s="32" t="str">
        <f t="shared" si="12"/>
        <v>0</v>
      </c>
      <c r="AC15" s="13"/>
      <c r="AD15" s="18"/>
    </row>
    <row r="16" spans="1:30" ht="20.7" customHeight="1" x14ac:dyDescent="0.2">
      <c r="A16" s="19">
        <v>45731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-45731</v>
      </c>
      <c r="J16" s="32">
        <f t="shared" si="0"/>
        <v>-1</v>
      </c>
      <c r="K16" s="20">
        <f t="shared" si="6"/>
        <v>45731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>
        <v>0</v>
      </c>
      <c r="AB16" s="32" t="str">
        <f t="shared" si="12"/>
        <v>0</v>
      </c>
      <c r="AC16" s="13"/>
      <c r="AD16" s="18"/>
    </row>
    <row r="17" spans="1:30" ht="20.7" customHeight="1" x14ac:dyDescent="0.2">
      <c r="A17" s="19">
        <v>45732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-45732</v>
      </c>
      <c r="J17" s="32">
        <f t="shared" si="0"/>
        <v>-1</v>
      </c>
      <c r="K17" s="20">
        <f t="shared" si="6"/>
        <v>45732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>
        <v>0</v>
      </c>
      <c r="AB17" s="32" t="str">
        <f t="shared" si="12"/>
        <v>0</v>
      </c>
      <c r="AC17" s="13"/>
      <c r="AD17" s="18"/>
    </row>
    <row r="18" spans="1:30" ht="20.7" customHeight="1" x14ac:dyDescent="0.2">
      <c r="A18" s="19">
        <v>45733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-45733</v>
      </c>
      <c r="J18" s="32">
        <f t="shared" si="0"/>
        <v>-1</v>
      </c>
      <c r="K18" s="20">
        <f t="shared" si="6"/>
        <v>45733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45734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-45734</v>
      </c>
      <c r="J19" s="32">
        <f t="shared" si="0"/>
        <v>-1</v>
      </c>
      <c r="K19" s="20">
        <f t="shared" si="6"/>
        <v>45734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45735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-45735</v>
      </c>
      <c r="J20" s="32">
        <f t="shared" si="0"/>
        <v>-1</v>
      </c>
      <c r="K20" s="20">
        <f t="shared" si="6"/>
        <v>45735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45736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-45736</v>
      </c>
      <c r="J21" s="32">
        <f t="shared" si="0"/>
        <v>-1</v>
      </c>
      <c r="K21" s="20">
        <f t="shared" si="6"/>
        <v>45736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45737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-45737</v>
      </c>
      <c r="J22" s="32">
        <f t="shared" si="0"/>
        <v>-1</v>
      </c>
      <c r="K22" s="20">
        <f t="shared" si="6"/>
        <v>45737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45738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-45738</v>
      </c>
      <c r="J23" s="32">
        <f t="shared" si="0"/>
        <v>-1</v>
      </c>
      <c r="K23" s="20">
        <f t="shared" si="6"/>
        <v>45738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45739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-45739</v>
      </c>
      <c r="J24" s="32">
        <f t="shared" si="0"/>
        <v>-1</v>
      </c>
      <c r="K24" s="20">
        <f t="shared" si="6"/>
        <v>45739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45740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-45740</v>
      </c>
      <c r="J25" s="32">
        <f t="shared" si="0"/>
        <v>-1</v>
      </c>
      <c r="K25" s="20">
        <f t="shared" si="6"/>
        <v>45740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45741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-45741</v>
      </c>
      <c r="J26" s="32">
        <f t="shared" si="0"/>
        <v>-1</v>
      </c>
      <c r="K26" s="20">
        <f t="shared" si="6"/>
        <v>45741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45742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-45742</v>
      </c>
      <c r="J27" s="32">
        <f t="shared" si="0"/>
        <v>-1</v>
      </c>
      <c r="K27" s="20">
        <f t="shared" si="6"/>
        <v>45742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45743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-45743</v>
      </c>
      <c r="J28" s="32">
        <f t="shared" si="0"/>
        <v>-1</v>
      </c>
      <c r="K28" s="20">
        <f t="shared" si="6"/>
        <v>45743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x14ac:dyDescent="0.2">
      <c r="A29" s="19">
        <v>45744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-45744</v>
      </c>
      <c r="J29" s="32">
        <f t="shared" si="0"/>
        <v>-1</v>
      </c>
      <c r="K29" s="20">
        <f t="shared" si="6"/>
        <v>45744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31964</v>
      </c>
      <c r="D34" s="77"/>
      <c r="E34" s="76">
        <f>SUM(E2:E33)</f>
        <v>7541</v>
      </c>
      <c r="F34" s="78"/>
      <c r="G34" s="76">
        <f>SUM(G2:G33)</f>
        <v>-1704</v>
      </c>
      <c r="H34" s="77">
        <f>SUM(H2:H33)</f>
        <v>41209</v>
      </c>
      <c r="I34" s="76">
        <f>SUM(I2:I32)</f>
        <v>-1376497.31</v>
      </c>
      <c r="J34" s="76">
        <f>SUM(J2:J33)</f>
        <v>42561.549999999996</v>
      </c>
      <c r="K34" s="75"/>
      <c r="L34" s="77"/>
      <c r="M34" s="77"/>
      <c r="N34" s="76">
        <f>SUM(N2:N33)</f>
        <v>362</v>
      </c>
      <c r="O34" s="75"/>
      <c r="P34" s="75"/>
      <c r="Q34" s="75"/>
      <c r="R34" s="75"/>
      <c r="S34" s="75"/>
      <c r="T34" s="77">
        <f>SUM(T2:T33)</f>
        <v>1000</v>
      </c>
      <c r="U34" s="76">
        <f>SUM(U2:U33)</f>
        <v>5455</v>
      </c>
      <c r="V34" s="75"/>
      <c r="W34" s="76">
        <f>SUM(W2:W33)</f>
        <v>752</v>
      </c>
      <c r="X34" s="75"/>
      <c r="Y34" s="76">
        <f>SUM(Y2:Y33)</f>
        <v>0</v>
      </c>
      <c r="Z34" s="75"/>
      <c r="AA34" s="75">
        <f>SUM(AA2:AA33)</f>
        <v>13020</v>
      </c>
      <c r="AB34" s="76">
        <f>SUM(AB2:AB33)</f>
        <v>13494</v>
      </c>
      <c r="AC34" s="79">
        <f>SUM(AC2:AC33)</f>
        <v>675</v>
      </c>
      <c r="AD34" s="80">
        <f>SUM(AD2:AD33)</f>
        <v>1231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2025-03-10T06:19:13Z</dcterms:modified>
  <cp:category/>
  <cp:contentStatus/>
</cp:coreProperties>
</file>