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403" documentId="13_ncr:1_{76C55D63-F869-4AF5-AAA3-3D809A91432B}" xr6:coauthVersionLast="47" xr6:coauthVersionMax="47" xr10:uidLastSave="{18B474BB-5EF9-40D7-A165-6BDB826493AB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7" l="1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<sst xmlns="http://schemas.openxmlformats.org/spreadsheetml/2006/main" count="72" uniqueCount="33">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</sst>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21722.499999996217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3980</v>
      </c>
      <c r="J2" s="77">
        <v>0.21186441</v>
      </c>
      <c r="K2" s="11">
        <f>IF('Water, Gas, Diesel'!F6&lt;0,0,'Water, Gas, Diesel'!F6)</f>
        <v>0</v>
      </c>
      <c r="L2" s="77">
        <v>1.6949000000000001</v>
      </c>
      <c r="M2" s="11">
        <f>Electricity!H8</f>
        <v>68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19192.499999990105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3712</v>
      </c>
      <c r="J3" s="77">
        <v>0.21186441</v>
      </c>
      <c r="K3" s="11">
        <f>IF('Water, Gas, Diesel'!F7&lt;0,0,'Water, Gas, Diesel'!F7)</f>
        <v>0</v>
      </c>
      <c r="L3" s="77">
        <v>1.6949000000000001</v>
      </c>
      <c r="M3" s="11">
        <f>Electricity!H9</f>
        <v>119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11087.500000003274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3661</v>
      </c>
      <c r="J4" s="77">
        <v>0.21186441</v>
      </c>
      <c r="K4" s="11">
        <f>IF('Water, Gas, Diesel'!F8&lt;0,0,'Water, Gas, Diesel'!F8)</f>
        <v>306</v>
      </c>
      <c r="L4" s="77">
        <v>1.6949000000000001</v>
      </c>
      <c r="M4" s="11">
        <f>Electricity!H10</f>
        <v>130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23745.000000008076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3293</v>
      </c>
      <c r="J5" s="77">
        <v>0.21186441</v>
      </c>
      <c r="K5" s="11">
        <f>IF('Water, Gas, Diesel'!F9&lt;0,0,'Water, Gas, Diesel'!F9)</f>
        <v>305</v>
      </c>
      <c r="L5" s="77">
        <v>1.6949000000000001</v>
      </c>
      <c r="M5" s="11">
        <f>Electricity!H11</f>
        <v>70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17052.499999990687</v>
      </c>
      <c r="F6" s="77">
        <v>9.3200000000000005E-2</v>
      </c>
      <c r="G6" s="11">
        <f>IF('Water, Gas, Diesel'!K10&lt;0,0,'Water, Gas, Diesel'!K10)</f>
        <v>60</v>
      </c>
      <c r="H6" s="77">
        <v>0.7</v>
      </c>
      <c r="I6" s="11">
        <f>IF('Water, Gas, Diesel'!C10&lt;0,0,'Water, Gas, Diesel'!C10)</f>
        <v>2832</v>
      </c>
      <c r="J6" s="77">
        <v>0.21186441</v>
      </c>
      <c r="K6" s="11">
        <f>IF('Water, Gas, Diesel'!F10&lt;0,0,'Water, Gas, Diesel'!F10)</f>
        <v>219</v>
      </c>
      <c r="L6" s="77">
        <v>1.6949000000000001</v>
      </c>
      <c r="M6" s="11">
        <f>Electricity!H12</f>
        <v>88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19877.500000011423</v>
      </c>
      <c r="F7" s="77">
        <v>9.3200000000000005E-2</v>
      </c>
      <c r="G7" s="11">
        <f>IF('Water, Gas, Diesel'!K11&lt;0,0,'Water, Gas, Diesel'!K11)</f>
        <v>0</v>
      </c>
      <c r="H7" s="77">
        <v>0.7</v>
      </c>
      <c r="I7" s="11">
        <f>IF('Water, Gas, Diesel'!C11&lt;0,0,'Water, Gas, Diesel'!C11)</f>
        <v>4343</v>
      </c>
      <c r="J7" s="77">
        <v>0.21186441</v>
      </c>
      <c r="K7" s="11">
        <f>IF('Water, Gas, Diesel'!F11&lt;0,0,'Water, Gas, Diesel'!F11)</f>
        <v>140</v>
      </c>
      <c r="L7" s="77">
        <v>1.6949000000000001</v>
      </c>
      <c r="M7" s="11">
        <f>Electricity!H13</f>
        <v>99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18589.999999994689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4026</v>
      </c>
      <c r="J8" s="77">
        <v>0.21186441</v>
      </c>
      <c r="K8" s="11">
        <f>IF('Water, Gas, Diesel'!F12&lt;0,0,'Water, Gas, Diesel'!F12)</f>
        <v>0</v>
      </c>
      <c r="L8" s="77">
        <v>1.6949000000000001</v>
      </c>
      <c r="M8" s="11">
        <f>Electricity!H14</f>
        <v>100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21625.000000003638</v>
      </c>
      <c r="F9" s="77">
        <v>9.3200000000000005E-2</v>
      </c>
      <c r="G9" s="11">
        <f>IF('Water, Gas, Diesel'!K13&lt;0,0,'Water, Gas, Diesel'!K13)</f>
        <v>0</v>
      </c>
      <c r="H9" s="77">
        <v>0.7</v>
      </c>
      <c r="I9" s="11">
        <f>IF('Water, Gas, Diesel'!C13&lt;0,0,'Water, Gas, Diesel'!C13)</f>
        <v>5313</v>
      </c>
      <c r="J9" s="77">
        <v>0.21186441</v>
      </c>
      <c r="K9" s="11">
        <f>IF('Water, Gas, Diesel'!F13&lt;0,0,'Water, Gas, Diesel'!F13)</f>
        <v>180</v>
      </c>
      <c r="L9" s="77">
        <v>1.6949000000000001</v>
      </c>
      <c r="M9" s="11">
        <f>Electricity!H15</f>
        <v>89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17917.499999994106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3800</v>
      </c>
      <c r="J10" s="77">
        <v>0.21186441</v>
      </c>
      <c r="K10" s="11">
        <f>IF('Water, Gas, Diesel'!F14&lt;0,0,'Water, Gas, Diesel'!F14)</f>
        <v>301</v>
      </c>
      <c r="L10" s="77">
        <v>1.6949000000000001</v>
      </c>
      <c r="M10" s="11">
        <f>Electricity!H16</f>
        <v>68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17087.500000006912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3796</v>
      </c>
      <c r="J11" s="77">
        <v>0.21186441</v>
      </c>
      <c r="K11" s="11">
        <f>IF('Water, Gas, Diesel'!F15&lt;0,0,'Water, Gas, Diesel'!F15)</f>
        <v>289</v>
      </c>
      <c r="L11" s="77">
        <v>1.6949000000000001</v>
      </c>
      <c r="M11" s="11">
        <f>Electricity!H17</f>
        <v>59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18322.499999994761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14043</v>
      </c>
      <c r="J12" s="77">
        <v>0.21186441</v>
      </c>
      <c r="K12" s="11">
        <f>IF('Water, Gas, Diesel'!F16&lt;0,0,'Water, Gas, Diesel'!F16)</f>
        <v>290</v>
      </c>
      <c r="L12" s="77">
        <v>1.6949000000000001</v>
      </c>
      <c r="M12" s="11">
        <f>Electricity!H18</f>
        <v>62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0</v>
      </c>
      <c r="F13" s="77">
        <v>9.3200000000000005E-2</v>
      </c>
      <c r="G13" s="11">
        <f>IF('Water, Gas, Diesel'!K17&lt;0,0,'Water, Gas, Diesel'!K17)</f>
        <v>16350</v>
      </c>
      <c r="H13" s="77">
        <v>0.7</v>
      </c>
      <c r="I13" s="11">
        <f>IF('Water, Gas, Diesel'!C17&lt;0,0,'Water, Gas, Diesel'!C17)</f>
        <v>0</v>
      </c>
      <c r="J13" s="77">
        <v>0.21186441</v>
      </c>
      <c r="K13" s="11">
        <f>IF('Water, Gas, Diesel'!F17&lt;0,0,'Water, Gas, Diesel'!F17)</f>
        <v>0</v>
      </c>
      <c r="L13" s="77">
        <v>1.6949000000000001</v>
      </c>
      <c r="M13" s="11">
        <f>Electricity!H19</f>
        <v>68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0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0</v>
      </c>
      <c r="J14" s="77">
        <v>0.21186441</v>
      </c>
      <c r="K14" s="11">
        <f>IF('Water, Gas, Diesel'!F18&lt;0,0,'Water, Gas, Diesel'!F18)</f>
        <v>0</v>
      </c>
      <c r="L14" s="77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0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0</v>
      </c>
      <c r="J16" s="77">
        <v>0.21186441</v>
      </c>
      <c r="K16" s="11">
        <f>IF('Water, Gas, Diesel'!F20&lt;0,0,'Water, Gas, Diesel'!F20)</f>
        <v>0</v>
      </c>
      <c r="L16" s="7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4" activePane="bottomLeft" state="frozen"/>
      <selection pane="bottomLeft" activeCell="J17" sqref="J17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6"/>
      <c r="C1" s="167"/>
      <c r="D1" s="167"/>
      <c r="E1" s="167"/>
      <c r="F1" s="167"/>
      <c r="G1" s="167"/>
      <c r="H1" s="168"/>
    </row>
    <row r="2" spans="1:8" ht="15.75" customHeight="1">
      <c r="A2" s="171" t="s">
        <v>15</v>
      </c>
      <c r="B2" s="174" t="s">
        <v>16</v>
      </c>
      <c r="C2" s="175"/>
      <c r="D2" s="175"/>
      <c r="E2" s="176"/>
      <c r="F2" s="177" t="s">
        <v>17</v>
      </c>
      <c r="G2" s="179" t="s">
        <v>18</v>
      </c>
      <c r="H2" s="169" t="s">
        <v>19</v>
      </c>
    </row>
    <row r="3" spans="1:8">
      <c r="A3" s="172"/>
      <c r="B3" s="181" t="s">
        <v>20</v>
      </c>
      <c r="C3" s="182"/>
      <c r="D3" s="181" t="s">
        <v>21</v>
      </c>
      <c r="E3" s="182"/>
      <c r="F3" s="177"/>
      <c r="G3" s="179"/>
      <c r="H3" s="169"/>
    </row>
    <row r="4" spans="1:8">
      <c r="A4" s="172"/>
      <c r="B4" s="183"/>
      <c r="C4" s="184"/>
      <c r="D4" s="183"/>
      <c r="E4" s="184"/>
      <c r="F4" s="177"/>
      <c r="G4" s="179"/>
      <c r="H4" s="169"/>
    </row>
    <row r="5" spans="1:8">
      <c r="A5" s="173"/>
      <c r="B5" s="15" t="s">
        <v>22</v>
      </c>
      <c r="C5" s="59" t="s">
        <v>23</v>
      </c>
      <c r="D5" s="60" t="s">
        <v>22</v>
      </c>
      <c r="E5" s="59" t="s">
        <v>23</v>
      </c>
      <c r="F5" s="178"/>
      <c r="G5" s="180"/>
      <c r="H5" s="170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31</v>
      </c>
      <c r="B7" s="153">
        <v>16380.903</v>
      </c>
      <c r="C7" s="154">
        <f t="shared" ref="C7:C24" si="0">(B8-B7)*2500</f>
        <v>8607.5000000028012</v>
      </c>
      <c r="D7" s="155">
        <v>16608.582999999999</v>
      </c>
      <c r="E7" s="65">
        <f t="shared" ref="E7:E24" si="1">(D8-D7)*2500</f>
        <v>9757.5000000051659</v>
      </c>
      <c r="F7" s="87">
        <f t="shared" ref="F7:F38" si="2">C7+E7</f>
        <v>18365.000000007967</v>
      </c>
      <c r="G7" s="64">
        <f>F7*0.0932</f>
        <v>1711.6180000007425</v>
      </c>
      <c r="H7" s="132">
        <v>51</v>
      </c>
    </row>
    <row r="8" spans="1:8" ht="30.95" customHeight="1">
      <c r="A8" s="92">
        <v>1</v>
      </c>
      <c r="B8" s="156">
        <v>16384.346000000001</v>
      </c>
      <c r="C8" s="154">
        <f t="shared" si="0"/>
        <v>9592.4999999988358</v>
      </c>
      <c r="D8" s="155">
        <v>16612.486000000001</v>
      </c>
      <c r="E8" s="66">
        <f t="shared" si="1"/>
        <v>12129.999999997381</v>
      </c>
      <c r="F8" s="48">
        <f t="shared" si="2"/>
        <v>21722.499999996217</v>
      </c>
      <c r="G8" s="64">
        <f t="shared" ref="G8:G39" si="3">F8*0.0932</f>
        <v>2024.5369999996474</v>
      </c>
      <c r="H8" s="93">
        <v>68</v>
      </c>
    </row>
    <row r="9" spans="1:8" ht="30.95" customHeight="1">
      <c r="A9" s="94">
        <v>2</v>
      </c>
      <c r="B9" s="68">
        <v>16388.183000000001</v>
      </c>
      <c r="C9" s="65">
        <f t="shared" si="0"/>
        <v>8584.9999999936699</v>
      </c>
      <c r="D9" s="67">
        <v>16617.338</v>
      </c>
      <c r="E9" s="37">
        <f t="shared" si="1"/>
        <v>10607.499999996435</v>
      </c>
      <c r="F9" s="45">
        <f t="shared" si="2"/>
        <v>19192.499999990105</v>
      </c>
      <c r="G9" s="64">
        <f t="shared" si="3"/>
        <v>1788.7409999990778</v>
      </c>
      <c r="H9" s="95">
        <v>119</v>
      </c>
    </row>
    <row r="10" spans="1:8" ht="30.95" customHeight="1">
      <c r="A10" s="92">
        <v>3</v>
      </c>
      <c r="B10" s="69">
        <v>16391.616999999998</v>
      </c>
      <c r="C10" s="66">
        <f t="shared" si="0"/>
        <v>3007.5000000033469</v>
      </c>
      <c r="D10" s="70">
        <v>16621.580999999998</v>
      </c>
      <c r="E10" s="66">
        <f t="shared" si="1"/>
        <v>8079.9999999999272</v>
      </c>
      <c r="F10" s="48">
        <f t="shared" si="2"/>
        <v>11087.500000003274</v>
      </c>
      <c r="G10" s="64">
        <f t="shared" si="3"/>
        <v>1033.3550000003052</v>
      </c>
      <c r="H10" s="95">
        <v>130</v>
      </c>
    </row>
    <row r="11" spans="1:8" ht="30.95" customHeight="1">
      <c r="A11" s="94">
        <v>4</v>
      </c>
      <c r="B11" s="71">
        <v>16392.82</v>
      </c>
      <c r="C11" s="37">
        <f t="shared" si="0"/>
        <v>19475.000000002183</v>
      </c>
      <c r="D11" s="72">
        <v>16624.812999999998</v>
      </c>
      <c r="E11" s="37">
        <f t="shared" si="1"/>
        <v>4270.0000000058935</v>
      </c>
      <c r="F11" s="45">
        <f t="shared" si="2"/>
        <v>23745.000000008076</v>
      </c>
      <c r="G11" s="64">
        <f t="shared" si="3"/>
        <v>2213.0340000007527</v>
      </c>
      <c r="H11" s="95">
        <v>70</v>
      </c>
    </row>
    <row r="12" spans="1:8" ht="30.95" customHeight="1">
      <c r="A12" s="92">
        <v>5</v>
      </c>
      <c r="B12" s="165">
        <v>16400.61</v>
      </c>
      <c r="C12" s="66">
        <f t="shared" si="0"/>
        <v>8639.9999999957799</v>
      </c>
      <c r="D12" s="165">
        <v>16626.521000000001</v>
      </c>
      <c r="E12" s="66">
        <f t="shared" si="1"/>
        <v>8412.4999999949068</v>
      </c>
      <c r="F12" s="48">
        <f t="shared" si="2"/>
        <v>17052.499999990687</v>
      </c>
      <c r="G12" s="64">
        <f t="shared" si="3"/>
        <v>1589.292999999132</v>
      </c>
      <c r="H12" s="95">
        <v>88</v>
      </c>
    </row>
    <row r="13" spans="1:8" ht="30.95" customHeight="1">
      <c r="A13" s="94">
        <v>6</v>
      </c>
      <c r="B13" s="71">
        <v>16404.065999999999</v>
      </c>
      <c r="C13" s="37">
        <f t="shared" si="0"/>
        <v>11940.000000004147</v>
      </c>
      <c r="D13" s="72">
        <v>16629.885999999999</v>
      </c>
      <c r="E13" s="37">
        <f t="shared" si="1"/>
        <v>7937.500000007276</v>
      </c>
      <c r="F13" s="45">
        <f t="shared" si="2"/>
        <v>19877.500000011423</v>
      </c>
      <c r="G13" s="64">
        <f t="shared" si="3"/>
        <v>1852.5830000010646</v>
      </c>
      <c r="H13" s="95">
        <v>99</v>
      </c>
    </row>
    <row r="14" spans="1:8" ht="30.95" customHeight="1">
      <c r="A14" s="92">
        <v>7</v>
      </c>
      <c r="B14" s="73">
        <v>16408.842000000001</v>
      </c>
      <c r="C14" s="66">
        <f t="shared" si="0"/>
        <v>10707.499999998618</v>
      </c>
      <c r="D14" s="96">
        <v>16633.061000000002</v>
      </c>
      <c r="E14" s="66">
        <f t="shared" si="1"/>
        <v>7882.499999996071</v>
      </c>
      <c r="F14" s="48">
        <f t="shared" si="2"/>
        <v>18589.999999994689</v>
      </c>
      <c r="G14" s="64">
        <f t="shared" si="3"/>
        <v>1732.587999999505</v>
      </c>
      <c r="H14" s="95">
        <v>100</v>
      </c>
    </row>
    <row r="15" spans="1:8" ht="30.95" customHeight="1">
      <c r="A15" s="94">
        <v>8</v>
      </c>
      <c r="B15" s="71">
        <v>16413.125</v>
      </c>
      <c r="C15" s="37">
        <f t="shared" si="0"/>
        <v>12382.500000003347</v>
      </c>
      <c r="D15" s="74">
        <v>16636.214</v>
      </c>
      <c r="E15" s="37">
        <f t="shared" si="1"/>
        <v>9242.500000000291</v>
      </c>
      <c r="F15" s="45">
        <f t="shared" si="2"/>
        <v>21625.000000003638</v>
      </c>
      <c r="G15" s="64">
        <f t="shared" si="3"/>
        <v>2015.4500000003391</v>
      </c>
      <c r="H15" s="95">
        <v>89</v>
      </c>
    </row>
    <row r="16" spans="1:8" ht="30.95" customHeight="1">
      <c r="A16" s="92">
        <v>9</v>
      </c>
      <c r="B16" s="133">
        <v>16418.078000000001</v>
      </c>
      <c r="C16" s="66">
        <f t="shared" si="0"/>
        <v>10414.999999993597</v>
      </c>
      <c r="D16" s="75">
        <v>16639.911</v>
      </c>
      <c r="E16" s="66">
        <f t="shared" si="1"/>
        <v>7502.5000000005093</v>
      </c>
      <c r="F16" s="48">
        <f t="shared" si="2"/>
        <v>17917.499999994106</v>
      </c>
      <c r="G16" s="64">
        <f t="shared" si="3"/>
        <v>1669.9109999994507</v>
      </c>
      <c r="H16" s="95">
        <v>68</v>
      </c>
    </row>
    <row r="17" spans="1:8" ht="30.95" customHeight="1">
      <c r="A17" s="94">
        <v>10</v>
      </c>
      <c r="B17" s="73">
        <v>16422.243999999999</v>
      </c>
      <c r="C17" s="37">
        <f t="shared" si="0"/>
        <v>10337.500000005093</v>
      </c>
      <c r="D17" s="96">
        <v>16642.912</v>
      </c>
      <c r="E17" s="37">
        <f t="shared" si="1"/>
        <v>6750.000000001819</v>
      </c>
      <c r="F17" s="45">
        <f t="shared" si="2"/>
        <v>17087.500000006912</v>
      </c>
      <c r="G17" s="64">
        <f t="shared" si="3"/>
        <v>1592.5550000006442</v>
      </c>
      <c r="H17" s="95">
        <v>59</v>
      </c>
    </row>
    <row r="18" spans="1:8" ht="30.95" customHeight="1">
      <c r="A18" s="92">
        <v>11</v>
      </c>
      <c r="B18" s="71">
        <v>16426.379000000001</v>
      </c>
      <c r="C18" s="66">
        <f t="shared" si="0"/>
        <v>10742.499999996653</v>
      </c>
      <c r="D18" s="74">
        <v>16645.612000000001</v>
      </c>
      <c r="E18" s="66">
        <f t="shared" si="1"/>
        <v>7579.9999999981083</v>
      </c>
      <c r="F18" s="48">
        <f t="shared" si="2"/>
        <v>18322.499999994761</v>
      </c>
      <c r="G18" s="64">
        <f t="shared" si="3"/>
        <v>1707.6569999995118</v>
      </c>
      <c r="H18" s="95">
        <v>62</v>
      </c>
    </row>
    <row r="19" spans="1:8" ht="30.95" customHeight="1">
      <c r="A19" s="94">
        <v>12</v>
      </c>
      <c r="B19" s="73">
        <v>16430.675999999999</v>
      </c>
      <c r="C19" s="37">
        <f t="shared" si="0"/>
        <v>-41076690</v>
      </c>
      <c r="D19" s="96">
        <v>16648.644</v>
      </c>
      <c r="E19" s="37">
        <f t="shared" si="1"/>
        <v>-41621610</v>
      </c>
      <c r="F19" s="45">
        <f t="shared" si="2"/>
        <v>-82698300</v>
      </c>
      <c r="G19" s="64">
        <f t="shared" si="3"/>
        <v>-7707481.5600000005</v>
      </c>
      <c r="H19" s="95">
        <v>68</v>
      </c>
    </row>
    <row r="20" spans="1:8" ht="30.95" customHeight="1">
      <c r="A20" s="92">
        <v>13</v>
      </c>
      <c r="B20" s="71"/>
      <c r="C20" s="66">
        <f t="shared" si="0"/>
        <v>0</v>
      </c>
      <c r="D20" s="76"/>
      <c r="E20" s="66">
        <f t="shared" si="1"/>
        <v>0</v>
      </c>
      <c r="F20" s="48">
        <f t="shared" si="2"/>
        <v>0</v>
      </c>
      <c r="G20" s="64">
        <f t="shared" si="3"/>
        <v>0</v>
      </c>
      <c r="H20" s="95"/>
    </row>
    <row r="21" spans="1:8" ht="30.95" customHeight="1">
      <c r="A21" s="94">
        <v>14</v>
      </c>
      <c r="B21" s="71"/>
      <c r="C21" s="37">
        <f t="shared" si="0"/>
        <v>0</v>
      </c>
      <c r="D21" s="74"/>
      <c r="E21" s="37">
        <f t="shared" si="1"/>
        <v>0</v>
      </c>
      <c r="F21" s="45">
        <f t="shared" si="2"/>
        <v>0</v>
      </c>
      <c r="G21" s="64">
        <f t="shared" si="3"/>
        <v>0</v>
      </c>
      <c r="H21" s="95"/>
    </row>
    <row r="22" spans="1:8" ht="30.95" customHeight="1">
      <c r="A22" s="92">
        <v>15</v>
      </c>
      <c r="B22" s="71"/>
      <c r="C22" s="66">
        <f t="shared" si="0"/>
        <v>0</v>
      </c>
      <c r="D22" s="54"/>
      <c r="E22" s="66">
        <f t="shared" si="1"/>
        <v>0</v>
      </c>
      <c r="F22" s="48">
        <f t="shared" si="2"/>
        <v>0</v>
      </c>
      <c r="G22" s="64">
        <f t="shared" si="3"/>
        <v>0</v>
      </c>
      <c r="H22" s="95"/>
    </row>
    <row r="23" spans="1:8" ht="30.95" customHeight="1">
      <c r="A23" s="94">
        <v>16</v>
      </c>
      <c r="B23" s="78"/>
      <c r="C23" s="37">
        <f t="shared" si="0"/>
        <v>0</v>
      </c>
      <c r="D23" s="79"/>
      <c r="E23" s="37">
        <f t="shared" si="1"/>
        <v>0</v>
      </c>
      <c r="F23" s="45">
        <f t="shared" si="2"/>
        <v>0</v>
      </c>
      <c r="G23" s="64">
        <f t="shared" si="3"/>
        <v>0</v>
      </c>
      <c r="H23" s="95"/>
    </row>
    <row r="24" spans="1:8" ht="30.95" customHeight="1">
      <c r="A24" s="92">
        <v>17</v>
      </c>
      <c r="B24" s="80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4" activePane="bottomLeft" state="frozen"/>
      <selection pane="bottomLeft" activeCell="E18" sqref="E18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1" t="s">
        <v>14</v>
      </c>
      <c r="B1" s="186" t="s">
        <v>24</v>
      </c>
      <c r="C1" s="187"/>
      <c r="D1" s="188"/>
      <c r="E1" s="189" t="s">
        <v>25</v>
      </c>
      <c r="F1" s="187"/>
      <c r="G1" s="187"/>
      <c r="H1" s="187"/>
      <c r="I1" s="188"/>
      <c r="J1" s="189" t="s">
        <v>26</v>
      </c>
      <c r="K1" s="187"/>
      <c r="L1" s="190"/>
    </row>
    <row r="2" spans="1:12" ht="27" customHeight="1">
      <c r="A2" s="185"/>
      <c r="B2" s="191"/>
      <c r="C2" s="192"/>
      <c r="D2" s="193"/>
      <c r="E2" s="191"/>
      <c r="F2" s="192"/>
      <c r="G2" s="192"/>
      <c r="H2" s="192"/>
      <c r="I2" s="193"/>
      <c r="J2" s="191"/>
      <c r="K2" s="192"/>
      <c r="L2" s="193"/>
    </row>
    <row r="3" spans="1:12" ht="59.25" customHeight="1">
      <c r="A3" s="86" t="s">
        <v>15</v>
      </c>
      <c r="B3" s="15" t="s">
        <v>22</v>
      </c>
      <c r="C3" s="16" t="s">
        <v>27</v>
      </c>
      <c r="D3" s="17" t="s">
        <v>28</v>
      </c>
      <c r="E3" s="83" t="s">
        <v>22</v>
      </c>
      <c r="F3" s="18" t="s">
        <v>23</v>
      </c>
      <c r="G3" s="19" t="s">
        <v>29</v>
      </c>
      <c r="H3" s="19" t="s">
        <v>30</v>
      </c>
      <c r="I3" s="82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31</v>
      </c>
      <c r="B5" s="84">
        <v>7439948</v>
      </c>
      <c r="C5" s="97">
        <f>B6-B5</f>
        <v>2698</v>
      </c>
      <c r="D5" s="32">
        <f>C5*0.21186441</f>
        <v>571.61017818000005</v>
      </c>
      <c r="E5" s="33">
        <v>594767</v>
      </c>
      <c r="F5" s="98">
        <f>E6-E5</f>
        <v>152</v>
      </c>
      <c r="G5" s="34">
        <f>F5*0.84746</f>
        <v>128.81392</v>
      </c>
      <c r="H5" s="34">
        <f>F5*0.84746</f>
        <v>128.81392</v>
      </c>
      <c r="I5" s="85">
        <f>G5+H5</f>
        <v>257.62783999999999</v>
      </c>
      <c r="J5" s="35">
        <f>10000+6220</f>
        <v>16220</v>
      </c>
      <c r="K5" s="36">
        <f>J5-J6</f>
        <v>-100</v>
      </c>
      <c r="L5" s="37">
        <f>K5*0.7</f>
        <v>-70</v>
      </c>
    </row>
    <row r="6" spans="1:12" ht="32.450000000000003" customHeight="1">
      <c r="A6" s="38">
        <v>1</v>
      </c>
      <c r="B6" s="84">
        <v>7442646</v>
      </c>
      <c r="C6" s="50">
        <f t="shared" ref="C6:C15" si="0">B7-B6</f>
        <v>3980</v>
      </c>
      <c r="D6" s="39">
        <f>C6*0.21186441</f>
        <v>843.2203518</v>
      </c>
      <c r="E6" s="40">
        <v>594919</v>
      </c>
      <c r="F6" s="51">
        <f t="shared" ref="F6:F15" si="1">E7-E6</f>
        <v>0</v>
      </c>
      <c r="G6" s="41">
        <f>F6*0.84746</f>
        <v>0</v>
      </c>
      <c r="H6" s="41">
        <f>F6*0.84746</f>
        <v>0</v>
      </c>
      <c r="I6" s="42">
        <f t="shared" ref="I6:I36" si="2">G6+H6</f>
        <v>0</v>
      </c>
      <c r="J6" s="35">
        <f>10100+6220</f>
        <v>16320</v>
      </c>
      <c r="K6" s="36">
        <f t="shared" ref="K6:K35" si="3">J6-J7</f>
        <v>-60</v>
      </c>
      <c r="L6" s="37">
        <f>K6*0.7</f>
        <v>-42</v>
      </c>
    </row>
    <row r="7" spans="1:12" ht="32.450000000000003" customHeight="1">
      <c r="A7" s="43">
        <v>2</v>
      </c>
      <c r="B7" s="43">
        <v>7446626</v>
      </c>
      <c r="C7" s="52">
        <f t="shared" si="0"/>
        <v>3712</v>
      </c>
      <c r="D7" s="44">
        <f>C7*0.21186441</f>
        <v>786.44068992000007</v>
      </c>
      <c r="E7" s="45">
        <v>594919</v>
      </c>
      <c r="F7" s="53">
        <f t="shared" si="1"/>
        <v>0</v>
      </c>
      <c r="G7" s="46">
        <f t="shared" ref="G7:G36" si="4">F7*0.84746</f>
        <v>0</v>
      </c>
      <c r="H7" s="46">
        <f t="shared" ref="H7:H36" si="5">F7*0.84746</f>
        <v>0</v>
      </c>
      <c r="I7" s="47">
        <f t="shared" si="2"/>
        <v>0</v>
      </c>
      <c r="J7" s="35">
        <f>10100+6280</f>
        <v>16380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7450338</v>
      </c>
      <c r="C8" s="50">
        <f t="shared" si="0"/>
        <v>3661</v>
      </c>
      <c r="D8" s="44">
        <f t="shared" ref="D8:D36" si="7">C8*0.21186441</f>
        <v>775.63560501000006</v>
      </c>
      <c r="E8" s="45">
        <v>594919</v>
      </c>
      <c r="F8" s="51">
        <f t="shared" si="1"/>
        <v>306</v>
      </c>
      <c r="G8" s="41">
        <f t="shared" si="4"/>
        <v>259.32276000000002</v>
      </c>
      <c r="H8" s="41">
        <f t="shared" si="5"/>
        <v>259.32276000000002</v>
      </c>
      <c r="I8" s="47">
        <f t="shared" si="2"/>
        <v>518.64552000000003</v>
      </c>
      <c r="J8" s="35">
        <f>10100+6280</f>
        <v>16380</v>
      </c>
      <c r="K8" s="36">
        <f t="shared" si="3"/>
        <v>-20</v>
      </c>
      <c r="L8" s="37">
        <f t="shared" si="6"/>
        <v>-14</v>
      </c>
    </row>
    <row r="9" spans="1:12" ht="32.450000000000003" customHeight="1">
      <c r="A9" s="43">
        <v>4</v>
      </c>
      <c r="B9" s="43">
        <v>7453999</v>
      </c>
      <c r="C9" s="52">
        <f t="shared" si="0"/>
        <v>3293</v>
      </c>
      <c r="D9" s="44">
        <f t="shared" si="7"/>
        <v>697.66950212999996</v>
      </c>
      <c r="E9" s="45">
        <v>595225</v>
      </c>
      <c r="F9" s="53">
        <f t="shared" si="1"/>
        <v>305</v>
      </c>
      <c r="G9" s="46">
        <f t="shared" si="4"/>
        <v>258.4753</v>
      </c>
      <c r="H9" s="46">
        <f t="shared" si="5"/>
        <v>258.4753</v>
      </c>
      <c r="I9" s="47">
        <f t="shared" si="2"/>
        <v>516.95060000000001</v>
      </c>
      <c r="J9" s="35">
        <f>10100+6300</f>
        <v>16400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7457292</v>
      </c>
      <c r="C10" s="50">
        <f t="shared" si="0"/>
        <v>2832</v>
      </c>
      <c r="D10" s="44">
        <f t="shared" si="7"/>
        <v>600.00000911999996</v>
      </c>
      <c r="E10" s="45">
        <v>595530</v>
      </c>
      <c r="F10" s="51">
        <f t="shared" si="1"/>
        <v>219</v>
      </c>
      <c r="G10" s="41">
        <f t="shared" si="4"/>
        <v>185.59374</v>
      </c>
      <c r="H10" s="41">
        <f t="shared" si="5"/>
        <v>185.59374</v>
      </c>
      <c r="I10" s="47">
        <f t="shared" si="2"/>
        <v>371.18747999999999</v>
      </c>
      <c r="J10" s="35">
        <f>10100+6300</f>
        <v>16400</v>
      </c>
      <c r="K10" s="36">
        <f t="shared" si="3"/>
        <v>60</v>
      </c>
      <c r="L10" s="37">
        <f t="shared" si="6"/>
        <v>42</v>
      </c>
    </row>
    <row r="11" spans="1:12" ht="32.450000000000003" customHeight="1">
      <c r="A11" s="43">
        <v>6</v>
      </c>
      <c r="B11" s="43">
        <v>7460124</v>
      </c>
      <c r="C11" s="52">
        <f t="shared" si="0"/>
        <v>4343</v>
      </c>
      <c r="D11" s="44">
        <f t="shared" si="7"/>
        <v>920.12713263000001</v>
      </c>
      <c r="E11" s="45">
        <v>595749</v>
      </c>
      <c r="F11" s="53">
        <f t="shared" si="1"/>
        <v>140</v>
      </c>
      <c r="G11" s="46">
        <f t="shared" si="4"/>
        <v>118.6444</v>
      </c>
      <c r="H11" s="46">
        <f t="shared" si="5"/>
        <v>118.6444</v>
      </c>
      <c r="I11" s="47">
        <f t="shared" si="2"/>
        <v>237.28880000000001</v>
      </c>
      <c r="J11" s="35">
        <f>10120+6220</f>
        <v>16340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7464467</v>
      </c>
      <c r="C12" s="50">
        <f t="shared" si="0"/>
        <v>4026</v>
      </c>
      <c r="D12" s="44">
        <f t="shared" si="7"/>
        <v>852.96611466000002</v>
      </c>
      <c r="E12" s="45">
        <v>595889</v>
      </c>
      <c r="F12" s="51">
        <f t="shared" si="1"/>
        <v>0</v>
      </c>
      <c r="G12" s="41">
        <f t="shared" si="4"/>
        <v>0</v>
      </c>
      <c r="H12" s="41">
        <f t="shared" si="5"/>
        <v>0</v>
      </c>
      <c r="I12" s="47">
        <f t="shared" si="2"/>
        <v>0</v>
      </c>
      <c r="J12" s="35">
        <f>10120+6220</f>
        <v>16340</v>
      </c>
      <c r="K12" s="36">
        <f t="shared" si="3"/>
        <v>-10</v>
      </c>
      <c r="L12" s="37">
        <f t="shared" si="6"/>
        <v>-7</v>
      </c>
    </row>
    <row r="13" spans="1:12" ht="32.450000000000003" customHeight="1">
      <c r="A13" s="43">
        <v>8</v>
      </c>
      <c r="B13" s="43">
        <v>7468493</v>
      </c>
      <c r="C13" s="52">
        <f t="shared" si="0"/>
        <v>5313</v>
      </c>
      <c r="D13" s="44">
        <f t="shared" si="7"/>
        <v>1125.63561033</v>
      </c>
      <c r="E13" s="45">
        <v>595889</v>
      </c>
      <c r="F13" s="53">
        <f t="shared" si="1"/>
        <v>180</v>
      </c>
      <c r="G13" s="46">
        <f t="shared" si="4"/>
        <v>152.5428</v>
      </c>
      <c r="H13" s="46">
        <f t="shared" si="5"/>
        <v>152.5428</v>
      </c>
      <c r="I13" s="47">
        <f t="shared" si="2"/>
        <v>305.0856</v>
      </c>
      <c r="J13" s="35">
        <f>10120+6230</f>
        <v>16350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7473806</v>
      </c>
      <c r="C14" s="50">
        <f t="shared" si="0"/>
        <v>3800</v>
      </c>
      <c r="D14" s="44">
        <f t="shared" si="7"/>
        <v>805.08475799999997</v>
      </c>
      <c r="E14" s="45">
        <v>596069</v>
      </c>
      <c r="F14" s="51">
        <f t="shared" si="1"/>
        <v>301</v>
      </c>
      <c r="G14" s="46">
        <f t="shared" si="4"/>
        <v>255.08545999999998</v>
      </c>
      <c r="H14" s="41">
        <f t="shared" si="5"/>
        <v>255.08545999999998</v>
      </c>
      <c r="I14" s="47">
        <f t="shared" si="2"/>
        <v>510.17091999999997</v>
      </c>
      <c r="J14" s="35">
        <f>10120+6230</f>
        <v>16350</v>
      </c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>
        <v>7477606</v>
      </c>
      <c r="C15" s="52">
        <f t="shared" si="0"/>
        <v>3796</v>
      </c>
      <c r="D15" s="44">
        <f t="shared" si="7"/>
        <v>804.23730036000006</v>
      </c>
      <c r="E15" s="45">
        <v>596370</v>
      </c>
      <c r="F15" s="53">
        <f t="shared" si="1"/>
        <v>289</v>
      </c>
      <c r="G15" s="46">
        <f t="shared" si="4"/>
        <v>244.91594000000001</v>
      </c>
      <c r="H15" s="46">
        <f t="shared" si="5"/>
        <v>244.91594000000001</v>
      </c>
      <c r="I15" s="47">
        <f t="shared" si="2"/>
        <v>489.83188000000001</v>
      </c>
      <c r="J15" s="35">
        <f>10120+6230</f>
        <v>16350</v>
      </c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>
        <v>7481402</v>
      </c>
      <c r="C16" s="50">
        <f>B17-B16</f>
        <v>14043</v>
      </c>
      <c r="D16" s="44">
        <f t="shared" si="7"/>
        <v>2975.2119096300003</v>
      </c>
      <c r="E16" s="45">
        <v>596659</v>
      </c>
      <c r="F16" s="51">
        <f>E17-E16</f>
        <v>290</v>
      </c>
      <c r="G16" s="41">
        <f t="shared" si="4"/>
        <v>245.76339999999999</v>
      </c>
      <c r="H16" s="41">
        <f t="shared" si="5"/>
        <v>245.76339999999999</v>
      </c>
      <c r="I16" s="47">
        <f t="shared" si="2"/>
        <v>491.52679999999998</v>
      </c>
      <c r="J16" s="35">
        <f>10120+6230</f>
        <v>16350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7495445</v>
      </c>
      <c r="C17" s="52">
        <f t="shared" ref="C17:C35" si="8">B18-B17</f>
        <v>-7495445</v>
      </c>
      <c r="D17" s="44">
        <f t="shared" si="7"/>
        <v>-1588018.03261245</v>
      </c>
      <c r="E17" s="45">
        <v>596949</v>
      </c>
      <c r="F17" s="53">
        <f t="shared" ref="F17:F35" si="9">E18-E17</f>
        <v>-596949</v>
      </c>
      <c r="G17" s="46">
        <f t="shared" si="4"/>
        <v>-505890.39954000001</v>
      </c>
      <c r="H17" s="46">
        <f t="shared" si="5"/>
        <v>-505890.39954000001</v>
      </c>
      <c r="I17" s="47">
        <f t="shared" si="2"/>
        <v>-1011780.79908</v>
      </c>
      <c r="J17" s="35">
        <f>10120+6230</f>
        <v>16350</v>
      </c>
      <c r="K17" s="36">
        <f t="shared" si="3"/>
        <v>16350</v>
      </c>
      <c r="L17" s="37">
        <f t="shared" si="6"/>
        <v>11445</v>
      </c>
    </row>
    <row r="18" spans="1:12" ht="32.450000000000003" customHeight="1">
      <c r="A18" s="38">
        <v>13</v>
      </c>
      <c r="B18" s="38"/>
      <c r="C18" s="50">
        <f t="shared" si="8"/>
        <v>0</v>
      </c>
      <c r="D18" s="44">
        <f t="shared" si="7"/>
        <v>0</v>
      </c>
      <c r="E18" s="48"/>
      <c r="F18" s="51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/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/>
      <c r="C19" s="52">
        <f t="shared" si="8"/>
        <v>0</v>
      </c>
      <c r="D19" s="44">
        <f t="shared" si="7"/>
        <v>0</v>
      </c>
      <c r="E19" s="49"/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/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/>
      <c r="C20" s="50">
        <f t="shared" si="8"/>
        <v>0</v>
      </c>
      <c r="D20" s="44">
        <f t="shared" si="7"/>
        <v>0</v>
      </c>
      <c r="E20" s="48"/>
      <c r="F20" s="51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/>
      <c r="C21" s="52">
        <f t="shared" si="8"/>
        <v>0</v>
      </c>
      <c r="D21" s="44">
        <f t="shared" si="7"/>
        <v>0</v>
      </c>
      <c r="E21" s="81"/>
      <c r="F21" s="53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35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54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7D32A88E-4F20-4310-AD4B-B43665ADED7A}"/>
</file>

<file path=customXml/itemProps3.xml><?xml version="1.0" encoding="utf-8"?>
<ds:datastoreItem xmlns:ds="http://schemas.openxmlformats.org/officeDocument/2006/customXml" ds:itemID="{8169A055-6880-4B7E-B153-32E81666C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2023-02-13T05:25:41Z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