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35" yWindow="45" windowWidth="12150" windowHeight="11160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Z24" i="3"/>
  <c r="C26" l="1"/>
  <c r="C24"/>
  <c r="C25"/>
  <c r="C27"/>
  <c r="H29" i="1" l="1"/>
  <c r="A24" l="1"/>
  <c r="D14" i="73"/>
  <c r="D13"/>
  <c r="D12"/>
  <c r="D11"/>
  <c r="C15" i="77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D5" i="73"/>
  <c r="AM6" i="5" s="1"/>
  <c r="D6" i="73"/>
  <c r="D7"/>
  <c r="D8"/>
  <c r="D9"/>
  <c r="D10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X15" i="76"/>
  <c r="Y15"/>
  <c r="AA12"/>
  <c r="AB12"/>
  <c r="AC12"/>
  <c r="AA13"/>
  <c r="AB13"/>
  <c r="AC13"/>
  <c r="AA14"/>
  <c r="AB14"/>
  <c r="AC14"/>
  <c r="AA15"/>
  <c r="AB15"/>
  <c r="AC15"/>
  <c r="AA16"/>
  <c r="AB16"/>
  <c r="AC16"/>
  <c r="AA17"/>
  <c r="AB17"/>
  <c r="AC17"/>
  <c r="AA18"/>
  <c r="AB18"/>
  <c r="AC18"/>
  <c r="AA19"/>
  <c r="AB19"/>
  <c r="AC19"/>
  <c r="W9"/>
  <c r="X9"/>
  <c r="Y9"/>
  <c r="Z9"/>
  <c r="AA9"/>
  <c r="AB9"/>
  <c r="AC9"/>
  <c r="AD9"/>
  <c r="AE9"/>
  <c r="AF9"/>
  <c r="W10"/>
  <c r="X10"/>
  <c r="Y10"/>
  <c r="Z10"/>
  <c r="AA10"/>
  <c r="AB10"/>
  <c r="AC10"/>
  <c r="AD10"/>
  <c r="AE10"/>
  <c r="AF10"/>
  <c r="W11"/>
  <c r="X11"/>
  <c r="Y11"/>
  <c r="Z11"/>
  <c r="AA11"/>
  <c r="AB11"/>
  <c r="AC11"/>
  <c r="AD11"/>
  <c r="AE11"/>
  <c r="AF11"/>
  <c r="V10"/>
  <c r="V11"/>
  <c r="V9"/>
  <c r="W15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J5" i="7"/>
  <c r="BK5"/>
  <c r="AR5"/>
  <c r="AS5"/>
  <c r="AT5"/>
  <c r="AU5"/>
  <c r="AV5"/>
  <c r="AW5"/>
  <c r="AX5"/>
  <c r="AY5"/>
  <c r="AZ5"/>
  <c r="BA5"/>
  <c r="BB5"/>
  <c r="BC5"/>
  <c r="BD5"/>
  <c r="BE5"/>
  <c r="BF5"/>
  <c r="BG5"/>
  <c r="BH5"/>
  <c r="BI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B6" i="3"/>
  <c r="B7" s="1"/>
  <c r="B13" s="1"/>
  <c r="B14" s="1"/>
  <c r="B20" s="1"/>
  <c r="B21" s="1"/>
  <c r="C22" s="1"/>
  <c r="C2"/>
  <c r="D2"/>
  <c r="E2"/>
  <c r="F2"/>
  <c r="G2"/>
  <c r="H2"/>
  <c r="I2"/>
  <c r="J2"/>
  <c r="K2"/>
  <c r="L2"/>
  <c r="M2"/>
  <c r="N2"/>
  <c r="O2"/>
  <c r="P2"/>
  <c r="Q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2"/>
  <c r="AX9" i="5"/>
  <c r="AX10" s="1"/>
  <c r="AX12" s="1"/>
  <c r="AX14" s="1"/>
  <c r="AX16" s="1"/>
  <c r="AX17" s="1"/>
  <c r="AX20" s="1"/>
  <c r="AX23" s="1"/>
  <c r="AX24" s="1"/>
  <c r="AX26" s="1"/>
  <c r="AX30" s="1"/>
  <c r="AX31" s="1"/>
  <c r="AX33" s="1"/>
  <c r="AX36" s="1"/>
  <c r="AV9"/>
  <c r="AV10" s="1"/>
  <c r="AV12" s="1"/>
  <c r="AV14" s="1"/>
  <c r="AV16" s="1"/>
  <c r="AV17" s="1"/>
  <c r="AV19" s="1"/>
  <c r="AV20" s="1"/>
  <c r="AV23" s="1"/>
  <c r="AV24" s="1"/>
  <c r="AV26" s="1"/>
  <c r="AV27" s="1"/>
  <c r="AV30" s="1"/>
  <c r="AV31" s="1"/>
  <c r="AV33" s="1"/>
  <c r="AV36" s="1"/>
  <c r="AT10"/>
  <c r="AT13" s="1"/>
  <c r="AT14" s="1"/>
  <c r="AT16" s="1"/>
  <c r="AT17" s="1"/>
  <c r="AT19" s="1"/>
  <c r="AT20" s="1"/>
  <c r="AT23" s="1"/>
  <c r="AT24" s="1"/>
  <c r="AT30" s="1"/>
  <c r="AT31" s="1"/>
  <c r="AT33" s="1"/>
  <c r="AT36" s="1"/>
  <c r="BG5"/>
  <c r="AT5"/>
  <c r="AU5"/>
  <c r="AV5"/>
  <c r="AW5"/>
  <c r="AX5"/>
  <c r="AY5"/>
  <c r="AZ5"/>
  <c r="BA5"/>
  <c r="BB5"/>
  <c r="BC5"/>
  <c r="BD5"/>
  <c r="BE5"/>
  <c r="BF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M7" i="1"/>
  <c r="M8" s="1"/>
  <c r="M9" s="1"/>
  <c r="M10" s="1"/>
  <c r="M11" s="1"/>
  <c r="M12" s="1"/>
  <c r="M13" s="1"/>
  <c r="M15" s="1"/>
  <c r="M16" s="1"/>
  <c r="M17" s="1"/>
  <c r="M18" s="1"/>
  <c r="M19" s="1"/>
  <c r="M20" s="1"/>
  <c r="M22" s="1"/>
  <c r="M23" s="1"/>
  <c r="M24" s="1"/>
  <c r="M25" s="1"/>
  <c r="M26" s="1"/>
  <c r="M27" s="1"/>
  <c r="M28" s="1"/>
  <c r="M29" s="1"/>
  <c r="M30" s="1"/>
  <c r="M31" s="1"/>
  <c r="M35" s="1"/>
  <c r="K7"/>
  <c r="K8" s="1"/>
  <c r="K9" s="1"/>
  <c r="K10" s="1"/>
  <c r="K11" s="1"/>
  <c r="K12" s="1"/>
  <c r="K13" s="1"/>
  <c r="K15" s="1"/>
  <c r="K16" s="1"/>
  <c r="K17" s="1"/>
  <c r="K18" s="1"/>
  <c r="K19" s="1"/>
  <c r="K20" s="1"/>
  <c r="K22" s="1"/>
  <c r="K23" s="1"/>
  <c r="K24" s="1"/>
  <c r="K25" s="1"/>
  <c r="K26" s="1"/>
  <c r="K27" s="1"/>
  <c r="K28" s="1"/>
  <c r="K29" s="1"/>
  <c r="K30" s="1"/>
  <c r="K31" s="1"/>
  <c r="K35" s="1"/>
  <c r="H8"/>
  <c r="H9" s="1"/>
  <c r="H11" s="1"/>
  <c r="H12" s="1"/>
  <c r="H15" s="1"/>
  <c r="H16" s="1"/>
  <c r="H22" s="1"/>
  <c r="H23" s="1"/>
  <c r="H30" s="1"/>
  <c r="H32" s="1"/>
  <c r="H33" s="1"/>
  <c r="H34" s="1"/>
  <c r="H35" s="1"/>
  <c r="F6"/>
  <c r="F8"/>
  <c r="F9" s="1"/>
  <c r="F11" s="1"/>
  <c r="F15" s="1"/>
  <c r="F16" s="1"/>
  <c r="F21" s="1"/>
  <c r="F22" s="1"/>
  <c r="F23" s="1"/>
  <c r="F29" s="1"/>
  <c r="F30" s="1"/>
  <c r="F32" s="1"/>
  <c r="F33" s="1"/>
  <c r="F34" s="1"/>
  <c r="F35" s="1"/>
  <c r="B8"/>
  <c r="B9" s="1"/>
  <c r="B15" s="1"/>
  <c r="B16" s="1"/>
  <c r="B22" s="1"/>
  <c r="B23" s="1"/>
  <c r="B30" s="1"/>
  <c r="B35" s="1"/>
  <c r="C8"/>
  <c r="C9" s="1"/>
  <c r="C15" s="1"/>
  <c r="C16" s="1"/>
  <c r="C22" s="1"/>
  <c r="C23" s="1"/>
  <c r="C30" s="1"/>
  <c r="C35" s="1"/>
  <c r="AE6"/>
  <c r="AE7" s="1"/>
  <c r="AE8" s="1"/>
  <c r="AE9" s="1"/>
  <c r="AE10" s="1"/>
  <c r="AE11" s="1"/>
  <c r="AE12" s="1"/>
  <c r="AE13" s="1"/>
  <c r="AE15" s="1"/>
  <c r="AE16" s="1"/>
  <c r="AE17" s="1"/>
  <c r="AE18" s="1"/>
  <c r="AE19" s="1"/>
  <c r="AE21" s="1"/>
  <c r="AE22" s="1"/>
  <c r="AE23" s="1"/>
  <c r="AE24" s="1"/>
  <c r="AE25" s="1"/>
  <c r="AE26" s="1"/>
  <c r="AE27" s="1"/>
  <c r="AE28" s="1"/>
  <c r="AE29" s="1"/>
  <c r="AE30" s="1"/>
  <c r="AE33" s="1"/>
  <c r="AE34" s="1"/>
  <c r="AE35" s="1"/>
  <c r="C4"/>
  <c r="D4"/>
  <c r="E4"/>
  <c r="F4"/>
  <c r="G4"/>
  <c r="H4"/>
  <c r="I4"/>
  <c r="J4"/>
  <c r="K4"/>
  <c r="L4"/>
  <c r="M4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5" s="1"/>
  <c r="AC16" s="1"/>
  <c r="AC17" s="1"/>
  <c r="AC18" s="1"/>
  <c r="AC19" s="1"/>
  <c r="AC21" s="1"/>
  <c r="AC22" s="1"/>
  <c r="AC23" s="1"/>
  <c r="AC24" s="1"/>
  <c r="AC25" s="1"/>
  <c r="AC26" s="1"/>
  <c r="AC27" s="1"/>
  <c r="AC28" s="1"/>
  <c r="AC29" s="1"/>
  <c r="AC30" s="1"/>
  <c r="AC33" s="1"/>
  <c r="AC34" s="1"/>
  <c r="AC35" s="1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P7" i="2"/>
  <c r="P8" s="1"/>
  <c r="P14" s="1"/>
  <c r="P15" s="1"/>
  <c r="P21" s="1"/>
  <c r="P22" s="1"/>
  <c r="P28" s="1"/>
  <c r="P29" s="1"/>
  <c r="P34" s="1"/>
  <c r="L7"/>
  <c r="L8" s="1"/>
  <c r="L14" s="1"/>
  <c r="L15" s="1"/>
  <c r="L21" s="1"/>
  <c r="L22" s="1"/>
  <c r="L28" s="1"/>
  <c r="L29" s="1"/>
  <c r="L34" s="1"/>
  <c r="J7"/>
  <c r="J8" s="1"/>
  <c r="J14" s="1"/>
  <c r="J15" s="1"/>
  <c r="J21" s="1"/>
  <c r="J22" s="1"/>
  <c r="J28" s="1"/>
  <c r="J29" s="1"/>
  <c r="J34" s="1"/>
  <c r="H7"/>
  <c r="H8" s="1"/>
  <c r="H14" s="1"/>
  <c r="H15" s="1"/>
  <c r="H21" s="1"/>
  <c r="H22" s="1"/>
  <c r="H28" s="1"/>
  <c r="H29" s="1"/>
  <c r="H34" s="1"/>
  <c r="F7"/>
  <c r="F8" s="1"/>
  <c r="F14" s="1"/>
  <c r="F15" s="1"/>
  <c r="F21" s="1"/>
  <c r="F22" s="1"/>
  <c r="F28" s="1"/>
  <c r="F29" s="1"/>
  <c r="F34" s="1"/>
  <c r="D7"/>
  <c r="D8" s="1"/>
  <c r="D14" s="1"/>
  <c r="D15" s="1"/>
  <c r="D21" s="1"/>
  <c r="D22" s="1"/>
  <c r="D28" s="1"/>
  <c r="D29" s="1"/>
  <c r="D34" s="1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D3"/>
  <c r="C3"/>
  <c r="Q24" i="1" l="1"/>
  <c r="Q25" s="1"/>
  <c r="Q26" s="1"/>
  <c r="Q27" s="1"/>
  <c r="Q28" s="1"/>
  <c r="Q29" s="1"/>
  <c r="Q30" s="1"/>
  <c r="Q31" s="1"/>
  <c r="Q33" s="1"/>
  <c r="Q34" s="1"/>
  <c r="Q35" s="1"/>
  <c r="I30"/>
  <c r="E29" i="2"/>
  <c r="E30"/>
  <c r="C29" i="3" l="1"/>
  <c r="C28"/>
  <c r="AM18" i="5"/>
  <c r="B33" i="3" l="1"/>
  <c r="C30"/>
  <c r="Z6" i="7"/>
  <c r="Z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Y4" i="2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W4"/>
  <c r="W6"/>
  <c r="W7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AF14" i="1" l="1"/>
  <c r="AF15"/>
  <c r="AF16"/>
  <c r="AF17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B4"/>
  <c r="B5" s="1"/>
  <c r="B6" s="1"/>
  <c r="B7" s="1"/>
  <c r="B8" s="1"/>
  <c r="B10" s="1"/>
  <c r="B11" s="1"/>
  <c r="B12" s="1"/>
  <c r="B13" s="1"/>
  <c r="B14" s="1"/>
  <c r="B15" s="1"/>
  <c r="B16" s="1"/>
  <c r="B17" s="1"/>
  <c r="B18" s="1"/>
  <c r="B19" s="1"/>
  <c r="B21" s="1"/>
  <c r="B22" s="1"/>
  <c r="B23" s="1"/>
  <c r="B24" s="1"/>
  <c r="B25" s="1"/>
  <c r="H4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1" s="1"/>
  <c r="H22" s="1"/>
  <c r="H23" s="1"/>
  <c r="H24" s="1"/>
  <c r="H25" s="1"/>
  <c r="H26" s="1"/>
  <c r="H27" s="1"/>
  <c r="H29" s="1"/>
  <c r="H30" s="1"/>
  <c r="H32" s="1"/>
  <c r="H33" s="1"/>
  <c r="H34" s="1"/>
  <c r="B26" l="1"/>
  <c r="C25"/>
  <c r="V28"/>
  <c r="V27"/>
  <c r="V26"/>
  <c r="B27" l="1"/>
  <c r="C26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C27" i="76" l="1"/>
  <c r="E15" i="77"/>
  <c r="E16"/>
  <c r="E17"/>
  <c r="E18"/>
  <c r="E14"/>
  <c r="B29" i="76" l="1"/>
  <c r="B30" s="1"/>
  <c r="B32" s="1"/>
  <c r="B33" s="1"/>
  <c r="B34" s="1"/>
  <c r="C28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F4" i="76"/>
  <c r="F5" s="1"/>
  <c r="F6" s="1"/>
  <c r="F7" s="1"/>
  <c r="F8" s="1"/>
  <c r="F10" s="1"/>
  <c r="F11" s="1"/>
  <c r="F12" s="1"/>
  <c r="F13" s="1"/>
  <c r="F14" s="1"/>
  <c r="F15" s="1"/>
  <c r="F16" s="1"/>
  <c r="F17" s="1"/>
  <c r="F18" s="1"/>
  <c r="F19" s="1"/>
  <c r="F21" s="1"/>
  <c r="F22" s="1"/>
  <c r="F23" s="1"/>
  <c r="F24" s="1"/>
  <c r="F25" s="1"/>
  <c r="F26" s="1"/>
  <c r="F27" s="1"/>
  <c r="F29" s="1"/>
  <c r="F30" s="1"/>
  <c r="F32" s="1"/>
  <c r="F33" s="1"/>
  <c r="F34" s="1"/>
  <c r="J4"/>
  <c r="J5" s="1"/>
  <c r="J6" s="1"/>
  <c r="J7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9" s="1"/>
  <c r="J30" s="1"/>
  <c r="J32" s="1"/>
  <c r="J33" s="1"/>
  <c r="J34" s="1"/>
  <c r="R3" i="3"/>
  <c r="R4" s="1"/>
  <c r="R5" s="1"/>
  <c r="R6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2" s="1"/>
  <c r="R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9" s="1"/>
  <c r="J20" s="1"/>
  <c r="J21" s="1"/>
  <c r="J22" s="1"/>
  <c r="J23" s="1"/>
  <c r="J24" s="1"/>
  <c r="J25" s="1"/>
  <c r="J26" s="1"/>
  <c r="J27" s="1"/>
  <c r="J28" s="1"/>
  <c r="J30" s="1"/>
  <c r="J31" s="1"/>
  <c r="J32" s="1"/>
  <c r="J33" s="1"/>
  <c r="V6" i="5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8" s="1"/>
  <c r="V29" s="1"/>
  <c r="V30" s="1"/>
  <c r="V31" s="1"/>
  <c r="V33" s="1"/>
  <c r="V34" s="1"/>
  <c r="V35" s="1"/>
  <c r="V36" s="1"/>
  <c r="G6"/>
  <c r="G8" s="1"/>
  <c r="G9" s="1"/>
  <c r="G10" s="1"/>
  <c r="G11" s="1"/>
  <c r="G12" s="1"/>
  <c r="G14" s="1"/>
  <c r="G16" s="1"/>
  <c r="G17" s="1"/>
  <c r="G19" s="1"/>
  <c r="G20" s="1"/>
  <c r="G21" s="1"/>
  <c r="G23" s="1"/>
  <c r="G24" s="1"/>
  <c r="G26" s="1"/>
  <c r="G27" s="1"/>
  <c r="G28" s="1"/>
  <c r="G29" s="1"/>
  <c r="G30" s="1"/>
  <c r="G31" s="1"/>
  <c r="G33" s="1"/>
  <c r="G34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3" s="1"/>
  <c r="X34" s="1"/>
  <c r="X35" s="1"/>
  <c r="X36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N5"/>
  <c r="AN6" s="1"/>
  <c r="AN7" s="1"/>
  <c r="AN8" s="1"/>
  <c r="AN9" s="1"/>
  <c r="AN10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8" s="1"/>
  <c r="AP9" s="1"/>
  <c r="AP10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I21" i="2" l="1"/>
  <c r="I20"/>
  <c r="D49" i="3"/>
  <c r="D48"/>
  <c r="D47"/>
  <c r="D46"/>
  <c r="D45"/>
  <c r="D42"/>
  <c r="D43" s="1"/>
  <c r="D44" s="1"/>
  <c r="D41"/>
  <c r="B43"/>
  <c r="C11"/>
  <c r="C3"/>
  <c r="I42"/>
  <c r="C8"/>
  <c r="C9"/>
  <c r="C10"/>
  <c r="I22" i="2" l="1"/>
  <c r="C5" i="3"/>
  <c r="C4"/>
  <c r="C6" l="1"/>
  <c r="C7"/>
  <c r="R11" i="74" l="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K13" i="3" l="1"/>
  <c r="K14" l="1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J39" i="74" l="1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T37" i="7" l="1"/>
  <c r="AJ31" i="3"/>
  <c r="AJ32"/>
  <c r="AJ33"/>
  <c r="Z6" i="5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1" s="1"/>
  <c r="Z23" s="1"/>
  <c r="Z24" s="1"/>
  <c r="Z25" s="1"/>
  <c r="Z26" s="1"/>
  <c r="Z27" s="1"/>
  <c r="Z28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J32" l="1"/>
  <c r="Z29"/>
  <c r="Z30" s="1"/>
  <c r="Z31" s="1"/>
  <c r="Z32" s="1"/>
  <c r="Z33" s="1"/>
  <c r="Z34" s="1"/>
  <c r="Z35" s="1"/>
  <c r="Z36" s="1"/>
  <c r="Q7" i="2"/>
  <c r="M7"/>
  <c r="K7"/>
  <c r="I7"/>
  <c r="G7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AS37" i="7" l="1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BA34" i="7"/>
  <c r="G33" i="73"/>
  <c r="K33"/>
  <c r="A34"/>
  <c r="AM35" i="5"/>
  <c r="G34" i="73"/>
  <c r="K34"/>
  <c r="A35"/>
  <c r="AM36" i="5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A31" i="3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L31" i="82" l="1"/>
  <c r="O31" i="81"/>
  <c r="L30" i="82"/>
  <c r="O30" i="81"/>
  <c r="BA36" i="7"/>
  <c r="AM34" i="5"/>
  <c r="S31" i="3"/>
  <c r="U31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W28" i="76"/>
  <c r="G32"/>
  <c r="L32" s="1"/>
  <c r="I32"/>
  <c r="M32" s="1"/>
  <c r="K32"/>
  <c r="N32" s="1"/>
  <c r="BA36" i="5"/>
  <c r="BA34"/>
  <c r="Y34"/>
  <c r="H34"/>
  <c r="H36"/>
  <c r="N33" i="1"/>
  <c r="L33"/>
  <c r="I33"/>
  <c r="G33"/>
  <c r="J33" l="1"/>
  <c r="AI31" i="3"/>
  <c r="S33"/>
  <c r="U33" s="1"/>
  <c r="AB34" i="7"/>
  <c r="D34"/>
  <c r="Q34" i="2"/>
  <c r="Q33"/>
  <c r="M34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K33"/>
  <c r="N33" s="1"/>
  <c r="G34"/>
  <c r="G33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D36" i="7"/>
  <c r="F34"/>
  <c r="D35"/>
  <c r="H31" i="82"/>
  <c r="N33" i="2"/>
  <c r="R33" s="1"/>
  <c r="N34"/>
  <c r="E30" i="81"/>
  <c r="S32" i="76"/>
  <c r="R32" i="2"/>
  <c r="L34" i="76"/>
  <c r="D33"/>
  <c r="L33"/>
  <c r="J31" i="82"/>
  <c r="J35" i="1"/>
  <c r="J34"/>
  <c r="E32" i="76" l="1"/>
  <c r="R34" i="2"/>
  <c r="D35" i="1"/>
  <c r="E35" s="1"/>
  <c r="D34" i="76"/>
  <c r="I35" i="79"/>
  <c r="AB35" i="7"/>
  <c r="AB36"/>
  <c r="AF34"/>
  <c r="F36"/>
  <c r="H34"/>
  <c r="F35"/>
  <c r="S34" i="76"/>
  <c r="T34" s="1"/>
  <c r="E31" i="81"/>
  <c r="S33" i="76"/>
  <c r="L35"/>
  <c r="E33" l="1"/>
  <c r="C32"/>
  <c r="I36" i="79"/>
  <c r="AH34" i="7"/>
  <c r="AD35"/>
  <c r="AD36"/>
  <c r="H36"/>
  <c r="J34"/>
  <c r="H35"/>
  <c r="C34" i="76" l="1"/>
  <c r="E34"/>
  <c r="C33"/>
  <c r="AF36" i="7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K22"/>
  <c r="M22"/>
  <c r="Q22"/>
  <c r="N22" l="1"/>
  <c r="R22" s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12" i="2" l="1"/>
  <c r="E9"/>
  <c r="E10"/>
  <c r="E11"/>
  <c r="AF34" i="3" l="1"/>
  <c r="F37" i="5"/>
  <c r="AT38" i="7" l="1"/>
  <c r="Y23" i="1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G30"/>
  <c r="D30"/>
  <c r="E30" s="1"/>
  <c r="J30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Y28" i="5" l="1"/>
  <c r="M20" i="2"/>
  <c r="K20"/>
  <c r="G20"/>
  <c r="N19"/>
  <c r="B3"/>
  <c r="A3"/>
  <c r="R19" l="1"/>
  <c r="S19" i="76"/>
  <c r="K21" i="2"/>
  <c r="N20"/>
  <c r="R20" s="1"/>
  <c r="G21"/>
  <c r="M21"/>
  <c r="Q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Z6" s="1"/>
  <c r="AU7" l="1"/>
  <c r="AZ7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30" i="2" l="1"/>
  <c r="R30" s="1"/>
  <c r="O34" i="79"/>
  <c r="M35"/>
  <c r="Q31" i="2"/>
  <c r="M31"/>
  <c r="G31"/>
  <c r="K31"/>
  <c r="I31"/>
  <c r="I4"/>
  <c r="G4"/>
  <c r="M36" i="79" l="1"/>
  <c r="O36" s="1"/>
  <c r="O35"/>
  <c r="N31" i="2"/>
  <c r="R31" s="1"/>
  <c r="G5"/>
  <c r="F38" i="5" l="1"/>
  <c r="A19" i="76" l="1"/>
  <c r="AJ9" i="3" l="1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A32" i="1" l="1"/>
  <c r="Y32"/>
  <c r="AB32" s="1"/>
  <c r="R32"/>
  <c r="S32"/>
  <c r="T32" s="1"/>
  <c r="N32"/>
  <c r="L32"/>
  <c r="I32"/>
  <c r="G32"/>
  <c r="D32"/>
  <c r="E32" s="1"/>
  <c r="V32" l="1"/>
  <c r="J32"/>
  <c r="U32"/>
  <c r="H13" i="82" l="1"/>
  <c r="A14" i="5"/>
  <c r="H14" i="82" l="1"/>
  <c r="H15" l="1"/>
  <c r="H17" l="1"/>
  <c r="H18" l="1"/>
  <c r="H19" l="1"/>
  <c r="H20" l="1"/>
  <c r="H21" l="1"/>
  <c r="H22"/>
  <c r="H23" l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H24" i="82" l="1"/>
  <c r="I17" i="79"/>
  <c r="L17" i="1"/>
  <c r="H25" i="82" l="1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AM24" i="5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G5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G19" i="76" l="1"/>
  <c r="L19" s="1"/>
  <c r="I19"/>
  <c r="M19" s="1"/>
  <c r="K18"/>
  <c r="N18" s="1"/>
  <c r="D18" l="1"/>
  <c r="E18" s="1"/>
  <c r="I20"/>
  <c r="M18"/>
  <c r="L18"/>
  <c r="K19"/>
  <c r="N19" s="1"/>
  <c r="D19" l="1"/>
  <c r="E19" s="1"/>
  <c r="I21"/>
  <c r="G20"/>
  <c r="K20"/>
  <c r="N20" s="1"/>
  <c r="D20" l="1"/>
  <c r="E20" s="1"/>
  <c r="M20"/>
  <c r="L20"/>
  <c r="G21"/>
  <c r="K21"/>
  <c r="N21" s="1"/>
  <c r="D21" l="1"/>
  <c r="E21" s="1"/>
  <c r="C29"/>
  <c r="M21"/>
  <c r="K22"/>
  <c r="D22" s="1"/>
  <c r="L21"/>
  <c r="N22" l="1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AM9" i="5"/>
  <c r="AM16"/>
  <c r="AM17"/>
  <c r="BA23" i="7"/>
  <c r="BA24"/>
  <c r="BA25"/>
  <c r="BA26"/>
  <c r="BA27"/>
  <c r="BA28"/>
  <c r="BA29"/>
  <c r="BA30"/>
  <c r="BA31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D6"/>
  <c r="E6" s="1"/>
  <c r="D5"/>
  <c r="E5" s="1"/>
  <c r="AB6" i="7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F4" i="82"/>
  <c r="G5"/>
  <c r="G6" i="1"/>
  <c r="I6"/>
  <c r="G7"/>
  <c r="K8" i="76"/>
  <c r="N8" s="1"/>
  <c r="I8"/>
  <c r="G8"/>
  <c r="Y10" i="5"/>
  <c r="R9" i="1"/>
  <c r="S8"/>
  <c r="AB9" i="7"/>
  <c r="D8" i="1"/>
  <c r="E8" s="1"/>
  <c r="E5" i="82"/>
  <c r="F5"/>
  <c r="I8" i="2"/>
  <c r="G6" i="82" s="1"/>
  <c r="G8" i="2"/>
  <c r="I6" i="82" s="1"/>
  <c r="I7" i="1"/>
  <c r="G8"/>
  <c r="R10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AB14" i="7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E9" i="82" l="1"/>
  <c r="N11" i="2"/>
  <c r="A35" i="76"/>
  <c r="D37" i="73" s="1"/>
  <c r="D7" i="76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AA14" i="7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B16" i="77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D16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K15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E12" i="82" l="1"/>
  <c r="N14" i="2"/>
  <c r="AR36" i="7"/>
  <c r="AR42" s="1"/>
  <c r="AR35"/>
  <c r="AR34"/>
  <c r="G36" i="76"/>
  <c r="AD28" s="1"/>
  <c r="B14" i="77"/>
  <c r="X34" i="7"/>
  <c r="X35"/>
  <c r="X36"/>
  <c r="U15" i="3"/>
  <c r="T16" i="1"/>
  <c r="I36" i="76"/>
  <c r="AD27" s="1"/>
  <c r="K36"/>
  <c r="AD26" s="1"/>
  <c r="D7" i="75"/>
  <c r="E7" s="1"/>
  <c r="J5" i="65"/>
  <c r="J12" i="82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AJ14" i="7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U16" i="5" l="1"/>
  <c r="AU17" s="1"/>
  <c r="AU18" s="1"/>
  <c r="AU19" s="1"/>
  <c r="AU20" s="1"/>
  <c r="AU21" s="1"/>
  <c r="AU22" s="1"/>
  <c r="AU23" s="1"/>
  <c r="AU24" s="1"/>
  <c r="AU25" s="1"/>
  <c r="AU26" s="1"/>
  <c r="AU27" s="1"/>
  <c r="AU28" s="1"/>
  <c r="AU29" s="1"/>
  <c r="AU30" s="1"/>
  <c r="AU31" s="1"/>
  <c r="AU32" s="1"/>
  <c r="AU33" s="1"/>
  <c r="AU34" s="1"/>
  <c r="AU35" s="1"/>
  <c r="AU36" s="1"/>
  <c r="AZ15"/>
  <c r="I17" i="82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BC15" i="5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Z17" i="5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Z19" i="5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AD21" i="7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Z20" i="5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Y11"/>
  <c r="B14" i="65"/>
  <c r="W14" i="1"/>
  <c r="Y8" i="7"/>
  <c r="AR8" s="1"/>
  <c r="X7"/>
  <c r="Y13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s="1"/>
  <c r="AS6" s="1"/>
  <c r="AZ21" i="5" l="1"/>
  <c r="BC21" s="1"/>
  <c r="AR11" i="7"/>
  <c r="AS11" s="1"/>
  <c r="AR13"/>
  <c r="AS14" s="1"/>
  <c r="C16" i="3"/>
  <c r="AS10" i="7"/>
  <c r="AS9"/>
  <c r="BC15"/>
  <c r="E21" i="82"/>
  <c r="D22" i="65"/>
  <c r="T25" i="1"/>
  <c r="J21" i="82"/>
  <c r="D24" i="75"/>
  <c r="E24" s="1"/>
  <c r="S21" i="76"/>
  <c r="X13" i="7"/>
  <c r="X10"/>
  <c r="BC10"/>
  <c r="AN18"/>
  <c r="X9"/>
  <c r="X15"/>
  <c r="X11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12" l="1"/>
  <c r="AS13"/>
  <c r="C17" i="3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Z24" i="5"/>
  <c r="AZ22"/>
  <c r="BC22" s="1"/>
  <c r="AQ10" i="7"/>
  <c r="BC11"/>
  <c r="AQ13"/>
  <c r="BC14"/>
  <c r="BC13"/>
  <c r="B16" i="65"/>
  <c r="W16" i="1"/>
  <c r="H28" i="5"/>
  <c r="AO20" i="7"/>
  <c r="Y16"/>
  <c r="AR16" s="1"/>
  <c r="AS16" s="1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I25" i="82"/>
  <c r="D24" i="65"/>
  <c r="T27" i="1"/>
  <c r="J23" i="82"/>
  <c r="S23" i="76"/>
  <c r="AN20" i="7"/>
  <c r="X16"/>
  <c r="AZ23" i="5"/>
  <c r="BC23" s="1"/>
  <c r="B17" i="65"/>
  <c r="AO21" i="7"/>
  <c r="Y17"/>
  <c r="AR17" s="1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S17" i="7"/>
  <c r="I26" i="82"/>
  <c r="T28" i="1"/>
  <c r="J24" i="82"/>
  <c r="D27" i="75"/>
  <c r="E27" s="1"/>
  <c r="S24" i="76"/>
  <c r="AN21" i="7"/>
  <c r="BC24" i="5"/>
  <c r="X17" i="7"/>
  <c r="B18" i="65"/>
  <c r="H30" i="5"/>
  <c r="AO22" i="7"/>
  <c r="Y29" i="1"/>
  <c r="AB29" s="1"/>
  <c r="Y18" i="7"/>
  <c r="AR18" s="1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S18" i="7" l="1"/>
  <c r="C20" i="3"/>
  <c r="I27" i="82"/>
  <c r="D26" i="65"/>
  <c r="T29" i="1"/>
  <c r="J25" i="82"/>
  <c r="S25" i="76"/>
  <c r="X18" i="7"/>
  <c r="AN22"/>
  <c r="AZ25" i="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I28" i="82"/>
  <c r="J26"/>
  <c r="S26" i="76"/>
  <c r="AN23" i="7"/>
  <c r="AZ26" i="5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AH27" i="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I29" i="82" l="1"/>
  <c r="U30" i="3"/>
  <c r="D28" i="65"/>
  <c r="T31" i="1"/>
  <c r="S27" i="76"/>
  <c r="J27" i="82"/>
  <c r="AN24" i="7"/>
  <c r="X20"/>
  <c r="AZ27" i="5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J29" i="82"/>
  <c r="AN26" i="7"/>
  <c r="AZ29" i="5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Z31" i="5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X24" i="7"/>
  <c r="AN28"/>
  <c r="BC31" i="5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D35" i="75"/>
  <c r="E35" s="1"/>
  <c r="AN29" i="7"/>
  <c r="AZ32" i="5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S26" i="7"/>
  <c r="X26"/>
  <c r="AN30"/>
  <c r="AZ33" i="5"/>
  <c r="G8" i="77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Z36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C31" i="3" l="1"/>
  <c r="B34" i="65"/>
  <c r="X33" i="7"/>
  <c r="AR43" l="1"/>
  <c r="AR44" s="1"/>
  <c r="BC34"/>
  <c r="AS34"/>
  <c r="AS33"/>
  <c r="C32" i="3" l="1"/>
  <c r="AS40" i="7"/>
  <c r="C33" i="3" l="1"/>
  <c r="C35" s="1"/>
  <c r="H31" i="63"/>
  <c r="F34" i="65"/>
  <c r="B10" i="77" l="1"/>
  <c r="AA13" i="74" l="1"/>
  <c r="AB13"/>
  <c r="O86" l="1"/>
  <c r="N86"/>
  <c r="AB23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U17" i="3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S11" i="76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R14" i="2"/>
  <c r="E12" i="81" l="1"/>
  <c r="C12" i="63"/>
  <c r="D12" s="1"/>
  <c r="S14" i="76"/>
  <c r="H12" i="82"/>
  <c r="J15" i="65" l="1"/>
  <c r="C6" i="5" l="1"/>
  <c r="E6" s="1"/>
  <c r="C7" l="1"/>
  <c r="G3" i="63"/>
  <c r="I6" i="5"/>
  <c r="D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K28" i="82" l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F5" i="1" l="1"/>
  <c r="AH5" s="1"/>
  <c r="F5" i="75"/>
  <c r="G5" s="1"/>
  <c r="C5" i="65" l="1"/>
  <c r="E5" s="1"/>
  <c r="AI5" i="1"/>
  <c r="AF6"/>
  <c r="AH6" s="1"/>
  <c r="AF7" l="1"/>
  <c r="AH7" s="1"/>
  <c r="C6" i="65"/>
  <c r="E6" s="1"/>
  <c r="AI6" i="1"/>
  <c r="AW7" i="7" s="1"/>
  <c r="AW6"/>
  <c r="AF8" i="1" l="1"/>
  <c r="AH8" s="1"/>
  <c r="AI7"/>
  <c r="AW8" i="7" s="1"/>
  <c r="C7" i="65"/>
  <c r="E7" s="1"/>
  <c r="AJ6" i="1"/>
  <c r="AK6" s="1"/>
  <c r="G3" i="81"/>
  <c r="AX7" i="7"/>
  <c r="AX6"/>
  <c r="Q4" i="76" s="1"/>
  <c r="G2" i="81"/>
  <c r="AJ5" i="1"/>
  <c r="AK5" s="1"/>
  <c r="AF9" l="1"/>
  <c r="AH9" s="1"/>
  <c r="C8" i="65"/>
  <c r="E8" s="1"/>
  <c r="AI8" i="1"/>
  <c r="BJ7" i="7"/>
  <c r="AY7"/>
  <c r="Q5" i="76"/>
  <c r="G4" i="81"/>
  <c r="AJ7" i="1"/>
  <c r="AK7" s="1"/>
  <c r="AX8" i="7"/>
  <c r="BJ6"/>
  <c r="AY6"/>
  <c r="C9" i="65" l="1"/>
  <c r="E9" s="1"/>
  <c r="AI9" i="1"/>
  <c r="AW10" i="7" s="1"/>
  <c r="AW9"/>
  <c r="AF10" i="1"/>
  <c r="AH10" s="1"/>
  <c r="Q6" i="76"/>
  <c r="BJ8" i="7"/>
  <c r="AY8"/>
  <c r="AI10" i="1" l="1"/>
  <c r="C10" i="65"/>
  <c r="E10" s="1"/>
  <c r="AJ9" i="1"/>
  <c r="AK9" s="1"/>
  <c r="AX10" i="7"/>
  <c r="G6" i="81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Q8" i="76"/>
  <c r="BJ10" i="7"/>
  <c r="AY10"/>
  <c r="AY9"/>
  <c r="Q7" i="76"/>
  <c r="BJ9" i="7"/>
  <c r="AX11" l="1"/>
  <c r="AJ10" i="1"/>
  <c r="AK10" s="1"/>
  <c r="G7" i="81"/>
  <c r="AJ11" i="1"/>
  <c r="AK11" s="1"/>
  <c r="AX12" i="7"/>
  <c r="G8" i="81"/>
  <c r="AF13" i="1"/>
  <c r="AH13" s="1"/>
  <c r="AI12"/>
  <c r="C12" i="65"/>
  <c r="E12" s="1"/>
  <c r="AH14" i="1" l="1"/>
  <c r="C13" i="65"/>
  <c r="E13" s="1"/>
  <c r="AI13" i="1"/>
  <c r="AW14" i="7" s="1"/>
  <c r="AW13"/>
  <c r="Q9" i="76"/>
  <c r="AY11" i="7"/>
  <c r="BJ11"/>
  <c r="BJ12"/>
  <c r="Q10" i="76"/>
  <c r="AY12" i="7"/>
  <c r="AI14" i="1" l="1"/>
  <c r="AW15" i="7" s="1"/>
  <c r="C14" i="65"/>
  <c r="E14" s="1"/>
  <c r="AX14" i="7"/>
  <c r="AJ13" i="1"/>
  <c r="AK13" s="1"/>
  <c r="G10" i="81"/>
  <c r="AH15" i="1"/>
  <c r="AX13" i="7"/>
  <c r="Q11" i="76" s="1"/>
  <c r="AJ12" i="1"/>
  <c r="AK12" s="1"/>
  <c r="G9" i="81"/>
  <c r="Q12" i="76" l="1"/>
  <c r="AY14" i="7"/>
  <c r="BJ14"/>
  <c r="C15" i="65"/>
  <c r="E15" s="1"/>
  <c r="AI15" i="1"/>
  <c r="AW16" i="7" s="1"/>
  <c r="G11" i="81"/>
  <c r="AJ14" i="1"/>
  <c r="AK14" s="1"/>
  <c r="AX15" i="7"/>
  <c r="Q13" i="76" s="1"/>
  <c r="BJ13" i="7"/>
  <c r="AY13"/>
  <c r="AH16" i="1"/>
  <c r="C16" i="65" l="1"/>
  <c r="E16" s="1"/>
  <c r="AI16" i="1"/>
  <c r="AW17" i="7" s="1"/>
  <c r="AH17" i="1"/>
  <c r="BJ15" i="7"/>
  <c r="AY15"/>
  <c r="AX16"/>
  <c r="AJ15" i="1"/>
  <c r="AK15" s="1"/>
  <c r="G12" i="81"/>
  <c r="AY16" i="7" l="1"/>
  <c r="BJ16"/>
  <c r="Q14" i="76"/>
  <c r="AX17" i="7"/>
  <c r="AJ16" i="1"/>
  <c r="AK16" s="1"/>
  <c r="G13" i="81"/>
  <c r="AI17" i="1"/>
  <c r="AW18" i="7" s="1"/>
  <c r="C17" i="65"/>
  <c r="E17" s="1"/>
  <c r="AF18" i="1"/>
  <c r="AH18" s="1"/>
  <c r="G14" i="81" l="1"/>
  <c r="AJ17" i="1"/>
  <c r="AK17" s="1"/>
  <c r="AX18" i="7"/>
  <c r="BJ17"/>
  <c r="Q15" i="76"/>
  <c r="AY17" i="7"/>
  <c r="AF19" i="1"/>
  <c r="AH19" s="1"/>
  <c r="AI18"/>
  <c r="AW19" i="7" s="1"/>
  <c r="C18" i="65"/>
  <c r="E18" s="1"/>
  <c r="AX19" i="7" l="1"/>
  <c r="G15" i="81"/>
  <c r="AJ18" i="1"/>
  <c r="AK18" s="1"/>
  <c r="AF20"/>
  <c r="AH20" s="1"/>
  <c r="BJ18" i="7"/>
  <c r="Q16" i="76"/>
  <c r="AY18" i="7"/>
  <c r="C19" i="65"/>
  <c r="E19" s="1"/>
  <c r="AI19" i="1"/>
  <c r="AW20" i="7" s="1"/>
  <c r="AX20" s="1"/>
  <c r="AF21" i="1" l="1"/>
  <c r="AH21" s="1"/>
  <c r="AY19" i="7"/>
  <c r="BJ19"/>
  <c r="Q17" i="76"/>
  <c r="C20" i="65"/>
  <c r="E20" s="1"/>
  <c r="AI20" i="1"/>
  <c r="AW21" i="7" s="1"/>
  <c r="AJ19" i="1"/>
  <c r="AK19" s="1"/>
  <c r="G16" i="81"/>
  <c r="AX21" i="7" l="1"/>
  <c r="G17" i="81"/>
  <c r="AJ20" i="1"/>
  <c r="AK20" s="1"/>
  <c r="AF22"/>
  <c r="AH22" s="1"/>
  <c r="AI21"/>
  <c r="AW22" i="7" s="1"/>
  <c r="AX22" s="1"/>
  <c r="C21" i="65"/>
  <c r="E21" s="1"/>
  <c r="AY20" i="7"/>
  <c r="Q18" i="76"/>
  <c r="BJ20" i="7"/>
  <c r="C22" i="65" l="1"/>
  <c r="E22" s="1"/>
  <c r="AI22" i="1"/>
  <c r="AW23" i="7" s="1"/>
  <c r="Q19" i="76"/>
  <c r="AY21" i="7"/>
  <c r="BJ21"/>
  <c r="AF23" i="1"/>
  <c r="AH23" s="1"/>
  <c r="AJ21"/>
  <c r="AK21" s="1"/>
  <c r="G18" i="81"/>
  <c r="AF24" i="1" l="1"/>
  <c r="AH24" s="1"/>
  <c r="AY22" i="7"/>
  <c r="Q20" i="76"/>
  <c r="BJ22" i="7"/>
  <c r="AX23"/>
  <c r="AJ22" i="1"/>
  <c r="AK22" s="1"/>
  <c r="G19" i="81"/>
  <c r="AI23" i="1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X24"/>
  <c r="AJ23" i="1"/>
  <c r="AK23" s="1"/>
  <c r="G20" i="81"/>
  <c r="AF26" i="1" l="1"/>
  <c r="AH26" s="1"/>
  <c r="AX25" i="7"/>
  <c r="G21" i="81"/>
  <c r="AJ24" i="1"/>
  <c r="AK24" s="1"/>
  <c r="AI25"/>
  <c r="AW26" i="7" s="1"/>
  <c r="C25" i="65"/>
  <c r="E25" s="1"/>
  <c r="AY24" i="7"/>
  <c r="Q22" i="76"/>
  <c r="BJ24" i="7"/>
  <c r="AF27" i="1" l="1"/>
  <c r="AH27" s="1"/>
  <c r="C26" i="65"/>
  <c r="E26" s="1"/>
  <c r="AI26" i="1"/>
  <c r="AW27" i="7" s="1"/>
  <c r="AX26"/>
  <c r="AJ25" i="1"/>
  <c r="AK25" s="1"/>
  <c r="G22" i="81"/>
  <c r="AY25" i="7"/>
  <c r="BJ25"/>
  <c r="Q23" i="76"/>
  <c r="BJ26" i="7" l="1"/>
  <c r="Q24" i="76"/>
  <c r="AY26" i="7"/>
  <c r="AX27"/>
  <c r="G23" i="81"/>
  <c r="AJ26" i="1"/>
  <c r="AK26" s="1"/>
  <c r="AI27"/>
  <c r="AW28" i="7" s="1"/>
  <c r="C27" i="65"/>
  <c r="E27" s="1"/>
  <c r="AF28" i="1"/>
  <c r="AH28" s="1"/>
  <c r="W6" i="5"/>
  <c r="AL6" s="1"/>
  <c r="AX28" i="7" l="1"/>
  <c r="G24" i="81"/>
  <c r="AJ27" i="1"/>
  <c r="AK27" s="1"/>
  <c r="AY27" i="7"/>
  <c r="Q25" i="76"/>
  <c r="BJ27" i="7"/>
  <c r="AI28" i="1"/>
  <c r="AW29" i="7" s="1"/>
  <c r="C28" i="65"/>
  <c r="E28" s="1"/>
  <c r="W7" i="5"/>
  <c r="AL7" s="1"/>
  <c r="AF29" i="1"/>
  <c r="AH29" s="1"/>
  <c r="AF30" l="1"/>
  <c r="AH30" s="1"/>
  <c r="Q26" i="76"/>
  <c r="AY28" i="7"/>
  <c r="BJ28"/>
  <c r="AI29" i="1"/>
  <c r="AW30" i="7" s="1"/>
  <c r="C29" i="65"/>
  <c r="E29" s="1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W9" i="5"/>
  <c r="AL9" s="1"/>
  <c r="BJ29" i="7"/>
  <c r="AY29"/>
  <c r="Q27" i="76"/>
  <c r="AF32" i="1" l="1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I31" i="1"/>
  <c r="AW32" i="7" s="1"/>
  <c r="C31" i="65"/>
  <c r="E31" s="1"/>
  <c r="AI32" i="1" l="1"/>
  <c r="AW33" i="7" s="1"/>
  <c r="AF33" i="1"/>
  <c r="AH33" s="1"/>
  <c r="AI33" s="1"/>
  <c r="AY31" i="7"/>
  <c r="Q29" i="76"/>
  <c r="BJ31" i="7"/>
  <c r="G28" i="81"/>
  <c r="AJ31" i="1"/>
  <c r="AK31" s="1"/>
  <c r="AX32" i="7"/>
  <c r="W11" i="5"/>
  <c r="AL11" s="1"/>
  <c r="AW34" i="7" l="1"/>
  <c r="AF35" i="1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I34" i="1"/>
  <c r="AW35" i="7" s="1"/>
  <c r="AH36" i="1"/>
  <c r="W13" i="5"/>
  <c r="AL13" s="1"/>
  <c r="BJ33" i="7"/>
  <c r="AY33"/>
  <c r="Q31" i="76"/>
  <c r="G31" i="81" l="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Z22"/>
  <c r="Z23" l="1"/>
  <c r="K24"/>
  <c r="BK24" i="7"/>
  <c r="AG21" i="3"/>
  <c r="AL22"/>
  <c r="F22" i="63"/>
  <c r="AE22" i="3"/>
  <c r="AF22" s="1"/>
  <c r="AK22"/>
  <c r="K26" l="1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Z34" s="1"/>
  <c r="B18" i="77" s="1"/>
  <c r="W32" i="76" s="1"/>
  <c r="X32" s="1"/>
  <c r="Y32" s="1"/>
  <c r="BK33" i="7"/>
  <c r="AG30" i="3"/>
  <c r="AL33" l="1"/>
  <c r="AL34" s="1"/>
  <c r="B19" i="77" s="1"/>
  <c r="AE33" i="3"/>
  <c r="AF33" s="1"/>
  <c r="AK33"/>
  <c r="AG32"/>
  <c r="BK35" i="7"/>
  <c r="B20" i="77" l="1"/>
  <c r="AG33" i="3"/>
  <c r="BK36" i="7"/>
  <c r="F18" i="77"/>
  <c r="AB4" i="2" l="1"/>
  <c r="AB5" l="1"/>
  <c r="AB6" l="1"/>
  <c r="AB7" l="1"/>
  <c r="AB8" l="1"/>
  <c r="AB9" l="1"/>
  <c r="AB10" l="1"/>
  <c r="AB11" l="1"/>
  <c r="AB12" l="1"/>
  <c r="AB13" l="1"/>
  <c r="AB14" l="1"/>
  <c r="AB15" l="1"/>
  <c r="AB16" l="1"/>
  <c r="AB17" l="1"/>
  <c r="AB18" l="1"/>
  <c r="AB19" l="1"/>
  <c r="AB20" l="1"/>
  <c r="AB21" l="1"/>
  <c r="AB22" l="1"/>
  <c r="AB23" l="1"/>
  <c r="AB24" l="1"/>
  <c r="AB25" l="1"/>
  <c r="AB26" l="1"/>
  <c r="AB27" l="1"/>
  <c r="AB28" l="1"/>
  <c r="AB29" l="1"/>
  <c r="AB30" l="1"/>
  <c r="AB31" l="1"/>
  <c r="AB32" l="1"/>
  <c r="AB33" l="1"/>
  <c r="AB34"/>
  <c r="AB6" i="5" l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3" s="1"/>
  <c r="AB24" s="1"/>
  <c r="AB25" s="1"/>
  <c r="AB26" s="1"/>
  <c r="AB27" s="1"/>
  <c r="AB28" s="1"/>
  <c r="AB30" s="1"/>
  <c r="AB31" s="1"/>
  <c r="AB32" s="1"/>
  <c r="AB33" s="1"/>
  <c r="AB34" s="1"/>
  <c r="AB35" s="1"/>
  <c r="AB36" s="1"/>
  <c r="AD4" i="2" l="1"/>
  <c r="AD5" l="1"/>
  <c r="AD6" l="1"/>
  <c r="AD7" l="1"/>
  <c r="AD8" l="1"/>
  <c r="AD9" l="1"/>
  <c r="AD10" l="1"/>
  <c r="AD11" l="1"/>
  <c r="AD12" l="1"/>
  <c r="AD13" l="1"/>
  <c r="AD14" l="1"/>
  <c r="AD15" l="1"/>
  <c r="AD16" l="1"/>
  <c r="AD17" l="1"/>
  <c r="AD18" l="1"/>
  <c r="AD19" l="1"/>
  <c r="AD20" l="1"/>
  <c r="AD21" l="1"/>
  <c r="AD22" l="1"/>
  <c r="AD23" l="1"/>
  <c r="AD24" l="1"/>
  <c r="AD25" l="1"/>
  <c r="AD26" l="1"/>
  <c r="AD27" l="1"/>
  <c r="AD28" l="1"/>
  <c r="AD29" l="1"/>
  <c r="AD30" l="1"/>
  <c r="AD31" l="1"/>
  <c r="AD32" l="1"/>
  <c r="AD34" l="1"/>
  <c r="AD33"/>
  <c r="F33" i="3" l="1"/>
  <c r="AB33" s="1"/>
  <c r="AQ5" i="1"/>
  <c r="AS5"/>
  <c r="AO5"/>
  <c r="AT5" l="1"/>
  <c r="AU5" s="1"/>
  <c r="I2" i="81" s="1"/>
  <c r="AO6" i="1"/>
  <c r="AQ6"/>
  <c r="AS6"/>
  <c r="AT6" l="1"/>
  <c r="AU6" s="1"/>
  <c r="I3" i="81" s="1"/>
  <c r="AS7" i="1"/>
  <c r="AO7"/>
  <c r="AQ7"/>
  <c r="AT7" l="1"/>
  <c r="AU7" s="1"/>
  <c r="I4" i="81" s="1"/>
  <c r="AO8" i="1"/>
  <c r="AS8"/>
  <c r="AQ8"/>
  <c r="AQ9" l="1"/>
  <c r="AO9"/>
  <c r="AS9"/>
  <c r="AT8"/>
  <c r="AU8" s="1"/>
  <c r="I5" i="81" s="1"/>
  <c r="AT9" i="1" l="1"/>
  <c r="AU9" s="1"/>
  <c r="I6" i="81" s="1"/>
  <c r="AO10" i="1"/>
  <c r="AQ10"/>
  <c r="AS10"/>
  <c r="AT10" l="1"/>
  <c r="AU10" s="1"/>
  <c r="I7" i="81" s="1"/>
  <c r="AO11" i="1"/>
  <c r="AS11"/>
  <c r="AQ11"/>
  <c r="AT11" l="1"/>
  <c r="AU11" s="1"/>
  <c r="I8" i="81" s="1"/>
  <c r="AO12" i="1"/>
  <c r="AQ12"/>
  <c r="AS12"/>
  <c r="AQ13" l="1"/>
  <c r="AS13"/>
  <c r="AO13"/>
  <c r="AT12"/>
  <c r="AU12" s="1"/>
  <c r="I9" i="81" s="1"/>
  <c r="AO14" i="1" l="1"/>
  <c r="AS14"/>
  <c r="AQ14"/>
  <c r="AT13"/>
  <c r="AU13" s="1"/>
  <c r="I10" i="81" s="1"/>
  <c r="AS15" i="1" l="1"/>
  <c r="AO15"/>
  <c r="AQ15"/>
  <c r="AT14"/>
  <c r="AU14" s="1"/>
  <c r="I11" i="81" s="1"/>
  <c r="AS16" i="1" l="1"/>
  <c r="AQ16"/>
  <c r="AO16"/>
  <c r="AT15"/>
  <c r="AU15" s="1"/>
  <c r="I12" i="81" s="1"/>
  <c r="AQ17" i="1" l="1"/>
  <c r="AO17"/>
  <c r="AS17"/>
  <c r="AT16"/>
  <c r="AU16" s="1"/>
  <c r="I13" i="81" s="1"/>
  <c r="AQ18" i="1" l="1"/>
  <c r="AS18"/>
  <c r="AO18"/>
  <c r="AT17"/>
  <c r="AU17" s="1"/>
  <c r="I14" i="81" s="1"/>
  <c r="AQ19" i="1" l="1"/>
  <c r="AO19"/>
  <c r="AS19"/>
  <c r="AT18"/>
  <c r="AQ20" l="1"/>
  <c r="AU18"/>
  <c r="I15" i="81" s="1"/>
  <c r="AS20" i="1"/>
  <c r="AO20"/>
  <c r="AT19"/>
  <c r="AU19" s="1"/>
  <c r="I16" i="81" s="1"/>
  <c r="AT20" i="1" l="1"/>
  <c r="AU20" s="1"/>
  <c r="I17" i="81" s="1"/>
  <c r="AO21" i="1"/>
  <c r="AQ21"/>
  <c r="AS21"/>
  <c r="AO22" l="1"/>
  <c r="AT21"/>
  <c r="AU21" s="1"/>
  <c r="I18" i="81" s="1"/>
  <c r="AS22" i="1"/>
  <c r="AQ22"/>
  <c r="AT22" l="1"/>
  <c r="AS23"/>
  <c r="AO23"/>
  <c r="AQ23"/>
  <c r="AT23" l="1"/>
  <c r="AU23" s="1"/>
  <c r="I20" i="81" s="1"/>
  <c r="AU22" i="1"/>
  <c r="I19" i="81" s="1"/>
  <c r="AS24" i="1"/>
  <c r="AQ24"/>
  <c r="AO24"/>
  <c r="AS26" l="1"/>
  <c r="AO26"/>
  <c r="AT24"/>
  <c r="AO25"/>
  <c r="AS25"/>
  <c r="AQ25"/>
  <c r="AO27" l="1"/>
  <c r="AU24"/>
  <c r="I21" i="81" s="1"/>
  <c r="AS27" i="1"/>
  <c r="AT25"/>
  <c r="AQ26"/>
  <c r="AT26" s="1"/>
  <c r="AO28" l="1"/>
  <c r="AS28"/>
  <c r="AU25"/>
  <c r="I22" i="81" s="1"/>
  <c r="AU26" i="1"/>
  <c r="I23" i="81" s="1"/>
  <c r="AQ27" i="1"/>
  <c r="AT27" s="1"/>
  <c r="AU27" s="1"/>
  <c r="AS29" l="1"/>
  <c r="AO29"/>
  <c r="AQ28"/>
  <c r="AT28" s="1"/>
  <c r="AU28" s="1"/>
  <c r="I24" i="81"/>
  <c r="AO30" i="1" l="1"/>
  <c r="AS30"/>
  <c r="AQ29"/>
  <c r="AT29" s="1"/>
  <c r="AU29" s="1"/>
  <c r="I25" i="81"/>
  <c r="AO31" i="1" l="1"/>
  <c r="AS31"/>
  <c r="I26" i="81"/>
  <c r="AQ30" i="1"/>
  <c r="AT30" s="1"/>
  <c r="AU30" s="1"/>
  <c r="AS32" l="1"/>
  <c r="AO32"/>
  <c r="I27" i="81"/>
  <c r="AQ31" i="1"/>
  <c r="AT31" s="1"/>
  <c r="AU31" s="1"/>
  <c r="AO33" l="1"/>
  <c r="AS33"/>
  <c r="AQ32"/>
  <c r="AT32" s="1"/>
  <c r="AS35" l="1"/>
  <c r="AS34"/>
  <c r="AO34"/>
  <c r="AO35"/>
  <c r="AU32"/>
  <c r="I29" i="81" s="1"/>
  <c r="I28"/>
  <c r="AQ33" i="1"/>
  <c r="AT33" s="1"/>
  <c r="AU33" s="1"/>
  <c r="AQ35" l="1"/>
  <c r="AT35" s="1"/>
  <c r="AQ34"/>
  <c r="AT34" s="1"/>
  <c r="AU34" s="1"/>
  <c r="AU35" l="1"/>
  <c r="I30" i="81"/>
  <c r="I31" l="1"/>
  <c r="AU36" i="1" l="1"/>
  <c r="AU38" s="1"/>
  <c r="AV6" i="7" l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H11" i="81"/>
  <c r="H12" l="1"/>
  <c r="H13" l="1"/>
  <c r="H14" l="1"/>
  <c r="H15" l="1"/>
  <c r="H16" l="1"/>
  <c r="H17" l="1"/>
  <c r="H18" l="1"/>
  <c r="H19" l="1"/>
  <c r="H20" l="1"/>
  <c r="H21" l="1"/>
  <c r="H22" l="1"/>
  <c r="H23" l="1"/>
  <c r="H24" l="1"/>
  <c r="H25" l="1"/>
  <c r="H26" l="1"/>
  <c r="H27" l="1"/>
  <c r="H28" l="1"/>
  <c r="H29" l="1"/>
  <c r="H30" l="1"/>
  <c r="H31" l="1"/>
  <c r="K6" i="5" l="1"/>
  <c r="K7" s="1"/>
  <c r="K8" l="1"/>
  <c r="L7"/>
  <c r="H4" i="63" l="1"/>
  <c r="F7" i="65"/>
  <c r="AK7" i="5"/>
  <c r="K9"/>
  <c r="L8"/>
  <c r="K10" l="1"/>
  <c r="L9"/>
  <c r="F8" i="65"/>
  <c r="H5" i="63"/>
  <c r="AK8" i="5"/>
  <c r="K11" l="1"/>
  <c r="L10"/>
  <c r="AK9"/>
  <c r="F9" i="65"/>
  <c r="H6" i="63"/>
  <c r="K12" i="5" l="1"/>
  <c r="L11"/>
  <c r="AK10"/>
  <c r="F10" i="65"/>
  <c r="H7" i="63"/>
  <c r="AK11" i="5" l="1"/>
  <c r="H8" i="63"/>
  <c r="F11" i="65"/>
  <c r="K13" i="5"/>
  <c r="L12"/>
  <c r="AK12" l="1"/>
  <c r="H9" i="63"/>
  <c r="F12" i="65"/>
  <c r="K14" i="5"/>
  <c r="L13"/>
  <c r="AK13" l="1"/>
  <c r="F13" i="65"/>
  <c r="H10" i="63"/>
  <c r="K15" i="5"/>
  <c r="L14"/>
  <c r="K16" l="1"/>
  <c r="L15"/>
  <c r="AK14"/>
  <c r="F14" i="65"/>
  <c r="H11" i="63"/>
  <c r="K17" i="5" l="1"/>
  <c r="L16"/>
  <c r="AK15"/>
  <c r="F15" i="65"/>
  <c r="H12" i="63"/>
  <c r="K18" i="5" l="1"/>
  <c r="L17"/>
  <c r="AK16"/>
  <c r="H13" i="63"/>
  <c r="F16" i="65"/>
  <c r="K19" i="5" l="1"/>
  <c r="L18"/>
  <c r="AK17"/>
  <c r="H14" i="63"/>
  <c r="F17" i="65"/>
  <c r="K20" i="5" l="1"/>
  <c r="L19"/>
  <c r="AK18"/>
  <c r="F18" i="65"/>
  <c r="H15" i="63"/>
  <c r="K21" i="5" l="1"/>
  <c r="L20"/>
  <c r="AK19"/>
  <c r="H16" i="63"/>
  <c r="F19" i="65"/>
  <c r="H2" i="63"/>
  <c r="F5" i="65"/>
  <c r="K22" i="5" l="1"/>
  <c r="L21"/>
  <c r="AK20"/>
  <c r="F20" i="65"/>
  <c r="H17" i="63"/>
  <c r="K23" i="5" l="1"/>
  <c r="L22"/>
  <c r="AK21"/>
  <c r="F21" i="65"/>
  <c r="H18" i="63"/>
  <c r="K24" i="5" l="1"/>
  <c r="L23"/>
  <c r="F22" i="65"/>
  <c r="AK22" i="5"/>
  <c r="H19" i="63"/>
  <c r="K25" i="5" l="1"/>
  <c r="L24"/>
  <c r="AK23"/>
  <c r="F23" i="65"/>
  <c r="H20" i="63"/>
  <c r="K26" i="5" l="1"/>
  <c r="L25"/>
  <c r="AK24"/>
  <c r="F24" i="65"/>
  <c r="H21" i="63"/>
  <c r="K27" i="5" l="1"/>
  <c r="L26"/>
  <c r="AK25"/>
  <c r="H22" i="63"/>
  <c r="F25" i="65"/>
  <c r="K28" i="5" l="1"/>
  <c r="L27"/>
  <c r="AK26"/>
  <c r="H23" i="63"/>
  <c r="F26" i="65"/>
  <c r="K29" i="5" l="1"/>
  <c r="L28"/>
  <c r="AK27"/>
  <c r="F27" i="65"/>
  <c r="H24" i="63"/>
  <c r="K30" i="5" l="1"/>
  <c r="L29"/>
  <c r="H25" i="63"/>
  <c r="F28" i="65"/>
  <c r="AK28" i="5"/>
  <c r="K31" l="1"/>
  <c r="L30"/>
  <c r="AK29"/>
  <c r="H26" i="63"/>
  <c r="F29" i="65"/>
  <c r="AK30" i="5" l="1"/>
  <c r="H27" i="63"/>
  <c r="F30" i="65"/>
  <c r="K32" i="5"/>
  <c r="L31"/>
  <c r="K33" l="1"/>
  <c r="L32"/>
  <c r="AK31"/>
  <c r="F31" i="65"/>
  <c r="H28" i="63"/>
  <c r="AK32" i="5" l="1"/>
  <c r="F32" i="65"/>
  <c r="H29" i="63"/>
  <c r="K34" i="5"/>
  <c r="L33"/>
  <c r="AK33" l="1"/>
  <c r="F33" i="65"/>
  <c r="H30" i="63"/>
  <c r="K35" i="5"/>
  <c r="L34"/>
  <c r="AK34" s="1"/>
  <c r="K36" l="1"/>
  <c r="L36" s="1"/>
  <c r="L35"/>
  <c r="AK35" s="1"/>
  <c r="X3" i="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AK36" i="5" l="1"/>
  <c r="L37"/>
  <c r="AK37" s="1"/>
  <c r="Y3" i="3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0" l="1"/>
  <c r="Y21" l="1"/>
  <c r="Y22" l="1"/>
  <c r="Y23" l="1"/>
  <c r="Y24" l="1"/>
  <c r="Y25" l="1"/>
  <c r="Y26" l="1"/>
  <c r="Y27" l="1"/>
  <c r="Y28" l="1"/>
  <c r="Y29" l="1"/>
  <c r="Y30" l="1"/>
  <c r="Y31" l="1"/>
  <c r="Y32" l="1"/>
  <c r="Y33"/>
  <c r="H3" l="1"/>
  <c r="H4" l="1"/>
  <c r="I3"/>
  <c r="H5" l="1"/>
  <c r="I4"/>
  <c r="H6" l="1"/>
  <c r="I5"/>
  <c r="H7" l="1"/>
  <c r="I6"/>
  <c r="H8" l="1"/>
  <c r="I7"/>
  <c r="H9" l="1"/>
  <c r="I8"/>
  <c r="H10" l="1"/>
  <c r="I9"/>
  <c r="H11" l="1"/>
  <c r="I10"/>
  <c r="H12" l="1"/>
  <c r="I11"/>
  <c r="H13" l="1"/>
  <c r="I12"/>
  <c r="H14" l="1"/>
  <c r="I13"/>
  <c r="H15" l="1"/>
  <c r="I14"/>
  <c r="H16" l="1"/>
  <c r="I15"/>
  <c r="H17" l="1"/>
  <c r="I16"/>
  <c r="H18" l="1"/>
  <c r="I17"/>
  <c r="H19" l="1"/>
  <c r="I18"/>
  <c r="H20" l="1"/>
  <c r="I19"/>
  <c r="H21" l="1"/>
  <c r="I20"/>
  <c r="H22" l="1"/>
  <c r="I21"/>
  <c r="H23" l="1"/>
  <c r="I22"/>
  <c r="H24" l="1"/>
  <c r="I24" s="1"/>
  <c r="I23"/>
  <c r="H25" l="1"/>
  <c r="I25" s="1"/>
  <c r="H26" l="1"/>
  <c r="I26" s="1"/>
  <c r="H27" l="1"/>
  <c r="I27" s="1"/>
  <c r="H28" l="1"/>
  <c r="I28" s="1"/>
  <c r="H29" l="1"/>
  <c r="H30" l="1"/>
  <c r="I29"/>
  <c r="H31" l="1"/>
  <c r="I30"/>
  <c r="H32" l="1"/>
  <c r="I31"/>
  <c r="H33" l="1"/>
  <c r="I33" s="1"/>
  <c r="I32"/>
  <c r="AG6" i="5" l="1"/>
  <c r="AH6" l="1"/>
  <c r="AG7"/>
  <c r="AG8" l="1"/>
  <c r="AH7"/>
  <c r="AG9" l="1"/>
  <c r="AH8"/>
  <c r="AG10" l="1"/>
  <c r="AH9"/>
  <c r="AG11" l="1"/>
  <c r="AH10"/>
  <c r="AG12" l="1"/>
  <c r="AH11"/>
  <c r="AG13" l="1"/>
  <c r="AH12"/>
  <c r="AH13" l="1"/>
  <c r="AG15" l="1"/>
  <c r="AH14"/>
  <c r="AG16" l="1"/>
  <c r="AH15"/>
  <c r="AG17" l="1"/>
  <c r="AH16"/>
  <c r="AG18" l="1"/>
  <c r="AH17"/>
  <c r="AG19" l="1"/>
  <c r="AH18"/>
  <c r="AG20" l="1"/>
  <c r="AH19"/>
  <c r="AG21" l="1"/>
  <c r="AH20"/>
  <c r="AG22" l="1"/>
  <c r="AH21"/>
  <c r="AG23" l="1"/>
  <c r="AH22"/>
  <c r="AG24" l="1"/>
  <c r="AH23"/>
  <c r="AG25" l="1"/>
  <c r="AH24"/>
  <c r="AG26" l="1"/>
  <c r="AH25"/>
  <c r="AG27" l="1"/>
  <c r="AH26"/>
  <c r="AG28" l="1"/>
  <c r="AH27"/>
  <c r="AG29" l="1"/>
  <c r="AH28"/>
  <c r="AG30" l="1"/>
  <c r="AH29"/>
  <c r="AG31" l="1"/>
  <c r="AG32" s="1"/>
  <c r="AH30"/>
  <c r="AH31" l="1"/>
  <c r="AG33" l="1"/>
  <c r="AH32"/>
  <c r="AG34" l="1"/>
  <c r="AH33"/>
  <c r="AG35" l="1"/>
  <c r="AH34"/>
  <c r="AG36" l="1"/>
  <c r="AH36" s="1"/>
  <c r="AH35"/>
  <c r="AE6" l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6" l="1"/>
  <c r="AI6" s="1"/>
  <c r="AF7" l="1"/>
  <c r="AI7" s="1"/>
  <c r="AF8" l="1"/>
  <c r="AI8" s="1"/>
  <c r="AF9" l="1"/>
  <c r="AI9" s="1"/>
  <c r="AF10" l="1"/>
  <c r="AI10" s="1"/>
  <c r="AF11" l="1"/>
  <c r="AI11" s="1"/>
  <c r="AF12" l="1"/>
  <c r="AI12" s="1"/>
  <c r="AF13" l="1"/>
  <c r="AI13" s="1"/>
  <c r="AF14" l="1"/>
  <c r="AI14" s="1"/>
  <c r="AF15" l="1"/>
  <c r="AI15" s="1"/>
  <c r="AF16" l="1"/>
  <c r="AI16" s="1"/>
  <c r="AF17" l="1"/>
  <c r="AI17" s="1"/>
  <c r="AF18" l="1"/>
  <c r="AI18" s="1"/>
  <c r="AF19" l="1"/>
  <c r="AI19" s="1"/>
  <c r="AF20" l="1"/>
  <c r="AI20" s="1"/>
  <c r="AF21" l="1"/>
  <c r="AI21" s="1"/>
  <c r="AF22" l="1"/>
  <c r="AI22" s="1"/>
  <c r="AF23" l="1"/>
  <c r="AI23" s="1"/>
  <c r="AF24" l="1"/>
  <c r="AI24" s="1"/>
  <c r="AF25" l="1"/>
  <c r="AI25" s="1"/>
  <c r="AF26" l="1"/>
  <c r="AI26" s="1"/>
  <c r="AF27" l="1"/>
  <c r="AI27" s="1"/>
  <c r="AF28" l="1"/>
  <c r="AI28" s="1"/>
  <c r="AF29" l="1"/>
  <c r="AI29" s="1"/>
  <c r="AF30" l="1"/>
  <c r="AI30" s="1"/>
  <c r="AF31" l="1"/>
  <c r="AI31" s="1"/>
  <c r="AF32" l="1"/>
  <c r="AI32" s="1"/>
  <c r="AF33" l="1"/>
  <c r="AI33" s="1"/>
  <c r="AF34" l="1"/>
  <c r="AI34" s="1"/>
  <c r="AF36" l="1"/>
  <c r="AI36" s="1"/>
  <c r="AF35"/>
  <c r="AI35" s="1"/>
  <c r="Z4" i="2" l="1"/>
  <c r="X4"/>
  <c r="X5" l="1"/>
  <c r="Z5"/>
  <c r="X6" l="1"/>
  <c r="Z6"/>
  <c r="X7" l="1"/>
  <c r="Z7"/>
  <c r="AC27" i="76"/>
  <c r="AC28"/>
  <c r="AC26"/>
  <c r="AC29" l="1"/>
  <c r="X8" i="2"/>
  <c r="Z8"/>
  <c r="O29" i="76" l="1"/>
  <c r="P29" s="1"/>
  <c r="R29" s="1"/>
  <c r="T29" s="1"/>
  <c r="F27" i="81" s="1"/>
  <c r="O4" i="76"/>
  <c r="P4" s="1"/>
  <c r="R4" s="1"/>
  <c r="T4" s="1"/>
  <c r="F2" i="81" s="1"/>
  <c r="O8" i="76"/>
  <c r="P8" s="1"/>
  <c r="R8" s="1"/>
  <c r="T8" s="1"/>
  <c r="F6" i="81" s="1"/>
  <c r="O31" i="76"/>
  <c r="P31" s="1"/>
  <c r="R31" s="1"/>
  <c r="T31" s="1"/>
  <c r="F29" i="81" s="1"/>
  <c r="O24" i="76"/>
  <c r="P24" s="1"/>
  <c r="R24" s="1"/>
  <c r="T24" s="1"/>
  <c r="F22" i="81" s="1"/>
  <c r="O19" i="76"/>
  <c r="P19" s="1"/>
  <c r="R19" s="1"/>
  <c r="T19" s="1"/>
  <c r="F17" i="81" s="1"/>
  <c r="O28" i="76"/>
  <c r="P28" s="1"/>
  <c r="R28" s="1"/>
  <c r="T28" s="1"/>
  <c r="F26" i="81" s="1"/>
  <c r="O14" i="76"/>
  <c r="P14" s="1"/>
  <c r="R14" s="1"/>
  <c r="T14" s="1"/>
  <c r="F12" i="81" s="1"/>
  <c r="O34" i="76"/>
  <c r="P34" s="1"/>
  <c r="R34" s="1"/>
  <c r="O10"/>
  <c r="P10" s="1"/>
  <c r="R10" s="1"/>
  <c r="T10" s="1"/>
  <c r="F8" i="81" s="1"/>
  <c r="O27" i="76"/>
  <c r="P27" s="1"/>
  <c r="R27" s="1"/>
  <c r="T27" s="1"/>
  <c r="F25" i="81" s="1"/>
  <c r="O22" i="76"/>
  <c r="P22" s="1"/>
  <c r="R22" s="1"/>
  <c r="T22" s="1"/>
  <c r="F20" i="81" s="1"/>
  <c r="O15" i="76"/>
  <c r="P15" s="1"/>
  <c r="R15" s="1"/>
  <c r="T15" s="1"/>
  <c r="F13" i="81" s="1"/>
  <c r="O20" i="76"/>
  <c r="P20" s="1"/>
  <c r="R20" s="1"/>
  <c r="T20" s="1"/>
  <c r="F18" i="81" s="1"/>
  <c r="O18" i="76"/>
  <c r="P18" s="1"/>
  <c r="R18" s="1"/>
  <c r="T18" s="1"/>
  <c r="F16" i="81" s="1"/>
  <c r="O9" i="76"/>
  <c r="P9" s="1"/>
  <c r="R9" s="1"/>
  <c r="T9" s="1"/>
  <c r="F7" i="81" s="1"/>
  <c r="O30" i="76"/>
  <c r="P30" s="1"/>
  <c r="R30" s="1"/>
  <c r="T30" s="1"/>
  <c r="F28" i="81" s="1"/>
  <c r="O21" i="76"/>
  <c r="P21" s="1"/>
  <c r="R21" s="1"/>
  <c r="T21" s="1"/>
  <c r="F19" i="81" s="1"/>
  <c r="O32" i="76"/>
  <c r="P32" s="1"/>
  <c r="R32" s="1"/>
  <c r="T32" s="1"/>
  <c r="F30" i="81" s="1"/>
  <c r="O17" i="76"/>
  <c r="P17" s="1"/>
  <c r="R17" s="1"/>
  <c r="T17" s="1"/>
  <c r="F15" i="81" s="1"/>
  <c r="O5" i="76"/>
  <c r="P5" s="1"/>
  <c r="R5" s="1"/>
  <c r="T5" s="1"/>
  <c r="F3" i="81" s="1"/>
  <c r="O16" i="76"/>
  <c r="P16" s="1"/>
  <c r="R16" s="1"/>
  <c r="T16" s="1"/>
  <c r="F14" i="81" s="1"/>
  <c r="O11" i="76"/>
  <c r="P11" s="1"/>
  <c r="R11" s="1"/>
  <c r="T11" s="1"/>
  <c r="F9" i="81" s="1"/>
  <c r="O26" i="76"/>
  <c r="P26" s="1"/>
  <c r="R26" s="1"/>
  <c r="T26" s="1"/>
  <c r="F24" i="81" s="1"/>
  <c r="O23" i="76"/>
  <c r="P23" s="1"/>
  <c r="R23" s="1"/>
  <c r="T23" s="1"/>
  <c r="F21" i="81" s="1"/>
  <c r="O6" i="76"/>
  <c r="P6" s="1"/>
  <c r="R6" s="1"/>
  <c r="T6" s="1"/>
  <c r="F4" i="81" s="1"/>
  <c r="O13" i="76"/>
  <c r="P13" s="1"/>
  <c r="R13" s="1"/>
  <c r="T13" s="1"/>
  <c r="F11" i="81" s="1"/>
  <c r="O33" i="76"/>
  <c r="P33" s="1"/>
  <c r="R33" s="1"/>
  <c r="T33" s="1"/>
  <c r="F31" i="81" s="1"/>
  <c r="O25" i="76"/>
  <c r="P25" s="1"/>
  <c r="R25" s="1"/>
  <c r="T25" s="1"/>
  <c r="F23" i="81" s="1"/>
  <c r="O12" i="76"/>
  <c r="P12" s="1"/>
  <c r="R12" s="1"/>
  <c r="T12" s="1"/>
  <c r="F10" i="81" s="1"/>
  <c r="O7" i="76"/>
  <c r="P7" s="1"/>
  <c r="R7" s="1"/>
  <c r="T7" s="1"/>
  <c r="F5" i="81" s="1"/>
  <c r="AC33" i="76"/>
  <c r="AB30"/>
  <c r="D10" i="77" s="1"/>
  <c r="E10" s="1"/>
  <c r="X9" i="2"/>
  <c r="Z9"/>
  <c r="O35" i="76" l="1"/>
  <c r="AB33"/>
  <c r="AB34" s="1"/>
  <c r="AB36"/>
  <c r="AB38" s="1"/>
  <c r="Z10" i="2"/>
  <c r="X10"/>
  <c r="E12" i="77"/>
  <c r="G10"/>
  <c r="G12" s="1"/>
  <c r="F10"/>
  <c r="F12" s="1"/>
  <c r="Z11" i="2" l="1"/>
  <c r="I14" i="77"/>
  <c r="H14"/>
  <c r="X11" i="2"/>
  <c r="Z12" l="1"/>
  <c r="X12"/>
  <c r="Z13" l="1"/>
  <c r="X13"/>
  <c r="Z14" l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X14" i="2"/>
  <c r="Z15" l="1"/>
  <c r="AD7" i="5"/>
  <c r="X15" i="2"/>
  <c r="Z16" l="1"/>
  <c r="AD8" i="5"/>
  <c r="X16" i="2"/>
  <c r="Z17" l="1"/>
  <c r="AD9" i="5"/>
  <c r="X17" i="2"/>
  <c r="AD10" i="5" l="1"/>
  <c r="Z18" i="2"/>
  <c r="X18"/>
  <c r="Z19" l="1"/>
  <c r="AD11" i="5"/>
  <c r="X19" i="2"/>
  <c r="AD12" i="5" l="1"/>
  <c r="Z20" i="2"/>
  <c r="X20"/>
  <c r="X21" l="1"/>
  <c r="AD13" i="5"/>
  <c r="Z21" i="2"/>
  <c r="Z22" l="1"/>
  <c r="X22"/>
  <c r="AD14" i="5"/>
  <c r="Z23" i="2" l="1"/>
  <c r="X23"/>
  <c r="AD15" i="5"/>
  <c r="Z24" i="2" l="1"/>
  <c r="X24"/>
  <c r="AD16" i="5"/>
  <c r="X25" i="2" l="1"/>
  <c r="Z25"/>
  <c r="AD17" i="5"/>
  <c r="X26" i="2" l="1"/>
  <c r="Z26"/>
  <c r="AD18" i="5"/>
  <c r="X27" i="2" l="1"/>
  <c r="Z27"/>
  <c r="AD19" i="5"/>
  <c r="X28" i="2" l="1"/>
  <c r="Z28"/>
  <c r="AD20" i="5"/>
  <c r="Z29" i="2" l="1"/>
  <c r="X29"/>
  <c r="AD21" i="5"/>
  <c r="Z30" i="2" l="1"/>
  <c r="X30"/>
  <c r="AD22" i="5"/>
  <c r="Z31" i="2" l="1"/>
  <c r="X31"/>
  <c r="AD23" i="5"/>
  <c r="Z32" i="2" l="1"/>
  <c r="X32"/>
  <c r="AD24" i="5"/>
  <c r="Z33" i="2" l="1"/>
  <c r="Z34"/>
  <c r="X33"/>
  <c r="X34"/>
  <c r="AD25" i="5"/>
  <c r="AD26" l="1"/>
  <c r="AD27" l="1"/>
  <c r="AD28" l="1"/>
  <c r="AD29" l="1"/>
  <c r="AD30" l="1"/>
  <c r="AD31" l="1"/>
  <c r="AD32" l="1"/>
  <c r="AD33" l="1"/>
  <c r="AD34" l="1"/>
  <c r="AD36" l="1"/>
  <c r="AD35"/>
  <c r="S4" i="2"/>
  <c r="U4"/>
  <c r="V4" l="1"/>
  <c r="AF4" s="1"/>
  <c r="U5"/>
  <c r="S5"/>
  <c r="T4"/>
  <c r="U6" l="1"/>
  <c r="V5"/>
  <c r="AF5" s="1"/>
  <c r="B2" i="63"/>
  <c r="H5" i="65"/>
  <c r="T5" i="2"/>
  <c r="S6"/>
  <c r="A2" i="63"/>
  <c r="AE4" i="2"/>
  <c r="AG4" s="1"/>
  <c r="V6" l="1"/>
  <c r="AF6" s="1"/>
  <c r="U7"/>
  <c r="H6" i="65"/>
  <c r="B3" i="63"/>
  <c r="A3"/>
  <c r="AE5" i="2"/>
  <c r="AG5" s="1"/>
  <c r="T6"/>
  <c r="S7"/>
  <c r="B4" i="63" l="1"/>
  <c r="H7" i="65"/>
  <c r="A4" i="63"/>
  <c r="AE6" i="2"/>
  <c r="AG6" s="1"/>
  <c r="T7"/>
  <c r="S8"/>
  <c r="U8"/>
  <c r="V7"/>
  <c r="AF7" s="1"/>
  <c r="S9" l="1"/>
  <c r="T8"/>
  <c r="U9"/>
  <c r="V8"/>
  <c r="AF8" s="1"/>
  <c r="A5" i="63"/>
  <c r="AE7" i="2"/>
  <c r="AG7" s="1"/>
  <c r="B5" i="63"/>
  <c r="H8" i="65"/>
  <c r="S10" i="2" l="1"/>
  <c r="T9"/>
  <c r="A6" i="63"/>
  <c r="AE8" i="2"/>
  <c r="AG8" s="1"/>
  <c r="U10"/>
  <c r="V9"/>
  <c r="AF9" s="1"/>
  <c r="H9" i="65"/>
  <c r="B6" i="63"/>
  <c r="S11" i="2" l="1"/>
  <c r="T10"/>
  <c r="A7" i="63"/>
  <c r="AE9" i="2"/>
  <c r="AG9" s="1"/>
  <c r="B7" i="63"/>
  <c r="H10" i="65"/>
  <c r="U11" i="2"/>
  <c r="V10"/>
  <c r="AF10" s="1"/>
  <c r="S12" l="1"/>
  <c r="T11"/>
  <c r="A8" i="63"/>
  <c r="AE10" i="2"/>
  <c r="AG10" s="1"/>
  <c r="U12"/>
  <c r="V11"/>
  <c r="AF11" s="1"/>
  <c r="H11" i="65"/>
  <c r="B8" i="63"/>
  <c r="S13" i="2" l="1"/>
  <c r="T12"/>
  <c r="V12"/>
  <c r="AF12" s="1"/>
  <c r="U13"/>
  <c r="A9" i="63"/>
  <c r="AE11" i="2"/>
  <c r="AG11" s="1"/>
  <c r="H12" i="65"/>
  <c r="B9" i="63"/>
  <c r="S14" i="2" l="1"/>
  <c r="T13"/>
  <c r="A10" i="63"/>
  <c r="AE12" i="2"/>
  <c r="AG12" s="1"/>
  <c r="B10" i="63"/>
  <c r="H13" i="65"/>
  <c r="V13" i="2"/>
  <c r="AF13" s="1"/>
  <c r="U14"/>
  <c r="S15" l="1"/>
  <c r="T14"/>
  <c r="A11" i="63"/>
  <c r="AE13" i="2"/>
  <c r="AG13" s="1"/>
  <c r="H14" i="65"/>
  <c r="B11" i="63"/>
  <c r="U15" i="2"/>
  <c r="V14"/>
  <c r="AF14" s="1"/>
  <c r="S16" l="1"/>
  <c r="T15"/>
  <c r="A12" i="63"/>
  <c r="AE14" i="2"/>
  <c r="AG14" s="1"/>
  <c r="U16"/>
  <c r="V15"/>
  <c r="AF15" s="1"/>
  <c r="H15" i="65"/>
  <c r="B12" i="63"/>
  <c r="S17" i="2" l="1"/>
  <c r="T16"/>
  <c r="U17"/>
  <c r="V16"/>
  <c r="AF16" s="1"/>
  <c r="A13" i="63"/>
  <c r="AE15" i="2"/>
  <c r="AG15" s="1"/>
  <c r="B13" i="63"/>
  <c r="H16" i="65"/>
  <c r="A14" i="63" l="1"/>
  <c r="AE16" i="2"/>
  <c r="AG16" s="1"/>
  <c r="V17"/>
  <c r="AF17" s="1"/>
  <c r="U18"/>
  <c r="B14" i="63"/>
  <c r="H17" i="65"/>
  <c r="T17" i="2"/>
  <c r="S18"/>
  <c r="H18" i="65" l="1"/>
  <c r="B15" i="63"/>
  <c r="U19" i="2"/>
  <c r="V18"/>
  <c r="AF18" s="1"/>
  <c r="A15" i="63"/>
  <c r="AE17" i="2"/>
  <c r="AG17" s="1"/>
  <c r="S19"/>
  <c r="T18"/>
  <c r="U20" l="1"/>
  <c r="V19"/>
  <c r="AF19" s="1"/>
  <c r="H19" i="65"/>
  <c r="B16" i="63"/>
  <c r="T19" i="2"/>
  <c r="S20"/>
  <c r="A16" i="63"/>
  <c r="AE18" i="2"/>
  <c r="AG18" s="1"/>
  <c r="B17" i="63" l="1"/>
  <c r="H20" i="65"/>
  <c r="V20" i="2"/>
  <c r="AF20" s="1"/>
  <c r="U21"/>
  <c r="A17" i="63"/>
  <c r="AE19" i="2"/>
  <c r="AG19" s="1"/>
  <c r="T20"/>
  <c r="S21"/>
  <c r="B18" i="63" l="1"/>
  <c r="H21" i="65"/>
  <c r="U22" i="2"/>
  <c r="V21"/>
  <c r="AF21" s="1"/>
  <c r="A18" i="63"/>
  <c r="AE20" i="2"/>
  <c r="AG20" s="1"/>
  <c r="S22"/>
  <c r="T21"/>
  <c r="V22" l="1"/>
  <c r="AF22" s="1"/>
  <c r="U23"/>
  <c r="S23"/>
  <c r="T22"/>
  <c r="H22" i="65"/>
  <c r="B19" i="63"/>
  <c r="A19"/>
  <c r="AE21" i="2"/>
  <c r="AG21" s="1"/>
  <c r="AS6" i="5"/>
  <c r="H23" i="65" l="1"/>
  <c r="B20" i="63"/>
  <c r="U24" i="2"/>
  <c r="V23"/>
  <c r="AF23" s="1"/>
  <c r="AS7" i="5"/>
  <c r="AY6"/>
  <c r="S24" i="2"/>
  <c r="T23"/>
  <c r="A20" i="63"/>
  <c r="AE22" i="2"/>
  <c r="AG22" s="1"/>
  <c r="H24" i="65" l="1"/>
  <c r="B21" i="63"/>
  <c r="U25" i="2"/>
  <c r="V24"/>
  <c r="AF24" s="1"/>
  <c r="AS8" i="5"/>
  <c r="AY7"/>
  <c r="BB7" s="1"/>
  <c r="BE7" s="1"/>
  <c r="T24" i="2"/>
  <c r="S25"/>
  <c r="BB6" i="5"/>
  <c r="A21" i="63"/>
  <c r="AE23" i="2"/>
  <c r="AG23" s="1"/>
  <c r="T25" l="1"/>
  <c r="S26"/>
  <c r="AY8" i="5"/>
  <c r="BB8" s="1"/>
  <c r="BE8" s="1"/>
  <c r="AS9"/>
  <c r="U26" i="2"/>
  <c r="V25"/>
  <c r="AF25" s="1"/>
  <c r="H25" i="65"/>
  <c r="B22" i="63"/>
  <c r="BF7" i="5"/>
  <c r="BG7" s="1"/>
  <c r="G7" i="65" s="1"/>
  <c r="A22" i="63"/>
  <c r="AE24" i="2"/>
  <c r="AG24" s="1"/>
  <c r="O6" i="5"/>
  <c r="M6"/>
  <c r="U27" i="2" l="1"/>
  <c r="V26"/>
  <c r="AF26" s="1"/>
  <c r="P6" i="5"/>
  <c r="O7"/>
  <c r="T26" i="2"/>
  <c r="S27"/>
  <c r="N6" i="5"/>
  <c r="M7"/>
  <c r="AS10"/>
  <c r="AY9"/>
  <c r="BB9" s="1"/>
  <c r="BE9" s="1"/>
  <c r="H26" i="65"/>
  <c r="B23" i="63"/>
  <c r="A23"/>
  <c r="AE25" i="2"/>
  <c r="AG25" s="1"/>
  <c r="BF8" i="5"/>
  <c r="BG8" s="1"/>
  <c r="G8" i="65" s="1"/>
  <c r="I4" i="63"/>
  <c r="Q6" i="5" l="1"/>
  <c r="M2" i="81" s="1"/>
  <c r="O8" i="5"/>
  <c r="P7"/>
  <c r="BF9"/>
  <c r="BG9" s="1"/>
  <c r="G9" i="65" s="1"/>
  <c r="I5" i="63"/>
  <c r="AY10" i="5"/>
  <c r="BB10" s="1"/>
  <c r="BE10" s="1"/>
  <c r="AS11"/>
  <c r="V27" i="2"/>
  <c r="AF27" s="1"/>
  <c r="U28"/>
  <c r="H27" i="65"/>
  <c r="B24" i="63"/>
  <c r="A24"/>
  <c r="AE26" i="2"/>
  <c r="AG26" s="1"/>
  <c r="S28"/>
  <c r="T27"/>
  <c r="M8" i="5"/>
  <c r="N7"/>
  <c r="B25" i="63" l="1"/>
  <c r="H28" i="65"/>
  <c r="S29" i="2"/>
  <c r="T28"/>
  <c r="BF10" i="5"/>
  <c r="BG10" s="1"/>
  <c r="G10" i="65" s="1"/>
  <c r="I6" i="63"/>
  <c r="A25"/>
  <c r="AE27" i="2"/>
  <c r="AG27" s="1"/>
  <c r="AY11" i="5"/>
  <c r="BB11" s="1"/>
  <c r="BE11" s="1"/>
  <c r="AS12"/>
  <c r="AY12" s="1"/>
  <c r="M9"/>
  <c r="N8"/>
  <c r="V28" i="2"/>
  <c r="AF28" s="1"/>
  <c r="U29"/>
  <c r="P8" i="5"/>
  <c r="O9"/>
  <c r="Q7"/>
  <c r="BB12" l="1"/>
  <c r="BE12" s="1"/>
  <c r="M10"/>
  <c r="N9"/>
  <c r="AS13"/>
  <c r="AY13" s="1"/>
  <c r="BB13" s="1"/>
  <c r="B26" i="63"/>
  <c r="H29" i="65"/>
  <c r="V29" i="2"/>
  <c r="AF29" s="1"/>
  <c r="U30"/>
  <c r="BF11" i="5"/>
  <c r="BG11" s="1"/>
  <c r="G11" i="65" s="1"/>
  <c r="I7" i="63"/>
  <c r="M3" i="81"/>
  <c r="T29" i="2"/>
  <c r="S30"/>
  <c r="A26" i="63"/>
  <c r="AE28" i="2"/>
  <c r="AG28" s="1"/>
  <c r="O10" i="5"/>
  <c r="P9"/>
  <c r="Q8"/>
  <c r="M4" i="81" s="1"/>
  <c r="Q9" i="5" l="1"/>
  <c r="M5" i="81" s="1"/>
  <c r="O11" i="5"/>
  <c r="P10"/>
  <c r="N10"/>
  <c r="M11"/>
  <c r="BF12"/>
  <c r="BG12" s="1"/>
  <c r="G12" i="65" s="1"/>
  <c r="I8" i="63"/>
  <c r="AS14" i="5"/>
  <c r="AY14" s="1"/>
  <c r="BB14" s="1"/>
  <c r="BE13"/>
  <c r="A27" i="63"/>
  <c r="AE29" i="2"/>
  <c r="AG29" s="1"/>
  <c r="T30"/>
  <c r="S31"/>
  <c r="B27" i="63"/>
  <c r="H30" i="65"/>
  <c r="U31" i="2"/>
  <c r="V30"/>
  <c r="AF30" s="1"/>
  <c r="Q10" i="5" l="1"/>
  <c r="M6" i="81" s="1"/>
  <c r="A28" i="63"/>
  <c r="AE30" i="2"/>
  <c r="AG30" s="1"/>
  <c r="BE14" i="5"/>
  <c r="AS15"/>
  <c r="AY15" s="1"/>
  <c r="BB15" s="1"/>
  <c r="P11"/>
  <c r="O12"/>
  <c r="T31" i="2"/>
  <c r="S32"/>
  <c r="M12" i="5"/>
  <c r="N11"/>
  <c r="U32" i="2"/>
  <c r="V31"/>
  <c r="AF31" s="1"/>
  <c r="H31" i="65"/>
  <c r="B28" i="63"/>
  <c r="BF13" i="5"/>
  <c r="BG13" s="1"/>
  <c r="G13" i="65" s="1"/>
  <c r="I9" i="63"/>
  <c r="M13" i="5" l="1"/>
  <c r="N12"/>
  <c r="U33" i="2"/>
  <c r="V32"/>
  <c r="AF32" s="1"/>
  <c r="H32" i="65"/>
  <c r="B29" i="63"/>
  <c r="O13" i="5"/>
  <c r="P12"/>
  <c r="BF14"/>
  <c r="BG14" s="1"/>
  <c r="G14" i="65" s="1"/>
  <c r="I10" i="63"/>
  <c r="BE15" i="5"/>
  <c r="AS16"/>
  <c r="AY16" s="1"/>
  <c r="A29" i="63"/>
  <c r="AE31" i="2"/>
  <c r="AG31" s="1"/>
  <c r="T32"/>
  <c r="AE32" s="1"/>
  <c r="AG32" s="1"/>
  <c r="S33"/>
  <c r="Q11" i="5"/>
  <c r="BB16" l="1"/>
  <c r="BE16" s="1"/>
  <c r="M7" i="81"/>
  <c r="V33" i="2"/>
  <c r="AF33" s="1"/>
  <c r="U34"/>
  <c r="V34" s="1"/>
  <c r="AF34" s="1"/>
  <c r="N13" i="5"/>
  <c r="M14"/>
  <c r="BF15"/>
  <c r="BG15" s="1"/>
  <c r="G15" i="65" s="1"/>
  <c r="I11" i="63"/>
  <c r="AS17" i="5"/>
  <c r="P13"/>
  <c r="O14"/>
  <c r="T33" i="2"/>
  <c r="AE33" s="1"/>
  <c r="AG33" s="1"/>
  <c r="S34"/>
  <c r="T34" s="1"/>
  <c r="AE34" s="1"/>
  <c r="AG34" s="1"/>
  <c r="Q12" i="5"/>
  <c r="M8" i="81" s="1"/>
  <c r="Q13" i="5" l="1"/>
  <c r="M9" i="81" s="1"/>
  <c r="I12" i="63"/>
  <c r="BF16" i="5"/>
  <c r="BG16" s="1"/>
  <c r="G16" i="65" s="1"/>
  <c r="AS18" i="5"/>
  <c r="AY17"/>
  <c r="P14"/>
  <c r="O15"/>
  <c r="N14"/>
  <c r="M15"/>
  <c r="BB17" l="1"/>
  <c r="BE17" s="1"/>
  <c r="Q14"/>
  <c r="M10" i="81" s="1"/>
  <c r="AS19" i="5"/>
  <c r="AY18"/>
  <c r="P15"/>
  <c r="O16"/>
  <c r="N15"/>
  <c r="M16"/>
  <c r="I13" i="63" l="1"/>
  <c r="BF17" i="5"/>
  <c r="BG17" s="1"/>
  <c r="G17" i="65" s="1"/>
  <c r="BB18" i="5"/>
  <c r="BE18" s="1"/>
  <c r="Q15"/>
  <c r="M11" i="81" s="1"/>
  <c r="AS20" i="5"/>
  <c r="AY19"/>
  <c r="O17"/>
  <c r="P16"/>
  <c r="M17"/>
  <c r="N16"/>
  <c r="BF18" l="1"/>
  <c r="BG18" s="1"/>
  <c r="G18" i="65" s="1"/>
  <c r="I14" i="63"/>
  <c r="BB19" i="5"/>
  <c r="BE19" s="1"/>
  <c r="Q16"/>
  <c r="M12" i="81" s="1"/>
  <c r="AY20" i="5"/>
  <c r="AS21"/>
  <c r="O18"/>
  <c r="P17"/>
  <c r="M18"/>
  <c r="N17"/>
  <c r="BF19" l="1"/>
  <c r="BG19" s="1"/>
  <c r="G19" i="65" s="1"/>
  <c r="I15" i="63"/>
  <c r="BB20" i="5"/>
  <c r="BE20" s="1"/>
  <c r="Q17"/>
  <c r="M13" i="81" s="1"/>
  <c r="AS22" i="5"/>
  <c r="AY21"/>
  <c r="P18"/>
  <c r="O19"/>
  <c r="M19"/>
  <c r="N18"/>
  <c r="BF20" l="1"/>
  <c r="BG20" s="1"/>
  <c r="G20" i="65" s="1"/>
  <c r="I16" i="63"/>
  <c r="BB21" i="5"/>
  <c r="BE21" s="1"/>
  <c r="M20"/>
  <c r="N19"/>
  <c r="AS23"/>
  <c r="AY22"/>
  <c r="P19"/>
  <c r="O20"/>
  <c r="Q18"/>
  <c r="M14" i="81" s="1"/>
  <c r="BF21" i="5" l="1"/>
  <c r="BG21" s="1"/>
  <c r="G21" i="65" s="1"/>
  <c r="I17" i="63"/>
  <c r="BB22" i="5"/>
  <c r="BE22" s="1"/>
  <c r="Q19"/>
  <c r="M15" i="81" s="1"/>
  <c r="N20" i="5"/>
  <c r="M21"/>
  <c r="P20"/>
  <c r="O21"/>
  <c r="AY23"/>
  <c r="AS24"/>
  <c r="BF22" l="1"/>
  <c r="BG22" s="1"/>
  <c r="G22" i="65" s="1"/>
  <c r="I18" i="63"/>
  <c r="BB23" i="5"/>
  <c r="BE23" s="1"/>
  <c r="N21"/>
  <c r="M22"/>
  <c r="P21"/>
  <c r="O22"/>
  <c r="AY24"/>
  <c r="AS25"/>
  <c r="Q20"/>
  <c r="M16" i="81" s="1"/>
  <c r="I19" i="63" l="1"/>
  <c r="BF23" i="5"/>
  <c r="BG23" s="1"/>
  <c r="G23" i="65" s="1"/>
  <c r="BB24" i="5"/>
  <c r="BE24" s="1"/>
  <c r="AY25"/>
  <c r="AS26"/>
  <c r="P22"/>
  <c r="O23"/>
  <c r="Q21"/>
  <c r="M17" i="81" s="1"/>
  <c r="N22" i="5"/>
  <c r="M23"/>
  <c r="I20" i="63" l="1"/>
  <c r="BF24" i="5"/>
  <c r="BG24" s="1"/>
  <c r="G24" i="65" s="1"/>
  <c r="BB25" i="5"/>
  <c r="BE25" s="1"/>
  <c r="N23"/>
  <c r="M24"/>
  <c r="AS27"/>
  <c r="AY26"/>
  <c r="O24"/>
  <c r="P23"/>
  <c r="Q22"/>
  <c r="M18" i="81" s="1"/>
  <c r="BF25" i="5" l="1"/>
  <c r="BG25" s="1"/>
  <c r="G25" i="65" s="1"/>
  <c r="I21" i="63"/>
  <c r="BB26" i="5"/>
  <c r="BE26" s="1"/>
  <c r="M25"/>
  <c r="N24"/>
  <c r="P24"/>
  <c r="O25"/>
  <c r="AS28"/>
  <c r="AY27"/>
  <c r="Q23"/>
  <c r="M19" i="81" s="1"/>
  <c r="I22" i="63" l="1"/>
  <c r="BF26" i="5"/>
  <c r="BG26" s="1"/>
  <c r="G26" i="65" s="1"/>
  <c r="BB27" i="5"/>
  <c r="BE27" s="1"/>
  <c r="Q24"/>
  <c r="M20" i="81" s="1"/>
  <c r="M26" i="5"/>
  <c r="N25"/>
  <c r="P25"/>
  <c r="O26"/>
  <c r="AS29"/>
  <c r="AY28"/>
  <c r="BF27" l="1"/>
  <c r="BG27" s="1"/>
  <c r="G27" i="65" s="1"/>
  <c r="I23" i="63"/>
  <c r="BB28" i="5"/>
  <c r="BE28" s="1"/>
  <c r="N26"/>
  <c r="M27"/>
  <c r="O27"/>
  <c r="P26"/>
  <c r="AY29"/>
  <c r="AS30"/>
  <c r="Q25"/>
  <c r="M21" i="81" s="1"/>
  <c r="I24" i="63" l="1"/>
  <c r="BF28" i="5"/>
  <c r="BG28" s="1"/>
  <c r="G28" i="65" s="1"/>
  <c r="BB29" i="5"/>
  <c r="BE29" s="1"/>
  <c r="M28"/>
  <c r="N27"/>
  <c r="P27"/>
  <c r="O28"/>
  <c r="AS31"/>
  <c r="AY30"/>
  <c r="Q26"/>
  <c r="M22" i="81" s="1"/>
  <c r="BF29" i="5" l="1"/>
  <c r="BG29" s="1"/>
  <c r="G29" i="65" s="1"/>
  <c r="I25" i="63"/>
  <c r="BB30" i="5"/>
  <c r="BE30" s="1"/>
  <c r="Q27"/>
  <c r="M23" i="81" s="1"/>
  <c r="AY31" i="5"/>
  <c r="AS32"/>
  <c r="N28"/>
  <c r="M29"/>
  <c r="O29"/>
  <c r="P28"/>
  <c r="BF30" l="1"/>
  <c r="BG30" s="1"/>
  <c r="G30" i="65" s="1"/>
  <c r="I26" i="63"/>
  <c r="BB31" i="5"/>
  <c r="BE31" s="1"/>
  <c r="Q28"/>
  <c r="M24" i="81" s="1"/>
  <c r="N29" i="5"/>
  <c r="M30"/>
  <c r="P29"/>
  <c r="O30"/>
  <c r="AY32"/>
  <c r="AS33"/>
  <c r="BF31" l="1"/>
  <c r="BG31" s="1"/>
  <c r="G31" i="65" s="1"/>
  <c r="I27" i="63"/>
  <c r="BB32" i="5"/>
  <c r="BE32" s="1"/>
  <c r="N30"/>
  <c r="M31"/>
  <c r="Q29"/>
  <c r="M25" i="81" s="1"/>
  <c r="P30" i="5"/>
  <c r="O31"/>
  <c r="AY33"/>
  <c r="AS34"/>
  <c r="BF32" l="1"/>
  <c r="BG32" s="1"/>
  <c r="G32" i="65" s="1"/>
  <c r="I28" i="63"/>
  <c r="BB33" i="5"/>
  <c r="BE33" s="1"/>
  <c r="M32"/>
  <c r="N31"/>
  <c r="AY34"/>
  <c r="AS35"/>
  <c r="O32"/>
  <c r="P31"/>
  <c r="Q30"/>
  <c r="M26" i="81" s="1"/>
  <c r="BF33" i="5" l="1"/>
  <c r="BG33" s="1"/>
  <c r="G33" i="65" s="1"/>
  <c r="I29" i="63"/>
  <c r="BB34" i="5"/>
  <c r="BE34" s="1"/>
  <c r="BF34" s="1"/>
  <c r="BG34" s="1"/>
  <c r="M33"/>
  <c r="N32"/>
  <c r="O33"/>
  <c r="P32"/>
  <c r="AS36"/>
  <c r="AY36" s="1"/>
  <c r="AY35"/>
  <c r="Q31"/>
  <c r="M27" i="81" s="1"/>
  <c r="BB36" i="5" l="1"/>
  <c r="BE36" s="1"/>
  <c r="BF36" s="1"/>
  <c r="BG36" s="1"/>
  <c r="BB35"/>
  <c r="BE35" s="1"/>
  <c r="BF35" s="1"/>
  <c r="BG35" s="1"/>
  <c r="M34"/>
  <c r="N33"/>
  <c r="O34"/>
  <c r="P33"/>
  <c r="Q32"/>
  <c r="M28" i="81" s="1"/>
  <c r="M35" i="5" l="1"/>
  <c r="N34"/>
  <c r="O35"/>
  <c r="P34"/>
  <c r="Q33"/>
  <c r="M29" i="81" s="1"/>
  <c r="M36" i="5" l="1"/>
  <c r="N36" s="1"/>
  <c r="N35"/>
  <c r="P35"/>
  <c r="O36"/>
  <c r="P36" s="1"/>
  <c r="Q34"/>
  <c r="M30" i="81" s="1"/>
  <c r="Q36" i="5" l="1"/>
  <c r="Q35"/>
  <c r="M31" i="81" s="1"/>
  <c r="Q37" i="5" l="1"/>
  <c r="O38" s="1"/>
  <c r="P3" i="3" l="1"/>
  <c r="P4" l="1"/>
  <c r="Q3"/>
  <c r="P5" l="1"/>
  <c r="Q4"/>
  <c r="Q5" l="1"/>
  <c r="P6"/>
  <c r="Q6" l="1"/>
  <c r="P7"/>
  <c r="Q7" l="1"/>
  <c r="P8"/>
  <c r="P9" l="1"/>
  <c r="Q8"/>
  <c r="Q9" l="1"/>
  <c r="P10"/>
  <c r="Q10" l="1"/>
  <c r="P11"/>
  <c r="P12" l="1"/>
  <c r="Q11"/>
  <c r="Q12" l="1"/>
  <c r="P13"/>
  <c r="P14" l="1"/>
  <c r="Q13"/>
  <c r="P15" l="1"/>
  <c r="Q18"/>
  <c r="Q14"/>
  <c r="Q15" l="1"/>
  <c r="P16"/>
  <c r="Q16" l="1"/>
  <c r="P17"/>
  <c r="P18" l="1"/>
  <c r="P19" s="1"/>
  <c r="Q17"/>
  <c r="P20" l="1"/>
  <c r="Q19"/>
  <c r="Q20" l="1"/>
  <c r="P21"/>
  <c r="P22" l="1"/>
  <c r="Q21"/>
  <c r="Q22" l="1"/>
  <c r="P23"/>
  <c r="Q23" l="1"/>
  <c r="P24"/>
  <c r="Q24" l="1"/>
  <c r="P25"/>
  <c r="Q25" l="1"/>
  <c r="P26"/>
  <c r="Q26" l="1"/>
  <c r="P27"/>
  <c r="Q27" l="1"/>
  <c r="P28"/>
  <c r="P29" l="1"/>
  <c r="Q28"/>
  <c r="P30" l="1"/>
  <c r="Q29"/>
  <c r="Q30" l="1"/>
  <c r="P31"/>
  <c r="Q31" l="1"/>
  <c r="P32"/>
  <c r="P33" l="1"/>
  <c r="Q33" s="1"/>
  <c r="Q32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J12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J29" l="1"/>
  <c r="AX33" i="1"/>
  <c r="J30" i="81" l="1"/>
  <c r="AX34" i="1"/>
  <c r="J31" i="81" l="1"/>
  <c r="AX35" i="1"/>
  <c r="BC6" i="5" l="1"/>
  <c r="I3" i="63" l="1"/>
  <c r="BE6" i="5"/>
  <c r="BF6" s="1"/>
  <c r="BG6" s="1"/>
  <c r="G6" i="65" s="1"/>
  <c r="I2" i="63" l="1"/>
  <c r="G5" i="65" l="1"/>
  <c r="AD5" i="1" l="1"/>
  <c r="AG5" l="1"/>
  <c r="AM5"/>
  <c r="AD6"/>
  <c r="F6" i="75" l="1"/>
  <c r="G6" s="1"/>
  <c r="AG6" i="1"/>
  <c r="AM6"/>
  <c r="F7" i="75" s="1"/>
  <c r="G7" s="1"/>
  <c r="AD7" i="1"/>
  <c r="AD8" l="1"/>
  <c r="AG7"/>
  <c r="AM7"/>
  <c r="F8" i="75" s="1"/>
  <c r="G8" s="1"/>
  <c r="AG8" i="1" l="1"/>
  <c r="AM8"/>
  <c r="AD9"/>
  <c r="AG9" l="1"/>
  <c r="AM9"/>
  <c r="F10" i="75" s="1"/>
  <c r="G10" s="1"/>
  <c r="AD10" i="1"/>
  <c r="F9" i="75"/>
  <c r="G9" s="1"/>
  <c r="AG10" i="1" l="1"/>
  <c r="AM10"/>
  <c r="AD11"/>
  <c r="AM11" l="1"/>
  <c r="F12" i="75" s="1"/>
  <c r="G12" s="1"/>
  <c r="AG11" i="1"/>
  <c r="AD12"/>
  <c r="F11" i="75"/>
  <c r="G11" s="1"/>
  <c r="AG12" i="1" l="1"/>
  <c r="AM12"/>
  <c r="AD13"/>
  <c r="F13" i="75" l="1"/>
  <c r="G13" s="1"/>
  <c r="AG13" i="1"/>
  <c r="AM13"/>
  <c r="F14" i="75" s="1"/>
  <c r="G14" s="1"/>
  <c r="AD14" i="1"/>
  <c r="AG14" l="1"/>
  <c r="AM14"/>
  <c r="F15" i="75" s="1"/>
  <c r="G15" s="1"/>
  <c r="AD15" i="1"/>
  <c r="AG15" l="1"/>
  <c r="AM15"/>
  <c r="F16" i="75" s="1"/>
  <c r="G16" s="1"/>
  <c r="AD16" i="1"/>
  <c r="AM16" l="1"/>
  <c r="F17" i="75" s="1"/>
  <c r="G17" s="1"/>
  <c r="AG16" i="1"/>
  <c r="AD17"/>
  <c r="AM17" l="1"/>
  <c r="F18" i="75" s="1"/>
  <c r="G18" s="1"/>
  <c r="AG17" i="1"/>
  <c r="AD18"/>
  <c r="AM18" l="1"/>
  <c r="F19" i="75" s="1"/>
  <c r="G19" s="1"/>
  <c r="AG18" i="1"/>
  <c r="AD19"/>
  <c r="AD20" l="1"/>
  <c r="AG19"/>
  <c r="AM19"/>
  <c r="F20" i="75" s="1"/>
  <c r="G20" s="1"/>
  <c r="AM20" i="1" l="1"/>
  <c r="F21" i="75" s="1"/>
  <c r="G21" s="1"/>
  <c r="AG20" i="1"/>
  <c r="AD21"/>
  <c r="AD22" l="1"/>
  <c r="AM21"/>
  <c r="F22" i="75" s="1"/>
  <c r="G22" s="1"/>
  <c r="AG21" i="1"/>
  <c r="AG22" l="1"/>
  <c r="AM22"/>
  <c r="F23" i="75" s="1"/>
  <c r="G23" s="1"/>
  <c r="AD23" i="1"/>
  <c r="AM23" l="1"/>
  <c r="F24" i="75" s="1"/>
  <c r="G24" s="1"/>
  <c r="AG23" i="1"/>
  <c r="AD24"/>
  <c r="AD25" l="1"/>
  <c r="AM24"/>
  <c r="F25" i="75" s="1"/>
  <c r="G25" s="1"/>
  <c r="AG24" i="1"/>
  <c r="AM25" l="1"/>
  <c r="F26" i="75" s="1"/>
  <c r="G26" s="1"/>
  <c r="AG25" i="1"/>
  <c r="AD26"/>
  <c r="AG26" l="1"/>
  <c r="AM26"/>
  <c r="F27" i="75" s="1"/>
  <c r="G27" s="1"/>
  <c r="AD27" i="1"/>
  <c r="AM27" l="1"/>
  <c r="F28" i="75" s="1"/>
  <c r="G28" s="1"/>
  <c r="AG27" i="1"/>
  <c r="AD28"/>
  <c r="AD29" l="1"/>
  <c r="AG28"/>
  <c r="AM28"/>
  <c r="F29" i="75" s="1"/>
  <c r="G29" s="1"/>
  <c r="AM29" i="1" l="1"/>
  <c r="F30" i="75" s="1"/>
  <c r="G30" s="1"/>
  <c r="AG29" i="1"/>
  <c r="AD30"/>
  <c r="AD31" l="1"/>
  <c r="AM30"/>
  <c r="F31" i="75" s="1"/>
  <c r="G31" s="1"/>
  <c r="AG30" i="1"/>
  <c r="AG31" l="1"/>
  <c r="AM31"/>
  <c r="F32" i="75" s="1"/>
  <c r="G32" s="1"/>
  <c r="AD32" i="1"/>
  <c r="AD33" l="1"/>
  <c r="AG32"/>
  <c r="AM32"/>
  <c r="F33" i="75" s="1"/>
  <c r="G33" s="1"/>
  <c r="AG33" i="1" l="1"/>
  <c r="AM33"/>
  <c r="AD35"/>
  <c r="AD34"/>
  <c r="AM35" l="1"/>
  <c r="AG35"/>
  <c r="AM34"/>
  <c r="AG34"/>
  <c r="AM36" l="1"/>
  <c r="T3" i="3" l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 l="1"/>
  <c r="L4" l="1"/>
  <c r="M3"/>
  <c r="L5" l="1"/>
  <c r="M4"/>
  <c r="L6" l="1"/>
  <c r="M5"/>
  <c r="L7" l="1"/>
  <c r="M6"/>
  <c r="L8" l="1"/>
  <c r="M7"/>
  <c r="L9" l="1"/>
  <c r="M8"/>
  <c r="M9" l="1"/>
  <c r="L10"/>
  <c r="L11" l="1"/>
  <c r="M10"/>
  <c r="M11" l="1"/>
  <c r="L12"/>
  <c r="L13" l="1"/>
  <c r="M12"/>
  <c r="L14" l="1"/>
  <c r="M13"/>
  <c r="M14" l="1"/>
  <c r="L15"/>
  <c r="M15" l="1"/>
  <c r="L16"/>
  <c r="L17" l="1"/>
  <c r="M16"/>
  <c r="M17" l="1"/>
  <c r="L18"/>
  <c r="M18" l="1"/>
  <c r="L19"/>
  <c r="M19" l="1"/>
  <c r="L20"/>
  <c r="D3" l="1"/>
  <c r="L21"/>
  <c r="M20"/>
  <c r="E3" l="1"/>
  <c r="D4"/>
  <c r="M21"/>
  <c r="L22"/>
  <c r="AA3" l="1"/>
  <c r="AC3" s="1"/>
  <c r="AH3" s="1"/>
  <c r="F3"/>
  <c r="AB3" s="1"/>
  <c r="M22"/>
  <c r="L23"/>
  <c r="E4"/>
  <c r="D5"/>
  <c r="F4" l="1"/>
  <c r="AB4" s="1"/>
  <c r="AA4"/>
  <c r="AC4" s="1"/>
  <c r="AH4" s="1"/>
  <c r="M23"/>
  <c r="L24"/>
  <c r="D6"/>
  <c r="E5"/>
  <c r="D7" l="1"/>
  <c r="E6"/>
  <c r="F5"/>
  <c r="AB5" s="1"/>
  <c r="AA5"/>
  <c r="AC5" s="1"/>
  <c r="AH5" s="1"/>
  <c r="M24"/>
  <c r="L25"/>
  <c r="M25" l="1"/>
  <c r="L26"/>
  <c r="F6"/>
  <c r="AB6" s="1"/>
  <c r="AA6"/>
  <c r="AC6" s="1"/>
  <c r="AH6" s="1"/>
  <c r="D8"/>
  <c r="E7"/>
  <c r="M26" l="1"/>
  <c r="L27"/>
  <c r="F7"/>
  <c r="AB7" s="1"/>
  <c r="AA7"/>
  <c r="AC7" s="1"/>
  <c r="AH7" s="1"/>
  <c r="D9"/>
  <c r="E8"/>
  <c r="F8" l="1"/>
  <c r="AB8" s="1"/>
  <c r="AA8"/>
  <c r="AC8" s="1"/>
  <c r="AH8" s="1"/>
  <c r="D10"/>
  <c r="E9"/>
  <c r="M27"/>
  <c r="L28"/>
  <c r="AA9" l="1"/>
  <c r="AC9" s="1"/>
  <c r="AH9" s="1"/>
  <c r="F9"/>
  <c r="AB9" s="1"/>
  <c r="M28"/>
  <c r="L29"/>
  <c r="D11"/>
  <c r="E10"/>
  <c r="AA10" l="1"/>
  <c r="AC10" s="1"/>
  <c r="AH10" s="1"/>
  <c r="F10"/>
  <c r="AB10" s="1"/>
  <c r="D12"/>
  <c r="E11"/>
  <c r="M29"/>
  <c r="L30"/>
  <c r="AA11" l="1"/>
  <c r="AC11" s="1"/>
  <c r="AH11" s="1"/>
  <c r="F11"/>
  <c r="AB11" s="1"/>
  <c r="M30"/>
  <c r="L31"/>
  <c r="E12"/>
  <c r="D13"/>
  <c r="F12" l="1"/>
  <c r="AB12" s="1"/>
  <c r="AA12"/>
  <c r="AC12" s="1"/>
  <c r="AH12" s="1"/>
  <c r="D14"/>
  <c r="E13"/>
  <c r="M31"/>
  <c r="L32"/>
  <c r="AA13" l="1"/>
  <c r="AC13" s="1"/>
  <c r="AH13" s="1"/>
  <c r="F13"/>
  <c r="AB13" s="1"/>
  <c r="D15"/>
  <c r="E14"/>
  <c r="M32"/>
  <c r="L33"/>
  <c r="M33" s="1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E19"/>
  <c r="D20"/>
  <c r="AA19" l="1"/>
  <c r="AC19" s="1"/>
  <c r="AH19" s="1"/>
  <c r="F19"/>
  <c r="AB19" s="1"/>
  <c r="E20"/>
  <c r="D21"/>
  <c r="AA20" l="1"/>
  <c r="AC20" s="1"/>
  <c r="AH20" s="1"/>
  <c r="F20"/>
  <c r="AB20" s="1"/>
  <c r="E21"/>
  <c r="D22"/>
  <c r="D23" s="1"/>
  <c r="D24" s="1"/>
  <c r="D25" s="1"/>
  <c r="D26" s="1"/>
  <c r="D27" s="1"/>
  <c r="D28" s="1"/>
  <c r="D29" s="1"/>
  <c r="D30" s="1"/>
  <c r="D31" s="1"/>
  <c r="D32" s="1"/>
  <c r="D33" s="1"/>
  <c r="AA21" l="1"/>
  <c r="AC21" s="1"/>
  <c r="AH21" s="1"/>
  <c r="F21"/>
  <c r="AB21" s="1"/>
  <c r="E22"/>
  <c r="AA22" l="1"/>
  <c r="AC22" s="1"/>
  <c r="AH22" s="1"/>
  <c r="F22"/>
  <c r="AB22" s="1"/>
  <c r="E23"/>
  <c r="AA23" l="1"/>
  <c r="AC23" s="1"/>
  <c r="AH23" s="1"/>
  <c r="F23"/>
  <c r="AB23" s="1"/>
  <c r="E24"/>
  <c r="F24" s="1"/>
  <c r="AA24" l="1"/>
  <c r="AC24" s="1"/>
  <c r="AH24" s="1"/>
  <c r="AB24"/>
  <c r="E25"/>
  <c r="F25" s="1"/>
  <c r="AA25" l="1"/>
  <c r="AC25" s="1"/>
  <c r="AH25" s="1"/>
  <c r="AB25"/>
  <c r="E26"/>
  <c r="AA26" l="1"/>
  <c r="AC26" s="1"/>
  <c r="AH26" s="1"/>
  <c r="F26"/>
  <c r="AB26" s="1"/>
  <c r="E27"/>
  <c r="AA27" l="1"/>
  <c r="AC27" s="1"/>
  <c r="AH27" s="1"/>
  <c r="F27"/>
  <c r="AB27" s="1"/>
  <c r="E28"/>
  <c r="AA28" l="1"/>
  <c r="AC28" s="1"/>
  <c r="AH28" s="1"/>
  <c r="F28"/>
  <c r="AB28" s="1"/>
  <c r="E29"/>
  <c r="AA29" l="1"/>
  <c r="AC29" s="1"/>
  <c r="AH29" s="1"/>
  <c r="F29"/>
  <c r="AB29" s="1"/>
  <c r="E30"/>
  <c r="E31" l="1"/>
  <c r="F30"/>
  <c r="AB30" s="1"/>
  <c r="AA30"/>
  <c r="AC30" s="1"/>
  <c r="AH30" s="1"/>
  <c r="E32" l="1"/>
  <c r="E33"/>
  <c r="AA33" s="1"/>
  <c r="AC33" s="1"/>
  <c r="AH33" s="1"/>
  <c r="F31"/>
  <c r="AB31" s="1"/>
  <c r="AA31"/>
  <c r="AC31" s="1"/>
  <c r="AH31" s="1"/>
  <c r="AA32" l="1"/>
  <c r="AC32" s="1"/>
  <c r="AH32" s="1"/>
  <c r="F32"/>
  <c r="AB32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<sst xmlns="http://schemas.openxmlformats.org/spreadsheetml/2006/main" count="664" uniqueCount="418">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</sst>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43" fontId="0" fillId="0" borderId="0" xfId="1" applyFont="1"/>
    <xf numFmtId="175" fontId="0" fillId="0" borderId="0" xfId="1" applyNumberFormat="1" applyFont="1"/>
    <xf numFmtId="2" fontId="0" fillId="0" borderId="0" xfId="1" applyNumberFormat="1" applyFont="1"/>
    <xf numFmtId="173" fontId="0" fillId="2" borderId="7" xfId="0" applyNumberFormat="1" applyFon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3085</c:v>
                </c:pt>
                <c:pt idx="8">
                  <c:v>1929</c:v>
                </c:pt>
                <c:pt idx="9">
                  <c:v>2779</c:v>
                </c:pt>
                <c:pt idx="10">
                  <c:v>2745</c:v>
                </c:pt>
                <c:pt idx="11">
                  <c:v>0</c:v>
                </c:pt>
                <c:pt idx="12">
                  <c:v>0</c:v>
                </c:pt>
                <c:pt idx="13">
                  <c:v>2751</c:v>
                </c:pt>
                <c:pt idx="14">
                  <c:v>2937</c:v>
                </c:pt>
                <c:pt idx="15">
                  <c:v>2410</c:v>
                </c:pt>
                <c:pt idx="16">
                  <c:v>2863.6000000000931</c:v>
                </c:pt>
                <c:pt idx="17">
                  <c:v>2741.3999999999069</c:v>
                </c:pt>
                <c:pt idx="18">
                  <c:v>0</c:v>
                </c:pt>
                <c:pt idx="19">
                  <c:v>0</c:v>
                </c:pt>
                <c:pt idx="20">
                  <c:v>2602</c:v>
                </c:pt>
                <c:pt idx="21">
                  <c:v>2685</c:v>
                </c:pt>
                <c:pt idx="22">
                  <c:v>0</c:v>
                </c:pt>
                <c:pt idx="23">
                  <c:v>3117</c:v>
                </c:pt>
                <c:pt idx="24">
                  <c:v>2605</c:v>
                </c:pt>
                <c:pt idx="25">
                  <c:v>0</c:v>
                </c:pt>
                <c:pt idx="26">
                  <c:v>0</c:v>
                </c:pt>
                <c:pt idx="27">
                  <c:v>4127</c:v>
                </c:pt>
                <c:pt idx="28">
                  <c:v>2701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86420096"/>
        <c:axId val="86421888"/>
      </c:lineChart>
      <c:catAx>
        <c:axId val="8642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21888"/>
        <c:crosses val="autoZero"/>
        <c:auto val="1"/>
        <c:lblAlgn val="ctr"/>
        <c:lblOffset val="100"/>
      </c:catAx>
      <c:valAx>
        <c:axId val="86421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2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495</c:v>
                </c:pt>
                <c:pt idx="26">
                  <c:v>0</c:v>
                </c:pt>
                <c:pt idx="27">
                  <c:v>0</c:v>
                </c:pt>
                <c:pt idx="28">
                  <c:v>1146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86438656"/>
        <c:axId val="86440192"/>
      </c:lineChart>
      <c:catAx>
        <c:axId val="8643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40192"/>
        <c:crosses val="autoZero"/>
        <c:auto val="1"/>
        <c:lblAlgn val="ctr"/>
        <c:lblOffset val="100"/>
      </c:catAx>
      <c:valAx>
        <c:axId val="86440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3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72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794"/>
          <c:w val="0.77663126001870209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6485248"/>
        <c:axId val="86491136"/>
      </c:lineChart>
      <c:catAx>
        <c:axId val="8648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91136"/>
        <c:crosses val="autoZero"/>
        <c:auto val="1"/>
        <c:lblAlgn val="ctr"/>
        <c:lblOffset val="100"/>
      </c:catAx>
      <c:valAx>
        <c:axId val="864911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8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86921216"/>
        <c:axId val="86922752"/>
      </c:lineChart>
      <c:catAx>
        <c:axId val="8692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22752"/>
        <c:crosses val="autoZero"/>
        <c:auto val="1"/>
        <c:lblAlgn val="ctr"/>
        <c:lblOffset val="100"/>
      </c:catAx>
      <c:valAx>
        <c:axId val="86922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2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31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86951424"/>
        <c:axId val="86952960"/>
      </c:lineChart>
      <c:catAx>
        <c:axId val="8695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52960"/>
        <c:crosses val="autoZero"/>
        <c:auto val="1"/>
        <c:lblAlgn val="ctr"/>
        <c:lblOffset val="100"/>
      </c:catAx>
      <c:valAx>
        <c:axId val="869529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5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38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7195008"/>
        <c:axId val="87196800"/>
      </c:lineChart>
      <c:catAx>
        <c:axId val="8719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96800"/>
        <c:crosses val="autoZero"/>
        <c:auto val="1"/>
        <c:lblAlgn val="ctr"/>
        <c:lblOffset val="100"/>
      </c:catAx>
      <c:valAx>
        <c:axId val="87196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9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7209088"/>
        <c:axId val="87210624"/>
      </c:lineChart>
      <c:catAx>
        <c:axId val="8720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10624"/>
        <c:crosses val="autoZero"/>
        <c:auto val="1"/>
        <c:lblAlgn val="ctr"/>
        <c:lblOffset val="100"/>
      </c:catAx>
      <c:valAx>
        <c:axId val="87210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0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116</c:v>
                </c:pt>
                <c:pt idx="10">
                  <c:v>0</c:v>
                </c:pt>
                <c:pt idx="11">
                  <c:v>0</c:v>
                </c:pt>
                <c:pt idx="12">
                  <c:v>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78</c:v>
                </c:pt>
                <c:pt idx="17">
                  <c:v>0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260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7566592"/>
        <c:axId val="87572480"/>
      </c:lineChart>
      <c:catAx>
        <c:axId val="8756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72480"/>
        <c:crosses val="autoZero"/>
        <c:auto val="1"/>
        <c:lblAlgn val="ctr"/>
        <c:lblOffset val="100"/>
      </c:catAx>
      <c:valAx>
        <c:axId val="8757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6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0">
                  <c:v>0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21.5</c:v>
                </c:pt>
                <c:pt idx="15">
                  <c:v>19.5</c:v>
                </c:pt>
                <c:pt idx="16">
                  <c:v>20.5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20.5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7605248"/>
        <c:axId val="87606784"/>
      </c:lineChart>
      <c:catAx>
        <c:axId val="8760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06784"/>
        <c:crosses val="autoZero"/>
        <c:auto val="1"/>
        <c:lblAlgn val="ctr"/>
        <c:lblOffset val="100"/>
      </c:catAx>
      <c:valAx>
        <c:axId val="87606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0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5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7512576"/>
        <c:axId val="87514112"/>
      </c:lineChart>
      <c:catAx>
        <c:axId val="8751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14112"/>
        <c:crosses val="autoZero"/>
        <c:auto val="1"/>
        <c:lblAlgn val="ctr"/>
        <c:lblOffset val="100"/>
      </c:catAx>
      <c:valAx>
        <c:axId val="87514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1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9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9</c:v>
                </c:pt>
                <c:pt idx="25">
                  <c:v>0</c:v>
                </c:pt>
                <c:pt idx="26">
                  <c:v>7</c:v>
                </c:pt>
                <c:pt idx="27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7759872"/>
        <c:axId val="87765760"/>
      </c:lineChart>
      <c:catAx>
        <c:axId val="8775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65760"/>
        <c:crosses val="autoZero"/>
        <c:auto val="1"/>
        <c:lblAlgn val="ctr"/>
        <c:lblOffset val="100"/>
      </c:catAx>
      <c:valAx>
        <c:axId val="87765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5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495</c:v>
                </c:pt>
                <c:pt idx="25">
                  <c:v>0</c:v>
                </c:pt>
                <c:pt idx="26">
                  <c:v>0</c:v>
                </c:pt>
                <c:pt idx="27">
                  <c:v>1146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8012288"/>
        <c:axId val="88013824"/>
      </c:lineChart>
      <c:catAx>
        <c:axId val="8801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3824"/>
        <c:crosses val="autoZero"/>
        <c:auto val="1"/>
        <c:lblAlgn val="ctr"/>
        <c:lblOffset val="100"/>
      </c:catAx>
      <c:valAx>
        <c:axId val="8801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24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120</c:v>
                </c:pt>
                <c:pt idx="1">
                  <c:v>127</c:v>
                </c:pt>
                <c:pt idx="2">
                  <c:v>135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205</c:v>
                </c:pt>
                <c:pt idx="7">
                  <c:v>0</c:v>
                </c:pt>
                <c:pt idx="8">
                  <c:v>0</c:v>
                </c:pt>
                <c:pt idx="9">
                  <c:v>257</c:v>
                </c:pt>
                <c:pt idx="10">
                  <c:v>222</c:v>
                </c:pt>
                <c:pt idx="11">
                  <c:v>0</c:v>
                </c:pt>
                <c:pt idx="12">
                  <c:v>0</c:v>
                </c:pt>
                <c:pt idx="13">
                  <c:v>161</c:v>
                </c:pt>
                <c:pt idx="14">
                  <c:v>153</c:v>
                </c:pt>
                <c:pt idx="15">
                  <c:v>64</c:v>
                </c:pt>
                <c:pt idx="16">
                  <c:v>198</c:v>
                </c:pt>
                <c:pt idx="17">
                  <c:v>150</c:v>
                </c:pt>
                <c:pt idx="18">
                  <c:v>0</c:v>
                </c:pt>
                <c:pt idx="19">
                  <c:v>0</c:v>
                </c:pt>
                <c:pt idx="20">
                  <c:v>134</c:v>
                </c:pt>
                <c:pt idx="21">
                  <c:v>232</c:v>
                </c:pt>
                <c:pt idx="22">
                  <c:v>0</c:v>
                </c:pt>
                <c:pt idx="23">
                  <c:v>199</c:v>
                </c:pt>
                <c:pt idx="24">
                  <c:v>115</c:v>
                </c:pt>
                <c:pt idx="25">
                  <c:v>0</c:v>
                </c:pt>
                <c:pt idx="26">
                  <c:v>0</c:v>
                </c:pt>
                <c:pt idx="27">
                  <c:v>524</c:v>
                </c:pt>
                <c:pt idx="28">
                  <c:v>324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8075648"/>
        <c:axId val="88093824"/>
      </c:lineChart>
      <c:catAx>
        <c:axId val="8807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93824"/>
        <c:crosses val="autoZero"/>
        <c:auto val="1"/>
        <c:lblAlgn val="ctr"/>
        <c:lblOffset val="100"/>
      </c:catAx>
      <c:valAx>
        <c:axId val="8809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7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2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8122496"/>
        <c:axId val="88124032"/>
      </c:lineChart>
      <c:catAx>
        <c:axId val="8812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24032"/>
        <c:crosses val="autoZero"/>
        <c:auto val="1"/>
        <c:lblAlgn val="ctr"/>
        <c:lblOffset val="100"/>
      </c:catAx>
      <c:valAx>
        <c:axId val="88124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2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3085</c:v>
                </c:pt>
                <c:pt idx="8">
                  <c:v>1929</c:v>
                </c:pt>
                <c:pt idx="9">
                  <c:v>2779</c:v>
                </c:pt>
                <c:pt idx="10">
                  <c:v>2745</c:v>
                </c:pt>
                <c:pt idx="11">
                  <c:v>0</c:v>
                </c:pt>
                <c:pt idx="12">
                  <c:v>0</c:v>
                </c:pt>
                <c:pt idx="13">
                  <c:v>2751</c:v>
                </c:pt>
                <c:pt idx="14">
                  <c:v>2937</c:v>
                </c:pt>
                <c:pt idx="15">
                  <c:v>2410</c:v>
                </c:pt>
                <c:pt idx="16">
                  <c:v>2863.6000000000931</c:v>
                </c:pt>
                <c:pt idx="17">
                  <c:v>2741.3999999999069</c:v>
                </c:pt>
                <c:pt idx="18">
                  <c:v>0</c:v>
                </c:pt>
                <c:pt idx="19">
                  <c:v>0</c:v>
                </c:pt>
                <c:pt idx="20">
                  <c:v>2602</c:v>
                </c:pt>
                <c:pt idx="21">
                  <c:v>2685</c:v>
                </c:pt>
                <c:pt idx="22">
                  <c:v>0</c:v>
                </c:pt>
                <c:pt idx="23">
                  <c:v>3117</c:v>
                </c:pt>
                <c:pt idx="24">
                  <c:v>2605</c:v>
                </c:pt>
                <c:pt idx="25">
                  <c:v>0</c:v>
                </c:pt>
                <c:pt idx="26">
                  <c:v>0</c:v>
                </c:pt>
                <c:pt idx="27">
                  <c:v>4127</c:v>
                </c:pt>
                <c:pt idx="28">
                  <c:v>2701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8144896"/>
        <c:axId val="88158976"/>
      </c:lineChart>
      <c:catAx>
        <c:axId val="8814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58976"/>
        <c:crosses val="autoZero"/>
        <c:auto val="1"/>
        <c:lblAlgn val="ctr"/>
        <c:lblOffset val="100"/>
      </c:catAx>
      <c:valAx>
        <c:axId val="88158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4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495</c:v>
                </c:pt>
                <c:pt idx="26">
                  <c:v>0</c:v>
                </c:pt>
                <c:pt idx="27">
                  <c:v>0</c:v>
                </c:pt>
                <c:pt idx="28">
                  <c:v>1146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8199936"/>
        <c:axId val="88201472"/>
      </c:lineChart>
      <c:catAx>
        <c:axId val="8819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01472"/>
        <c:crosses val="autoZero"/>
        <c:auto val="1"/>
        <c:lblAlgn val="ctr"/>
        <c:lblOffset val="100"/>
      </c:catAx>
      <c:valAx>
        <c:axId val="88201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9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2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9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9</c:v>
                </c:pt>
                <c:pt idx="25">
                  <c:v>0</c:v>
                </c:pt>
                <c:pt idx="26">
                  <c:v>7</c:v>
                </c:pt>
                <c:pt idx="27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87632128"/>
        <c:axId val="87666688"/>
      </c:lineChart>
      <c:catAx>
        <c:axId val="8763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66688"/>
        <c:crosses val="autoZero"/>
        <c:auto val="1"/>
        <c:lblAlgn val="ctr"/>
        <c:lblOffset val="100"/>
      </c:catAx>
      <c:valAx>
        <c:axId val="87666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3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07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-1464.3870967742114</c:v>
                </c:pt>
                <c:pt idx="1">
                  <c:v>-1463.3870967741823</c:v>
                </c:pt>
                <c:pt idx="2">
                  <c:v>226.87096774192469</c:v>
                </c:pt>
                <c:pt idx="3">
                  <c:v>0</c:v>
                </c:pt>
                <c:pt idx="4">
                  <c:v>0</c:v>
                </c:pt>
                <c:pt idx="5">
                  <c:v>-1226.7096774193342</c:v>
                </c:pt>
                <c:pt idx="6">
                  <c:v>-1226.7096774193633</c:v>
                </c:pt>
                <c:pt idx="7">
                  <c:v>-1156.7096774193633</c:v>
                </c:pt>
                <c:pt idx="8">
                  <c:v>-990.03225806451519</c:v>
                </c:pt>
                <c:pt idx="9">
                  <c:v>-990.03225806451519</c:v>
                </c:pt>
                <c:pt idx="10">
                  <c:v>0</c:v>
                </c:pt>
                <c:pt idx="11">
                  <c:v>0</c:v>
                </c:pt>
                <c:pt idx="12">
                  <c:v>-1156.7096774193342</c:v>
                </c:pt>
                <c:pt idx="13">
                  <c:v>-990.03225806454429</c:v>
                </c:pt>
                <c:pt idx="14">
                  <c:v>-920.03225806451519</c:v>
                </c:pt>
                <c:pt idx="15">
                  <c:v>-553.16129032257595</c:v>
                </c:pt>
                <c:pt idx="16">
                  <c:v>-1226.7096774193487</c:v>
                </c:pt>
                <c:pt idx="17">
                  <c:v>0</c:v>
                </c:pt>
                <c:pt idx="18">
                  <c:v>0</c:v>
                </c:pt>
                <c:pt idx="19">
                  <c:v>-920.03225806451519</c:v>
                </c:pt>
                <c:pt idx="20">
                  <c:v>-1226.7096774193487</c:v>
                </c:pt>
                <c:pt idx="21">
                  <c:v>0</c:v>
                </c:pt>
                <c:pt idx="22">
                  <c:v>-1226.7096774193633</c:v>
                </c:pt>
                <c:pt idx="23">
                  <c:v>-613.3548387096962</c:v>
                </c:pt>
                <c:pt idx="24">
                  <c:v>-306.67741935481899</c:v>
                </c:pt>
                <c:pt idx="25">
                  <c:v>0</c:v>
                </c:pt>
                <c:pt idx="26">
                  <c:v>-990.03225806451519</c:v>
                </c:pt>
                <c:pt idx="27">
                  <c:v>-1226.7096774193342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8211456"/>
        <c:axId val="88212992"/>
      </c:lineChart>
      <c:catAx>
        <c:axId val="8821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12992"/>
        <c:crosses val="autoZero"/>
        <c:auto val="1"/>
        <c:lblAlgn val="ctr"/>
        <c:lblOffset val="100"/>
      </c:catAx>
      <c:valAx>
        <c:axId val="88212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1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88246144"/>
        <c:axId val="88247680"/>
      </c:lineChart>
      <c:catAx>
        <c:axId val="8824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47680"/>
        <c:crosses val="autoZero"/>
        <c:auto val="1"/>
        <c:lblAlgn val="ctr"/>
        <c:lblOffset val="100"/>
      </c:catAx>
      <c:valAx>
        <c:axId val="8824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4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5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88345984"/>
        <c:axId val="88364160"/>
      </c:lineChart>
      <c:catAx>
        <c:axId val="8834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64160"/>
        <c:crosses val="autoZero"/>
        <c:auto val="1"/>
        <c:lblAlgn val="ctr"/>
        <c:lblOffset val="100"/>
      </c:catAx>
      <c:valAx>
        <c:axId val="883641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4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88396928"/>
        <c:axId val="88398464"/>
      </c:lineChart>
      <c:catAx>
        <c:axId val="8839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98464"/>
        <c:crosses val="autoZero"/>
        <c:auto val="1"/>
        <c:lblAlgn val="ctr"/>
        <c:lblOffset val="100"/>
      </c:catAx>
      <c:valAx>
        <c:axId val="88398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9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88406656"/>
        <c:axId val="88433024"/>
      </c:lineChart>
      <c:catAx>
        <c:axId val="8840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33024"/>
        <c:crosses val="autoZero"/>
        <c:auto val="1"/>
        <c:lblAlgn val="ctr"/>
        <c:lblOffset val="100"/>
      </c:catAx>
      <c:valAx>
        <c:axId val="8843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0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9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116</c:v>
                </c:pt>
                <c:pt idx="10">
                  <c:v>0</c:v>
                </c:pt>
                <c:pt idx="11">
                  <c:v>0</c:v>
                </c:pt>
                <c:pt idx="12">
                  <c:v>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78</c:v>
                </c:pt>
                <c:pt idx="17">
                  <c:v>0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260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88469888"/>
        <c:axId val="88471424"/>
      </c:lineChart>
      <c:catAx>
        <c:axId val="8846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71424"/>
        <c:crosses val="autoZero"/>
        <c:auto val="1"/>
        <c:lblAlgn val="ctr"/>
        <c:lblOffset val="100"/>
      </c:catAx>
      <c:valAx>
        <c:axId val="8847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6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21.5</c:v>
                </c:pt>
                <c:pt idx="15">
                  <c:v>19.5</c:v>
                </c:pt>
                <c:pt idx="16">
                  <c:v>20.5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20.5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88303488"/>
        <c:axId val="88305024"/>
      </c:lineChart>
      <c:catAx>
        <c:axId val="8830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05024"/>
        <c:crosses val="autoZero"/>
        <c:auto val="1"/>
        <c:lblAlgn val="ctr"/>
        <c:lblOffset val="100"/>
      </c:catAx>
      <c:valAx>
        <c:axId val="8830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0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315"/>
          <c:w val="0.1234311819809477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88548096"/>
        <c:axId val="88549632"/>
      </c:lineChart>
      <c:catAx>
        <c:axId val="885480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49632"/>
        <c:crosses val="autoZero"/>
        <c:auto val="1"/>
        <c:lblAlgn val="ctr"/>
        <c:lblOffset val="100"/>
      </c:catAx>
      <c:valAx>
        <c:axId val="885496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4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03"/>
          <c:w val="0.1569039853282501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88577920"/>
        <c:axId val="88579456"/>
      </c:lineChart>
      <c:catAx>
        <c:axId val="8857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79456"/>
        <c:crosses val="autoZero"/>
        <c:auto val="1"/>
        <c:lblAlgn val="ctr"/>
        <c:lblOffset val="100"/>
      </c:catAx>
      <c:valAx>
        <c:axId val="885794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7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21.5</c:v>
                </c:pt>
                <c:pt idx="15">
                  <c:v>19.5</c:v>
                </c:pt>
                <c:pt idx="16">
                  <c:v>20.5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20.5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88522752"/>
        <c:axId val="88524288"/>
      </c:lineChart>
      <c:catAx>
        <c:axId val="8852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24288"/>
        <c:crosses val="autoZero"/>
        <c:auto val="1"/>
        <c:lblAlgn val="ctr"/>
        <c:lblOffset val="100"/>
      </c:catAx>
      <c:valAx>
        <c:axId val="88524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69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89131648"/>
        <c:axId val="89133440"/>
      </c:lineChart>
      <c:catAx>
        <c:axId val="891316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33440"/>
        <c:crosses val="autoZero"/>
        <c:auto val="1"/>
        <c:lblAlgn val="ctr"/>
        <c:lblOffset val="100"/>
      </c:catAx>
      <c:valAx>
        <c:axId val="891334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3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0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44865</v>
          </cell>
          <cell r="D34">
            <v>393050</v>
          </cell>
          <cell r="E34">
            <v>700</v>
          </cell>
          <cell r="F34">
            <v>4177010</v>
          </cell>
          <cell r="G34">
            <v>344</v>
          </cell>
          <cell r="H34">
            <v>18090474</v>
          </cell>
          <cell r="I34">
            <v>362</v>
          </cell>
          <cell r="J34">
            <v>29866098</v>
          </cell>
          <cell r="K34">
            <v>246</v>
          </cell>
          <cell r="L34">
            <v>24688774</v>
          </cell>
          <cell r="M34">
            <v>1148</v>
          </cell>
          <cell r="N34">
            <v>2800</v>
          </cell>
          <cell r="O34">
            <v>0</v>
          </cell>
          <cell r="P34">
            <v>19595.605</v>
          </cell>
          <cell r="Q34">
            <v>2587.9999999997381</v>
          </cell>
          <cell r="R34">
            <v>212.00000000026193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33498</v>
          </cell>
          <cell r="X34">
            <v>0</v>
          </cell>
          <cell r="Y34">
            <v>999659</v>
          </cell>
          <cell r="Z34">
            <v>0</v>
          </cell>
          <cell r="AA34">
            <v>36802</v>
          </cell>
          <cell r="AB34">
            <v>1</v>
          </cell>
          <cell r="AC34">
            <v>1171987</v>
          </cell>
          <cell r="AD34">
            <v>452</v>
          </cell>
          <cell r="AE34">
            <v>1</v>
          </cell>
          <cell r="AF34">
            <v>452</v>
          </cell>
          <cell r="AG34">
            <v>452</v>
          </cell>
        </row>
      </sheetData>
      <sheetData sheetId="3">
        <row r="35">
          <cell r="A35">
            <v>44865</v>
          </cell>
          <cell r="B35">
            <v>241</v>
          </cell>
          <cell r="C35">
            <v>247</v>
          </cell>
          <cell r="D35">
            <v>3</v>
          </cell>
          <cell r="E35">
            <v>25.14</v>
          </cell>
          <cell r="F35">
            <v>2302</v>
          </cell>
          <cell r="G35">
            <v>2</v>
          </cell>
          <cell r="H35">
            <v>47963</v>
          </cell>
          <cell r="I35">
            <v>120</v>
          </cell>
          <cell r="J35">
            <v>60</v>
          </cell>
          <cell r="K35">
            <v>2467</v>
          </cell>
          <cell r="L35">
            <v>0</v>
          </cell>
          <cell r="M35">
            <v>183733</v>
          </cell>
          <cell r="N35">
            <v>0</v>
          </cell>
          <cell r="O35">
            <v>1869</v>
          </cell>
          <cell r="P35">
            <v>2232</v>
          </cell>
          <cell r="Q35">
            <v>186523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120</v>
          </cell>
          <cell r="W35">
            <v>0</v>
          </cell>
          <cell r="X35">
            <v>2498</v>
          </cell>
          <cell r="Y35">
            <v>0</v>
          </cell>
          <cell r="Z35">
            <v>141419</v>
          </cell>
          <cell r="AA35">
            <v>0</v>
          </cell>
          <cell r="AB35">
            <v>0</v>
          </cell>
          <cell r="AC35">
            <v>1949</v>
          </cell>
          <cell r="AD35">
            <v>0</v>
          </cell>
          <cell r="AE35">
            <v>366687</v>
          </cell>
          <cell r="AF35">
            <v>0</v>
          </cell>
          <cell r="AG35">
            <v>0</v>
          </cell>
          <cell r="AH35">
            <v>0</v>
          </cell>
          <cell r="AI35">
            <v>120</v>
          </cell>
          <cell r="AJ35">
            <v>120</v>
          </cell>
          <cell r="AK35">
            <v>0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35</v>
          </cell>
          <cell r="AQ35">
            <v>1050</v>
          </cell>
          <cell r="AR35">
            <v>73</v>
          </cell>
          <cell r="AS35">
            <v>2190</v>
          </cell>
          <cell r="AT35">
            <v>5190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44865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630998</v>
          </cell>
          <cell r="H36">
            <v>0</v>
          </cell>
          <cell r="I36">
            <v>0</v>
          </cell>
          <cell r="J36">
            <v>0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5195</v>
          </cell>
          <cell r="U36">
            <v>1</v>
          </cell>
          <cell r="V36">
            <v>501</v>
          </cell>
          <cell r="W36">
            <v>1</v>
          </cell>
          <cell r="X36">
            <v>156017</v>
          </cell>
          <cell r="Y36">
            <v>0</v>
          </cell>
          <cell r="Z36">
            <v>99699</v>
          </cell>
          <cell r="AA36">
            <v>0</v>
          </cell>
          <cell r="AB36">
            <v>251</v>
          </cell>
          <cell r="AC36">
            <v>855</v>
          </cell>
          <cell r="AD36">
            <v>0</v>
          </cell>
          <cell r="AE36">
            <v>250.96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24.5</v>
          </cell>
          <cell r="AN36">
            <v>0</v>
          </cell>
          <cell r="AO36">
            <v>0</v>
          </cell>
          <cell r="AP36">
            <v>0</v>
          </cell>
          <cell r="AR36">
            <v>44865</v>
          </cell>
          <cell r="AS36">
            <v>0.9</v>
          </cell>
          <cell r="AT36">
            <v>145</v>
          </cell>
          <cell r="AU36">
            <v>1.1000000000000001</v>
          </cell>
          <cell r="AV36">
            <v>75</v>
          </cell>
          <cell r="AW36">
            <v>2.9</v>
          </cell>
          <cell r="AX36">
            <v>65</v>
          </cell>
          <cell r="AY36">
            <v>130.5</v>
          </cell>
          <cell r="AZ36">
            <v>82.5</v>
          </cell>
          <cell r="BA36">
            <v>188.5</v>
          </cell>
          <cell r="BB36">
            <v>0</v>
          </cell>
          <cell r="BC36">
            <v>-1.1000000000000085</v>
          </cell>
          <cell r="BD36">
            <v>0</v>
          </cell>
          <cell r="BE36">
            <v>-1.1000000000000085</v>
          </cell>
          <cell r="BF36">
            <v>1.1000000000000085</v>
          </cell>
          <cell r="BG36">
            <v>-1.1000000000000085</v>
          </cell>
        </row>
      </sheetData>
      <sheetData sheetId="5">
        <row r="33">
          <cell r="A33">
            <v>44865</v>
          </cell>
          <cell r="B33">
            <v>1286</v>
          </cell>
          <cell r="C33">
            <v>24</v>
          </cell>
          <cell r="D33">
            <v>784756</v>
          </cell>
          <cell r="E33">
            <v>2040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J33">
            <v>138</v>
          </cell>
          <cell r="K33">
            <v>0</v>
          </cell>
          <cell r="L33">
            <v>390941</v>
          </cell>
          <cell r="M33">
            <v>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S33">
            <v>0</v>
          </cell>
          <cell r="T33">
            <v>417512</v>
          </cell>
          <cell r="U33">
            <v>0</v>
          </cell>
          <cell r="V33">
            <v>250</v>
          </cell>
          <cell r="W33">
            <v>0</v>
          </cell>
          <cell r="X33">
            <v>14773</v>
          </cell>
          <cell r="Y33" t="str">
            <v>ok</v>
          </cell>
          <cell r="Z33">
            <v>24</v>
          </cell>
          <cell r="AA33">
            <v>2040</v>
          </cell>
          <cell r="AB33">
            <v>585</v>
          </cell>
          <cell r="AC33">
            <v>85</v>
          </cell>
          <cell r="AD33">
            <v>2587.9999999997381</v>
          </cell>
          <cell r="AE33">
            <v>107.83333333332241</v>
          </cell>
          <cell r="AF33">
            <v>6.7395833333326507E-2</v>
          </cell>
          <cell r="AG33">
            <v>4.2122395833329067E-5</v>
          </cell>
          <cell r="AH33">
            <v>84.99995787760416</v>
          </cell>
          <cell r="AI33">
            <v>666.10970464128286</v>
          </cell>
          <cell r="AJ33">
            <v>0.25738396624472576</v>
          </cell>
          <cell r="AK33">
            <v>27.754571026720118</v>
          </cell>
          <cell r="AL33">
            <v>1</v>
          </cell>
        </row>
      </sheetData>
      <sheetData sheetId="6">
        <row r="36">
          <cell r="A36">
            <v>44865</v>
          </cell>
          <cell r="B36">
            <v>241</v>
          </cell>
          <cell r="C36">
            <v>5185.3870967741932</v>
          </cell>
          <cell r="D36">
            <v>241</v>
          </cell>
          <cell r="E36">
            <v>5185.3870967741932</v>
          </cell>
          <cell r="F36">
            <v>241</v>
          </cell>
          <cell r="G36">
            <v>5185.3870967741932</v>
          </cell>
          <cell r="H36">
            <v>241</v>
          </cell>
          <cell r="I36">
            <v>5185.3870967741932</v>
          </cell>
          <cell r="J36">
            <v>241</v>
          </cell>
          <cell r="K36">
            <v>5185.3870967741932</v>
          </cell>
          <cell r="L36">
            <v>241</v>
          </cell>
          <cell r="M36">
            <v>5185.3870967741932</v>
          </cell>
          <cell r="N36">
            <v>241</v>
          </cell>
          <cell r="O36">
            <v>5185.3870967741932</v>
          </cell>
          <cell r="P36">
            <v>241</v>
          </cell>
          <cell r="Q36">
            <v>5185.3870967741932</v>
          </cell>
          <cell r="R36">
            <v>241</v>
          </cell>
          <cell r="S36">
            <v>5185.3870967741932</v>
          </cell>
          <cell r="T36">
            <v>241</v>
          </cell>
          <cell r="U36">
            <v>5185.3870967741932</v>
          </cell>
          <cell r="V36">
            <v>241</v>
          </cell>
          <cell r="W36">
            <v>5185.3870967741932</v>
          </cell>
          <cell r="X36">
            <v>0.77741935483870972</v>
          </cell>
          <cell r="Y36">
            <v>57039.258064516136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0.79949723636136538</v>
          </cell>
          <cell r="AR36">
            <v>74329.258064516136</v>
          </cell>
          <cell r="AS36">
            <v>-683.35483870968164</v>
          </cell>
          <cell r="AT36">
            <v>0</v>
          </cell>
          <cell r="AU36">
            <v>0</v>
          </cell>
          <cell r="AV36">
            <v>1.0349999999999999</v>
          </cell>
          <cell r="AW36">
            <v>-120</v>
          </cell>
          <cell r="AX36">
            <v>-563.35483870968164</v>
          </cell>
          <cell r="AY36">
            <v>-683.35483870968164</v>
          </cell>
          <cell r="AZ36">
            <v>0</v>
          </cell>
          <cell r="BA36">
            <v>24.5</v>
          </cell>
          <cell r="BB36">
            <v>0.61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  <cell r="BJ36">
            <v>-24.493688639551376</v>
          </cell>
          <cell r="BK36">
            <v>6.7395833333326507E-2</v>
          </cell>
        </row>
      </sheetData>
      <sheetData sheetId="7">
        <row r="21">
          <cell r="W21">
            <v>44856</v>
          </cell>
        </row>
        <row r="26">
          <cell r="V26">
            <v>401903</v>
          </cell>
          <cell r="W26">
            <v>401934</v>
          </cell>
          <cell r="X26" t="str">
            <v>Night</v>
          </cell>
          <cell r="Y26">
            <v>80</v>
          </cell>
          <cell r="Z26">
            <v>1</v>
          </cell>
          <cell r="AA26">
            <v>31</v>
          </cell>
          <cell r="AB26">
            <v>2480</v>
          </cell>
          <cell r="AC26">
            <v>1033333</v>
          </cell>
          <cell r="AD26">
            <v>9.7178683385579931E-2</v>
          </cell>
        </row>
        <row r="27">
          <cell r="V27">
            <v>561097</v>
          </cell>
          <cell r="W27">
            <v>561453</v>
          </cell>
          <cell r="X27" t="str">
            <v>day</v>
          </cell>
          <cell r="Y27">
            <v>112</v>
          </cell>
          <cell r="Z27">
            <v>1</v>
          </cell>
          <cell r="AA27">
            <v>356</v>
          </cell>
          <cell r="AB27">
            <v>39872</v>
          </cell>
          <cell r="AC27">
            <v>6200000</v>
          </cell>
          <cell r="AD27">
            <v>0.90595611285266453</v>
          </cell>
        </row>
        <row r="28">
          <cell r="V28">
            <v>161410</v>
          </cell>
          <cell r="W28">
            <v>161459</v>
          </cell>
          <cell r="X28" t="str">
            <v>Peak</v>
          </cell>
          <cell r="Y28">
            <v>320</v>
          </cell>
          <cell r="Z28">
            <v>1</v>
          </cell>
          <cell r="AA28">
            <v>49</v>
          </cell>
          <cell r="AB28">
            <v>15680</v>
          </cell>
          <cell r="AC28">
            <v>1000</v>
          </cell>
          <cell r="AD28">
            <v>0</v>
          </cell>
          <cell r="AE28">
            <v>784</v>
          </cell>
          <cell r="AF28">
            <v>3472</v>
          </cell>
        </row>
        <row r="29">
          <cell r="AA29">
            <v>436</v>
          </cell>
          <cell r="AB29">
            <v>58032</v>
          </cell>
          <cell r="AC29">
            <v>7234333</v>
          </cell>
        </row>
        <row r="30">
          <cell r="AA30">
            <v>0</v>
          </cell>
          <cell r="AB30">
            <v>7292365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232</v>
          </cell>
          <cell r="X32">
            <v>232</v>
          </cell>
          <cell r="Y32">
            <v>232</v>
          </cell>
          <cell r="AA32">
            <v>0</v>
          </cell>
          <cell r="AB32">
            <v>0</v>
          </cell>
          <cell r="AC32">
            <v>0</v>
          </cell>
        </row>
        <row r="33">
          <cell r="AA33">
            <v>0.11</v>
          </cell>
          <cell r="AB33">
            <v>802160.15</v>
          </cell>
          <cell r="AC33">
            <v>7234333</v>
          </cell>
        </row>
        <row r="34">
          <cell r="A34">
            <v>44865</v>
          </cell>
          <cell r="B34">
            <v>1124846</v>
          </cell>
          <cell r="C34">
            <v>0</v>
          </cell>
          <cell r="D34">
            <v>0</v>
          </cell>
          <cell r="E34">
            <v>1124846</v>
          </cell>
          <cell r="F34">
            <v>161459</v>
          </cell>
          <cell r="G34">
            <v>0</v>
          </cell>
          <cell r="H34">
            <v>561453</v>
          </cell>
          <cell r="I34">
            <v>0</v>
          </cell>
          <cell r="J34">
            <v>401934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439.4167741935517</v>
          </cell>
          <cell r="R34">
            <v>594.21981276413965</v>
          </cell>
          <cell r="S34">
            <v>2800</v>
          </cell>
          <cell r="T34">
            <v>0.21222136170147846</v>
          </cell>
          <cell r="AA34">
            <v>0</v>
          </cell>
          <cell r="AB34">
            <v>8094525.1500000004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4837.3897180762851</v>
          </cell>
          <cell r="AC36">
            <v>0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0">
          <cell r="W30">
            <v>0</v>
          </cell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57.875</v>
          </cell>
        </row>
        <row r="17">
          <cell r="B17">
            <v>0</v>
          </cell>
        </row>
        <row r="18">
          <cell r="B18">
            <v>222</v>
          </cell>
        </row>
        <row r="19">
          <cell r="B19">
            <v>21</v>
          </cell>
        </row>
        <row r="20">
          <cell r="B20">
            <v>10.571428571428571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zoomScale="70" zoomScaleNormal="70" workbookViewId="0">
      <selection activeCell="A32" sqref="A32:XFD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8" customWidth="1"/>
    <col min="15" max="15" width="11.7109375" bestFit="1" customWidth="1"/>
  </cols>
  <sheetData>
    <row r="1" spans="1:15" ht="45">
      <c r="A1" s="567" t="s">
        <v>338</v>
      </c>
      <c r="B1" s="567" t="s">
        <v>198</v>
      </c>
      <c r="C1" s="567" t="s">
        <v>339</v>
      </c>
      <c r="D1" s="567" t="s">
        <v>340</v>
      </c>
      <c r="E1" s="568" t="s">
        <v>350</v>
      </c>
      <c r="F1" s="568" t="s">
        <v>351</v>
      </c>
      <c r="G1" s="568" t="s">
        <v>411</v>
      </c>
      <c r="H1" s="568" t="s">
        <v>352</v>
      </c>
      <c r="I1" s="568" t="s">
        <v>353</v>
      </c>
      <c r="J1" s="568" t="s">
        <v>354</v>
      </c>
      <c r="K1" s="568" t="s">
        <v>355</v>
      </c>
      <c r="L1" s="568" t="s">
        <v>356</v>
      </c>
      <c r="M1" s="569" t="s">
        <v>397</v>
      </c>
      <c r="N1" s="466" t="s">
        <v>398</v>
      </c>
      <c r="O1" s="568" t="s">
        <v>341</v>
      </c>
    </row>
    <row r="2" spans="1:15">
      <c r="A2" t="s">
        <v>342</v>
      </c>
      <c r="B2">
        <v>1</v>
      </c>
      <c r="C2">
        <v>11</v>
      </c>
      <c r="D2">
        <v>2022</v>
      </c>
      <c r="E2" s="203">
        <f>ELEC!N4</f>
        <v>3564</v>
      </c>
      <c r="F2" s="314">
        <f>SUM('EDl log'!T4)</f>
        <v>0.23138174156932023</v>
      </c>
      <c r="G2" s="203">
        <f>-tanks!AW6</f>
        <v>127</v>
      </c>
      <c r="H2" s="314">
        <f>tanks!AV6</f>
        <v>0</v>
      </c>
      <c r="I2" s="10">
        <f>('B5'!AU5)*0.51</f>
        <v>0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7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f>D2</f>
        <v>2022</v>
      </c>
      <c r="E3" s="203">
        <f>ELEC!N5</f>
        <v>2667</v>
      </c>
      <c r="F3" s="314">
        <f>SUM('EDl log'!T5)</f>
        <v>0.30752588187215701</v>
      </c>
      <c r="G3" s="203">
        <f>-tanks!AW7</f>
        <v>135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159</v>
      </c>
      <c r="L3" s="315">
        <f>SUM(WATER!J7)</f>
        <v>1.5723270440251573</v>
      </c>
      <c r="M3" s="315">
        <f>WATER!Q7</f>
        <v>0</v>
      </c>
      <c r="N3" s="467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11</v>
      </c>
      <c r="D4">
        <f t="shared" ref="D4:D31" si="1">D3</f>
        <v>2022</v>
      </c>
      <c r="E4" s="203">
        <f>ELEC!N6</f>
        <v>3137</v>
      </c>
      <c r="F4" s="314">
        <f>SUM('EDl log'!T6)</f>
        <v>7.6025721672099483E-3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7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f t="shared" si="1"/>
        <v>2022</v>
      </c>
      <c r="E5" s="203">
        <f>ELEC!N7</f>
        <v>0</v>
      </c>
      <c r="F5" s="314">
        <f>SUM('EDl log'!T7)</f>
        <v>0</v>
      </c>
      <c r="G5" s="203">
        <f>-tanks!AW9</f>
        <v>0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7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f t="shared" si="1"/>
        <v>2022</v>
      </c>
      <c r="E6" s="203">
        <f>ELEC!N8</f>
        <v>0</v>
      </c>
      <c r="F6" s="314">
        <f>SUM('EDl log'!T8)</f>
        <v>0</v>
      </c>
      <c r="G6" s="203">
        <f>-tanks!AW10</f>
        <v>0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7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f t="shared" si="1"/>
        <v>2022</v>
      </c>
      <c r="E7" s="203">
        <f>ELEC!N9</f>
        <v>3030</v>
      </c>
      <c r="F7" s="314">
        <f>SUM('EDl log'!T9)</f>
        <v>0.22383077367223889</v>
      </c>
      <c r="G7" s="203">
        <f>-tanks!AW11</f>
        <v>205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7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f t="shared" si="1"/>
        <v>2022</v>
      </c>
      <c r="E8" s="203">
        <f>ELEC!N10</f>
        <v>3085</v>
      </c>
      <c r="F8" s="314">
        <f>SUM('EDl log'!T10)</f>
        <v>0.24947742286343527</v>
      </c>
      <c r="G8" s="203">
        <f>-tanks!AW12</f>
        <v>0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7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f t="shared" si="1"/>
        <v>2022</v>
      </c>
      <c r="E9" s="203">
        <f>ELEC!N11</f>
        <v>1929</v>
      </c>
      <c r="F9" s="314">
        <f>SUM('EDl log'!T11)</f>
        <v>0.38094756326267382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53</v>
      </c>
      <c r="L9" s="315">
        <f>SUM(WATER!J13)</f>
        <v>4.716981132075472</v>
      </c>
      <c r="M9" s="315">
        <f>WATER!Q13</f>
        <v>0</v>
      </c>
      <c r="N9" s="467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f t="shared" si="1"/>
        <v>2022</v>
      </c>
      <c r="E10" s="203">
        <f>ELEC!N12</f>
        <v>2779</v>
      </c>
      <c r="F10" s="314">
        <f>SUM('EDl log'!T12)</f>
        <v>0.1886578525060591</v>
      </c>
      <c r="G10" s="203">
        <f>-tanks!AW14</f>
        <v>257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7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f t="shared" si="1"/>
        <v>2022</v>
      </c>
      <c r="E11" s="203">
        <f>ELEC!N13</f>
        <v>2745</v>
      </c>
      <c r="F11" s="314">
        <f>SUM('EDl log'!T13)</f>
        <v>0.19733157454074252</v>
      </c>
      <c r="G11" s="203">
        <f>-tanks!AW15</f>
        <v>222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116</v>
      </c>
      <c r="L11" s="315">
        <f>SUM(WATER!J15)</f>
        <v>2.1551724137931036</v>
      </c>
      <c r="M11" s="315">
        <f>WATER!Q15</f>
        <v>0</v>
      </c>
      <c r="N11" s="467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f t="shared" si="1"/>
        <v>2022</v>
      </c>
      <c r="E12" s="203">
        <f>ELEC!N14</f>
        <v>0</v>
      </c>
      <c r="F12" s="314">
        <f>SUM('EDl log'!T14)</f>
        <v>0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0</v>
      </c>
      <c r="L12" s="315">
        <f>SUM(WATER!J16)</f>
        <v>0</v>
      </c>
      <c r="M12" s="315">
        <f>WATER!Q16</f>
        <v>0</v>
      </c>
      <c r="N12" s="467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f t="shared" si="1"/>
        <v>2022</v>
      </c>
      <c r="E13" s="203">
        <f>ELEC!N15</f>
        <v>0</v>
      </c>
      <c r="F13" s="314">
        <f>SUM('EDl log'!T15)</f>
        <v>0</v>
      </c>
      <c r="G13" s="203">
        <f>-tanks!AW17</f>
        <v>0</v>
      </c>
      <c r="H13" s="314">
        <f>tanks!AV17</f>
        <v>0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7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f t="shared" si="1"/>
        <v>2022</v>
      </c>
      <c r="E14" s="203">
        <f>ELEC!N16</f>
        <v>2751</v>
      </c>
      <c r="F14" s="314">
        <f>SUM('EDl log'!T16)</f>
        <v>0.2380337511936326</v>
      </c>
      <c r="G14" s="203">
        <f>-tanks!AW18</f>
        <v>161</v>
      </c>
      <c r="H14" s="314">
        <f>tanks!AV18</f>
        <v>0</v>
      </c>
      <c r="I14" s="10">
        <f>('B5'!AU17)*0.51</f>
        <v>0</v>
      </c>
      <c r="J14" s="295">
        <f>'B5'!AX17/0.51</f>
        <v>1.5686274509803921</v>
      </c>
      <c r="K14" s="203">
        <f>WATER!I18</f>
        <v>86</v>
      </c>
      <c r="L14" s="315">
        <f>SUM(WATER!J18)</f>
        <v>2.9069767441860463</v>
      </c>
      <c r="M14" s="315">
        <f>WATER!Q18</f>
        <v>0</v>
      </c>
      <c r="N14" s="467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f t="shared" si="1"/>
        <v>2022</v>
      </c>
      <c r="E15" s="203">
        <f>ELEC!N17</f>
        <v>2937</v>
      </c>
      <c r="F15" s="314">
        <f>SUM('EDl log'!T17)</f>
        <v>0.19610765138384498</v>
      </c>
      <c r="G15" s="203">
        <f>-tanks!AW19</f>
        <v>153</v>
      </c>
      <c r="H15" s="314">
        <f>tanks!AV19</f>
        <v>0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7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f t="shared" si="1"/>
        <v>2022</v>
      </c>
      <c r="E16" s="203">
        <f>ELEC!N18</f>
        <v>2410</v>
      </c>
      <c r="F16" s="314">
        <f>SUM('EDl log'!T18)</f>
        <v>0.24290920004744324</v>
      </c>
      <c r="G16" s="203">
        <f>-tanks!AW20</f>
        <v>64</v>
      </c>
      <c r="H16" s="314">
        <f>tanks!AV20</f>
        <v>0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7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f t="shared" si="1"/>
        <v>2022</v>
      </c>
      <c r="E17" s="203">
        <f>ELEC!N19</f>
        <v>2863.6000000000931</v>
      </c>
      <c r="F17" s="314">
        <f>SUM('EDl log'!T19)</f>
        <v>0.11750185121755254</v>
      </c>
      <c r="G17" s="203">
        <f>-tanks!AW21</f>
        <v>198</v>
      </c>
      <c r="H17" s="314">
        <f>tanks!AV21</f>
        <v>1.0349999999999999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7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f t="shared" si="1"/>
        <v>2022</v>
      </c>
      <c r="E18" s="203">
        <f>ELEC!N20</f>
        <v>2741.3999999999069</v>
      </c>
      <c r="F18" s="314">
        <f>SUM('EDl log'!T20)</f>
        <v>0.26063716900337569</v>
      </c>
      <c r="G18" s="203">
        <f>-tanks!AW22</f>
        <v>150</v>
      </c>
      <c r="H18" s="314">
        <f>tanks!AV22</f>
        <v>1.0349999999999999</v>
      </c>
      <c r="I18" s="10">
        <f>('B5'!AU21)*0.51</f>
        <v>0</v>
      </c>
      <c r="J18" s="295">
        <f>'B5'!AX21/0.51</f>
        <v>1.5686274509803921</v>
      </c>
      <c r="K18" s="203">
        <f>WATER!I22</f>
        <v>78</v>
      </c>
      <c r="L18" s="315">
        <f>SUM(WATER!J22)</f>
        <v>3.2051282051282053</v>
      </c>
      <c r="M18" s="315">
        <f>WATER!Q22</f>
        <v>0</v>
      </c>
      <c r="N18" s="467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f t="shared" si="1"/>
        <v>2022</v>
      </c>
      <c r="E19" s="203">
        <f>ELEC!N21</f>
        <v>0</v>
      </c>
      <c r="F19" s="314">
        <f>SUM('EDl log'!T21)</f>
        <v>0</v>
      </c>
      <c r="G19" s="203">
        <f>-tanks!AW23</f>
        <v>0</v>
      </c>
      <c r="H19" s="314">
        <f>tanks!AV23</f>
        <v>1.0349999999999999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7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f t="shared" si="1"/>
        <v>2022</v>
      </c>
      <c r="E20" s="203">
        <f>ELEC!N22</f>
        <v>0</v>
      </c>
      <c r="F20" s="314">
        <f>SUM('EDl log'!T22)</f>
        <v>0</v>
      </c>
      <c r="G20" s="203">
        <f>-tanks!AW24</f>
        <v>0</v>
      </c>
      <c r="H20" s="314">
        <f>tanks!AV24</f>
        <v>1.0349999999999999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7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f t="shared" si="1"/>
        <v>2022</v>
      </c>
      <c r="E21" s="203">
        <f>ELEC!N23</f>
        <v>2602</v>
      </c>
      <c r="F21" s="314">
        <f>SUM('EDl log'!T23)</f>
        <v>0.21161459343364269</v>
      </c>
      <c r="G21" s="203">
        <f>-tanks!AW25</f>
        <v>134</v>
      </c>
      <c r="H21" s="314">
        <f>tanks!AV25</f>
        <v>1.0349999999999999</v>
      </c>
      <c r="I21" s="10">
        <f>('B5'!AU24)*0.51</f>
        <v>0</v>
      </c>
      <c r="J21" s="295">
        <f>'B5'!AX24/0.51</f>
        <v>1.5686274509803921</v>
      </c>
      <c r="K21" s="203">
        <f>WATER!I25</f>
        <v>8</v>
      </c>
      <c r="L21" s="315">
        <f>SUM(WATER!J25)</f>
        <v>31.25</v>
      </c>
      <c r="M21" s="315">
        <f>WATER!Q25</f>
        <v>0</v>
      </c>
      <c r="N21" s="467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f t="shared" si="1"/>
        <v>2022</v>
      </c>
      <c r="E22" s="203">
        <f>ELEC!N24</f>
        <v>2685</v>
      </c>
      <c r="F22" s="314">
        <f>SUM('EDl log'!T24)</f>
        <v>0.24369975774066682</v>
      </c>
      <c r="G22" s="203">
        <f>-tanks!AW26</f>
        <v>232</v>
      </c>
      <c r="H22" s="314">
        <f>tanks!AV26</f>
        <v>1.0349999999999999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7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1.0349999999999999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7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f t="shared" si="1"/>
        <v>2022</v>
      </c>
      <c r="E24" s="203">
        <f>ELEC!N26</f>
        <v>3117</v>
      </c>
      <c r="F24" s="314">
        <f>SUM('EDl log'!T26)</f>
        <v>0.2151860280826749</v>
      </c>
      <c r="G24" s="203">
        <f>-tanks!AW28</f>
        <v>199</v>
      </c>
      <c r="H24" s="314">
        <f>tanks!AV28</f>
        <v>1.0349999999999999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7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f t="shared" si="1"/>
        <v>2022</v>
      </c>
      <c r="E25" s="203">
        <f>ELEC!N27</f>
        <v>2605</v>
      </c>
      <c r="F25" s="314">
        <f>SUM('EDl log'!T27)</f>
        <v>0.15648579450863462</v>
      </c>
      <c r="G25" s="203">
        <f>-tanks!AW29</f>
        <v>115</v>
      </c>
      <c r="H25" s="314">
        <f>tanks!AV29</f>
        <v>1.0349999999999999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7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f t="shared" si="1"/>
        <v>2022</v>
      </c>
      <c r="E26" s="203">
        <f>ELEC!N28</f>
        <v>0</v>
      </c>
      <c r="F26" s="314">
        <f>SUM('EDl log'!T28)</f>
        <v>0</v>
      </c>
      <c r="G26" s="203">
        <f>-tanks!AW30</f>
        <v>0</v>
      </c>
      <c r="H26" s="314">
        <f>tanks!AV30</f>
        <v>1.0349999999999999</v>
      </c>
      <c r="I26" s="10">
        <f>('B5'!AU29)*0.51</f>
        <v>0</v>
      </c>
      <c r="J26" s="295">
        <f>'B5'!AX29/0.51</f>
        <v>1.5686274509803921</v>
      </c>
      <c r="K26" s="203">
        <f>WATER!I30</f>
        <v>0</v>
      </c>
      <c r="L26" s="315">
        <f>SUM(WATER!J30)</f>
        <v>0</v>
      </c>
      <c r="M26" s="315">
        <f>WATER!Q30</f>
        <v>0</v>
      </c>
      <c r="N26" s="467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1.0349999999999999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7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f t="shared" si="1"/>
        <v>2022</v>
      </c>
      <c r="E28" s="203">
        <f>ELEC!N30</f>
        <v>4127</v>
      </c>
      <c r="F28" s="314">
        <f>SUM('EDl log'!T30)</f>
        <v>9.4882765232454147E-2</v>
      </c>
      <c r="G28" s="203">
        <f>-tanks!AW32</f>
        <v>524</v>
      </c>
      <c r="H28" s="314">
        <f>tanks!AV32</f>
        <v>1.0349999999999999</v>
      </c>
      <c r="I28" s="10">
        <f>('B5'!AU31)*0.51</f>
        <v>0</v>
      </c>
      <c r="J28" s="295">
        <f>'B5'!AX31/0.51</f>
        <v>1.5686274509803921</v>
      </c>
      <c r="K28" s="203">
        <f>WATER!I32</f>
        <v>260</v>
      </c>
      <c r="L28" s="315">
        <f>SUM(WATER!J32)</f>
        <v>0.96153846153846156</v>
      </c>
      <c r="M28" s="315">
        <f>WATER!Q32</f>
        <v>0</v>
      </c>
      <c r="N28" s="467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f t="shared" si="1"/>
        <v>2022</v>
      </c>
      <c r="E29" s="203">
        <f>ELEC!N31</f>
        <v>2701</v>
      </c>
      <c r="F29" s="314">
        <f>SUM('EDl log'!T31)</f>
        <v>0.25687761321051844</v>
      </c>
      <c r="G29" s="203">
        <f>-tanks!AW33</f>
        <v>324</v>
      </c>
      <c r="H29" s="314">
        <f>tanks!AV33</f>
        <v>1.0349999999999999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7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f t="shared" si="1"/>
        <v>2022</v>
      </c>
      <c r="E30" s="203">
        <f>ELEC!N32</f>
        <v>3880</v>
      </c>
      <c r="F30" s="314">
        <f>SUM('EDl log'!T32)</f>
        <v>0.2103596718951197</v>
      </c>
      <c r="G30" s="203">
        <f>-tanks!AW34</f>
        <v>143</v>
      </c>
      <c r="H30" s="314">
        <f>tanks!AV34</f>
        <v>1.0349999999999999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7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f t="shared" si="1"/>
        <v>2022</v>
      </c>
      <c r="E31" s="203">
        <f>ELEC!N33</f>
        <v>3572</v>
      </c>
      <c r="F31" s="314">
        <f>SUM('EDl log'!T33)</f>
        <v>1.8108463095980794E-2</v>
      </c>
      <c r="G31" s="203">
        <f>-tanks!AW35</f>
        <v>223</v>
      </c>
      <c r="H31" s="314">
        <f>tanks!AV35</f>
        <v>0.95299999999999996</v>
      </c>
      <c r="I31" s="10">
        <f>('B5'!AU34)*0.51</f>
        <v>0</v>
      </c>
      <c r="J31" s="295">
        <f>'B5'!AX34/0.51</f>
        <v>1.5686274509803921</v>
      </c>
      <c r="K31" s="203">
        <f>WATER!I35</f>
        <v>69</v>
      </c>
      <c r="L31" s="315">
        <f>SUM(WATER!J35)</f>
        <v>3.6231884057971016</v>
      </c>
      <c r="M31" s="315">
        <f>WATER!Q35</f>
        <v>0</v>
      </c>
      <c r="N31" s="467">
        <v>0.6</v>
      </c>
      <c r="O31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0"/>
  <sheetViews>
    <sheetView tabSelected="1" zoomScale="80" zoomScaleNormal="80" workbookViewId="0">
      <selection activeCell="K27" sqref="K27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11</v>
      </c>
      <c r="D2">
        <v>2022</v>
      </c>
      <c r="E2" s="203">
        <f>ELEC!M4</f>
        <v>700</v>
      </c>
      <c r="F2" s="203">
        <f>ELEC!K4</f>
        <v>1070</v>
      </c>
      <c r="G2" s="203">
        <f>ELEC!I4</f>
        <v>464</v>
      </c>
      <c r="H2" s="203">
        <f>ELEC!E4</f>
        <v>880</v>
      </c>
      <c r="I2" s="203">
        <f>ELEC!G4</f>
        <v>450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2022</v>
      </c>
      <c r="E3" s="203">
        <f>ELEC!M5</f>
        <v>636</v>
      </c>
      <c r="F3" s="203">
        <f>ELEC!K5</f>
        <v>670</v>
      </c>
      <c r="G3" s="203">
        <f>ELEC!I5</f>
        <v>360</v>
      </c>
      <c r="H3" s="203">
        <f>ELEC!E5</f>
        <v>680</v>
      </c>
      <c r="I3" s="203">
        <f>ELEC!G5</f>
        <v>321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11</v>
      </c>
      <c r="D4">
        <v>2022</v>
      </c>
      <c r="E4" s="203">
        <f>ELEC!M6</f>
        <v>856</v>
      </c>
      <c r="F4" s="203">
        <f>ELEC!K6</f>
        <v>652</v>
      </c>
      <c r="G4" s="203">
        <f>ELEC!I6</f>
        <v>436</v>
      </c>
      <c r="H4" s="203">
        <f>ELEC!E6</f>
        <v>830</v>
      </c>
      <c r="I4" s="203">
        <f>ELEC!G6</f>
        <v>363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2022</v>
      </c>
      <c r="E7" s="203">
        <f>ELEC!M9</f>
        <v>700</v>
      </c>
      <c r="F7" s="203">
        <f>ELEC!K9</f>
        <v>880</v>
      </c>
      <c r="G7" s="203">
        <f>ELEC!I9</f>
        <v>408</v>
      </c>
      <c r="H7" s="203">
        <f>ELEC!E9</f>
        <v>740</v>
      </c>
      <c r="I7" s="203">
        <f>ELEC!G9</f>
        <v>302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2022</v>
      </c>
      <c r="E8" s="203">
        <f>ELEC!M10</f>
        <v>722</v>
      </c>
      <c r="F8" s="203">
        <f>ELEC!K10</f>
        <v>882</v>
      </c>
      <c r="G8" s="203">
        <f>ELEC!I10</f>
        <v>396</v>
      </c>
      <c r="H8" s="203">
        <f>ELEC!E10</f>
        <v>770</v>
      </c>
      <c r="I8" s="203">
        <f>ELEC!G10</f>
        <v>315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2022</v>
      </c>
      <c r="E9" s="203">
        <f>ELEC!M11</f>
        <v>460</v>
      </c>
      <c r="F9" s="203">
        <f>ELEC!K11</f>
        <v>498</v>
      </c>
      <c r="G9" s="203">
        <f>ELEC!I11</f>
        <v>252</v>
      </c>
      <c r="H9" s="203">
        <f>ELEC!E11</f>
        <v>520</v>
      </c>
      <c r="I9" s="203">
        <f>ELEC!G11</f>
        <v>199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2022</v>
      </c>
      <c r="E10" s="203">
        <f>ELEC!M12</f>
        <v>698</v>
      </c>
      <c r="F10" s="203">
        <f>ELEC!K12</f>
        <v>610</v>
      </c>
      <c r="G10" s="203">
        <f>ELEC!I12</f>
        <v>404</v>
      </c>
      <c r="H10" s="203">
        <f>ELEC!E12</f>
        <v>690</v>
      </c>
      <c r="I10" s="203">
        <f>ELEC!G12</f>
        <v>377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2022</v>
      </c>
      <c r="E11" s="203">
        <f>ELEC!M13</f>
        <v>696</v>
      </c>
      <c r="F11" s="203">
        <f>ELEC!K13</f>
        <v>672</v>
      </c>
      <c r="G11" s="203">
        <f>ELEC!I13</f>
        <v>388</v>
      </c>
      <c r="H11" s="203">
        <f>ELEC!E13</f>
        <v>680</v>
      </c>
      <c r="I11" s="203">
        <f>ELEC!G13</f>
        <v>309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2022</v>
      </c>
      <c r="E14" s="203">
        <f>ELEC!M16</f>
        <v>672</v>
      </c>
      <c r="F14" s="203">
        <f>ELEC!K16</f>
        <v>714</v>
      </c>
      <c r="G14" s="203">
        <f>ELEC!I16</f>
        <v>382</v>
      </c>
      <c r="H14" s="203">
        <f>ELEC!E16</f>
        <v>680</v>
      </c>
      <c r="I14" s="203">
        <f>ELEC!G16</f>
        <v>303</v>
      </c>
      <c r="J14" s="203">
        <f>WATER!Y18</f>
        <v>173</v>
      </c>
      <c r="K14" s="203">
        <f>WATER!AJ18</f>
        <v>4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2022</v>
      </c>
      <c r="E15" s="203">
        <f>ELEC!M17</f>
        <v>644</v>
      </c>
      <c r="F15" s="203">
        <f>ELEC!K17</f>
        <v>616</v>
      </c>
      <c r="G15" s="203">
        <f>ELEC!I17</f>
        <v>384</v>
      </c>
      <c r="H15" s="203">
        <f>ELEC!E17</f>
        <v>990</v>
      </c>
      <c r="I15" s="203">
        <f>ELEC!G17</f>
        <v>303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2022</v>
      </c>
      <c r="E16" s="203">
        <f>ELEC!M18</f>
        <v>676</v>
      </c>
      <c r="F16" s="203">
        <f>ELEC!K18</f>
        <v>376</v>
      </c>
      <c r="G16" s="203">
        <f>ELEC!I18</f>
        <v>366</v>
      </c>
      <c r="H16" s="203">
        <f>ELEC!E18</f>
        <v>700</v>
      </c>
      <c r="I16" s="203">
        <f>ELEC!G18</f>
        <v>292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2022</v>
      </c>
      <c r="E17" s="203">
        <f>ELEC!M19</f>
        <v>730</v>
      </c>
      <c r="F17" s="203">
        <f>ELEC!K19</f>
        <v>560</v>
      </c>
      <c r="G17" s="203">
        <f>ELEC!I19</f>
        <v>416</v>
      </c>
      <c r="H17" s="203">
        <f>ELEC!E19</f>
        <v>800</v>
      </c>
      <c r="I17" s="203">
        <f>ELEC!G19</f>
        <v>357.60000000009313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2022</v>
      </c>
      <c r="E18" s="203">
        <f>ELEC!M20</f>
        <v>638</v>
      </c>
      <c r="F18" s="203">
        <f>ELEC!K20</f>
        <v>702</v>
      </c>
      <c r="G18" s="203">
        <f>ELEC!I20</f>
        <v>380</v>
      </c>
      <c r="H18" s="203">
        <f>ELEC!E20</f>
        <v>730</v>
      </c>
      <c r="I18" s="203">
        <f>ELEC!G20</f>
        <v>291.39999999990687</v>
      </c>
      <c r="J18" s="203">
        <f>WATER!Y22</f>
        <v>0</v>
      </c>
      <c r="K18" s="203">
        <f>WATER!AJ22</f>
        <v>75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2022</v>
      </c>
      <c r="E21" s="203">
        <f>ELEC!M23</f>
        <v>600</v>
      </c>
      <c r="F21" s="203">
        <f>ELEC!K23</f>
        <v>662</v>
      </c>
      <c r="G21" s="203">
        <f>ELEC!I23</f>
        <v>352</v>
      </c>
      <c r="H21" s="203">
        <f>ELEC!E23</f>
        <v>560</v>
      </c>
      <c r="I21" s="203">
        <f>ELEC!G23</f>
        <v>428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2022</v>
      </c>
      <c r="E22" s="203">
        <f>ELEC!M24</f>
        <v>644</v>
      </c>
      <c r="F22" s="203">
        <f>ELEC!K24</f>
        <v>718</v>
      </c>
      <c r="G22" s="203">
        <f>ELEC!I24</f>
        <v>384</v>
      </c>
      <c r="H22" s="203">
        <f>ELEC!E24</f>
        <v>740</v>
      </c>
      <c r="I22" s="203">
        <f>ELEC!G24</f>
        <v>199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2022</v>
      </c>
      <c r="E24" s="203">
        <f>ELEC!M26</f>
        <v>688</v>
      </c>
      <c r="F24" s="203">
        <f>ELEC!K26</f>
        <v>888</v>
      </c>
      <c r="G24" s="203">
        <f>ELEC!I26</f>
        <v>418</v>
      </c>
      <c r="H24" s="203">
        <f>ELEC!E26</f>
        <v>750</v>
      </c>
      <c r="I24" s="203">
        <f>ELEC!G26</f>
        <v>373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2022</v>
      </c>
      <c r="E25" s="203">
        <f>ELEC!M27</f>
        <v>596</v>
      </c>
      <c r="F25" s="203">
        <f>ELEC!K27</f>
        <v>754</v>
      </c>
      <c r="G25" s="203">
        <f>ELEC!I27</f>
        <v>366</v>
      </c>
      <c r="H25" s="203">
        <f>ELEC!E27</f>
        <v>570</v>
      </c>
      <c r="I25" s="203">
        <f>ELEC!G27</f>
        <v>319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2022</v>
      </c>
      <c r="E28" s="203">
        <f>ELEC!M30</f>
        <v>804</v>
      </c>
      <c r="F28" s="203">
        <f>ELEC!K30</f>
        <v>1364</v>
      </c>
      <c r="G28" s="203">
        <f>ELEC!I30</f>
        <v>440</v>
      </c>
      <c r="H28" s="203">
        <f>ELEC!E30</f>
        <v>1160</v>
      </c>
      <c r="I28" s="203">
        <f>ELEC!G30</f>
        <v>359</v>
      </c>
      <c r="J28" s="203">
        <f>WATER!Y32</f>
        <v>136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2022</v>
      </c>
      <c r="E29" s="203">
        <f>ELEC!M31</f>
        <v>560</v>
      </c>
      <c r="F29" s="203">
        <f>ELEC!K31</f>
        <v>868</v>
      </c>
      <c r="G29" s="203">
        <f>ELEC!I31</f>
        <v>376</v>
      </c>
      <c r="H29" s="203">
        <f>ELEC!E31</f>
        <v>590</v>
      </c>
      <c r="I29" s="203">
        <f>ELEC!G31</f>
        <v>307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2022</v>
      </c>
      <c r="E30" s="203">
        <f>ELEC!M32</f>
        <v>828</v>
      </c>
      <c r="F30" s="203">
        <f>ELEC!K32</f>
        <v>1308</v>
      </c>
      <c r="G30" s="203">
        <f>ELEC!I32</f>
        <v>484</v>
      </c>
      <c r="H30" s="203">
        <f>ELEC!E32</f>
        <v>820</v>
      </c>
      <c r="I30" s="203">
        <f>ELEC!G32</f>
        <v>440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2022</v>
      </c>
      <c r="E31" s="203">
        <f>ELEC!M33</f>
        <v>740</v>
      </c>
      <c r="F31" s="203">
        <f>ELEC!K33</f>
        <v>1214</v>
      </c>
      <c r="G31" s="203">
        <f>ELEC!I33</f>
        <v>458</v>
      </c>
      <c r="H31" s="203">
        <f>ELEC!E33</f>
        <v>720</v>
      </c>
      <c r="I31" s="203">
        <f>ELEC!G33</f>
        <v>440</v>
      </c>
      <c r="J31" s="203">
        <f>WATER!Y35</f>
        <v>0</v>
      </c>
      <c r="K31" s="203">
        <f>WATER!AJ35</f>
        <v>0</v>
      </c>
      <c r="L31" s="10">
        <f>ELEC!B33</f>
        <v>0</v>
      </c>
    </row>
    <row r="44" spans="4:4">
      <c r="D44" t="s">
        <v>379</v>
      </c>
    </row>
    <row r="70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60" zoomScaleNormal="60" zoomScaleSheetLayoutView="100" workbookViewId="0">
      <pane ySplit="2" topLeftCell="A3" activePane="bottomLeft" state="frozen"/>
      <selection activeCell="C1" sqref="C1"/>
      <selection pane="bottomLeft" activeCell="P34" sqref="P34"/>
    </sheetView>
  </sheetViews>
  <sheetFormatPr defaultColWidth="9.28515625" defaultRowHeight="15"/>
  <cols>
    <col min="1" max="1" width="7.7109375" style="442" bestFit="1" customWidth="1"/>
    <col min="2" max="2" width="10.28515625" style="450" bestFit="1" customWidth="1"/>
    <col min="3" max="3" width="11.5703125" style="442" customWidth="1"/>
    <col min="4" max="4" width="18" style="451" bestFit="1" customWidth="1"/>
    <col min="5" max="5" width="14.85546875" style="451" bestFit="1" customWidth="1"/>
    <col min="6" max="6" width="15.28515625" style="451" bestFit="1" customWidth="1"/>
    <col min="7" max="7" width="24" style="451" customWidth="1"/>
    <col min="8" max="8" width="18" style="451" bestFit="1" customWidth="1"/>
    <col min="9" max="9" width="13.140625" style="451" bestFit="1" customWidth="1"/>
    <col min="10" max="10" width="18" style="451" bestFit="1" customWidth="1"/>
    <col min="11" max="11" width="11.7109375" style="451" customWidth="1"/>
    <col min="12" max="12" width="18" style="451" bestFit="1" customWidth="1"/>
    <col min="13" max="13" width="13.140625" style="451" bestFit="1" customWidth="1"/>
    <col min="14" max="14" width="15.42578125" style="442" bestFit="1" customWidth="1"/>
    <col min="15" max="15" width="13.28515625" style="452" bestFit="1" customWidth="1"/>
    <col min="16" max="16" width="22.140625" style="442" customWidth="1"/>
    <col min="17" max="17" width="13.7109375" style="442" bestFit="1" customWidth="1"/>
    <col min="18" max="18" width="12.42578125" style="442" bestFit="1" customWidth="1"/>
    <col min="19" max="21" width="11.5703125" style="442" bestFit="1" customWidth="1"/>
    <col min="22" max="22" width="13.28515625" style="442" bestFit="1" customWidth="1"/>
    <col min="23" max="25" width="11.5703125" style="442" bestFit="1" customWidth="1"/>
    <col min="26" max="26" width="13.28515625" style="442" bestFit="1" customWidth="1"/>
    <col min="27" max="29" width="11.5703125" style="442" bestFit="1" customWidth="1"/>
    <col min="30" max="30" width="13.28515625" style="442" bestFit="1" customWidth="1"/>
    <col min="31" max="32" width="11.5703125" style="442" bestFit="1" customWidth="1"/>
    <col min="33" max="33" width="15.7109375" style="442" customWidth="1"/>
    <col min="34" max="34" width="9.28515625" style="442"/>
    <col min="35" max="35" width="9.7109375" style="442" bestFit="1" customWidth="1"/>
    <col min="36" max="36" width="11.5703125" style="442" bestFit="1" customWidth="1"/>
    <col min="37" max="37" width="12.42578125" style="442" customWidth="1"/>
    <col min="38" max="38" width="11.42578125" style="442" customWidth="1"/>
    <col min="39" max="39" width="10" style="442" bestFit="1" customWidth="1"/>
    <col min="40" max="40" width="10.7109375" style="442" bestFit="1" customWidth="1"/>
    <col min="41" max="16384" width="9.28515625" style="442"/>
  </cols>
  <sheetData>
    <row r="2" spans="1:40" s="427" customFormat="1" ht="18.75" customHeight="1">
      <c r="A2" s="427" t="s">
        <v>19</v>
      </c>
      <c r="B2" s="428" t="s">
        <v>155</v>
      </c>
      <c r="C2" s="429"/>
      <c r="D2" s="430" t="s">
        <v>20</v>
      </c>
      <c r="E2" s="430" t="s">
        <v>21</v>
      </c>
      <c r="F2" s="430" t="s">
        <v>22</v>
      </c>
      <c r="G2" s="430" t="s">
        <v>23</v>
      </c>
      <c r="H2" s="430" t="s">
        <v>24</v>
      </c>
      <c r="I2" s="430" t="s">
        <v>25</v>
      </c>
      <c r="J2" s="430" t="s">
        <v>26</v>
      </c>
      <c r="K2" s="430" t="s">
        <v>27</v>
      </c>
      <c r="L2" s="430" t="s">
        <v>28</v>
      </c>
      <c r="M2" s="430" t="s">
        <v>29</v>
      </c>
      <c r="N2" s="431" t="s">
        <v>30</v>
      </c>
      <c r="O2" s="432" t="s">
        <v>156</v>
      </c>
      <c r="P2" s="433" t="s">
        <v>323</v>
      </c>
      <c r="Q2" s="431" t="s">
        <v>31</v>
      </c>
      <c r="R2" s="431" t="s">
        <v>32</v>
      </c>
      <c r="S2" s="431" t="s">
        <v>357</v>
      </c>
      <c r="T2" s="431" t="s">
        <v>33</v>
      </c>
      <c r="U2" s="431" t="s">
        <v>34</v>
      </c>
      <c r="V2" s="431" t="s">
        <v>35</v>
      </c>
      <c r="W2" s="431" t="s">
        <v>36</v>
      </c>
      <c r="X2" s="431" t="s">
        <v>33</v>
      </c>
      <c r="Y2" s="431" t="s">
        <v>37</v>
      </c>
      <c r="Z2" s="431" t="s">
        <v>38</v>
      </c>
      <c r="AA2" s="431" t="s">
        <v>39</v>
      </c>
      <c r="AB2" s="431" t="s">
        <v>33</v>
      </c>
      <c r="AC2" s="431" t="s">
        <v>77</v>
      </c>
      <c r="AD2" s="431" t="s">
        <v>40</v>
      </c>
      <c r="AE2" s="431" t="s">
        <v>41</v>
      </c>
      <c r="AF2" s="431" t="s">
        <v>42</v>
      </c>
      <c r="AG2" s="427" t="s">
        <v>132</v>
      </c>
    </row>
    <row r="3" spans="1:40">
      <c r="A3" s="434">
        <f>[1]ELEC!$A$34</f>
        <v>0</v>
      </c>
      <c r="B3" s="428">
        <f>[1]ELEC!$B$34</f>
        <v>0</v>
      </c>
      <c r="C3" s="435">
        <f>[2]ELEC!$C$34</f>
        <v>44865</v>
      </c>
      <c r="D3" s="581">
        <f>[2]ELEC!D34</f>
        <v>393050</v>
      </c>
      <c r="E3" s="581">
        <f>[2]ELEC!E34</f>
        <v>700</v>
      </c>
      <c r="F3" s="581">
        <f>[2]ELEC!F34</f>
        <v>4177010</v>
      </c>
      <c r="G3" s="581">
        <f>[2]ELEC!G34</f>
        <v>344</v>
      </c>
      <c r="H3" s="581">
        <f>[2]ELEC!H34</f>
        <v>18090474</v>
      </c>
      <c r="I3" s="581">
        <f>[2]ELEC!I34</f>
        <v>362</v>
      </c>
      <c r="J3" s="581">
        <f>[2]ELEC!J34</f>
        <v>29866098</v>
      </c>
      <c r="K3" s="581">
        <f>[2]ELEC!K34</f>
        <v>246</v>
      </c>
      <c r="L3" s="581">
        <f>[2]ELEC!L34</f>
        <v>24688774</v>
      </c>
      <c r="M3" s="581">
        <f>[2]ELEC!M34</f>
        <v>1148</v>
      </c>
      <c r="N3" s="581">
        <f>[2]ELEC!N34</f>
        <v>2800</v>
      </c>
      <c r="O3" s="581">
        <f>[2]ELEC!O34</f>
        <v>0</v>
      </c>
      <c r="P3" s="606">
        <f>[2]ELEC!P34</f>
        <v>19595.605</v>
      </c>
      <c r="Q3" s="581">
        <f>[2]ELEC!Q34</f>
        <v>2587.9999999997381</v>
      </c>
      <c r="R3" s="581">
        <f>[2]ELEC!R34</f>
        <v>212.00000000026193</v>
      </c>
      <c r="S3" s="581">
        <f>[2]ELEC!S34</f>
        <v>10175</v>
      </c>
      <c r="T3" s="581">
        <f>[2]ELEC!T34</f>
        <v>0</v>
      </c>
      <c r="U3" s="581">
        <f>[2]ELEC!U34</f>
        <v>429166</v>
      </c>
      <c r="V3" s="581">
        <f>[2]ELEC!V34</f>
        <v>0</v>
      </c>
      <c r="W3" s="581">
        <f>[2]ELEC!W34</f>
        <v>33498</v>
      </c>
      <c r="X3" s="581">
        <f>[2]ELEC!X34</f>
        <v>0</v>
      </c>
      <c r="Y3" s="581">
        <f>[2]ELEC!Y34</f>
        <v>999659</v>
      </c>
      <c r="Z3" s="581">
        <f>[2]ELEC!Z34</f>
        <v>0</v>
      </c>
      <c r="AA3" s="581">
        <f>[2]ELEC!AA34</f>
        <v>36802</v>
      </c>
      <c r="AB3" s="581">
        <f>[2]ELEC!AB34</f>
        <v>1</v>
      </c>
      <c r="AC3" s="581">
        <f>[2]ELEC!AC34</f>
        <v>1171987</v>
      </c>
      <c r="AD3" s="581">
        <f>[2]ELEC!AD34</f>
        <v>452</v>
      </c>
      <c r="AE3" s="581">
        <f>[2]ELEC!AE34</f>
        <v>1</v>
      </c>
      <c r="AF3" s="581">
        <f>[2]ELEC!AF34</f>
        <v>452</v>
      </c>
      <c r="AG3" s="581">
        <f>[2]ELEC!AG34</f>
        <v>452</v>
      </c>
      <c r="AJ3" s="541"/>
      <c r="AK3" s="542"/>
      <c r="AL3" s="542"/>
      <c r="AM3" s="542"/>
      <c r="AN3" s="542"/>
    </row>
    <row r="4" spans="1:40">
      <c r="A4" s="434">
        <f>'General information '!F5</f>
        <v>0</v>
      </c>
      <c r="B4" s="428">
        <f>SUM(230*A4)</f>
        <v>0</v>
      </c>
      <c r="C4" s="435">
        <v>44866</v>
      </c>
      <c r="D4" s="581">
        <v>393930</v>
      </c>
      <c r="E4" s="570">
        <f>D4-D3</f>
        <v>880</v>
      </c>
      <c r="F4" s="581">
        <v>4177460</v>
      </c>
      <c r="G4" s="571">
        <f>F4-F3</f>
        <v>450</v>
      </c>
      <c r="H4" s="581">
        <v>18090938</v>
      </c>
      <c r="I4" s="571">
        <f>H4-H3</f>
        <v>464</v>
      </c>
      <c r="J4" s="581">
        <v>29867168</v>
      </c>
      <c r="K4" s="571">
        <f>J4-J3</f>
        <v>1070</v>
      </c>
      <c r="L4" s="581">
        <v>24689474</v>
      </c>
      <c r="M4" s="571">
        <f>L4-L3</f>
        <v>700</v>
      </c>
      <c r="N4" s="425">
        <f>M4+K4+I4+G4+E4</f>
        <v>3564</v>
      </c>
      <c r="O4" s="436">
        <f t="shared" ref="O4:O10" si="0">IF(B4&gt;0,N4/B4,0)</f>
        <v>0</v>
      </c>
      <c r="P4" s="606">
        <v>19599.655999999999</v>
      </c>
      <c r="Q4" s="444">
        <f t="shared" ref="Q4:Q31" si="1">(P4-P3)*1000</f>
        <v>4050.9999999994761</v>
      </c>
      <c r="R4" s="543">
        <f>+N4-Q4</f>
        <v>-486.99999999947613</v>
      </c>
      <c r="S4" s="424">
        <f>S3</f>
        <v>10175</v>
      </c>
      <c r="T4" s="438">
        <f t="shared" ref="T4:T34" si="2">S4-S3</f>
        <v>0</v>
      </c>
      <c r="U4" s="424">
        <f>U3</f>
        <v>429166</v>
      </c>
      <c r="V4" s="437">
        <f>U4-U3</f>
        <v>0</v>
      </c>
      <c r="W4" s="581">
        <f>[3]ELEC!$W$34</f>
        <v>33498</v>
      </c>
      <c r="X4" s="437">
        <f t="shared" ref="X4:X9" si="3">W4-W3</f>
        <v>0</v>
      </c>
      <c r="Y4" s="581">
        <f>[3]ELEC!$Y$34</f>
        <v>999659</v>
      </c>
      <c r="Z4" s="437">
        <f>Y4-Y3</f>
        <v>0</v>
      </c>
      <c r="AA4" s="581">
        <f>AA3</f>
        <v>36802</v>
      </c>
      <c r="AB4" s="437">
        <f>AA4-AA3</f>
        <v>0</v>
      </c>
      <c r="AC4" s="581">
        <f>AC3</f>
        <v>1171987</v>
      </c>
      <c r="AD4" s="439">
        <f>AC4-AC3</f>
        <v>0</v>
      </c>
      <c r="AE4" s="440">
        <f>AB4+X4+T4</f>
        <v>0</v>
      </c>
      <c r="AF4" s="449">
        <f t="shared" ref="AF4:AF31" si="4">V4+Z4+AD4</f>
        <v>0</v>
      </c>
      <c r="AG4" s="441">
        <f t="shared" ref="AG4:AG10" si="5">IF(AE4&gt;0,AF4/AE4,0)</f>
        <v>0</v>
      </c>
      <c r="AJ4" s="541"/>
      <c r="AK4" s="542"/>
      <c r="AL4" s="542"/>
      <c r="AM4" s="542"/>
      <c r="AN4" s="542"/>
    </row>
    <row r="5" spans="1:40">
      <c r="A5" s="434">
        <f>'General information '!F6</f>
        <v>0</v>
      </c>
      <c r="B5" s="428">
        <f t="shared" ref="B5:B31" si="6">SUM(230*A5)</f>
        <v>0</v>
      </c>
      <c r="C5" s="435">
        <v>44867</v>
      </c>
      <c r="D5" s="581">
        <v>394610</v>
      </c>
      <c r="E5" s="570">
        <f t="shared" ref="E5:E34" si="7">D5-D4</f>
        <v>680</v>
      </c>
      <c r="F5" s="581">
        <v>4177781</v>
      </c>
      <c r="G5" s="447">
        <f>F5-F4</f>
        <v>321</v>
      </c>
      <c r="H5" s="581">
        <v>18091298</v>
      </c>
      <c r="I5" s="447">
        <f>H5-H4</f>
        <v>360</v>
      </c>
      <c r="J5" s="581">
        <v>29867838</v>
      </c>
      <c r="K5" s="447">
        <f>J5-J4</f>
        <v>670</v>
      </c>
      <c r="L5" s="581">
        <v>24690110</v>
      </c>
      <c r="M5" s="447">
        <f>L5-L4</f>
        <v>636</v>
      </c>
      <c r="N5" s="296">
        <f>M5+K5+I5+G5+E5</f>
        <v>2667</v>
      </c>
      <c r="O5" s="443">
        <f t="shared" si="0"/>
        <v>0</v>
      </c>
      <c r="P5" s="606">
        <v>19602.353999999999</v>
      </c>
      <c r="Q5" s="444">
        <f t="shared" si="1"/>
        <v>2698.0000000003201</v>
      </c>
      <c r="R5" s="426">
        <f>N5-Q5</f>
        <v>-31.000000000320142</v>
      </c>
      <c r="S5" s="424">
        <f t="shared" ref="S5:S34" si="8">S4</f>
        <v>10175</v>
      </c>
      <c r="T5" s="445">
        <f t="shared" si="2"/>
        <v>0</v>
      </c>
      <c r="U5" s="424">
        <f t="shared" ref="U5:U34" si="9">U4</f>
        <v>429166</v>
      </c>
      <c r="V5" s="426">
        <f>U5-U4</f>
        <v>0</v>
      </c>
      <c r="W5" s="581">
        <v>33498</v>
      </c>
      <c r="X5" s="426">
        <f t="shared" si="3"/>
        <v>0</v>
      </c>
      <c r="Y5" s="581">
        <f>[3]ELEC!$Y$34</f>
        <v>999659</v>
      </c>
      <c r="Z5" s="426">
        <f>Y5-Y4</f>
        <v>0</v>
      </c>
      <c r="AA5" s="581">
        <f t="shared" ref="AA5:AA34" si="10">AA4</f>
        <v>36802</v>
      </c>
      <c r="AB5" s="446">
        <f>AA5-AA4</f>
        <v>0</v>
      </c>
      <c r="AC5" s="581">
        <f t="shared" ref="AC5:AC34" si="11">AC4</f>
        <v>1171987</v>
      </c>
      <c r="AD5" s="447">
        <f>AC5-AC4</f>
        <v>0</v>
      </c>
      <c r="AE5" s="448">
        <f t="shared" ref="AE5:AE31" si="12">AB5+X5+T5</f>
        <v>0</v>
      </c>
      <c r="AF5" s="449">
        <f t="shared" si="4"/>
        <v>0</v>
      </c>
      <c r="AG5" s="441">
        <f t="shared" si="5"/>
        <v>0</v>
      </c>
      <c r="AJ5" s="541"/>
      <c r="AK5" s="542"/>
      <c r="AL5" s="542"/>
      <c r="AM5" s="542"/>
      <c r="AN5" s="542"/>
    </row>
    <row r="6" spans="1:40">
      <c r="A6" s="434">
        <f>'General information '!F7</f>
        <v>0</v>
      </c>
      <c r="B6" s="428">
        <f>SUM(230*A6)</f>
        <v>0</v>
      </c>
      <c r="C6" s="435">
        <v>44868</v>
      </c>
      <c r="D6" s="581">
        <v>395440</v>
      </c>
      <c r="E6" s="570">
        <f t="shared" ref="E6:E7" si="13">D6-D5</f>
        <v>830</v>
      </c>
      <c r="F6" s="581">
        <v>4178144</v>
      </c>
      <c r="G6" s="447">
        <f t="shared" ref="G6:G7" si="14">F6-F5</f>
        <v>363</v>
      </c>
      <c r="H6" s="581">
        <v>18091734</v>
      </c>
      <c r="I6" s="447">
        <f t="shared" ref="I6:I7" si="15">H6-H5</f>
        <v>436</v>
      </c>
      <c r="J6" s="581">
        <v>29868490</v>
      </c>
      <c r="K6" s="447">
        <f t="shared" ref="K6:K7" si="16">J6-J5</f>
        <v>652</v>
      </c>
      <c r="L6" s="581">
        <v>24690966</v>
      </c>
      <c r="M6" s="447">
        <f t="shared" ref="M6:M7" si="17">L6-L5</f>
        <v>856</v>
      </c>
      <c r="N6" s="296">
        <f t="shared" ref="N6:N7" si="18">M6+K6+I6+G6+E6</f>
        <v>3137</v>
      </c>
      <c r="O6" s="443">
        <f t="shared" ref="O6:O7" si="19">IF(B6&gt;0,N6/B6,0)</f>
        <v>0</v>
      </c>
      <c r="P6" s="606">
        <v>19605.562999999998</v>
      </c>
      <c r="Q6" s="444">
        <f t="shared" ref="Q6:Q7" si="20">(P6-P5)*1000</f>
        <v>3208.9999999989232</v>
      </c>
      <c r="R6" s="426">
        <f>N6-Q6</f>
        <v>-71.999999998923158</v>
      </c>
      <c r="S6" s="424">
        <f t="shared" si="8"/>
        <v>10175</v>
      </c>
      <c r="T6" s="445">
        <f t="shared" si="2"/>
        <v>0</v>
      </c>
      <c r="U6" s="424">
        <f t="shared" si="9"/>
        <v>429166</v>
      </c>
      <c r="V6" s="426">
        <f t="shared" ref="V6:V30" si="21">U6-U5</f>
        <v>0</v>
      </c>
      <c r="W6" s="581">
        <f>[3]ELEC!$W$34</f>
        <v>33498</v>
      </c>
      <c r="X6" s="426">
        <f t="shared" si="3"/>
        <v>0</v>
      </c>
      <c r="Y6" s="581">
        <f>[3]ELEC!$Y$34</f>
        <v>999659</v>
      </c>
      <c r="Z6" s="426">
        <f>Y6-Y5</f>
        <v>0</v>
      </c>
      <c r="AA6" s="581">
        <f t="shared" si="10"/>
        <v>36802</v>
      </c>
      <c r="AB6" s="426">
        <f t="shared" ref="AB6:AB31" si="22">AA6-AA5</f>
        <v>0</v>
      </c>
      <c r="AC6" s="581">
        <f t="shared" si="11"/>
        <v>1171987</v>
      </c>
      <c r="AD6" s="426">
        <f t="shared" ref="AD6:AD17" si="23">AC6-AC5</f>
        <v>0</v>
      </c>
      <c r="AE6" s="448">
        <f t="shared" si="12"/>
        <v>0</v>
      </c>
      <c r="AF6" s="449">
        <f t="shared" si="4"/>
        <v>0</v>
      </c>
      <c r="AG6" s="441">
        <f t="shared" si="5"/>
        <v>0</v>
      </c>
      <c r="AJ6" s="541"/>
      <c r="AK6" s="542"/>
      <c r="AL6" s="542"/>
      <c r="AM6" s="542"/>
      <c r="AN6" s="542"/>
    </row>
    <row r="7" spans="1:40">
      <c r="A7" s="434">
        <f>'General information '!F8</f>
        <v>0</v>
      </c>
      <c r="B7" s="428">
        <f t="shared" si="6"/>
        <v>0</v>
      </c>
      <c r="C7" s="435">
        <v>44869</v>
      </c>
      <c r="D7" s="581">
        <f t="shared" ref="D7:D34" si="24">D6</f>
        <v>395440</v>
      </c>
      <c r="E7" s="570">
        <f t="shared" si="13"/>
        <v>0</v>
      </c>
      <c r="F7" s="581">
        <f t="shared" ref="F7:F34" si="25">F6</f>
        <v>4178144</v>
      </c>
      <c r="G7" s="447">
        <f t="shared" si="14"/>
        <v>0</v>
      </c>
      <c r="H7" s="581">
        <f t="shared" ref="H7:H34" si="26">H6</f>
        <v>18091734</v>
      </c>
      <c r="I7" s="447">
        <f t="shared" si="15"/>
        <v>0</v>
      </c>
      <c r="J7" s="581">
        <f t="shared" ref="J7:J34" si="27">J6</f>
        <v>29868490</v>
      </c>
      <c r="K7" s="447">
        <f t="shared" si="16"/>
        <v>0</v>
      </c>
      <c r="L7" s="581">
        <f t="shared" ref="L7:L34" si="28">L6</f>
        <v>24690966</v>
      </c>
      <c r="M7" s="447">
        <f t="shared" si="17"/>
        <v>0</v>
      </c>
      <c r="N7" s="296">
        <f t="shared" si="18"/>
        <v>0</v>
      </c>
      <c r="O7" s="443">
        <f t="shared" si="19"/>
        <v>0</v>
      </c>
      <c r="P7" s="606">
        <f t="shared" ref="P7:P34" si="29">P6</f>
        <v>19605.562999999998</v>
      </c>
      <c r="Q7" s="444">
        <f t="shared" si="20"/>
        <v>0</v>
      </c>
      <c r="R7" s="426">
        <f t="shared" ref="R7:R18" si="30">N7-Q7</f>
        <v>0</v>
      </c>
      <c r="S7" s="424">
        <f t="shared" si="8"/>
        <v>10175</v>
      </c>
      <c r="T7" s="445">
        <f t="shared" si="2"/>
        <v>0</v>
      </c>
      <c r="U7" s="424">
        <f t="shared" si="9"/>
        <v>429166</v>
      </c>
      <c r="V7" s="426">
        <f t="shared" si="21"/>
        <v>0</v>
      </c>
      <c r="W7" s="581">
        <f>[3]ELEC!$W$34</f>
        <v>33498</v>
      </c>
      <c r="X7" s="426">
        <f t="shared" si="3"/>
        <v>0</v>
      </c>
      <c r="Y7" s="581">
        <f>[3]ELEC!$Y$34</f>
        <v>999659</v>
      </c>
      <c r="Z7" s="426">
        <f t="shared" ref="Z7:Z31" si="31">Y7-Y6</f>
        <v>0</v>
      </c>
      <c r="AA7" s="581">
        <f t="shared" si="10"/>
        <v>36802</v>
      </c>
      <c r="AB7" s="426">
        <f t="shared" si="22"/>
        <v>0</v>
      </c>
      <c r="AC7" s="581">
        <f t="shared" si="11"/>
        <v>1171987</v>
      </c>
      <c r="AD7" s="426">
        <f t="shared" si="23"/>
        <v>0</v>
      </c>
      <c r="AE7" s="448">
        <f t="shared" si="12"/>
        <v>0</v>
      </c>
      <c r="AF7" s="449">
        <f t="shared" si="4"/>
        <v>0</v>
      </c>
      <c r="AG7" s="441">
        <f t="shared" si="5"/>
        <v>0</v>
      </c>
      <c r="AJ7" s="541"/>
      <c r="AK7" s="542"/>
      <c r="AL7" s="542"/>
      <c r="AM7" s="542"/>
      <c r="AN7" s="542"/>
    </row>
    <row r="8" spans="1:40">
      <c r="A8" s="434">
        <f>'General information '!F9</f>
        <v>0</v>
      </c>
      <c r="B8" s="428">
        <f t="shared" si="6"/>
        <v>0</v>
      </c>
      <c r="C8" s="435">
        <v>44870</v>
      </c>
      <c r="D8" s="581">
        <f t="shared" si="24"/>
        <v>395440</v>
      </c>
      <c r="E8" s="570">
        <f t="shared" si="7"/>
        <v>0</v>
      </c>
      <c r="F8" s="581">
        <f t="shared" si="25"/>
        <v>4178144</v>
      </c>
      <c r="G8" s="447">
        <f t="shared" ref="G8:G34" si="32">F8-F7</f>
        <v>0</v>
      </c>
      <c r="H8" s="581">
        <f t="shared" si="26"/>
        <v>18091734</v>
      </c>
      <c r="I8" s="447">
        <f t="shared" ref="I8:I34" si="33">H8-H7</f>
        <v>0</v>
      </c>
      <c r="J8" s="581">
        <f t="shared" si="27"/>
        <v>29868490</v>
      </c>
      <c r="K8" s="447">
        <f t="shared" ref="K8:K34" si="34">J8-J7</f>
        <v>0</v>
      </c>
      <c r="L8" s="581">
        <f t="shared" si="28"/>
        <v>24690966</v>
      </c>
      <c r="M8" s="447">
        <f t="shared" ref="M8:M31" si="35">L8-L7</f>
        <v>0</v>
      </c>
      <c r="N8" s="296">
        <f t="shared" ref="N8:N31" si="36">M8+K8+I8+G8+E8</f>
        <v>0</v>
      </c>
      <c r="O8" s="443">
        <f t="shared" si="0"/>
        <v>0</v>
      </c>
      <c r="P8" s="606">
        <f t="shared" si="29"/>
        <v>19605.562999999998</v>
      </c>
      <c r="Q8" s="444">
        <f t="shared" si="1"/>
        <v>0</v>
      </c>
      <c r="R8" s="426">
        <f t="shared" si="30"/>
        <v>0</v>
      </c>
      <c r="S8" s="424">
        <f t="shared" si="8"/>
        <v>10175</v>
      </c>
      <c r="T8" s="445">
        <f t="shared" si="2"/>
        <v>0</v>
      </c>
      <c r="U8" s="424">
        <f t="shared" si="9"/>
        <v>429166</v>
      </c>
      <c r="V8" s="426">
        <f t="shared" si="21"/>
        <v>0</v>
      </c>
      <c r="W8" s="581">
        <v>33498</v>
      </c>
      <c r="X8" s="426">
        <f t="shared" si="3"/>
        <v>0</v>
      </c>
      <c r="Y8" s="581">
        <f>[3]ELEC!$Y$34</f>
        <v>999659</v>
      </c>
      <c r="Z8" s="426">
        <f t="shared" si="31"/>
        <v>0</v>
      </c>
      <c r="AA8" s="581">
        <f t="shared" si="10"/>
        <v>36802</v>
      </c>
      <c r="AB8" s="426">
        <f t="shared" si="22"/>
        <v>0</v>
      </c>
      <c r="AC8" s="581">
        <f t="shared" si="11"/>
        <v>1171987</v>
      </c>
      <c r="AD8" s="426">
        <f t="shared" si="23"/>
        <v>0</v>
      </c>
      <c r="AE8" s="448">
        <f t="shared" si="12"/>
        <v>0</v>
      </c>
      <c r="AF8" s="449">
        <f t="shared" si="4"/>
        <v>0</v>
      </c>
      <c r="AG8" s="441">
        <f t="shared" si="5"/>
        <v>0</v>
      </c>
      <c r="AJ8" s="541"/>
      <c r="AK8" s="542"/>
      <c r="AL8" s="542"/>
      <c r="AM8" s="542"/>
      <c r="AN8" s="542"/>
    </row>
    <row r="9" spans="1:40">
      <c r="A9" s="434">
        <f>'General information '!F10</f>
        <v>0</v>
      </c>
      <c r="B9" s="428">
        <f t="shared" si="6"/>
        <v>0</v>
      </c>
      <c r="C9" s="435">
        <v>44871</v>
      </c>
      <c r="D9" s="581">
        <v>396180</v>
      </c>
      <c r="E9" s="570">
        <f t="shared" si="7"/>
        <v>740</v>
      </c>
      <c r="F9" s="581">
        <v>4178446</v>
      </c>
      <c r="G9" s="447">
        <f t="shared" si="32"/>
        <v>302</v>
      </c>
      <c r="H9" s="581">
        <v>18092142</v>
      </c>
      <c r="I9" s="447">
        <f t="shared" si="33"/>
        <v>408</v>
      </c>
      <c r="J9" s="581">
        <v>29869370</v>
      </c>
      <c r="K9" s="447">
        <f t="shared" si="34"/>
        <v>880</v>
      </c>
      <c r="L9" s="581">
        <v>24691666</v>
      </c>
      <c r="M9" s="447">
        <f t="shared" si="35"/>
        <v>700</v>
      </c>
      <c r="N9" s="296">
        <f t="shared" si="36"/>
        <v>3030</v>
      </c>
      <c r="O9" s="443">
        <f t="shared" si="0"/>
        <v>0</v>
      </c>
      <c r="P9" s="606">
        <v>19608.539000000001</v>
      </c>
      <c r="Q9" s="444">
        <f t="shared" si="1"/>
        <v>2976.0000000023865</v>
      </c>
      <c r="R9" s="426">
        <f t="shared" si="30"/>
        <v>53.999999997613486</v>
      </c>
      <c r="S9" s="424">
        <f t="shared" si="8"/>
        <v>10175</v>
      </c>
      <c r="T9" s="445">
        <f t="shared" si="2"/>
        <v>0</v>
      </c>
      <c r="U9" s="424">
        <f t="shared" si="9"/>
        <v>429166</v>
      </c>
      <c r="V9" s="426">
        <f t="shared" si="21"/>
        <v>0</v>
      </c>
      <c r="W9" s="581">
        <f>[3]ELEC!$W$34</f>
        <v>33498</v>
      </c>
      <c r="X9" s="426">
        <f t="shared" si="3"/>
        <v>0</v>
      </c>
      <c r="Y9" s="581">
        <f>[3]ELEC!$Y$34</f>
        <v>999659</v>
      </c>
      <c r="Z9" s="426">
        <f t="shared" si="31"/>
        <v>0</v>
      </c>
      <c r="AA9" s="581">
        <f t="shared" si="10"/>
        <v>36802</v>
      </c>
      <c r="AB9" s="426">
        <f t="shared" si="22"/>
        <v>0</v>
      </c>
      <c r="AC9" s="581">
        <f t="shared" si="11"/>
        <v>1171987</v>
      </c>
      <c r="AD9" s="426">
        <f t="shared" si="23"/>
        <v>0</v>
      </c>
      <c r="AE9" s="448">
        <f t="shared" si="12"/>
        <v>0</v>
      </c>
      <c r="AF9" s="449">
        <f t="shared" si="4"/>
        <v>0</v>
      </c>
      <c r="AG9" s="441">
        <f>IF(AE9&gt;0,AF9/AE9,0)</f>
        <v>0</v>
      </c>
      <c r="AJ9" s="541"/>
      <c r="AK9" s="542"/>
      <c r="AL9" s="542"/>
      <c r="AM9" s="542"/>
      <c r="AN9" s="542"/>
    </row>
    <row r="10" spans="1:40">
      <c r="A10" s="434">
        <f>'General information '!F11</f>
        <v>0</v>
      </c>
      <c r="B10" s="428">
        <f t="shared" si="6"/>
        <v>0</v>
      </c>
      <c r="C10" s="435">
        <v>44872</v>
      </c>
      <c r="D10" s="581">
        <v>396950</v>
      </c>
      <c r="E10" s="570">
        <f t="shared" si="7"/>
        <v>770</v>
      </c>
      <c r="F10" s="581">
        <v>4178761</v>
      </c>
      <c r="G10" s="447">
        <f t="shared" si="32"/>
        <v>315</v>
      </c>
      <c r="H10" s="581">
        <v>18092538</v>
      </c>
      <c r="I10" s="447">
        <f t="shared" si="33"/>
        <v>396</v>
      </c>
      <c r="J10" s="581">
        <v>29870252</v>
      </c>
      <c r="K10" s="447">
        <f t="shared" si="34"/>
        <v>882</v>
      </c>
      <c r="L10" s="581">
        <v>24692388</v>
      </c>
      <c r="M10" s="447">
        <f t="shared" si="35"/>
        <v>722</v>
      </c>
      <c r="N10" s="296">
        <f t="shared" si="36"/>
        <v>3085</v>
      </c>
      <c r="O10" s="443">
        <f t="shared" si="0"/>
        <v>0</v>
      </c>
      <c r="P10" s="606">
        <v>19611.688999999998</v>
      </c>
      <c r="Q10" s="444">
        <f t="shared" si="1"/>
        <v>3149.9999999978172</v>
      </c>
      <c r="R10" s="426">
        <f t="shared" si="30"/>
        <v>-64.999999997817213</v>
      </c>
      <c r="S10" s="424">
        <f t="shared" si="8"/>
        <v>10175</v>
      </c>
      <c r="T10" s="445">
        <f t="shared" si="2"/>
        <v>0</v>
      </c>
      <c r="U10" s="424">
        <f t="shared" si="9"/>
        <v>429166</v>
      </c>
      <c r="V10" s="426">
        <f t="shared" si="21"/>
        <v>0</v>
      </c>
      <c r="W10" s="581">
        <f>[3]ELEC!$W$34</f>
        <v>33498</v>
      </c>
      <c r="X10" s="426">
        <f t="shared" ref="X10:X31" si="37">W10-W9</f>
        <v>0</v>
      </c>
      <c r="Y10" s="581">
        <f>[3]ELEC!$Y$34</f>
        <v>999659</v>
      </c>
      <c r="Z10" s="426">
        <f t="shared" si="31"/>
        <v>0</v>
      </c>
      <c r="AA10" s="581">
        <f t="shared" si="10"/>
        <v>36802</v>
      </c>
      <c r="AB10" s="426">
        <f t="shared" si="22"/>
        <v>0</v>
      </c>
      <c r="AC10" s="581">
        <f t="shared" si="11"/>
        <v>1171987</v>
      </c>
      <c r="AD10" s="426">
        <f t="shared" si="23"/>
        <v>0</v>
      </c>
      <c r="AE10" s="448">
        <f t="shared" si="12"/>
        <v>0</v>
      </c>
      <c r="AF10" s="449">
        <f t="shared" si="4"/>
        <v>0</v>
      </c>
      <c r="AG10" s="441">
        <f t="shared" si="5"/>
        <v>0</v>
      </c>
      <c r="AJ10" s="541"/>
      <c r="AK10" s="542"/>
      <c r="AL10" s="542"/>
      <c r="AM10" s="542"/>
      <c r="AN10" s="542"/>
    </row>
    <row r="11" spans="1:40">
      <c r="A11" s="434">
        <f>'General information '!F12</f>
        <v>0</v>
      </c>
      <c r="B11" s="428">
        <f t="shared" si="6"/>
        <v>0</v>
      </c>
      <c r="C11" s="435">
        <v>44873</v>
      </c>
      <c r="D11" s="581">
        <v>397470</v>
      </c>
      <c r="E11" s="570">
        <f t="shared" si="7"/>
        <v>520</v>
      </c>
      <c r="F11" s="581">
        <v>4178960</v>
      </c>
      <c r="G11" s="447">
        <f t="shared" si="32"/>
        <v>199</v>
      </c>
      <c r="H11" s="581">
        <v>18092790</v>
      </c>
      <c r="I11" s="447">
        <f t="shared" si="33"/>
        <v>252</v>
      </c>
      <c r="J11" s="581">
        <v>29870750</v>
      </c>
      <c r="K11" s="447">
        <f t="shared" si="34"/>
        <v>498</v>
      </c>
      <c r="L11" s="581">
        <v>24692848</v>
      </c>
      <c r="M11" s="447">
        <f t="shared" si="35"/>
        <v>460</v>
      </c>
      <c r="N11" s="296">
        <f t="shared" si="36"/>
        <v>1929</v>
      </c>
      <c r="O11" s="443">
        <f t="shared" ref="O11:O31" si="38">IF(B11&gt;0,N11/B11,0)</f>
        <v>0</v>
      </c>
      <c r="P11" s="606">
        <v>19613.654999999999</v>
      </c>
      <c r="Q11" s="444">
        <f t="shared" si="1"/>
        <v>1966.0000000003492</v>
      </c>
      <c r="R11" s="426">
        <f t="shared" si="30"/>
        <v>-37.000000000349246</v>
      </c>
      <c r="S11" s="424">
        <f t="shared" si="8"/>
        <v>10175</v>
      </c>
      <c r="T11" s="445">
        <f t="shared" si="2"/>
        <v>0</v>
      </c>
      <c r="U11" s="424">
        <f t="shared" si="9"/>
        <v>429166</v>
      </c>
      <c r="V11" s="426">
        <f t="shared" si="21"/>
        <v>0</v>
      </c>
      <c r="W11" s="581">
        <f>[3]ELEC!$W$34</f>
        <v>33498</v>
      </c>
      <c r="X11" s="426">
        <f t="shared" si="37"/>
        <v>0</v>
      </c>
      <c r="Y11" s="581">
        <f>[3]ELEC!$Y$34</f>
        <v>999659</v>
      </c>
      <c r="Z11" s="426">
        <f t="shared" si="31"/>
        <v>0</v>
      </c>
      <c r="AA11" s="581">
        <f t="shared" si="10"/>
        <v>36802</v>
      </c>
      <c r="AB11" s="426">
        <f t="shared" si="22"/>
        <v>0</v>
      </c>
      <c r="AC11" s="581">
        <f t="shared" si="11"/>
        <v>1171987</v>
      </c>
      <c r="AD11" s="426">
        <f t="shared" si="23"/>
        <v>0</v>
      </c>
      <c r="AE11" s="448">
        <f t="shared" si="12"/>
        <v>0</v>
      </c>
      <c r="AF11" s="449">
        <f t="shared" si="4"/>
        <v>0</v>
      </c>
      <c r="AG11" s="441">
        <f t="shared" ref="AG11:AG32" si="39">IF(AE11&gt;0,AF11/AE11,0)</f>
        <v>0</v>
      </c>
      <c r="AJ11" s="541"/>
      <c r="AK11" s="542"/>
      <c r="AL11" s="542"/>
      <c r="AM11" s="542"/>
      <c r="AN11" s="542"/>
    </row>
    <row r="12" spans="1:40">
      <c r="A12" s="434">
        <f>'General information '!F13</f>
        <v>0</v>
      </c>
      <c r="B12" s="428">
        <f>SUM(230*A12)</f>
        <v>0</v>
      </c>
      <c r="C12" s="435">
        <v>44874</v>
      </c>
      <c r="D12" s="581">
        <v>398160</v>
      </c>
      <c r="E12" s="570">
        <f>D12-D11</f>
        <v>690</v>
      </c>
      <c r="F12" s="581">
        <v>4179337</v>
      </c>
      <c r="G12" s="447">
        <f t="shared" si="32"/>
        <v>377</v>
      </c>
      <c r="H12" s="581">
        <v>18093194</v>
      </c>
      <c r="I12" s="447">
        <f t="shared" si="33"/>
        <v>404</v>
      </c>
      <c r="J12" s="581">
        <v>29871360</v>
      </c>
      <c r="K12" s="447">
        <f t="shared" si="34"/>
        <v>610</v>
      </c>
      <c r="L12" s="581">
        <v>24693546</v>
      </c>
      <c r="M12" s="447">
        <f t="shared" si="35"/>
        <v>698</v>
      </c>
      <c r="N12" s="296">
        <f>M12+K12+I12+G12+E12</f>
        <v>2779</v>
      </c>
      <c r="O12" s="443">
        <f t="shared" si="38"/>
        <v>0</v>
      </c>
      <c r="P12" s="606">
        <v>19616.486000000001</v>
      </c>
      <c r="Q12" s="444">
        <f t="shared" si="1"/>
        <v>2831.00000000195</v>
      </c>
      <c r="R12" s="582">
        <f>N12-Q12</f>
        <v>-52.000000001949957</v>
      </c>
      <c r="S12" s="424">
        <f t="shared" si="8"/>
        <v>10175</v>
      </c>
      <c r="T12" s="445">
        <f t="shared" si="2"/>
        <v>0</v>
      </c>
      <c r="U12" s="424">
        <f t="shared" si="9"/>
        <v>429166</v>
      </c>
      <c r="V12" s="426">
        <f t="shared" si="21"/>
        <v>0</v>
      </c>
      <c r="W12" s="581">
        <f>[3]ELEC!$W$34</f>
        <v>33498</v>
      </c>
      <c r="X12" s="426">
        <f t="shared" si="37"/>
        <v>0</v>
      </c>
      <c r="Y12" s="581">
        <f>[3]ELEC!$Y$34</f>
        <v>999659</v>
      </c>
      <c r="Z12" s="426">
        <f t="shared" si="31"/>
        <v>0</v>
      </c>
      <c r="AA12" s="581">
        <f t="shared" si="10"/>
        <v>36802</v>
      </c>
      <c r="AB12" s="426">
        <f t="shared" si="22"/>
        <v>0</v>
      </c>
      <c r="AC12" s="581">
        <f t="shared" si="11"/>
        <v>1171987</v>
      </c>
      <c r="AD12" s="426">
        <f t="shared" si="23"/>
        <v>0</v>
      </c>
      <c r="AE12" s="448">
        <f t="shared" si="12"/>
        <v>0</v>
      </c>
      <c r="AF12" s="449">
        <f t="shared" si="4"/>
        <v>0</v>
      </c>
      <c r="AG12" s="441">
        <f t="shared" si="39"/>
        <v>0</v>
      </c>
      <c r="AJ12" s="541"/>
      <c r="AK12" s="542"/>
      <c r="AL12" s="542"/>
      <c r="AM12" s="542"/>
      <c r="AN12" s="542"/>
    </row>
    <row r="13" spans="1:40">
      <c r="A13" s="434">
        <f>'General information '!F14</f>
        <v>0</v>
      </c>
      <c r="B13" s="428">
        <f t="shared" si="6"/>
        <v>0</v>
      </c>
      <c r="C13" s="435">
        <v>44875</v>
      </c>
      <c r="D13" s="581">
        <v>398840</v>
      </c>
      <c r="E13" s="570">
        <f t="shared" si="7"/>
        <v>680</v>
      </c>
      <c r="F13" s="581">
        <v>4179646</v>
      </c>
      <c r="G13" s="447">
        <f t="shared" si="32"/>
        <v>309</v>
      </c>
      <c r="H13" s="581">
        <v>18093582</v>
      </c>
      <c r="I13" s="447">
        <f t="shared" si="33"/>
        <v>388</v>
      </c>
      <c r="J13" s="581">
        <v>29872032</v>
      </c>
      <c r="K13" s="447">
        <f t="shared" si="34"/>
        <v>672</v>
      </c>
      <c r="L13" s="581">
        <v>24694242</v>
      </c>
      <c r="M13" s="447">
        <f t="shared" si="35"/>
        <v>696</v>
      </c>
      <c r="N13" s="296">
        <f>M13+K13+I13+G13+E13</f>
        <v>2745</v>
      </c>
      <c r="O13" s="443">
        <f t="shared" si="38"/>
        <v>0</v>
      </c>
      <c r="P13" s="606">
        <v>19619.3</v>
      </c>
      <c r="Q13" s="444">
        <f t="shared" si="1"/>
        <v>2813.9999999984866</v>
      </c>
      <c r="R13" s="426">
        <f t="shared" si="30"/>
        <v>-68.999999998486601</v>
      </c>
      <c r="S13" s="424">
        <f t="shared" si="8"/>
        <v>10175</v>
      </c>
      <c r="T13" s="445">
        <f t="shared" si="2"/>
        <v>0</v>
      </c>
      <c r="U13" s="424">
        <f t="shared" si="9"/>
        <v>429166</v>
      </c>
      <c r="V13" s="426">
        <f t="shared" si="21"/>
        <v>0</v>
      </c>
      <c r="W13" s="581">
        <f>[3]ELEC!$W$34</f>
        <v>33498</v>
      </c>
      <c r="X13" s="426">
        <f t="shared" si="37"/>
        <v>0</v>
      </c>
      <c r="Y13" s="581">
        <f>[3]ELEC!$Y$34</f>
        <v>999659</v>
      </c>
      <c r="Z13" s="426">
        <f t="shared" si="31"/>
        <v>0</v>
      </c>
      <c r="AA13" s="581">
        <f t="shared" si="10"/>
        <v>36802</v>
      </c>
      <c r="AB13" s="426">
        <f t="shared" si="22"/>
        <v>0</v>
      </c>
      <c r="AC13" s="581">
        <f t="shared" si="11"/>
        <v>1171987</v>
      </c>
      <c r="AD13" s="426">
        <f t="shared" si="23"/>
        <v>0</v>
      </c>
      <c r="AE13" s="448">
        <f t="shared" si="12"/>
        <v>0</v>
      </c>
      <c r="AF13" s="449">
        <f t="shared" si="4"/>
        <v>0</v>
      </c>
      <c r="AG13" s="441">
        <f t="shared" si="39"/>
        <v>0</v>
      </c>
      <c r="AJ13" s="541"/>
      <c r="AK13" s="542"/>
      <c r="AL13" s="542"/>
      <c r="AM13" s="542"/>
      <c r="AN13" s="542"/>
    </row>
    <row r="14" spans="1:40">
      <c r="A14" s="434">
        <f>'General information '!F15</f>
        <v>0</v>
      </c>
      <c r="B14" s="428">
        <f t="shared" si="6"/>
        <v>0</v>
      </c>
      <c r="C14" s="435">
        <v>44876</v>
      </c>
      <c r="D14" s="581">
        <f t="shared" si="24"/>
        <v>398840</v>
      </c>
      <c r="E14" s="570">
        <f t="shared" si="7"/>
        <v>0</v>
      </c>
      <c r="F14" s="581">
        <f t="shared" si="25"/>
        <v>4179646</v>
      </c>
      <c r="G14" s="447">
        <f t="shared" si="32"/>
        <v>0</v>
      </c>
      <c r="H14" s="581">
        <f t="shared" si="26"/>
        <v>18093582</v>
      </c>
      <c r="I14" s="447">
        <f t="shared" si="33"/>
        <v>0</v>
      </c>
      <c r="J14" s="581">
        <f t="shared" si="27"/>
        <v>29872032</v>
      </c>
      <c r="K14" s="447">
        <f t="shared" si="34"/>
        <v>0</v>
      </c>
      <c r="L14" s="581">
        <f t="shared" si="28"/>
        <v>24694242</v>
      </c>
      <c r="M14" s="447">
        <f t="shared" si="35"/>
        <v>0</v>
      </c>
      <c r="N14" s="296">
        <f>M14+K14+I14+G14+E14</f>
        <v>0</v>
      </c>
      <c r="O14" s="443">
        <f t="shared" si="38"/>
        <v>0</v>
      </c>
      <c r="P14" s="606">
        <f t="shared" si="29"/>
        <v>19619.3</v>
      </c>
      <c r="Q14" s="444">
        <f t="shared" si="1"/>
        <v>0</v>
      </c>
      <c r="R14" s="426">
        <f t="shared" si="30"/>
        <v>0</v>
      </c>
      <c r="S14" s="424">
        <f t="shared" si="8"/>
        <v>10175</v>
      </c>
      <c r="T14" s="445">
        <f t="shared" si="2"/>
        <v>0</v>
      </c>
      <c r="U14" s="424">
        <f t="shared" si="9"/>
        <v>429166</v>
      </c>
      <c r="V14" s="426">
        <f t="shared" si="21"/>
        <v>0</v>
      </c>
      <c r="W14" s="581">
        <f>[3]ELEC!$W$34</f>
        <v>33498</v>
      </c>
      <c r="X14" s="426">
        <f t="shared" si="37"/>
        <v>0</v>
      </c>
      <c r="Y14" s="581">
        <f>[3]ELEC!$Y$34</f>
        <v>999659</v>
      </c>
      <c r="Z14" s="426">
        <f t="shared" si="31"/>
        <v>0</v>
      </c>
      <c r="AA14" s="581">
        <f t="shared" si="10"/>
        <v>36802</v>
      </c>
      <c r="AB14" s="426">
        <f t="shared" si="22"/>
        <v>0</v>
      </c>
      <c r="AC14" s="581">
        <f t="shared" si="11"/>
        <v>1171987</v>
      </c>
      <c r="AD14" s="426">
        <f t="shared" si="23"/>
        <v>0</v>
      </c>
      <c r="AE14" s="448">
        <f t="shared" si="12"/>
        <v>0</v>
      </c>
      <c r="AF14" s="449">
        <f t="shared" si="4"/>
        <v>0</v>
      </c>
      <c r="AG14" s="441">
        <f t="shared" si="39"/>
        <v>0</v>
      </c>
      <c r="AJ14" s="541"/>
      <c r="AK14" s="542"/>
      <c r="AL14" s="542"/>
      <c r="AM14" s="542"/>
      <c r="AN14" s="542"/>
    </row>
    <row r="15" spans="1:40">
      <c r="A15" s="434">
        <f>'General information '!F16</f>
        <v>0</v>
      </c>
      <c r="B15" s="428">
        <f t="shared" si="6"/>
        <v>0</v>
      </c>
      <c r="C15" s="435">
        <v>44877</v>
      </c>
      <c r="D15" s="581">
        <f t="shared" si="24"/>
        <v>398840</v>
      </c>
      <c r="E15" s="570">
        <f t="shared" si="7"/>
        <v>0</v>
      </c>
      <c r="F15" s="581">
        <f t="shared" si="25"/>
        <v>4179646</v>
      </c>
      <c r="G15" s="447">
        <f t="shared" si="32"/>
        <v>0</v>
      </c>
      <c r="H15" s="581">
        <f t="shared" si="26"/>
        <v>18093582</v>
      </c>
      <c r="I15" s="447">
        <f t="shared" si="33"/>
        <v>0</v>
      </c>
      <c r="J15" s="581">
        <f t="shared" si="27"/>
        <v>29872032</v>
      </c>
      <c r="K15" s="447">
        <f t="shared" si="34"/>
        <v>0</v>
      </c>
      <c r="L15" s="581">
        <f t="shared" si="28"/>
        <v>24694242</v>
      </c>
      <c r="M15" s="447">
        <f t="shared" si="35"/>
        <v>0</v>
      </c>
      <c r="N15" s="296">
        <f t="shared" si="36"/>
        <v>0</v>
      </c>
      <c r="O15" s="443">
        <f t="shared" si="38"/>
        <v>0</v>
      </c>
      <c r="P15" s="606">
        <f t="shared" si="29"/>
        <v>19619.3</v>
      </c>
      <c r="Q15" s="444">
        <f t="shared" si="1"/>
        <v>0</v>
      </c>
      <c r="R15" s="582">
        <f>N15-Q15</f>
        <v>0</v>
      </c>
      <c r="S15" s="424">
        <f t="shared" si="8"/>
        <v>10175</v>
      </c>
      <c r="T15" s="445">
        <f t="shared" si="2"/>
        <v>0</v>
      </c>
      <c r="U15" s="424">
        <f t="shared" si="9"/>
        <v>429166</v>
      </c>
      <c r="V15" s="426">
        <f t="shared" si="21"/>
        <v>0</v>
      </c>
      <c r="W15" s="581">
        <f>[3]ELEC!$W$34</f>
        <v>33498</v>
      </c>
      <c r="X15" s="426">
        <f t="shared" si="37"/>
        <v>0</v>
      </c>
      <c r="Y15" s="581">
        <f>[3]ELEC!$Y$34</f>
        <v>999659</v>
      </c>
      <c r="Z15" s="426">
        <f t="shared" si="31"/>
        <v>0</v>
      </c>
      <c r="AA15" s="581">
        <f t="shared" si="10"/>
        <v>36802</v>
      </c>
      <c r="AB15" s="426">
        <f t="shared" si="22"/>
        <v>0</v>
      </c>
      <c r="AC15" s="581">
        <f t="shared" si="11"/>
        <v>1171987</v>
      </c>
      <c r="AD15" s="426">
        <f t="shared" si="23"/>
        <v>0</v>
      </c>
      <c r="AE15" s="448">
        <f t="shared" si="12"/>
        <v>0</v>
      </c>
      <c r="AF15" s="449">
        <f t="shared" si="4"/>
        <v>0</v>
      </c>
      <c r="AG15" s="441">
        <f t="shared" si="39"/>
        <v>0</v>
      </c>
      <c r="AJ15" s="541"/>
      <c r="AK15" s="542"/>
      <c r="AL15" s="542"/>
      <c r="AM15" s="542"/>
      <c r="AN15" s="542"/>
    </row>
    <row r="16" spans="1:40">
      <c r="A16" s="434">
        <f>'General information '!F17</f>
        <v>0</v>
      </c>
      <c r="B16" s="428">
        <f t="shared" si="6"/>
        <v>0</v>
      </c>
      <c r="C16" s="435">
        <v>44878</v>
      </c>
      <c r="D16" s="581">
        <v>399520</v>
      </c>
      <c r="E16" s="570">
        <f t="shared" si="7"/>
        <v>680</v>
      </c>
      <c r="F16" s="581">
        <v>4179949</v>
      </c>
      <c r="G16" s="447">
        <f t="shared" si="32"/>
        <v>303</v>
      </c>
      <c r="H16" s="581">
        <v>18093964</v>
      </c>
      <c r="I16" s="447">
        <f t="shared" si="33"/>
        <v>382</v>
      </c>
      <c r="J16" s="581">
        <v>29872746</v>
      </c>
      <c r="K16" s="447">
        <f t="shared" si="34"/>
        <v>714</v>
      </c>
      <c r="L16" s="581">
        <v>24694914</v>
      </c>
      <c r="M16" s="447">
        <f t="shared" si="35"/>
        <v>672</v>
      </c>
      <c r="N16" s="296">
        <f t="shared" si="36"/>
        <v>2751</v>
      </c>
      <c r="O16" s="443">
        <f t="shared" si="38"/>
        <v>0</v>
      </c>
      <c r="P16" s="606">
        <v>19622.113000000001</v>
      </c>
      <c r="Q16" s="444">
        <f t="shared" si="1"/>
        <v>2813.0000000019209</v>
      </c>
      <c r="R16" s="426">
        <f t="shared" si="30"/>
        <v>-62.000000001920853</v>
      </c>
      <c r="S16" s="424">
        <f t="shared" si="8"/>
        <v>10175</v>
      </c>
      <c r="T16" s="445">
        <f t="shared" si="2"/>
        <v>0</v>
      </c>
      <c r="U16" s="424">
        <f t="shared" si="9"/>
        <v>429166</v>
      </c>
      <c r="V16" s="426">
        <f t="shared" si="21"/>
        <v>0</v>
      </c>
      <c r="W16" s="581">
        <f>[3]ELEC!$W$34</f>
        <v>33498</v>
      </c>
      <c r="X16" s="426">
        <f t="shared" si="37"/>
        <v>0</v>
      </c>
      <c r="Y16" s="581">
        <f>[3]ELEC!$Y$34</f>
        <v>999659</v>
      </c>
      <c r="Z16" s="426">
        <f t="shared" si="31"/>
        <v>0</v>
      </c>
      <c r="AA16" s="581">
        <f t="shared" si="10"/>
        <v>36802</v>
      </c>
      <c r="AB16" s="426">
        <f t="shared" si="22"/>
        <v>0</v>
      </c>
      <c r="AC16" s="581">
        <f t="shared" si="11"/>
        <v>1171987</v>
      </c>
      <c r="AD16" s="426">
        <f t="shared" si="23"/>
        <v>0</v>
      </c>
      <c r="AE16" s="448">
        <f t="shared" si="12"/>
        <v>0</v>
      </c>
      <c r="AF16" s="449">
        <f t="shared" si="4"/>
        <v>0</v>
      </c>
      <c r="AG16" s="441">
        <f t="shared" si="39"/>
        <v>0</v>
      </c>
      <c r="AJ16" s="541"/>
      <c r="AK16" s="542"/>
      <c r="AL16" s="542"/>
      <c r="AM16" s="542"/>
      <c r="AN16" s="542"/>
    </row>
    <row r="17" spans="1:40">
      <c r="A17" s="434">
        <f>'General information '!F18</f>
        <v>0</v>
      </c>
      <c r="B17" s="428">
        <f t="shared" si="6"/>
        <v>0</v>
      </c>
      <c r="C17" s="435">
        <v>44879</v>
      </c>
      <c r="D17" s="581">
        <v>400510</v>
      </c>
      <c r="E17" s="570">
        <f t="shared" si="7"/>
        <v>990</v>
      </c>
      <c r="F17" s="581">
        <v>4180252</v>
      </c>
      <c r="G17" s="447">
        <f t="shared" si="32"/>
        <v>303</v>
      </c>
      <c r="H17" s="581">
        <v>18094348</v>
      </c>
      <c r="I17" s="447">
        <f t="shared" si="33"/>
        <v>384</v>
      </c>
      <c r="J17" s="581">
        <v>29873362</v>
      </c>
      <c r="K17" s="447">
        <f t="shared" si="34"/>
        <v>616</v>
      </c>
      <c r="L17" s="581">
        <v>24695558</v>
      </c>
      <c r="M17" s="447">
        <f t="shared" si="35"/>
        <v>644</v>
      </c>
      <c r="N17" s="296">
        <f t="shared" si="36"/>
        <v>2937</v>
      </c>
      <c r="O17" s="443">
        <f t="shared" si="38"/>
        <v>0</v>
      </c>
      <c r="P17" s="606">
        <v>19625.112000000001</v>
      </c>
      <c r="Q17" s="444">
        <f t="shared" si="1"/>
        <v>2998.9999999997963</v>
      </c>
      <c r="R17" s="426">
        <f t="shared" si="30"/>
        <v>-61.999999999796273</v>
      </c>
      <c r="S17" s="424">
        <f t="shared" si="8"/>
        <v>10175</v>
      </c>
      <c r="T17" s="445">
        <f t="shared" si="2"/>
        <v>0</v>
      </c>
      <c r="U17" s="424">
        <f t="shared" si="9"/>
        <v>429166</v>
      </c>
      <c r="V17" s="426">
        <f t="shared" si="21"/>
        <v>0</v>
      </c>
      <c r="W17" s="581">
        <f>[3]ELEC!$W$34</f>
        <v>33498</v>
      </c>
      <c r="X17" s="426">
        <f>W17-W16</f>
        <v>0</v>
      </c>
      <c r="Y17" s="581">
        <f>[3]ELEC!$Y$34</f>
        <v>999659</v>
      </c>
      <c r="Z17" s="426">
        <f>Y17-Y16</f>
        <v>0</v>
      </c>
      <c r="AA17" s="581">
        <v>36803</v>
      </c>
      <c r="AB17" s="426">
        <f>AA17-AA16</f>
        <v>1</v>
      </c>
      <c r="AC17" s="581">
        <v>1172182</v>
      </c>
      <c r="AD17" s="426">
        <f t="shared" si="23"/>
        <v>195</v>
      </c>
      <c r="AE17" s="448">
        <f t="shared" si="12"/>
        <v>1</v>
      </c>
      <c r="AF17" s="449">
        <f t="shared" si="4"/>
        <v>195</v>
      </c>
      <c r="AG17" s="441">
        <f t="shared" si="39"/>
        <v>195</v>
      </c>
      <c r="AJ17" s="541"/>
      <c r="AK17" s="542"/>
      <c r="AL17" s="542"/>
      <c r="AM17" s="542"/>
      <c r="AN17" s="542"/>
    </row>
    <row r="18" spans="1:40">
      <c r="A18" s="434">
        <f>'General information '!F19</f>
        <v>0</v>
      </c>
      <c r="B18" s="428">
        <f t="shared" si="6"/>
        <v>0</v>
      </c>
      <c r="C18" s="435">
        <v>44880</v>
      </c>
      <c r="D18" s="581">
        <v>401210</v>
      </c>
      <c r="E18" s="570">
        <f t="shared" si="7"/>
        <v>700</v>
      </c>
      <c r="F18" s="581">
        <v>4180544</v>
      </c>
      <c r="G18" s="447">
        <f t="shared" si="32"/>
        <v>292</v>
      </c>
      <c r="H18" s="581">
        <v>18094714</v>
      </c>
      <c r="I18" s="447">
        <f t="shared" si="33"/>
        <v>366</v>
      </c>
      <c r="J18" s="581">
        <v>29873738</v>
      </c>
      <c r="K18" s="447">
        <f t="shared" si="34"/>
        <v>376</v>
      </c>
      <c r="L18" s="581">
        <v>24696234</v>
      </c>
      <c r="M18" s="447">
        <f t="shared" si="35"/>
        <v>676</v>
      </c>
      <c r="N18" s="296">
        <f>M18+K18+I18+G18+E18</f>
        <v>2410</v>
      </c>
      <c r="O18" s="443">
        <f t="shared" si="38"/>
        <v>0</v>
      </c>
      <c r="P18" s="606">
        <v>19627.577000000001</v>
      </c>
      <c r="Q18" s="444">
        <f t="shared" si="1"/>
        <v>2465.0000000001455</v>
      </c>
      <c r="R18" s="426">
        <f t="shared" si="30"/>
        <v>-55.000000000145519</v>
      </c>
      <c r="S18" s="424">
        <f t="shared" si="8"/>
        <v>10175</v>
      </c>
      <c r="T18" s="445">
        <f t="shared" si="2"/>
        <v>0</v>
      </c>
      <c r="U18" s="424">
        <f t="shared" si="9"/>
        <v>429166</v>
      </c>
      <c r="V18" s="426">
        <f t="shared" si="21"/>
        <v>0</v>
      </c>
      <c r="W18" s="581">
        <f>[3]ELEC!$W$34</f>
        <v>33498</v>
      </c>
      <c r="X18" s="426">
        <f t="shared" si="37"/>
        <v>0</v>
      </c>
      <c r="Y18" s="581">
        <f>[3]ELEC!$Y$34</f>
        <v>999659</v>
      </c>
      <c r="Z18" s="426">
        <f t="shared" si="31"/>
        <v>0</v>
      </c>
      <c r="AA18" s="581">
        <f t="shared" si="10"/>
        <v>36803</v>
      </c>
      <c r="AB18" s="426">
        <f t="shared" si="22"/>
        <v>0</v>
      </c>
      <c r="AC18" s="581">
        <f t="shared" si="11"/>
        <v>1172182</v>
      </c>
      <c r="AD18" s="426">
        <f t="shared" ref="AD18:AD31" si="40">AC18-AC17</f>
        <v>0</v>
      </c>
      <c r="AE18" s="448">
        <f t="shared" si="12"/>
        <v>0</v>
      </c>
      <c r="AF18" s="449">
        <f t="shared" si="4"/>
        <v>0</v>
      </c>
      <c r="AG18" s="441">
        <f t="shared" si="39"/>
        <v>0</v>
      </c>
      <c r="AJ18" s="541"/>
      <c r="AK18" s="542"/>
      <c r="AL18" s="542"/>
      <c r="AM18" s="542"/>
      <c r="AN18" s="542"/>
    </row>
    <row r="19" spans="1:40">
      <c r="A19" s="434">
        <f>'General information '!F20</f>
        <v>0</v>
      </c>
      <c r="B19" s="428">
        <f t="shared" si="6"/>
        <v>0</v>
      </c>
      <c r="C19" s="435">
        <v>44881</v>
      </c>
      <c r="D19" s="581">
        <v>402010</v>
      </c>
      <c r="E19" s="570">
        <f t="shared" si="7"/>
        <v>800</v>
      </c>
      <c r="F19" s="581">
        <v>4180901.6</v>
      </c>
      <c r="G19" s="447">
        <f t="shared" si="32"/>
        <v>357.60000000009313</v>
      </c>
      <c r="H19" s="581">
        <v>18095130</v>
      </c>
      <c r="I19" s="447">
        <f t="shared" si="33"/>
        <v>416</v>
      </c>
      <c r="J19" s="581">
        <v>29874298</v>
      </c>
      <c r="K19" s="447">
        <f t="shared" si="34"/>
        <v>560</v>
      </c>
      <c r="L19" s="581">
        <v>24696964</v>
      </c>
      <c r="M19" s="447">
        <f t="shared" si="35"/>
        <v>730</v>
      </c>
      <c r="N19" s="296">
        <f t="shared" si="36"/>
        <v>2863.6000000000931</v>
      </c>
      <c r="O19" s="443">
        <f t="shared" si="38"/>
        <v>0</v>
      </c>
      <c r="P19" s="606">
        <v>19630.499</v>
      </c>
      <c r="Q19" s="444">
        <f>(P19-P18)*1000</f>
        <v>2921.9999999986612</v>
      </c>
      <c r="R19" s="582">
        <f>N19-Q19</f>
        <v>-58.399999998568092</v>
      </c>
      <c r="S19" s="424">
        <f t="shared" si="8"/>
        <v>10175</v>
      </c>
      <c r="T19" s="445">
        <f t="shared" si="2"/>
        <v>0</v>
      </c>
      <c r="U19" s="424">
        <f t="shared" si="9"/>
        <v>429166</v>
      </c>
      <c r="V19" s="426">
        <f t="shared" si="21"/>
        <v>0</v>
      </c>
      <c r="W19" s="581">
        <f>[3]ELEC!$W$34</f>
        <v>33498</v>
      </c>
      <c r="X19" s="426">
        <f t="shared" si="37"/>
        <v>0</v>
      </c>
      <c r="Y19" s="581">
        <f>[3]ELEC!$Y$34</f>
        <v>999659</v>
      </c>
      <c r="Z19" s="426">
        <f t="shared" si="31"/>
        <v>0</v>
      </c>
      <c r="AA19" s="581">
        <f t="shared" si="10"/>
        <v>36803</v>
      </c>
      <c r="AB19" s="426">
        <f t="shared" si="22"/>
        <v>0</v>
      </c>
      <c r="AC19" s="581">
        <f t="shared" si="11"/>
        <v>1172182</v>
      </c>
      <c r="AD19" s="426">
        <f t="shared" si="40"/>
        <v>0</v>
      </c>
      <c r="AE19" s="448">
        <f t="shared" si="12"/>
        <v>0</v>
      </c>
      <c r="AF19" s="449">
        <f t="shared" si="4"/>
        <v>0</v>
      </c>
      <c r="AG19" s="441">
        <f t="shared" si="39"/>
        <v>0</v>
      </c>
      <c r="AJ19" s="541"/>
      <c r="AK19" s="542"/>
      <c r="AL19" s="542"/>
      <c r="AM19" s="542"/>
      <c r="AN19" s="542"/>
    </row>
    <row r="20" spans="1:40">
      <c r="A20" s="434">
        <f>'General information '!F21</f>
        <v>0</v>
      </c>
      <c r="B20" s="428">
        <f t="shared" si="6"/>
        <v>0</v>
      </c>
      <c r="C20" s="435">
        <v>44882</v>
      </c>
      <c r="D20" s="581">
        <v>402740</v>
      </c>
      <c r="E20" s="570">
        <f t="shared" si="7"/>
        <v>730</v>
      </c>
      <c r="F20" s="581">
        <v>4181193</v>
      </c>
      <c r="G20" s="447">
        <f t="shared" si="32"/>
        <v>291.39999999990687</v>
      </c>
      <c r="H20" s="581">
        <v>18095510</v>
      </c>
      <c r="I20" s="447">
        <f t="shared" si="33"/>
        <v>380</v>
      </c>
      <c r="J20" s="581">
        <v>29875000</v>
      </c>
      <c r="K20" s="447">
        <f t="shared" si="34"/>
        <v>702</v>
      </c>
      <c r="L20" s="581">
        <v>24697602</v>
      </c>
      <c r="M20" s="447">
        <f t="shared" si="35"/>
        <v>638</v>
      </c>
      <c r="N20" s="296">
        <f t="shared" si="36"/>
        <v>2741.3999999999069</v>
      </c>
      <c r="O20" s="443">
        <f t="shared" si="38"/>
        <v>0</v>
      </c>
      <c r="P20" s="606">
        <v>19633.113000000001</v>
      </c>
      <c r="Q20" s="444">
        <f>(P20-P19)*1000</f>
        <v>2614.000000001397</v>
      </c>
      <c r="R20" s="582">
        <f>N20-Q20</f>
        <v>127.39999999850988</v>
      </c>
      <c r="S20" s="424">
        <f t="shared" si="8"/>
        <v>10175</v>
      </c>
      <c r="T20" s="445">
        <f t="shared" si="2"/>
        <v>0</v>
      </c>
      <c r="U20" s="424">
        <f t="shared" si="9"/>
        <v>429166</v>
      </c>
      <c r="V20" s="426">
        <f t="shared" si="21"/>
        <v>0</v>
      </c>
      <c r="W20" s="581">
        <f>[3]ELEC!$W$34</f>
        <v>33498</v>
      </c>
      <c r="X20" s="426">
        <f t="shared" si="37"/>
        <v>0</v>
      </c>
      <c r="Y20" s="581">
        <f>[3]ELEC!$Y$34</f>
        <v>999659</v>
      </c>
      <c r="Z20" s="426">
        <f t="shared" si="31"/>
        <v>0</v>
      </c>
      <c r="AA20" s="581">
        <f t="shared" si="10"/>
        <v>36803</v>
      </c>
      <c r="AB20" s="426">
        <f t="shared" si="22"/>
        <v>0</v>
      </c>
      <c r="AC20" s="581">
        <f t="shared" si="11"/>
        <v>1172182</v>
      </c>
      <c r="AD20" s="426">
        <f t="shared" si="40"/>
        <v>0</v>
      </c>
      <c r="AE20" s="448">
        <f t="shared" si="12"/>
        <v>0</v>
      </c>
      <c r="AF20" s="449">
        <f t="shared" si="4"/>
        <v>0</v>
      </c>
      <c r="AG20" s="441">
        <f t="shared" si="39"/>
        <v>0</v>
      </c>
      <c r="AJ20" s="541"/>
      <c r="AK20" s="542"/>
      <c r="AL20" s="542"/>
      <c r="AM20" s="542"/>
      <c r="AN20" s="542"/>
    </row>
    <row r="21" spans="1:40">
      <c r="A21" s="434">
        <f>'General information '!F22</f>
        <v>0</v>
      </c>
      <c r="B21" s="428">
        <f t="shared" si="6"/>
        <v>0</v>
      </c>
      <c r="C21" s="435">
        <v>44883</v>
      </c>
      <c r="D21" s="581">
        <f t="shared" si="24"/>
        <v>402740</v>
      </c>
      <c r="E21" s="570">
        <f t="shared" si="7"/>
        <v>0</v>
      </c>
      <c r="F21" s="581">
        <f t="shared" si="25"/>
        <v>4181193</v>
      </c>
      <c r="G21" s="447">
        <f t="shared" si="32"/>
        <v>0</v>
      </c>
      <c r="H21" s="581">
        <f t="shared" si="26"/>
        <v>18095510</v>
      </c>
      <c r="I21" s="447">
        <f t="shared" si="33"/>
        <v>0</v>
      </c>
      <c r="J21" s="581">
        <f t="shared" si="27"/>
        <v>29875000</v>
      </c>
      <c r="K21" s="447">
        <f t="shared" si="34"/>
        <v>0</v>
      </c>
      <c r="L21" s="581">
        <f t="shared" si="28"/>
        <v>24697602</v>
      </c>
      <c r="M21" s="447">
        <f t="shared" si="35"/>
        <v>0</v>
      </c>
      <c r="N21" s="296">
        <f t="shared" si="36"/>
        <v>0</v>
      </c>
      <c r="O21" s="443">
        <f t="shared" si="38"/>
        <v>0</v>
      </c>
      <c r="P21" s="606">
        <f t="shared" si="29"/>
        <v>19633.113000000001</v>
      </c>
      <c r="Q21" s="444">
        <f t="shared" si="1"/>
        <v>0</v>
      </c>
      <c r="R21" s="582">
        <f t="shared" ref="R21:R31" si="41">N21-Q21</f>
        <v>0</v>
      </c>
      <c r="S21" s="424">
        <f t="shared" si="8"/>
        <v>10175</v>
      </c>
      <c r="T21" s="445">
        <f t="shared" si="2"/>
        <v>0</v>
      </c>
      <c r="U21" s="424">
        <f t="shared" si="9"/>
        <v>429166</v>
      </c>
      <c r="V21" s="426">
        <f t="shared" si="21"/>
        <v>0</v>
      </c>
      <c r="W21" s="581">
        <f>[3]ELEC!$W$34</f>
        <v>33498</v>
      </c>
      <c r="X21" s="426">
        <f t="shared" si="37"/>
        <v>0</v>
      </c>
      <c r="Y21" s="581">
        <f>[3]ELEC!$Y$34</f>
        <v>999659</v>
      </c>
      <c r="Z21" s="426">
        <f t="shared" si="31"/>
        <v>0</v>
      </c>
      <c r="AA21" s="581">
        <f t="shared" si="10"/>
        <v>36803</v>
      </c>
      <c r="AB21" s="426">
        <f t="shared" si="22"/>
        <v>0</v>
      </c>
      <c r="AC21" s="581">
        <f t="shared" si="11"/>
        <v>1172182</v>
      </c>
      <c r="AD21" s="426">
        <f t="shared" si="40"/>
        <v>0</v>
      </c>
      <c r="AE21" s="448">
        <f t="shared" si="12"/>
        <v>0</v>
      </c>
      <c r="AF21" s="449">
        <f t="shared" si="4"/>
        <v>0</v>
      </c>
      <c r="AG21" s="441">
        <f t="shared" si="39"/>
        <v>0</v>
      </c>
      <c r="AJ21" s="541"/>
      <c r="AK21" s="542"/>
      <c r="AL21" s="542"/>
      <c r="AM21" s="542"/>
      <c r="AN21" s="542"/>
    </row>
    <row r="22" spans="1:40">
      <c r="A22" s="434">
        <f>'General information '!F23</f>
        <v>0</v>
      </c>
      <c r="B22" s="428">
        <f t="shared" si="6"/>
        <v>0</v>
      </c>
      <c r="C22" s="435">
        <v>44884</v>
      </c>
      <c r="D22" s="581">
        <f t="shared" si="24"/>
        <v>402740</v>
      </c>
      <c r="E22" s="570">
        <f t="shared" ref="E22" si="42">D22-D21</f>
        <v>0</v>
      </c>
      <c r="F22" s="581">
        <f t="shared" si="25"/>
        <v>4181193</v>
      </c>
      <c r="G22" s="447">
        <f t="shared" ref="G22" si="43">F22-F21</f>
        <v>0</v>
      </c>
      <c r="H22" s="581">
        <f t="shared" si="26"/>
        <v>18095510</v>
      </c>
      <c r="I22" s="447">
        <f t="shared" si="33"/>
        <v>0</v>
      </c>
      <c r="J22" s="581">
        <f t="shared" si="27"/>
        <v>29875000</v>
      </c>
      <c r="K22" s="447">
        <f t="shared" ref="K22" si="44">J22-J21</f>
        <v>0</v>
      </c>
      <c r="L22" s="581">
        <f t="shared" si="28"/>
        <v>24697602</v>
      </c>
      <c r="M22" s="447">
        <f t="shared" ref="M22" si="45">L22-L21</f>
        <v>0</v>
      </c>
      <c r="N22" s="296">
        <f t="shared" ref="N22" si="46">M22+K22+I22+G22+E22</f>
        <v>0</v>
      </c>
      <c r="O22" s="443">
        <f t="shared" ref="O22" si="47">IF(B22&gt;0,N22/B22,0)</f>
        <v>0</v>
      </c>
      <c r="P22" s="606">
        <f t="shared" si="29"/>
        <v>19633.113000000001</v>
      </c>
      <c r="Q22" s="444">
        <f t="shared" ref="Q22" si="48">(P22-P21)*1000</f>
        <v>0</v>
      </c>
      <c r="R22" s="582">
        <f t="shared" ref="R22" si="49">N22-Q22</f>
        <v>0</v>
      </c>
      <c r="S22" s="424">
        <f t="shared" si="8"/>
        <v>10175</v>
      </c>
      <c r="T22" s="445">
        <f t="shared" si="2"/>
        <v>0</v>
      </c>
      <c r="U22" s="424">
        <f t="shared" si="9"/>
        <v>429166</v>
      </c>
      <c r="V22" s="426">
        <f t="shared" si="21"/>
        <v>0</v>
      </c>
      <c r="W22" s="581">
        <f>[3]ELEC!$W$34</f>
        <v>33498</v>
      </c>
      <c r="X22" s="426">
        <f t="shared" si="37"/>
        <v>0</v>
      </c>
      <c r="Y22" s="581">
        <f>[3]ELEC!$Y$34</f>
        <v>999659</v>
      </c>
      <c r="Z22" s="426">
        <f t="shared" si="31"/>
        <v>0</v>
      </c>
      <c r="AA22" s="581">
        <f t="shared" si="10"/>
        <v>36803</v>
      </c>
      <c r="AB22" s="426">
        <f t="shared" si="22"/>
        <v>0</v>
      </c>
      <c r="AC22" s="581">
        <f t="shared" si="11"/>
        <v>1172182</v>
      </c>
      <c r="AD22" s="447">
        <f>AC22-AC21</f>
        <v>0</v>
      </c>
      <c r="AE22" s="448">
        <f t="shared" si="12"/>
        <v>0</v>
      </c>
      <c r="AF22" s="449">
        <f t="shared" si="4"/>
        <v>0</v>
      </c>
      <c r="AG22" s="441">
        <f t="shared" si="39"/>
        <v>0</v>
      </c>
      <c r="AJ22" s="541"/>
      <c r="AK22" s="542"/>
      <c r="AL22" s="542"/>
      <c r="AM22" s="542"/>
      <c r="AN22" s="542"/>
    </row>
    <row r="23" spans="1:40">
      <c r="A23" s="434">
        <f>'General information '!F24</f>
        <v>0</v>
      </c>
      <c r="B23" s="428">
        <f t="shared" si="6"/>
        <v>0</v>
      </c>
      <c r="C23" s="435">
        <v>44885</v>
      </c>
      <c r="D23" s="581">
        <v>403300</v>
      </c>
      <c r="E23" s="570">
        <f t="shared" si="7"/>
        <v>560</v>
      </c>
      <c r="F23" s="581">
        <v>4181621</v>
      </c>
      <c r="G23" s="447">
        <f t="shared" si="32"/>
        <v>428</v>
      </c>
      <c r="H23" s="581">
        <v>18095862</v>
      </c>
      <c r="I23" s="447">
        <f t="shared" si="33"/>
        <v>352</v>
      </c>
      <c r="J23" s="581">
        <v>29875662</v>
      </c>
      <c r="K23" s="447">
        <f t="shared" si="34"/>
        <v>662</v>
      </c>
      <c r="L23" s="581">
        <v>24698202</v>
      </c>
      <c r="M23" s="447">
        <f t="shared" si="35"/>
        <v>600</v>
      </c>
      <c r="N23" s="296">
        <f t="shared" si="36"/>
        <v>2602</v>
      </c>
      <c r="O23" s="443">
        <f t="shared" si="38"/>
        <v>0</v>
      </c>
      <c r="P23" s="606">
        <v>19635.199000000001</v>
      </c>
      <c r="Q23" s="444">
        <f t="shared" si="1"/>
        <v>2085.9999999993306</v>
      </c>
      <c r="R23" s="582">
        <f t="shared" si="41"/>
        <v>516.00000000066939</v>
      </c>
      <c r="S23" s="424">
        <f t="shared" si="8"/>
        <v>10175</v>
      </c>
      <c r="T23" s="445">
        <f t="shared" si="2"/>
        <v>0</v>
      </c>
      <c r="U23" s="424">
        <f t="shared" si="9"/>
        <v>429166</v>
      </c>
      <c r="V23" s="426">
        <f t="shared" si="21"/>
        <v>0</v>
      </c>
      <c r="W23" s="581">
        <f>[3]ELEC!$W$34</f>
        <v>33498</v>
      </c>
      <c r="X23" s="426">
        <f t="shared" si="37"/>
        <v>0</v>
      </c>
      <c r="Y23" s="581">
        <f>[3]ELEC!$Y$34</f>
        <v>999659</v>
      </c>
      <c r="Z23" s="426">
        <f t="shared" si="31"/>
        <v>0</v>
      </c>
      <c r="AA23" s="581">
        <f t="shared" si="10"/>
        <v>36803</v>
      </c>
      <c r="AB23" s="426">
        <f t="shared" si="22"/>
        <v>0</v>
      </c>
      <c r="AC23" s="581">
        <f t="shared" si="11"/>
        <v>1172182</v>
      </c>
      <c r="AD23" s="426">
        <f t="shared" si="40"/>
        <v>0</v>
      </c>
      <c r="AE23" s="448">
        <f t="shared" si="12"/>
        <v>0</v>
      </c>
      <c r="AF23" s="449">
        <f t="shared" si="4"/>
        <v>0</v>
      </c>
      <c r="AG23" s="441">
        <f t="shared" si="39"/>
        <v>0</v>
      </c>
      <c r="AJ23" s="541"/>
      <c r="AK23" s="542"/>
      <c r="AL23" s="542"/>
      <c r="AM23" s="542"/>
      <c r="AN23" s="542"/>
    </row>
    <row r="24" spans="1:40">
      <c r="A24" s="434">
        <f>'General information '!F25</f>
        <v>0</v>
      </c>
      <c r="B24" s="428">
        <f t="shared" si="6"/>
        <v>0</v>
      </c>
      <c r="C24" s="435">
        <v>44886</v>
      </c>
      <c r="D24" s="581">
        <v>404040</v>
      </c>
      <c r="E24" s="570">
        <f t="shared" si="7"/>
        <v>740</v>
      </c>
      <c r="F24" s="581">
        <v>4181820</v>
      </c>
      <c r="G24" s="447">
        <f t="shared" si="32"/>
        <v>199</v>
      </c>
      <c r="H24" s="581">
        <v>18096246</v>
      </c>
      <c r="I24" s="585">
        <f t="shared" si="33"/>
        <v>384</v>
      </c>
      <c r="J24" s="581">
        <v>29876380</v>
      </c>
      <c r="K24" s="447">
        <f t="shared" si="34"/>
        <v>718</v>
      </c>
      <c r="L24" s="581">
        <v>24698846</v>
      </c>
      <c r="M24" s="447">
        <f t="shared" si="35"/>
        <v>644</v>
      </c>
      <c r="N24" s="296">
        <f t="shared" si="36"/>
        <v>2685</v>
      </c>
      <c r="O24" s="443">
        <f t="shared" si="38"/>
        <v>0</v>
      </c>
      <c r="P24" s="606">
        <v>19637.871999999999</v>
      </c>
      <c r="Q24" s="444">
        <f t="shared" si="1"/>
        <v>2672.999999998865</v>
      </c>
      <c r="R24" s="582">
        <f t="shared" si="41"/>
        <v>12.000000001135049</v>
      </c>
      <c r="S24" s="424">
        <f t="shared" si="8"/>
        <v>10175</v>
      </c>
      <c r="T24" s="445">
        <f t="shared" si="2"/>
        <v>0</v>
      </c>
      <c r="U24" s="424">
        <f t="shared" si="9"/>
        <v>429166</v>
      </c>
      <c r="V24" s="426">
        <f t="shared" si="21"/>
        <v>0</v>
      </c>
      <c r="W24" s="581">
        <f>[3]ELEC!$W$34</f>
        <v>33498</v>
      </c>
      <c r="X24" s="426">
        <f t="shared" si="37"/>
        <v>0</v>
      </c>
      <c r="Y24" s="581">
        <f>[3]ELEC!$Y$34</f>
        <v>999659</v>
      </c>
      <c r="Z24" s="426">
        <f t="shared" si="31"/>
        <v>0</v>
      </c>
      <c r="AA24" s="581">
        <f t="shared" si="10"/>
        <v>36803</v>
      </c>
      <c r="AB24" s="426">
        <f t="shared" si="22"/>
        <v>0</v>
      </c>
      <c r="AC24" s="581">
        <f t="shared" si="11"/>
        <v>1172182</v>
      </c>
      <c r="AD24" s="426">
        <f t="shared" si="40"/>
        <v>0</v>
      </c>
      <c r="AE24" s="448">
        <f t="shared" si="12"/>
        <v>0</v>
      </c>
      <c r="AF24" s="449">
        <f t="shared" si="4"/>
        <v>0</v>
      </c>
      <c r="AG24" s="441">
        <f t="shared" si="39"/>
        <v>0</v>
      </c>
      <c r="AJ24" s="541"/>
      <c r="AK24" s="542"/>
      <c r="AL24" s="542"/>
      <c r="AM24" s="542"/>
      <c r="AN24" s="542"/>
    </row>
    <row r="25" spans="1:40">
      <c r="A25" s="434">
        <f>'General information '!F26</f>
        <v>0</v>
      </c>
      <c r="B25" s="428">
        <f t="shared" si="6"/>
        <v>0</v>
      </c>
      <c r="C25" s="435">
        <v>44887</v>
      </c>
      <c r="D25" s="581">
        <v>404040</v>
      </c>
      <c r="E25" s="570">
        <f t="shared" si="7"/>
        <v>0</v>
      </c>
      <c r="F25" s="581">
        <v>4181820</v>
      </c>
      <c r="G25" s="447">
        <f t="shared" si="32"/>
        <v>0</v>
      </c>
      <c r="H25" s="581">
        <v>18096246</v>
      </c>
      <c r="I25" s="447">
        <f t="shared" si="33"/>
        <v>0</v>
      </c>
      <c r="J25" s="581">
        <v>29876380</v>
      </c>
      <c r="K25" s="447">
        <f t="shared" si="34"/>
        <v>0</v>
      </c>
      <c r="L25" s="581">
        <v>24698846</v>
      </c>
      <c r="M25" s="447">
        <f t="shared" si="35"/>
        <v>0</v>
      </c>
      <c r="N25" s="296">
        <f t="shared" si="36"/>
        <v>0</v>
      </c>
      <c r="O25" s="443">
        <f t="shared" si="38"/>
        <v>0</v>
      </c>
      <c r="P25" s="606">
        <v>19637.871999999999</v>
      </c>
      <c r="Q25" s="444">
        <f t="shared" si="1"/>
        <v>0</v>
      </c>
      <c r="R25" s="582">
        <f t="shared" si="41"/>
        <v>0</v>
      </c>
      <c r="S25" s="424">
        <f t="shared" si="8"/>
        <v>10175</v>
      </c>
      <c r="T25" s="445">
        <f t="shared" si="2"/>
        <v>0</v>
      </c>
      <c r="U25" s="424">
        <f t="shared" si="9"/>
        <v>429166</v>
      </c>
      <c r="V25" s="426">
        <f t="shared" si="21"/>
        <v>0</v>
      </c>
      <c r="W25" s="581">
        <f>[3]ELEC!$W$34</f>
        <v>33498</v>
      </c>
      <c r="X25" s="426">
        <f t="shared" si="37"/>
        <v>0</v>
      </c>
      <c r="Y25" s="581">
        <f>[3]ELEC!$Y$34</f>
        <v>999659</v>
      </c>
      <c r="Z25" s="426">
        <f t="shared" si="31"/>
        <v>0</v>
      </c>
      <c r="AA25" s="581">
        <f t="shared" si="10"/>
        <v>36803</v>
      </c>
      <c r="AB25" s="426">
        <f t="shared" si="22"/>
        <v>0</v>
      </c>
      <c r="AC25" s="581">
        <f t="shared" si="11"/>
        <v>1172182</v>
      </c>
      <c r="AD25" s="426">
        <f t="shared" si="40"/>
        <v>0</v>
      </c>
      <c r="AE25" s="448">
        <f t="shared" si="12"/>
        <v>0</v>
      </c>
      <c r="AF25" s="449">
        <f t="shared" si="4"/>
        <v>0</v>
      </c>
      <c r="AG25" s="441">
        <f t="shared" si="39"/>
        <v>0</v>
      </c>
      <c r="AJ25" s="541"/>
      <c r="AK25" s="542"/>
      <c r="AL25" s="542"/>
      <c r="AM25" s="542"/>
      <c r="AN25" s="542"/>
    </row>
    <row r="26" spans="1:40">
      <c r="A26" s="434">
        <f>'General information '!F27</f>
        <v>0</v>
      </c>
      <c r="B26" s="428">
        <f t="shared" si="6"/>
        <v>0</v>
      </c>
      <c r="C26" s="435">
        <v>44888</v>
      </c>
      <c r="D26" s="581">
        <v>404790</v>
      </c>
      <c r="E26" s="570">
        <f t="shared" si="7"/>
        <v>750</v>
      </c>
      <c r="F26" s="581">
        <v>4182193</v>
      </c>
      <c r="G26" s="447">
        <f t="shared" si="32"/>
        <v>373</v>
      </c>
      <c r="H26" s="581">
        <v>18096664</v>
      </c>
      <c r="I26" s="447">
        <f t="shared" si="33"/>
        <v>418</v>
      </c>
      <c r="J26" s="581">
        <v>29877268</v>
      </c>
      <c r="K26" s="447">
        <f t="shared" si="34"/>
        <v>888</v>
      </c>
      <c r="L26" s="581">
        <v>24699534</v>
      </c>
      <c r="M26" s="447">
        <f t="shared" si="35"/>
        <v>688</v>
      </c>
      <c r="N26" s="296">
        <f t="shared" si="36"/>
        <v>3117</v>
      </c>
      <c r="O26" s="443">
        <f t="shared" si="38"/>
        <v>0</v>
      </c>
      <c r="P26" s="606">
        <v>19640.780999999999</v>
      </c>
      <c r="Q26" s="444">
        <f t="shared" si="1"/>
        <v>2908.9999999996508</v>
      </c>
      <c r="R26" s="582">
        <f t="shared" si="41"/>
        <v>208.00000000034925</v>
      </c>
      <c r="S26" s="424">
        <f t="shared" si="8"/>
        <v>10175</v>
      </c>
      <c r="T26" s="445">
        <f t="shared" si="2"/>
        <v>0</v>
      </c>
      <c r="U26" s="424">
        <f t="shared" si="9"/>
        <v>429166</v>
      </c>
      <c r="V26" s="426">
        <f t="shared" si="21"/>
        <v>0</v>
      </c>
      <c r="W26" s="581">
        <f>[3]ELEC!$W$34</f>
        <v>33498</v>
      </c>
      <c r="X26" s="426">
        <f t="shared" si="37"/>
        <v>0</v>
      </c>
      <c r="Y26" s="581">
        <f>[3]ELEC!$Y$34</f>
        <v>999659</v>
      </c>
      <c r="Z26" s="426">
        <f t="shared" si="31"/>
        <v>0</v>
      </c>
      <c r="AA26" s="581">
        <f t="shared" si="10"/>
        <v>36803</v>
      </c>
      <c r="AB26" s="426">
        <f t="shared" si="22"/>
        <v>0</v>
      </c>
      <c r="AC26" s="581">
        <f t="shared" si="11"/>
        <v>1172182</v>
      </c>
      <c r="AD26" s="426">
        <f t="shared" si="40"/>
        <v>0</v>
      </c>
      <c r="AE26" s="448">
        <f t="shared" si="12"/>
        <v>0</v>
      </c>
      <c r="AF26" s="449">
        <f t="shared" si="4"/>
        <v>0</v>
      </c>
      <c r="AG26" s="441">
        <f t="shared" si="39"/>
        <v>0</v>
      </c>
      <c r="AJ26" s="541"/>
      <c r="AK26" s="542"/>
      <c r="AL26" s="542"/>
      <c r="AM26" s="542"/>
      <c r="AN26" s="542"/>
    </row>
    <row r="27" spans="1:40">
      <c r="A27" s="434">
        <f>'General information '!F28</f>
        <v>0</v>
      </c>
      <c r="B27" s="428">
        <f t="shared" si="6"/>
        <v>0</v>
      </c>
      <c r="C27" s="435">
        <v>44889</v>
      </c>
      <c r="D27" s="581">
        <v>405360</v>
      </c>
      <c r="E27" s="570">
        <f t="shared" si="7"/>
        <v>570</v>
      </c>
      <c r="F27" s="581">
        <v>4182512</v>
      </c>
      <c r="G27" s="447">
        <f t="shared" si="32"/>
        <v>319</v>
      </c>
      <c r="H27" s="581">
        <v>18097030</v>
      </c>
      <c r="I27" s="447">
        <f t="shared" si="33"/>
        <v>366</v>
      </c>
      <c r="J27" s="581">
        <v>29878022</v>
      </c>
      <c r="K27" s="447">
        <f t="shared" si="34"/>
        <v>754</v>
      </c>
      <c r="L27" s="581">
        <v>24700130</v>
      </c>
      <c r="M27" s="447">
        <f t="shared" si="35"/>
        <v>596</v>
      </c>
      <c r="N27" s="296">
        <f t="shared" si="36"/>
        <v>2605</v>
      </c>
      <c r="O27" s="443">
        <f t="shared" si="38"/>
        <v>0</v>
      </c>
      <c r="P27" s="606">
        <v>19643.396000000001</v>
      </c>
      <c r="Q27" s="444">
        <f t="shared" si="1"/>
        <v>2615.0000000016007</v>
      </c>
      <c r="R27" s="582">
        <f t="shared" si="41"/>
        <v>-10.000000001600711</v>
      </c>
      <c r="S27" s="424">
        <f t="shared" si="8"/>
        <v>10175</v>
      </c>
      <c r="T27" s="445">
        <f t="shared" si="2"/>
        <v>0</v>
      </c>
      <c r="U27" s="424">
        <f t="shared" si="9"/>
        <v>429166</v>
      </c>
      <c r="V27" s="426">
        <f t="shared" si="21"/>
        <v>0</v>
      </c>
      <c r="W27" s="581">
        <f>[3]ELEC!$W$34</f>
        <v>33498</v>
      </c>
      <c r="X27" s="426">
        <f t="shared" si="37"/>
        <v>0</v>
      </c>
      <c r="Y27" s="581">
        <f>[3]ELEC!$Y$34</f>
        <v>999659</v>
      </c>
      <c r="Z27" s="426">
        <f t="shared" si="31"/>
        <v>0</v>
      </c>
      <c r="AA27" s="581">
        <f t="shared" si="10"/>
        <v>36803</v>
      </c>
      <c r="AB27" s="426">
        <f t="shared" si="22"/>
        <v>0</v>
      </c>
      <c r="AC27" s="581">
        <f t="shared" si="11"/>
        <v>1172182</v>
      </c>
      <c r="AD27" s="426">
        <f t="shared" si="40"/>
        <v>0</v>
      </c>
      <c r="AE27" s="448">
        <f t="shared" si="12"/>
        <v>0</v>
      </c>
      <c r="AF27" s="449">
        <f t="shared" si="4"/>
        <v>0</v>
      </c>
      <c r="AG27" s="441">
        <f t="shared" si="39"/>
        <v>0</v>
      </c>
      <c r="AJ27" s="541"/>
      <c r="AK27" s="542"/>
      <c r="AL27" s="542"/>
      <c r="AM27" s="542"/>
      <c r="AN27" s="542"/>
    </row>
    <row r="28" spans="1:40">
      <c r="A28" s="434">
        <f>'General information '!F29</f>
        <v>0</v>
      </c>
      <c r="B28" s="428">
        <f t="shared" si="6"/>
        <v>0</v>
      </c>
      <c r="C28" s="435">
        <v>44890</v>
      </c>
      <c r="D28" s="581">
        <f t="shared" si="24"/>
        <v>405360</v>
      </c>
      <c r="E28" s="570">
        <f t="shared" si="7"/>
        <v>0</v>
      </c>
      <c r="F28" s="581">
        <f t="shared" si="25"/>
        <v>4182512</v>
      </c>
      <c r="G28" s="447">
        <f>F28-F27</f>
        <v>0</v>
      </c>
      <c r="H28" s="581">
        <f t="shared" si="26"/>
        <v>18097030</v>
      </c>
      <c r="I28" s="447">
        <f t="shared" si="33"/>
        <v>0</v>
      </c>
      <c r="J28" s="581">
        <f t="shared" si="27"/>
        <v>29878022</v>
      </c>
      <c r="K28" s="447">
        <f t="shared" si="34"/>
        <v>0</v>
      </c>
      <c r="L28" s="581">
        <f t="shared" si="28"/>
        <v>24700130</v>
      </c>
      <c r="M28" s="447">
        <f t="shared" si="35"/>
        <v>0</v>
      </c>
      <c r="N28" s="296">
        <f t="shared" si="36"/>
        <v>0</v>
      </c>
      <c r="O28" s="443">
        <f t="shared" si="38"/>
        <v>0</v>
      </c>
      <c r="P28" s="606">
        <f t="shared" si="29"/>
        <v>19643.396000000001</v>
      </c>
      <c r="Q28" s="444">
        <f t="shared" si="1"/>
        <v>0</v>
      </c>
      <c r="R28" s="582">
        <f>N28-Q28</f>
        <v>0</v>
      </c>
      <c r="S28" s="424">
        <f t="shared" si="8"/>
        <v>10175</v>
      </c>
      <c r="T28" s="445">
        <f t="shared" si="2"/>
        <v>0</v>
      </c>
      <c r="U28" s="424">
        <f t="shared" si="9"/>
        <v>429166</v>
      </c>
      <c r="V28" s="426">
        <f t="shared" si="21"/>
        <v>0</v>
      </c>
      <c r="W28" s="581">
        <f>[3]ELEC!$W$34</f>
        <v>33498</v>
      </c>
      <c r="X28" s="426">
        <f t="shared" si="37"/>
        <v>0</v>
      </c>
      <c r="Y28" s="581">
        <f>[3]ELEC!$Y$34</f>
        <v>999659</v>
      </c>
      <c r="Z28" s="426">
        <f t="shared" si="31"/>
        <v>0</v>
      </c>
      <c r="AA28" s="581">
        <f t="shared" si="10"/>
        <v>36803</v>
      </c>
      <c r="AB28" s="426">
        <f t="shared" si="22"/>
        <v>0</v>
      </c>
      <c r="AC28" s="581">
        <f t="shared" si="11"/>
        <v>1172182</v>
      </c>
      <c r="AD28" s="426">
        <f t="shared" si="40"/>
        <v>0</v>
      </c>
      <c r="AE28" s="448">
        <f t="shared" si="12"/>
        <v>0</v>
      </c>
      <c r="AF28" s="449">
        <f t="shared" si="4"/>
        <v>0</v>
      </c>
      <c r="AG28" s="441">
        <f t="shared" si="39"/>
        <v>0</v>
      </c>
      <c r="AJ28" s="541"/>
      <c r="AK28" s="542"/>
      <c r="AL28" s="542"/>
      <c r="AM28" s="542"/>
      <c r="AN28" s="542"/>
    </row>
    <row r="29" spans="1:40">
      <c r="A29" s="434">
        <f>'General information '!F30</f>
        <v>0</v>
      </c>
      <c r="B29" s="428">
        <f t="shared" si="6"/>
        <v>0</v>
      </c>
      <c r="C29" s="435">
        <v>44891</v>
      </c>
      <c r="D29" s="581">
        <f t="shared" si="24"/>
        <v>405360</v>
      </c>
      <c r="E29" s="570">
        <f t="shared" si="7"/>
        <v>0</v>
      </c>
      <c r="F29" s="581">
        <f t="shared" si="25"/>
        <v>4182512</v>
      </c>
      <c r="G29" s="447">
        <f>F29-F28</f>
        <v>0</v>
      </c>
      <c r="H29" s="581">
        <f t="shared" si="26"/>
        <v>18097030</v>
      </c>
      <c r="I29" s="447">
        <f>H29-H28</f>
        <v>0</v>
      </c>
      <c r="J29" s="581">
        <f t="shared" si="27"/>
        <v>29878022</v>
      </c>
      <c r="K29" s="447">
        <f>J29-J28</f>
        <v>0</v>
      </c>
      <c r="L29" s="581">
        <f t="shared" si="28"/>
        <v>24700130</v>
      </c>
      <c r="M29" s="447">
        <f>L29-L28</f>
        <v>0</v>
      </c>
      <c r="N29" s="296">
        <f>M29+K29+I29+G29+E29</f>
        <v>0</v>
      </c>
      <c r="O29" s="443">
        <f>IF(B29&gt;0,N29/B29,0)</f>
        <v>0</v>
      </c>
      <c r="P29" s="606">
        <f t="shared" si="29"/>
        <v>19643.396000000001</v>
      </c>
      <c r="Q29" s="444">
        <f>(P29-P28)*1000</f>
        <v>0</v>
      </c>
      <c r="R29" s="582">
        <f t="shared" si="41"/>
        <v>0</v>
      </c>
      <c r="S29" s="424">
        <f t="shared" si="8"/>
        <v>10175</v>
      </c>
      <c r="T29" s="445">
        <f>S29-S28</f>
        <v>0</v>
      </c>
      <c r="U29" s="424">
        <f t="shared" si="9"/>
        <v>429166</v>
      </c>
      <c r="V29" s="426">
        <f>U29-U28</f>
        <v>0</v>
      </c>
      <c r="W29" s="581">
        <f>[3]ELEC!$W$34</f>
        <v>33498</v>
      </c>
      <c r="X29" s="426">
        <f>W29-W28</f>
        <v>0</v>
      </c>
      <c r="Y29" s="581">
        <f>[3]ELEC!$Y$34</f>
        <v>999659</v>
      </c>
      <c r="Z29" s="426">
        <f>Y29-Y28</f>
        <v>0</v>
      </c>
      <c r="AA29" s="581">
        <f t="shared" si="10"/>
        <v>36803</v>
      </c>
      <c r="AB29" s="426">
        <f>AA29-AA28</f>
        <v>0</v>
      </c>
      <c r="AC29" s="581">
        <f t="shared" si="11"/>
        <v>1172182</v>
      </c>
      <c r="AD29" s="426">
        <f>AC29-AC28</f>
        <v>0</v>
      </c>
      <c r="AE29" s="448">
        <f>AB29+X29+T29</f>
        <v>0</v>
      </c>
      <c r="AF29" s="449">
        <f>V29+Z29+AD29</f>
        <v>0</v>
      </c>
      <c r="AG29" s="441">
        <f t="shared" si="39"/>
        <v>0</v>
      </c>
      <c r="AJ29" s="541"/>
      <c r="AK29" s="542"/>
      <c r="AL29" s="542"/>
      <c r="AM29" s="542"/>
      <c r="AN29" s="542"/>
    </row>
    <row r="30" spans="1:40">
      <c r="A30" s="434">
        <f>'General information '!F31</f>
        <v>0</v>
      </c>
      <c r="B30" s="428">
        <f>SUM(230*A30)</f>
        <v>0</v>
      </c>
      <c r="C30" s="435">
        <v>44892</v>
      </c>
      <c r="D30" s="581">
        <v>406520</v>
      </c>
      <c r="E30" s="570">
        <f t="shared" si="7"/>
        <v>1160</v>
      </c>
      <c r="F30" s="581">
        <v>4182871</v>
      </c>
      <c r="G30" s="447">
        <f t="shared" si="32"/>
        <v>359</v>
      </c>
      <c r="H30" s="581">
        <v>18097470</v>
      </c>
      <c r="I30" s="447">
        <f t="shared" si="33"/>
        <v>440</v>
      </c>
      <c r="J30" s="581">
        <v>29879386</v>
      </c>
      <c r="K30" s="447">
        <f t="shared" si="34"/>
        <v>1364</v>
      </c>
      <c r="L30" s="581">
        <v>24700934</v>
      </c>
      <c r="M30" s="447">
        <f t="shared" si="35"/>
        <v>804</v>
      </c>
      <c r="N30" s="296">
        <f>M30+K30+I30+G30+E30</f>
        <v>4127</v>
      </c>
      <c r="O30" s="443">
        <f t="shared" si="38"/>
        <v>0</v>
      </c>
      <c r="P30" s="606">
        <v>19645.396000000001</v>
      </c>
      <c r="Q30" s="444">
        <f t="shared" si="1"/>
        <v>2000</v>
      </c>
      <c r="R30" s="582">
        <f>N30-Q30</f>
        <v>2127</v>
      </c>
      <c r="S30" s="424">
        <f t="shared" si="8"/>
        <v>10175</v>
      </c>
      <c r="T30" s="445">
        <f t="shared" si="2"/>
        <v>0</v>
      </c>
      <c r="U30" s="424">
        <f t="shared" si="9"/>
        <v>429166</v>
      </c>
      <c r="V30" s="426">
        <f t="shared" si="21"/>
        <v>0</v>
      </c>
      <c r="W30" s="581">
        <f>[3]ELEC!$W$34</f>
        <v>33498</v>
      </c>
      <c r="X30" s="426">
        <f t="shared" si="37"/>
        <v>0</v>
      </c>
      <c r="Y30" s="581">
        <f>[3]ELEC!$Y$34</f>
        <v>999659</v>
      </c>
      <c r="Z30" s="426">
        <f t="shared" si="31"/>
        <v>0</v>
      </c>
      <c r="AA30" s="581">
        <f t="shared" si="10"/>
        <v>36803</v>
      </c>
      <c r="AB30" s="426">
        <f t="shared" si="22"/>
        <v>0</v>
      </c>
      <c r="AC30" s="581">
        <f t="shared" si="11"/>
        <v>1172182</v>
      </c>
      <c r="AD30" s="426">
        <f t="shared" si="40"/>
        <v>0</v>
      </c>
      <c r="AE30" s="448">
        <f t="shared" si="12"/>
        <v>0</v>
      </c>
      <c r="AF30" s="449">
        <f t="shared" si="4"/>
        <v>0</v>
      </c>
      <c r="AG30" s="441">
        <f t="shared" si="39"/>
        <v>0</v>
      </c>
      <c r="AJ30" s="541"/>
      <c r="AK30" s="542"/>
      <c r="AL30" s="542"/>
      <c r="AM30" s="542"/>
      <c r="AN30" s="542"/>
    </row>
    <row r="31" spans="1:40">
      <c r="A31" s="434">
        <f>'General information '!F32</f>
        <v>0</v>
      </c>
      <c r="B31" s="428">
        <f t="shared" si="6"/>
        <v>0</v>
      </c>
      <c r="C31" s="435">
        <v>44893</v>
      </c>
      <c r="D31" s="581">
        <v>407110</v>
      </c>
      <c r="E31" s="570">
        <f t="shared" si="7"/>
        <v>590</v>
      </c>
      <c r="F31" s="581">
        <v>4183178</v>
      </c>
      <c r="G31" s="447">
        <f t="shared" si="32"/>
        <v>307</v>
      </c>
      <c r="H31" s="581">
        <v>18097846</v>
      </c>
      <c r="I31" s="447">
        <f t="shared" si="33"/>
        <v>376</v>
      </c>
      <c r="J31" s="581">
        <v>29880254</v>
      </c>
      <c r="K31" s="447">
        <f t="shared" si="34"/>
        <v>868</v>
      </c>
      <c r="L31" s="581">
        <v>24701494</v>
      </c>
      <c r="M31" s="447">
        <f t="shared" si="35"/>
        <v>560</v>
      </c>
      <c r="N31" s="296">
        <f t="shared" si="36"/>
        <v>2701</v>
      </c>
      <c r="O31" s="443">
        <f t="shared" si="38"/>
        <v>0</v>
      </c>
      <c r="P31" s="606">
        <v>19647.896000000001</v>
      </c>
      <c r="Q31" s="444">
        <f t="shared" si="1"/>
        <v>2500</v>
      </c>
      <c r="R31" s="582">
        <f t="shared" si="41"/>
        <v>201</v>
      </c>
      <c r="S31" s="424">
        <f t="shared" si="8"/>
        <v>10175</v>
      </c>
      <c r="T31" s="445">
        <f t="shared" si="2"/>
        <v>0</v>
      </c>
      <c r="U31" s="424">
        <f t="shared" si="9"/>
        <v>429166</v>
      </c>
      <c r="V31" s="447">
        <f>U31-U30</f>
        <v>0</v>
      </c>
      <c r="W31" s="581">
        <f>[3]ELEC!$W$34</f>
        <v>33498</v>
      </c>
      <c r="X31" s="446">
        <f t="shared" si="37"/>
        <v>0</v>
      </c>
      <c r="Y31" s="581">
        <f>[3]ELEC!$Y$34</f>
        <v>999659</v>
      </c>
      <c r="Z31" s="426">
        <f t="shared" si="31"/>
        <v>0</v>
      </c>
      <c r="AA31" s="581">
        <f t="shared" si="10"/>
        <v>36803</v>
      </c>
      <c r="AB31" s="426">
        <f t="shared" si="22"/>
        <v>0</v>
      </c>
      <c r="AC31" s="581">
        <f t="shared" si="11"/>
        <v>1172182</v>
      </c>
      <c r="AD31" s="426">
        <f t="shared" si="40"/>
        <v>0</v>
      </c>
      <c r="AE31" s="448">
        <f t="shared" si="12"/>
        <v>0</v>
      </c>
      <c r="AF31" s="449">
        <f t="shared" si="4"/>
        <v>0</v>
      </c>
      <c r="AG31" s="441">
        <f t="shared" si="39"/>
        <v>0</v>
      </c>
      <c r="AJ31" s="541"/>
      <c r="AK31" s="542"/>
      <c r="AL31" s="542"/>
      <c r="AM31" s="542"/>
      <c r="AN31" s="542"/>
    </row>
    <row r="32" spans="1:40">
      <c r="A32" s="434">
        <f>'General information '!F33</f>
        <v>0</v>
      </c>
      <c r="B32" s="428">
        <f t="shared" ref="B32:B34" si="50">SUM(230*A32)</f>
        <v>0</v>
      </c>
      <c r="C32" s="435">
        <v>44894</v>
      </c>
      <c r="D32" s="581">
        <v>407930</v>
      </c>
      <c r="E32" s="570">
        <f t="shared" si="7"/>
        <v>820</v>
      </c>
      <c r="F32" s="581">
        <v>4183618</v>
      </c>
      <c r="G32" s="447">
        <f t="shared" si="32"/>
        <v>440</v>
      </c>
      <c r="H32" s="581">
        <v>18098330</v>
      </c>
      <c r="I32" s="447">
        <f t="shared" si="33"/>
        <v>484</v>
      </c>
      <c r="J32" s="581">
        <v>29881562</v>
      </c>
      <c r="K32" s="447">
        <f t="shared" si="34"/>
        <v>1308</v>
      </c>
      <c r="L32" s="581">
        <v>24702322</v>
      </c>
      <c r="M32" s="447">
        <f t="shared" ref="M32:M34" si="51">L32-L31</f>
        <v>828</v>
      </c>
      <c r="N32" s="296">
        <f t="shared" ref="N32:N34" si="52">M32+K32+I32+G32+E32</f>
        <v>3880</v>
      </c>
      <c r="O32" s="443">
        <f t="shared" ref="O32:O34" si="53">IF(B32&gt;0,N32/B32,0)</f>
        <v>0</v>
      </c>
      <c r="P32" s="606">
        <v>19651.862000000001</v>
      </c>
      <c r="Q32" s="444">
        <f t="shared" ref="Q32:Q34" si="54">(P32-P31)*1000</f>
        <v>3966.0000000003492</v>
      </c>
      <c r="R32" s="582">
        <f t="shared" ref="R32:R34" si="55">N32-Q32</f>
        <v>-86.000000000349246</v>
      </c>
      <c r="S32" s="424">
        <f t="shared" si="8"/>
        <v>10175</v>
      </c>
      <c r="T32" s="445">
        <f t="shared" si="2"/>
        <v>0</v>
      </c>
      <c r="U32" s="424">
        <f t="shared" si="9"/>
        <v>429166</v>
      </c>
      <c r="V32" s="447">
        <f>U32-U31</f>
        <v>0</v>
      </c>
      <c r="W32" s="581">
        <f>[3]ELEC!$W$34</f>
        <v>33498</v>
      </c>
      <c r="X32" s="446">
        <f t="shared" ref="X32:X34" si="56">W32-W31</f>
        <v>0</v>
      </c>
      <c r="Y32" s="581">
        <f>[3]ELEC!$Y$34</f>
        <v>999659</v>
      </c>
      <c r="Z32" s="426">
        <f t="shared" ref="Z32:Z34" si="57">Y32-Y31</f>
        <v>0</v>
      </c>
      <c r="AA32" s="581">
        <f t="shared" si="10"/>
        <v>36803</v>
      </c>
      <c r="AB32" s="426">
        <f t="shared" ref="AB32:AB34" si="58">AA32-AA31</f>
        <v>0</v>
      </c>
      <c r="AC32" s="581">
        <f t="shared" si="11"/>
        <v>1172182</v>
      </c>
      <c r="AD32" s="426">
        <f t="shared" ref="AD32:AD34" si="59">AC32-AC31</f>
        <v>0</v>
      </c>
      <c r="AE32" s="448">
        <f t="shared" ref="AE32:AE34" si="60">AB32+X32+T32</f>
        <v>0</v>
      </c>
      <c r="AF32" s="449">
        <f t="shared" ref="AF32:AF34" si="61">V32+Z32+AD32</f>
        <v>0</v>
      </c>
      <c r="AG32" s="441">
        <f t="shared" si="39"/>
        <v>0</v>
      </c>
      <c r="AJ32" s="541"/>
      <c r="AK32" s="542"/>
      <c r="AL32" s="542"/>
      <c r="AM32" s="542"/>
      <c r="AN32" s="542"/>
    </row>
    <row r="33" spans="1:40">
      <c r="A33" s="434">
        <f>'General information '!F34</f>
        <v>0</v>
      </c>
      <c r="B33" s="428">
        <f t="shared" si="50"/>
        <v>0</v>
      </c>
      <c r="C33" s="435">
        <v>44895</v>
      </c>
      <c r="D33" s="581">
        <v>408650</v>
      </c>
      <c r="E33" s="570">
        <f t="shared" si="7"/>
        <v>720</v>
      </c>
      <c r="F33" s="581">
        <v>4184058</v>
      </c>
      <c r="G33" s="447">
        <f t="shared" si="32"/>
        <v>440</v>
      </c>
      <c r="H33" s="581">
        <v>18098788</v>
      </c>
      <c r="I33" s="447">
        <f t="shared" si="33"/>
        <v>458</v>
      </c>
      <c r="J33" s="581">
        <v>29882776</v>
      </c>
      <c r="K33" s="447">
        <f t="shared" si="34"/>
        <v>1214</v>
      </c>
      <c r="L33" s="581">
        <v>24703062</v>
      </c>
      <c r="M33" s="447">
        <f t="shared" si="51"/>
        <v>740</v>
      </c>
      <c r="N33" s="296">
        <f t="shared" si="52"/>
        <v>3572</v>
      </c>
      <c r="O33" s="443">
        <f t="shared" si="53"/>
        <v>0</v>
      </c>
      <c r="P33" s="606">
        <v>19655.449000000001</v>
      </c>
      <c r="Q33" s="444">
        <f t="shared" si="54"/>
        <v>3586.9999999995343</v>
      </c>
      <c r="R33" s="582">
        <f>N33-Q33</f>
        <v>-14.999999999534339</v>
      </c>
      <c r="S33" s="424">
        <f t="shared" si="8"/>
        <v>10175</v>
      </c>
      <c r="T33" s="445">
        <f t="shared" si="2"/>
        <v>0</v>
      </c>
      <c r="U33" s="424">
        <f t="shared" si="9"/>
        <v>429166</v>
      </c>
      <c r="V33" s="426">
        <f t="shared" ref="V33" si="62">U33-U32</f>
        <v>0</v>
      </c>
      <c r="W33" s="581">
        <f>[3]ELEC!$W$34</f>
        <v>33498</v>
      </c>
      <c r="X33" s="446">
        <f t="shared" si="56"/>
        <v>0</v>
      </c>
      <c r="Y33" s="581">
        <f>[3]ELEC!$Y$34</f>
        <v>999659</v>
      </c>
      <c r="Z33" s="426">
        <f t="shared" si="57"/>
        <v>0</v>
      </c>
      <c r="AA33" s="581">
        <f t="shared" si="10"/>
        <v>36803</v>
      </c>
      <c r="AB33" s="426">
        <f t="shared" si="58"/>
        <v>0</v>
      </c>
      <c r="AC33" s="581">
        <f t="shared" si="11"/>
        <v>1172182</v>
      </c>
      <c r="AD33" s="426">
        <f t="shared" si="59"/>
        <v>0</v>
      </c>
      <c r="AE33" s="448">
        <f t="shared" si="60"/>
        <v>0</v>
      </c>
      <c r="AF33" s="449">
        <f t="shared" si="61"/>
        <v>0</v>
      </c>
      <c r="AG33" s="441">
        <f>IF(AE33&gt;0,AF33/AE33,0)</f>
        <v>0</v>
      </c>
      <c r="AJ33" s="541"/>
      <c r="AK33" s="542"/>
      <c r="AL33" s="542"/>
      <c r="AM33" s="542"/>
      <c r="AN33" s="542"/>
    </row>
    <row r="34" spans="1:40">
      <c r="A34" s="434">
        <f>'General information '!F35</f>
        <v>0</v>
      </c>
      <c r="B34" s="428">
        <f t="shared" si="50"/>
        <v>0</v>
      </c>
      <c r="C34" s="435">
        <v>44896</v>
      </c>
      <c r="D34" s="581">
        <f t="shared" si="24"/>
        <v>408650</v>
      </c>
      <c r="E34" s="570">
        <f t="shared" si="7"/>
        <v>0</v>
      </c>
      <c r="F34" s="581">
        <f t="shared" si="25"/>
        <v>4184058</v>
      </c>
      <c r="G34" s="447">
        <f t="shared" si="32"/>
        <v>0</v>
      </c>
      <c r="H34" s="581">
        <f t="shared" si="26"/>
        <v>18098788</v>
      </c>
      <c r="I34" s="447">
        <f t="shared" si="33"/>
        <v>0</v>
      </c>
      <c r="J34" s="581">
        <f t="shared" si="27"/>
        <v>29882776</v>
      </c>
      <c r="K34" s="447">
        <f t="shared" si="34"/>
        <v>0</v>
      </c>
      <c r="L34" s="581">
        <f t="shared" si="28"/>
        <v>24703062</v>
      </c>
      <c r="M34" s="447">
        <f t="shared" si="51"/>
        <v>0</v>
      </c>
      <c r="N34" s="296">
        <f t="shared" si="52"/>
        <v>0</v>
      </c>
      <c r="O34" s="443">
        <f t="shared" si="53"/>
        <v>0</v>
      </c>
      <c r="P34" s="606">
        <f t="shared" si="29"/>
        <v>19655.449000000001</v>
      </c>
      <c r="Q34" s="444">
        <f t="shared" si="54"/>
        <v>0</v>
      </c>
      <c r="R34" s="582">
        <f t="shared" si="55"/>
        <v>0</v>
      </c>
      <c r="S34" s="424">
        <f t="shared" si="8"/>
        <v>10175</v>
      </c>
      <c r="T34" s="445">
        <f t="shared" si="2"/>
        <v>0</v>
      </c>
      <c r="U34" s="424">
        <f t="shared" si="9"/>
        <v>429166</v>
      </c>
      <c r="V34" s="447">
        <f>U34-U33</f>
        <v>0</v>
      </c>
      <c r="W34" s="581">
        <f>[3]ELEC!$W$34</f>
        <v>33498</v>
      </c>
      <c r="X34" s="446">
        <f t="shared" si="56"/>
        <v>0</v>
      </c>
      <c r="Y34" s="581">
        <f>[3]ELEC!$Y$34</f>
        <v>999659</v>
      </c>
      <c r="Z34" s="426">
        <f t="shared" si="57"/>
        <v>0</v>
      </c>
      <c r="AA34" s="581">
        <f t="shared" si="10"/>
        <v>36803</v>
      </c>
      <c r="AB34" s="426">
        <f t="shared" si="58"/>
        <v>0</v>
      </c>
      <c r="AC34" s="581">
        <f t="shared" si="11"/>
        <v>1172182</v>
      </c>
      <c r="AD34" s="426">
        <f t="shared" si="59"/>
        <v>0</v>
      </c>
      <c r="AE34" s="448">
        <f t="shared" si="60"/>
        <v>0</v>
      </c>
      <c r="AF34" s="449">
        <f t="shared" si="61"/>
        <v>0</v>
      </c>
      <c r="AG34" s="441">
        <f>IF(AE34&gt;0,AF34/AE34,0)</f>
        <v>0</v>
      </c>
      <c r="AJ34" s="541"/>
      <c r="AK34" s="542"/>
      <c r="AL34" s="542"/>
      <c r="AM34" s="542"/>
      <c r="AN34" s="542"/>
    </row>
    <row r="35" spans="1:40" s="557" customFormat="1">
      <c r="A35" s="547"/>
      <c r="B35" s="548"/>
      <c r="C35" s="549"/>
      <c r="D35" s="550"/>
      <c r="E35" s="550"/>
      <c r="F35" s="550"/>
      <c r="G35" s="551"/>
      <c r="H35" s="550"/>
      <c r="I35" s="551"/>
      <c r="J35" s="550"/>
      <c r="K35" s="551"/>
      <c r="L35" s="550"/>
      <c r="M35" s="551"/>
      <c r="N35" s="552"/>
      <c r="O35" s="553"/>
      <c r="P35" s="554"/>
      <c r="Q35" s="546"/>
      <c r="R35" s="546"/>
      <c r="S35" s="550"/>
      <c r="T35" s="555"/>
      <c r="U35" s="550"/>
      <c r="V35" s="546"/>
      <c r="W35" s="550"/>
      <c r="X35" s="546"/>
      <c r="Y35" s="550"/>
      <c r="Z35" s="546"/>
      <c r="AA35" s="550"/>
      <c r="AB35" s="546"/>
      <c r="AC35" s="550"/>
      <c r="AD35" s="546"/>
      <c r="AE35" s="546"/>
      <c r="AF35" s="546"/>
      <c r="AG35" s="556"/>
      <c r="AK35" s="546"/>
      <c r="AL35" s="546"/>
      <c r="AM35" s="546"/>
      <c r="AN35" s="54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N1" zoomScale="60" zoomScaleNormal="60" workbookViewId="0">
      <pane ySplit="1" topLeftCell="A2" activePane="bottomLeft" state="frozen"/>
      <selection activeCell="K1" sqref="K1"/>
      <selection pane="bottomLeft" activeCell="AF34" sqref="AF34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5" t="s">
        <v>2</v>
      </c>
      <c r="G1" s="616"/>
      <c r="H1" s="616"/>
      <c r="I1" s="617"/>
      <c r="J1" s="270">
        <f>J36</f>
        <v>67.179487179487197</v>
      </c>
      <c r="K1" s="618" t="s">
        <v>4</v>
      </c>
      <c r="L1" s="619"/>
      <c r="M1" s="619"/>
      <c r="N1" s="619"/>
      <c r="O1" s="620"/>
      <c r="P1" s="609" t="s">
        <v>6</v>
      </c>
      <c r="Q1" s="610"/>
      <c r="R1" s="610"/>
      <c r="S1" s="610"/>
      <c r="T1" s="611"/>
      <c r="U1" s="379"/>
      <c r="V1" s="27" t="s">
        <v>104</v>
      </c>
      <c r="W1" s="380"/>
      <c r="X1" s="609" t="s">
        <v>8</v>
      </c>
      <c r="Y1" s="610"/>
      <c r="Z1" s="610"/>
      <c r="AA1" s="610"/>
      <c r="AB1" s="610"/>
      <c r="AC1" s="612" t="s">
        <v>10</v>
      </c>
      <c r="AD1" s="613"/>
      <c r="AE1" s="613"/>
      <c r="AF1" s="614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7"/>
      <c r="R2" s="608"/>
      <c r="S2" s="52" t="s">
        <v>7</v>
      </c>
      <c r="T2" s="53"/>
      <c r="U2" s="383" t="s">
        <v>377</v>
      </c>
      <c r="V2" s="54" t="s">
        <v>103</v>
      </c>
      <c r="W2" s="381"/>
      <c r="X2" s="55" t="s">
        <v>8</v>
      </c>
      <c r="Y2" s="46" t="s">
        <v>9</v>
      </c>
      <c r="Z2" s="372" t="s">
        <v>373</v>
      </c>
      <c r="AA2" s="373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5"/>
      <c r="AK2" s="375"/>
      <c r="AL2" s="375"/>
      <c r="AM2" s="375"/>
      <c r="AN2" s="374"/>
      <c r="AO2" s="374"/>
      <c r="AP2" s="374"/>
      <c r="AQ2" s="374"/>
      <c r="AR2" s="374"/>
      <c r="AS2" s="374"/>
      <c r="AT2" s="374"/>
      <c r="AU2" s="374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3"/>
      <c r="V3" s="59"/>
      <c r="W3" s="38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f>[2]B5!$A$35</f>
        <v>44865</v>
      </c>
      <c r="B4" s="377">
        <f>[2]B5!B35</f>
        <v>241</v>
      </c>
      <c r="C4" s="377">
        <f>[2]B5!C35</f>
        <v>247</v>
      </c>
      <c r="D4" s="377">
        <f>[2]B5!D35</f>
        <v>3</v>
      </c>
      <c r="E4" s="377">
        <f>[2]B5!E35</f>
        <v>25.14</v>
      </c>
      <c r="F4" s="377">
        <f>[2]B5!F35</f>
        <v>2302</v>
      </c>
      <c r="G4" s="377">
        <f>[2]B5!G35</f>
        <v>2</v>
      </c>
      <c r="H4" s="377">
        <f>[2]B5!H35</f>
        <v>47963</v>
      </c>
      <c r="I4" s="377">
        <f>[2]B5!I35</f>
        <v>120</v>
      </c>
      <c r="J4" s="377">
        <f>[2]B5!J35</f>
        <v>60</v>
      </c>
      <c r="K4" s="377">
        <f>[2]B5!K35</f>
        <v>2467</v>
      </c>
      <c r="L4" s="377">
        <f>[2]B5!L35</f>
        <v>0</v>
      </c>
      <c r="M4" s="377">
        <f>[2]B5!M35</f>
        <v>183733</v>
      </c>
      <c r="N4" s="377">
        <f>[2]B5!N35</f>
        <v>0</v>
      </c>
      <c r="O4" s="377">
        <f>[2]B5!O35</f>
        <v>1869</v>
      </c>
      <c r="P4" s="377">
        <f>[2]B5!P35</f>
        <v>2232</v>
      </c>
      <c r="Q4" s="377">
        <f>[2]B5!Q35</f>
        <v>186523</v>
      </c>
      <c r="R4" s="377">
        <f>[2]B5!R35</f>
        <v>0</v>
      </c>
      <c r="S4" s="377">
        <f>[2]B5!S35</f>
        <v>0</v>
      </c>
      <c r="T4" s="377">
        <f>[2]B5!T35</f>
        <v>0</v>
      </c>
      <c r="U4" s="377">
        <f>[2]B5!U35</f>
        <v>2</v>
      </c>
      <c r="V4" s="377">
        <f>[2]B5!V35</f>
        <v>120</v>
      </c>
      <c r="W4" s="377">
        <f>[2]B5!W35</f>
        <v>0</v>
      </c>
      <c r="X4" s="377">
        <f>[2]B5!X35</f>
        <v>2498</v>
      </c>
      <c r="Y4" s="377">
        <f>[2]B5!Y35</f>
        <v>0</v>
      </c>
      <c r="Z4" s="377">
        <f>[2]B5!Z35</f>
        <v>141419</v>
      </c>
      <c r="AA4" s="377">
        <f>[2]B5!AA35</f>
        <v>0</v>
      </c>
      <c r="AB4" s="377">
        <f>[2]B5!AB35</f>
        <v>0</v>
      </c>
      <c r="AC4" s="377">
        <f>[2]B5!AC35</f>
        <v>1949</v>
      </c>
      <c r="AD4" s="377">
        <f>[2]B5!AD35</f>
        <v>0</v>
      </c>
      <c r="AE4" s="377">
        <f>[2]B5!AE35</f>
        <v>366687</v>
      </c>
      <c r="AF4" s="377">
        <f>[2]B5!AF35</f>
        <v>0</v>
      </c>
      <c r="AG4" s="377">
        <f>[2]B5!AG35</f>
        <v>0</v>
      </c>
      <c r="AH4" s="377">
        <f>[2]B5!AH35</f>
        <v>0</v>
      </c>
      <c r="AI4" s="377">
        <f>[2]B5!AI35</f>
        <v>120</v>
      </c>
      <c r="AJ4" s="377">
        <f>[2]B5!AJ35</f>
        <v>120</v>
      </c>
      <c r="AK4" s="377">
        <f>[2]B5!AK35</f>
        <v>0</v>
      </c>
      <c r="AL4" s="377">
        <f>[2]B5!AL35</f>
        <v>2</v>
      </c>
      <c r="AM4" s="377">
        <f>[2]B5!AM35</f>
        <v>0</v>
      </c>
      <c r="AN4" s="377">
        <f>[2]B5!AN35</f>
        <v>65</v>
      </c>
      <c r="AO4" s="377">
        <f>[2]B5!AO35</f>
        <v>1950</v>
      </c>
      <c r="AP4" s="377">
        <f>[2]B5!AP35</f>
        <v>35</v>
      </c>
      <c r="AQ4" s="377">
        <f>[2]B5!AQ35</f>
        <v>1050</v>
      </c>
      <c r="AR4" s="377">
        <f>[2]B5!AR35</f>
        <v>73</v>
      </c>
      <c r="AS4" s="377">
        <f>[2]B5!AS35</f>
        <v>2190</v>
      </c>
      <c r="AT4" s="377">
        <f>[2]B5!AT35</f>
        <v>5190</v>
      </c>
      <c r="AU4" s="377">
        <f>[2]B5!AU35</f>
        <v>0</v>
      </c>
      <c r="AV4" s="377">
        <f>[2]B5!AV35</f>
        <v>0</v>
      </c>
      <c r="AW4" s="377">
        <f>[2]B5!AW35</f>
        <v>0</v>
      </c>
      <c r="AX4" s="377">
        <f>[2]B5!AX35</f>
        <v>0.8</v>
      </c>
    </row>
    <row r="5" spans="1:52">
      <c r="A5" s="63">
        <f>ELEC!C4</f>
        <v>44866</v>
      </c>
      <c r="B5" s="64">
        <v>236</v>
      </c>
      <c r="C5" s="64">
        <v>243</v>
      </c>
      <c r="D5" s="45">
        <f>C4-C5</f>
        <v>4</v>
      </c>
      <c r="E5" s="45">
        <f>D5*8.38</f>
        <v>33.520000000000003</v>
      </c>
      <c r="F5" s="533">
        <v>2303</v>
      </c>
      <c r="G5" s="52">
        <f t="shared" ref="G5:G32" si="0">F5-F4</f>
        <v>1</v>
      </c>
      <c r="H5" s="533">
        <v>48028</v>
      </c>
      <c r="I5" s="378">
        <f t="shared" ref="I5:I32" si="1">SUM(H5-H4)</f>
        <v>65</v>
      </c>
      <c r="J5" s="66">
        <v>1</v>
      </c>
      <c r="K5" s="533">
        <v>2467</v>
      </c>
      <c r="L5" s="52">
        <f>K5-K4</f>
        <v>0</v>
      </c>
      <c r="M5" s="64">
        <v>183760</v>
      </c>
      <c r="N5" s="378">
        <f t="shared" ref="N5:N32" si="2">M5-M4</f>
        <v>27</v>
      </c>
      <c r="O5" s="64">
        <f t="shared" ref="O5:Q17" si="3">O4</f>
        <v>1869</v>
      </c>
      <c r="P5" s="533">
        <f>P4</f>
        <v>2232</v>
      </c>
      <c r="Q5" s="533">
        <f>Q4</f>
        <v>186523</v>
      </c>
      <c r="R5" s="37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4">
        <f>SUM(G5+L5+S5)</f>
        <v>1</v>
      </c>
      <c r="V5" s="62">
        <f>R5+N5+I5:I5</f>
        <v>92</v>
      </c>
      <c r="W5" s="382">
        <f>SUM(V5/U5)</f>
        <v>92</v>
      </c>
      <c r="X5" s="533">
        <f>X4</f>
        <v>2498</v>
      </c>
      <c r="Y5" s="52">
        <f>X5-X4</f>
        <v>0</v>
      </c>
      <c r="Z5" s="533">
        <f>Z4</f>
        <v>141419</v>
      </c>
      <c r="AA5" s="65">
        <f t="shared" ref="AA5:AA32" si="6">Z5-Z4</f>
        <v>0</v>
      </c>
      <c r="AB5" s="272">
        <f>SUM(Y5*$AB$2)</f>
        <v>0</v>
      </c>
      <c r="AC5" s="533">
        <f>AC4</f>
        <v>1949</v>
      </c>
      <c r="AD5" s="45">
        <f t="shared" ref="AD5:AD32" si="7">AC5-AC4</f>
        <v>0</v>
      </c>
      <c r="AE5" s="533">
        <v>366722</v>
      </c>
      <c r="AF5" s="292">
        <f>AE5-AE4</f>
        <v>35</v>
      </c>
      <c r="AG5" s="209">
        <f>IF(AD5&gt;0,AF5/AD5,0)</f>
        <v>0</v>
      </c>
      <c r="AH5" s="62">
        <f>AF5+AA5</f>
        <v>35</v>
      </c>
      <c r="AI5" s="302">
        <f>SUM(AH5+V5)</f>
        <v>127</v>
      </c>
      <c r="AJ5" s="302">
        <f>-tanks!AW6</f>
        <v>127</v>
      </c>
      <c r="AK5" s="302">
        <f>SUM(AJ5-AI5)</f>
        <v>0</v>
      </c>
      <c r="AL5" s="302">
        <f t="shared" ref="AL5:AL32" si="8">S5+L5+G5</f>
        <v>1</v>
      </c>
      <c r="AM5" s="302">
        <f>Y5+AD5</f>
        <v>0</v>
      </c>
      <c r="AN5" s="533">
        <f>AN4</f>
        <v>65</v>
      </c>
      <c r="AO5" s="304">
        <f>(AN5/100)*3000</f>
        <v>1950</v>
      </c>
      <c r="AP5" s="533">
        <f>AP4</f>
        <v>35</v>
      </c>
      <c r="AQ5" s="304">
        <f>(AP5/100)*3000</f>
        <v>1050</v>
      </c>
      <c r="AR5" s="533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0</v>
      </c>
      <c r="AV5" s="259"/>
      <c r="AW5" s="259"/>
      <c r="AX5" s="297">
        <f>IF(AV5&gt;0,AW5,AX4)</f>
        <v>0.8</v>
      </c>
    </row>
    <row r="6" spans="1:52">
      <c r="A6" s="63">
        <f>ELEC!C5</f>
        <v>44867</v>
      </c>
      <c r="B6" s="64">
        <v>231</v>
      </c>
      <c r="C6" s="64">
        <v>239</v>
      </c>
      <c r="D6" s="45">
        <f>C5-C6</f>
        <v>4</v>
      </c>
      <c r="E6" s="45">
        <f t="shared" ref="E6:E32" si="9">D6*8.38</f>
        <v>33.520000000000003</v>
      </c>
      <c r="F6" s="533">
        <f t="shared" ref="F6:F35" si="10">F5</f>
        <v>2303</v>
      </c>
      <c r="G6" s="52">
        <f t="shared" si="0"/>
        <v>0</v>
      </c>
      <c r="H6" s="533">
        <v>48041</v>
      </c>
      <c r="I6" s="378">
        <f t="shared" si="1"/>
        <v>13</v>
      </c>
      <c r="J6" s="66">
        <f t="shared" ref="J6:J32" si="11">IF(G6&gt;0,I6/G6,0)</f>
        <v>0</v>
      </c>
      <c r="K6" s="533">
        <v>2468</v>
      </c>
      <c r="L6" s="52">
        <f t="shared" ref="L6:L32" si="12">K6-K5</f>
        <v>1</v>
      </c>
      <c r="M6" s="64">
        <v>183882</v>
      </c>
      <c r="N6" s="378">
        <f t="shared" si="2"/>
        <v>122</v>
      </c>
      <c r="O6" s="64">
        <f t="shared" si="3"/>
        <v>1869</v>
      </c>
      <c r="P6" s="533">
        <f t="shared" si="3"/>
        <v>2232</v>
      </c>
      <c r="Q6" s="533">
        <f t="shared" si="3"/>
        <v>186523</v>
      </c>
      <c r="R6" s="377">
        <f t="shared" si="4"/>
        <v>0</v>
      </c>
      <c r="S6" s="52">
        <f t="shared" si="5"/>
        <v>0</v>
      </c>
      <c r="T6" s="67">
        <f>SUM(S6*$T$2)</f>
        <v>0</v>
      </c>
      <c r="U6" s="384">
        <f t="shared" ref="U6:U32" si="13">SUM(G6+L6+S6)</f>
        <v>1</v>
      </c>
      <c r="V6" s="62">
        <f t="shared" ref="V6:V32" si="14">R6+N6+I6:I6</f>
        <v>135</v>
      </c>
      <c r="W6" s="382">
        <f t="shared" ref="W6:W16" si="15">SUM(V6/U6)</f>
        <v>135</v>
      </c>
      <c r="X6" s="533">
        <f t="shared" ref="X6:X35" si="16">X5</f>
        <v>2498</v>
      </c>
      <c r="Y6" s="52">
        <f t="shared" ref="Y6:Y32" si="17">X6-X5</f>
        <v>0</v>
      </c>
      <c r="Z6" s="533">
        <f t="shared" ref="Z6:Z35" si="18">Z5</f>
        <v>141419</v>
      </c>
      <c r="AA6" s="65">
        <f t="shared" si="6"/>
        <v>0</v>
      </c>
      <c r="AB6" s="272">
        <f>SUM(Y6*$AB$2)</f>
        <v>0</v>
      </c>
      <c r="AC6" s="533">
        <f t="shared" ref="AC6:AC35" si="19">AC5</f>
        <v>1949</v>
      </c>
      <c r="AD6" s="45">
        <f t="shared" si="7"/>
        <v>0</v>
      </c>
      <c r="AE6" s="533">
        <f t="shared" ref="AE6:AE35" si="20">AE5</f>
        <v>366722</v>
      </c>
      <c r="AF6" s="292">
        <f t="shared" ref="AF6:AF32" si="21">AE6-AE5</f>
        <v>0</v>
      </c>
      <c r="AG6" s="209">
        <f>IF(AD6&gt;0,AF6/AD6,0)</f>
        <v>0</v>
      </c>
      <c r="AH6" s="62">
        <f>AF6+AA6</f>
        <v>0</v>
      </c>
      <c r="AI6" s="302">
        <f t="shared" ref="AI6:AI32" si="22">SUM(AH6+V6)</f>
        <v>135</v>
      </c>
      <c r="AJ6" s="302">
        <f>-tanks!AW7</f>
        <v>135</v>
      </c>
      <c r="AK6" s="302">
        <f t="shared" ref="AK6:AK32" si="23">SUM(AJ6-AI6)</f>
        <v>0</v>
      </c>
      <c r="AL6" s="302">
        <f t="shared" si="8"/>
        <v>1</v>
      </c>
      <c r="AM6" s="302">
        <f t="shared" ref="AM6:AM32" si="24">Y6+AD6</f>
        <v>0</v>
      </c>
      <c r="AN6" s="533">
        <f t="shared" ref="AN6:AN35" si="25">AN5</f>
        <v>65</v>
      </c>
      <c r="AO6" s="304">
        <f t="shared" ref="AO6:AO35" si="26">(AN6/100)*3000</f>
        <v>1950</v>
      </c>
      <c r="AP6" s="533">
        <f t="shared" ref="AP6:AP35" si="27">AP5</f>
        <v>35</v>
      </c>
      <c r="AQ6" s="304">
        <f t="shared" ref="AQ6:AQ24" si="28">(AP6/100)*3000</f>
        <v>1050</v>
      </c>
      <c r="AR6" s="533">
        <f t="shared" ref="AR6:AR35" si="29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30">IF(AV6&gt;0,AW6,AX5)</f>
        <v>0.8</v>
      </c>
    </row>
    <row r="7" spans="1:52">
      <c r="A7" s="63">
        <f>ELEC!C6</f>
        <v>44868</v>
      </c>
      <c r="B7" s="64">
        <v>250</v>
      </c>
      <c r="C7" s="64">
        <v>257</v>
      </c>
      <c r="D7" s="45">
        <f t="shared" ref="D7:D19" si="31">C6-C7</f>
        <v>-18</v>
      </c>
      <c r="E7" s="45">
        <f t="shared" si="9"/>
        <v>-150.84</v>
      </c>
      <c r="F7" s="533">
        <v>2304</v>
      </c>
      <c r="G7" s="52">
        <f t="shared" si="0"/>
        <v>1</v>
      </c>
      <c r="H7" s="533">
        <v>48088</v>
      </c>
      <c r="I7" s="378">
        <f t="shared" si="1"/>
        <v>47</v>
      </c>
      <c r="J7" s="66">
        <f t="shared" si="11"/>
        <v>47</v>
      </c>
      <c r="K7" s="533">
        <f t="shared" ref="K7:K35" si="32">K6</f>
        <v>2468</v>
      </c>
      <c r="L7" s="52">
        <f t="shared" si="12"/>
        <v>0</v>
      </c>
      <c r="M7" s="64">
        <f t="shared" ref="M7:M35" si="33">M6</f>
        <v>183882</v>
      </c>
      <c r="N7" s="378">
        <f t="shared" si="2"/>
        <v>0</v>
      </c>
      <c r="O7" s="64">
        <f t="shared" si="3"/>
        <v>1869</v>
      </c>
      <c r="P7" s="533">
        <f t="shared" si="3"/>
        <v>2232</v>
      </c>
      <c r="Q7" s="533">
        <f t="shared" si="3"/>
        <v>186523</v>
      </c>
      <c r="R7" s="377">
        <f t="shared" si="4"/>
        <v>0</v>
      </c>
      <c r="S7" s="52">
        <f t="shared" si="5"/>
        <v>0</v>
      </c>
      <c r="T7" s="67">
        <f t="shared" ref="T7:T32" si="34">SUM(S7*$T$2)</f>
        <v>0</v>
      </c>
      <c r="U7" s="384">
        <f t="shared" si="13"/>
        <v>1</v>
      </c>
      <c r="V7" s="62">
        <f>R7+N7+I7:I7</f>
        <v>47</v>
      </c>
      <c r="W7" s="382">
        <f t="shared" si="15"/>
        <v>47</v>
      </c>
      <c r="X7" s="533">
        <f t="shared" si="16"/>
        <v>2498</v>
      </c>
      <c r="Y7" s="52">
        <f t="shared" si="17"/>
        <v>0</v>
      </c>
      <c r="Z7" s="533">
        <f t="shared" si="18"/>
        <v>141419</v>
      </c>
      <c r="AA7" s="65">
        <f t="shared" si="6"/>
        <v>0</v>
      </c>
      <c r="AB7" s="272">
        <f t="shared" ref="AB7:AB17" si="35">SUM(Y7*$AB$2)</f>
        <v>0</v>
      </c>
      <c r="AC7" s="533">
        <f t="shared" si="19"/>
        <v>1949</v>
      </c>
      <c r="AD7" s="45">
        <f t="shared" si="7"/>
        <v>0</v>
      </c>
      <c r="AE7" s="533">
        <f t="shared" si="20"/>
        <v>366722</v>
      </c>
      <c r="AF7" s="292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2">
        <f t="shared" si="22"/>
        <v>47</v>
      </c>
      <c r="AJ7" s="302">
        <f>-tanks!AW8</f>
        <v>47</v>
      </c>
      <c r="AK7" s="302">
        <f t="shared" si="23"/>
        <v>0</v>
      </c>
      <c r="AL7" s="302">
        <f t="shared" si="8"/>
        <v>1</v>
      </c>
      <c r="AM7" s="302">
        <f t="shared" si="24"/>
        <v>0</v>
      </c>
      <c r="AN7" s="533">
        <f t="shared" si="25"/>
        <v>65</v>
      </c>
      <c r="AO7" s="304">
        <f t="shared" si="26"/>
        <v>1950</v>
      </c>
      <c r="AP7" s="533">
        <f t="shared" si="27"/>
        <v>35</v>
      </c>
      <c r="AQ7" s="304">
        <f t="shared" si="28"/>
        <v>1050</v>
      </c>
      <c r="AR7" s="533">
        <f t="shared" si="29"/>
        <v>73</v>
      </c>
      <c r="AS7" s="304">
        <f t="shared" ref="AS7:AS35" si="38">(AR7/100)*3000</f>
        <v>2190</v>
      </c>
      <c r="AT7" s="304">
        <f t="shared" ref="AT7:AT23" si="39">SUM(AO7+AQ7+AS7)</f>
        <v>5190</v>
      </c>
      <c r="AU7" s="304">
        <f t="shared" ref="AU7:AU35" si="40">AT6-AT7+AV7</f>
        <v>0</v>
      </c>
      <c r="AV7" s="259"/>
      <c r="AW7" s="259"/>
      <c r="AX7" s="297">
        <f t="shared" si="30"/>
        <v>0.8</v>
      </c>
      <c r="AZ7" s="42" t="s">
        <v>407</v>
      </c>
    </row>
    <row r="8" spans="1:52">
      <c r="A8" s="63">
        <f>ELEC!C7</f>
        <v>44869</v>
      </c>
      <c r="B8" s="64">
        <f t="shared" ref="B8:B35" si="41">B7</f>
        <v>250</v>
      </c>
      <c r="C8" s="64">
        <f t="shared" ref="C8:C35" si="42">C7</f>
        <v>257</v>
      </c>
      <c r="D8" s="45">
        <f t="shared" si="31"/>
        <v>0</v>
      </c>
      <c r="E8" s="45">
        <f t="shared" si="9"/>
        <v>0</v>
      </c>
      <c r="F8" s="533">
        <f t="shared" si="10"/>
        <v>2304</v>
      </c>
      <c r="G8" s="52">
        <f t="shared" si="0"/>
        <v>0</v>
      </c>
      <c r="H8" s="533">
        <f t="shared" ref="H8:H35" si="43">H7</f>
        <v>48088</v>
      </c>
      <c r="I8" s="378">
        <f t="shared" si="1"/>
        <v>0</v>
      </c>
      <c r="J8" s="66">
        <f t="shared" si="11"/>
        <v>0</v>
      </c>
      <c r="K8" s="533">
        <f t="shared" si="32"/>
        <v>2468</v>
      </c>
      <c r="L8" s="52">
        <f t="shared" si="12"/>
        <v>0</v>
      </c>
      <c r="M8" s="64">
        <f t="shared" si="33"/>
        <v>183882</v>
      </c>
      <c r="N8" s="378">
        <f t="shared" si="2"/>
        <v>0</v>
      </c>
      <c r="O8" s="64">
        <f t="shared" si="3"/>
        <v>1869</v>
      </c>
      <c r="P8" s="533">
        <f t="shared" si="3"/>
        <v>2232</v>
      </c>
      <c r="Q8" s="533">
        <f t="shared" si="3"/>
        <v>186523</v>
      </c>
      <c r="R8" s="377">
        <f t="shared" si="4"/>
        <v>0</v>
      </c>
      <c r="S8" s="52">
        <f t="shared" si="5"/>
        <v>0</v>
      </c>
      <c r="T8" s="67">
        <f t="shared" si="34"/>
        <v>0</v>
      </c>
      <c r="U8" s="384">
        <f t="shared" si="13"/>
        <v>0</v>
      </c>
      <c r="V8" s="62">
        <f>R8+N8+I8:I8</f>
        <v>0</v>
      </c>
      <c r="W8" s="382" t="e">
        <f t="shared" si="15"/>
        <v>#DIV/0!</v>
      </c>
      <c r="X8" s="533">
        <f t="shared" si="16"/>
        <v>2498</v>
      </c>
      <c r="Y8" s="52">
        <f t="shared" si="17"/>
        <v>0</v>
      </c>
      <c r="Z8" s="533">
        <f t="shared" si="18"/>
        <v>141419</v>
      </c>
      <c r="AA8" s="65">
        <f t="shared" si="6"/>
        <v>0</v>
      </c>
      <c r="AB8" s="272">
        <f t="shared" si="35"/>
        <v>0</v>
      </c>
      <c r="AC8" s="533">
        <f t="shared" si="19"/>
        <v>1949</v>
      </c>
      <c r="AD8" s="45">
        <f t="shared" si="7"/>
        <v>0</v>
      </c>
      <c r="AE8" s="533">
        <f t="shared" si="20"/>
        <v>366722</v>
      </c>
      <c r="AF8" s="292">
        <f t="shared" si="21"/>
        <v>0</v>
      </c>
      <c r="AG8" s="209">
        <f t="shared" si="36"/>
        <v>0</v>
      </c>
      <c r="AH8" s="62">
        <f t="shared" si="37"/>
        <v>0</v>
      </c>
      <c r="AI8" s="302">
        <f t="shared" si="22"/>
        <v>0</v>
      </c>
      <c r="AJ8" s="302">
        <f>-tanks!AW9</f>
        <v>0</v>
      </c>
      <c r="AK8" s="302">
        <f t="shared" si="23"/>
        <v>0</v>
      </c>
      <c r="AL8" s="302">
        <f t="shared" si="8"/>
        <v>0</v>
      </c>
      <c r="AM8" s="302">
        <f t="shared" si="24"/>
        <v>0</v>
      </c>
      <c r="AN8" s="533">
        <f t="shared" si="25"/>
        <v>65</v>
      </c>
      <c r="AO8" s="304">
        <f t="shared" si="26"/>
        <v>1950</v>
      </c>
      <c r="AP8" s="533">
        <f t="shared" si="27"/>
        <v>35</v>
      </c>
      <c r="AQ8" s="304">
        <f t="shared" si="28"/>
        <v>1050</v>
      </c>
      <c r="AR8" s="533">
        <f t="shared" si="29"/>
        <v>73</v>
      </c>
      <c r="AS8" s="304">
        <f t="shared" si="38"/>
        <v>2190</v>
      </c>
      <c r="AT8" s="304">
        <f t="shared" si="39"/>
        <v>5190</v>
      </c>
      <c r="AU8" s="304">
        <f t="shared" si="40"/>
        <v>0</v>
      </c>
      <c r="AV8" s="259"/>
      <c r="AW8" s="259"/>
      <c r="AX8" s="297">
        <f t="shared" si="30"/>
        <v>0.8</v>
      </c>
    </row>
    <row r="9" spans="1:52" ht="15.75" customHeight="1">
      <c r="A9" s="63">
        <f>ELEC!C8</f>
        <v>44870</v>
      </c>
      <c r="B9" s="64">
        <f t="shared" si="41"/>
        <v>250</v>
      </c>
      <c r="C9" s="64">
        <f t="shared" si="42"/>
        <v>257</v>
      </c>
      <c r="D9" s="45">
        <f t="shared" si="31"/>
        <v>0</v>
      </c>
      <c r="E9" s="45">
        <f t="shared" si="9"/>
        <v>0</v>
      </c>
      <c r="F9" s="533">
        <f t="shared" si="10"/>
        <v>2304</v>
      </c>
      <c r="G9" s="52">
        <f t="shared" si="0"/>
        <v>0</v>
      </c>
      <c r="H9" s="533">
        <f t="shared" si="43"/>
        <v>48088</v>
      </c>
      <c r="I9" s="378">
        <f t="shared" si="1"/>
        <v>0</v>
      </c>
      <c r="J9" s="66">
        <f t="shared" si="11"/>
        <v>0</v>
      </c>
      <c r="K9" s="533">
        <f t="shared" si="32"/>
        <v>2468</v>
      </c>
      <c r="L9" s="52">
        <f t="shared" si="12"/>
        <v>0</v>
      </c>
      <c r="M9" s="64">
        <f t="shared" si="33"/>
        <v>183882</v>
      </c>
      <c r="N9" s="378">
        <f t="shared" si="2"/>
        <v>0</v>
      </c>
      <c r="O9" s="64">
        <f t="shared" si="3"/>
        <v>1869</v>
      </c>
      <c r="P9" s="533">
        <f t="shared" si="3"/>
        <v>2232</v>
      </c>
      <c r="Q9" s="533">
        <f t="shared" si="3"/>
        <v>186523</v>
      </c>
      <c r="R9" s="377">
        <f t="shared" si="4"/>
        <v>0</v>
      </c>
      <c r="S9" s="52">
        <f t="shared" si="5"/>
        <v>0</v>
      </c>
      <c r="T9" s="67">
        <f t="shared" si="34"/>
        <v>0</v>
      </c>
      <c r="U9" s="384">
        <f t="shared" si="13"/>
        <v>0</v>
      </c>
      <c r="V9" s="62">
        <f t="shared" si="14"/>
        <v>0</v>
      </c>
      <c r="W9" s="382" t="e">
        <f t="shared" si="15"/>
        <v>#DIV/0!</v>
      </c>
      <c r="X9" s="533">
        <f t="shared" si="16"/>
        <v>2498</v>
      </c>
      <c r="Y9" s="52">
        <f t="shared" si="17"/>
        <v>0</v>
      </c>
      <c r="Z9" s="533">
        <f t="shared" si="18"/>
        <v>141419</v>
      </c>
      <c r="AA9" s="65">
        <f t="shared" si="6"/>
        <v>0</v>
      </c>
      <c r="AB9" s="272">
        <f t="shared" si="35"/>
        <v>0</v>
      </c>
      <c r="AC9" s="533">
        <f t="shared" si="19"/>
        <v>1949</v>
      </c>
      <c r="AD9" s="45">
        <f t="shared" si="7"/>
        <v>0</v>
      </c>
      <c r="AE9" s="533">
        <f t="shared" si="20"/>
        <v>366722</v>
      </c>
      <c r="AF9" s="292">
        <f t="shared" si="21"/>
        <v>0</v>
      </c>
      <c r="AG9" s="209">
        <f t="shared" si="36"/>
        <v>0</v>
      </c>
      <c r="AH9" s="62">
        <f t="shared" si="37"/>
        <v>0</v>
      </c>
      <c r="AI9" s="302">
        <f t="shared" si="22"/>
        <v>0</v>
      </c>
      <c r="AJ9" s="302">
        <f>-tanks!AW10</f>
        <v>0</v>
      </c>
      <c r="AK9" s="302">
        <f t="shared" si="23"/>
        <v>0</v>
      </c>
      <c r="AL9" s="302">
        <f t="shared" si="8"/>
        <v>0</v>
      </c>
      <c r="AM9" s="302">
        <f t="shared" si="24"/>
        <v>0</v>
      </c>
      <c r="AN9" s="533">
        <f t="shared" si="25"/>
        <v>65</v>
      </c>
      <c r="AO9" s="304">
        <f t="shared" si="26"/>
        <v>1950</v>
      </c>
      <c r="AP9" s="533">
        <f t="shared" si="27"/>
        <v>35</v>
      </c>
      <c r="AQ9" s="304">
        <f t="shared" si="28"/>
        <v>1050</v>
      </c>
      <c r="AR9" s="533">
        <f t="shared" si="29"/>
        <v>73</v>
      </c>
      <c r="AS9" s="304">
        <f>(AR9/100)*3000</f>
        <v>2190</v>
      </c>
      <c r="AT9" s="304">
        <f t="shared" si="39"/>
        <v>5190</v>
      </c>
      <c r="AU9" s="304">
        <f t="shared" si="40"/>
        <v>0</v>
      </c>
      <c r="AV9" s="259"/>
      <c r="AW9" s="259"/>
      <c r="AX9" s="297">
        <f t="shared" si="30"/>
        <v>0.8</v>
      </c>
    </row>
    <row r="10" spans="1:52">
      <c r="A10" s="63">
        <f>ELEC!C9</f>
        <v>44871</v>
      </c>
      <c r="B10" s="64">
        <v>246</v>
      </c>
      <c r="C10" s="64">
        <v>253</v>
      </c>
      <c r="D10" s="45">
        <f t="shared" si="31"/>
        <v>4</v>
      </c>
      <c r="E10" s="45">
        <f t="shared" si="9"/>
        <v>33.520000000000003</v>
      </c>
      <c r="F10" s="533">
        <v>2306</v>
      </c>
      <c r="G10" s="52">
        <f t="shared" si="0"/>
        <v>2</v>
      </c>
      <c r="H10" s="533">
        <v>48293</v>
      </c>
      <c r="I10" s="378">
        <f t="shared" si="1"/>
        <v>205</v>
      </c>
      <c r="J10" s="66">
        <f t="shared" si="11"/>
        <v>102.5</v>
      </c>
      <c r="K10" s="533">
        <f t="shared" si="32"/>
        <v>2468</v>
      </c>
      <c r="L10" s="52">
        <f t="shared" si="12"/>
        <v>0</v>
      </c>
      <c r="M10" s="64">
        <f t="shared" si="33"/>
        <v>183882</v>
      </c>
      <c r="N10" s="378">
        <f t="shared" si="2"/>
        <v>0</v>
      </c>
      <c r="O10" s="64">
        <f t="shared" si="3"/>
        <v>1869</v>
      </c>
      <c r="P10" s="533">
        <f t="shared" si="3"/>
        <v>2232</v>
      </c>
      <c r="Q10" s="533">
        <f t="shared" si="3"/>
        <v>186523</v>
      </c>
      <c r="R10" s="377">
        <f t="shared" si="4"/>
        <v>0</v>
      </c>
      <c r="S10" s="52">
        <f t="shared" si="5"/>
        <v>0</v>
      </c>
      <c r="T10" s="67">
        <f t="shared" si="34"/>
        <v>0</v>
      </c>
      <c r="U10" s="384">
        <f t="shared" si="13"/>
        <v>2</v>
      </c>
      <c r="V10" s="62">
        <f t="shared" si="14"/>
        <v>205</v>
      </c>
      <c r="W10" s="382">
        <f t="shared" si="15"/>
        <v>102.5</v>
      </c>
      <c r="X10" s="533">
        <f t="shared" si="16"/>
        <v>2498</v>
      </c>
      <c r="Y10" s="52">
        <f t="shared" si="17"/>
        <v>0</v>
      </c>
      <c r="Z10" s="533">
        <f t="shared" si="18"/>
        <v>141419</v>
      </c>
      <c r="AA10" s="65">
        <f t="shared" si="6"/>
        <v>0</v>
      </c>
      <c r="AB10" s="272">
        <f t="shared" si="35"/>
        <v>0</v>
      </c>
      <c r="AC10" s="533">
        <f t="shared" si="19"/>
        <v>1949</v>
      </c>
      <c r="AD10" s="45">
        <f t="shared" si="7"/>
        <v>0</v>
      </c>
      <c r="AE10" s="533">
        <f t="shared" si="20"/>
        <v>366722</v>
      </c>
      <c r="AF10" s="292">
        <f t="shared" si="21"/>
        <v>0</v>
      </c>
      <c r="AG10" s="209">
        <f t="shared" si="36"/>
        <v>0</v>
      </c>
      <c r="AH10" s="62">
        <f t="shared" si="37"/>
        <v>0</v>
      </c>
      <c r="AI10" s="302">
        <f>SUM(AH10+V10)</f>
        <v>205</v>
      </c>
      <c r="AJ10" s="302">
        <f>-tanks!AW11</f>
        <v>205</v>
      </c>
      <c r="AK10" s="302">
        <f t="shared" si="23"/>
        <v>0</v>
      </c>
      <c r="AL10" s="302">
        <f t="shared" si="8"/>
        <v>2</v>
      </c>
      <c r="AM10" s="302">
        <f t="shared" si="24"/>
        <v>0</v>
      </c>
      <c r="AN10" s="533">
        <f t="shared" si="25"/>
        <v>65</v>
      </c>
      <c r="AO10" s="304">
        <f t="shared" si="26"/>
        <v>1950</v>
      </c>
      <c r="AP10" s="533">
        <f t="shared" si="27"/>
        <v>35</v>
      </c>
      <c r="AQ10" s="304">
        <f t="shared" si="28"/>
        <v>1050</v>
      </c>
      <c r="AR10" s="533">
        <f t="shared" si="29"/>
        <v>73</v>
      </c>
      <c r="AS10" s="304">
        <f t="shared" si="38"/>
        <v>2190</v>
      </c>
      <c r="AT10" s="304">
        <f t="shared" si="39"/>
        <v>5190</v>
      </c>
      <c r="AU10" s="304">
        <f t="shared" si="40"/>
        <v>0</v>
      </c>
      <c r="AV10" s="259"/>
      <c r="AW10" s="259"/>
      <c r="AX10" s="297">
        <f t="shared" si="30"/>
        <v>0.8</v>
      </c>
    </row>
    <row r="11" spans="1:52">
      <c r="A11" s="63">
        <f>ELEC!C10</f>
        <v>44872</v>
      </c>
      <c r="B11" s="64">
        <v>242</v>
      </c>
      <c r="C11" s="64">
        <v>249</v>
      </c>
      <c r="D11" s="45">
        <f t="shared" si="31"/>
        <v>4</v>
      </c>
      <c r="E11" s="45">
        <f t="shared" si="9"/>
        <v>33.520000000000003</v>
      </c>
      <c r="F11" s="533">
        <f t="shared" si="10"/>
        <v>2306</v>
      </c>
      <c r="G11" s="52">
        <f t="shared" si="0"/>
        <v>0</v>
      </c>
      <c r="H11" s="533">
        <f t="shared" si="43"/>
        <v>48293</v>
      </c>
      <c r="I11" s="378">
        <f t="shared" si="1"/>
        <v>0</v>
      </c>
      <c r="J11" s="66">
        <f t="shared" si="11"/>
        <v>0</v>
      </c>
      <c r="K11" s="533">
        <f t="shared" si="32"/>
        <v>2468</v>
      </c>
      <c r="L11" s="52">
        <f t="shared" si="12"/>
        <v>0</v>
      </c>
      <c r="M11" s="64">
        <f t="shared" si="33"/>
        <v>183882</v>
      </c>
      <c r="N11" s="378">
        <f t="shared" si="2"/>
        <v>0</v>
      </c>
      <c r="O11" s="64">
        <f t="shared" si="3"/>
        <v>1869</v>
      </c>
      <c r="P11" s="533">
        <f t="shared" si="3"/>
        <v>2232</v>
      </c>
      <c r="Q11" s="533">
        <f t="shared" si="3"/>
        <v>186523</v>
      </c>
      <c r="R11" s="377">
        <f t="shared" ref="R11:R32" si="44">Q11-Q10</f>
        <v>0</v>
      </c>
      <c r="S11" s="52">
        <f t="shared" si="5"/>
        <v>0</v>
      </c>
      <c r="T11" s="67">
        <f t="shared" si="34"/>
        <v>0</v>
      </c>
      <c r="U11" s="384">
        <f t="shared" si="13"/>
        <v>0</v>
      </c>
      <c r="V11" s="62">
        <f t="shared" si="14"/>
        <v>0</v>
      </c>
      <c r="W11" s="382" t="e">
        <f t="shared" si="15"/>
        <v>#DIV/0!</v>
      </c>
      <c r="X11" s="533">
        <f t="shared" si="16"/>
        <v>2498</v>
      </c>
      <c r="Y11" s="52">
        <f t="shared" si="17"/>
        <v>0</v>
      </c>
      <c r="Z11" s="533">
        <f t="shared" si="18"/>
        <v>141419</v>
      </c>
      <c r="AA11" s="65">
        <f t="shared" si="6"/>
        <v>0</v>
      </c>
      <c r="AB11" s="272">
        <f t="shared" si="35"/>
        <v>0</v>
      </c>
      <c r="AC11" s="533">
        <f t="shared" si="19"/>
        <v>1949</v>
      </c>
      <c r="AD11" s="45">
        <f t="shared" si="7"/>
        <v>0</v>
      </c>
      <c r="AE11" s="533">
        <f t="shared" si="20"/>
        <v>366722</v>
      </c>
      <c r="AF11" s="292">
        <f t="shared" si="21"/>
        <v>0</v>
      </c>
      <c r="AG11" s="209">
        <f t="shared" si="36"/>
        <v>0</v>
      </c>
      <c r="AH11" s="62">
        <f>AF11+AA11</f>
        <v>0</v>
      </c>
      <c r="AI11" s="302">
        <f>SUM(AH11+V11)</f>
        <v>0</v>
      </c>
      <c r="AJ11" s="302">
        <f>-tanks!AW12</f>
        <v>0</v>
      </c>
      <c r="AK11" s="302">
        <f t="shared" si="23"/>
        <v>0</v>
      </c>
      <c r="AL11" s="302">
        <f t="shared" si="8"/>
        <v>0</v>
      </c>
      <c r="AM11" s="302">
        <f t="shared" si="24"/>
        <v>0</v>
      </c>
      <c r="AN11" s="533">
        <v>65</v>
      </c>
      <c r="AO11" s="304">
        <f t="shared" si="26"/>
        <v>1950</v>
      </c>
      <c r="AP11" s="533">
        <v>35</v>
      </c>
      <c r="AQ11" s="304">
        <f t="shared" si="28"/>
        <v>1050</v>
      </c>
      <c r="AR11" s="533">
        <f t="shared" si="29"/>
        <v>73</v>
      </c>
      <c r="AS11" s="304">
        <f t="shared" si="38"/>
        <v>2190</v>
      </c>
      <c r="AT11" s="304">
        <f t="shared" si="39"/>
        <v>5190</v>
      </c>
      <c r="AU11" s="304">
        <f t="shared" si="40"/>
        <v>0</v>
      </c>
      <c r="AV11" s="259"/>
      <c r="AW11" s="259"/>
      <c r="AX11" s="297">
        <f t="shared" si="30"/>
        <v>0.8</v>
      </c>
    </row>
    <row r="12" spans="1:52">
      <c r="A12" s="63">
        <f>ELEC!C11</f>
        <v>44873</v>
      </c>
      <c r="B12" s="64">
        <v>238</v>
      </c>
      <c r="C12" s="64">
        <v>246</v>
      </c>
      <c r="D12" s="45">
        <f t="shared" si="31"/>
        <v>3</v>
      </c>
      <c r="E12" s="45">
        <f t="shared" si="9"/>
        <v>25.14</v>
      </c>
      <c r="F12" s="533">
        <v>2307</v>
      </c>
      <c r="G12" s="52">
        <f t="shared" si="0"/>
        <v>1</v>
      </c>
      <c r="H12" s="533">
        <f t="shared" si="43"/>
        <v>48293</v>
      </c>
      <c r="I12" s="378">
        <f t="shared" si="1"/>
        <v>0</v>
      </c>
      <c r="J12" s="66">
        <f t="shared" si="11"/>
        <v>0</v>
      </c>
      <c r="K12" s="533">
        <f t="shared" si="32"/>
        <v>2468</v>
      </c>
      <c r="L12" s="52">
        <f t="shared" si="12"/>
        <v>0</v>
      </c>
      <c r="M12" s="64">
        <f t="shared" si="33"/>
        <v>183882</v>
      </c>
      <c r="N12" s="378">
        <f t="shared" si="2"/>
        <v>0</v>
      </c>
      <c r="O12" s="64">
        <f t="shared" si="3"/>
        <v>1869</v>
      </c>
      <c r="P12" s="533">
        <f t="shared" si="3"/>
        <v>2232</v>
      </c>
      <c r="Q12" s="533">
        <f t="shared" si="3"/>
        <v>186523</v>
      </c>
      <c r="R12" s="377">
        <f t="shared" si="44"/>
        <v>0</v>
      </c>
      <c r="S12" s="52">
        <f t="shared" si="5"/>
        <v>0</v>
      </c>
      <c r="T12" s="67">
        <f t="shared" si="34"/>
        <v>0</v>
      </c>
      <c r="U12" s="384">
        <f t="shared" si="13"/>
        <v>1</v>
      </c>
      <c r="V12" s="62">
        <f t="shared" si="14"/>
        <v>0</v>
      </c>
      <c r="W12" s="382">
        <f t="shared" si="15"/>
        <v>0</v>
      </c>
      <c r="X12" s="533">
        <f t="shared" si="16"/>
        <v>2498</v>
      </c>
      <c r="Y12" s="52">
        <f t="shared" si="17"/>
        <v>0</v>
      </c>
      <c r="Z12" s="533">
        <f t="shared" si="18"/>
        <v>141419</v>
      </c>
      <c r="AA12" s="65">
        <f t="shared" si="6"/>
        <v>0</v>
      </c>
      <c r="AB12" s="272">
        <f t="shared" si="35"/>
        <v>0</v>
      </c>
      <c r="AC12" s="533">
        <f t="shared" si="19"/>
        <v>1949</v>
      </c>
      <c r="AD12" s="45">
        <f t="shared" si="7"/>
        <v>0</v>
      </c>
      <c r="AE12" s="533">
        <f t="shared" si="20"/>
        <v>366722</v>
      </c>
      <c r="AF12" s="292">
        <f t="shared" si="21"/>
        <v>0</v>
      </c>
      <c r="AG12" s="209">
        <f t="shared" si="36"/>
        <v>0</v>
      </c>
      <c r="AH12" s="62">
        <f t="shared" si="37"/>
        <v>0</v>
      </c>
      <c r="AI12" s="302">
        <f t="shared" si="22"/>
        <v>0</v>
      </c>
      <c r="AJ12" s="302">
        <f>-tanks!AW13</f>
        <v>0</v>
      </c>
      <c r="AK12" s="302">
        <f t="shared" si="23"/>
        <v>0</v>
      </c>
      <c r="AL12" s="302">
        <f t="shared" si="8"/>
        <v>1</v>
      </c>
      <c r="AM12" s="302">
        <f t="shared" si="24"/>
        <v>0</v>
      </c>
      <c r="AN12" s="533">
        <f t="shared" si="25"/>
        <v>65</v>
      </c>
      <c r="AO12" s="304">
        <f t="shared" si="26"/>
        <v>1950</v>
      </c>
      <c r="AP12" s="533">
        <f t="shared" si="27"/>
        <v>35</v>
      </c>
      <c r="AQ12" s="304">
        <f t="shared" si="28"/>
        <v>1050</v>
      </c>
      <c r="AR12" s="533">
        <f t="shared" si="29"/>
        <v>73</v>
      </c>
      <c r="AS12" s="304">
        <f t="shared" si="38"/>
        <v>2190</v>
      </c>
      <c r="AT12" s="304">
        <f t="shared" si="39"/>
        <v>5190</v>
      </c>
      <c r="AU12" s="304">
        <f t="shared" si="40"/>
        <v>0</v>
      </c>
      <c r="AV12" s="259"/>
      <c r="AW12" s="259"/>
      <c r="AX12" s="297">
        <f t="shared" si="30"/>
        <v>0.8</v>
      </c>
    </row>
    <row r="13" spans="1:52">
      <c r="A13" s="63">
        <f>ELEC!C12</f>
        <v>44874</v>
      </c>
      <c r="B13" s="64">
        <v>235</v>
      </c>
      <c r="C13" s="64">
        <v>242</v>
      </c>
      <c r="D13" s="45">
        <f t="shared" si="31"/>
        <v>4</v>
      </c>
      <c r="E13" s="45">
        <f t="shared" si="9"/>
        <v>33.520000000000003</v>
      </c>
      <c r="F13" s="533">
        <v>2310</v>
      </c>
      <c r="G13" s="52">
        <f t="shared" si="0"/>
        <v>3</v>
      </c>
      <c r="H13" s="533">
        <v>48550</v>
      </c>
      <c r="I13" s="378">
        <f t="shared" si="1"/>
        <v>257</v>
      </c>
      <c r="J13" s="66">
        <f t="shared" si="11"/>
        <v>85.666666666666671</v>
      </c>
      <c r="K13" s="533">
        <f t="shared" si="32"/>
        <v>2468</v>
      </c>
      <c r="L13" s="52">
        <f t="shared" si="12"/>
        <v>0</v>
      </c>
      <c r="M13" s="64">
        <f t="shared" si="33"/>
        <v>183882</v>
      </c>
      <c r="N13" s="378">
        <f t="shared" si="2"/>
        <v>0</v>
      </c>
      <c r="O13" s="64">
        <f t="shared" si="3"/>
        <v>1869</v>
      </c>
      <c r="P13" s="533">
        <f t="shared" si="3"/>
        <v>2232</v>
      </c>
      <c r="Q13" s="533">
        <f t="shared" si="3"/>
        <v>186523</v>
      </c>
      <c r="R13" s="377">
        <f t="shared" si="44"/>
        <v>0</v>
      </c>
      <c r="S13" s="52">
        <f t="shared" si="5"/>
        <v>0</v>
      </c>
      <c r="T13" s="67">
        <f t="shared" si="34"/>
        <v>0</v>
      </c>
      <c r="U13" s="384">
        <f t="shared" si="13"/>
        <v>3</v>
      </c>
      <c r="V13" s="62">
        <f t="shared" si="14"/>
        <v>257</v>
      </c>
      <c r="W13" s="382">
        <f t="shared" si="15"/>
        <v>85.666666666666671</v>
      </c>
      <c r="X13" s="533">
        <f t="shared" si="16"/>
        <v>2498</v>
      </c>
      <c r="Y13" s="52">
        <f t="shared" si="17"/>
        <v>0</v>
      </c>
      <c r="Z13" s="533">
        <f t="shared" si="18"/>
        <v>141419</v>
      </c>
      <c r="AA13" s="272">
        <f t="shared" si="6"/>
        <v>0</v>
      </c>
      <c r="AB13" s="272">
        <f t="shared" si="35"/>
        <v>0</v>
      </c>
      <c r="AC13" s="533">
        <f t="shared" si="19"/>
        <v>1949</v>
      </c>
      <c r="AD13" s="45">
        <f t="shared" si="7"/>
        <v>0</v>
      </c>
      <c r="AE13" s="533">
        <f t="shared" si="20"/>
        <v>366722</v>
      </c>
      <c r="AF13" s="292">
        <f t="shared" si="21"/>
        <v>0</v>
      </c>
      <c r="AG13" s="209">
        <f t="shared" si="36"/>
        <v>0</v>
      </c>
      <c r="AH13" s="62">
        <f t="shared" si="37"/>
        <v>0</v>
      </c>
      <c r="AI13" s="302">
        <f t="shared" si="22"/>
        <v>257</v>
      </c>
      <c r="AJ13" s="302">
        <f>-tanks!AW14</f>
        <v>257</v>
      </c>
      <c r="AK13" s="302">
        <f t="shared" si="23"/>
        <v>0</v>
      </c>
      <c r="AL13" s="302">
        <f t="shared" si="8"/>
        <v>3</v>
      </c>
      <c r="AM13" s="302">
        <f t="shared" si="24"/>
        <v>0</v>
      </c>
      <c r="AN13" s="533">
        <f t="shared" si="25"/>
        <v>65</v>
      </c>
      <c r="AO13" s="304">
        <f t="shared" si="26"/>
        <v>1950</v>
      </c>
      <c r="AP13" s="533">
        <f t="shared" si="27"/>
        <v>35</v>
      </c>
      <c r="AQ13" s="304">
        <f t="shared" si="28"/>
        <v>1050</v>
      </c>
      <c r="AR13" s="533">
        <f t="shared" si="29"/>
        <v>73</v>
      </c>
      <c r="AS13" s="304">
        <f t="shared" si="38"/>
        <v>2190</v>
      </c>
      <c r="AT13" s="304">
        <f t="shared" si="39"/>
        <v>5190</v>
      </c>
      <c r="AU13" s="304">
        <f t="shared" si="40"/>
        <v>0</v>
      </c>
      <c r="AV13" s="259"/>
      <c r="AW13" s="259"/>
      <c r="AX13" s="297">
        <f t="shared" si="30"/>
        <v>0.8</v>
      </c>
    </row>
    <row r="14" spans="1:52">
      <c r="A14" s="63">
        <f>ELEC!C13</f>
        <v>44875</v>
      </c>
      <c r="B14" s="64">
        <v>232</v>
      </c>
      <c r="C14" s="64">
        <v>238</v>
      </c>
      <c r="D14" s="45">
        <f t="shared" si="31"/>
        <v>4</v>
      </c>
      <c r="E14" s="45">
        <f t="shared" si="9"/>
        <v>33.520000000000003</v>
      </c>
      <c r="F14" s="533">
        <v>2310</v>
      </c>
      <c r="G14" s="52">
        <f t="shared" si="0"/>
        <v>0</v>
      </c>
      <c r="H14" s="533">
        <v>48569</v>
      </c>
      <c r="I14" s="378">
        <f t="shared" si="1"/>
        <v>19</v>
      </c>
      <c r="J14" s="66">
        <f t="shared" si="11"/>
        <v>0</v>
      </c>
      <c r="K14" s="533">
        <v>2469</v>
      </c>
      <c r="L14" s="52">
        <f t="shared" si="12"/>
        <v>1</v>
      </c>
      <c r="M14" s="64">
        <v>183955</v>
      </c>
      <c r="N14" s="378">
        <f t="shared" si="2"/>
        <v>73</v>
      </c>
      <c r="O14" s="64">
        <f t="shared" si="3"/>
        <v>1869</v>
      </c>
      <c r="P14" s="533">
        <f t="shared" si="3"/>
        <v>2232</v>
      </c>
      <c r="Q14" s="533">
        <f t="shared" si="3"/>
        <v>186523</v>
      </c>
      <c r="R14" s="377">
        <f t="shared" si="44"/>
        <v>0</v>
      </c>
      <c r="S14" s="52">
        <f t="shared" si="5"/>
        <v>0</v>
      </c>
      <c r="T14" s="67">
        <f t="shared" si="34"/>
        <v>0</v>
      </c>
      <c r="U14" s="384">
        <f t="shared" si="13"/>
        <v>1</v>
      </c>
      <c r="V14" s="62">
        <f t="shared" si="14"/>
        <v>92</v>
      </c>
      <c r="W14" s="382">
        <f t="shared" si="15"/>
        <v>92</v>
      </c>
      <c r="X14" s="533">
        <f t="shared" si="16"/>
        <v>2498</v>
      </c>
      <c r="Y14" s="52">
        <f t="shared" si="17"/>
        <v>0</v>
      </c>
      <c r="Z14" s="533">
        <f t="shared" si="18"/>
        <v>141419</v>
      </c>
      <c r="AA14" s="65">
        <f t="shared" si="6"/>
        <v>0</v>
      </c>
      <c r="AB14" s="272">
        <f t="shared" si="35"/>
        <v>0</v>
      </c>
      <c r="AC14" s="533">
        <v>1950</v>
      </c>
      <c r="AD14" s="45">
        <f t="shared" si="7"/>
        <v>1</v>
      </c>
      <c r="AE14" s="533">
        <v>366852</v>
      </c>
      <c r="AF14" s="292">
        <f t="shared" si="21"/>
        <v>130</v>
      </c>
      <c r="AG14" s="209">
        <f t="shared" si="36"/>
        <v>130</v>
      </c>
      <c r="AH14" s="62">
        <f>AF14+AA14</f>
        <v>130</v>
      </c>
      <c r="AI14" s="302">
        <f>SUM(AH14+V14)</f>
        <v>222</v>
      </c>
      <c r="AJ14" s="302">
        <f>-tanks!AW15</f>
        <v>222</v>
      </c>
      <c r="AK14" s="302">
        <f t="shared" si="23"/>
        <v>0</v>
      </c>
      <c r="AL14" s="302">
        <f t="shared" si="8"/>
        <v>1</v>
      </c>
      <c r="AM14" s="302">
        <f t="shared" si="24"/>
        <v>1</v>
      </c>
      <c r="AN14" s="533">
        <f t="shared" si="25"/>
        <v>65</v>
      </c>
      <c r="AO14" s="304">
        <f t="shared" si="26"/>
        <v>1950</v>
      </c>
      <c r="AP14" s="533">
        <f t="shared" si="27"/>
        <v>35</v>
      </c>
      <c r="AQ14" s="304">
        <f t="shared" si="28"/>
        <v>1050</v>
      </c>
      <c r="AR14" s="533">
        <f t="shared" si="29"/>
        <v>73</v>
      </c>
      <c r="AS14" s="304">
        <f t="shared" si="38"/>
        <v>2190</v>
      </c>
      <c r="AT14" s="304">
        <f t="shared" si="39"/>
        <v>5190</v>
      </c>
      <c r="AU14" s="304">
        <f t="shared" si="40"/>
        <v>0</v>
      </c>
      <c r="AV14" s="259"/>
      <c r="AW14" s="259"/>
      <c r="AX14" s="297">
        <f t="shared" si="30"/>
        <v>0.8</v>
      </c>
    </row>
    <row r="15" spans="1:52" ht="15" customHeight="1">
      <c r="A15" s="63">
        <f>ELEC!C14</f>
        <v>44876</v>
      </c>
      <c r="B15" s="64">
        <f t="shared" si="41"/>
        <v>232</v>
      </c>
      <c r="C15" s="64">
        <f t="shared" si="42"/>
        <v>238</v>
      </c>
      <c r="D15" s="45">
        <f t="shared" si="31"/>
        <v>0</v>
      </c>
      <c r="E15" s="45">
        <f t="shared" si="9"/>
        <v>0</v>
      </c>
      <c r="F15" s="533">
        <f t="shared" si="10"/>
        <v>2310</v>
      </c>
      <c r="G15" s="52">
        <f t="shared" si="0"/>
        <v>0</v>
      </c>
      <c r="H15" s="533">
        <f t="shared" si="43"/>
        <v>48569</v>
      </c>
      <c r="I15" s="378">
        <f t="shared" si="1"/>
        <v>0</v>
      </c>
      <c r="J15" s="66">
        <f t="shared" si="11"/>
        <v>0</v>
      </c>
      <c r="K15" s="533">
        <f t="shared" si="32"/>
        <v>2469</v>
      </c>
      <c r="L15" s="52">
        <f t="shared" si="12"/>
        <v>0</v>
      </c>
      <c r="M15" s="64">
        <f t="shared" si="33"/>
        <v>183955</v>
      </c>
      <c r="N15" s="378">
        <f t="shared" si="2"/>
        <v>0</v>
      </c>
      <c r="O15" s="64">
        <f t="shared" si="3"/>
        <v>1869</v>
      </c>
      <c r="P15" s="533">
        <f t="shared" si="3"/>
        <v>2232</v>
      </c>
      <c r="Q15" s="533">
        <f t="shared" ref="Q15:Q35" si="45">Q14</f>
        <v>186523</v>
      </c>
      <c r="R15" s="377">
        <f t="shared" si="44"/>
        <v>0</v>
      </c>
      <c r="S15" s="52">
        <f t="shared" si="5"/>
        <v>0</v>
      </c>
      <c r="T15" s="67">
        <f t="shared" si="34"/>
        <v>0</v>
      </c>
      <c r="U15" s="384">
        <f t="shared" si="13"/>
        <v>0</v>
      </c>
      <c r="V15" s="62">
        <f t="shared" si="14"/>
        <v>0</v>
      </c>
      <c r="W15" s="382" t="e">
        <f t="shared" si="15"/>
        <v>#DIV/0!</v>
      </c>
      <c r="X15" s="533">
        <f t="shared" si="16"/>
        <v>2498</v>
      </c>
      <c r="Y15" s="52">
        <f t="shared" si="17"/>
        <v>0</v>
      </c>
      <c r="Z15" s="533">
        <f t="shared" si="18"/>
        <v>141419</v>
      </c>
      <c r="AA15" s="65">
        <f t="shared" si="6"/>
        <v>0</v>
      </c>
      <c r="AB15" s="272">
        <f t="shared" si="35"/>
        <v>0</v>
      </c>
      <c r="AC15" s="533">
        <f t="shared" si="19"/>
        <v>1950</v>
      </c>
      <c r="AD15" s="45">
        <f t="shared" si="7"/>
        <v>0</v>
      </c>
      <c r="AE15" s="533">
        <f t="shared" si="20"/>
        <v>366852</v>
      </c>
      <c r="AF15" s="292">
        <f t="shared" si="21"/>
        <v>0</v>
      </c>
      <c r="AG15" s="209">
        <f t="shared" si="36"/>
        <v>0</v>
      </c>
      <c r="AH15" s="62">
        <f t="shared" si="37"/>
        <v>0</v>
      </c>
      <c r="AI15" s="302">
        <f t="shared" si="22"/>
        <v>0</v>
      </c>
      <c r="AJ15" s="302">
        <f>-tanks!AW16</f>
        <v>0</v>
      </c>
      <c r="AK15" s="302">
        <f t="shared" si="23"/>
        <v>0</v>
      </c>
      <c r="AL15" s="302">
        <f t="shared" si="8"/>
        <v>0</v>
      </c>
      <c r="AM15" s="302">
        <f t="shared" si="24"/>
        <v>0</v>
      </c>
      <c r="AN15" s="533">
        <f t="shared" si="25"/>
        <v>65</v>
      </c>
      <c r="AO15" s="304">
        <f t="shared" si="26"/>
        <v>1950</v>
      </c>
      <c r="AP15" s="533">
        <f t="shared" si="27"/>
        <v>35</v>
      </c>
      <c r="AQ15" s="304">
        <f t="shared" si="28"/>
        <v>1050</v>
      </c>
      <c r="AR15" s="533">
        <f t="shared" si="29"/>
        <v>73</v>
      </c>
      <c r="AS15" s="304">
        <f t="shared" si="38"/>
        <v>2190</v>
      </c>
      <c r="AT15" s="304">
        <f t="shared" si="39"/>
        <v>5190</v>
      </c>
      <c r="AU15" s="304">
        <f t="shared" si="40"/>
        <v>0</v>
      </c>
      <c r="AV15" s="259"/>
      <c r="AW15" s="259"/>
      <c r="AX15" s="297">
        <f t="shared" si="30"/>
        <v>0.8</v>
      </c>
    </row>
    <row r="16" spans="1:52">
      <c r="A16" s="63">
        <f>ELEC!C15</f>
        <v>44877</v>
      </c>
      <c r="B16" s="64">
        <f t="shared" si="41"/>
        <v>232</v>
      </c>
      <c r="C16" s="64">
        <f t="shared" si="42"/>
        <v>238</v>
      </c>
      <c r="D16" s="45">
        <f t="shared" si="31"/>
        <v>0</v>
      </c>
      <c r="E16" s="45">
        <f t="shared" si="9"/>
        <v>0</v>
      </c>
      <c r="F16" s="533">
        <f t="shared" si="10"/>
        <v>2310</v>
      </c>
      <c r="G16" s="52">
        <f t="shared" si="0"/>
        <v>0</v>
      </c>
      <c r="H16" s="533">
        <f t="shared" si="43"/>
        <v>48569</v>
      </c>
      <c r="I16" s="378">
        <f t="shared" si="1"/>
        <v>0</v>
      </c>
      <c r="J16" s="66">
        <f t="shared" si="11"/>
        <v>0</v>
      </c>
      <c r="K16" s="533">
        <f t="shared" si="32"/>
        <v>2469</v>
      </c>
      <c r="L16" s="52">
        <f t="shared" si="12"/>
        <v>0</v>
      </c>
      <c r="M16" s="64">
        <f t="shared" si="33"/>
        <v>183955</v>
      </c>
      <c r="N16" s="378">
        <f t="shared" si="2"/>
        <v>0</v>
      </c>
      <c r="O16" s="64">
        <f t="shared" si="3"/>
        <v>1869</v>
      </c>
      <c r="P16" s="533">
        <f t="shared" si="3"/>
        <v>2232</v>
      </c>
      <c r="Q16" s="533">
        <f t="shared" si="45"/>
        <v>186523</v>
      </c>
      <c r="R16" s="377">
        <f t="shared" si="44"/>
        <v>0</v>
      </c>
      <c r="S16" s="52">
        <f t="shared" si="5"/>
        <v>0</v>
      </c>
      <c r="T16" s="67">
        <f t="shared" si="34"/>
        <v>0</v>
      </c>
      <c r="U16" s="384">
        <f t="shared" si="13"/>
        <v>0</v>
      </c>
      <c r="V16" s="62">
        <f t="shared" si="14"/>
        <v>0</v>
      </c>
      <c r="W16" s="382" t="e">
        <f t="shared" si="15"/>
        <v>#DIV/0!</v>
      </c>
      <c r="X16" s="533">
        <f t="shared" si="16"/>
        <v>2498</v>
      </c>
      <c r="Y16" s="52">
        <f t="shared" si="17"/>
        <v>0</v>
      </c>
      <c r="Z16" s="533">
        <f t="shared" si="18"/>
        <v>141419</v>
      </c>
      <c r="AA16" s="65">
        <f t="shared" si="6"/>
        <v>0</v>
      </c>
      <c r="AB16" s="272">
        <f t="shared" si="35"/>
        <v>0</v>
      </c>
      <c r="AC16" s="533">
        <f t="shared" si="19"/>
        <v>1950</v>
      </c>
      <c r="AD16" s="45">
        <f t="shared" si="7"/>
        <v>0</v>
      </c>
      <c r="AE16" s="533">
        <f t="shared" si="20"/>
        <v>366852</v>
      </c>
      <c r="AF16" s="292">
        <f t="shared" si="21"/>
        <v>0</v>
      </c>
      <c r="AG16" s="209">
        <f t="shared" si="36"/>
        <v>0</v>
      </c>
      <c r="AH16" s="62">
        <f t="shared" si="37"/>
        <v>0</v>
      </c>
      <c r="AI16" s="302">
        <f t="shared" si="22"/>
        <v>0</v>
      </c>
      <c r="AJ16" s="302">
        <f>-tanks!AW17</f>
        <v>0</v>
      </c>
      <c r="AK16" s="302">
        <f t="shared" si="23"/>
        <v>0</v>
      </c>
      <c r="AL16" s="302">
        <f t="shared" si="8"/>
        <v>0</v>
      </c>
      <c r="AM16" s="302">
        <f t="shared" si="24"/>
        <v>0</v>
      </c>
      <c r="AN16" s="533">
        <f t="shared" si="25"/>
        <v>65</v>
      </c>
      <c r="AO16" s="304">
        <f t="shared" si="26"/>
        <v>1950</v>
      </c>
      <c r="AP16" s="533">
        <f t="shared" si="27"/>
        <v>35</v>
      </c>
      <c r="AQ16" s="304">
        <f t="shared" si="28"/>
        <v>1050</v>
      </c>
      <c r="AR16" s="533">
        <f t="shared" si="29"/>
        <v>73</v>
      </c>
      <c r="AS16" s="304">
        <f t="shared" si="38"/>
        <v>2190</v>
      </c>
      <c r="AT16" s="304">
        <f t="shared" si="39"/>
        <v>5190</v>
      </c>
      <c r="AU16" s="304">
        <f t="shared" si="40"/>
        <v>0</v>
      </c>
      <c r="AV16" s="259"/>
      <c r="AW16" s="259"/>
      <c r="AX16" s="297">
        <f t="shared" si="30"/>
        <v>0.8</v>
      </c>
    </row>
    <row r="17" spans="1:50">
      <c r="A17" s="63">
        <f>ELEC!C16</f>
        <v>44878</v>
      </c>
      <c r="B17" s="64">
        <v>228</v>
      </c>
      <c r="C17" s="64">
        <v>235</v>
      </c>
      <c r="D17" s="45">
        <f t="shared" si="31"/>
        <v>3</v>
      </c>
      <c r="E17" s="45">
        <f t="shared" si="9"/>
        <v>25.14</v>
      </c>
      <c r="F17" s="533">
        <v>2312</v>
      </c>
      <c r="G17" s="52">
        <f t="shared" si="0"/>
        <v>2</v>
      </c>
      <c r="H17" s="533">
        <v>48730</v>
      </c>
      <c r="I17" s="378">
        <f t="shared" si="1"/>
        <v>161</v>
      </c>
      <c r="J17" s="66">
        <f t="shared" si="11"/>
        <v>80.5</v>
      </c>
      <c r="K17" s="533">
        <f t="shared" si="32"/>
        <v>2469</v>
      </c>
      <c r="L17" s="52">
        <f t="shared" si="12"/>
        <v>0</v>
      </c>
      <c r="M17" s="64">
        <f t="shared" si="33"/>
        <v>183955</v>
      </c>
      <c r="N17" s="378">
        <f t="shared" si="2"/>
        <v>0</v>
      </c>
      <c r="O17" s="64">
        <f t="shared" si="3"/>
        <v>1869</v>
      </c>
      <c r="P17" s="533">
        <f t="shared" si="3"/>
        <v>2232</v>
      </c>
      <c r="Q17" s="533">
        <f t="shared" si="45"/>
        <v>186523</v>
      </c>
      <c r="R17" s="377">
        <f t="shared" si="44"/>
        <v>0</v>
      </c>
      <c r="S17" s="52">
        <f t="shared" si="5"/>
        <v>0</v>
      </c>
      <c r="T17" s="67">
        <f t="shared" si="34"/>
        <v>0</v>
      </c>
      <c r="U17" s="384">
        <f t="shared" si="13"/>
        <v>2</v>
      </c>
      <c r="V17" s="62">
        <f t="shared" si="14"/>
        <v>161</v>
      </c>
      <c r="W17" s="382"/>
      <c r="X17" s="533">
        <f t="shared" si="16"/>
        <v>2498</v>
      </c>
      <c r="Y17" s="52">
        <f t="shared" si="17"/>
        <v>0</v>
      </c>
      <c r="Z17" s="533">
        <f t="shared" si="18"/>
        <v>141419</v>
      </c>
      <c r="AA17" s="65">
        <f t="shared" si="6"/>
        <v>0</v>
      </c>
      <c r="AB17" s="272">
        <f t="shared" si="35"/>
        <v>0</v>
      </c>
      <c r="AC17" s="533">
        <f t="shared" si="19"/>
        <v>1950</v>
      </c>
      <c r="AD17" s="45">
        <f t="shared" si="7"/>
        <v>0</v>
      </c>
      <c r="AE17" s="533">
        <f t="shared" si="20"/>
        <v>366852</v>
      </c>
      <c r="AF17" s="292">
        <f t="shared" si="21"/>
        <v>0</v>
      </c>
      <c r="AG17" s="209">
        <f t="shared" si="36"/>
        <v>0</v>
      </c>
      <c r="AH17" s="62">
        <f t="shared" si="37"/>
        <v>0</v>
      </c>
      <c r="AI17" s="302">
        <f t="shared" si="22"/>
        <v>161</v>
      </c>
      <c r="AJ17" s="302">
        <f>-tanks!AW18</f>
        <v>161</v>
      </c>
      <c r="AK17" s="302">
        <f t="shared" si="23"/>
        <v>0</v>
      </c>
      <c r="AL17" s="302">
        <f t="shared" si="8"/>
        <v>2</v>
      </c>
      <c r="AM17" s="302">
        <f t="shared" si="24"/>
        <v>0</v>
      </c>
      <c r="AN17" s="533">
        <f t="shared" si="25"/>
        <v>65</v>
      </c>
      <c r="AO17" s="304">
        <f t="shared" si="26"/>
        <v>1950</v>
      </c>
      <c r="AP17" s="533">
        <f t="shared" si="27"/>
        <v>35</v>
      </c>
      <c r="AQ17" s="304">
        <f t="shared" si="28"/>
        <v>1050</v>
      </c>
      <c r="AR17" s="533">
        <f t="shared" si="29"/>
        <v>73</v>
      </c>
      <c r="AS17" s="304">
        <f t="shared" si="38"/>
        <v>2190</v>
      </c>
      <c r="AT17" s="304">
        <f t="shared" si="39"/>
        <v>5190</v>
      </c>
      <c r="AU17" s="304">
        <f t="shared" si="40"/>
        <v>0</v>
      </c>
      <c r="AV17" s="259"/>
      <c r="AW17" s="259"/>
      <c r="AX17" s="297">
        <f t="shared" si="30"/>
        <v>0.8</v>
      </c>
    </row>
    <row r="18" spans="1:50">
      <c r="A18" s="63">
        <f>ELEC!C17</f>
        <v>44879</v>
      </c>
      <c r="B18" s="64">
        <v>225</v>
      </c>
      <c r="C18" s="64">
        <v>231</v>
      </c>
      <c r="D18" s="45">
        <f t="shared" si="31"/>
        <v>4</v>
      </c>
      <c r="E18" s="45">
        <f t="shared" si="9"/>
        <v>33.520000000000003</v>
      </c>
      <c r="F18" s="533">
        <v>2314</v>
      </c>
      <c r="G18" s="52">
        <f t="shared" si="0"/>
        <v>2</v>
      </c>
      <c r="H18" s="533">
        <v>48883</v>
      </c>
      <c r="I18" s="378">
        <f t="shared" si="1"/>
        <v>153</v>
      </c>
      <c r="J18" s="66">
        <f t="shared" si="11"/>
        <v>76.5</v>
      </c>
      <c r="K18" s="533">
        <f t="shared" si="32"/>
        <v>2469</v>
      </c>
      <c r="L18" s="52">
        <f t="shared" si="12"/>
        <v>0</v>
      </c>
      <c r="M18" s="64">
        <f t="shared" si="33"/>
        <v>183955</v>
      </c>
      <c r="N18" s="378">
        <f t="shared" si="2"/>
        <v>0</v>
      </c>
      <c r="O18" s="64">
        <v>1869</v>
      </c>
      <c r="P18" s="533">
        <f t="shared" ref="P18:P35" si="46">P17</f>
        <v>2232</v>
      </c>
      <c r="Q18" s="533">
        <f t="shared" si="45"/>
        <v>186523</v>
      </c>
      <c r="R18" s="377">
        <f t="shared" si="44"/>
        <v>0</v>
      </c>
      <c r="S18" s="52">
        <f t="shared" si="5"/>
        <v>0</v>
      </c>
      <c r="T18" s="67">
        <f t="shared" si="34"/>
        <v>0</v>
      </c>
      <c r="U18" s="384">
        <f t="shared" si="13"/>
        <v>2</v>
      </c>
      <c r="V18" s="62">
        <f t="shared" si="14"/>
        <v>153</v>
      </c>
      <c r="W18" s="382"/>
      <c r="X18" s="533">
        <f t="shared" si="16"/>
        <v>2498</v>
      </c>
      <c r="Y18" s="52">
        <f t="shared" si="17"/>
        <v>0</v>
      </c>
      <c r="Z18" s="533">
        <f t="shared" si="18"/>
        <v>141419</v>
      </c>
      <c r="AA18" s="65">
        <f t="shared" si="6"/>
        <v>0</v>
      </c>
      <c r="AB18" s="272">
        <f t="shared" ref="AB18:AB23" si="47">SUM(Y18*$AB$2)</f>
        <v>0</v>
      </c>
      <c r="AC18" s="533">
        <f t="shared" si="19"/>
        <v>1950</v>
      </c>
      <c r="AD18" s="45">
        <f t="shared" si="7"/>
        <v>0</v>
      </c>
      <c r="AE18" s="533">
        <f t="shared" si="20"/>
        <v>366852</v>
      </c>
      <c r="AF18" s="292">
        <f t="shared" si="21"/>
        <v>0</v>
      </c>
      <c r="AG18" s="209">
        <f t="shared" si="36"/>
        <v>0</v>
      </c>
      <c r="AH18" s="62">
        <f t="shared" si="37"/>
        <v>0</v>
      </c>
      <c r="AI18" s="302">
        <f t="shared" si="22"/>
        <v>153</v>
      </c>
      <c r="AJ18" s="302">
        <f>-tanks!AW19</f>
        <v>153</v>
      </c>
      <c r="AK18" s="302">
        <f t="shared" si="23"/>
        <v>0</v>
      </c>
      <c r="AL18" s="302">
        <f t="shared" si="8"/>
        <v>2</v>
      </c>
      <c r="AM18" s="302">
        <f t="shared" si="24"/>
        <v>0</v>
      </c>
      <c r="AN18" s="533">
        <f t="shared" si="25"/>
        <v>65</v>
      </c>
      <c r="AO18" s="304">
        <f t="shared" si="26"/>
        <v>1950</v>
      </c>
      <c r="AP18" s="533">
        <f t="shared" si="27"/>
        <v>35</v>
      </c>
      <c r="AQ18" s="304">
        <f t="shared" si="28"/>
        <v>1050</v>
      </c>
      <c r="AR18" s="533">
        <f t="shared" si="29"/>
        <v>73</v>
      </c>
      <c r="AS18" s="304">
        <f t="shared" si="38"/>
        <v>2190</v>
      </c>
      <c r="AT18" s="304">
        <f t="shared" si="39"/>
        <v>5190</v>
      </c>
      <c r="AU18" s="304">
        <f t="shared" si="40"/>
        <v>0</v>
      </c>
      <c r="AV18" s="259"/>
      <c r="AW18" s="259"/>
      <c r="AX18" s="297">
        <f t="shared" si="30"/>
        <v>0.8</v>
      </c>
    </row>
    <row r="19" spans="1:50">
      <c r="A19" s="63">
        <f>ELEC!C18</f>
        <v>44880</v>
      </c>
      <c r="B19" s="64">
        <v>222</v>
      </c>
      <c r="C19" s="64">
        <v>228</v>
      </c>
      <c r="D19" s="45">
        <f t="shared" si="31"/>
        <v>3</v>
      </c>
      <c r="E19" s="45">
        <f t="shared" si="9"/>
        <v>25.14</v>
      </c>
      <c r="F19" s="533">
        <v>2315</v>
      </c>
      <c r="G19" s="52">
        <f t="shared" si="0"/>
        <v>1</v>
      </c>
      <c r="H19" s="533">
        <v>48947</v>
      </c>
      <c r="I19" s="378">
        <f t="shared" si="1"/>
        <v>64</v>
      </c>
      <c r="J19" s="66">
        <f t="shared" si="11"/>
        <v>64</v>
      </c>
      <c r="K19" s="533">
        <f t="shared" si="32"/>
        <v>2469</v>
      </c>
      <c r="L19" s="52">
        <f t="shared" si="12"/>
        <v>0</v>
      </c>
      <c r="M19" s="64">
        <f t="shared" si="33"/>
        <v>183955</v>
      </c>
      <c r="N19" s="378">
        <f t="shared" si="2"/>
        <v>0</v>
      </c>
      <c r="O19" s="64">
        <f t="shared" ref="O19:O35" si="48">O18</f>
        <v>1869</v>
      </c>
      <c r="P19" s="533">
        <f t="shared" si="46"/>
        <v>2232</v>
      </c>
      <c r="Q19" s="533">
        <f t="shared" si="45"/>
        <v>186523</v>
      </c>
      <c r="R19" s="377">
        <f t="shared" si="44"/>
        <v>0</v>
      </c>
      <c r="S19" s="52">
        <f t="shared" si="5"/>
        <v>0</v>
      </c>
      <c r="T19" s="67">
        <f t="shared" si="34"/>
        <v>0</v>
      </c>
      <c r="U19" s="384">
        <f t="shared" si="13"/>
        <v>1</v>
      </c>
      <c r="V19" s="62">
        <f t="shared" si="14"/>
        <v>64</v>
      </c>
      <c r="W19" s="382"/>
      <c r="X19" s="533">
        <f t="shared" si="16"/>
        <v>2498</v>
      </c>
      <c r="Y19" s="52">
        <f t="shared" si="17"/>
        <v>0</v>
      </c>
      <c r="Z19" s="533">
        <f t="shared" si="18"/>
        <v>141419</v>
      </c>
      <c r="AA19" s="65">
        <f t="shared" si="6"/>
        <v>0</v>
      </c>
      <c r="AB19" s="272">
        <f t="shared" si="47"/>
        <v>0</v>
      </c>
      <c r="AC19" s="533">
        <f t="shared" si="19"/>
        <v>1950</v>
      </c>
      <c r="AD19" s="45">
        <f t="shared" si="7"/>
        <v>0</v>
      </c>
      <c r="AE19" s="533">
        <f t="shared" si="20"/>
        <v>366852</v>
      </c>
      <c r="AF19" s="292">
        <f t="shared" si="21"/>
        <v>0</v>
      </c>
      <c r="AG19" s="209">
        <f t="shared" si="36"/>
        <v>0</v>
      </c>
      <c r="AH19" s="62">
        <f t="shared" si="37"/>
        <v>0</v>
      </c>
      <c r="AI19" s="302">
        <f t="shared" si="22"/>
        <v>64</v>
      </c>
      <c r="AJ19" s="302">
        <f>-tanks!AW20</f>
        <v>64</v>
      </c>
      <c r="AK19" s="302">
        <f t="shared" si="23"/>
        <v>0</v>
      </c>
      <c r="AL19" s="302">
        <f t="shared" si="8"/>
        <v>1</v>
      </c>
      <c r="AM19" s="302">
        <f t="shared" si="24"/>
        <v>0</v>
      </c>
      <c r="AN19" s="533">
        <f t="shared" si="25"/>
        <v>65</v>
      </c>
      <c r="AO19" s="304">
        <f t="shared" si="26"/>
        <v>1950</v>
      </c>
      <c r="AP19" s="533">
        <f t="shared" si="27"/>
        <v>35</v>
      </c>
      <c r="AQ19" s="304">
        <f t="shared" si="28"/>
        <v>1050</v>
      </c>
      <c r="AR19" s="533">
        <f t="shared" si="29"/>
        <v>73</v>
      </c>
      <c r="AS19" s="304">
        <f t="shared" si="38"/>
        <v>2190</v>
      </c>
      <c r="AT19" s="304">
        <f t="shared" si="39"/>
        <v>5190</v>
      </c>
      <c r="AU19" s="304">
        <f t="shared" si="40"/>
        <v>0</v>
      </c>
      <c r="AV19" s="259"/>
      <c r="AW19" s="259"/>
      <c r="AX19" s="297">
        <f t="shared" si="30"/>
        <v>0.8</v>
      </c>
    </row>
    <row r="20" spans="1:50">
      <c r="A20" s="63">
        <f>ELEC!C19</f>
        <v>44881</v>
      </c>
      <c r="B20" s="64">
        <v>238</v>
      </c>
      <c r="C20" s="64">
        <v>245</v>
      </c>
      <c r="D20" s="45">
        <f>C19-C20</f>
        <v>-17</v>
      </c>
      <c r="E20" s="45">
        <f t="shared" si="9"/>
        <v>-142.46</v>
      </c>
      <c r="F20" s="533">
        <v>2317</v>
      </c>
      <c r="G20" s="52">
        <f t="shared" si="0"/>
        <v>2</v>
      </c>
      <c r="H20" s="533">
        <v>49082</v>
      </c>
      <c r="I20" s="378">
        <f t="shared" si="1"/>
        <v>135</v>
      </c>
      <c r="J20" s="66">
        <f t="shared" si="11"/>
        <v>67.5</v>
      </c>
      <c r="K20" s="533">
        <f t="shared" si="32"/>
        <v>2469</v>
      </c>
      <c r="L20" s="52">
        <f t="shared" si="12"/>
        <v>0</v>
      </c>
      <c r="M20" s="64">
        <f t="shared" si="33"/>
        <v>183955</v>
      </c>
      <c r="N20" s="378">
        <f t="shared" si="2"/>
        <v>0</v>
      </c>
      <c r="O20" s="64">
        <f t="shared" si="48"/>
        <v>1869</v>
      </c>
      <c r="P20" s="533">
        <f t="shared" si="46"/>
        <v>2232</v>
      </c>
      <c r="Q20" s="533">
        <f t="shared" si="45"/>
        <v>186523</v>
      </c>
      <c r="R20" s="377">
        <f t="shared" si="44"/>
        <v>0</v>
      </c>
      <c r="S20" s="52">
        <f t="shared" si="5"/>
        <v>0</v>
      </c>
      <c r="T20" s="67">
        <f t="shared" si="34"/>
        <v>0</v>
      </c>
      <c r="U20" s="384">
        <f t="shared" si="13"/>
        <v>2</v>
      </c>
      <c r="V20" s="62">
        <f t="shared" si="14"/>
        <v>135</v>
      </c>
      <c r="W20" s="382"/>
      <c r="X20" s="533">
        <f t="shared" si="16"/>
        <v>2498</v>
      </c>
      <c r="Y20" s="52">
        <f t="shared" si="17"/>
        <v>0</v>
      </c>
      <c r="Z20" s="533">
        <f t="shared" si="18"/>
        <v>141419</v>
      </c>
      <c r="AA20" s="65">
        <f t="shared" si="6"/>
        <v>0</v>
      </c>
      <c r="AB20" s="272">
        <f t="shared" si="47"/>
        <v>0</v>
      </c>
      <c r="AC20" s="533">
        <v>1951</v>
      </c>
      <c r="AD20" s="45">
        <f t="shared" si="7"/>
        <v>1</v>
      </c>
      <c r="AE20" s="533">
        <v>366915</v>
      </c>
      <c r="AF20" s="292">
        <f t="shared" si="21"/>
        <v>63</v>
      </c>
      <c r="AG20" s="209">
        <f t="shared" si="36"/>
        <v>63</v>
      </c>
      <c r="AH20" s="62">
        <f t="shared" si="37"/>
        <v>63</v>
      </c>
      <c r="AI20" s="302">
        <f t="shared" si="22"/>
        <v>198</v>
      </c>
      <c r="AJ20" s="302">
        <f>-tanks!AW21</f>
        <v>198</v>
      </c>
      <c r="AK20" s="302">
        <f t="shared" si="23"/>
        <v>0</v>
      </c>
      <c r="AL20" s="302">
        <f t="shared" si="8"/>
        <v>2</v>
      </c>
      <c r="AM20" s="302">
        <f t="shared" si="24"/>
        <v>1</v>
      </c>
      <c r="AN20" s="533">
        <f t="shared" si="25"/>
        <v>65</v>
      </c>
      <c r="AO20" s="304">
        <f t="shared" si="26"/>
        <v>1950</v>
      </c>
      <c r="AP20" s="533">
        <f t="shared" si="27"/>
        <v>35</v>
      </c>
      <c r="AQ20" s="304">
        <f t="shared" si="28"/>
        <v>1050</v>
      </c>
      <c r="AR20" s="533">
        <f t="shared" si="29"/>
        <v>73</v>
      </c>
      <c r="AS20" s="304">
        <f t="shared" si="38"/>
        <v>2190</v>
      </c>
      <c r="AT20" s="304">
        <f t="shared" si="39"/>
        <v>5190</v>
      </c>
      <c r="AU20" s="304">
        <f t="shared" si="40"/>
        <v>0</v>
      </c>
      <c r="AV20" s="259"/>
      <c r="AW20" s="259"/>
      <c r="AX20" s="297">
        <f t="shared" si="30"/>
        <v>0.8</v>
      </c>
    </row>
    <row r="21" spans="1:50">
      <c r="A21" s="63">
        <f>ELEC!C20</f>
        <v>44882</v>
      </c>
      <c r="B21" s="64">
        <v>234</v>
      </c>
      <c r="C21" s="64">
        <v>241</v>
      </c>
      <c r="D21" s="45">
        <f t="shared" ref="D21:D32" si="49">C20-C21</f>
        <v>4</v>
      </c>
      <c r="E21" s="45">
        <f t="shared" si="9"/>
        <v>33.520000000000003</v>
      </c>
      <c r="F21" s="533">
        <f t="shared" si="10"/>
        <v>2317</v>
      </c>
      <c r="G21" s="52">
        <f t="shared" si="0"/>
        <v>0</v>
      </c>
      <c r="H21" s="533">
        <v>49121</v>
      </c>
      <c r="I21" s="378">
        <f t="shared" si="1"/>
        <v>39</v>
      </c>
      <c r="J21" s="66">
        <f t="shared" si="11"/>
        <v>0</v>
      </c>
      <c r="K21" s="533">
        <v>2471</v>
      </c>
      <c r="L21" s="52">
        <f t="shared" si="12"/>
        <v>2</v>
      </c>
      <c r="M21" s="64">
        <v>184066</v>
      </c>
      <c r="N21" s="378">
        <f t="shared" si="2"/>
        <v>111</v>
      </c>
      <c r="O21" s="64">
        <f t="shared" si="48"/>
        <v>1869</v>
      </c>
      <c r="P21" s="533">
        <f t="shared" si="46"/>
        <v>2232</v>
      </c>
      <c r="Q21" s="533">
        <f t="shared" si="45"/>
        <v>186523</v>
      </c>
      <c r="R21" s="377">
        <f t="shared" si="44"/>
        <v>0</v>
      </c>
      <c r="S21" s="52">
        <f t="shared" si="5"/>
        <v>0</v>
      </c>
      <c r="T21" s="67">
        <f t="shared" si="34"/>
        <v>0</v>
      </c>
      <c r="U21" s="384">
        <f t="shared" si="13"/>
        <v>2</v>
      </c>
      <c r="V21" s="62">
        <f t="shared" si="14"/>
        <v>150</v>
      </c>
      <c r="W21" s="382"/>
      <c r="X21" s="533">
        <f t="shared" si="16"/>
        <v>2498</v>
      </c>
      <c r="Y21" s="52">
        <f t="shared" si="17"/>
        <v>0</v>
      </c>
      <c r="Z21" s="533">
        <f t="shared" si="18"/>
        <v>141419</v>
      </c>
      <c r="AA21" s="65">
        <f t="shared" si="6"/>
        <v>0</v>
      </c>
      <c r="AB21" s="272">
        <f t="shared" si="47"/>
        <v>0</v>
      </c>
      <c r="AC21" s="533">
        <f t="shared" si="19"/>
        <v>1951</v>
      </c>
      <c r="AD21" s="45">
        <f t="shared" si="7"/>
        <v>0</v>
      </c>
      <c r="AE21" s="533">
        <f t="shared" si="20"/>
        <v>366915</v>
      </c>
      <c r="AF21" s="292">
        <f t="shared" si="21"/>
        <v>0</v>
      </c>
      <c r="AG21" s="209">
        <f t="shared" si="36"/>
        <v>0</v>
      </c>
      <c r="AH21" s="62">
        <f t="shared" si="37"/>
        <v>0</v>
      </c>
      <c r="AI21" s="302">
        <f t="shared" si="22"/>
        <v>150</v>
      </c>
      <c r="AJ21" s="302">
        <f>-tanks!AW22</f>
        <v>150</v>
      </c>
      <c r="AK21" s="302">
        <f t="shared" si="23"/>
        <v>0</v>
      </c>
      <c r="AL21" s="302">
        <f t="shared" si="8"/>
        <v>2</v>
      </c>
      <c r="AM21" s="302">
        <f t="shared" si="24"/>
        <v>0</v>
      </c>
      <c r="AN21" s="533">
        <f t="shared" si="25"/>
        <v>65</v>
      </c>
      <c r="AO21" s="304">
        <f t="shared" si="26"/>
        <v>1950</v>
      </c>
      <c r="AP21" s="533">
        <f t="shared" si="27"/>
        <v>35</v>
      </c>
      <c r="AQ21" s="304">
        <f t="shared" si="28"/>
        <v>1050</v>
      </c>
      <c r="AR21" s="533">
        <f t="shared" si="29"/>
        <v>73</v>
      </c>
      <c r="AS21" s="304">
        <f t="shared" si="38"/>
        <v>2190</v>
      </c>
      <c r="AT21" s="304">
        <f t="shared" si="39"/>
        <v>5190</v>
      </c>
      <c r="AU21" s="304">
        <f t="shared" si="40"/>
        <v>0</v>
      </c>
      <c r="AV21" s="259"/>
      <c r="AW21" s="259"/>
      <c r="AX21" s="297">
        <f t="shared" si="30"/>
        <v>0.8</v>
      </c>
    </row>
    <row r="22" spans="1:50" ht="16.5" customHeight="1">
      <c r="A22" s="63">
        <f>ELEC!C21</f>
        <v>44883</v>
      </c>
      <c r="B22" s="64">
        <f t="shared" si="41"/>
        <v>234</v>
      </c>
      <c r="C22" s="64">
        <f t="shared" si="42"/>
        <v>241</v>
      </c>
      <c r="D22" s="45">
        <f t="shared" si="49"/>
        <v>0</v>
      </c>
      <c r="E22" s="45">
        <f t="shared" si="9"/>
        <v>0</v>
      </c>
      <c r="F22" s="533">
        <f t="shared" si="10"/>
        <v>2317</v>
      </c>
      <c r="G22" s="52">
        <f t="shared" si="0"/>
        <v>0</v>
      </c>
      <c r="H22" s="533">
        <f t="shared" si="43"/>
        <v>49121</v>
      </c>
      <c r="I22" s="378">
        <f t="shared" si="1"/>
        <v>0</v>
      </c>
      <c r="J22" s="66">
        <f t="shared" si="11"/>
        <v>0</v>
      </c>
      <c r="K22" s="533">
        <f t="shared" si="32"/>
        <v>2471</v>
      </c>
      <c r="L22" s="52">
        <f t="shared" si="12"/>
        <v>0</v>
      </c>
      <c r="M22" s="64">
        <f t="shared" si="33"/>
        <v>184066</v>
      </c>
      <c r="N22" s="378">
        <f t="shared" si="2"/>
        <v>0</v>
      </c>
      <c r="O22" s="64">
        <f t="shared" si="48"/>
        <v>1869</v>
      </c>
      <c r="P22" s="533">
        <f t="shared" si="46"/>
        <v>2232</v>
      </c>
      <c r="Q22" s="533">
        <f t="shared" si="45"/>
        <v>186523</v>
      </c>
      <c r="R22" s="377">
        <f t="shared" si="44"/>
        <v>0</v>
      </c>
      <c r="S22" s="52">
        <f t="shared" si="5"/>
        <v>0</v>
      </c>
      <c r="T22" s="67">
        <f t="shared" si="34"/>
        <v>0</v>
      </c>
      <c r="U22" s="384">
        <f t="shared" si="13"/>
        <v>0</v>
      </c>
      <c r="V22" s="62">
        <f t="shared" si="14"/>
        <v>0</v>
      </c>
      <c r="W22" s="382"/>
      <c r="X22" s="533">
        <f t="shared" si="16"/>
        <v>2498</v>
      </c>
      <c r="Y22" s="52">
        <f t="shared" si="17"/>
        <v>0</v>
      </c>
      <c r="Z22" s="533">
        <f t="shared" si="18"/>
        <v>141419</v>
      </c>
      <c r="AA22" s="65">
        <f t="shared" si="6"/>
        <v>0</v>
      </c>
      <c r="AB22" s="272">
        <f t="shared" si="47"/>
        <v>0</v>
      </c>
      <c r="AC22" s="533">
        <f t="shared" si="19"/>
        <v>1951</v>
      </c>
      <c r="AD22" s="45">
        <f t="shared" si="7"/>
        <v>0</v>
      </c>
      <c r="AE22" s="533">
        <f t="shared" si="20"/>
        <v>366915</v>
      </c>
      <c r="AF22" s="292">
        <f t="shared" si="21"/>
        <v>0</v>
      </c>
      <c r="AG22" s="209">
        <f t="shared" si="36"/>
        <v>0</v>
      </c>
      <c r="AH22" s="62">
        <f t="shared" si="37"/>
        <v>0</v>
      </c>
      <c r="AI22" s="302">
        <f t="shared" si="22"/>
        <v>0</v>
      </c>
      <c r="AJ22" s="302">
        <f>-tanks!AW23</f>
        <v>0</v>
      </c>
      <c r="AK22" s="302">
        <f t="shared" si="23"/>
        <v>0</v>
      </c>
      <c r="AL22" s="302">
        <f t="shared" si="8"/>
        <v>0</v>
      </c>
      <c r="AM22" s="302">
        <f t="shared" si="24"/>
        <v>0</v>
      </c>
      <c r="AN22" s="533">
        <f t="shared" si="25"/>
        <v>65</v>
      </c>
      <c r="AO22" s="304">
        <f t="shared" si="26"/>
        <v>1950</v>
      </c>
      <c r="AP22" s="533">
        <f t="shared" si="27"/>
        <v>35</v>
      </c>
      <c r="AQ22" s="304">
        <f t="shared" si="28"/>
        <v>1050</v>
      </c>
      <c r="AR22" s="533">
        <f t="shared" si="29"/>
        <v>73</v>
      </c>
      <c r="AS22" s="304">
        <f t="shared" si="38"/>
        <v>2190</v>
      </c>
      <c r="AT22" s="304">
        <f t="shared" si="39"/>
        <v>5190</v>
      </c>
      <c r="AU22" s="304">
        <f t="shared" si="40"/>
        <v>0</v>
      </c>
      <c r="AV22" s="259"/>
      <c r="AW22" s="259"/>
      <c r="AX22" s="297">
        <f t="shared" si="30"/>
        <v>0.8</v>
      </c>
    </row>
    <row r="23" spans="1:50">
      <c r="A23" s="63">
        <f>ELEC!C22</f>
        <v>44884</v>
      </c>
      <c r="B23" s="64">
        <f t="shared" si="41"/>
        <v>234</v>
      </c>
      <c r="C23" s="64">
        <f t="shared" si="42"/>
        <v>241</v>
      </c>
      <c r="D23" s="45">
        <f t="shared" si="49"/>
        <v>0</v>
      </c>
      <c r="E23" s="45">
        <f t="shared" si="9"/>
        <v>0</v>
      </c>
      <c r="F23" s="533">
        <f t="shared" si="10"/>
        <v>2317</v>
      </c>
      <c r="G23" s="52">
        <f t="shared" si="0"/>
        <v>0</v>
      </c>
      <c r="H23" s="533">
        <f t="shared" si="43"/>
        <v>49121</v>
      </c>
      <c r="I23" s="378">
        <f t="shared" si="1"/>
        <v>0</v>
      </c>
      <c r="J23" s="66">
        <f t="shared" si="11"/>
        <v>0</v>
      </c>
      <c r="K23" s="533">
        <f t="shared" si="32"/>
        <v>2471</v>
      </c>
      <c r="L23" s="52">
        <f t="shared" si="12"/>
        <v>0</v>
      </c>
      <c r="M23" s="64">
        <f t="shared" si="33"/>
        <v>184066</v>
      </c>
      <c r="N23" s="378">
        <f t="shared" si="2"/>
        <v>0</v>
      </c>
      <c r="O23" s="64">
        <f t="shared" si="48"/>
        <v>1869</v>
      </c>
      <c r="P23" s="533">
        <f t="shared" si="46"/>
        <v>2232</v>
      </c>
      <c r="Q23" s="533">
        <f t="shared" si="45"/>
        <v>186523</v>
      </c>
      <c r="R23" s="377">
        <f t="shared" si="44"/>
        <v>0</v>
      </c>
      <c r="S23" s="52">
        <f t="shared" si="5"/>
        <v>0</v>
      </c>
      <c r="T23" s="67">
        <f t="shared" si="34"/>
        <v>0</v>
      </c>
      <c r="U23" s="384">
        <f t="shared" si="13"/>
        <v>0</v>
      </c>
      <c r="V23" s="62">
        <f t="shared" si="14"/>
        <v>0</v>
      </c>
      <c r="W23" s="382"/>
      <c r="X23" s="533">
        <f t="shared" si="16"/>
        <v>2498</v>
      </c>
      <c r="Y23" s="52">
        <f t="shared" si="17"/>
        <v>0</v>
      </c>
      <c r="Z23" s="533">
        <f t="shared" si="18"/>
        <v>141419</v>
      </c>
      <c r="AA23" s="65">
        <f t="shared" si="6"/>
        <v>0</v>
      </c>
      <c r="AB23" s="272">
        <f t="shared" si="47"/>
        <v>0</v>
      </c>
      <c r="AC23" s="533">
        <f t="shared" si="19"/>
        <v>1951</v>
      </c>
      <c r="AD23" s="45">
        <f t="shared" si="7"/>
        <v>0</v>
      </c>
      <c r="AE23" s="533">
        <f t="shared" si="20"/>
        <v>366915</v>
      </c>
      <c r="AF23" s="292">
        <f t="shared" si="21"/>
        <v>0</v>
      </c>
      <c r="AG23" s="209">
        <f t="shared" si="36"/>
        <v>0</v>
      </c>
      <c r="AH23" s="62">
        <f t="shared" si="37"/>
        <v>0</v>
      </c>
      <c r="AI23" s="302">
        <f>SUM(AH23+V23)</f>
        <v>0</v>
      </c>
      <c r="AJ23" s="302">
        <f>-tanks!AW24</f>
        <v>0</v>
      </c>
      <c r="AK23" s="302">
        <f>SUM(AJ23-AI23)</f>
        <v>0</v>
      </c>
      <c r="AL23" s="302">
        <f>S23+L23+G23</f>
        <v>0</v>
      </c>
      <c r="AM23" s="302">
        <f>Y23+AD23</f>
        <v>0</v>
      </c>
      <c r="AN23" s="533">
        <f t="shared" si="25"/>
        <v>65</v>
      </c>
      <c r="AO23" s="304">
        <f t="shared" si="26"/>
        <v>1950</v>
      </c>
      <c r="AP23" s="533">
        <f t="shared" si="27"/>
        <v>35</v>
      </c>
      <c r="AQ23" s="304">
        <f t="shared" si="28"/>
        <v>1050</v>
      </c>
      <c r="AR23" s="533">
        <f t="shared" si="29"/>
        <v>73</v>
      </c>
      <c r="AS23" s="304">
        <f t="shared" si="38"/>
        <v>2190</v>
      </c>
      <c r="AT23" s="304">
        <f t="shared" si="39"/>
        <v>5190</v>
      </c>
      <c r="AU23" s="304">
        <f t="shared" si="40"/>
        <v>0</v>
      </c>
      <c r="AV23" s="259"/>
      <c r="AW23" s="259"/>
      <c r="AX23" s="297">
        <f t="shared" si="30"/>
        <v>0.8</v>
      </c>
    </row>
    <row r="24" spans="1:50">
      <c r="A24" s="63">
        <f>ELEC!C23</f>
        <v>44885</v>
      </c>
      <c r="B24" s="64">
        <v>231</v>
      </c>
      <c r="C24" s="64">
        <v>238</v>
      </c>
      <c r="D24" s="45">
        <f t="shared" si="49"/>
        <v>3</v>
      </c>
      <c r="E24" s="45">
        <f t="shared" si="9"/>
        <v>25.14</v>
      </c>
      <c r="F24" s="533">
        <v>2319</v>
      </c>
      <c r="G24" s="52">
        <f t="shared" si="0"/>
        <v>2</v>
      </c>
      <c r="H24" s="533">
        <v>49255</v>
      </c>
      <c r="I24" s="378">
        <f t="shared" si="1"/>
        <v>134</v>
      </c>
      <c r="J24" s="66">
        <f t="shared" si="11"/>
        <v>67</v>
      </c>
      <c r="K24" s="533">
        <f t="shared" si="32"/>
        <v>2471</v>
      </c>
      <c r="L24" s="52">
        <f t="shared" si="12"/>
        <v>0</v>
      </c>
      <c r="M24" s="64">
        <f t="shared" si="33"/>
        <v>184066</v>
      </c>
      <c r="N24" s="378">
        <f t="shared" si="2"/>
        <v>0</v>
      </c>
      <c r="O24" s="64">
        <f t="shared" si="48"/>
        <v>1869</v>
      </c>
      <c r="P24" s="533">
        <f t="shared" si="46"/>
        <v>2232</v>
      </c>
      <c r="Q24" s="533">
        <f t="shared" si="45"/>
        <v>186523</v>
      </c>
      <c r="R24" s="377">
        <f t="shared" si="44"/>
        <v>0</v>
      </c>
      <c r="S24" s="52">
        <f t="shared" si="5"/>
        <v>0</v>
      </c>
      <c r="T24" s="67">
        <f t="shared" si="34"/>
        <v>0</v>
      </c>
      <c r="U24" s="384">
        <f t="shared" si="13"/>
        <v>2</v>
      </c>
      <c r="V24" s="62">
        <f t="shared" si="14"/>
        <v>134</v>
      </c>
      <c r="W24" s="382"/>
      <c r="X24" s="533">
        <f t="shared" si="16"/>
        <v>2498</v>
      </c>
      <c r="Y24" s="52">
        <f t="shared" si="17"/>
        <v>0</v>
      </c>
      <c r="Z24" s="533">
        <f t="shared" si="18"/>
        <v>141419</v>
      </c>
      <c r="AA24" s="65">
        <f t="shared" si="6"/>
        <v>0</v>
      </c>
      <c r="AB24" s="272">
        <f t="shared" ref="AB24:AB32" si="50">SUM(Y24*$AB$2)</f>
        <v>0</v>
      </c>
      <c r="AC24" s="533">
        <f t="shared" si="19"/>
        <v>1951</v>
      </c>
      <c r="AD24" s="45">
        <f t="shared" si="7"/>
        <v>0</v>
      </c>
      <c r="AE24" s="533">
        <f t="shared" si="20"/>
        <v>366915</v>
      </c>
      <c r="AF24" s="292">
        <f t="shared" si="21"/>
        <v>0</v>
      </c>
      <c r="AG24" s="209">
        <f t="shared" si="36"/>
        <v>0</v>
      </c>
      <c r="AH24" s="62">
        <f t="shared" si="37"/>
        <v>0</v>
      </c>
      <c r="AI24" s="302">
        <f t="shared" si="22"/>
        <v>134</v>
      </c>
      <c r="AJ24" s="302">
        <f>-tanks!AW25</f>
        <v>134</v>
      </c>
      <c r="AK24" s="302">
        <f t="shared" si="23"/>
        <v>0</v>
      </c>
      <c r="AL24" s="302">
        <f t="shared" si="8"/>
        <v>2</v>
      </c>
      <c r="AM24" s="302">
        <f t="shared" si="24"/>
        <v>0</v>
      </c>
      <c r="AN24" s="533">
        <f t="shared" si="25"/>
        <v>65</v>
      </c>
      <c r="AO24" s="304">
        <f t="shared" si="26"/>
        <v>1950</v>
      </c>
      <c r="AP24" s="533">
        <f t="shared" si="27"/>
        <v>35</v>
      </c>
      <c r="AQ24" s="304">
        <f t="shared" si="28"/>
        <v>1050</v>
      </c>
      <c r="AR24" s="533">
        <f t="shared" si="29"/>
        <v>73</v>
      </c>
      <c r="AS24" s="304">
        <f t="shared" si="38"/>
        <v>2190</v>
      </c>
      <c r="AT24" s="304">
        <f t="shared" ref="AT24:AT35" si="51">SUM(AO24+AQ24+AS24)</f>
        <v>5190</v>
      </c>
      <c r="AU24" s="304">
        <f t="shared" si="40"/>
        <v>0</v>
      </c>
      <c r="AV24" s="259"/>
      <c r="AW24" s="259"/>
      <c r="AX24" s="297">
        <f t="shared" si="30"/>
        <v>0.8</v>
      </c>
    </row>
    <row r="25" spans="1:50" ht="13.5" customHeight="1">
      <c r="A25" s="63">
        <f>ELEC!C24</f>
        <v>44886</v>
      </c>
      <c r="B25" s="64">
        <v>227</v>
      </c>
      <c r="C25" s="64">
        <v>234</v>
      </c>
      <c r="D25" s="45">
        <f t="shared" si="49"/>
        <v>4</v>
      </c>
      <c r="E25" s="45">
        <f t="shared" si="9"/>
        <v>33.520000000000003</v>
      </c>
      <c r="F25" s="533">
        <v>2322</v>
      </c>
      <c r="G25" s="52">
        <f t="shared" si="0"/>
        <v>3</v>
      </c>
      <c r="H25" s="533">
        <v>49487</v>
      </c>
      <c r="I25" s="378">
        <f t="shared" si="1"/>
        <v>232</v>
      </c>
      <c r="J25" s="66">
        <f t="shared" si="11"/>
        <v>77.333333333333329</v>
      </c>
      <c r="K25" s="533">
        <f t="shared" si="32"/>
        <v>2471</v>
      </c>
      <c r="L25" s="52">
        <f t="shared" si="12"/>
        <v>0</v>
      </c>
      <c r="M25" s="64">
        <f t="shared" si="33"/>
        <v>184066</v>
      </c>
      <c r="N25" s="378">
        <f t="shared" si="2"/>
        <v>0</v>
      </c>
      <c r="O25" s="64">
        <f t="shared" si="48"/>
        <v>1869</v>
      </c>
      <c r="P25" s="533">
        <f t="shared" si="46"/>
        <v>2232</v>
      </c>
      <c r="Q25" s="533">
        <f t="shared" si="45"/>
        <v>186523</v>
      </c>
      <c r="R25" s="377">
        <f t="shared" si="44"/>
        <v>0</v>
      </c>
      <c r="S25" s="52">
        <f t="shared" si="5"/>
        <v>0</v>
      </c>
      <c r="T25" s="67">
        <f t="shared" si="34"/>
        <v>0</v>
      </c>
      <c r="U25" s="384">
        <f t="shared" si="13"/>
        <v>3</v>
      </c>
      <c r="V25" s="62">
        <f t="shared" si="14"/>
        <v>232</v>
      </c>
      <c r="W25" s="382"/>
      <c r="X25" s="533">
        <f t="shared" si="16"/>
        <v>2498</v>
      </c>
      <c r="Y25" s="52">
        <f t="shared" si="17"/>
        <v>0</v>
      </c>
      <c r="Z25" s="533">
        <f t="shared" si="18"/>
        <v>141419</v>
      </c>
      <c r="AA25" s="65">
        <f t="shared" si="6"/>
        <v>0</v>
      </c>
      <c r="AB25" s="272">
        <f t="shared" si="50"/>
        <v>0</v>
      </c>
      <c r="AC25" s="533">
        <f t="shared" si="19"/>
        <v>1951</v>
      </c>
      <c r="AD25" s="45">
        <f t="shared" si="7"/>
        <v>0</v>
      </c>
      <c r="AE25" s="533">
        <f t="shared" si="20"/>
        <v>366915</v>
      </c>
      <c r="AF25" s="292">
        <f t="shared" si="21"/>
        <v>0</v>
      </c>
      <c r="AG25" s="209">
        <f t="shared" si="36"/>
        <v>0</v>
      </c>
      <c r="AH25" s="62">
        <f t="shared" si="37"/>
        <v>0</v>
      </c>
      <c r="AI25" s="302">
        <f t="shared" si="22"/>
        <v>232</v>
      </c>
      <c r="AJ25" s="302">
        <f>-tanks!AW26</f>
        <v>232</v>
      </c>
      <c r="AK25" s="302">
        <f t="shared" si="23"/>
        <v>0</v>
      </c>
      <c r="AL25" s="302">
        <f t="shared" si="8"/>
        <v>3</v>
      </c>
      <c r="AM25" s="302">
        <f>Y25+AD25</f>
        <v>0</v>
      </c>
      <c r="AN25" s="533">
        <f t="shared" si="25"/>
        <v>65</v>
      </c>
      <c r="AO25" s="304">
        <f t="shared" si="26"/>
        <v>1950</v>
      </c>
      <c r="AP25" s="533">
        <f t="shared" si="27"/>
        <v>35</v>
      </c>
      <c r="AQ25" s="304">
        <f t="shared" ref="AQ25:AQ32" si="52">(AP25/100)*3000</f>
        <v>1050</v>
      </c>
      <c r="AR25" s="533">
        <f t="shared" si="29"/>
        <v>73</v>
      </c>
      <c r="AS25" s="304">
        <f t="shared" si="38"/>
        <v>2190</v>
      </c>
      <c r="AT25" s="304">
        <f t="shared" si="51"/>
        <v>5190</v>
      </c>
      <c r="AU25" s="304">
        <f t="shared" si="40"/>
        <v>0</v>
      </c>
      <c r="AV25" s="259"/>
      <c r="AW25" s="259"/>
      <c r="AX25" s="297">
        <f t="shared" si="30"/>
        <v>0.8</v>
      </c>
    </row>
    <row r="26" spans="1:50" ht="14.25" customHeight="1">
      <c r="A26" s="63">
        <f>ELEC!C25</f>
        <v>44887</v>
      </c>
      <c r="B26" s="64">
        <v>227</v>
      </c>
      <c r="C26" s="64">
        <v>234</v>
      </c>
      <c r="D26" s="45">
        <f t="shared" si="49"/>
        <v>0</v>
      </c>
      <c r="E26" s="45">
        <f t="shared" si="9"/>
        <v>0</v>
      </c>
      <c r="F26" s="533">
        <v>2322</v>
      </c>
      <c r="G26" s="52">
        <f t="shared" si="0"/>
        <v>0</v>
      </c>
      <c r="H26" s="533">
        <v>49487</v>
      </c>
      <c r="I26" s="378">
        <f t="shared" si="1"/>
        <v>0</v>
      </c>
      <c r="J26" s="66">
        <f t="shared" si="11"/>
        <v>0</v>
      </c>
      <c r="K26" s="533">
        <f t="shared" si="32"/>
        <v>2471</v>
      </c>
      <c r="L26" s="52">
        <f t="shared" si="12"/>
        <v>0</v>
      </c>
      <c r="M26" s="64">
        <f t="shared" si="33"/>
        <v>184066</v>
      </c>
      <c r="N26" s="378">
        <f t="shared" si="2"/>
        <v>0</v>
      </c>
      <c r="O26" s="64">
        <f t="shared" si="48"/>
        <v>1869</v>
      </c>
      <c r="P26" s="533">
        <f t="shared" si="46"/>
        <v>2232</v>
      </c>
      <c r="Q26" s="533">
        <f t="shared" si="45"/>
        <v>186523</v>
      </c>
      <c r="R26" s="377">
        <f t="shared" si="44"/>
        <v>0</v>
      </c>
      <c r="S26" s="52">
        <f t="shared" si="5"/>
        <v>0</v>
      </c>
      <c r="T26" s="67">
        <f t="shared" si="34"/>
        <v>0</v>
      </c>
      <c r="U26" s="384">
        <f t="shared" si="13"/>
        <v>0</v>
      </c>
      <c r="V26" s="62">
        <f t="shared" si="14"/>
        <v>0</v>
      </c>
      <c r="W26" s="382"/>
      <c r="X26" s="533">
        <f t="shared" si="16"/>
        <v>2498</v>
      </c>
      <c r="Y26" s="52">
        <f t="shared" si="17"/>
        <v>0</v>
      </c>
      <c r="Z26" s="533">
        <f t="shared" si="18"/>
        <v>141419</v>
      </c>
      <c r="AA26" s="65">
        <f t="shared" si="6"/>
        <v>0</v>
      </c>
      <c r="AB26" s="272">
        <f t="shared" si="50"/>
        <v>0</v>
      </c>
      <c r="AC26" s="533">
        <f t="shared" si="19"/>
        <v>1951</v>
      </c>
      <c r="AD26" s="45">
        <f t="shared" si="7"/>
        <v>0</v>
      </c>
      <c r="AE26" s="533">
        <f t="shared" si="20"/>
        <v>366915</v>
      </c>
      <c r="AF26" s="292">
        <f t="shared" si="21"/>
        <v>0</v>
      </c>
      <c r="AG26" s="209">
        <f t="shared" si="36"/>
        <v>0</v>
      </c>
      <c r="AH26" s="62">
        <f t="shared" si="37"/>
        <v>0</v>
      </c>
      <c r="AI26" s="302">
        <f t="shared" si="22"/>
        <v>0</v>
      </c>
      <c r="AJ26" s="302">
        <f>-tanks!AW27</f>
        <v>0</v>
      </c>
      <c r="AK26" s="302">
        <f t="shared" si="23"/>
        <v>0</v>
      </c>
      <c r="AL26" s="302">
        <f t="shared" si="8"/>
        <v>0</v>
      </c>
      <c r="AM26" s="302">
        <f t="shared" si="24"/>
        <v>0</v>
      </c>
      <c r="AN26" s="533">
        <f t="shared" si="25"/>
        <v>65</v>
      </c>
      <c r="AO26" s="304">
        <f>(AN26/100)*3000</f>
        <v>1950</v>
      </c>
      <c r="AP26" s="533">
        <f t="shared" si="27"/>
        <v>35</v>
      </c>
      <c r="AQ26" s="304">
        <f t="shared" si="52"/>
        <v>1050</v>
      </c>
      <c r="AR26" s="533">
        <f t="shared" si="29"/>
        <v>73</v>
      </c>
      <c r="AS26" s="304">
        <f t="shared" si="38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30"/>
        <v>0.8</v>
      </c>
    </row>
    <row r="27" spans="1:50">
      <c r="A27" s="63">
        <f>ELEC!C26</f>
        <v>44888</v>
      </c>
      <c r="B27" s="64">
        <v>223</v>
      </c>
      <c r="C27" s="64">
        <v>230</v>
      </c>
      <c r="D27" s="45">
        <f t="shared" si="49"/>
        <v>4</v>
      </c>
      <c r="E27" s="45">
        <f t="shared" si="9"/>
        <v>33.520000000000003</v>
      </c>
      <c r="F27" s="533">
        <v>2325</v>
      </c>
      <c r="G27" s="52">
        <f t="shared" si="0"/>
        <v>3</v>
      </c>
      <c r="H27" s="533">
        <v>49686</v>
      </c>
      <c r="I27" s="378">
        <f t="shared" si="1"/>
        <v>199</v>
      </c>
      <c r="J27" s="66">
        <f t="shared" si="11"/>
        <v>66.333333333333329</v>
      </c>
      <c r="K27" s="533">
        <f t="shared" si="32"/>
        <v>2471</v>
      </c>
      <c r="L27" s="52">
        <f t="shared" si="12"/>
        <v>0</v>
      </c>
      <c r="M27" s="64">
        <f t="shared" si="33"/>
        <v>184066</v>
      </c>
      <c r="N27" s="378">
        <f t="shared" si="2"/>
        <v>0</v>
      </c>
      <c r="O27" s="64">
        <f t="shared" si="48"/>
        <v>1869</v>
      </c>
      <c r="P27" s="533">
        <f t="shared" si="46"/>
        <v>2232</v>
      </c>
      <c r="Q27" s="533">
        <f t="shared" si="45"/>
        <v>186523</v>
      </c>
      <c r="R27" s="377">
        <f t="shared" si="44"/>
        <v>0</v>
      </c>
      <c r="S27" s="52">
        <f t="shared" si="5"/>
        <v>0</v>
      </c>
      <c r="T27" s="67">
        <f t="shared" si="34"/>
        <v>0</v>
      </c>
      <c r="U27" s="384">
        <f t="shared" si="13"/>
        <v>3</v>
      </c>
      <c r="V27" s="62">
        <f t="shared" si="14"/>
        <v>199</v>
      </c>
      <c r="W27" s="382"/>
      <c r="X27" s="533">
        <f t="shared" si="16"/>
        <v>2498</v>
      </c>
      <c r="Y27" s="52">
        <f t="shared" si="17"/>
        <v>0</v>
      </c>
      <c r="Z27" s="533">
        <f t="shared" si="18"/>
        <v>141419</v>
      </c>
      <c r="AA27" s="65">
        <f t="shared" si="6"/>
        <v>0</v>
      </c>
      <c r="AB27" s="272">
        <f t="shared" si="50"/>
        <v>0</v>
      </c>
      <c r="AC27" s="533">
        <f t="shared" si="19"/>
        <v>1951</v>
      </c>
      <c r="AD27" s="45">
        <f t="shared" si="7"/>
        <v>0</v>
      </c>
      <c r="AE27" s="533">
        <f t="shared" si="20"/>
        <v>366915</v>
      </c>
      <c r="AF27" s="292">
        <f t="shared" si="21"/>
        <v>0</v>
      </c>
      <c r="AG27" s="209">
        <f t="shared" si="36"/>
        <v>0</v>
      </c>
      <c r="AH27" s="62">
        <f t="shared" si="37"/>
        <v>0</v>
      </c>
      <c r="AI27" s="302">
        <f t="shared" si="22"/>
        <v>199</v>
      </c>
      <c r="AJ27" s="302">
        <f>-tanks!AW28</f>
        <v>199</v>
      </c>
      <c r="AK27" s="302">
        <f t="shared" si="23"/>
        <v>0</v>
      </c>
      <c r="AL27" s="302">
        <f t="shared" si="8"/>
        <v>3</v>
      </c>
      <c r="AM27" s="302">
        <f t="shared" si="24"/>
        <v>0</v>
      </c>
      <c r="AN27" s="533">
        <f t="shared" si="25"/>
        <v>65</v>
      </c>
      <c r="AO27" s="304">
        <f t="shared" si="26"/>
        <v>1950</v>
      </c>
      <c r="AP27" s="533">
        <f t="shared" si="27"/>
        <v>35</v>
      </c>
      <c r="AQ27" s="304">
        <f t="shared" si="52"/>
        <v>1050</v>
      </c>
      <c r="AR27" s="533">
        <f t="shared" si="29"/>
        <v>73</v>
      </c>
      <c r="AS27" s="304">
        <f t="shared" si="38"/>
        <v>2190</v>
      </c>
      <c r="AT27" s="304">
        <f t="shared" si="51"/>
        <v>5190</v>
      </c>
      <c r="AU27" s="304">
        <f t="shared" si="40"/>
        <v>0</v>
      </c>
      <c r="AV27" s="259"/>
      <c r="AW27" s="471"/>
      <c r="AX27" s="297">
        <f t="shared" si="30"/>
        <v>0.8</v>
      </c>
    </row>
    <row r="28" spans="1:50">
      <c r="A28" s="63">
        <f>ELEC!C27</f>
        <v>44889</v>
      </c>
      <c r="B28" s="64">
        <v>221</v>
      </c>
      <c r="C28" s="64">
        <v>228</v>
      </c>
      <c r="D28" s="45">
        <f t="shared" si="49"/>
        <v>2</v>
      </c>
      <c r="E28" s="45">
        <f t="shared" si="9"/>
        <v>16.760000000000002</v>
      </c>
      <c r="F28" s="533">
        <v>2327</v>
      </c>
      <c r="G28" s="52">
        <f t="shared" si="0"/>
        <v>2</v>
      </c>
      <c r="H28" s="533">
        <v>49801</v>
      </c>
      <c r="I28" s="378">
        <f t="shared" si="1"/>
        <v>115</v>
      </c>
      <c r="J28" s="66">
        <f t="shared" si="11"/>
        <v>57.5</v>
      </c>
      <c r="K28" s="533">
        <f t="shared" si="32"/>
        <v>2471</v>
      </c>
      <c r="L28" s="52">
        <f t="shared" si="12"/>
        <v>0</v>
      </c>
      <c r="M28" s="64">
        <f t="shared" si="33"/>
        <v>184066</v>
      </c>
      <c r="N28" s="378">
        <f t="shared" si="2"/>
        <v>0</v>
      </c>
      <c r="O28" s="64">
        <f t="shared" si="48"/>
        <v>1869</v>
      </c>
      <c r="P28" s="533">
        <f t="shared" si="46"/>
        <v>2232</v>
      </c>
      <c r="Q28" s="533">
        <f t="shared" si="45"/>
        <v>186523</v>
      </c>
      <c r="R28" s="377">
        <f t="shared" si="44"/>
        <v>0</v>
      </c>
      <c r="S28" s="52">
        <f t="shared" si="5"/>
        <v>0</v>
      </c>
      <c r="T28" s="67">
        <f t="shared" si="34"/>
        <v>0</v>
      </c>
      <c r="U28" s="384">
        <f t="shared" si="13"/>
        <v>2</v>
      </c>
      <c r="V28" s="62">
        <f t="shared" si="14"/>
        <v>115</v>
      </c>
      <c r="W28" s="382"/>
      <c r="X28" s="533">
        <f t="shared" si="16"/>
        <v>2498</v>
      </c>
      <c r="Y28" s="52">
        <f t="shared" si="17"/>
        <v>0</v>
      </c>
      <c r="Z28" s="533">
        <f t="shared" si="18"/>
        <v>141419</v>
      </c>
      <c r="AA28" s="65">
        <f t="shared" si="6"/>
        <v>0</v>
      </c>
      <c r="AB28" s="272">
        <f t="shared" si="50"/>
        <v>0</v>
      </c>
      <c r="AC28" s="533">
        <f t="shared" si="19"/>
        <v>1951</v>
      </c>
      <c r="AD28" s="45">
        <f t="shared" si="7"/>
        <v>0</v>
      </c>
      <c r="AE28" s="533">
        <f t="shared" si="20"/>
        <v>366915</v>
      </c>
      <c r="AF28" s="292">
        <f t="shared" si="21"/>
        <v>0</v>
      </c>
      <c r="AG28" s="209">
        <f t="shared" si="36"/>
        <v>0</v>
      </c>
      <c r="AH28" s="62">
        <f t="shared" si="37"/>
        <v>0</v>
      </c>
      <c r="AI28" s="302">
        <f t="shared" si="22"/>
        <v>115</v>
      </c>
      <c r="AJ28" s="302">
        <f>-tanks!AW29</f>
        <v>115</v>
      </c>
      <c r="AK28" s="302">
        <f t="shared" si="23"/>
        <v>0</v>
      </c>
      <c r="AL28" s="302">
        <f t="shared" si="8"/>
        <v>2</v>
      </c>
      <c r="AM28" s="302">
        <f t="shared" si="24"/>
        <v>0</v>
      </c>
      <c r="AN28" s="533">
        <f t="shared" si="25"/>
        <v>65</v>
      </c>
      <c r="AO28" s="304">
        <f t="shared" si="26"/>
        <v>1950</v>
      </c>
      <c r="AP28" s="533">
        <f t="shared" si="27"/>
        <v>35</v>
      </c>
      <c r="AQ28" s="304">
        <f t="shared" si="52"/>
        <v>1050</v>
      </c>
      <c r="AR28" s="533">
        <f t="shared" si="29"/>
        <v>73</v>
      </c>
      <c r="AS28" s="304">
        <f t="shared" si="38"/>
        <v>2190</v>
      </c>
      <c r="AT28" s="304">
        <f t="shared" si="51"/>
        <v>5190</v>
      </c>
      <c r="AU28" s="304">
        <f t="shared" si="40"/>
        <v>0</v>
      </c>
      <c r="AV28" s="259"/>
      <c r="AW28" s="259"/>
      <c r="AX28" s="297">
        <f t="shared" si="30"/>
        <v>0.8</v>
      </c>
    </row>
    <row r="29" spans="1:50">
      <c r="A29" s="63">
        <f>ELEC!C28</f>
        <v>44890</v>
      </c>
      <c r="B29" s="64">
        <v>220</v>
      </c>
      <c r="C29" s="64">
        <v>227</v>
      </c>
      <c r="D29" s="45">
        <f t="shared" si="49"/>
        <v>1</v>
      </c>
      <c r="E29" s="45">
        <f t="shared" si="9"/>
        <v>8.3800000000000008</v>
      </c>
      <c r="F29" s="533">
        <f t="shared" si="10"/>
        <v>2327</v>
      </c>
      <c r="G29" s="52">
        <f t="shared" si="0"/>
        <v>0</v>
      </c>
      <c r="H29" s="533">
        <f t="shared" si="43"/>
        <v>49801</v>
      </c>
      <c r="I29" s="378">
        <f t="shared" si="1"/>
        <v>0</v>
      </c>
      <c r="J29" s="66">
        <f t="shared" si="11"/>
        <v>0</v>
      </c>
      <c r="K29" s="533">
        <f t="shared" si="32"/>
        <v>2471</v>
      </c>
      <c r="L29" s="52">
        <f t="shared" si="12"/>
        <v>0</v>
      </c>
      <c r="M29" s="64">
        <f t="shared" si="33"/>
        <v>184066</v>
      </c>
      <c r="N29" s="378">
        <f t="shared" si="2"/>
        <v>0</v>
      </c>
      <c r="O29" s="64">
        <f t="shared" si="48"/>
        <v>1869</v>
      </c>
      <c r="P29" s="533">
        <f t="shared" si="46"/>
        <v>2232</v>
      </c>
      <c r="Q29" s="533">
        <f t="shared" si="45"/>
        <v>186523</v>
      </c>
      <c r="R29" s="377">
        <f t="shared" si="44"/>
        <v>0</v>
      </c>
      <c r="S29" s="52">
        <f t="shared" si="5"/>
        <v>0</v>
      </c>
      <c r="T29" s="67">
        <f t="shared" si="34"/>
        <v>0</v>
      </c>
      <c r="U29" s="384">
        <f t="shared" si="13"/>
        <v>0</v>
      </c>
      <c r="V29" s="62">
        <f t="shared" si="14"/>
        <v>0</v>
      </c>
      <c r="W29" s="382"/>
      <c r="X29" s="533">
        <f t="shared" si="16"/>
        <v>2498</v>
      </c>
      <c r="Y29" s="52">
        <f t="shared" si="17"/>
        <v>0</v>
      </c>
      <c r="Z29" s="533">
        <f t="shared" si="18"/>
        <v>141419</v>
      </c>
      <c r="AA29" s="65">
        <f t="shared" si="6"/>
        <v>0</v>
      </c>
      <c r="AB29" s="272">
        <f t="shared" si="50"/>
        <v>0</v>
      </c>
      <c r="AC29" s="533">
        <f t="shared" si="19"/>
        <v>1951</v>
      </c>
      <c r="AD29" s="45">
        <f t="shared" si="7"/>
        <v>0</v>
      </c>
      <c r="AE29" s="533">
        <f t="shared" si="20"/>
        <v>366915</v>
      </c>
      <c r="AF29" s="292">
        <f t="shared" si="21"/>
        <v>0</v>
      </c>
      <c r="AG29" s="209">
        <f t="shared" si="36"/>
        <v>0</v>
      </c>
      <c r="AH29" s="62">
        <f t="shared" si="37"/>
        <v>0</v>
      </c>
      <c r="AI29" s="302">
        <f t="shared" si="22"/>
        <v>0</v>
      </c>
      <c r="AJ29" s="302">
        <f>-tanks!AW30</f>
        <v>0</v>
      </c>
      <c r="AK29" s="302">
        <f t="shared" si="23"/>
        <v>0</v>
      </c>
      <c r="AL29" s="302">
        <f t="shared" si="8"/>
        <v>0</v>
      </c>
      <c r="AM29" s="302">
        <f t="shared" si="24"/>
        <v>0</v>
      </c>
      <c r="AN29" s="533">
        <f t="shared" si="25"/>
        <v>65</v>
      </c>
      <c r="AO29" s="304">
        <f t="shared" si="26"/>
        <v>1950</v>
      </c>
      <c r="AP29" s="533">
        <f t="shared" si="27"/>
        <v>35</v>
      </c>
      <c r="AQ29" s="304">
        <f t="shared" si="52"/>
        <v>1050</v>
      </c>
      <c r="AR29" s="533">
        <f t="shared" si="29"/>
        <v>73</v>
      </c>
      <c r="AS29" s="304">
        <f t="shared" si="38"/>
        <v>2190</v>
      </c>
      <c r="AT29" s="304">
        <f t="shared" si="51"/>
        <v>5190</v>
      </c>
      <c r="AU29" s="304">
        <f t="shared" si="40"/>
        <v>0</v>
      </c>
      <c r="AV29" s="259"/>
      <c r="AW29" s="259"/>
      <c r="AX29" s="297">
        <f t="shared" si="30"/>
        <v>0.8</v>
      </c>
    </row>
    <row r="30" spans="1:50">
      <c r="A30" s="63">
        <f>ELEC!C29</f>
        <v>44891</v>
      </c>
      <c r="B30" s="64">
        <f t="shared" si="41"/>
        <v>220</v>
      </c>
      <c r="C30" s="64">
        <f t="shared" si="42"/>
        <v>227</v>
      </c>
      <c r="D30" s="45">
        <f>C29-C30</f>
        <v>0</v>
      </c>
      <c r="E30" s="45">
        <f>D30*8.38</f>
        <v>0</v>
      </c>
      <c r="F30" s="533">
        <f t="shared" si="10"/>
        <v>2327</v>
      </c>
      <c r="G30" s="52">
        <f>F30-F29</f>
        <v>0</v>
      </c>
      <c r="H30" s="533">
        <f t="shared" si="43"/>
        <v>49801</v>
      </c>
      <c r="I30" s="378">
        <f t="shared" si="1"/>
        <v>0</v>
      </c>
      <c r="J30" s="66">
        <f>IF(G30&gt;0,I30/G30,0)</f>
        <v>0</v>
      </c>
      <c r="K30" s="533">
        <f t="shared" si="32"/>
        <v>2471</v>
      </c>
      <c r="L30" s="52">
        <f>K30-K29</f>
        <v>0</v>
      </c>
      <c r="M30" s="64">
        <f t="shared" si="33"/>
        <v>184066</v>
      </c>
      <c r="N30" s="378">
        <f>M30-M29</f>
        <v>0</v>
      </c>
      <c r="O30" s="64">
        <f t="shared" si="48"/>
        <v>1869</v>
      </c>
      <c r="P30" s="533">
        <f t="shared" si="46"/>
        <v>2232</v>
      </c>
      <c r="Q30" s="533">
        <f t="shared" si="45"/>
        <v>186523</v>
      </c>
      <c r="R30" s="377">
        <f>Q30-Q29</f>
        <v>0</v>
      </c>
      <c r="S30" s="52">
        <f>SUM(P30-P29)</f>
        <v>0</v>
      </c>
      <c r="T30" s="67">
        <f>SUM(S30*$T$2)</f>
        <v>0</v>
      </c>
      <c r="U30" s="384">
        <f>SUM(G30+L30+S30)</f>
        <v>0</v>
      </c>
      <c r="V30" s="62">
        <f t="shared" si="14"/>
        <v>0</v>
      </c>
      <c r="W30" s="382"/>
      <c r="X30" s="533">
        <f t="shared" si="16"/>
        <v>2498</v>
      </c>
      <c r="Y30" s="52">
        <f>X30-X29</f>
        <v>0</v>
      </c>
      <c r="Z30" s="533">
        <f t="shared" si="18"/>
        <v>141419</v>
      </c>
      <c r="AA30" s="65">
        <f>Z30-Z29</f>
        <v>0</v>
      </c>
      <c r="AB30" s="272">
        <f>SUM(Y30*$AB$2)</f>
        <v>0</v>
      </c>
      <c r="AC30" s="533">
        <f t="shared" si="19"/>
        <v>1951</v>
      </c>
      <c r="AD30" s="259">
        <f>AC30-AC29</f>
        <v>0</v>
      </c>
      <c r="AE30" s="533">
        <f t="shared" si="20"/>
        <v>366915</v>
      </c>
      <c r="AF30" s="292">
        <f>AE30-AE29</f>
        <v>0</v>
      </c>
      <c r="AG30" s="209">
        <f t="shared" si="36"/>
        <v>0</v>
      </c>
      <c r="AH30" s="62">
        <f t="shared" si="37"/>
        <v>0</v>
      </c>
      <c r="AI30" s="302">
        <f t="shared" si="22"/>
        <v>0</v>
      </c>
      <c r="AJ30" s="302">
        <f>-tanks!AW31</f>
        <v>0</v>
      </c>
      <c r="AK30" s="302">
        <f t="shared" si="23"/>
        <v>0</v>
      </c>
      <c r="AL30" s="302">
        <f t="shared" si="8"/>
        <v>0</v>
      </c>
      <c r="AM30" s="302">
        <f t="shared" si="24"/>
        <v>0</v>
      </c>
      <c r="AN30" s="533">
        <f t="shared" si="25"/>
        <v>65</v>
      </c>
      <c r="AO30" s="304">
        <f t="shared" si="26"/>
        <v>1950</v>
      </c>
      <c r="AP30" s="533">
        <f t="shared" si="27"/>
        <v>35</v>
      </c>
      <c r="AQ30" s="304">
        <f t="shared" si="52"/>
        <v>1050</v>
      </c>
      <c r="AR30" s="533">
        <f t="shared" si="29"/>
        <v>73</v>
      </c>
      <c r="AS30" s="304">
        <f t="shared" si="38"/>
        <v>2190</v>
      </c>
      <c r="AT30" s="304">
        <f t="shared" si="51"/>
        <v>5190</v>
      </c>
      <c r="AU30" s="304">
        <f t="shared" si="40"/>
        <v>0</v>
      </c>
      <c r="AV30" s="259"/>
      <c r="AW30" s="259"/>
      <c r="AX30" s="297">
        <f t="shared" si="30"/>
        <v>0.8</v>
      </c>
    </row>
    <row r="31" spans="1:50">
      <c r="A31" s="63">
        <f>ELEC!C30</f>
        <v>44892</v>
      </c>
      <c r="B31" s="64">
        <v>217</v>
      </c>
      <c r="C31" s="64">
        <v>223</v>
      </c>
      <c r="D31" s="45">
        <f t="shared" si="49"/>
        <v>4</v>
      </c>
      <c r="E31" s="45">
        <f t="shared" si="9"/>
        <v>33.520000000000003</v>
      </c>
      <c r="F31" s="533">
        <v>2331</v>
      </c>
      <c r="G31" s="52">
        <f t="shared" si="0"/>
        <v>4</v>
      </c>
      <c r="H31" s="533">
        <v>50123</v>
      </c>
      <c r="I31" s="378">
        <f t="shared" si="1"/>
        <v>322</v>
      </c>
      <c r="J31" s="66">
        <f t="shared" si="11"/>
        <v>80.5</v>
      </c>
      <c r="K31" s="533">
        <f t="shared" si="32"/>
        <v>2471</v>
      </c>
      <c r="L31" s="52">
        <f t="shared" si="12"/>
        <v>0</v>
      </c>
      <c r="M31" s="64">
        <f t="shared" si="33"/>
        <v>184066</v>
      </c>
      <c r="N31" s="378">
        <f t="shared" si="2"/>
        <v>0</v>
      </c>
      <c r="O31" s="64">
        <f t="shared" si="48"/>
        <v>1869</v>
      </c>
      <c r="P31" s="533">
        <f t="shared" si="46"/>
        <v>2232</v>
      </c>
      <c r="Q31" s="533">
        <f t="shared" si="45"/>
        <v>186523</v>
      </c>
      <c r="R31" s="377">
        <f t="shared" si="44"/>
        <v>0</v>
      </c>
      <c r="S31" s="52">
        <f t="shared" si="5"/>
        <v>0</v>
      </c>
      <c r="T31" s="67">
        <f t="shared" si="34"/>
        <v>0</v>
      </c>
      <c r="U31" s="384">
        <f t="shared" si="13"/>
        <v>4</v>
      </c>
      <c r="V31" s="62">
        <f t="shared" si="14"/>
        <v>322</v>
      </c>
      <c r="W31" s="382"/>
      <c r="X31" s="533">
        <f t="shared" si="16"/>
        <v>2498</v>
      </c>
      <c r="Y31" s="52">
        <f t="shared" si="17"/>
        <v>0</v>
      </c>
      <c r="Z31" s="533">
        <f t="shared" si="18"/>
        <v>141419</v>
      </c>
      <c r="AA31" s="65">
        <f t="shared" si="6"/>
        <v>0</v>
      </c>
      <c r="AB31" s="272">
        <f t="shared" si="50"/>
        <v>0</v>
      </c>
      <c r="AC31" s="533">
        <v>1953</v>
      </c>
      <c r="AD31" s="259">
        <f t="shared" si="7"/>
        <v>2</v>
      </c>
      <c r="AE31" s="533">
        <v>367117</v>
      </c>
      <c r="AF31" s="292">
        <f t="shared" si="21"/>
        <v>202</v>
      </c>
      <c r="AG31" s="209">
        <f t="shared" si="36"/>
        <v>101</v>
      </c>
      <c r="AH31" s="62">
        <f t="shared" si="37"/>
        <v>202</v>
      </c>
      <c r="AI31" s="302">
        <f t="shared" si="22"/>
        <v>524</v>
      </c>
      <c r="AJ31" s="302">
        <f>-tanks!AW32</f>
        <v>524</v>
      </c>
      <c r="AK31" s="302">
        <f t="shared" si="23"/>
        <v>0</v>
      </c>
      <c r="AL31" s="302">
        <f t="shared" si="8"/>
        <v>4</v>
      </c>
      <c r="AM31" s="302">
        <f t="shared" si="24"/>
        <v>2</v>
      </c>
      <c r="AN31" s="533">
        <f t="shared" si="25"/>
        <v>65</v>
      </c>
      <c r="AO31" s="304">
        <f t="shared" si="26"/>
        <v>1950</v>
      </c>
      <c r="AP31" s="533">
        <f t="shared" si="27"/>
        <v>35</v>
      </c>
      <c r="AQ31" s="304">
        <f t="shared" si="52"/>
        <v>1050</v>
      </c>
      <c r="AR31" s="533">
        <f t="shared" si="29"/>
        <v>73</v>
      </c>
      <c r="AS31" s="304">
        <f t="shared" si="38"/>
        <v>2190</v>
      </c>
      <c r="AT31" s="304">
        <f t="shared" si="51"/>
        <v>5190</v>
      </c>
      <c r="AU31" s="304">
        <f t="shared" si="40"/>
        <v>0</v>
      </c>
      <c r="AV31" s="259"/>
      <c r="AW31" s="259"/>
      <c r="AX31" s="297">
        <f t="shared" si="30"/>
        <v>0.8</v>
      </c>
    </row>
    <row r="32" spans="1:50">
      <c r="A32" s="63">
        <f>ELEC!C31</f>
        <v>44893</v>
      </c>
      <c r="B32" s="64">
        <v>213</v>
      </c>
      <c r="C32" s="64">
        <v>219</v>
      </c>
      <c r="D32" s="45">
        <f t="shared" si="49"/>
        <v>4</v>
      </c>
      <c r="E32" s="45">
        <f t="shared" si="9"/>
        <v>33.520000000000003</v>
      </c>
      <c r="F32" s="533">
        <f t="shared" si="10"/>
        <v>2331</v>
      </c>
      <c r="G32" s="52">
        <f t="shared" si="0"/>
        <v>0</v>
      </c>
      <c r="H32" s="533">
        <f t="shared" si="43"/>
        <v>50123</v>
      </c>
      <c r="I32" s="378">
        <f t="shared" si="1"/>
        <v>0</v>
      </c>
      <c r="J32" s="66">
        <f t="shared" si="11"/>
        <v>0</v>
      </c>
      <c r="K32" s="533">
        <v>2474</v>
      </c>
      <c r="L32" s="52">
        <f t="shared" si="12"/>
        <v>3</v>
      </c>
      <c r="M32" s="64">
        <v>184321</v>
      </c>
      <c r="N32" s="378">
        <f t="shared" si="2"/>
        <v>255</v>
      </c>
      <c r="O32" s="64">
        <f t="shared" si="48"/>
        <v>1869</v>
      </c>
      <c r="P32" s="533">
        <v>2232</v>
      </c>
      <c r="Q32" s="533">
        <v>186541</v>
      </c>
      <c r="R32" s="377">
        <f t="shared" si="44"/>
        <v>18</v>
      </c>
      <c r="S32" s="52">
        <f t="shared" si="5"/>
        <v>0</v>
      </c>
      <c r="T32" s="67">
        <f t="shared" si="34"/>
        <v>0</v>
      </c>
      <c r="U32" s="384">
        <f t="shared" si="13"/>
        <v>3</v>
      </c>
      <c r="V32" s="62">
        <f t="shared" si="14"/>
        <v>273</v>
      </c>
      <c r="W32" s="382"/>
      <c r="X32" s="533">
        <f t="shared" si="16"/>
        <v>2498</v>
      </c>
      <c r="Y32" s="52">
        <f t="shared" si="17"/>
        <v>0</v>
      </c>
      <c r="Z32" s="533">
        <f t="shared" si="18"/>
        <v>141419</v>
      </c>
      <c r="AA32" s="65">
        <f t="shared" si="6"/>
        <v>0</v>
      </c>
      <c r="AB32" s="272">
        <f t="shared" si="50"/>
        <v>0</v>
      </c>
      <c r="AC32" s="533">
        <v>1954</v>
      </c>
      <c r="AD32" s="259">
        <f t="shared" si="7"/>
        <v>1</v>
      </c>
      <c r="AE32" s="533">
        <v>367168</v>
      </c>
      <c r="AF32" s="292">
        <f t="shared" si="21"/>
        <v>51</v>
      </c>
      <c r="AG32" s="209">
        <f t="shared" si="36"/>
        <v>51</v>
      </c>
      <c r="AH32" s="62">
        <f t="shared" si="37"/>
        <v>51</v>
      </c>
      <c r="AI32" s="302">
        <f t="shared" si="22"/>
        <v>324</v>
      </c>
      <c r="AJ32" s="302">
        <f>-tanks!AW33</f>
        <v>324</v>
      </c>
      <c r="AK32" s="302">
        <f t="shared" si="23"/>
        <v>0</v>
      </c>
      <c r="AL32" s="302">
        <f t="shared" si="8"/>
        <v>3</v>
      </c>
      <c r="AM32" s="302">
        <f t="shared" si="24"/>
        <v>1</v>
      </c>
      <c r="AN32" s="533">
        <f t="shared" si="25"/>
        <v>65</v>
      </c>
      <c r="AO32" s="304">
        <f t="shared" si="26"/>
        <v>1950</v>
      </c>
      <c r="AP32" s="533">
        <f t="shared" si="27"/>
        <v>35</v>
      </c>
      <c r="AQ32" s="304">
        <f t="shared" si="52"/>
        <v>1050</v>
      </c>
      <c r="AR32" s="533">
        <f t="shared" si="29"/>
        <v>73</v>
      </c>
      <c r="AS32" s="304">
        <f t="shared" si="38"/>
        <v>2190</v>
      </c>
      <c r="AT32" s="304">
        <f t="shared" si="51"/>
        <v>5190</v>
      </c>
      <c r="AU32" s="304">
        <f t="shared" si="40"/>
        <v>0</v>
      </c>
      <c r="AV32" s="259"/>
      <c r="AW32" s="259"/>
      <c r="AX32" s="297">
        <f t="shared" si="30"/>
        <v>0.8</v>
      </c>
    </row>
    <row r="33" spans="1:50">
      <c r="A33" s="63">
        <f>ELEC!C32</f>
        <v>44894</v>
      </c>
      <c r="B33" s="64">
        <v>208</v>
      </c>
      <c r="C33" s="64">
        <v>215</v>
      </c>
      <c r="D33" s="45">
        <f t="shared" ref="D33:D35" si="53">C32-C33</f>
        <v>4</v>
      </c>
      <c r="E33" s="45">
        <f t="shared" ref="E33:E35" si="54">D33*8.38</f>
        <v>33.520000000000003</v>
      </c>
      <c r="F33" s="533">
        <f t="shared" si="10"/>
        <v>2331</v>
      </c>
      <c r="G33" s="52">
        <f t="shared" ref="G33:G35" si="55">F33-F32</f>
        <v>0</v>
      </c>
      <c r="H33" s="533">
        <f t="shared" si="43"/>
        <v>50123</v>
      </c>
      <c r="I33" s="378">
        <f t="shared" ref="I33:I35" si="56">SUM(H33-H32)</f>
        <v>0</v>
      </c>
      <c r="J33" s="66">
        <f t="shared" ref="J33:J35" si="57">IF(G33&gt;0,I33/G33,0)</f>
        <v>0</v>
      </c>
      <c r="K33" s="533">
        <v>2476</v>
      </c>
      <c r="L33" s="52">
        <f t="shared" ref="L33:L35" si="58">K33-K32</f>
        <v>2</v>
      </c>
      <c r="M33" s="64">
        <v>184464</v>
      </c>
      <c r="N33" s="378">
        <f t="shared" ref="N33:N35" si="59">M33-M32</f>
        <v>143</v>
      </c>
      <c r="O33" s="64">
        <f t="shared" si="48"/>
        <v>1869</v>
      </c>
      <c r="P33" s="533">
        <f t="shared" si="46"/>
        <v>2232</v>
      </c>
      <c r="Q33" s="533">
        <f t="shared" si="45"/>
        <v>186541</v>
      </c>
      <c r="R33" s="377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4">
        <f t="shared" ref="U33:U35" si="63">SUM(G33+L33+S33)</f>
        <v>2</v>
      </c>
      <c r="V33" s="62">
        <f t="shared" ref="V33:V35" si="64">R33+N33+I33:I33</f>
        <v>143</v>
      </c>
      <c r="W33" s="382"/>
      <c r="X33" s="533">
        <f t="shared" si="16"/>
        <v>2498</v>
      </c>
      <c r="Y33" s="52">
        <f t="shared" ref="Y33:Y35" si="65">X33-X32</f>
        <v>0</v>
      </c>
      <c r="Z33" s="533">
        <f t="shared" si="18"/>
        <v>141419</v>
      </c>
      <c r="AA33" s="65">
        <f t="shared" ref="AA33:AA35" si="66">Z33-Z32</f>
        <v>0</v>
      </c>
      <c r="AB33" s="272">
        <f t="shared" ref="AB33:AB35" si="67">SUM(Y33*$AB$2)</f>
        <v>0</v>
      </c>
      <c r="AC33" s="533">
        <f t="shared" si="19"/>
        <v>1954</v>
      </c>
      <c r="AD33" s="259">
        <f t="shared" ref="AD33:AD35" si="68">AC33-AC32</f>
        <v>0</v>
      </c>
      <c r="AE33" s="533">
        <f t="shared" si="20"/>
        <v>367168</v>
      </c>
      <c r="AF33" s="292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2">
        <f t="shared" ref="AI33:AI35" si="72">SUM(AH33+V33)</f>
        <v>143</v>
      </c>
      <c r="AJ33" s="302">
        <f>-tanks!AW34</f>
        <v>143</v>
      </c>
      <c r="AK33" s="302">
        <f t="shared" ref="AK33:AK35" si="73">SUM(AJ33-AI33)</f>
        <v>0</v>
      </c>
      <c r="AL33" s="302">
        <f t="shared" ref="AL33:AL35" si="74">S33+L33+G33</f>
        <v>2</v>
      </c>
      <c r="AM33" s="302">
        <f t="shared" ref="AM33:AM35" si="75">Y33+AD33</f>
        <v>0</v>
      </c>
      <c r="AN33" s="533">
        <f t="shared" si="25"/>
        <v>65</v>
      </c>
      <c r="AO33" s="304">
        <f t="shared" si="26"/>
        <v>1950</v>
      </c>
      <c r="AP33" s="533">
        <f t="shared" si="27"/>
        <v>35</v>
      </c>
      <c r="AQ33" s="304">
        <f t="shared" ref="AQ33:AQ35" si="76">(AP33/100)*3000</f>
        <v>1050</v>
      </c>
      <c r="AR33" s="533">
        <f t="shared" si="29"/>
        <v>73</v>
      </c>
      <c r="AS33" s="304">
        <f t="shared" si="38"/>
        <v>2190</v>
      </c>
      <c r="AT33" s="304">
        <f t="shared" si="51"/>
        <v>5190</v>
      </c>
      <c r="AU33" s="304">
        <f t="shared" si="40"/>
        <v>0</v>
      </c>
      <c r="AV33" s="259"/>
      <c r="AW33" s="259"/>
      <c r="AX33" s="297">
        <f t="shared" ref="AX33:AX35" si="77">IF(AV33&gt;0,AW33,AX32)</f>
        <v>0.8</v>
      </c>
    </row>
    <row r="34" spans="1:50">
      <c r="A34" s="63">
        <f>ELEC!C33</f>
        <v>44895</v>
      </c>
      <c r="B34" s="64">
        <v>243</v>
      </c>
      <c r="C34" s="64">
        <v>250</v>
      </c>
      <c r="D34" s="45">
        <f t="shared" si="53"/>
        <v>-35</v>
      </c>
      <c r="E34" s="45">
        <f t="shared" si="54"/>
        <v>-293.3</v>
      </c>
      <c r="F34" s="533">
        <f t="shared" si="10"/>
        <v>2331</v>
      </c>
      <c r="G34" s="52">
        <f t="shared" si="55"/>
        <v>0</v>
      </c>
      <c r="H34" s="533">
        <f t="shared" si="43"/>
        <v>50123</v>
      </c>
      <c r="I34" s="378">
        <f t="shared" si="56"/>
        <v>0</v>
      </c>
      <c r="J34" s="66">
        <f t="shared" si="57"/>
        <v>0</v>
      </c>
      <c r="K34" s="533">
        <v>2478</v>
      </c>
      <c r="L34" s="52">
        <f t="shared" si="58"/>
        <v>2</v>
      </c>
      <c r="M34" s="64">
        <v>184687</v>
      </c>
      <c r="N34" s="378">
        <f t="shared" si="59"/>
        <v>223</v>
      </c>
      <c r="O34" s="64">
        <f t="shared" si="48"/>
        <v>1869</v>
      </c>
      <c r="P34" s="533">
        <f t="shared" si="46"/>
        <v>2232</v>
      </c>
      <c r="Q34" s="533">
        <f t="shared" si="45"/>
        <v>186541</v>
      </c>
      <c r="R34" s="377">
        <f t="shared" si="60"/>
        <v>0</v>
      </c>
      <c r="S34" s="52">
        <f t="shared" si="61"/>
        <v>0</v>
      </c>
      <c r="T34" s="67">
        <f t="shared" si="62"/>
        <v>0</v>
      </c>
      <c r="U34" s="384">
        <f t="shared" si="63"/>
        <v>2</v>
      </c>
      <c r="V34" s="62">
        <f t="shared" si="64"/>
        <v>223</v>
      </c>
      <c r="W34" s="382"/>
      <c r="X34" s="533">
        <f t="shared" si="16"/>
        <v>2498</v>
      </c>
      <c r="Y34" s="52">
        <f t="shared" si="65"/>
        <v>0</v>
      </c>
      <c r="Z34" s="533">
        <f t="shared" si="18"/>
        <v>141419</v>
      </c>
      <c r="AA34" s="65">
        <f t="shared" si="66"/>
        <v>0</v>
      </c>
      <c r="AB34" s="272">
        <f t="shared" si="67"/>
        <v>0</v>
      </c>
      <c r="AC34" s="533">
        <f t="shared" si="19"/>
        <v>1954</v>
      </c>
      <c r="AD34" s="259">
        <f t="shared" si="68"/>
        <v>0</v>
      </c>
      <c r="AE34" s="533">
        <f t="shared" si="20"/>
        <v>367168</v>
      </c>
      <c r="AF34" s="292">
        <f t="shared" si="69"/>
        <v>0</v>
      </c>
      <c r="AG34" s="209">
        <f t="shared" si="70"/>
        <v>0</v>
      </c>
      <c r="AH34" s="62">
        <f t="shared" si="71"/>
        <v>0</v>
      </c>
      <c r="AI34" s="302">
        <f t="shared" si="72"/>
        <v>223</v>
      </c>
      <c r="AJ34" s="302">
        <f>-tanks!AW35</f>
        <v>223</v>
      </c>
      <c r="AK34" s="302">
        <f t="shared" si="73"/>
        <v>0</v>
      </c>
      <c r="AL34" s="302">
        <f t="shared" si="74"/>
        <v>2</v>
      </c>
      <c r="AM34" s="302">
        <f t="shared" si="75"/>
        <v>0</v>
      </c>
      <c r="AN34" s="533">
        <f t="shared" si="25"/>
        <v>65</v>
      </c>
      <c r="AO34" s="304">
        <f t="shared" si="26"/>
        <v>1950</v>
      </c>
      <c r="AP34" s="533">
        <f t="shared" si="27"/>
        <v>35</v>
      </c>
      <c r="AQ34" s="304">
        <f t="shared" si="76"/>
        <v>1050</v>
      </c>
      <c r="AR34" s="533">
        <f t="shared" si="29"/>
        <v>73</v>
      </c>
      <c r="AS34" s="304">
        <f t="shared" si="38"/>
        <v>2190</v>
      </c>
      <c r="AT34" s="304">
        <f t="shared" si="51"/>
        <v>5190</v>
      </c>
      <c r="AU34" s="304">
        <f t="shared" si="40"/>
        <v>0</v>
      </c>
      <c r="AV34" s="259"/>
      <c r="AW34" s="259"/>
      <c r="AX34" s="297">
        <f t="shared" si="77"/>
        <v>0.8</v>
      </c>
    </row>
    <row r="35" spans="1:50">
      <c r="A35" s="63">
        <f>ELEC!C34</f>
        <v>44896</v>
      </c>
      <c r="B35" s="64">
        <f t="shared" si="41"/>
        <v>243</v>
      </c>
      <c r="C35" s="64">
        <f t="shared" si="42"/>
        <v>250</v>
      </c>
      <c r="D35" s="45">
        <f t="shared" si="53"/>
        <v>0</v>
      </c>
      <c r="E35" s="45">
        <f t="shared" si="54"/>
        <v>0</v>
      </c>
      <c r="F35" s="533">
        <f t="shared" si="10"/>
        <v>2331</v>
      </c>
      <c r="G35" s="52">
        <f t="shared" si="55"/>
        <v>0</v>
      </c>
      <c r="H35" s="533">
        <f t="shared" si="43"/>
        <v>50123</v>
      </c>
      <c r="I35" s="378">
        <f t="shared" si="56"/>
        <v>0</v>
      </c>
      <c r="J35" s="66">
        <f t="shared" si="57"/>
        <v>0</v>
      </c>
      <c r="K35" s="533">
        <f t="shared" si="32"/>
        <v>2478</v>
      </c>
      <c r="L35" s="52">
        <f t="shared" si="58"/>
        <v>0</v>
      </c>
      <c r="M35" s="64">
        <f t="shared" si="33"/>
        <v>184687</v>
      </c>
      <c r="N35" s="378">
        <f t="shared" si="59"/>
        <v>0</v>
      </c>
      <c r="O35" s="64">
        <f t="shared" si="48"/>
        <v>1869</v>
      </c>
      <c r="P35" s="533">
        <f t="shared" si="46"/>
        <v>2232</v>
      </c>
      <c r="Q35" s="533">
        <f t="shared" si="45"/>
        <v>186541</v>
      </c>
      <c r="R35" s="377">
        <f t="shared" si="60"/>
        <v>0</v>
      </c>
      <c r="S35" s="52">
        <f t="shared" si="61"/>
        <v>0</v>
      </c>
      <c r="T35" s="67">
        <f t="shared" si="62"/>
        <v>0</v>
      </c>
      <c r="U35" s="384">
        <f t="shared" si="63"/>
        <v>0</v>
      </c>
      <c r="V35" s="62">
        <f t="shared" si="64"/>
        <v>0</v>
      </c>
      <c r="W35" s="382"/>
      <c r="X35" s="533">
        <f t="shared" si="16"/>
        <v>2498</v>
      </c>
      <c r="Y35" s="52">
        <f t="shared" si="65"/>
        <v>0</v>
      </c>
      <c r="Z35" s="533">
        <f t="shared" si="18"/>
        <v>141419</v>
      </c>
      <c r="AA35" s="65">
        <f t="shared" si="66"/>
        <v>0</v>
      </c>
      <c r="AB35" s="272">
        <f t="shared" si="67"/>
        <v>0</v>
      </c>
      <c r="AC35" s="533">
        <f t="shared" si="19"/>
        <v>1954</v>
      </c>
      <c r="AD35" s="259">
        <f t="shared" si="68"/>
        <v>0</v>
      </c>
      <c r="AE35" s="533">
        <f t="shared" si="20"/>
        <v>367168</v>
      </c>
      <c r="AF35" s="292">
        <f t="shared" si="69"/>
        <v>0</v>
      </c>
      <c r="AG35" s="209">
        <f t="shared" si="70"/>
        <v>0</v>
      </c>
      <c r="AH35" s="62">
        <f t="shared" si="71"/>
        <v>0</v>
      </c>
      <c r="AI35" s="302">
        <f t="shared" si="72"/>
        <v>0</v>
      </c>
      <c r="AJ35" s="302">
        <f>-tanks!AW36</f>
        <v>0</v>
      </c>
      <c r="AK35" s="302">
        <f t="shared" si="73"/>
        <v>0</v>
      </c>
      <c r="AL35" s="302">
        <f t="shared" si="74"/>
        <v>0</v>
      </c>
      <c r="AM35" s="302">
        <f t="shared" si="75"/>
        <v>0</v>
      </c>
      <c r="AN35" s="533">
        <f t="shared" si="25"/>
        <v>65</v>
      </c>
      <c r="AO35" s="304">
        <f t="shared" si="26"/>
        <v>1950</v>
      </c>
      <c r="AP35" s="533">
        <f t="shared" si="27"/>
        <v>35</v>
      </c>
      <c r="AQ35" s="304">
        <f t="shared" si="76"/>
        <v>1050</v>
      </c>
      <c r="AR35" s="533">
        <f t="shared" si="29"/>
        <v>73</v>
      </c>
      <c r="AS35" s="304">
        <f t="shared" si="38"/>
        <v>2190</v>
      </c>
      <c r="AT35" s="304">
        <f t="shared" si="51"/>
        <v>5190</v>
      </c>
      <c r="AU35" s="304">
        <f t="shared" si="40"/>
        <v>0</v>
      </c>
      <c r="AV35" s="259"/>
      <c r="AW35" s="259"/>
      <c r="AX35" s="297">
        <f t="shared" si="77"/>
        <v>0.8</v>
      </c>
    </row>
    <row r="36" spans="1:50">
      <c r="J36" s="271">
        <f>SUM(J5:J32)/(COUNT(J5:J32)-COUNTIF(J5:J32,0))</f>
        <v>67.179487179487197</v>
      </c>
      <c r="U36" s="70">
        <f>SUM(U5:U35)</f>
        <v>40</v>
      </c>
      <c r="V36" s="62">
        <f>SUM(V5:V35)</f>
        <v>3132</v>
      </c>
      <c r="AE36" s="71" t="s">
        <v>379</v>
      </c>
      <c r="AG36" s="328"/>
      <c r="AH36" s="62">
        <f>SUM(AH5:AH35)</f>
        <v>481</v>
      </c>
      <c r="AL36" s="62">
        <f>SUM(AL5:AL35)</f>
        <v>40</v>
      </c>
      <c r="AM36" s="62">
        <f>SUM(AM5:AM35)</f>
        <v>5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78.3</v>
      </c>
      <c r="AH37" s="62">
        <f>AF37+AA37</f>
        <v>0</v>
      </c>
      <c r="AI37" s="305">
        <f>SUM(AI5:AI35)</f>
        <v>3613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0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39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M1" zoomScale="85" zoomScaleNormal="85" workbookViewId="0">
      <pane ySplit="3" topLeftCell="A19" activePane="bottomLeft" state="frozen"/>
      <selection pane="bottomLeft" activeCell="AY35" sqref="AY3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3" customWidth="1"/>
    <col min="14" max="14" width="10.7109375" style="465" customWidth="1"/>
    <col min="15" max="15" width="11.28515625" style="463" customWidth="1"/>
    <col min="16" max="16" width="11.28515625" style="465" customWidth="1"/>
    <col min="17" max="17" width="17.28515625" style="463" customWidth="1"/>
    <col min="18" max="19" width="10.7109375" style="463" customWidth="1"/>
    <col min="20" max="20" width="13.28515625" style="388" customWidth="1"/>
    <col min="21" max="21" width="8.7109375" style="390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1" customFormat="1" ht="15.75" thickBot="1">
      <c r="B1" s="342"/>
      <c r="C1" s="342"/>
      <c r="D1" s="397">
        <f>SUM(G21:G33)</f>
        <v>8209884</v>
      </c>
      <c r="E1" s="343"/>
      <c r="F1" s="343"/>
      <c r="G1" s="342"/>
      <c r="H1" s="342"/>
      <c r="I1" s="342"/>
      <c r="J1" s="343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2"/>
      <c r="AR1" s="345" t="s">
        <v>92</v>
      </c>
      <c r="AS1" s="346"/>
      <c r="AT1" s="346" t="s">
        <v>60</v>
      </c>
      <c r="AU1" s="346"/>
      <c r="AV1" s="347" t="s">
        <v>61</v>
      </c>
    </row>
    <row r="2" spans="1:65" s="341" customFormat="1" ht="15.75" customHeight="1" thickBot="1">
      <c r="B2" s="342"/>
      <c r="C2" s="342"/>
      <c r="D2" s="342"/>
      <c r="E2" s="343"/>
      <c r="F2" s="343"/>
      <c r="G2" s="342"/>
      <c r="H2" s="342"/>
      <c r="I2" s="342"/>
      <c r="J2" s="343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2"/>
      <c r="AR2" s="624" t="s">
        <v>95</v>
      </c>
      <c r="AS2" s="625"/>
      <c r="AT2" s="625"/>
      <c r="AU2" s="625"/>
      <c r="AV2" s="626"/>
      <c r="AW2" s="624" t="s">
        <v>96</v>
      </c>
      <c r="AX2" s="625"/>
      <c r="AY2" s="626"/>
      <c r="AZ2" s="624" t="s">
        <v>98</v>
      </c>
      <c r="BA2" s="625"/>
      <c r="BB2" s="626"/>
      <c r="BC2" s="348"/>
      <c r="BE2" s="349"/>
    </row>
    <row r="3" spans="1:65" s="341" customFormat="1" ht="48" customHeight="1" thickBot="1">
      <c r="A3" s="350" t="s">
        <v>51</v>
      </c>
      <c r="B3" s="351" t="s">
        <v>52</v>
      </c>
      <c r="C3" s="351" t="s">
        <v>53</v>
      </c>
      <c r="D3" s="351" t="s">
        <v>54</v>
      </c>
      <c r="E3" s="352"/>
      <c r="F3" s="353" t="s">
        <v>80</v>
      </c>
      <c r="G3" s="351" t="s">
        <v>55</v>
      </c>
      <c r="H3" s="351" t="s">
        <v>56</v>
      </c>
      <c r="I3" s="351" t="s">
        <v>100</v>
      </c>
      <c r="J3" s="352"/>
      <c r="K3" s="351" t="s">
        <v>388</v>
      </c>
      <c r="L3" s="354" t="s">
        <v>324</v>
      </c>
      <c r="M3" s="477" t="s">
        <v>395</v>
      </c>
      <c r="N3" s="478"/>
      <c r="O3" s="479" t="s">
        <v>396</v>
      </c>
      <c r="P3" s="479"/>
      <c r="Q3" s="479" t="s">
        <v>392</v>
      </c>
      <c r="R3" s="479" t="s">
        <v>394</v>
      </c>
      <c r="S3" s="479" t="s">
        <v>393</v>
      </c>
      <c r="T3" s="351" t="s">
        <v>376</v>
      </c>
      <c r="U3" s="351" t="s">
        <v>378</v>
      </c>
      <c r="V3" s="355" t="s">
        <v>328</v>
      </c>
      <c r="W3" s="356" t="s">
        <v>329</v>
      </c>
      <c r="X3" s="355" t="s">
        <v>332</v>
      </c>
      <c r="Y3" s="356" t="s">
        <v>333</v>
      </c>
      <c r="Z3" s="357" t="s">
        <v>334</v>
      </c>
      <c r="AA3" s="358" t="s">
        <v>391</v>
      </c>
      <c r="AB3" s="420" t="s">
        <v>390</v>
      </c>
      <c r="AC3" s="418" t="s">
        <v>389</v>
      </c>
      <c r="AD3" s="418"/>
      <c r="AE3" s="359" t="s">
        <v>399</v>
      </c>
      <c r="AF3" s="359" t="s">
        <v>400</v>
      </c>
      <c r="AG3" s="359" t="s">
        <v>401</v>
      </c>
      <c r="AH3" s="359" t="s">
        <v>402</v>
      </c>
      <c r="AI3" s="358" t="s">
        <v>403</v>
      </c>
      <c r="AJ3" s="358" t="s">
        <v>335</v>
      </c>
      <c r="AK3" s="359" t="s">
        <v>337</v>
      </c>
      <c r="AL3" s="359" t="s">
        <v>336</v>
      </c>
      <c r="AM3" s="360" t="s">
        <v>125</v>
      </c>
      <c r="AN3" s="621" t="s">
        <v>126</v>
      </c>
      <c r="AO3" s="622"/>
      <c r="AP3" s="623"/>
      <c r="AR3" s="361" t="s">
        <v>51</v>
      </c>
      <c r="AS3" s="362"/>
      <c r="AT3" s="361" t="s">
        <v>94</v>
      </c>
      <c r="AU3" s="362"/>
      <c r="AV3" s="363" t="s">
        <v>57</v>
      </c>
      <c r="AW3" s="364"/>
      <c r="AX3" s="362" t="s">
        <v>59</v>
      </c>
      <c r="AY3" s="365" t="s">
        <v>93</v>
      </c>
      <c r="AZ3" s="363" t="s">
        <v>57</v>
      </c>
      <c r="BA3" s="366" t="s">
        <v>59</v>
      </c>
      <c r="BB3" s="367" t="s">
        <v>57</v>
      </c>
      <c r="BC3" s="367" t="s">
        <v>58</v>
      </c>
      <c r="BD3" s="368" t="s">
        <v>59</v>
      </c>
      <c r="BE3" s="369" t="s">
        <v>99</v>
      </c>
      <c r="BF3" s="368" t="s">
        <v>97</v>
      </c>
      <c r="BG3" s="370"/>
      <c r="BI3" s="371"/>
      <c r="BJ3" s="371"/>
      <c r="BK3" s="371"/>
      <c r="BL3" s="371"/>
      <c r="BM3" s="371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0"/>
      <c r="N4" s="480"/>
      <c r="O4" s="480"/>
      <c r="P4" s="480"/>
      <c r="Q4" s="480"/>
      <c r="R4" s="480"/>
      <c r="S4" s="480"/>
      <c r="T4" s="83"/>
      <c r="U4" s="83"/>
      <c r="V4" s="307"/>
      <c r="W4" s="308"/>
      <c r="X4" s="307"/>
      <c r="Y4" s="308"/>
      <c r="Z4" s="309"/>
      <c r="AA4" s="419"/>
      <c r="AB4" s="421"/>
      <c r="AC4" s="419"/>
      <c r="AD4" s="419"/>
      <c r="AE4" s="419"/>
      <c r="AF4" s="419"/>
      <c r="AG4" s="419"/>
      <c r="AH4" s="419"/>
      <c r="AI4" s="419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44865</v>
      </c>
      <c r="B5" s="391">
        <f>[2]WATER!B36</f>
        <v>109443</v>
      </c>
      <c r="C5" s="391">
        <f>[2]WATER!C36</f>
        <v>0</v>
      </c>
      <c r="D5" s="391">
        <f>[2]WATER!D36</f>
        <v>0</v>
      </c>
      <c r="E5" s="391">
        <f>[2]WATER!E36</f>
        <v>241.93548387096774</v>
      </c>
      <c r="F5" s="391">
        <f>[2]WATER!F36</f>
        <v>0</v>
      </c>
      <c r="G5" s="391">
        <f>[2]WATER!G36</f>
        <v>630998</v>
      </c>
      <c r="H5" s="391">
        <f>[2]WATER!H36</f>
        <v>0</v>
      </c>
      <c r="I5" s="391">
        <f>[2]WATER!I36</f>
        <v>0</v>
      </c>
      <c r="J5" s="391">
        <f>[2]WATER!J36</f>
        <v>0</v>
      </c>
      <c r="K5" s="391">
        <f>[2]WATER!K36</f>
        <v>7089</v>
      </c>
      <c r="L5" s="391">
        <f>[2]WATER!L36</f>
        <v>0</v>
      </c>
      <c r="M5" s="391">
        <f>[2]WATER!M36</f>
        <v>457.44</v>
      </c>
      <c r="N5" s="391">
        <f>[2]WATER!N36</f>
        <v>0</v>
      </c>
      <c r="O5" s="391">
        <f>[2]WATER!O36</f>
        <v>529.52</v>
      </c>
      <c r="P5" s="391">
        <f>[2]WATER!P36</f>
        <v>0</v>
      </c>
      <c r="Q5" s="391">
        <f>[2]WATER!Q36</f>
        <v>0</v>
      </c>
      <c r="R5" s="391">
        <f>[2]WATER!R36</f>
        <v>0</v>
      </c>
      <c r="S5" s="391">
        <f>[2]WATER!S36</f>
        <v>0</v>
      </c>
      <c r="T5" s="391">
        <f>[2]WATER!T36</f>
        <v>5195</v>
      </c>
      <c r="U5" s="391">
        <f>[2]WATER!U36</f>
        <v>1</v>
      </c>
      <c r="V5" s="391">
        <f>[2]WATER!V36</f>
        <v>501</v>
      </c>
      <c r="W5" s="391">
        <f>[2]WATER!W36</f>
        <v>1</v>
      </c>
      <c r="X5" s="391">
        <f>[2]WATER!X36</f>
        <v>156017</v>
      </c>
      <c r="Y5" s="391">
        <f>[2]WATER!Y36</f>
        <v>0</v>
      </c>
      <c r="Z5" s="391">
        <f>[2]WATER!Z36</f>
        <v>99699</v>
      </c>
      <c r="AA5" s="391">
        <f>[2]WATER!AA36</f>
        <v>0</v>
      </c>
      <c r="AB5" s="391">
        <f>[2]WATER!AB36</f>
        <v>251</v>
      </c>
      <c r="AC5" s="391">
        <f>[2]WATER!AC36</f>
        <v>855</v>
      </c>
      <c r="AD5" s="391">
        <f>[2]WATER!AD36</f>
        <v>0</v>
      </c>
      <c r="AE5" s="391">
        <f>[2]WATER!AE36</f>
        <v>250.96</v>
      </c>
      <c r="AF5" s="391">
        <f>[2]WATER!AF36</f>
        <v>0</v>
      </c>
      <c r="AG5" s="391">
        <f>[2]WATER!AG36</f>
        <v>2247.41</v>
      </c>
      <c r="AH5" s="391">
        <f>[2]WATER!AH36</f>
        <v>0</v>
      </c>
      <c r="AI5" s="391">
        <f>[2]WATER!AI36</f>
        <v>0</v>
      </c>
      <c r="AJ5" s="391">
        <f>[2]WATER!AJ36</f>
        <v>0</v>
      </c>
      <c r="AK5" s="391">
        <f>[2]WATER!AK36</f>
        <v>0</v>
      </c>
      <c r="AL5" s="391">
        <f>[2]WATER!AL36</f>
        <v>-1</v>
      </c>
      <c r="AM5" s="391">
        <f>[2]WATER!AM36</f>
        <v>24.5</v>
      </c>
      <c r="AN5" s="391">
        <f>[2]WATER!AN36</f>
        <v>0</v>
      </c>
      <c r="AO5" s="391">
        <f>[2]WATER!AO36</f>
        <v>0</v>
      </c>
      <c r="AP5" s="391">
        <f>[2]WATER!AP36</f>
        <v>0</v>
      </c>
      <c r="AR5" s="539">
        <f>[2]WATER!$AR$36</f>
        <v>44865</v>
      </c>
      <c r="AS5" s="391">
        <f>[2]WATER!AS36</f>
        <v>0.9</v>
      </c>
      <c r="AT5" s="391">
        <f>[2]WATER!AT36</f>
        <v>145</v>
      </c>
      <c r="AU5" s="391">
        <f>[2]WATER!AU36</f>
        <v>1.1000000000000001</v>
      </c>
      <c r="AV5" s="391">
        <f>[2]WATER!AV36</f>
        <v>75</v>
      </c>
      <c r="AW5" s="391">
        <f>[2]WATER!AW36</f>
        <v>2.9</v>
      </c>
      <c r="AX5" s="391">
        <f>[2]WATER!AX36</f>
        <v>65</v>
      </c>
      <c r="AY5" s="391">
        <f>[2]WATER!AY36</f>
        <v>130.5</v>
      </c>
      <c r="AZ5" s="391">
        <f>[2]WATER!AZ36</f>
        <v>82.5</v>
      </c>
      <c r="BA5" s="391">
        <f>[2]WATER!BA36</f>
        <v>188.5</v>
      </c>
      <c r="BB5" s="391">
        <f>[2]WATER!BB36</f>
        <v>0</v>
      </c>
      <c r="BC5" s="391">
        <f>[2]WATER!BC36</f>
        <v>-1.1000000000000085</v>
      </c>
      <c r="BD5" s="391">
        <f>[2]WATER!BD36</f>
        <v>0</v>
      </c>
      <c r="BE5" s="391">
        <f>[2]WATER!BE36</f>
        <v>-1.1000000000000085</v>
      </c>
      <c r="BF5" s="391">
        <f>[2]WATER!BF36</f>
        <v>1.1000000000000085</v>
      </c>
      <c r="BG5" s="391">
        <f>[2]WATER!BG36</f>
        <v>-1.1000000000000085</v>
      </c>
    </row>
    <row r="6" spans="1:65" ht="15.75" thickBot="1">
      <c r="A6" s="6">
        <f>ELEC!C4</f>
        <v>44866</v>
      </c>
      <c r="B6" s="5">
        <f>B5</f>
        <v>109443</v>
      </c>
      <c r="C6" s="5">
        <f>B6-B5</f>
        <v>0</v>
      </c>
      <c r="D6" s="400">
        <f>C6/27</f>
        <v>0</v>
      </c>
      <c r="E6" s="317">
        <f>SUM((C6*$E$4)+(7500/'EDl log'!$A$37))</f>
        <v>250</v>
      </c>
      <c r="F6" s="399"/>
      <c r="G6" s="5">
        <f>G5</f>
        <v>630998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1">
        <f>M5</f>
        <v>457.44</v>
      </c>
      <c r="N6" s="480">
        <f t="shared" ref="N6:N13" si="1">SUM(M6-M5)</f>
        <v>0</v>
      </c>
      <c r="O6" s="391">
        <f>O5</f>
        <v>529.52</v>
      </c>
      <c r="P6" s="480">
        <f t="shared" ref="P6:P13" si="2">SUM(O6-O5)</f>
        <v>0</v>
      </c>
      <c r="Q6" s="481">
        <f>P6+N6</f>
        <v>0</v>
      </c>
      <c r="R6" s="480"/>
      <c r="S6" s="480"/>
      <c r="T6" s="5">
        <f>T5</f>
        <v>5195</v>
      </c>
      <c r="U6" s="5">
        <f t="shared" ref="U6:U33" si="3">SUM(T6-T5)</f>
        <v>0</v>
      </c>
      <c r="V6" s="5">
        <f>V5</f>
        <v>501</v>
      </c>
      <c r="W6" s="308">
        <f>+V6-V5</f>
        <v>0</v>
      </c>
      <c r="X6" s="5">
        <f>X5</f>
        <v>156017</v>
      </c>
      <c r="Y6" s="308">
        <f>SUM(X6-X5)</f>
        <v>0</v>
      </c>
      <c r="Z6" s="5">
        <f>Z5</f>
        <v>99699</v>
      </c>
      <c r="AA6" s="83">
        <f>Z6-Z5</f>
        <v>0</v>
      </c>
      <c r="AB6" s="5">
        <f>AB5</f>
        <v>251</v>
      </c>
      <c r="AC6" s="5">
        <f>AC5</f>
        <v>855</v>
      </c>
      <c r="AD6" s="83">
        <v>0</v>
      </c>
      <c r="AE6" s="5">
        <f>AE5</f>
        <v>250.96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22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44866</v>
      </c>
      <c r="AS6" s="405">
        <f>AS5</f>
        <v>0.9</v>
      </c>
      <c r="AT6" s="201">
        <v>128</v>
      </c>
      <c r="AU6" s="406">
        <f>AU5</f>
        <v>1.1000000000000001</v>
      </c>
      <c r="AV6" s="201">
        <v>83</v>
      </c>
      <c r="AW6" s="5">
        <v>2.9</v>
      </c>
      <c r="AX6" s="201">
        <v>62</v>
      </c>
      <c r="AY6" s="407">
        <f>AS6*AT6</f>
        <v>115.2</v>
      </c>
      <c r="AZ6" s="407">
        <f>AU6*AV6</f>
        <v>91.300000000000011</v>
      </c>
      <c r="BA6" s="407">
        <f>AW6*AX6</f>
        <v>179.79999999999998</v>
      </c>
      <c r="BB6" s="21">
        <f>AY6-AY5</f>
        <v>-15.299999999999997</v>
      </c>
      <c r="BC6" s="21">
        <f>AZ6-AZ5</f>
        <v>8.8000000000000114</v>
      </c>
      <c r="BD6" s="21">
        <f>BA6-BA5</f>
        <v>-8.7000000000000171</v>
      </c>
      <c r="BE6" s="24">
        <f>SUM(BB6:BD6)</f>
        <v>-15.200000000000003</v>
      </c>
      <c r="BF6" s="96">
        <f>SUM(I6-BE6)</f>
        <v>15.200000000000003</v>
      </c>
      <c r="BG6" s="82">
        <f t="shared" ref="BG6:BG33" si="4">SUM(I6-BF6)</f>
        <v>-15.200000000000003</v>
      </c>
      <c r="BI6" s="17"/>
      <c r="BJ6" s="17"/>
      <c r="BK6" s="17"/>
      <c r="BL6" s="17"/>
      <c r="BM6" s="17"/>
    </row>
    <row r="7" spans="1:65" ht="15.75" thickBot="1">
      <c r="A7" s="6">
        <f>ELEC!C5</f>
        <v>44867</v>
      </c>
      <c r="B7" s="5">
        <f t="shared" ref="B7:B36" si="5">B6</f>
        <v>109443</v>
      </c>
      <c r="C7" s="5">
        <f t="shared" ref="C7:C33" si="6">B7-B6</f>
        <v>0</v>
      </c>
      <c r="D7" s="400">
        <f t="shared" ref="D7:D33" si="7">C7/27</f>
        <v>0</v>
      </c>
      <c r="E7" s="317">
        <f>SUM((C7*$E$4)+(7500/'EDl log'!$A$37))</f>
        <v>250</v>
      </c>
      <c r="F7" s="399"/>
      <c r="G7" s="5">
        <v>631157</v>
      </c>
      <c r="H7" s="5">
        <f t="shared" ref="H7:H33" si="8">G7-G6</f>
        <v>159</v>
      </c>
      <c r="I7" s="5">
        <f t="shared" ref="I7:I33" si="9">C7+H7</f>
        <v>159</v>
      </c>
      <c r="J7" s="318">
        <f t="shared" si="0"/>
        <v>1.5723270440251573</v>
      </c>
      <c r="K7" s="5">
        <f t="shared" ref="K7:K36" si="10">K6</f>
        <v>7089</v>
      </c>
      <c r="L7" s="83">
        <f>K7-K6</f>
        <v>0</v>
      </c>
      <c r="M7" s="391">
        <f t="shared" ref="M7:M36" si="11">M6</f>
        <v>457.44</v>
      </c>
      <c r="N7" s="480">
        <f t="shared" si="1"/>
        <v>0</v>
      </c>
      <c r="O7" s="391">
        <f t="shared" ref="O7:O36" si="12">O6</f>
        <v>529.52</v>
      </c>
      <c r="P7" s="480">
        <f t="shared" si="2"/>
        <v>0</v>
      </c>
      <c r="Q7" s="481">
        <f>P7+N7</f>
        <v>0</v>
      </c>
      <c r="R7" s="480"/>
      <c r="S7" s="480"/>
      <c r="T7" s="5">
        <f t="shared" ref="T7:T36" si="13">T6</f>
        <v>5195</v>
      </c>
      <c r="U7" s="5">
        <f t="shared" si="3"/>
        <v>0</v>
      </c>
      <c r="V7" s="5">
        <f t="shared" ref="V7:V36" si="14">V6</f>
        <v>501</v>
      </c>
      <c r="W7" s="308">
        <f t="shared" ref="W7:W33" si="15">+V7-V6</f>
        <v>0</v>
      </c>
      <c r="X7" s="5">
        <f t="shared" ref="X7:X36" si="16">X6</f>
        <v>156017</v>
      </c>
      <c r="Y7" s="308">
        <f>SUM(X7-X6)</f>
        <v>0</v>
      </c>
      <c r="Z7" s="5">
        <f t="shared" ref="Z7:Z36" si="17">Z6</f>
        <v>99699</v>
      </c>
      <c r="AA7" s="83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3">
        <f>AC7-AC6</f>
        <v>0</v>
      </c>
      <c r="AE7" s="5">
        <f t="shared" ref="AE7:AE36" si="21">AE6</f>
        <v>250.96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0">
        <f t="shared" ref="AJ7:AJ33" si="26">+Z7-Z6</f>
        <v>0</v>
      </c>
      <c r="AK7" s="311">
        <f>SUM(Y7-L7)</f>
        <v>0</v>
      </c>
      <c r="AL7" s="311">
        <f t="shared" ref="AL7:AL33" si="27">SUM(AJ7-W7)</f>
        <v>0</v>
      </c>
      <c r="AM7" s="311">
        <f>'General information '!D6</f>
        <v>21.5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44867</v>
      </c>
      <c r="AS7" s="405">
        <f t="shared" ref="AS7:AT21" si="29">AS6</f>
        <v>0.9</v>
      </c>
      <c r="AT7" s="201">
        <v>128</v>
      </c>
      <c r="AU7" s="406">
        <f>AU6</f>
        <v>1.1000000000000001</v>
      </c>
      <c r="AV7" s="201">
        <v>78</v>
      </c>
      <c r="AW7" s="5">
        <v>2.9</v>
      </c>
      <c r="AX7" s="201">
        <v>57</v>
      </c>
      <c r="AY7" s="407">
        <f>AS7*AT7</f>
        <v>115.2</v>
      </c>
      <c r="AZ7" s="407">
        <f>AU7*AV7</f>
        <v>85.800000000000011</v>
      </c>
      <c r="BA7" s="407">
        <f>AW7*AX7</f>
        <v>165.29999999999998</v>
      </c>
      <c r="BB7" s="21">
        <f>AY7-AY6</f>
        <v>0</v>
      </c>
      <c r="BC7" s="21">
        <f t="shared" ref="BC7:BD21" si="30">AZ7-AZ6</f>
        <v>-5.5</v>
      </c>
      <c r="BD7" s="21">
        <f t="shared" si="30"/>
        <v>-14.5</v>
      </c>
      <c r="BE7" s="24">
        <f t="shared" ref="BE7:BE33" si="31">SUM(BB7:BD7)</f>
        <v>-20</v>
      </c>
      <c r="BF7" s="96">
        <f t="shared" ref="BF7:BF33" si="32">SUM(I7-BE7)</f>
        <v>179</v>
      </c>
      <c r="BG7" s="82">
        <f t="shared" si="4"/>
        <v>-20</v>
      </c>
      <c r="BI7" s="86"/>
      <c r="BJ7" s="17"/>
      <c r="BK7" s="17"/>
      <c r="BL7" s="17"/>
      <c r="BM7" s="17"/>
    </row>
    <row r="8" spans="1:65" ht="15.75" thickBot="1">
      <c r="A8" s="6">
        <f>ELEC!C6</f>
        <v>44868</v>
      </c>
      <c r="B8" s="5">
        <f t="shared" si="5"/>
        <v>109443</v>
      </c>
      <c r="C8" s="5">
        <f>B8-B7</f>
        <v>0</v>
      </c>
      <c r="D8" s="400">
        <f t="shared" si="7"/>
        <v>0</v>
      </c>
      <c r="E8" s="317">
        <f>SUM((C8*$E$4)+(7500/'EDl log'!$A$37))</f>
        <v>250</v>
      </c>
      <c r="F8" s="399"/>
      <c r="G8" s="5">
        <f t="shared" ref="G8:G36" si="33">G7</f>
        <v>631157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1">
        <f t="shared" si="11"/>
        <v>457.44</v>
      </c>
      <c r="N8" s="480">
        <f t="shared" si="1"/>
        <v>0</v>
      </c>
      <c r="O8" s="391">
        <f t="shared" si="12"/>
        <v>529.52</v>
      </c>
      <c r="P8" s="480">
        <f t="shared" si="2"/>
        <v>0</v>
      </c>
      <c r="Q8" s="481">
        <f>P8+N8</f>
        <v>0</v>
      </c>
      <c r="R8" s="480"/>
      <c r="S8" s="480"/>
      <c r="T8" s="5">
        <f t="shared" si="13"/>
        <v>5195</v>
      </c>
      <c r="U8" s="5">
        <f t="shared" si="3"/>
        <v>0</v>
      </c>
      <c r="V8" s="5">
        <f t="shared" si="14"/>
        <v>501</v>
      </c>
      <c r="W8" s="308">
        <f t="shared" si="15"/>
        <v>0</v>
      </c>
      <c r="X8" s="5">
        <f t="shared" si="16"/>
        <v>156017</v>
      </c>
      <c r="Y8" s="308">
        <f>SUM(X8-X7)</f>
        <v>0</v>
      </c>
      <c r="Z8" s="5">
        <f t="shared" si="17"/>
        <v>99699</v>
      </c>
      <c r="AA8" s="83">
        <f t="shared" si="18"/>
        <v>0</v>
      </c>
      <c r="AB8" s="5">
        <f t="shared" si="19"/>
        <v>251</v>
      </c>
      <c r="AC8" s="5">
        <f t="shared" si="20"/>
        <v>855</v>
      </c>
      <c r="AD8" s="83">
        <f t="shared" ref="AD8:AD33" si="34">AC8-AC7</f>
        <v>0</v>
      </c>
      <c r="AE8" s="5">
        <f t="shared" si="21"/>
        <v>250.96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0">
        <f t="shared" si="26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21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44868</v>
      </c>
      <c r="AS8" s="405">
        <f t="shared" si="29"/>
        <v>0.9</v>
      </c>
      <c r="AT8" s="201">
        <v>20</v>
      </c>
      <c r="AU8" s="406">
        <v>1.1000000000000001</v>
      </c>
      <c r="AV8" s="201">
        <v>73</v>
      </c>
      <c r="AW8" s="5">
        <v>2.9</v>
      </c>
      <c r="AX8" s="201">
        <v>107</v>
      </c>
      <c r="AY8" s="407">
        <f t="shared" ref="AY8:AY33" si="36">AS8*AT8</f>
        <v>18</v>
      </c>
      <c r="AZ8" s="407">
        <f t="shared" ref="AZ8:AZ33" si="37">AU8*AV8</f>
        <v>80.300000000000011</v>
      </c>
      <c r="BA8" s="407">
        <f t="shared" ref="BA8:BA33" si="38">AW8*AX8</f>
        <v>310.3</v>
      </c>
      <c r="BB8" s="21">
        <f t="shared" ref="BB8:BB36" si="39">AY8-AY7</f>
        <v>-97.2</v>
      </c>
      <c r="BC8" s="21">
        <f t="shared" si="30"/>
        <v>-5.5</v>
      </c>
      <c r="BD8" s="21">
        <f t="shared" si="30"/>
        <v>145.00000000000003</v>
      </c>
      <c r="BE8" s="24">
        <f t="shared" si="31"/>
        <v>42.300000000000026</v>
      </c>
      <c r="BF8" s="96">
        <f t="shared" si="32"/>
        <v>-42.300000000000026</v>
      </c>
      <c r="BG8" s="82">
        <f t="shared" si="4"/>
        <v>42.300000000000026</v>
      </c>
      <c r="BI8" s="86"/>
      <c r="BJ8" s="17"/>
      <c r="BK8" s="17"/>
    </row>
    <row r="9" spans="1:65" ht="15.75" thickBot="1">
      <c r="A9" s="6">
        <f>ELEC!C7</f>
        <v>44869</v>
      </c>
      <c r="B9" s="5">
        <f t="shared" si="5"/>
        <v>109443</v>
      </c>
      <c r="C9" s="5">
        <f t="shared" si="6"/>
        <v>0</v>
      </c>
      <c r="D9" s="400">
        <f t="shared" si="7"/>
        <v>0</v>
      </c>
      <c r="E9" s="317">
        <f>SUM((C9*$E$4)+(7500/'EDl log'!$A$37))</f>
        <v>250</v>
      </c>
      <c r="F9" s="399"/>
      <c r="G9" s="5">
        <f t="shared" si="33"/>
        <v>631157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1">
        <f t="shared" si="11"/>
        <v>457.44</v>
      </c>
      <c r="N9" s="480">
        <f t="shared" si="1"/>
        <v>0</v>
      </c>
      <c r="O9" s="391">
        <f t="shared" si="12"/>
        <v>529.52</v>
      </c>
      <c r="P9" s="480">
        <f t="shared" si="2"/>
        <v>0</v>
      </c>
      <c r="Q9" s="481">
        <f>P9+N9</f>
        <v>0</v>
      </c>
      <c r="R9" s="480"/>
      <c r="S9" s="480"/>
      <c r="T9" s="5">
        <f t="shared" si="13"/>
        <v>5195</v>
      </c>
      <c r="U9" s="5">
        <f t="shared" si="3"/>
        <v>0</v>
      </c>
      <c r="V9" s="5">
        <f t="shared" si="14"/>
        <v>501</v>
      </c>
      <c r="W9" s="308">
        <f t="shared" si="15"/>
        <v>0</v>
      </c>
      <c r="X9" s="5">
        <f t="shared" si="16"/>
        <v>156017</v>
      </c>
      <c r="Y9" s="308">
        <f t="shared" ref="Y9:Y33" si="41">SUM(X9-X8)</f>
        <v>0</v>
      </c>
      <c r="Z9" s="5">
        <f t="shared" si="17"/>
        <v>99699</v>
      </c>
      <c r="AA9" s="83">
        <f t="shared" si="18"/>
        <v>0</v>
      </c>
      <c r="AB9" s="5">
        <f t="shared" si="19"/>
        <v>251</v>
      </c>
      <c r="AC9" s="5">
        <f t="shared" si="20"/>
        <v>855</v>
      </c>
      <c r="AD9" s="83">
        <f t="shared" si="34"/>
        <v>0</v>
      </c>
      <c r="AE9" s="5">
        <f t="shared" si="21"/>
        <v>250.96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0">
        <f t="shared" si="26"/>
        <v>0</v>
      </c>
      <c r="AK9" s="311">
        <f t="shared" si="35"/>
        <v>0</v>
      </c>
      <c r="AL9" s="311">
        <f t="shared" si="27"/>
        <v>0</v>
      </c>
      <c r="AM9" s="311">
        <f>'General information '!D8</f>
        <v>20.5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44869</v>
      </c>
      <c r="AS9" s="405">
        <f t="shared" si="29"/>
        <v>0.9</v>
      </c>
      <c r="AT9" s="201">
        <v>20</v>
      </c>
      <c r="AU9" s="406">
        <f t="shared" ref="AU9:AU36" si="42">AU8</f>
        <v>1.1000000000000001</v>
      </c>
      <c r="AV9" s="201">
        <f t="shared" ref="AV9:AV36" si="43">AV8</f>
        <v>73</v>
      </c>
      <c r="AW9" s="5">
        <v>2.9</v>
      </c>
      <c r="AX9" s="201">
        <f t="shared" ref="AX9:AX36" si="44">AX8</f>
        <v>107</v>
      </c>
      <c r="AY9" s="407">
        <f t="shared" si="36"/>
        <v>18</v>
      </c>
      <c r="AZ9" s="407">
        <f t="shared" si="37"/>
        <v>80.300000000000011</v>
      </c>
      <c r="BA9" s="407">
        <f t="shared" si="38"/>
        <v>310.3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29">
        <f t="shared" si="32"/>
        <v>0</v>
      </c>
      <c r="BG9" s="82">
        <f t="shared" si="4"/>
        <v>0</v>
      </c>
    </row>
    <row r="10" spans="1:65" ht="15.75" thickBot="1">
      <c r="A10" s="6">
        <f>ELEC!C8</f>
        <v>44870</v>
      </c>
      <c r="B10" s="5">
        <f t="shared" si="5"/>
        <v>109443</v>
      </c>
      <c r="C10" s="5">
        <f t="shared" si="6"/>
        <v>0</v>
      </c>
      <c r="D10" s="400">
        <f t="shared" si="7"/>
        <v>0</v>
      </c>
      <c r="E10" s="317">
        <f>SUM((C10*$E$4)+(7500/'EDl log'!$A$37))</f>
        <v>250</v>
      </c>
      <c r="F10" s="399"/>
      <c r="G10" s="5">
        <f t="shared" si="33"/>
        <v>631157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1">
        <f t="shared" si="11"/>
        <v>457.44</v>
      </c>
      <c r="N10" s="480">
        <f t="shared" si="1"/>
        <v>0</v>
      </c>
      <c r="O10" s="391">
        <f t="shared" si="12"/>
        <v>529.52</v>
      </c>
      <c r="P10" s="480">
        <f t="shared" si="2"/>
        <v>0</v>
      </c>
      <c r="Q10" s="481">
        <f>P10+N10</f>
        <v>0</v>
      </c>
      <c r="R10" s="480"/>
      <c r="S10" s="480"/>
      <c r="T10" s="5">
        <f t="shared" si="13"/>
        <v>5195</v>
      </c>
      <c r="U10" s="5">
        <f t="shared" si="3"/>
        <v>0</v>
      </c>
      <c r="V10" s="5">
        <f t="shared" si="14"/>
        <v>501</v>
      </c>
      <c r="W10" s="308">
        <f t="shared" si="15"/>
        <v>0</v>
      </c>
      <c r="X10" s="5">
        <f t="shared" si="16"/>
        <v>156017</v>
      </c>
      <c r="Y10" s="308">
        <f t="shared" si="41"/>
        <v>0</v>
      </c>
      <c r="Z10" s="5">
        <f t="shared" si="17"/>
        <v>99699</v>
      </c>
      <c r="AA10" s="83">
        <f t="shared" si="18"/>
        <v>0</v>
      </c>
      <c r="AB10" s="5">
        <f t="shared" si="19"/>
        <v>251</v>
      </c>
      <c r="AC10" s="5">
        <f t="shared" si="20"/>
        <v>855</v>
      </c>
      <c r="AD10" s="83">
        <f t="shared" si="34"/>
        <v>0</v>
      </c>
      <c r="AE10" s="5">
        <f t="shared" si="21"/>
        <v>250.96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0">
        <f t="shared" si="26"/>
        <v>0</v>
      </c>
      <c r="AK10" s="311">
        <f>SUM(Y10-L10)</f>
        <v>0</v>
      </c>
      <c r="AL10" s="311">
        <f t="shared" si="27"/>
        <v>0</v>
      </c>
      <c r="AM10" s="311">
        <f>'General information '!D9</f>
        <v>21.5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44870</v>
      </c>
      <c r="AS10" s="405">
        <f t="shared" si="29"/>
        <v>0.9</v>
      </c>
      <c r="AT10" s="201">
        <f t="shared" si="29"/>
        <v>20</v>
      </c>
      <c r="AU10" s="406">
        <f t="shared" si="42"/>
        <v>1.1000000000000001</v>
      </c>
      <c r="AV10" s="201">
        <f t="shared" si="43"/>
        <v>73</v>
      </c>
      <c r="AW10" s="5">
        <v>2.9</v>
      </c>
      <c r="AX10" s="201">
        <f t="shared" si="44"/>
        <v>107</v>
      </c>
      <c r="AY10" s="407">
        <f t="shared" si="36"/>
        <v>18</v>
      </c>
      <c r="AZ10" s="407">
        <f t="shared" si="37"/>
        <v>80.300000000000011</v>
      </c>
      <c r="BA10" s="407">
        <f t="shared" si="38"/>
        <v>310.3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44871</v>
      </c>
      <c r="B11" s="5">
        <f t="shared" si="5"/>
        <v>109443</v>
      </c>
      <c r="C11" s="5">
        <f t="shared" si="6"/>
        <v>0</v>
      </c>
      <c r="D11" s="400">
        <f t="shared" si="7"/>
        <v>0</v>
      </c>
      <c r="E11" s="317">
        <f>SUM((C11*$E$4)+(7500/'EDl log'!$A$37))</f>
        <v>250</v>
      </c>
      <c r="F11" s="399"/>
      <c r="G11" s="5">
        <f t="shared" si="33"/>
        <v>631157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1">
        <f t="shared" si="11"/>
        <v>457.44</v>
      </c>
      <c r="N11" s="480">
        <f t="shared" si="1"/>
        <v>0</v>
      </c>
      <c r="O11" s="391">
        <f t="shared" si="12"/>
        <v>529.52</v>
      </c>
      <c r="P11" s="480">
        <f t="shared" si="2"/>
        <v>0</v>
      </c>
      <c r="Q11" s="480">
        <f>SUM(P11+N11)</f>
        <v>0</v>
      </c>
      <c r="R11" s="480"/>
      <c r="S11" s="480"/>
      <c r="T11" s="5">
        <f t="shared" si="13"/>
        <v>5195</v>
      </c>
      <c r="U11" s="5">
        <f t="shared" si="3"/>
        <v>0</v>
      </c>
      <c r="V11" s="5">
        <f t="shared" si="14"/>
        <v>501</v>
      </c>
      <c r="W11" s="308">
        <f t="shared" si="15"/>
        <v>0</v>
      </c>
      <c r="X11" s="5">
        <f t="shared" si="16"/>
        <v>156017</v>
      </c>
      <c r="Y11" s="308">
        <f t="shared" si="41"/>
        <v>0</v>
      </c>
      <c r="Z11" s="5">
        <f t="shared" si="17"/>
        <v>99699</v>
      </c>
      <c r="AA11" s="83">
        <f t="shared" si="18"/>
        <v>0</v>
      </c>
      <c r="AB11" s="5">
        <f t="shared" si="19"/>
        <v>251</v>
      </c>
      <c r="AC11" s="5">
        <f t="shared" si="20"/>
        <v>855</v>
      </c>
      <c r="AD11" s="83">
        <f t="shared" si="34"/>
        <v>0</v>
      </c>
      <c r="AE11" s="5">
        <f t="shared" si="21"/>
        <v>250.96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0">
        <f t="shared" si="26"/>
        <v>0</v>
      </c>
      <c r="AK11" s="311">
        <f t="shared" si="35"/>
        <v>0</v>
      </c>
      <c r="AL11" s="311">
        <f t="shared" si="27"/>
        <v>0</v>
      </c>
      <c r="AM11" s="311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44871</v>
      </c>
      <c r="AS11" s="405">
        <f t="shared" si="29"/>
        <v>0.9</v>
      </c>
      <c r="AT11" s="201">
        <v>20</v>
      </c>
      <c r="AU11" s="406">
        <f t="shared" si="42"/>
        <v>1.1000000000000001</v>
      </c>
      <c r="AV11" s="201">
        <v>72</v>
      </c>
      <c r="AW11" s="5">
        <v>2.9</v>
      </c>
      <c r="AX11" s="201">
        <v>104</v>
      </c>
      <c r="AY11" s="407">
        <f t="shared" si="36"/>
        <v>18</v>
      </c>
      <c r="AZ11" s="407">
        <f t="shared" si="37"/>
        <v>79.2</v>
      </c>
      <c r="BA11" s="407">
        <f t="shared" si="38"/>
        <v>301.59999999999997</v>
      </c>
      <c r="BB11" s="21">
        <f t="shared" si="39"/>
        <v>0</v>
      </c>
      <c r="BC11" s="21">
        <f t="shared" si="30"/>
        <v>-1.1000000000000085</v>
      </c>
      <c r="BD11" s="21">
        <f t="shared" si="30"/>
        <v>-8.7000000000000455</v>
      </c>
      <c r="BE11" s="24">
        <f t="shared" si="31"/>
        <v>-9.800000000000054</v>
      </c>
      <c r="BF11" s="96">
        <f t="shared" si="32"/>
        <v>9.800000000000054</v>
      </c>
      <c r="BG11" s="82">
        <f t="shared" si="4"/>
        <v>-9.800000000000054</v>
      </c>
    </row>
    <row r="12" spans="1:65" ht="15.75" thickBot="1">
      <c r="A12" s="6">
        <f>ELEC!C10</f>
        <v>44872</v>
      </c>
      <c r="B12" s="5">
        <f t="shared" si="5"/>
        <v>109443</v>
      </c>
      <c r="C12" s="5">
        <f>B12-B11</f>
        <v>0</v>
      </c>
      <c r="D12" s="400">
        <f t="shared" si="7"/>
        <v>0</v>
      </c>
      <c r="E12" s="317">
        <f>SUM((C12*$E$4)+(7500/'EDl log'!$A$37))</f>
        <v>250</v>
      </c>
      <c r="F12" s="399"/>
      <c r="G12" s="5">
        <f t="shared" si="33"/>
        <v>631157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1">
        <f t="shared" si="11"/>
        <v>457.44</v>
      </c>
      <c r="N12" s="480">
        <f t="shared" si="1"/>
        <v>0</v>
      </c>
      <c r="O12" s="391">
        <f t="shared" si="12"/>
        <v>529.52</v>
      </c>
      <c r="P12" s="480">
        <f t="shared" si="2"/>
        <v>0</v>
      </c>
      <c r="Q12" s="480">
        <f>SUM(P12+N12)</f>
        <v>0</v>
      </c>
      <c r="R12" s="480"/>
      <c r="S12" s="480"/>
      <c r="T12" s="5">
        <f t="shared" si="13"/>
        <v>5195</v>
      </c>
      <c r="U12" s="5">
        <f t="shared" si="3"/>
        <v>0</v>
      </c>
      <c r="V12" s="5">
        <f t="shared" si="14"/>
        <v>501</v>
      </c>
      <c r="W12" s="308">
        <f t="shared" si="15"/>
        <v>0</v>
      </c>
      <c r="X12" s="5">
        <f t="shared" si="16"/>
        <v>156017</v>
      </c>
      <c r="Y12" s="308">
        <f t="shared" si="41"/>
        <v>0</v>
      </c>
      <c r="Z12" s="5">
        <f t="shared" si="17"/>
        <v>99699</v>
      </c>
      <c r="AA12" s="83">
        <f t="shared" si="18"/>
        <v>0</v>
      </c>
      <c r="AB12" s="5">
        <f t="shared" si="19"/>
        <v>251</v>
      </c>
      <c r="AC12" s="5">
        <f t="shared" si="20"/>
        <v>855</v>
      </c>
      <c r="AD12" s="83">
        <f t="shared" si="34"/>
        <v>0</v>
      </c>
      <c r="AE12" s="5">
        <f t="shared" si="21"/>
        <v>250.96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0">
        <f t="shared" si="26"/>
        <v>0</v>
      </c>
      <c r="AK12" s="311">
        <f t="shared" si="35"/>
        <v>0</v>
      </c>
      <c r="AL12" s="311">
        <f t="shared" si="27"/>
        <v>0</v>
      </c>
      <c r="AM12" s="311">
        <f>'General information '!D11</f>
        <v>18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44872</v>
      </c>
      <c r="AS12" s="405">
        <f t="shared" si="29"/>
        <v>0.9</v>
      </c>
      <c r="AT12" s="201">
        <v>52</v>
      </c>
      <c r="AU12" s="406">
        <f t="shared" si="42"/>
        <v>1.1000000000000001</v>
      </c>
      <c r="AV12" s="201">
        <f t="shared" si="43"/>
        <v>72</v>
      </c>
      <c r="AW12" s="5">
        <v>2.9</v>
      </c>
      <c r="AX12" s="201">
        <f t="shared" si="44"/>
        <v>104</v>
      </c>
      <c r="AY12" s="407">
        <f t="shared" si="36"/>
        <v>46.800000000000004</v>
      </c>
      <c r="AZ12" s="407">
        <f t="shared" si="37"/>
        <v>79.2</v>
      </c>
      <c r="BA12" s="407">
        <f t="shared" si="38"/>
        <v>301.59999999999997</v>
      </c>
      <c r="BB12" s="21">
        <f>AY12-AY11</f>
        <v>28.800000000000004</v>
      </c>
      <c r="BC12" s="21">
        <f t="shared" si="30"/>
        <v>0</v>
      </c>
      <c r="BD12" s="21">
        <f t="shared" si="30"/>
        <v>0</v>
      </c>
      <c r="BE12" s="24">
        <f t="shared" si="31"/>
        <v>28.800000000000004</v>
      </c>
      <c r="BF12" s="96">
        <f t="shared" si="32"/>
        <v>-28.800000000000004</v>
      </c>
      <c r="BG12" s="82">
        <f t="shared" si="4"/>
        <v>28.800000000000004</v>
      </c>
    </row>
    <row r="13" spans="1:65" ht="15.75" thickBot="1">
      <c r="A13" s="6">
        <f>ELEC!C11</f>
        <v>44873</v>
      </c>
      <c r="B13" s="5">
        <f t="shared" si="5"/>
        <v>109443</v>
      </c>
      <c r="C13" s="5">
        <f t="shared" si="6"/>
        <v>0</v>
      </c>
      <c r="D13" s="400">
        <f t="shared" si="7"/>
        <v>0</v>
      </c>
      <c r="E13" s="317">
        <f>SUM((C13*$E$4)+(7500/'EDl log'!$A$37))</f>
        <v>250</v>
      </c>
      <c r="F13" s="399"/>
      <c r="G13" s="5">
        <v>631210</v>
      </c>
      <c r="H13" s="5">
        <f t="shared" si="8"/>
        <v>53</v>
      </c>
      <c r="I13" s="5">
        <f t="shared" si="9"/>
        <v>53</v>
      </c>
      <c r="J13" s="318">
        <f t="shared" si="0"/>
        <v>4.716981132075472</v>
      </c>
      <c r="K13" s="5">
        <f t="shared" si="10"/>
        <v>7089</v>
      </c>
      <c r="L13" s="83">
        <f t="shared" si="40"/>
        <v>0</v>
      </c>
      <c r="M13" s="391">
        <f t="shared" si="11"/>
        <v>457.44</v>
      </c>
      <c r="N13" s="480">
        <f t="shared" si="1"/>
        <v>0</v>
      </c>
      <c r="O13" s="391">
        <f t="shared" si="12"/>
        <v>529.52</v>
      </c>
      <c r="P13" s="480">
        <f t="shared" si="2"/>
        <v>0</v>
      </c>
      <c r="Q13" s="480">
        <f>SUM(P13+N13)</f>
        <v>0</v>
      </c>
      <c r="R13" s="480"/>
      <c r="S13" s="480"/>
      <c r="T13" s="5">
        <f t="shared" si="13"/>
        <v>5195</v>
      </c>
      <c r="U13" s="5">
        <f t="shared" si="3"/>
        <v>0</v>
      </c>
      <c r="V13" s="5">
        <f t="shared" si="14"/>
        <v>501</v>
      </c>
      <c r="W13" s="308">
        <f t="shared" si="15"/>
        <v>0</v>
      </c>
      <c r="X13" s="5">
        <f t="shared" si="16"/>
        <v>156017</v>
      </c>
      <c r="Y13" s="308">
        <f t="shared" si="41"/>
        <v>0</v>
      </c>
      <c r="Z13" s="5">
        <f t="shared" si="17"/>
        <v>99699</v>
      </c>
      <c r="AA13" s="83">
        <f t="shared" si="18"/>
        <v>0</v>
      </c>
      <c r="AB13" s="5">
        <f t="shared" si="19"/>
        <v>251</v>
      </c>
      <c r="AC13" s="5">
        <f t="shared" si="20"/>
        <v>855</v>
      </c>
      <c r="AD13" s="83">
        <f t="shared" si="34"/>
        <v>0</v>
      </c>
      <c r="AE13" s="5">
        <f t="shared" si="21"/>
        <v>250.96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0">
        <f t="shared" si="26"/>
        <v>0</v>
      </c>
      <c r="AK13" s="311">
        <f t="shared" si="35"/>
        <v>0</v>
      </c>
      <c r="AL13" s="311">
        <f t="shared" si="27"/>
        <v>0</v>
      </c>
      <c r="AM13" s="311">
        <f>'General information '!D12</f>
        <v>18.5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44873</v>
      </c>
      <c r="AS13" s="405">
        <f t="shared" si="29"/>
        <v>0.9</v>
      </c>
      <c r="AT13" s="201">
        <f t="shared" si="29"/>
        <v>52</v>
      </c>
      <c r="AU13" s="406">
        <f t="shared" si="42"/>
        <v>1.1000000000000001</v>
      </c>
      <c r="AV13" s="201">
        <v>80</v>
      </c>
      <c r="AW13" s="5">
        <v>2.9</v>
      </c>
      <c r="AX13" s="201">
        <v>102</v>
      </c>
      <c r="AY13" s="407">
        <f t="shared" si="36"/>
        <v>46.800000000000004</v>
      </c>
      <c r="AZ13" s="407">
        <f t="shared" si="37"/>
        <v>88</v>
      </c>
      <c r="BA13" s="407">
        <f t="shared" si="38"/>
        <v>295.8</v>
      </c>
      <c r="BB13" s="21">
        <f t="shared" si="39"/>
        <v>0</v>
      </c>
      <c r="BC13" s="21">
        <f t="shared" si="30"/>
        <v>8.7999999999999972</v>
      </c>
      <c r="BD13" s="21">
        <f t="shared" si="30"/>
        <v>-5.7999999999999545</v>
      </c>
      <c r="BE13" s="24">
        <f t="shared" si="31"/>
        <v>3.0000000000000426</v>
      </c>
      <c r="BF13" s="96">
        <f t="shared" si="32"/>
        <v>49.999999999999957</v>
      </c>
      <c r="BG13" s="82">
        <f t="shared" si="4"/>
        <v>3.0000000000000426</v>
      </c>
    </row>
    <row r="14" spans="1:65" ht="15.75" thickBot="1">
      <c r="A14" s="6">
        <f>ELEC!C12</f>
        <v>44874</v>
      </c>
      <c r="B14" s="5">
        <f t="shared" si="5"/>
        <v>109443</v>
      </c>
      <c r="C14" s="5">
        <f t="shared" si="6"/>
        <v>0</v>
      </c>
      <c r="D14" s="400">
        <f t="shared" si="7"/>
        <v>0</v>
      </c>
      <c r="E14" s="317">
        <f>SUM((C14*$E$4)+(7500/'EDl log'!$A$37))</f>
        <v>250</v>
      </c>
      <c r="F14" s="399"/>
      <c r="G14" s="5">
        <f t="shared" si="33"/>
        <v>631210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1">
        <f t="shared" si="11"/>
        <v>457.44</v>
      </c>
      <c r="N14" s="480">
        <f t="shared" ref="N14:N33" si="45">SUM(M14-M13)</f>
        <v>0</v>
      </c>
      <c r="O14" s="391">
        <f t="shared" si="12"/>
        <v>529.52</v>
      </c>
      <c r="P14" s="480">
        <f t="shared" ref="P14:P33" si="46">SUM(O14-O13)</f>
        <v>0</v>
      </c>
      <c r="Q14" s="480">
        <f t="shared" ref="Q14:Q33" si="47">SUM(P14+N14)</f>
        <v>0</v>
      </c>
      <c r="R14" s="480"/>
      <c r="S14" s="480"/>
      <c r="T14" s="5">
        <f t="shared" si="13"/>
        <v>5195</v>
      </c>
      <c r="U14" s="5">
        <f t="shared" si="3"/>
        <v>0</v>
      </c>
      <c r="V14" s="5">
        <f t="shared" si="14"/>
        <v>501</v>
      </c>
      <c r="W14" s="308">
        <f t="shared" si="15"/>
        <v>0</v>
      </c>
      <c r="X14" s="5">
        <f t="shared" si="16"/>
        <v>156017</v>
      </c>
      <c r="Y14" s="308">
        <f t="shared" si="41"/>
        <v>0</v>
      </c>
      <c r="Z14" s="5">
        <f t="shared" si="17"/>
        <v>99699</v>
      </c>
      <c r="AA14" s="83">
        <f t="shared" si="18"/>
        <v>0</v>
      </c>
      <c r="AB14" s="5">
        <f t="shared" si="19"/>
        <v>251</v>
      </c>
      <c r="AC14" s="5">
        <f t="shared" si="20"/>
        <v>855</v>
      </c>
      <c r="AD14" s="83">
        <f t="shared" si="34"/>
        <v>0</v>
      </c>
      <c r="AE14" s="5">
        <f t="shared" si="21"/>
        <v>250.96</v>
      </c>
      <c r="AF14" s="83">
        <f t="shared" si="22"/>
        <v>0</v>
      </c>
      <c r="AG14" s="5">
        <v>2247.41</v>
      </c>
      <c r="AH14" s="83">
        <f t="shared" si="24"/>
        <v>0</v>
      </c>
      <c r="AI14" s="83">
        <f t="shared" si="25"/>
        <v>0</v>
      </c>
      <c r="AJ14" s="310">
        <f t="shared" si="26"/>
        <v>0</v>
      </c>
      <c r="AK14" s="311">
        <f t="shared" si="35"/>
        <v>0</v>
      </c>
      <c r="AL14" s="311">
        <f t="shared" si="27"/>
        <v>0</v>
      </c>
      <c r="AM14" s="311">
        <f>'General information '!D13</f>
        <v>20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44874</v>
      </c>
      <c r="AS14" s="405">
        <f t="shared" si="29"/>
        <v>0.9</v>
      </c>
      <c r="AT14" s="201">
        <f t="shared" si="29"/>
        <v>52</v>
      </c>
      <c r="AU14" s="406">
        <f t="shared" si="42"/>
        <v>1.1000000000000001</v>
      </c>
      <c r="AV14" s="201">
        <f t="shared" si="43"/>
        <v>80</v>
      </c>
      <c r="AW14" s="5">
        <v>2.9</v>
      </c>
      <c r="AX14" s="201">
        <f t="shared" si="44"/>
        <v>102</v>
      </c>
      <c r="AY14" s="407">
        <f t="shared" si="36"/>
        <v>46.800000000000004</v>
      </c>
      <c r="AZ14" s="407">
        <f t="shared" si="37"/>
        <v>88</v>
      </c>
      <c r="BA14" s="407">
        <f t="shared" si="38"/>
        <v>295.8</v>
      </c>
      <c r="BB14" s="21">
        <f t="shared" si="3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44875</v>
      </c>
      <c r="B15" s="5">
        <f t="shared" si="5"/>
        <v>109443</v>
      </c>
      <c r="C15" s="5">
        <f t="shared" si="6"/>
        <v>0</v>
      </c>
      <c r="D15" s="400">
        <f t="shared" si="7"/>
        <v>0</v>
      </c>
      <c r="E15" s="317">
        <f>SUM((C15*$E$4)+(7500/'EDl log'!$A$37))</f>
        <v>250</v>
      </c>
      <c r="F15" s="399"/>
      <c r="G15" s="5">
        <v>631326</v>
      </c>
      <c r="H15" s="5">
        <f t="shared" si="8"/>
        <v>116</v>
      </c>
      <c r="I15" s="5">
        <f t="shared" si="9"/>
        <v>116</v>
      </c>
      <c r="J15" s="318">
        <f t="shared" si="0"/>
        <v>2.1551724137931036</v>
      </c>
      <c r="K15" s="5">
        <f t="shared" si="10"/>
        <v>7089</v>
      </c>
      <c r="L15" s="83">
        <f t="shared" si="40"/>
        <v>0</v>
      </c>
      <c r="M15" s="391">
        <f t="shared" si="11"/>
        <v>457.44</v>
      </c>
      <c r="N15" s="480">
        <f t="shared" si="45"/>
        <v>0</v>
      </c>
      <c r="O15" s="391">
        <f t="shared" si="12"/>
        <v>529.52</v>
      </c>
      <c r="P15" s="480">
        <f t="shared" si="46"/>
        <v>0</v>
      </c>
      <c r="Q15" s="480">
        <f t="shared" si="47"/>
        <v>0</v>
      </c>
      <c r="R15" s="480"/>
      <c r="S15" s="480"/>
      <c r="T15" s="5">
        <f t="shared" si="13"/>
        <v>5195</v>
      </c>
      <c r="U15" s="5">
        <f t="shared" si="3"/>
        <v>0</v>
      </c>
      <c r="V15" s="5">
        <f t="shared" si="14"/>
        <v>501</v>
      </c>
      <c r="W15" s="308">
        <f t="shared" si="15"/>
        <v>0</v>
      </c>
      <c r="X15" s="5">
        <f t="shared" si="16"/>
        <v>156017</v>
      </c>
      <c r="Y15" s="308">
        <f t="shared" si="41"/>
        <v>0</v>
      </c>
      <c r="Z15" s="5">
        <f t="shared" si="17"/>
        <v>99699</v>
      </c>
      <c r="AA15" s="83">
        <f t="shared" si="18"/>
        <v>0</v>
      </c>
      <c r="AB15" s="5">
        <f t="shared" si="19"/>
        <v>251</v>
      </c>
      <c r="AC15" s="5">
        <f t="shared" si="20"/>
        <v>855</v>
      </c>
      <c r="AD15" s="83">
        <f t="shared" si="34"/>
        <v>0</v>
      </c>
      <c r="AE15" s="5">
        <f t="shared" si="21"/>
        <v>250.96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0">
        <f t="shared" si="26"/>
        <v>0</v>
      </c>
      <c r="AK15" s="311">
        <f>SUM(Y15-L15)</f>
        <v>0</v>
      </c>
      <c r="AL15" s="311">
        <f t="shared" si="27"/>
        <v>0</v>
      </c>
      <c r="AM15" s="311">
        <f>'General information '!D14</f>
        <v>23.5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44875</v>
      </c>
      <c r="AS15" s="405">
        <f t="shared" si="29"/>
        <v>0.9</v>
      </c>
      <c r="AT15" s="201">
        <v>117</v>
      </c>
      <c r="AU15" s="406">
        <f t="shared" si="42"/>
        <v>1.1000000000000001</v>
      </c>
      <c r="AV15" s="201">
        <v>74</v>
      </c>
      <c r="AW15" s="5">
        <v>2.9</v>
      </c>
      <c r="AX15" s="201">
        <v>98</v>
      </c>
      <c r="AY15" s="407">
        <f t="shared" si="36"/>
        <v>105.3</v>
      </c>
      <c r="AZ15" s="407">
        <f t="shared" si="37"/>
        <v>81.400000000000006</v>
      </c>
      <c r="BA15" s="407">
        <f t="shared" si="38"/>
        <v>284.2</v>
      </c>
      <c r="BB15" s="21">
        <f t="shared" si="39"/>
        <v>58.499999999999993</v>
      </c>
      <c r="BC15" s="21">
        <f t="shared" si="30"/>
        <v>-6.5999999999999943</v>
      </c>
      <c r="BD15" s="21">
        <f t="shared" si="30"/>
        <v>-11.600000000000023</v>
      </c>
      <c r="BE15" s="24">
        <f t="shared" si="31"/>
        <v>40.299999999999976</v>
      </c>
      <c r="BF15" s="96">
        <f t="shared" si="32"/>
        <v>75.700000000000017</v>
      </c>
      <c r="BG15" s="82">
        <f t="shared" si="4"/>
        <v>40.299999999999983</v>
      </c>
    </row>
    <row r="16" spans="1:65" ht="15.75" thickBot="1">
      <c r="A16" s="6">
        <f>ELEC!C14</f>
        <v>44876</v>
      </c>
      <c r="B16" s="5">
        <f t="shared" si="5"/>
        <v>109443</v>
      </c>
      <c r="C16" s="5">
        <f t="shared" si="6"/>
        <v>0</v>
      </c>
      <c r="D16" s="400">
        <f t="shared" si="7"/>
        <v>0</v>
      </c>
      <c r="E16" s="317">
        <f>SUM((C16*$E$4)+(7500/'EDl log'!$A$37))</f>
        <v>250</v>
      </c>
      <c r="F16" s="399"/>
      <c r="G16" s="5">
        <f t="shared" si="33"/>
        <v>631326</v>
      </c>
      <c r="H16" s="5">
        <f t="shared" si="8"/>
        <v>0</v>
      </c>
      <c r="I16" s="5">
        <f t="shared" si="9"/>
        <v>0</v>
      </c>
      <c r="J16" s="318">
        <f t="shared" si="0"/>
        <v>0</v>
      </c>
      <c r="K16" s="5">
        <f t="shared" si="10"/>
        <v>7089</v>
      </c>
      <c r="L16" s="263">
        <f t="shared" si="40"/>
        <v>0</v>
      </c>
      <c r="M16" s="391">
        <f t="shared" si="11"/>
        <v>457.44</v>
      </c>
      <c r="N16" s="480">
        <f t="shared" si="45"/>
        <v>0</v>
      </c>
      <c r="O16" s="391">
        <f t="shared" si="12"/>
        <v>529.52</v>
      </c>
      <c r="P16" s="480">
        <f t="shared" si="46"/>
        <v>0</v>
      </c>
      <c r="Q16" s="480">
        <f t="shared" si="47"/>
        <v>0</v>
      </c>
      <c r="R16" s="482"/>
      <c r="S16" s="482"/>
      <c r="T16" s="5">
        <f t="shared" si="13"/>
        <v>5195</v>
      </c>
      <c r="U16" s="5">
        <f t="shared" si="3"/>
        <v>0</v>
      </c>
      <c r="V16" s="5">
        <f t="shared" si="14"/>
        <v>501</v>
      </c>
      <c r="W16" s="308">
        <f t="shared" si="15"/>
        <v>0</v>
      </c>
      <c r="X16" s="5">
        <f t="shared" si="16"/>
        <v>156017</v>
      </c>
      <c r="Y16" s="308">
        <f t="shared" si="41"/>
        <v>0</v>
      </c>
      <c r="Z16" s="5">
        <f t="shared" si="17"/>
        <v>99699</v>
      </c>
      <c r="AA16" s="83">
        <f t="shared" si="18"/>
        <v>0</v>
      </c>
      <c r="AB16" s="5">
        <f t="shared" si="19"/>
        <v>251</v>
      </c>
      <c r="AC16" s="5">
        <f t="shared" si="20"/>
        <v>855</v>
      </c>
      <c r="AD16" s="83">
        <f t="shared" si="34"/>
        <v>0</v>
      </c>
      <c r="AE16" s="5">
        <f t="shared" si="21"/>
        <v>250.96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0">
        <f t="shared" si="26"/>
        <v>0</v>
      </c>
      <c r="AK16" s="311">
        <f t="shared" si="35"/>
        <v>0</v>
      </c>
      <c r="AL16" s="311">
        <f t="shared" si="27"/>
        <v>0</v>
      </c>
      <c r="AM16" s="311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44876</v>
      </c>
      <c r="AS16" s="405">
        <f t="shared" si="29"/>
        <v>0.9</v>
      </c>
      <c r="AT16" s="201">
        <f t="shared" si="29"/>
        <v>117</v>
      </c>
      <c r="AU16" s="406">
        <f t="shared" si="42"/>
        <v>1.1000000000000001</v>
      </c>
      <c r="AV16" s="201">
        <f t="shared" si="43"/>
        <v>74</v>
      </c>
      <c r="AW16" s="5">
        <v>2.9</v>
      </c>
      <c r="AX16" s="201">
        <f t="shared" si="44"/>
        <v>98</v>
      </c>
      <c r="AY16" s="407">
        <f t="shared" si="36"/>
        <v>105.3</v>
      </c>
      <c r="AZ16" s="407">
        <f t="shared" si="37"/>
        <v>81.400000000000006</v>
      </c>
      <c r="BA16" s="407">
        <f t="shared" si="38"/>
        <v>284.2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44877</v>
      </c>
      <c r="B17" s="5">
        <f t="shared" si="5"/>
        <v>109443</v>
      </c>
      <c r="C17" s="5">
        <f t="shared" si="6"/>
        <v>0</v>
      </c>
      <c r="D17" s="400">
        <f t="shared" si="7"/>
        <v>0</v>
      </c>
      <c r="E17" s="317">
        <f>SUM((C17*$E$4)+(7500/'EDl log'!$A$37))</f>
        <v>250</v>
      </c>
      <c r="F17" s="399"/>
      <c r="G17" s="5">
        <f t="shared" si="33"/>
        <v>631326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1">
        <f t="shared" si="11"/>
        <v>457.44</v>
      </c>
      <c r="N17" s="480">
        <f t="shared" si="45"/>
        <v>0</v>
      </c>
      <c r="O17" s="391">
        <f t="shared" si="12"/>
        <v>529.52</v>
      </c>
      <c r="P17" s="480">
        <f t="shared" si="46"/>
        <v>0</v>
      </c>
      <c r="Q17" s="480">
        <f t="shared" si="47"/>
        <v>0</v>
      </c>
      <c r="R17" s="480"/>
      <c r="S17" s="480"/>
      <c r="T17" s="5">
        <f t="shared" si="13"/>
        <v>5195</v>
      </c>
      <c r="U17" s="5">
        <f t="shared" si="3"/>
        <v>0</v>
      </c>
      <c r="V17" s="5">
        <f t="shared" si="14"/>
        <v>501</v>
      </c>
      <c r="W17" s="308">
        <f t="shared" si="15"/>
        <v>0</v>
      </c>
      <c r="X17" s="5">
        <f t="shared" si="16"/>
        <v>156017</v>
      </c>
      <c r="Y17" s="308">
        <f t="shared" si="41"/>
        <v>0</v>
      </c>
      <c r="Z17" s="5">
        <f t="shared" si="17"/>
        <v>99699</v>
      </c>
      <c r="AA17" s="83">
        <f t="shared" si="18"/>
        <v>0</v>
      </c>
      <c r="AB17" s="5">
        <f t="shared" si="19"/>
        <v>251</v>
      </c>
      <c r="AC17" s="5">
        <f t="shared" si="20"/>
        <v>855</v>
      </c>
      <c r="AD17" s="83">
        <f t="shared" si="34"/>
        <v>0</v>
      </c>
      <c r="AE17" s="5">
        <f t="shared" si="21"/>
        <v>250.96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0">
        <f t="shared" si="26"/>
        <v>0</v>
      </c>
      <c r="AK17" s="311">
        <f>SUM(Y17-L17)</f>
        <v>0</v>
      </c>
      <c r="AL17" s="311">
        <f t="shared" si="27"/>
        <v>0</v>
      </c>
      <c r="AM17" s="311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44877</v>
      </c>
      <c r="AS17" s="405">
        <f t="shared" si="29"/>
        <v>0.9</v>
      </c>
      <c r="AT17" s="201">
        <f t="shared" si="29"/>
        <v>117</v>
      </c>
      <c r="AU17" s="406">
        <f t="shared" si="42"/>
        <v>1.1000000000000001</v>
      </c>
      <c r="AV17" s="201">
        <f t="shared" si="43"/>
        <v>74</v>
      </c>
      <c r="AW17" s="5">
        <v>2.9</v>
      </c>
      <c r="AX17" s="201">
        <f t="shared" si="44"/>
        <v>98</v>
      </c>
      <c r="AY17" s="407">
        <f t="shared" si="36"/>
        <v>105.3</v>
      </c>
      <c r="AZ17" s="407">
        <f t="shared" si="37"/>
        <v>81.400000000000006</v>
      </c>
      <c r="BA17" s="407">
        <f t="shared" si="38"/>
        <v>284.2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44878</v>
      </c>
      <c r="B18" s="5">
        <f t="shared" si="5"/>
        <v>109443</v>
      </c>
      <c r="C18" s="5">
        <f t="shared" si="6"/>
        <v>0</v>
      </c>
      <c r="D18" s="400">
        <f t="shared" si="7"/>
        <v>0</v>
      </c>
      <c r="E18" s="317">
        <f>SUM((C18*$E$4)+(7500/'EDl log'!$A$37))</f>
        <v>250</v>
      </c>
      <c r="F18" s="399"/>
      <c r="G18" s="5">
        <v>631412</v>
      </c>
      <c r="H18" s="5">
        <f t="shared" si="8"/>
        <v>86</v>
      </c>
      <c r="I18" s="5">
        <f t="shared" si="9"/>
        <v>86</v>
      </c>
      <c r="J18" s="318">
        <f t="shared" si="0"/>
        <v>2.9069767441860463</v>
      </c>
      <c r="K18" s="5">
        <f t="shared" si="10"/>
        <v>7089</v>
      </c>
      <c r="L18" s="83">
        <f t="shared" si="40"/>
        <v>0</v>
      </c>
      <c r="M18" s="391">
        <f t="shared" si="11"/>
        <v>457.44</v>
      </c>
      <c r="N18" s="480">
        <f t="shared" si="45"/>
        <v>0</v>
      </c>
      <c r="O18" s="391">
        <f t="shared" si="12"/>
        <v>529.52</v>
      </c>
      <c r="P18" s="480">
        <f t="shared" si="46"/>
        <v>0</v>
      </c>
      <c r="Q18" s="480">
        <f t="shared" si="47"/>
        <v>0</v>
      </c>
      <c r="R18" s="480"/>
      <c r="S18" s="480"/>
      <c r="T18" s="5">
        <f t="shared" si="13"/>
        <v>5195</v>
      </c>
      <c r="U18" s="5">
        <f t="shared" si="3"/>
        <v>0</v>
      </c>
      <c r="V18" s="5">
        <f t="shared" si="14"/>
        <v>501</v>
      </c>
      <c r="W18" s="308">
        <f t="shared" si="15"/>
        <v>0</v>
      </c>
      <c r="X18" s="5">
        <v>156190</v>
      </c>
      <c r="Y18" s="308">
        <f t="shared" si="41"/>
        <v>173</v>
      </c>
      <c r="Z18" s="5">
        <v>99703</v>
      </c>
      <c r="AA18" s="83">
        <f t="shared" si="18"/>
        <v>4</v>
      </c>
      <c r="AB18" s="5">
        <f t="shared" si="19"/>
        <v>251</v>
      </c>
      <c r="AC18" s="5">
        <f t="shared" si="20"/>
        <v>855</v>
      </c>
      <c r="AD18" s="83">
        <f t="shared" si="34"/>
        <v>0</v>
      </c>
      <c r="AE18" s="5">
        <f t="shared" si="21"/>
        <v>250.96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0">
        <f t="shared" si="26"/>
        <v>4</v>
      </c>
      <c r="AK18" s="311">
        <f>SUM(Y18-L18)</f>
        <v>173</v>
      </c>
      <c r="AL18" s="311">
        <f t="shared" si="27"/>
        <v>4</v>
      </c>
      <c r="AM18" s="311">
        <f>'General information '!D17</f>
        <v>24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44878</v>
      </c>
      <c r="AS18" s="405">
        <f t="shared" si="29"/>
        <v>0.9</v>
      </c>
      <c r="AT18" s="201">
        <v>167</v>
      </c>
      <c r="AU18" s="406">
        <f t="shared" si="42"/>
        <v>1.1000000000000001</v>
      </c>
      <c r="AV18" s="201">
        <v>70</v>
      </c>
      <c r="AW18" s="5">
        <v>2.9</v>
      </c>
      <c r="AX18" s="201">
        <v>96</v>
      </c>
      <c r="AY18" s="407">
        <f t="shared" si="36"/>
        <v>150.30000000000001</v>
      </c>
      <c r="AZ18" s="407">
        <f t="shared" si="37"/>
        <v>77</v>
      </c>
      <c r="BA18" s="407">
        <f t="shared" si="38"/>
        <v>278.39999999999998</v>
      </c>
      <c r="BB18" s="21">
        <f t="shared" si="39"/>
        <v>45.000000000000014</v>
      </c>
      <c r="BC18" s="21">
        <f t="shared" si="30"/>
        <v>-4.4000000000000057</v>
      </c>
      <c r="BD18" s="21">
        <f t="shared" si="30"/>
        <v>-5.8000000000000114</v>
      </c>
      <c r="BE18" s="24">
        <f t="shared" si="31"/>
        <v>34.799999999999997</v>
      </c>
      <c r="BF18" s="96">
        <f t="shared" si="32"/>
        <v>51.2</v>
      </c>
      <c r="BG18" s="82">
        <f t="shared" si="4"/>
        <v>34.799999999999997</v>
      </c>
    </row>
    <row r="19" spans="1:61" ht="15.75" thickBot="1">
      <c r="A19" s="6">
        <f>ELEC!C17</f>
        <v>44879</v>
      </c>
      <c r="B19" s="5">
        <f t="shared" si="5"/>
        <v>109443</v>
      </c>
      <c r="C19" s="5">
        <f t="shared" si="6"/>
        <v>0</v>
      </c>
      <c r="D19" s="400">
        <f t="shared" si="7"/>
        <v>0</v>
      </c>
      <c r="E19" s="317">
        <f>SUM((C19*$E$4)+(7500/'EDl log'!$A$37))</f>
        <v>250</v>
      </c>
      <c r="F19" s="399"/>
      <c r="G19" s="5">
        <f t="shared" si="33"/>
        <v>631412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1">
        <f t="shared" si="11"/>
        <v>457.44</v>
      </c>
      <c r="N19" s="480">
        <f t="shared" si="45"/>
        <v>0</v>
      </c>
      <c r="O19" s="391">
        <f t="shared" si="12"/>
        <v>529.52</v>
      </c>
      <c r="P19" s="480">
        <f t="shared" si="46"/>
        <v>0</v>
      </c>
      <c r="Q19" s="480">
        <f t="shared" si="47"/>
        <v>0</v>
      </c>
      <c r="R19" s="480"/>
      <c r="S19" s="480"/>
      <c r="T19" s="5">
        <f t="shared" si="13"/>
        <v>5195</v>
      </c>
      <c r="U19" s="5">
        <f t="shared" si="3"/>
        <v>0</v>
      </c>
      <c r="V19" s="5">
        <f t="shared" si="14"/>
        <v>501</v>
      </c>
      <c r="W19" s="308">
        <f t="shared" si="15"/>
        <v>0</v>
      </c>
      <c r="X19" s="5">
        <f t="shared" si="16"/>
        <v>156190</v>
      </c>
      <c r="Y19" s="308">
        <f t="shared" si="41"/>
        <v>0</v>
      </c>
      <c r="Z19" s="5">
        <f t="shared" si="17"/>
        <v>99703</v>
      </c>
      <c r="AA19" s="83">
        <f t="shared" si="18"/>
        <v>0</v>
      </c>
      <c r="AB19" s="5">
        <f t="shared" si="19"/>
        <v>251</v>
      </c>
      <c r="AC19" s="5">
        <f t="shared" si="20"/>
        <v>855</v>
      </c>
      <c r="AD19" s="83">
        <f t="shared" si="34"/>
        <v>0</v>
      </c>
      <c r="AE19" s="5">
        <f t="shared" si="21"/>
        <v>250.96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0">
        <f t="shared" si="26"/>
        <v>0</v>
      </c>
      <c r="AK19" s="311">
        <f t="shared" si="35"/>
        <v>0</v>
      </c>
      <c r="AL19" s="311">
        <f t="shared" si="27"/>
        <v>0</v>
      </c>
      <c r="AM19" s="311">
        <f>'General information '!D18</f>
        <v>22.5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44879</v>
      </c>
      <c r="AS19" s="405">
        <f t="shared" si="29"/>
        <v>0.9</v>
      </c>
      <c r="AT19" s="201">
        <f t="shared" si="29"/>
        <v>167</v>
      </c>
      <c r="AU19" s="406">
        <f t="shared" si="42"/>
        <v>1.1000000000000001</v>
      </c>
      <c r="AV19" s="201">
        <f t="shared" si="43"/>
        <v>70</v>
      </c>
      <c r="AW19" s="5">
        <v>2.9</v>
      </c>
      <c r="AX19" s="201">
        <v>95</v>
      </c>
      <c r="AY19" s="407">
        <f>AS19*AT19</f>
        <v>150.30000000000001</v>
      </c>
      <c r="AZ19" s="407">
        <f>AU19*AV19</f>
        <v>77</v>
      </c>
      <c r="BA19" s="407">
        <f>AW19*AX19</f>
        <v>275.5</v>
      </c>
      <c r="BB19" s="21">
        <f t="shared" si="39"/>
        <v>0</v>
      </c>
      <c r="BC19" s="21">
        <f t="shared" ref="BC19:BD20" si="48">AZ19-AZ18</f>
        <v>0</v>
      </c>
      <c r="BD19" s="21">
        <f t="shared" si="48"/>
        <v>-2.8999999999999773</v>
      </c>
      <c r="BE19" s="24">
        <f>SUM(BB19:BD19)</f>
        <v>-2.8999999999999773</v>
      </c>
      <c r="BF19" s="96">
        <f t="shared" si="32"/>
        <v>2.8999999999999773</v>
      </c>
      <c r="BG19" s="82">
        <f t="shared" si="4"/>
        <v>-2.8999999999999773</v>
      </c>
    </row>
    <row r="20" spans="1:61" ht="15.75" thickBot="1">
      <c r="A20" s="6">
        <f>ELEC!C18</f>
        <v>44880</v>
      </c>
      <c r="B20" s="5">
        <f t="shared" si="5"/>
        <v>109443</v>
      </c>
      <c r="C20" s="5">
        <f t="shared" si="6"/>
        <v>0</v>
      </c>
      <c r="D20" s="400">
        <f t="shared" si="7"/>
        <v>0</v>
      </c>
      <c r="E20" s="317">
        <f>SUM((C20*$E$4)+(7500/'EDl log'!$A$37))</f>
        <v>250</v>
      </c>
      <c r="F20" s="399"/>
      <c r="G20" s="5">
        <f t="shared" si="33"/>
        <v>631412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1">
        <f t="shared" si="11"/>
        <v>457.44</v>
      </c>
      <c r="N20" s="480">
        <f t="shared" si="45"/>
        <v>0</v>
      </c>
      <c r="O20" s="391">
        <f t="shared" si="12"/>
        <v>529.52</v>
      </c>
      <c r="P20" s="480">
        <f t="shared" si="46"/>
        <v>0</v>
      </c>
      <c r="Q20" s="480">
        <f t="shared" si="47"/>
        <v>0</v>
      </c>
      <c r="R20" s="480"/>
      <c r="S20" s="480"/>
      <c r="T20" s="5">
        <f t="shared" si="13"/>
        <v>5195</v>
      </c>
      <c r="U20" s="5">
        <f t="shared" si="3"/>
        <v>0</v>
      </c>
      <c r="V20" s="5">
        <f t="shared" si="14"/>
        <v>501</v>
      </c>
      <c r="W20" s="308">
        <f t="shared" si="15"/>
        <v>0</v>
      </c>
      <c r="X20" s="5">
        <f t="shared" si="16"/>
        <v>156190</v>
      </c>
      <c r="Y20" s="308">
        <f t="shared" si="41"/>
        <v>0</v>
      </c>
      <c r="Z20" s="5">
        <f t="shared" si="17"/>
        <v>99703</v>
      </c>
      <c r="AA20" s="83">
        <f t="shared" si="18"/>
        <v>0</v>
      </c>
      <c r="AB20" s="5">
        <f t="shared" si="19"/>
        <v>251</v>
      </c>
      <c r="AC20" s="5">
        <f t="shared" si="20"/>
        <v>855</v>
      </c>
      <c r="AD20" s="83">
        <f t="shared" si="34"/>
        <v>0</v>
      </c>
      <c r="AE20" s="5">
        <f t="shared" si="21"/>
        <v>250.96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0">
        <f t="shared" si="26"/>
        <v>0</v>
      </c>
      <c r="AK20" s="311">
        <f t="shared" si="35"/>
        <v>0</v>
      </c>
      <c r="AL20" s="311">
        <f t="shared" si="27"/>
        <v>0</v>
      </c>
      <c r="AM20" s="311">
        <f>'General information '!D19</f>
        <v>21.5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44880</v>
      </c>
      <c r="AS20" s="405">
        <f t="shared" si="29"/>
        <v>0.9</v>
      </c>
      <c r="AT20" s="201">
        <f t="shared" si="29"/>
        <v>167</v>
      </c>
      <c r="AU20" s="406">
        <f t="shared" si="42"/>
        <v>1.1000000000000001</v>
      </c>
      <c r="AV20" s="201">
        <f t="shared" si="43"/>
        <v>70</v>
      </c>
      <c r="AW20" s="5">
        <v>2.9</v>
      </c>
      <c r="AX20" s="201">
        <f t="shared" si="44"/>
        <v>95</v>
      </c>
      <c r="AY20" s="407">
        <f>AS20*AT20</f>
        <v>150.30000000000001</v>
      </c>
      <c r="AZ20" s="407">
        <f>AU20*AV20</f>
        <v>77</v>
      </c>
      <c r="BA20" s="407">
        <f>AW20*AX20</f>
        <v>275.5</v>
      </c>
      <c r="BB20" s="21">
        <f t="shared" si="39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44881</v>
      </c>
      <c r="B21" s="5">
        <f t="shared" si="5"/>
        <v>109443</v>
      </c>
      <c r="C21" s="5">
        <f t="shared" si="6"/>
        <v>0</v>
      </c>
      <c r="D21" s="400">
        <f t="shared" si="7"/>
        <v>0</v>
      </c>
      <c r="E21" s="317">
        <f>SUM((C21*$E$4)+(7500/'EDl log'!$A$37))</f>
        <v>250</v>
      </c>
      <c r="F21" s="311"/>
      <c r="G21" s="5">
        <f t="shared" si="33"/>
        <v>631412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1">
        <f t="shared" si="11"/>
        <v>457.44</v>
      </c>
      <c r="N21" s="480">
        <f t="shared" si="45"/>
        <v>0</v>
      </c>
      <c r="O21" s="391">
        <f t="shared" si="12"/>
        <v>529.52</v>
      </c>
      <c r="P21" s="480">
        <f t="shared" si="46"/>
        <v>0</v>
      </c>
      <c r="Q21" s="480">
        <f t="shared" si="47"/>
        <v>0</v>
      </c>
      <c r="R21" s="480"/>
      <c r="S21" s="480"/>
      <c r="T21" s="5">
        <f t="shared" si="13"/>
        <v>5195</v>
      </c>
      <c r="U21" s="5">
        <f t="shared" si="3"/>
        <v>0</v>
      </c>
      <c r="V21" s="5">
        <f t="shared" si="14"/>
        <v>501</v>
      </c>
      <c r="W21" s="308">
        <f t="shared" si="15"/>
        <v>0</v>
      </c>
      <c r="X21" s="5">
        <f t="shared" si="16"/>
        <v>156190</v>
      </c>
      <c r="Y21" s="308">
        <f>SUM(X21-X20)</f>
        <v>0</v>
      </c>
      <c r="Z21" s="5">
        <f t="shared" si="17"/>
        <v>99703</v>
      </c>
      <c r="AA21" s="83">
        <f t="shared" si="18"/>
        <v>0</v>
      </c>
      <c r="AB21" s="5">
        <f t="shared" si="19"/>
        <v>251</v>
      </c>
      <c r="AC21" s="5">
        <f t="shared" si="20"/>
        <v>855</v>
      </c>
      <c r="AD21" s="83">
        <f t="shared" si="34"/>
        <v>0</v>
      </c>
      <c r="AE21" s="5">
        <f t="shared" si="21"/>
        <v>250.96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0">
        <f t="shared" si="26"/>
        <v>0</v>
      </c>
      <c r="AK21" s="311">
        <f>SUM(Y21-L21)</f>
        <v>0</v>
      </c>
      <c r="AL21" s="311">
        <f t="shared" si="27"/>
        <v>0</v>
      </c>
      <c r="AM21" s="311">
        <f>'General information '!D20</f>
        <v>19.5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44881</v>
      </c>
      <c r="AS21" s="405">
        <f t="shared" si="29"/>
        <v>0.9</v>
      </c>
      <c r="AT21" s="201">
        <v>70</v>
      </c>
      <c r="AU21" s="406">
        <f t="shared" si="42"/>
        <v>1.1000000000000001</v>
      </c>
      <c r="AV21" s="201">
        <v>117</v>
      </c>
      <c r="AW21" s="5">
        <v>2.9</v>
      </c>
      <c r="AX21" s="201">
        <v>92</v>
      </c>
      <c r="AY21" s="407">
        <f>AS21*AT21</f>
        <v>63</v>
      </c>
      <c r="AZ21" s="407">
        <f>AU21*AV21</f>
        <v>128.70000000000002</v>
      </c>
      <c r="BA21" s="407">
        <f>AW21*AX21</f>
        <v>266.8</v>
      </c>
      <c r="BB21" s="21">
        <f t="shared" si="39"/>
        <v>-87.300000000000011</v>
      </c>
      <c r="BC21" s="21">
        <f t="shared" si="30"/>
        <v>51.700000000000017</v>
      </c>
      <c r="BD21" s="21">
        <f t="shared" si="30"/>
        <v>-8.6999999999999886</v>
      </c>
      <c r="BE21" s="24">
        <f t="shared" si="31"/>
        <v>-44.299999999999983</v>
      </c>
      <c r="BF21" s="96">
        <f t="shared" si="32"/>
        <v>44.299999999999983</v>
      </c>
      <c r="BG21" s="82">
        <f t="shared" si="4"/>
        <v>-44.299999999999983</v>
      </c>
    </row>
    <row r="22" spans="1:61" ht="15.75" thickBot="1">
      <c r="A22" s="6">
        <f>ELEC!C20</f>
        <v>44882</v>
      </c>
      <c r="B22" s="5">
        <v>109443</v>
      </c>
      <c r="C22" s="5">
        <f t="shared" si="6"/>
        <v>0</v>
      </c>
      <c r="D22" s="400">
        <f t="shared" si="7"/>
        <v>0</v>
      </c>
      <c r="E22" s="317">
        <f>SUM((C22*$E$4)+(7500/'EDl log'!$A$37))</f>
        <v>250</v>
      </c>
      <c r="F22" s="311"/>
      <c r="G22" s="5">
        <v>631490</v>
      </c>
      <c r="H22" s="5">
        <f t="shared" si="8"/>
        <v>78</v>
      </c>
      <c r="I22" s="5">
        <f t="shared" si="9"/>
        <v>78</v>
      </c>
      <c r="J22" s="318">
        <f t="shared" si="0"/>
        <v>3.2051282051282053</v>
      </c>
      <c r="K22" s="5">
        <f t="shared" si="10"/>
        <v>7089</v>
      </c>
      <c r="L22" s="83">
        <f t="shared" si="40"/>
        <v>0</v>
      </c>
      <c r="M22" s="391">
        <f t="shared" si="11"/>
        <v>457.44</v>
      </c>
      <c r="N22" s="480">
        <f t="shared" si="45"/>
        <v>0</v>
      </c>
      <c r="O22" s="391">
        <f t="shared" si="12"/>
        <v>529.52</v>
      </c>
      <c r="P22" s="480">
        <f t="shared" si="46"/>
        <v>0</v>
      </c>
      <c r="Q22" s="480">
        <f t="shared" si="47"/>
        <v>0</v>
      </c>
      <c r="R22" s="480"/>
      <c r="S22" s="480"/>
      <c r="T22" s="5">
        <f t="shared" si="13"/>
        <v>5195</v>
      </c>
      <c r="U22" s="5">
        <f t="shared" si="3"/>
        <v>0</v>
      </c>
      <c r="V22" s="5">
        <f t="shared" si="14"/>
        <v>501</v>
      </c>
      <c r="W22" s="308">
        <f t="shared" si="15"/>
        <v>0</v>
      </c>
      <c r="X22" s="5">
        <f t="shared" si="16"/>
        <v>156190</v>
      </c>
      <c r="Y22" s="308">
        <f t="shared" si="41"/>
        <v>0</v>
      </c>
      <c r="Z22" s="5">
        <v>99778</v>
      </c>
      <c r="AA22" s="83">
        <f t="shared" si="18"/>
        <v>75</v>
      </c>
      <c r="AB22" s="5">
        <v>244</v>
      </c>
      <c r="AC22" s="5">
        <f t="shared" si="20"/>
        <v>855</v>
      </c>
      <c r="AD22" s="83">
        <f t="shared" si="34"/>
        <v>0</v>
      </c>
      <c r="AE22" s="5">
        <f t="shared" si="21"/>
        <v>250.96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0">
        <f t="shared" si="26"/>
        <v>75</v>
      </c>
      <c r="AK22" s="311">
        <f t="shared" si="35"/>
        <v>0</v>
      </c>
      <c r="AL22" s="311">
        <f t="shared" si="27"/>
        <v>75</v>
      </c>
      <c r="AM22" s="311">
        <f>'General information '!D21</f>
        <v>20.5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44882</v>
      </c>
      <c r="AS22" s="405">
        <f t="shared" ref="AS22:AT33" si="49">AS21</f>
        <v>0.9</v>
      </c>
      <c r="AT22" s="201">
        <v>115</v>
      </c>
      <c r="AU22" s="406">
        <f t="shared" si="42"/>
        <v>1.1000000000000001</v>
      </c>
      <c r="AV22" s="201">
        <v>116</v>
      </c>
      <c r="AW22" s="5">
        <v>2.9</v>
      </c>
      <c r="AX22" s="201">
        <v>90</v>
      </c>
      <c r="AY22" s="407">
        <f t="shared" si="36"/>
        <v>103.5</v>
      </c>
      <c r="AZ22" s="407">
        <f t="shared" si="37"/>
        <v>127.60000000000001</v>
      </c>
      <c r="BA22" s="407">
        <f t="shared" si="38"/>
        <v>261</v>
      </c>
      <c r="BB22" s="21">
        <f t="shared" si="39"/>
        <v>40.5</v>
      </c>
      <c r="BC22" s="21">
        <f t="shared" ref="BC22:BD33" si="50">AZ22-AZ21</f>
        <v>-1.1000000000000085</v>
      </c>
      <c r="BD22" s="21">
        <f t="shared" si="50"/>
        <v>-5.8000000000000114</v>
      </c>
      <c r="BE22" s="24">
        <f t="shared" si="31"/>
        <v>33.59999999999998</v>
      </c>
      <c r="BF22" s="96">
        <f t="shared" si="32"/>
        <v>44.40000000000002</v>
      </c>
      <c r="BG22" s="82">
        <f t="shared" si="4"/>
        <v>33.59999999999998</v>
      </c>
    </row>
    <row r="23" spans="1:61" ht="15.75" thickBot="1">
      <c r="A23" s="6">
        <f>ELEC!C21</f>
        <v>44883</v>
      </c>
      <c r="B23" s="5">
        <f t="shared" si="5"/>
        <v>109443</v>
      </c>
      <c r="C23" s="5">
        <f t="shared" si="6"/>
        <v>0</v>
      </c>
      <c r="D23" s="400">
        <f t="shared" si="7"/>
        <v>0</v>
      </c>
      <c r="E23" s="317">
        <f>SUM((C23*$E$4)+(7500/'EDl log'!$A$37))</f>
        <v>250</v>
      </c>
      <c r="F23" s="311"/>
      <c r="G23" s="5">
        <f t="shared" si="33"/>
        <v>631490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1">
        <f t="shared" si="11"/>
        <v>457.44</v>
      </c>
      <c r="N23" s="480">
        <f t="shared" si="45"/>
        <v>0</v>
      </c>
      <c r="O23" s="391">
        <f t="shared" si="12"/>
        <v>529.52</v>
      </c>
      <c r="P23" s="480">
        <f t="shared" si="46"/>
        <v>0</v>
      </c>
      <c r="Q23" s="480">
        <f t="shared" si="47"/>
        <v>0</v>
      </c>
      <c r="R23" s="482"/>
      <c r="S23" s="482"/>
      <c r="T23" s="5">
        <f t="shared" si="13"/>
        <v>5195</v>
      </c>
      <c r="U23" s="5">
        <f t="shared" si="3"/>
        <v>0</v>
      </c>
      <c r="V23" s="5">
        <f t="shared" si="14"/>
        <v>501</v>
      </c>
      <c r="W23" s="308">
        <f t="shared" si="15"/>
        <v>0</v>
      </c>
      <c r="X23" s="5">
        <f t="shared" si="16"/>
        <v>156190</v>
      </c>
      <c r="Y23" s="308">
        <f t="shared" si="41"/>
        <v>0</v>
      </c>
      <c r="Z23" s="5">
        <f t="shared" si="17"/>
        <v>99778</v>
      </c>
      <c r="AA23" s="83">
        <f t="shared" si="18"/>
        <v>0</v>
      </c>
      <c r="AB23" s="5">
        <f t="shared" si="19"/>
        <v>244</v>
      </c>
      <c r="AC23" s="5">
        <f t="shared" si="20"/>
        <v>855</v>
      </c>
      <c r="AD23" s="83">
        <f t="shared" si="34"/>
        <v>0</v>
      </c>
      <c r="AE23" s="5">
        <f t="shared" si="21"/>
        <v>250.96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0">
        <f t="shared" si="26"/>
        <v>0</v>
      </c>
      <c r="AK23" s="311">
        <f t="shared" si="35"/>
        <v>0</v>
      </c>
      <c r="AL23" s="311">
        <f t="shared" si="27"/>
        <v>0</v>
      </c>
      <c r="AM23" s="311">
        <f>'General information '!D22</f>
        <v>18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44883</v>
      </c>
      <c r="AS23" s="405">
        <f t="shared" si="49"/>
        <v>0.9</v>
      </c>
      <c r="AT23" s="201">
        <f t="shared" si="49"/>
        <v>115</v>
      </c>
      <c r="AU23" s="406">
        <f t="shared" si="42"/>
        <v>1.1000000000000001</v>
      </c>
      <c r="AV23" s="201">
        <f t="shared" si="43"/>
        <v>116</v>
      </c>
      <c r="AW23" s="5">
        <v>2.9</v>
      </c>
      <c r="AX23" s="201">
        <f t="shared" si="44"/>
        <v>90</v>
      </c>
      <c r="AY23" s="407">
        <f t="shared" si="36"/>
        <v>103.5</v>
      </c>
      <c r="AZ23" s="407">
        <f t="shared" si="37"/>
        <v>127.60000000000001</v>
      </c>
      <c r="BA23" s="407">
        <f t="shared" si="38"/>
        <v>261</v>
      </c>
      <c r="BB23" s="21">
        <f t="shared" si="39"/>
        <v>0</v>
      </c>
      <c r="BC23" s="21">
        <f t="shared" si="50"/>
        <v>0</v>
      </c>
      <c r="BD23" s="21">
        <f t="shared" si="50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44884</v>
      </c>
      <c r="B24" s="5">
        <f t="shared" si="5"/>
        <v>109443</v>
      </c>
      <c r="C24" s="5">
        <f t="shared" si="6"/>
        <v>0</v>
      </c>
      <c r="D24" s="400">
        <f t="shared" si="7"/>
        <v>0</v>
      </c>
      <c r="E24" s="317">
        <f>SUM((C24*$E$4)+(7500/'EDl log'!$A$37))</f>
        <v>250</v>
      </c>
      <c r="F24" s="311"/>
      <c r="G24" s="5">
        <f t="shared" si="33"/>
        <v>631490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1">
        <f t="shared" si="11"/>
        <v>457.44</v>
      </c>
      <c r="N24" s="480">
        <f t="shared" si="45"/>
        <v>0</v>
      </c>
      <c r="O24" s="391">
        <f t="shared" si="12"/>
        <v>529.52</v>
      </c>
      <c r="P24" s="480">
        <f t="shared" si="46"/>
        <v>0</v>
      </c>
      <c r="Q24" s="480">
        <f t="shared" si="47"/>
        <v>0</v>
      </c>
      <c r="R24" s="482"/>
      <c r="S24" s="482"/>
      <c r="T24" s="5">
        <f t="shared" si="13"/>
        <v>5195</v>
      </c>
      <c r="U24" s="5">
        <f t="shared" si="3"/>
        <v>0</v>
      </c>
      <c r="V24" s="5">
        <f t="shared" si="14"/>
        <v>501</v>
      </c>
      <c r="W24" s="308">
        <f t="shared" si="15"/>
        <v>0</v>
      </c>
      <c r="X24" s="5">
        <f t="shared" si="16"/>
        <v>156190</v>
      </c>
      <c r="Y24" s="308">
        <f t="shared" si="41"/>
        <v>0</v>
      </c>
      <c r="Z24" s="5">
        <f t="shared" si="17"/>
        <v>99778</v>
      </c>
      <c r="AA24" s="83">
        <f t="shared" si="18"/>
        <v>0</v>
      </c>
      <c r="AB24" s="5">
        <f t="shared" si="19"/>
        <v>244</v>
      </c>
      <c r="AC24" s="5">
        <f t="shared" si="20"/>
        <v>855</v>
      </c>
      <c r="AD24" s="83">
        <f t="shared" si="34"/>
        <v>0</v>
      </c>
      <c r="AE24" s="5">
        <f t="shared" si="21"/>
        <v>250.96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0">
        <f t="shared" si="26"/>
        <v>0</v>
      </c>
      <c r="AK24" s="311">
        <f t="shared" si="35"/>
        <v>0</v>
      </c>
      <c r="AL24" s="311">
        <f t="shared" si="27"/>
        <v>0</v>
      </c>
      <c r="AM24" s="311">
        <f>'General information '!D23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8"/>
        <v>44884</v>
      </c>
      <c r="AS24" s="405">
        <f t="shared" si="49"/>
        <v>0.9</v>
      </c>
      <c r="AT24" s="201">
        <f t="shared" si="49"/>
        <v>115</v>
      </c>
      <c r="AU24" s="406">
        <f t="shared" si="42"/>
        <v>1.1000000000000001</v>
      </c>
      <c r="AV24" s="201">
        <f t="shared" si="43"/>
        <v>116</v>
      </c>
      <c r="AW24" s="5">
        <v>2.9</v>
      </c>
      <c r="AX24" s="201">
        <f t="shared" si="44"/>
        <v>90</v>
      </c>
      <c r="AY24" s="407">
        <f t="shared" si="36"/>
        <v>103.5</v>
      </c>
      <c r="AZ24" s="407">
        <f t="shared" si="37"/>
        <v>127.60000000000001</v>
      </c>
      <c r="BA24" s="407">
        <f t="shared" si="38"/>
        <v>261</v>
      </c>
      <c r="BB24" s="21">
        <f t="shared" si="39"/>
        <v>0</v>
      </c>
      <c r="BC24" s="21">
        <f t="shared" si="50"/>
        <v>0</v>
      </c>
      <c r="BD24" s="21">
        <f t="shared" si="50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44885</v>
      </c>
      <c r="B25" s="5">
        <f t="shared" si="5"/>
        <v>109443</v>
      </c>
      <c r="C25" s="5">
        <f t="shared" si="6"/>
        <v>0</v>
      </c>
      <c r="D25" s="400">
        <f t="shared" si="7"/>
        <v>0</v>
      </c>
      <c r="E25" s="317">
        <f>SUM((C25*$E$4)+(7500/'EDl log'!$A$37))</f>
        <v>250</v>
      </c>
      <c r="F25" s="311"/>
      <c r="G25" s="5">
        <v>631498</v>
      </c>
      <c r="H25" s="5">
        <f t="shared" si="8"/>
        <v>8</v>
      </c>
      <c r="I25" s="5">
        <f t="shared" si="9"/>
        <v>8</v>
      </c>
      <c r="J25" s="318">
        <f t="shared" si="0"/>
        <v>31.25</v>
      </c>
      <c r="K25" s="5">
        <f t="shared" si="10"/>
        <v>7089</v>
      </c>
      <c r="L25" s="263">
        <f t="shared" si="40"/>
        <v>0</v>
      </c>
      <c r="M25" s="391">
        <f t="shared" si="11"/>
        <v>457.44</v>
      </c>
      <c r="N25" s="480">
        <f t="shared" si="45"/>
        <v>0</v>
      </c>
      <c r="O25" s="391">
        <f t="shared" si="12"/>
        <v>529.52</v>
      </c>
      <c r="P25" s="480">
        <f t="shared" si="46"/>
        <v>0</v>
      </c>
      <c r="Q25" s="480">
        <f t="shared" si="47"/>
        <v>0</v>
      </c>
      <c r="R25" s="482"/>
      <c r="S25" s="482"/>
      <c r="T25" s="5">
        <f t="shared" si="13"/>
        <v>5195</v>
      </c>
      <c r="U25" s="5">
        <f t="shared" si="3"/>
        <v>0</v>
      </c>
      <c r="V25" s="5">
        <f t="shared" si="14"/>
        <v>501</v>
      </c>
      <c r="W25" s="308">
        <f t="shared" si="15"/>
        <v>0</v>
      </c>
      <c r="X25" s="5">
        <f t="shared" si="16"/>
        <v>156190</v>
      </c>
      <c r="Y25" s="308">
        <f t="shared" si="41"/>
        <v>0</v>
      </c>
      <c r="Z25" s="5">
        <f t="shared" si="17"/>
        <v>99778</v>
      </c>
      <c r="AA25" s="83">
        <f t="shared" si="18"/>
        <v>0</v>
      </c>
      <c r="AB25" s="5">
        <f t="shared" si="19"/>
        <v>244</v>
      </c>
      <c r="AC25" s="5">
        <f t="shared" si="20"/>
        <v>855</v>
      </c>
      <c r="AD25" s="83">
        <f t="shared" si="34"/>
        <v>0</v>
      </c>
      <c r="AE25" s="5">
        <f t="shared" si="21"/>
        <v>250.96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0">
        <f t="shared" si="26"/>
        <v>0</v>
      </c>
      <c r="AK25" s="311">
        <f t="shared" si="35"/>
        <v>0</v>
      </c>
      <c r="AL25" s="311">
        <f t="shared" si="27"/>
        <v>0</v>
      </c>
      <c r="AM25" s="311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44885</v>
      </c>
      <c r="AS25" s="405">
        <f t="shared" si="49"/>
        <v>0.9</v>
      </c>
      <c r="AT25" s="201">
        <v>120</v>
      </c>
      <c r="AU25" s="406">
        <f t="shared" si="42"/>
        <v>1.1000000000000001</v>
      </c>
      <c r="AV25" s="201">
        <v>115</v>
      </c>
      <c r="AW25" s="5">
        <v>2.9</v>
      </c>
      <c r="AX25" s="201">
        <v>88</v>
      </c>
      <c r="AY25" s="407">
        <f t="shared" si="36"/>
        <v>108</v>
      </c>
      <c r="AZ25" s="407">
        <f t="shared" si="37"/>
        <v>126.50000000000001</v>
      </c>
      <c r="BA25" s="407">
        <f t="shared" si="38"/>
        <v>255.2</v>
      </c>
      <c r="BB25" s="21">
        <f t="shared" si="39"/>
        <v>4.5</v>
      </c>
      <c r="BC25" s="21">
        <f t="shared" si="50"/>
        <v>-1.0999999999999943</v>
      </c>
      <c r="BD25" s="21">
        <f t="shared" si="50"/>
        <v>-5.8000000000000114</v>
      </c>
      <c r="BE25" s="24">
        <f t="shared" si="31"/>
        <v>-2.4000000000000057</v>
      </c>
      <c r="BF25" s="96">
        <f t="shared" si="32"/>
        <v>10.400000000000006</v>
      </c>
      <c r="BG25" s="82">
        <f t="shared" si="4"/>
        <v>-2.4000000000000057</v>
      </c>
    </row>
    <row r="26" spans="1:61" ht="15.75" thickBot="1">
      <c r="A26" s="6">
        <f>ELEC!C24</f>
        <v>44886</v>
      </c>
      <c r="B26" s="5">
        <f t="shared" si="5"/>
        <v>109443</v>
      </c>
      <c r="C26" s="5">
        <f t="shared" si="6"/>
        <v>0</v>
      </c>
      <c r="D26" s="400">
        <f t="shared" si="7"/>
        <v>0</v>
      </c>
      <c r="E26" s="317">
        <f>SUM((C26*$E$4)+(7500/'EDl log'!$A$37))</f>
        <v>250</v>
      </c>
      <c r="F26" s="311"/>
      <c r="G26" s="5">
        <f t="shared" si="33"/>
        <v>631498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1">
        <f t="shared" si="11"/>
        <v>457.44</v>
      </c>
      <c r="N26" s="480">
        <f t="shared" si="45"/>
        <v>0</v>
      </c>
      <c r="O26" s="391">
        <f t="shared" si="12"/>
        <v>529.52</v>
      </c>
      <c r="P26" s="480">
        <f t="shared" si="46"/>
        <v>0</v>
      </c>
      <c r="Q26" s="480">
        <f t="shared" si="47"/>
        <v>0</v>
      </c>
      <c r="R26" s="482"/>
      <c r="S26" s="482"/>
      <c r="T26" s="5">
        <f t="shared" si="13"/>
        <v>5195</v>
      </c>
      <c r="U26" s="5">
        <f t="shared" si="3"/>
        <v>0</v>
      </c>
      <c r="V26" s="5">
        <f t="shared" si="14"/>
        <v>501</v>
      </c>
      <c r="W26" s="308">
        <f t="shared" si="15"/>
        <v>0</v>
      </c>
      <c r="X26" s="5">
        <f t="shared" si="16"/>
        <v>156190</v>
      </c>
      <c r="Y26" s="308">
        <f t="shared" si="41"/>
        <v>0</v>
      </c>
      <c r="Z26" s="5">
        <f t="shared" si="17"/>
        <v>99778</v>
      </c>
      <c r="AA26" s="83">
        <f t="shared" si="18"/>
        <v>0</v>
      </c>
      <c r="AB26" s="5">
        <f t="shared" si="19"/>
        <v>244</v>
      </c>
      <c r="AC26" s="5">
        <f t="shared" si="20"/>
        <v>855</v>
      </c>
      <c r="AD26" s="83">
        <f t="shared" si="34"/>
        <v>0</v>
      </c>
      <c r="AE26" s="5">
        <f t="shared" si="21"/>
        <v>250.96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0">
        <f t="shared" si="26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44886</v>
      </c>
      <c r="AS26" s="405">
        <f t="shared" si="49"/>
        <v>0.9</v>
      </c>
      <c r="AT26" s="201">
        <v>113</v>
      </c>
      <c r="AU26" s="406">
        <f t="shared" si="42"/>
        <v>1.1000000000000001</v>
      </c>
      <c r="AV26" s="201">
        <f t="shared" si="43"/>
        <v>115</v>
      </c>
      <c r="AW26" s="5">
        <v>2.9</v>
      </c>
      <c r="AX26" s="201">
        <f t="shared" si="44"/>
        <v>88</v>
      </c>
      <c r="AY26" s="407">
        <f t="shared" si="36"/>
        <v>101.7</v>
      </c>
      <c r="AZ26" s="407">
        <f t="shared" si="37"/>
        <v>126.50000000000001</v>
      </c>
      <c r="BA26" s="407">
        <f t="shared" si="38"/>
        <v>255.2</v>
      </c>
      <c r="BB26" s="21">
        <f t="shared" si="39"/>
        <v>-6.2999999999999972</v>
      </c>
      <c r="BC26" s="21">
        <f t="shared" si="50"/>
        <v>0</v>
      </c>
      <c r="BD26" s="21">
        <f t="shared" si="50"/>
        <v>0</v>
      </c>
      <c r="BE26" s="24">
        <f t="shared" si="31"/>
        <v>-6.2999999999999972</v>
      </c>
      <c r="BF26" s="96">
        <f t="shared" si="32"/>
        <v>6.2999999999999972</v>
      </c>
      <c r="BG26" s="82">
        <f t="shared" si="4"/>
        <v>-6.2999999999999972</v>
      </c>
    </row>
    <row r="27" spans="1:61" ht="15.75" thickBot="1">
      <c r="A27" s="6">
        <f>ELEC!C25</f>
        <v>44887</v>
      </c>
      <c r="B27" s="5">
        <f t="shared" si="5"/>
        <v>109443</v>
      </c>
      <c r="C27" s="5">
        <f t="shared" si="6"/>
        <v>0</v>
      </c>
      <c r="D27" s="400">
        <f t="shared" si="7"/>
        <v>0</v>
      </c>
      <c r="E27" s="317">
        <f>SUM((C27*$E$4)+(7500/'EDl log'!$A$37))</f>
        <v>250</v>
      </c>
      <c r="F27" s="311"/>
      <c r="G27" s="5">
        <f t="shared" si="33"/>
        <v>631498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1">
        <f t="shared" si="11"/>
        <v>457.44</v>
      </c>
      <c r="N27" s="480">
        <f t="shared" si="45"/>
        <v>0</v>
      </c>
      <c r="O27" s="391">
        <f t="shared" si="12"/>
        <v>529.52</v>
      </c>
      <c r="P27" s="480">
        <f t="shared" si="46"/>
        <v>0</v>
      </c>
      <c r="Q27" s="480">
        <f t="shared" si="47"/>
        <v>0</v>
      </c>
      <c r="R27" s="482"/>
      <c r="S27" s="482"/>
      <c r="T27" s="5">
        <f t="shared" si="13"/>
        <v>5195</v>
      </c>
      <c r="U27" s="5">
        <f t="shared" si="3"/>
        <v>0</v>
      </c>
      <c r="V27" s="5">
        <v>503</v>
      </c>
      <c r="W27" s="308">
        <f t="shared" si="15"/>
        <v>2</v>
      </c>
      <c r="X27" s="5">
        <f t="shared" si="16"/>
        <v>156190</v>
      </c>
      <c r="Y27" s="308">
        <f t="shared" si="41"/>
        <v>0</v>
      </c>
      <c r="Z27" s="5">
        <f t="shared" si="17"/>
        <v>99778</v>
      </c>
      <c r="AA27" s="83">
        <f t="shared" si="18"/>
        <v>0</v>
      </c>
      <c r="AB27" s="5">
        <f t="shared" si="19"/>
        <v>244</v>
      </c>
      <c r="AC27" s="5">
        <f t="shared" si="20"/>
        <v>855</v>
      </c>
      <c r="AD27" s="83">
        <f t="shared" si="34"/>
        <v>0</v>
      </c>
      <c r="AE27" s="5">
        <f t="shared" si="21"/>
        <v>250.96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0">
        <f t="shared" si="26"/>
        <v>0</v>
      </c>
      <c r="AK27" s="311">
        <f t="shared" si="35"/>
        <v>0</v>
      </c>
      <c r="AL27" s="311">
        <f t="shared" si="27"/>
        <v>-2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44887</v>
      </c>
      <c r="AS27" s="405">
        <f t="shared" si="49"/>
        <v>0.9</v>
      </c>
      <c r="AT27" s="201">
        <v>113</v>
      </c>
      <c r="AU27" s="406">
        <f t="shared" si="42"/>
        <v>1.1000000000000001</v>
      </c>
      <c r="AV27" s="201">
        <f t="shared" si="43"/>
        <v>115</v>
      </c>
      <c r="AW27" s="5">
        <v>2.9</v>
      </c>
      <c r="AX27" s="201">
        <v>86</v>
      </c>
      <c r="AY27" s="407">
        <f t="shared" si="36"/>
        <v>101.7</v>
      </c>
      <c r="AZ27" s="407">
        <f t="shared" si="37"/>
        <v>126.50000000000001</v>
      </c>
      <c r="BA27" s="407">
        <f t="shared" si="38"/>
        <v>249.4</v>
      </c>
      <c r="BB27" s="21">
        <f t="shared" si="39"/>
        <v>0</v>
      </c>
      <c r="BC27" s="21">
        <f t="shared" si="50"/>
        <v>0</v>
      </c>
      <c r="BD27" s="21">
        <f t="shared" si="50"/>
        <v>-5.7999999999999829</v>
      </c>
      <c r="BE27" s="24">
        <f t="shared" si="31"/>
        <v>-5.7999999999999829</v>
      </c>
      <c r="BF27" s="96">
        <f t="shared" si="32"/>
        <v>5.7999999999999829</v>
      </c>
      <c r="BG27" s="82">
        <f t="shared" si="4"/>
        <v>-5.7999999999999829</v>
      </c>
    </row>
    <row r="28" spans="1:61" ht="15.75" thickBot="1">
      <c r="A28" s="6">
        <f>ELEC!C26</f>
        <v>44888</v>
      </c>
      <c r="B28" s="5">
        <f t="shared" si="5"/>
        <v>109443</v>
      </c>
      <c r="C28" s="5">
        <f t="shared" si="6"/>
        <v>0</v>
      </c>
      <c r="D28" s="400">
        <f t="shared" si="7"/>
        <v>0</v>
      </c>
      <c r="E28" s="317">
        <f>SUM((C28*$E$4)+(7500/'EDl log'!$A$37))</f>
        <v>250</v>
      </c>
      <c r="F28" s="311"/>
      <c r="G28" s="5">
        <f t="shared" si="33"/>
        <v>631498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1">
        <f t="shared" si="11"/>
        <v>457.44</v>
      </c>
      <c r="N28" s="480">
        <f t="shared" si="45"/>
        <v>0</v>
      </c>
      <c r="O28" s="391">
        <f t="shared" si="12"/>
        <v>529.52</v>
      </c>
      <c r="P28" s="480">
        <f t="shared" si="46"/>
        <v>0</v>
      </c>
      <c r="Q28" s="480">
        <f t="shared" si="47"/>
        <v>0</v>
      </c>
      <c r="R28" s="482"/>
      <c r="S28" s="482"/>
      <c r="T28" s="5">
        <f t="shared" si="13"/>
        <v>5195</v>
      </c>
      <c r="U28" s="5">
        <f t="shared" si="3"/>
        <v>0</v>
      </c>
      <c r="V28" s="5">
        <f t="shared" si="14"/>
        <v>503</v>
      </c>
      <c r="W28" s="308">
        <f t="shared" si="15"/>
        <v>0</v>
      </c>
      <c r="X28" s="5">
        <f t="shared" si="16"/>
        <v>156190</v>
      </c>
      <c r="Y28" s="308">
        <f t="shared" si="41"/>
        <v>0</v>
      </c>
      <c r="Z28" s="5">
        <f t="shared" si="17"/>
        <v>99778</v>
      </c>
      <c r="AA28" s="83">
        <f t="shared" si="18"/>
        <v>0</v>
      </c>
      <c r="AB28" s="5">
        <f t="shared" si="19"/>
        <v>244</v>
      </c>
      <c r="AC28" s="5">
        <f t="shared" si="20"/>
        <v>855</v>
      </c>
      <c r="AD28" s="83">
        <f t="shared" si="34"/>
        <v>0</v>
      </c>
      <c r="AE28" s="5">
        <f t="shared" si="21"/>
        <v>250.96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0">
        <f t="shared" si="26"/>
        <v>0</v>
      </c>
      <c r="AK28" s="311">
        <f t="shared" si="35"/>
        <v>0</v>
      </c>
      <c r="AL28" s="311">
        <f t="shared" si="27"/>
        <v>0</v>
      </c>
      <c r="AM28" s="311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44888</v>
      </c>
      <c r="AS28" s="405">
        <f t="shared" si="49"/>
        <v>0.9</v>
      </c>
      <c r="AT28" s="201">
        <v>112</v>
      </c>
      <c r="AU28" s="406">
        <f t="shared" si="42"/>
        <v>1.1000000000000001</v>
      </c>
      <c r="AV28" s="201">
        <v>109</v>
      </c>
      <c r="AW28" s="5">
        <v>2.9</v>
      </c>
      <c r="AX28" s="201">
        <v>105</v>
      </c>
      <c r="AY28" s="407">
        <f t="shared" si="36"/>
        <v>100.8</v>
      </c>
      <c r="AZ28" s="407">
        <f t="shared" si="37"/>
        <v>119.9</v>
      </c>
      <c r="BA28" s="407">
        <f t="shared" si="38"/>
        <v>304.5</v>
      </c>
      <c r="BB28" s="21">
        <f t="shared" si="39"/>
        <v>-0.90000000000000568</v>
      </c>
      <c r="BC28" s="21">
        <f t="shared" si="50"/>
        <v>-6.6000000000000085</v>
      </c>
      <c r="BD28" s="21">
        <f t="shared" si="50"/>
        <v>55.099999999999994</v>
      </c>
      <c r="BE28" s="24">
        <f t="shared" si="31"/>
        <v>47.59999999999998</v>
      </c>
      <c r="BF28" s="96">
        <f t="shared" si="32"/>
        <v>-47.59999999999998</v>
      </c>
      <c r="BG28" s="82">
        <f t="shared" si="4"/>
        <v>47.59999999999998</v>
      </c>
    </row>
    <row r="29" spans="1:61" ht="15.75" thickBot="1">
      <c r="A29" s="6">
        <f>ELEC!C27</f>
        <v>44889</v>
      </c>
      <c r="B29" s="5">
        <f t="shared" si="5"/>
        <v>109443</v>
      </c>
      <c r="C29" s="5">
        <f t="shared" si="6"/>
        <v>0</v>
      </c>
      <c r="D29" s="400">
        <f t="shared" si="7"/>
        <v>0</v>
      </c>
      <c r="E29" s="317">
        <f>SUM((C29*$E$4)+(7500/'EDl log'!$A$37))</f>
        <v>250</v>
      </c>
      <c r="F29" s="311"/>
      <c r="G29" s="5">
        <f t="shared" si="33"/>
        <v>631498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1">
        <f t="shared" si="11"/>
        <v>457.44</v>
      </c>
      <c r="N29" s="480">
        <f t="shared" si="45"/>
        <v>0</v>
      </c>
      <c r="O29" s="391">
        <f t="shared" si="12"/>
        <v>529.52</v>
      </c>
      <c r="P29" s="480">
        <f t="shared" si="46"/>
        <v>0</v>
      </c>
      <c r="Q29" s="480">
        <f t="shared" si="47"/>
        <v>0</v>
      </c>
      <c r="R29" s="482"/>
      <c r="S29" s="482"/>
      <c r="T29" s="5">
        <f t="shared" si="13"/>
        <v>5195</v>
      </c>
      <c r="U29" s="5">
        <f t="shared" si="3"/>
        <v>0</v>
      </c>
      <c r="V29" s="5">
        <f t="shared" si="14"/>
        <v>503</v>
      </c>
      <c r="W29" s="308">
        <f t="shared" si="15"/>
        <v>0</v>
      </c>
      <c r="X29" s="5">
        <f t="shared" si="16"/>
        <v>156190</v>
      </c>
      <c r="Y29" s="308">
        <f t="shared" si="41"/>
        <v>0</v>
      </c>
      <c r="Z29" s="5">
        <f t="shared" si="17"/>
        <v>99778</v>
      </c>
      <c r="AA29" s="83">
        <f t="shared" si="18"/>
        <v>0</v>
      </c>
      <c r="AB29" s="5">
        <v>251</v>
      </c>
      <c r="AC29" s="5">
        <f t="shared" si="20"/>
        <v>855</v>
      </c>
      <c r="AD29" s="83">
        <f t="shared" si="34"/>
        <v>0</v>
      </c>
      <c r="AE29" s="5">
        <f t="shared" si="21"/>
        <v>250.96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0">
        <f t="shared" si="26"/>
        <v>0</v>
      </c>
      <c r="AK29" s="311">
        <f t="shared" si="35"/>
        <v>0</v>
      </c>
      <c r="AL29" s="311">
        <f t="shared" si="27"/>
        <v>0</v>
      </c>
      <c r="AM29" s="311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44889</v>
      </c>
      <c r="AS29" s="405">
        <f t="shared" si="49"/>
        <v>0.9</v>
      </c>
      <c r="AT29" s="201">
        <v>89</v>
      </c>
      <c r="AU29" s="406">
        <f t="shared" si="42"/>
        <v>1.1000000000000001</v>
      </c>
      <c r="AV29" s="201">
        <v>107</v>
      </c>
      <c r="AW29" s="5">
        <v>2.9</v>
      </c>
      <c r="AX29" s="201">
        <v>118</v>
      </c>
      <c r="AY29" s="407">
        <f t="shared" si="36"/>
        <v>80.100000000000009</v>
      </c>
      <c r="AZ29" s="407">
        <f t="shared" si="37"/>
        <v>117.7</v>
      </c>
      <c r="BA29" s="407">
        <f t="shared" si="38"/>
        <v>342.2</v>
      </c>
      <c r="BB29" s="21">
        <f t="shared" si="39"/>
        <v>-20.699999999999989</v>
      </c>
      <c r="BC29" s="21">
        <f t="shared" si="50"/>
        <v>-2.2000000000000028</v>
      </c>
      <c r="BD29" s="21">
        <f t="shared" si="50"/>
        <v>37.699999999999989</v>
      </c>
      <c r="BE29" s="24">
        <f t="shared" si="31"/>
        <v>14.799999999999997</v>
      </c>
      <c r="BF29" s="96">
        <f t="shared" si="32"/>
        <v>-14.799999999999997</v>
      </c>
      <c r="BG29" s="82">
        <f t="shared" si="4"/>
        <v>14.799999999999997</v>
      </c>
    </row>
    <row r="30" spans="1:61" ht="15.75" thickBot="1">
      <c r="A30" s="6">
        <f>ELEC!C28</f>
        <v>44890</v>
      </c>
      <c r="B30" s="5">
        <f t="shared" si="5"/>
        <v>109443</v>
      </c>
      <c r="C30" s="5">
        <f t="shared" si="6"/>
        <v>0</v>
      </c>
      <c r="D30" s="400">
        <f t="shared" si="7"/>
        <v>0</v>
      </c>
      <c r="E30" s="317">
        <f>SUM((C30*$E$4)+(7500/'EDl log'!$A$37))</f>
        <v>250</v>
      </c>
      <c r="F30" s="311"/>
      <c r="G30" s="5">
        <f t="shared" si="33"/>
        <v>631498</v>
      </c>
      <c r="H30" s="5">
        <f t="shared" si="8"/>
        <v>0</v>
      </c>
      <c r="I30" s="5">
        <f t="shared" si="9"/>
        <v>0</v>
      </c>
      <c r="J30" s="318">
        <f t="shared" si="0"/>
        <v>0</v>
      </c>
      <c r="K30" s="5">
        <f t="shared" si="10"/>
        <v>7089</v>
      </c>
      <c r="L30" s="263">
        <f t="shared" si="40"/>
        <v>0</v>
      </c>
      <c r="M30" s="391">
        <f t="shared" si="11"/>
        <v>457.44</v>
      </c>
      <c r="N30" s="480">
        <f t="shared" si="45"/>
        <v>0</v>
      </c>
      <c r="O30" s="391">
        <f t="shared" si="12"/>
        <v>529.52</v>
      </c>
      <c r="P30" s="480">
        <f t="shared" si="46"/>
        <v>0</v>
      </c>
      <c r="Q30" s="480">
        <f t="shared" si="47"/>
        <v>0</v>
      </c>
      <c r="R30" s="482"/>
      <c r="S30" s="482"/>
      <c r="T30" s="5">
        <f t="shared" si="13"/>
        <v>5195</v>
      </c>
      <c r="U30" s="5">
        <f t="shared" si="3"/>
        <v>0</v>
      </c>
      <c r="V30" s="5">
        <f t="shared" si="14"/>
        <v>503</v>
      </c>
      <c r="W30" s="308">
        <f t="shared" si="15"/>
        <v>0</v>
      </c>
      <c r="X30" s="5">
        <f t="shared" si="16"/>
        <v>156190</v>
      </c>
      <c r="Y30" s="308">
        <f t="shared" si="41"/>
        <v>0</v>
      </c>
      <c r="Z30" s="5">
        <f t="shared" si="17"/>
        <v>99778</v>
      </c>
      <c r="AA30" s="83">
        <f t="shared" si="18"/>
        <v>0</v>
      </c>
      <c r="AB30" s="5">
        <f t="shared" si="19"/>
        <v>251</v>
      </c>
      <c r="AC30" s="5">
        <f t="shared" si="20"/>
        <v>855</v>
      </c>
      <c r="AD30" s="83">
        <f t="shared" si="34"/>
        <v>0</v>
      </c>
      <c r="AE30" s="5">
        <f t="shared" si="21"/>
        <v>250.96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0">
        <f t="shared" si="26"/>
        <v>0</v>
      </c>
      <c r="AK30" s="311">
        <f t="shared" si="35"/>
        <v>0</v>
      </c>
      <c r="AL30" s="311">
        <f t="shared" si="27"/>
        <v>0</v>
      </c>
      <c r="AM30" s="31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44890</v>
      </c>
      <c r="AS30" s="405">
        <f t="shared" si="49"/>
        <v>0.9</v>
      </c>
      <c r="AT30" s="201">
        <f t="shared" si="49"/>
        <v>89</v>
      </c>
      <c r="AU30" s="406">
        <f t="shared" si="42"/>
        <v>1.1000000000000001</v>
      </c>
      <c r="AV30" s="201">
        <f t="shared" si="43"/>
        <v>107</v>
      </c>
      <c r="AW30" s="5">
        <v>2.9</v>
      </c>
      <c r="AX30" s="201">
        <f t="shared" si="44"/>
        <v>118</v>
      </c>
      <c r="AY30" s="407">
        <f t="shared" si="36"/>
        <v>80.100000000000009</v>
      </c>
      <c r="AZ30" s="407">
        <f t="shared" si="37"/>
        <v>117.7</v>
      </c>
      <c r="BA30" s="407">
        <f t="shared" si="38"/>
        <v>342.2</v>
      </c>
      <c r="BB30" s="21">
        <f t="shared" si="39"/>
        <v>0</v>
      </c>
      <c r="BC30" s="21">
        <f t="shared" si="50"/>
        <v>0</v>
      </c>
      <c r="BD30" s="21">
        <f t="shared" si="50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44891</v>
      </c>
      <c r="B31" s="5">
        <f t="shared" si="5"/>
        <v>109443</v>
      </c>
      <c r="C31" s="5">
        <f t="shared" si="6"/>
        <v>0</v>
      </c>
      <c r="D31" s="400">
        <f t="shared" si="7"/>
        <v>0</v>
      </c>
      <c r="E31" s="317">
        <f>SUM((C31*$E$4)+(7500/'EDl log'!$A$37))</f>
        <v>250</v>
      </c>
      <c r="F31" s="311"/>
      <c r="G31" s="5">
        <f t="shared" si="33"/>
        <v>631498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1">
        <f t="shared" si="11"/>
        <v>457.44</v>
      </c>
      <c r="N31" s="480">
        <f t="shared" si="45"/>
        <v>0</v>
      </c>
      <c r="O31" s="391">
        <f t="shared" si="12"/>
        <v>529.52</v>
      </c>
      <c r="P31" s="480">
        <f t="shared" si="46"/>
        <v>0</v>
      </c>
      <c r="Q31" s="480">
        <f t="shared" si="47"/>
        <v>0</v>
      </c>
      <c r="R31" s="482"/>
      <c r="S31" s="482"/>
      <c r="T31" s="5">
        <f t="shared" si="13"/>
        <v>5195</v>
      </c>
      <c r="U31" s="5">
        <f t="shared" si="3"/>
        <v>0</v>
      </c>
      <c r="V31" s="5">
        <f t="shared" si="14"/>
        <v>503</v>
      </c>
      <c r="W31" s="308">
        <f t="shared" si="15"/>
        <v>0</v>
      </c>
      <c r="X31" s="5">
        <f t="shared" si="16"/>
        <v>156190</v>
      </c>
      <c r="Y31" s="308">
        <f t="shared" si="41"/>
        <v>0</v>
      </c>
      <c r="Z31" s="5">
        <f t="shared" si="17"/>
        <v>99778</v>
      </c>
      <c r="AA31" s="83">
        <f t="shared" si="18"/>
        <v>0</v>
      </c>
      <c r="AB31" s="5">
        <f t="shared" si="19"/>
        <v>251</v>
      </c>
      <c r="AC31" s="5">
        <f t="shared" si="20"/>
        <v>855</v>
      </c>
      <c r="AD31" s="83">
        <f t="shared" si="34"/>
        <v>0</v>
      </c>
      <c r="AE31" s="5">
        <f t="shared" si="21"/>
        <v>250.96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0">
        <f t="shared" si="26"/>
        <v>0</v>
      </c>
      <c r="AK31" s="311">
        <f t="shared" si="35"/>
        <v>0</v>
      </c>
      <c r="AL31" s="311">
        <f t="shared" si="27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44891</v>
      </c>
      <c r="AS31" s="405">
        <f t="shared" si="49"/>
        <v>0.9</v>
      </c>
      <c r="AT31" s="201">
        <f t="shared" si="49"/>
        <v>89</v>
      </c>
      <c r="AU31" s="406">
        <f t="shared" si="42"/>
        <v>1.1000000000000001</v>
      </c>
      <c r="AV31" s="201">
        <f t="shared" si="43"/>
        <v>107</v>
      </c>
      <c r="AW31" s="5">
        <v>2.9</v>
      </c>
      <c r="AX31" s="201">
        <f t="shared" si="44"/>
        <v>118</v>
      </c>
      <c r="AY31" s="407">
        <f t="shared" si="36"/>
        <v>80.100000000000009</v>
      </c>
      <c r="AZ31" s="407">
        <f>AU31*AV31</f>
        <v>117.7</v>
      </c>
      <c r="BA31" s="407">
        <f t="shared" si="38"/>
        <v>342.2</v>
      </c>
      <c r="BB31" s="21">
        <f t="shared" si="39"/>
        <v>0</v>
      </c>
      <c r="BC31" s="21">
        <f t="shared" si="50"/>
        <v>0</v>
      </c>
      <c r="BD31" s="21">
        <f t="shared" si="50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44892</v>
      </c>
      <c r="B32" s="5">
        <f t="shared" si="5"/>
        <v>109443</v>
      </c>
      <c r="C32" s="5">
        <f t="shared" si="6"/>
        <v>0</v>
      </c>
      <c r="D32" s="400">
        <f t="shared" si="7"/>
        <v>0</v>
      </c>
      <c r="E32" s="317">
        <f>SUM((C32*$E$4)+(7500/'EDl log'!$A$37))</f>
        <v>250</v>
      </c>
      <c r="F32" s="311"/>
      <c r="G32" s="5">
        <v>631758</v>
      </c>
      <c r="H32" s="5">
        <f t="shared" si="8"/>
        <v>260</v>
      </c>
      <c r="I32" s="5">
        <f t="shared" si="9"/>
        <v>260</v>
      </c>
      <c r="J32" s="318">
        <f t="shared" si="0"/>
        <v>0.96153846153846156</v>
      </c>
      <c r="K32" s="5">
        <f t="shared" si="10"/>
        <v>7089</v>
      </c>
      <c r="L32" s="263">
        <f t="shared" si="40"/>
        <v>0</v>
      </c>
      <c r="M32" s="391">
        <f t="shared" si="11"/>
        <v>457.44</v>
      </c>
      <c r="N32" s="480">
        <f t="shared" si="45"/>
        <v>0</v>
      </c>
      <c r="O32" s="391">
        <f t="shared" si="12"/>
        <v>529.52</v>
      </c>
      <c r="P32" s="480">
        <f t="shared" si="46"/>
        <v>0</v>
      </c>
      <c r="Q32" s="480">
        <f t="shared" si="47"/>
        <v>0</v>
      </c>
      <c r="R32" s="482"/>
      <c r="S32" s="482"/>
      <c r="T32" s="5">
        <v>5196</v>
      </c>
      <c r="U32" s="5">
        <f t="shared" si="3"/>
        <v>1</v>
      </c>
      <c r="V32" s="5">
        <v>505</v>
      </c>
      <c r="W32" s="308">
        <f t="shared" si="15"/>
        <v>2</v>
      </c>
      <c r="X32" s="5">
        <v>156326</v>
      </c>
      <c r="Y32" s="308">
        <f t="shared" si="41"/>
        <v>136</v>
      </c>
      <c r="Z32" s="5">
        <f t="shared" si="17"/>
        <v>99778</v>
      </c>
      <c r="AA32" s="83">
        <f t="shared" si="18"/>
        <v>0</v>
      </c>
      <c r="AB32" s="5">
        <f t="shared" si="19"/>
        <v>251</v>
      </c>
      <c r="AC32" s="5">
        <f t="shared" si="20"/>
        <v>855</v>
      </c>
      <c r="AD32" s="83">
        <f t="shared" si="34"/>
        <v>0</v>
      </c>
      <c r="AE32" s="5">
        <f t="shared" si="21"/>
        <v>250.96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0">
        <f>+Z32-Z31</f>
        <v>0</v>
      </c>
      <c r="AK32" s="311">
        <f t="shared" si="35"/>
        <v>136</v>
      </c>
      <c r="AL32" s="311">
        <f t="shared" si="27"/>
        <v>-2</v>
      </c>
      <c r="AM32" s="311">
        <f>'General information '!D31</f>
        <v>18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44892</v>
      </c>
      <c r="AS32" s="405">
        <f t="shared" si="49"/>
        <v>0.9</v>
      </c>
      <c r="AT32" s="201">
        <v>130</v>
      </c>
      <c r="AU32" s="406">
        <f t="shared" si="42"/>
        <v>1.1000000000000001</v>
      </c>
      <c r="AV32" s="201">
        <v>99</v>
      </c>
      <c r="AW32" s="5">
        <v>2.9</v>
      </c>
      <c r="AX32" s="201">
        <v>116</v>
      </c>
      <c r="AY32" s="407">
        <f t="shared" si="36"/>
        <v>117</v>
      </c>
      <c r="AZ32" s="407">
        <f t="shared" si="37"/>
        <v>108.9</v>
      </c>
      <c r="BA32" s="407">
        <f t="shared" si="38"/>
        <v>336.4</v>
      </c>
      <c r="BB32" s="21">
        <f t="shared" si="39"/>
        <v>36.899999999999991</v>
      </c>
      <c r="BC32" s="21">
        <f t="shared" si="50"/>
        <v>-8.7999999999999972</v>
      </c>
      <c r="BD32" s="21">
        <f t="shared" si="50"/>
        <v>-5.8000000000000114</v>
      </c>
      <c r="BE32" s="24">
        <f t="shared" si="31"/>
        <v>22.299999999999983</v>
      </c>
      <c r="BF32" s="96">
        <f t="shared" si="32"/>
        <v>237.70000000000002</v>
      </c>
      <c r="BG32" s="82">
        <f t="shared" si="4"/>
        <v>22.299999999999983</v>
      </c>
    </row>
    <row r="33" spans="1:59" ht="15.75" thickBot="1">
      <c r="A33" s="6">
        <f>ELEC!C31</f>
        <v>44893</v>
      </c>
      <c r="B33" s="5">
        <f t="shared" si="5"/>
        <v>109443</v>
      </c>
      <c r="C33" s="5">
        <f t="shared" si="6"/>
        <v>0</v>
      </c>
      <c r="D33" s="400">
        <f t="shared" si="7"/>
        <v>0</v>
      </c>
      <c r="E33" s="317">
        <f>SUM((C33*$E$4)+(7500/'EDl log'!$A$37))</f>
        <v>250</v>
      </c>
      <c r="F33" s="311"/>
      <c r="G33" s="5">
        <f t="shared" si="33"/>
        <v>631758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1">
        <f t="shared" si="11"/>
        <v>457.44</v>
      </c>
      <c r="N33" s="480">
        <f t="shared" si="45"/>
        <v>0</v>
      </c>
      <c r="O33" s="391">
        <f t="shared" si="12"/>
        <v>529.52</v>
      </c>
      <c r="P33" s="480">
        <f t="shared" si="46"/>
        <v>0</v>
      </c>
      <c r="Q33" s="480">
        <f t="shared" si="47"/>
        <v>0</v>
      </c>
      <c r="R33" s="482"/>
      <c r="S33" s="482"/>
      <c r="T33" s="5">
        <f t="shared" si="13"/>
        <v>5196</v>
      </c>
      <c r="U33" s="5">
        <f t="shared" si="3"/>
        <v>0</v>
      </c>
      <c r="V33" s="5">
        <f t="shared" si="14"/>
        <v>505</v>
      </c>
      <c r="W33" s="308">
        <f t="shared" si="15"/>
        <v>0</v>
      </c>
      <c r="X33" s="5">
        <f t="shared" si="16"/>
        <v>156326</v>
      </c>
      <c r="Y33" s="308">
        <f t="shared" si="41"/>
        <v>0</v>
      </c>
      <c r="Z33" s="5">
        <f t="shared" si="17"/>
        <v>99778</v>
      </c>
      <c r="AA33" s="83">
        <f t="shared" si="18"/>
        <v>0</v>
      </c>
      <c r="AB33" s="5">
        <f t="shared" si="19"/>
        <v>251</v>
      </c>
      <c r="AC33" s="5">
        <f t="shared" si="20"/>
        <v>855</v>
      </c>
      <c r="AD33" s="83">
        <f t="shared" si="34"/>
        <v>0</v>
      </c>
      <c r="AE33" s="5">
        <f t="shared" si="21"/>
        <v>250.96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0">
        <f t="shared" si="26"/>
        <v>0</v>
      </c>
      <c r="AK33" s="311">
        <f t="shared" si="35"/>
        <v>0</v>
      </c>
      <c r="AL33" s="311">
        <f t="shared" si="27"/>
        <v>0</v>
      </c>
      <c r="AM33" s="311">
        <f>'General information '!D32</f>
        <v>20.5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44893</v>
      </c>
      <c r="AS33" s="405">
        <f t="shared" si="49"/>
        <v>0.9</v>
      </c>
      <c r="AT33" s="201">
        <f t="shared" si="49"/>
        <v>130</v>
      </c>
      <c r="AU33" s="406">
        <f t="shared" si="42"/>
        <v>1.1000000000000001</v>
      </c>
      <c r="AV33" s="201">
        <f t="shared" si="43"/>
        <v>99</v>
      </c>
      <c r="AW33" s="5">
        <v>2.9</v>
      </c>
      <c r="AX33" s="201">
        <f t="shared" si="44"/>
        <v>116</v>
      </c>
      <c r="AY33" s="407">
        <f t="shared" si="36"/>
        <v>117</v>
      </c>
      <c r="AZ33" s="407">
        <f t="shared" si="37"/>
        <v>108.9</v>
      </c>
      <c r="BA33" s="407">
        <f t="shared" si="38"/>
        <v>336.4</v>
      </c>
      <c r="BB33" s="21">
        <f t="shared" si="39"/>
        <v>0</v>
      </c>
      <c r="BC33" s="21">
        <f t="shared" si="50"/>
        <v>0</v>
      </c>
      <c r="BD33" s="21">
        <f t="shared" si="50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44894</v>
      </c>
      <c r="B34" s="5">
        <f t="shared" si="5"/>
        <v>109443</v>
      </c>
      <c r="C34" s="5">
        <f t="shared" ref="C34:C36" si="51">B34-B33</f>
        <v>0</v>
      </c>
      <c r="D34" s="400">
        <f t="shared" ref="D34:D36" si="52">C34/27</f>
        <v>0</v>
      </c>
      <c r="E34" s="317">
        <f>SUM((C34*$E$4)+(7500/'EDl log'!$A$37))</f>
        <v>250</v>
      </c>
      <c r="F34" s="311"/>
      <c r="G34" s="5">
        <f t="shared" si="33"/>
        <v>631758</v>
      </c>
      <c r="H34" s="5">
        <f t="shared" ref="H34:H36" si="53">G34-G33</f>
        <v>0</v>
      </c>
      <c r="I34" s="5">
        <f t="shared" ref="I34:I36" si="54">C34+H34</f>
        <v>0</v>
      </c>
      <c r="J34" s="318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1">
        <f t="shared" si="11"/>
        <v>457.44</v>
      </c>
      <c r="N34" s="480">
        <f t="shared" ref="N34:N36" si="57">SUM(M34-M33)</f>
        <v>0</v>
      </c>
      <c r="O34" s="391">
        <f t="shared" si="12"/>
        <v>529.52</v>
      </c>
      <c r="P34" s="480">
        <f t="shared" ref="P34:P36" si="58">SUM(O34-O33)</f>
        <v>0</v>
      </c>
      <c r="Q34" s="480">
        <f t="shared" ref="Q34:Q36" si="59">SUM(P34+N34)</f>
        <v>0</v>
      </c>
      <c r="R34" s="482"/>
      <c r="S34" s="482"/>
      <c r="T34" s="5">
        <f t="shared" si="13"/>
        <v>5196</v>
      </c>
      <c r="U34" s="5">
        <f t="shared" ref="U34:U36" si="60">SUM(T34-T33)</f>
        <v>0</v>
      </c>
      <c r="V34" s="5">
        <f t="shared" si="14"/>
        <v>505</v>
      </c>
      <c r="W34" s="308">
        <f t="shared" ref="W34:W36" si="61">+V34-V33</f>
        <v>0</v>
      </c>
      <c r="X34" s="5">
        <f t="shared" si="16"/>
        <v>156326</v>
      </c>
      <c r="Y34" s="308">
        <f t="shared" ref="Y34:Y36" si="62">SUM(X34-X33)</f>
        <v>0</v>
      </c>
      <c r="Z34" s="5">
        <f t="shared" si="17"/>
        <v>99778</v>
      </c>
      <c r="AA34" s="83">
        <f t="shared" ref="AA34:AA36" si="63">Z34-Z33</f>
        <v>0</v>
      </c>
      <c r="AB34" s="5">
        <f t="shared" si="19"/>
        <v>251</v>
      </c>
      <c r="AC34" s="5">
        <f t="shared" si="20"/>
        <v>855</v>
      </c>
      <c r="AD34" s="83">
        <f t="shared" ref="AD34:AD36" si="64">AC34-AC33</f>
        <v>0</v>
      </c>
      <c r="AE34" s="5">
        <f t="shared" si="21"/>
        <v>250.96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0">
        <f t="shared" ref="AJ34:AJ36" si="68">+Z34-Z33</f>
        <v>0</v>
      </c>
      <c r="AK34" s="311">
        <f>SUM(Y34-L34)</f>
        <v>0</v>
      </c>
      <c r="AL34" s="311">
        <f t="shared" ref="AL34:AL36" si="69">SUM(AJ34-W34)</f>
        <v>0</v>
      </c>
      <c r="AM34" s="311">
        <f>'General information '!D33</f>
        <v>20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44894</v>
      </c>
      <c r="AS34" s="405">
        <f t="shared" ref="AS34" si="71">AS33</f>
        <v>0.9</v>
      </c>
      <c r="AT34" s="201">
        <v>130</v>
      </c>
      <c r="AU34" s="406">
        <f t="shared" si="42"/>
        <v>1.1000000000000001</v>
      </c>
      <c r="AV34" s="201">
        <v>91</v>
      </c>
      <c r="AW34" s="5">
        <v>2.9</v>
      </c>
      <c r="AX34" s="201">
        <v>112</v>
      </c>
      <c r="AY34" s="407">
        <f t="shared" ref="AY34:AY36" si="72">AS34*AT34</f>
        <v>117</v>
      </c>
      <c r="AZ34" s="407">
        <f t="shared" ref="AZ34:AZ36" si="73">AU34*AV34</f>
        <v>100.10000000000001</v>
      </c>
      <c r="BA34" s="407">
        <f t="shared" ref="BA34:BA36" si="74">AW34*AX34</f>
        <v>324.8</v>
      </c>
      <c r="BB34" s="21">
        <f t="shared" si="39"/>
        <v>0</v>
      </c>
      <c r="BC34" s="21">
        <f t="shared" ref="BC34:BC36" si="75">AZ34-AZ33</f>
        <v>-8.7999999999999972</v>
      </c>
      <c r="BD34" s="21">
        <f t="shared" ref="BD34:BD36" si="76">BA34-BA33</f>
        <v>-11.599999999999966</v>
      </c>
      <c r="BE34" s="24">
        <f t="shared" ref="BE34:BE36" si="77">SUM(BB34:BD34)</f>
        <v>-20.399999999999963</v>
      </c>
      <c r="BF34" s="96">
        <f t="shared" ref="BF34:BF36" si="78">SUM(I34-BE34)</f>
        <v>20.399999999999963</v>
      </c>
      <c r="BG34" s="82">
        <f t="shared" ref="BG34:BG36" si="79">SUM(I34-BF34)</f>
        <v>-20.399999999999963</v>
      </c>
    </row>
    <row r="35" spans="1:59" ht="15.75" thickBot="1">
      <c r="A35" s="6">
        <f>ELEC!C33</f>
        <v>44895</v>
      </c>
      <c r="B35" s="5">
        <f t="shared" si="5"/>
        <v>109443</v>
      </c>
      <c r="C35" s="5">
        <f t="shared" si="51"/>
        <v>0</v>
      </c>
      <c r="D35" s="400">
        <f t="shared" si="52"/>
        <v>0</v>
      </c>
      <c r="E35" s="317">
        <f>SUM((C35*$E$4)+(7500/'EDl log'!$A$37))</f>
        <v>250</v>
      </c>
      <c r="F35" s="311"/>
      <c r="G35" s="5">
        <v>631827</v>
      </c>
      <c r="H35" s="5">
        <f t="shared" si="53"/>
        <v>69</v>
      </c>
      <c r="I35" s="5">
        <f t="shared" si="54"/>
        <v>69</v>
      </c>
      <c r="J35" s="318">
        <f t="shared" si="55"/>
        <v>3.6231884057971016</v>
      </c>
      <c r="K35" s="5">
        <f t="shared" si="10"/>
        <v>7089</v>
      </c>
      <c r="L35" s="263">
        <f t="shared" si="56"/>
        <v>0</v>
      </c>
      <c r="M35" s="391">
        <f t="shared" si="11"/>
        <v>457.44</v>
      </c>
      <c r="N35" s="480">
        <f t="shared" si="57"/>
        <v>0</v>
      </c>
      <c r="O35" s="391">
        <f t="shared" si="12"/>
        <v>529.52</v>
      </c>
      <c r="P35" s="480">
        <f t="shared" si="58"/>
        <v>0</v>
      </c>
      <c r="Q35" s="480">
        <f t="shared" si="59"/>
        <v>0</v>
      </c>
      <c r="R35" s="482"/>
      <c r="S35" s="482"/>
      <c r="T35" s="5">
        <f t="shared" si="13"/>
        <v>5196</v>
      </c>
      <c r="U35" s="5">
        <f t="shared" si="60"/>
        <v>0</v>
      </c>
      <c r="V35" s="5">
        <f t="shared" si="14"/>
        <v>505</v>
      </c>
      <c r="W35" s="308">
        <f t="shared" si="61"/>
        <v>0</v>
      </c>
      <c r="X35" s="5">
        <f t="shared" si="16"/>
        <v>156326</v>
      </c>
      <c r="Y35" s="308">
        <f t="shared" si="62"/>
        <v>0</v>
      </c>
      <c r="Z35" s="5">
        <f t="shared" si="17"/>
        <v>99778</v>
      </c>
      <c r="AA35" s="83">
        <f t="shared" si="63"/>
        <v>0</v>
      </c>
      <c r="AB35" s="5">
        <f t="shared" si="19"/>
        <v>251</v>
      </c>
      <c r="AC35" s="5">
        <f t="shared" si="20"/>
        <v>855</v>
      </c>
      <c r="AD35" s="83">
        <f t="shared" si="64"/>
        <v>0</v>
      </c>
      <c r="AE35" s="5">
        <f t="shared" si="21"/>
        <v>250.96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0">
        <f t="shared" si="68"/>
        <v>0</v>
      </c>
      <c r="AK35" s="311">
        <f t="shared" ref="AK35:AK36" si="80">SUM(Y35-L35)</f>
        <v>0</v>
      </c>
      <c r="AL35" s="311">
        <f t="shared" si="69"/>
        <v>0</v>
      </c>
      <c r="AM35" s="311">
        <f>'General information '!D34</f>
        <v>19.5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44895</v>
      </c>
      <c r="AS35" s="405">
        <f t="shared" ref="AS35:AT35" si="81">AS34</f>
        <v>0.9</v>
      </c>
      <c r="AT35" s="201">
        <v>170</v>
      </c>
      <c r="AU35" s="406">
        <f t="shared" si="42"/>
        <v>1.1000000000000001</v>
      </c>
      <c r="AV35" s="201">
        <v>89</v>
      </c>
      <c r="AW35" s="5">
        <v>2.9</v>
      </c>
      <c r="AX35" s="201">
        <v>140</v>
      </c>
      <c r="AY35" s="407">
        <f t="shared" si="72"/>
        <v>153</v>
      </c>
      <c r="AZ35" s="407">
        <f t="shared" si="73"/>
        <v>97.9</v>
      </c>
      <c r="BA35" s="407">
        <f t="shared" si="74"/>
        <v>406</v>
      </c>
      <c r="BB35" s="21">
        <f t="shared" si="39"/>
        <v>36</v>
      </c>
      <c r="BC35" s="21">
        <f t="shared" si="75"/>
        <v>-2.2000000000000028</v>
      </c>
      <c r="BD35" s="21">
        <f t="shared" si="76"/>
        <v>81.199999999999989</v>
      </c>
      <c r="BE35" s="24">
        <f t="shared" si="77"/>
        <v>114.99999999999999</v>
      </c>
      <c r="BF35" s="96">
        <f t="shared" si="78"/>
        <v>-45.999999999999986</v>
      </c>
      <c r="BG35" s="82">
        <f t="shared" si="79"/>
        <v>114.99999999999999</v>
      </c>
    </row>
    <row r="36" spans="1:59" ht="15.75" thickBot="1">
      <c r="A36" s="6">
        <f>ELEC!C34</f>
        <v>44896</v>
      </c>
      <c r="B36" s="5">
        <f t="shared" si="5"/>
        <v>109443</v>
      </c>
      <c r="C36" s="5">
        <f t="shared" si="51"/>
        <v>0</v>
      </c>
      <c r="D36" s="400">
        <f t="shared" si="52"/>
        <v>0</v>
      </c>
      <c r="E36" s="317">
        <f>SUM((C36*$E$4)+(7500/'EDl log'!$A$37))</f>
        <v>250</v>
      </c>
      <c r="F36" s="311"/>
      <c r="G36" s="5">
        <f t="shared" si="33"/>
        <v>631827</v>
      </c>
      <c r="H36" s="5">
        <f t="shared" si="53"/>
        <v>0</v>
      </c>
      <c r="I36" s="5">
        <f t="shared" si="54"/>
        <v>0</v>
      </c>
      <c r="J36" s="318">
        <f t="shared" si="55"/>
        <v>0</v>
      </c>
      <c r="K36" s="5">
        <f t="shared" si="10"/>
        <v>7089</v>
      </c>
      <c r="L36" s="263">
        <f t="shared" si="56"/>
        <v>0</v>
      </c>
      <c r="M36" s="391">
        <f t="shared" si="11"/>
        <v>457.44</v>
      </c>
      <c r="N36" s="480">
        <f t="shared" si="57"/>
        <v>0</v>
      </c>
      <c r="O36" s="391">
        <f t="shared" si="12"/>
        <v>529.52</v>
      </c>
      <c r="P36" s="480">
        <f t="shared" si="58"/>
        <v>0</v>
      </c>
      <c r="Q36" s="480">
        <f t="shared" si="59"/>
        <v>0</v>
      </c>
      <c r="R36" s="482"/>
      <c r="S36" s="482"/>
      <c r="T36" s="5">
        <f t="shared" si="13"/>
        <v>5196</v>
      </c>
      <c r="U36" s="5">
        <f t="shared" si="60"/>
        <v>0</v>
      </c>
      <c r="V36" s="5">
        <f t="shared" si="14"/>
        <v>505</v>
      </c>
      <c r="W36" s="308">
        <f t="shared" si="61"/>
        <v>0</v>
      </c>
      <c r="X36" s="5">
        <f t="shared" si="16"/>
        <v>156326</v>
      </c>
      <c r="Y36" s="308">
        <f t="shared" si="62"/>
        <v>0</v>
      </c>
      <c r="Z36" s="5">
        <f t="shared" si="17"/>
        <v>99778</v>
      </c>
      <c r="AA36" s="83">
        <f t="shared" si="63"/>
        <v>0</v>
      </c>
      <c r="AB36" s="5">
        <f t="shared" si="19"/>
        <v>251</v>
      </c>
      <c r="AC36" s="5">
        <f t="shared" si="20"/>
        <v>855</v>
      </c>
      <c r="AD36" s="83">
        <f t="shared" si="64"/>
        <v>0</v>
      </c>
      <c r="AE36" s="5">
        <f t="shared" si="21"/>
        <v>250.96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0">
        <f t="shared" si="68"/>
        <v>0</v>
      </c>
      <c r="AK36" s="311">
        <f t="shared" si="80"/>
        <v>0</v>
      </c>
      <c r="AL36" s="311">
        <f t="shared" si="69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44896</v>
      </c>
      <c r="AS36" s="405">
        <f t="shared" ref="AS36:AT36" si="82">AS35</f>
        <v>0.9</v>
      </c>
      <c r="AT36" s="201">
        <f t="shared" si="82"/>
        <v>170</v>
      </c>
      <c r="AU36" s="406">
        <f t="shared" si="42"/>
        <v>1.1000000000000001</v>
      </c>
      <c r="AV36" s="201">
        <f t="shared" si="43"/>
        <v>89</v>
      </c>
      <c r="AW36" s="5">
        <v>2.9</v>
      </c>
      <c r="AX36" s="201">
        <f t="shared" si="44"/>
        <v>140</v>
      </c>
      <c r="AY36" s="407">
        <f t="shared" si="72"/>
        <v>153</v>
      </c>
      <c r="AZ36" s="407">
        <f t="shared" si="73"/>
        <v>97.9</v>
      </c>
      <c r="BA36" s="407">
        <f t="shared" si="74"/>
        <v>406</v>
      </c>
      <c r="BB36" s="21">
        <f t="shared" si="39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3">
        <f>SUM(C6:C36)</f>
        <v>0</v>
      </c>
      <c r="D37" s="306">
        <f>SUM(D6:D36)</f>
        <v>0</v>
      </c>
      <c r="F37" s="395">
        <f>SUM(F6:F36)</f>
        <v>0</v>
      </c>
      <c r="H37" s="393">
        <f>SUM(H6:H36)</f>
        <v>829</v>
      </c>
      <c r="I37" s="393">
        <f>SUM(I6:I36)</f>
        <v>829</v>
      </c>
      <c r="L37" s="258">
        <f>SUM(L7:L36)</f>
        <v>0</v>
      </c>
      <c r="M37" s="545"/>
      <c r="N37" s="545"/>
      <c r="O37" s="545"/>
      <c r="P37" s="545"/>
      <c r="Q37" s="395">
        <f>SUM(Q6:Q36)</f>
        <v>0</v>
      </c>
      <c r="R37" s="545"/>
      <c r="S37" s="545"/>
      <c r="T37" s="545"/>
      <c r="U37" s="545">
        <f>SUM(U6:U36)</f>
        <v>1</v>
      </c>
      <c r="X37" s="307"/>
      <c r="Y37" s="306">
        <f>SUM(Y6,Y33,Y31,Y29,Y27,Y25,Y23,Y21,Y19,Y17,Y15,Y13,Y11,Y9,Y7,Y34,Y35,Y36)</f>
        <v>0</v>
      </c>
      <c r="AJ37" s="306">
        <f>SUM(AJ6:AJ36)</f>
        <v>79</v>
      </c>
      <c r="AK37" s="311">
        <f>SUM(Y37-L37)</f>
        <v>0</v>
      </c>
      <c r="AL37" s="306">
        <f>SUM(AL6:AL36)</f>
        <v>75</v>
      </c>
      <c r="AP37" s="17"/>
      <c r="AQ37" s="17"/>
      <c r="AR37" s="17"/>
      <c r="AS37" s="559"/>
      <c r="AT37" s="201"/>
      <c r="AU37" s="559"/>
      <c r="AV37" s="561"/>
      <c r="AW37" s="560"/>
      <c r="AX37" s="560"/>
      <c r="AY37" s="560"/>
      <c r="AZ37" s="561"/>
      <c r="BA37" s="561"/>
      <c r="BB37" s="561"/>
      <c r="BC37" s="561"/>
      <c r="BD37" s="561"/>
      <c r="BE37" s="562"/>
    </row>
    <row r="38" spans="1:59">
      <c r="C38" s="1">
        <f>+C37*1.66</f>
        <v>0</v>
      </c>
      <c r="E38" s="316">
        <f>SUM(E6:E33)</f>
        <v>7000</v>
      </c>
      <c r="F38" s="398">
        <f>SUM(F6:F35)</f>
        <v>0</v>
      </c>
      <c r="H38" s="157">
        <v>7500</v>
      </c>
      <c r="I38" s="394">
        <f>SUM('General information '!G36/WATER!I37)</f>
        <v>0</v>
      </c>
      <c r="L38" s="157"/>
      <c r="O38" s="463">
        <f>SUM(Q37+I37)</f>
        <v>829</v>
      </c>
      <c r="Z38" s="306">
        <f>SUM(Y37:AJ37)</f>
        <v>79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5">
        <f>SUM(D6:D35)</f>
        <v>0</v>
      </c>
      <c r="F39" s="396">
        <f>SUM(F6:F36)</f>
        <v>0</v>
      </c>
      <c r="G39" s="1">
        <f>SUM(I37)</f>
        <v>829</v>
      </c>
      <c r="H39" s="1">
        <f>SUM(H38+C38)</f>
        <v>7500</v>
      </c>
      <c r="K39" s="1">
        <f>SUM(H39/G39)</f>
        <v>9.0470446320868518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60" zoomScaleNormal="60" workbookViewId="0">
      <pane ySplit="1" topLeftCell="A2" activePane="bottomLeft" state="frozen"/>
      <selection pane="bottomLeft" activeCell="R32" sqref="R32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89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89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89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44865</v>
      </c>
      <c r="B2" s="260">
        <f>[2]GEN!B33</f>
        <v>1286</v>
      </c>
      <c r="C2" s="260">
        <f>[2]GEN!C33</f>
        <v>24</v>
      </c>
      <c r="D2" s="260">
        <f>[2]GEN!D33</f>
        <v>784756</v>
      </c>
      <c r="E2" s="260">
        <f>[2]GEN!E33</f>
        <v>2040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138</v>
      </c>
      <c r="K2" s="260">
        <f>[2]GEN!K33</f>
        <v>0</v>
      </c>
      <c r="L2" s="260">
        <f>[2]GEN!L33</f>
        <v>390941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v>13913</v>
      </c>
      <c r="S2" s="260">
        <f>[2]GEN!S33</f>
        <v>0</v>
      </c>
      <c r="T2" s="260">
        <f>[2]GEN!T33</f>
        <v>417512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14773</v>
      </c>
      <c r="Y2" s="260" t="str">
        <f>[2]GEN!Y33</f>
        <v>ok</v>
      </c>
      <c r="Z2" s="260">
        <f>[2]GEN!Z33</f>
        <v>24</v>
      </c>
      <c r="AA2" s="260">
        <f>[2]GEN!AA33</f>
        <v>2040</v>
      </c>
      <c r="AB2" s="260">
        <f>[2]GEN!AB33</f>
        <v>585</v>
      </c>
      <c r="AC2" s="260">
        <f>[2]GEN!AC33</f>
        <v>85</v>
      </c>
      <c r="AD2" s="260">
        <f>[2]GEN!AD33</f>
        <v>2587.9999999997381</v>
      </c>
      <c r="AE2" s="260">
        <f>[2]GEN!AE33</f>
        <v>107.83333333332241</v>
      </c>
      <c r="AF2" s="260">
        <f>[2]GEN!AF33</f>
        <v>6.7395833333326507E-2</v>
      </c>
      <c r="AG2" s="260">
        <f>[2]GEN!AG33</f>
        <v>4.2122395833329067E-5</v>
      </c>
      <c r="AH2" s="260">
        <f>[2]GEN!AH33</f>
        <v>84.99995787760416</v>
      </c>
      <c r="AI2" s="260">
        <f>[2]GEN!AI33</f>
        <v>666.10970464128286</v>
      </c>
      <c r="AJ2" s="260">
        <f>[2]GEN!AJ33</f>
        <v>0.25738396624472576</v>
      </c>
      <c r="AK2" s="260">
        <f>[2]GEN!AK33</f>
        <v>27.754571026720118</v>
      </c>
      <c r="AL2" s="260">
        <f>[2]GEN!AL33</f>
        <v>1</v>
      </c>
    </row>
    <row r="3" spans="1:38" ht="15.75" thickBot="1">
      <c r="A3" s="4">
        <f>ELEC!C4</f>
        <v>44866</v>
      </c>
      <c r="B3" s="602">
        <v>1300</v>
      </c>
      <c r="C3" s="275">
        <f>B3-B2</f>
        <v>14</v>
      </c>
      <c r="D3" s="499">
        <f>D2+C3*250</f>
        <v>788256</v>
      </c>
      <c r="E3" s="275">
        <f>SUM(D3-D2)</f>
        <v>3500</v>
      </c>
      <c r="F3" s="275">
        <f t="shared" ref="F3:F30" si="0">IF(C3&gt;0,E3/C3,0)</f>
        <v>250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8">
        <f>J2</f>
        <v>138</v>
      </c>
      <c r="K3" s="275">
        <f t="shared" ref="K3:K33" si="2">J3-J2</f>
        <v>0</v>
      </c>
      <c r="L3" s="499">
        <f>L2</f>
        <v>390941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8">
        <f>R2</f>
        <v>13913</v>
      </c>
      <c r="S3" s="275">
        <f t="shared" ref="S3:S30" si="5">R3-R2</f>
        <v>0</v>
      </c>
      <c r="T3" s="499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14773</v>
      </c>
      <c r="Y3" s="275" t="str">
        <f>IF(R3-X3&lt;=0,"ok","oil change")</f>
        <v>ok</v>
      </c>
      <c r="Z3" s="275">
        <f t="shared" ref="Z3:Z30" si="8">C3+K3+S3</f>
        <v>14</v>
      </c>
      <c r="AA3" s="275">
        <f>U3+M3+E3</f>
        <v>3500</v>
      </c>
      <c r="AB3" s="275">
        <f>V3+N3+F3</f>
        <v>750</v>
      </c>
      <c r="AC3" s="275">
        <f>IF(Z3&gt;0,AA3/Z3,0)</f>
        <v>250</v>
      </c>
      <c r="AD3" s="73">
        <f>ELEC!Q4</f>
        <v>4050.9999999994761</v>
      </c>
      <c r="AE3" s="73">
        <f>SUM(AD3/Z3)</f>
        <v>289.35714285710543</v>
      </c>
      <c r="AF3" s="385">
        <f>SUM(AE3/1600)</f>
        <v>0.18084821428569089</v>
      </c>
      <c r="AG3" s="386">
        <f>SUM(360*AF3)</f>
        <v>65.105357142848717</v>
      </c>
      <c r="AH3" s="386">
        <f>SUM(AC3-AG3)</f>
        <v>184.89464285715127</v>
      </c>
      <c r="AI3" s="73">
        <f>AD3*AJ3</f>
        <v>1042.6624472572491</v>
      </c>
      <c r="AJ3" s="277">
        <f t="shared" ref="AJ3:AJ33" si="9">305/1185</f>
        <v>0.25738396624472576</v>
      </c>
      <c r="AK3" s="277">
        <f t="shared" ref="AK3:AK30" si="10">AI3/Z3</f>
        <v>74.475889089803516</v>
      </c>
      <c r="AL3">
        <f>IF(Z3=0,0,1)</f>
        <v>1</v>
      </c>
    </row>
    <row r="4" spans="1:38" ht="15.75" thickBot="1">
      <c r="A4" s="4">
        <f>ELEC!C5</f>
        <v>44867</v>
      </c>
      <c r="B4" s="602">
        <v>1311</v>
      </c>
      <c r="C4" s="275">
        <f t="shared" ref="C4:C30" si="11">B4-B3</f>
        <v>11</v>
      </c>
      <c r="D4" s="499">
        <f>D3+C4*85</f>
        <v>789191</v>
      </c>
      <c r="E4" s="275">
        <f t="shared" ref="E4:E33" si="12">SUM(D4-D3)</f>
        <v>935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8">
        <f t="shared" ref="J4:J33" si="14">J3</f>
        <v>138</v>
      </c>
      <c r="K4" s="275">
        <f t="shared" si="2"/>
        <v>0</v>
      </c>
      <c r="L4" s="499">
        <f t="shared" ref="L4:L5" si="15">L3</f>
        <v>390941</v>
      </c>
      <c r="M4" s="275">
        <f t="shared" si="3"/>
        <v>0</v>
      </c>
      <c r="N4" s="275">
        <v>250</v>
      </c>
      <c r="O4" s="196"/>
      <c r="P4" s="276">
        <f t="shared" ref="P4:P33" si="16">P3</f>
        <v>10873</v>
      </c>
      <c r="Q4" s="275" t="str">
        <f t="shared" si="4"/>
        <v>ok</v>
      </c>
      <c r="R4" s="498">
        <f t="shared" ref="R4:R33" si="17">R3</f>
        <v>13913</v>
      </c>
      <c r="S4" s="275">
        <f t="shared" si="5"/>
        <v>0</v>
      </c>
      <c r="T4" s="499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8">X3</f>
        <v>14773</v>
      </c>
      <c r="Y4" s="275" t="str">
        <f t="shared" ref="Y4:Y33" si="19">IF(R4-X4&lt;=0,"ok","oil change")</f>
        <v>ok</v>
      </c>
      <c r="Z4" s="275">
        <f t="shared" si="8"/>
        <v>11</v>
      </c>
      <c r="AA4" s="275">
        <f t="shared" ref="AA4:AA30" si="20">U4+M4+E4</f>
        <v>935</v>
      </c>
      <c r="AB4" s="275">
        <f t="shared" ref="AB4:AB30" si="21">V4+N4+F4</f>
        <v>585</v>
      </c>
      <c r="AC4" s="275">
        <f t="shared" ref="AC4:AC30" si="22">IF(Z4&gt;0,AA4/Z4,0)</f>
        <v>85</v>
      </c>
      <c r="AD4" s="73">
        <f>ELEC!Q5</f>
        <v>2698.0000000003201</v>
      </c>
      <c r="AE4" s="73">
        <f>SUM(AD4/Z4)</f>
        <v>245.27272727275638</v>
      </c>
      <c r="AF4" s="385">
        <f>SUM(AE4/1600)</f>
        <v>0.15329545454547275</v>
      </c>
      <c r="AG4" s="386">
        <f>SUM(360*AF4)</f>
        <v>55.186363636370189</v>
      </c>
      <c r="AH4" s="386">
        <f t="shared" ref="AH4:AH30" si="23">SUM(AC4-AG4)</f>
        <v>29.813636363629811</v>
      </c>
      <c r="AI4" s="73">
        <f>AD4*AJ4</f>
        <v>694.42194092835246</v>
      </c>
      <c r="AJ4" s="277">
        <f t="shared" si="9"/>
        <v>0.25738396624472576</v>
      </c>
      <c r="AK4" s="277">
        <f t="shared" si="10"/>
        <v>63.129267357122949</v>
      </c>
      <c r="AL4">
        <f t="shared" ref="AL4:AL30" si="24">IF(Z4=0,0,1)</f>
        <v>1</v>
      </c>
    </row>
    <row r="5" spans="1:38" ht="15.75" thickBot="1">
      <c r="A5" s="4">
        <f>ELEC!C6</f>
        <v>44868</v>
      </c>
      <c r="B5" s="602">
        <v>1323</v>
      </c>
      <c r="C5" s="275">
        <f t="shared" si="11"/>
        <v>12</v>
      </c>
      <c r="D5" s="499">
        <f t="shared" ref="D5:D33" si="25">D4+C5*85</f>
        <v>790211</v>
      </c>
      <c r="E5" s="275">
        <f t="shared" si="12"/>
        <v>1020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8">
        <f t="shared" si="14"/>
        <v>138</v>
      </c>
      <c r="K5" s="275">
        <f t="shared" si="2"/>
        <v>0</v>
      </c>
      <c r="L5" s="499">
        <f t="shared" si="15"/>
        <v>390941</v>
      </c>
      <c r="M5" s="275">
        <f>SUM(L5-L4)</f>
        <v>0</v>
      </c>
      <c r="N5" s="275">
        <v>250</v>
      </c>
      <c r="O5" s="196"/>
      <c r="P5" s="276">
        <f t="shared" si="16"/>
        <v>10873</v>
      </c>
      <c r="Q5" s="275" t="str">
        <f t="shared" si="4"/>
        <v>ok</v>
      </c>
      <c r="R5" s="498">
        <f t="shared" si="17"/>
        <v>13913</v>
      </c>
      <c r="S5" s="275">
        <f t="shared" si="5"/>
        <v>0</v>
      </c>
      <c r="T5" s="499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8"/>
        <v>14773</v>
      </c>
      <c r="Y5" s="275" t="str">
        <f t="shared" si="19"/>
        <v>ok</v>
      </c>
      <c r="Z5" s="275">
        <f t="shared" si="8"/>
        <v>12</v>
      </c>
      <c r="AA5" s="275">
        <f t="shared" si="20"/>
        <v>1020</v>
      </c>
      <c r="AB5" s="275">
        <f t="shared" si="21"/>
        <v>585</v>
      </c>
      <c r="AC5" s="275">
        <f t="shared" si="22"/>
        <v>85</v>
      </c>
      <c r="AD5" s="73">
        <f>ELEC!Q6</f>
        <v>3208.9999999989232</v>
      </c>
      <c r="AE5" s="73">
        <f t="shared" ref="AE5:AE30" si="26">SUM(AD5/Z5)</f>
        <v>267.41666666657693</v>
      </c>
      <c r="AF5" s="385">
        <f t="shared" ref="AF5:AG30" si="27">SUM(AE5/1600)</f>
        <v>0.16713541666661058</v>
      </c>
      <c r="AG5" s="386">
        <f>SUM(320*AF5)</f>
        <v>53.483333333315386</v>
      </c>
      <c r="AH5" s="386">
        <f t="shared" si="23"/>
        <v>31.516666666684614</v>
      </c>
      <c r="AI5" s="73">
        <f t="shared" ref="AI5:AI30" si="28">AD5*AJ5</f>
        <v>825.94514767904775</v>
      </c>
      <c r="AJ5" s="277">
        <f t="shared" si="9"/>
        <v>0.25738396624472576</v>
      </c>
      <c r="AK5" s="277">
        <f t="shared" si="10"/>
        <v>68.828762306587308</v>
      </c>
      <c r="AL5">
        <f t="shared" si="24"/>
        <v>1</v>
      </c>
    </row>
    <row r="6" spans="1:38" ht="15.75" thickBot="1">
      <c r="A6" s="4">
        <f>ELEC!C7</f>
        <v>44869</v>
      </c>
      <c r="B6" s="602">
        <f t="shared" ref="B6:B33" si="29">B5</f>
        <v>1323</v>
      </c>
      <c r="C6" s="275">
        <f>B6-B5</f>
        <v>0</v>
      </c>
      <c r="D6" s="499">
        <f t="shared" si="25"/>
        <v>790211</v>
      </c>
      <c r="E6" s="275">
        <f t="shared" si="12"/>
        <v>0</v>
      </c>
      <c r="F6" s="275">
        <f t="shared" si="0"/>
        <v>0</v>
      </c>
      <c r="G6" s="196"/>
      <c r="H6" s="260">
        <f t="shared" si="13"/>
        <v>12231</v>
      </c>
      <c r="I6" s="275" t="str">
        <f t="shared" si="1"/>
        <v>ok</v>
      </c>
      <c r="J6" s="498">
        <f t="shared" si="14"/>
        <v>138</v>
      </c>
      <c r="K6" s="275">
        <f t="shared" si="2"/>
        <v>0</v>
      </c>
      <c r="L6" s="499">
        <f>(K6*N5)+L5</f>
        <v>390941</v>
      </c>
      <c r="M6" s="275">
        <f t="shared" si="3"/>
        <v>0</v>
      </c>
      <c r="N6" s="275">
        <v>250</v>
      </c>
      <c r="O6" s="293"/>
      <c r="P6" s="276">
        <f t="shared" si="16"/>
        <v>10873</v>
      </c>
      <c r="Q6" s="275" t="str">
        <f t="shared" si="4"/>
        <v>ok</v>
      </c>
      <c r="R6" s="498">
        <f t="shared" si="17"/>
        <v>13913</v>
      </c>
      <c r="S6" s="275">
        <f t="shared" si="5"/>
        <v>0</v>
      </c>
      <c r="T6" s="499">
        <f t="shared" si="6"/>
        <v>417512</v>
      </c>
      <c r="U6" s="275">
        <f t="shared" si="7"/>
        <v>0</v>
      </c>
      <c r="V6" s="275">
        <v>250</v>
      </c>
      <c r="W6" s="293"/>
      <c r="X6" s="260">
        <f t="shared" si="18"/>
        <v>14773</v>
      </c>
      <c r="Y6" s="275" t="str">
        <f t="shared" si="19"/>
        <v>ok</v>
      </c>
      <c r="Z6" s="275">
        <f t="shared" si="8"/>
        <v>0</v>
      </c>
      <c r="AA6" s="275">
        <f t="shared" si="20"/>
        <v>0</v>
      </c>
      <c r="AB6" s="275">
        <f t="shared" si="21"/>
        <v>500</v>
      </c>
      <c r="AC6" s="275">
        <f t="shared" si="22"/>
        <v>0</v>
      </c>
      <c r="AD6" s="73">
        <f>ELEC!Q7</f>
        <v>0</v>
      </c>
      <c r="AE6" s="73" t="e">
        <f>SUM(AD6/Z6)</f>
        <v>#DIV/0!</v>
      </c>
      <c r="AF6" s="385" t="e">
        <f t="shared" si="27"/>
        <v>#DIV/0!</v>
      </c>
      <c r="AG6" s="386" t="e">
        <f>SUM(320*AF6)</f>
        <v>#DIV/0!</v>
      </c>
      <c r="AH6" s="386" t="e">
        <f t="shared" si="23"/>
        <v>#DIV/0!</v>
      </c>
      <c r="AI6" s="73">
        <f t="shared" si="28"/>
        <v>0</v>
      </c>
      <c r="AJ6" s="277">
        <f t="shared" si="9"/>
        <v>0.25738396624472576</v>
      </c>
      <c r="AK6" s="277" t="e">
        <f t="shared" si="10"/>
        <v>#DIV/0!</v>
      </c>
      <c r="AL6">
        <f t="shared" si="24"/>
        <v>0</v>
      </c>
    </row>
    <row r="7" spans="1:38" ht="15.75" thickBot="1">
      <c r="A7" s="4">
        <f>ELEC!C8</f>
        <v>44870</v>
      </c>
      <c r="B7" s="602">
        <f t="shared" si="29"/>
        <v>1323</v>
      </c>
      <c r="C7" s="275">
        <f t="shared" si="11"/>
        <v>0</v>
      </c>
      <c r="D7" s="499">
        <f t="shared" si="25"/>
        <v>790211</v>
      </c>
      <c r="E7" s="275">
        <f t="shared" si="12"/>
        <v>0</v>
      </c>
      <c r="F7" s="275">
        <f t="shared" si="0"/>
        <v>0</v>
      </c>
      <c r="G7" s="196"/>
      <c r="H7" s="260">
        <f t="shared" si="13"/>
        <v>12231</v>
      </c>
      <c r="I7" s="275" t="str">
        <f t="shared" si="1"/>
        <v>ok</v>
      </c>
      <c r="J7" s="498">
        <f t="shared" si="14"/>
        <v>138</v>
      </c>
      <c r="K7" s="275"/>
      <c r="L7" s="499">
        <f t="shared" ref="L7:L33" si="30">(K7*N6)+L6</f>
        <v>390941</v>
      </c>
      <c r="M7" s="275">
        <f t="shared" si="3"/>
        <v>0</v>
      </c>
      <c r="N7" s="275">
        <v>250</v>
      </c>
      <c r="O7" s="293"/>
      <c r="P7" s="276">
        <f t="shared" si="16"/>
        <v>10873</v>
      </c>
      <c r="Q7" s="275" t="str">
        <f>IF(J7-P7&lt;=0,"ok","oil change")</f>
        <v>ok</v>
      </c>
      <c r="R7" s="498">
        <v>13913</v>
      </c>
      <c r="S7" s="275">
        <f t="shared" si="5"/>
        <v>0</v>
      </c>
      <c r="T7" s="499">
        <f t="shared" si="6"/>
        <v>417512</v>
      </c>
      <c r="U7" s="275">
        <f>V7*S7</f>
        <v>0</v>
      </c>
      <c r="V7" s="275">
        <v>250</v>
      </c>
      <c r="W7" s="196"/>
      <c r="X7" s="260">
        <f t="shared" si="18"/>
        <v>14773</v>
      </c>
      <c r="Y7" s="275" t="str">
        <f>IF(R7-X7&lt;=0,"ok","oil change")</f>
        <v>ok</v>
      </c>
      <c r="Z7" s="275">
        <f t="shared" si="8"/>
        <v>0</v>
      </c>
      <c r="AA7" s="275">
        <f>U7+M7+E7</f>
        <v>0</v>
      </c>
      <c r="AB7" s="275">
        <f t="shared" si="21"/>
        <v>500</v>
      </c>
      <c r="AC7" s="275">
        <f t="shared" si="22"/>
        <v>0</v>
      </c>
      <c r="AD7" s="73">
        <f>ELEC!Q8</f>
        <v>0</v>
      </c>
      <c r="AE7" s="73" t="e">
        <f t="shared" si="26"/>
        <v>#DIV/0!</v>
      </c>
      <c r="AF7" s="385" t="e">
        <f t="shared" si="27"/>
        <v>#DIV/0!</v>
      </c>
      <c r="AG7" s="385" t="e">
        <f t="shared" si="27"/>
        <v>#DIV/0!</v>
      </c>
      <c r="AH7" s="386" t="e">
        <f t="shared" si="23"/>
        <v>#DIV/0!</v>
      </c>
      <c r="AI7" s="73">
        <f t="shared" si="28"/>
        <v>0</v>
      </c>
      <c r="AJ7" s="277">
        <f t="shared" si="9"/>
        <v>0.25738396624472576</v>
      </c>
      <c r="AK7" s="277" t="e">
        <f t="shared" si="10"/>
        <v>#DIV/0!</v>
      </c>
      <c r="AL7">
        <f t="shared" si="24"/>
        <v>0</v>
      </c>
    </row>
    <row r="8" spans="1:38" ht="15.75" thickBot="1">
      <c r="A8" s="4">
        <f>ELEC!C9</f>
        <v>44871</v>
      </c>
      <c r="B8" s="602">
        <v>1333</v>
      </c>
      <c r="C8" s="275">
        <f t="shared" si="11"/>
        <v>10</v>
      </c>
      <c r="D8" s="499">
        <f t="shared" si="25"/>
        <v>791061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8">
        <f t="shared" si="14"/>
        <v>138</v>
      </c>
      <c r="K8" s="275">
        <f t="shared" si="2"/>
        <v>0</v>
      </c>
      <c r="L8" s="499">
        <f t="shared" si="30"/>
        <v>390941</v>
      </c>
      <c r="M8" s="275">
        <f t="shared" si="3"/>
        <v>0</v>
      </c>
      <c r="N8" s="275">
        <v>250</v>
      </c>
      <c r="O8" s="196"/>
      <c r="P8" s="276">
        <f t="shared" si="16"/>
        <v>10873</v>
      </c>
      <c r="Q8" s="275" t="str">
        <f t="shared" si="4"/>
        <v>ok</v>
      </c>
      <c r="R8" s="498">
        <v>13913</v>
      </c>
      <c r="S8" s="275">
        <f t="shared" si="5"/>
        <v>0</v>
      </c>
      <c r="T8" s="499">
        <f t="shared" si="6"/>
        <v>417512</v>
      </c>
      <c r="U8" s="275">
        <f t="shared" si="7"/>
        <v>0</v>
      </c>
      <c r="V8" s="275">
        <v>250</v>
      </c>
      <c r="W8" s="196"/>
      <c r="X8" s="260">
        <f t="shared" si="18"/>
        <v>14773</v>
      </c>
      <c r="Y8" s="275" t="str">
        <f t="shared" si="19"/>
        <v>ok</v>
      </c>
      <c r="Z8" s="275">
        <f t="shared" si="8"/>
        <v>10</v>
      </c>
      <c r="AA8" s="275">
        <f t="shared" si="20"/>
        <v>850</v>
      </c>
      <c r="AB8" s="275">
        <f t="shared" si="21"/>
        <v>585</v>
      </c>
      <c r="AC8" s="275">
        <f t="shared" si="22"/>
        <v>85</v>
      </c>
      <c r="AD8" s="73">
        <f>ELEC!Q9</f>
        <v>2976.0000000023865</v>
      </c>
      <c r="AE8" s="73">
        <f>SUM(AD8/Z8)</f>
        <v>297.60000000023865</v>
      </c>
      <c r="AF8" s="385">
        <f t="shared" si="27"/>
        <v>0.18600000000014916</v>
      </c>
      <c r="AG8" s="385">
        <f t="shared" si="27"/>
        <v>1.1625000000009322E-4</v>
      </c>
      <c r="AH8" s="386">
        <f t="shared" si="23"/>
        <v>84.999883749999995</v>
      </c>
      <c r="AI8" s="73">
        <f t="shared" si="28"/>
        <v>765.97468354491809</v>
      </c>
      <c r="AJ8" s="277">
        <f t="shared" si="9"/>
        <v>0.25738396624472576</v>
      </c>
      <c r="AK8" s="277">
        <f t="shared" si="10"/>
        <v>76.597468354491809</v>
      </c>
      <c r="AL8">
        <f t="shared" si="24"/>
        <v>1</v>
      </c>
    </row>
    <row r="9" spans="1:38" ht="15.75" thickBot="1">
      <c r="A9" s="4">
        <f>ELEC!C10</f>
        <v>44872</v>
      </c>
      <c r="B9" s="602">
        <v>1345</v>
      </c>
      <c r="C9" s="275">
        <f t="shared" si="11"/>
        <v>12</v>
      </c>
      <c r="D9" s="499">
        <f t="shared" si="25"/>
        <v>792081</v>
      </c>
      <c r="E9" s="275">
        <f t="shared" si="12"/>
        <v>1020</v>
      </c>
      <c r="F9" s="275">
        <f t="shared" si="0"/>
        <v>85</v>
      </c>
      <c r="G9" s="196"/>
      <c r="H9" s="260">
        <f t="shared" si="13"/>
        <v>12231</v>
      </c>
      <c r="I9" s="275" t="str">
        <f t="shared" si="1"/>
        <v>ok</v>
      </c>
      <c r="J9" s="498">
        <f t="shared" si="14"/>
        <v>138</v>
      </c>
      <c r="K9" s="275">
        <f t="shared" si="2"/>
        <v>0</v>
      </c>
      <c r="L9" s="499">
        <f t="shared" si="30"/>
        <v>390941</v>
      </c>
      <c r="M9" s="275">
        <f t="shared" si="3"/>
        <v>0</v>
      </c>
      <c r="N9" s="275">
        <v>250</v>
      </c>
      <c r="O9" s="196"/>
      <c r="P9" s="276">
        <f t="shared" si="16"/>
        <v>10873</v>
      </c>
      <c r="Q9" s="275" t="str">
        <f t="shared" si="4"/>
        <v>ok</v>
      </c>
      <c r="R9" s="498">
        <f t="shared" si="17"/>
        <v>13913</v>
      </c>
      <c r="S9" s="275">
        <f t="shared" si="5"/>
        <v>0</v>
      </c>
      <c r="T9" s="499">
        <f t="shared" ref="T9:T33" si="31">T8+U9</f>
        <v>417512</v>
      </c>
      <c r="U9" s="275">
        <f t="shared" ref="U9:U30" si="32">V9*S9</f>
        <v>0</v>
      </c>
      <c r="V9" s="275">
        <v>250</v>
      </c>
      <c r="W9" s="196"/>
      <c r="X9" s="260">
        <f t="shared" si="18"/>
        <v>14773</v>
      </c>
      <c r="Y9" s="275" t="str">
        <f t="shared" si="19"/>
        <v>ok</v>
      </c>
      <c r="Z9" s="275">
        <f t="shared" si="8"/>
        <v>12</v>
      </c>
      <c r="AA9" s="275">
        <f t="shared" si="20"/>
        <v>1020</v>
      </c>
      <c r="AB9" s="275">
        <f t="shared" si="21"/>
        <v>585</v>
      </c>
      <c r="AC9" s="275">
        <f t="shared" si="22"/>
        <v>85</v>
      </c>
      <c r="AD9" s="73">
        <f>ELEC!Q10</f>
        <v>3149.9999999978172</v>
      </c>
      <c r="AE9" s="73">
        <f t="shared" si="26"/>
        <v>262.4999999998181</v>
      </c>
      <c r="AF9" s="385">
        <f t="shared" si="27"/>
        <v>0.16406249999988631</v>
      </c>
      <c r="AG9" s="385">
        <f t="shared" si="27"/>
        <v>1.0253906249992894E-4</v>
      </c>
      <c r="AH9" s="386">
        <f t="shared" si="23"/>
        <v>84.999897460937504</v>
      </c>
      <c r="AI9" s="73">
        <f t="shared" si="28"/>
        <v>810.75949367032433</v>
      </c>
      <c r="AJ9" s="277">
        <f t="shared" si="9"/>
        <v>0.25738396624472576</v>
      </c>
      <c r="AK9" s="277">
        <f t="shared" si="10"/>
        <v>67.563291139193694</v>
      </c>
      <c r="AL9">
        <f t="shared" si="24"/>
        <v>1</v>
      </c>
    </row>
    <row r="10" spans="1:38" ht="15.75" thickBot="1">
      <c r="A10" s="4">
        <f>ELEC!C11</f>
        <v>44873</v>
      </c>
      <c r="B10" s="602">
        <v>1352</v>
      </c>
      <c r="C10" s="275">
        <f t="shared" si="11"/>
        <v>7</v>
      </c>
      <c r="D10" s="499">
        <f t="shared" si="25"/>
        <v>792676</v>
      </c>
      <c r="E10" s="275">
        <f>SUM(D10-D9)</f>
        <v>595</v>
      </c>
      <c r="F10" s="275">
        <f t="shared" si="0"/>
        <v>85</v>
      </c>
      <c r="G10" s="196"/>
      <c r="H10" s="260">
        <f t="shared" si="13"/>
        <v>12231</v>
      </c>
      <c r="I10" s="275" t="str">
        <f>IF(B10-H10&lt;=0,"ok","oil change")</f>
        <v>ok</v>
      </c>
      <c r="J10" s="498">
        <f t="shared" si="14"/>
        <v>138</v>
      </c>
      <c r="K10" s="275">
        <f t="shared" si="2"/>
        <v>0</v>
      </c>
      <c r="L10" s="499">
        <f t="shared" si="30"/>
        <v>390941</v>
      </c>
      <c r="M10" s="275">
        <f t="shared" si="3"/>
        <v>0</v>
      </c>
      <c r="N10" s="275">
        <v>250</v>
      </c>
      <c r="O10" s="196"/>
      <c r="P10" s="276">
        <f t="shared" si="16"/>
        <v>10873</v>
      </c>
      <c r="Q10" s="275" t="str">
        <f t="shared" si="4"/>
        <v>ok</v>
      </c>
      <c r="R10" s="498">
        <f t="shared" si="17"/>
        <v>13913</v>
      </c>
      <c r="S10" s="275">
        <f t="shared" si="5"/>
        <v>0</v>
      </c>
      <c r="T10" s="499">
        <f t="shared" si="31"/>
        <v>417512</v>
      </c>
      <c r="U10" s="275">
        <f t="shared" si="32"/>
        <v>0</v>
      </c>
      <c r="V10" s="275">
        <v>250</v>
      </c>
      <c r="W10" s="322"/>
      <c r="X10" s="260">
        <f t="shared" si="18"/>
        <v>14773</v>
      </c>
      <c r="Y10" s="275" t="str">
        <f t="shared" si="19"/>
        <v>ok</v>
      </c>
      <c r="Z10" s="275">
        <f t="shared" si="8"/>
        <v>7</v>
      </c>
      <c r="AA10" s="275">
        <f t="shared" si="20"/>
        <v>595</v>
      </c>
      <c r="AB10" s="275">
        <f t="shared" si="21"/>
        <v>585</v>
      </c>
      <c r="AC10" s="275">
        <f t="shared" si="22"/>
        <v>85</v>
      </c>
      <c r="AD10" s="73">
        <f>ELEC!Q11</f>
        <v>1966.0000000003492</v>
      </c>
      <c r="AE10" s="73">
        <f t="shared" si="26"/>
        <v>280.85714285719274</v>
      </c>
      <c r="AF10" s="385">
        <f t="shared" si="27"/>
        <v>0.17553571428574546</v>
      </c>
      <c r="AG10" s="385">
        <f t="shared" si="27"/>
        <v>1.0970982142859092E-4</v>
      </c>
      <c r="AH10" s="386">
        <f t="shared" si="23"/>
        <v>84.99989029017857</v>
      </c>
      <c r="AI10" s="73">
        <f t="shared" si="28"/>
        <v>506.01687763722072</v>
      </c>
      <c r="AJ10" s="277">
        <f t="shared" si="9"/>
        <v>0.25738396624472576</v>
      </c>
      <c r="AK10" s="277">
        <f t="shared" si="10"/>
        <v>72.288125376745811</v>
      </c>
      <c r="AL10">
        <f t="shared" si="24"/>
        <v>1</v>
      </c>
    </row>
    <row r="11" spans="1:38" ht="15.75" thickBot="1">
      <c r="A11" s="4">
        <f>ELEC!C12</f>
        <v>44874</v>
      </c>
      <c r="B11" s="602">
        <v>1361</v>
      </c>
      <c r="C11" s="275">
        <f t="shared" si="11"/>
        <v>9</v>
      </c>
      <c r="D11" s="499">
        <f t="shared" si="25"/>
        <v>793441</v>
      </c>
      <c r="E11" s="275">
        <f t="shared" si="12"/>
        <v>765</v>
      </c>
      <c r="F11" s="275">
        <f>IF(C11&gt;0,E11/C11,0)</f>
        <v>85</v>
      </c>
      <c r="G11" s="196"/>
      <c r="H11" s="260">
        <f t="shared" si="13"/>
        <v>12231</v>
      </c>
      <c r="I11" s="275" t="str">
        <f t="shared" si="1"/>
        <v>ok</v>
      </c>
      <c r="J11" s="498">
        <f t="shared" si="14"/>
        <v>138</v>
      </c>
      <c r="K11" s="275">
        <f t="shared" si="2"/>
        <v>0</v>
      </c>
      <c r="L11" s="499">
        <f t="shared" si="30"/>
        <v>390941</v>
      </c>
      <c r="M11" s="275">
        <f t="shared" si="3"/>
        <v>0</v>
      </c>
      <c r="N11" s="275">
        <v>250</v>
      </c>
      <c r="O11" s="196"/>
      <c r="P11" s="276">
        <f t="shared" si="16"/>
        <v>10873</v>
      </c>
      <c r="Q11" s="275" t="str">
        <f t="shared" si="4"/>
        <v>ok</v>
      </c>
      <c r="R11" s="498">
        <f t="shared" si="17"/>
        <v>13913</v>
      </c>
      <c r="S11" s="275">
        <f t="shared" si="5"/>
        <v>0</v>
      </c>
      <c r="T11" s="499">
        <f t="shared" si="31"/>
        <v>417512</v>
      </c>
      <c r="U11" s="275">
        <f t="shared" si="32"/>
        <v>0</v>
      </c>
      <c r="V11" s="275">
        <v>250</v>
      </c>
      <c r="W11" s="322"/>
      <c r="X11" s="260">
        <f t="shared" si="18"/>
        <v>14773</v>
      </c>
      <c r="Y11" s="275" t="str">
        <f t="shared" si="19"/>
        <v>ok</v>
      </c>
      <c r="Z11" s="275">
        <f t="shared" si="8"/>
        <v>9</v>
      </c>
      <c r="AA11" s="275">
        <f t="shared" si="20"/>
        <v>765</v>
      </c>
      <c r="AB11" s="275">
        <f t="shared" si="21"/>
        <v>585</v>
      </c>
      <c r="AC11" s="275">
        <f t="shared" si="22"/>
        <v>85</v>
      </c>
      <c r="AD11" s="73">
        <f>ELEC!Q12</f>
        <v>2831.00000000195</v>
      </c>
      <c r="AE11" s="73">
        <f t="shared" si="26"/>
        <v>314.55555555577223</v>
      </c>
      <c r="AF11" s="385">
        <f t="shared" si="27"/>
        <v>0.19659722222235765</v>
      </c>
      <c r="AG11" s="385">
        <f t="shared" si="27"/>
        <v>1.2287326388897354E-4</v>
      </c>
      <c r="AH11" s="386">
        <f t="shared" si="23"/>
        <v>84.999877126736109</v>
      </c>
      <c r="AI11" s="73">
        <f t="shared" si="28"/>
        <v>728.65400843932048</v>
      </c>
      <c r="AJ11" s="277">
        <f t="shared" si="9"/>
        <v>0.25738396624472576</v>
      </c>
      <c r="AK11" s="277">
        <f t="shared" si="10"/>
        <v>80.961556493257831</v>
      </c>
      <c r="AL11">
        <f t="shared" si="24"/>
        <v>1</v>
      </c>
    </row>
    <row r="12" spans="1:38" ht="15.75" thickBot="1">
      <c r="A12" s="4">
        <f>ELEC!C13</f>
        <v>44875</v>
      </c>
      <c r="B12" s="602">
        <v>1373</v>
      </c>
      <c r="C12" s="275">
        <f t="shared" si="11"/>
        <v>12</v>
      </c>
      <c r="D12" s="499">
        <f t="shared" si="25"/>
        <v>794461</v>
      </c>
      <c r="E12" s="275">
        <f t="shared" si="12"/>
        <v>1020</v>
      </c>
      <c r="F12" s="275">
        <f t="shared" si="0"/>
        <v>85</v>
      </c>
      <c r="G12" s="196"/>
      <c r="H12" s="260">
        <f t="shared" si="13"/>
        <v>12231</v>
      </c>
      <c r="I12" s="275" t="str">
        <f t="shared" si="1"/>
        <v>ok</v>
      </c>
      <c r="J12" s="498">
        <f t="shared" si="14"/>
        <v>138</v>
      </c>
      <c r="K12" s="275">
        <f t="shared" si="2"/>
        <v>0</v>
      </c>
      <c r="L12" s="499">
        <f t="shared" si="30"/>
        <v>390941</v>
      </c>
      <c r="M12" s="275">
        <f t="shared" si="3"/>
        <v>0</v>
      </c>
      <c r="N12" s="275">
        <v>250</v>
      </c>
      <c r="O12" s="196"/>
      <c r="P12" s="276">
        <f t="shared" si="16"/>
        <v>10873</v>
      </c>
      <c r="Q12" s="275" t="str">
        <f t="shared" si="4"/>
        <v>ok</v>
      </c>
      <c r="R12" s="498">
        <f t="shared" si="17"/>
        <v>13913</v>
      </c>
      <c r="S12" s="275">
        <f t="shared" si="5"/>
        <v>0</v>
      </c>
      <c r="T12" s="499">
        <f>T11+U12</f>
        <v>417512</v>
      </c>
      <c r="U12" s="275">
        <f>V12*S12</f>
        <v>0</v>
      </c>
      <c r="V12" s="275">
        <v>250</v>
      </c>
      <c r="W12" s="322"/>
      <c r="X12" s="260">
        <f t="shared" si="18"/>
        <v>14773</v>
      </c>
      <c r="Y12" s="275" t="str">
        <f t="shared" si="19"/>
        <v>ok</v>
      </c>
      <c r="Z12" s="275">
        <f t="shared" si="8"/>
        <v>12</v>
      </c>
      <c r="AA12" s="275">
        <f t="shared" si="20"/>
        <v>1020</v>
      </c>
      <c r="AB12" s="275">
        <f t="shared" si="21"/>
        <v>585</v>
      </c>
      <c r="AC12" s="275">
        <f t="shared" si="22"/>
        <v>85</v>
      </c>
      <c r="AD12" s="73">
        <f>ELEC!Q13</f>
        <v>2813.9999999984866</v>
      </c>
      <c r="AE12" s="73">
        <f t="shared" si="26"/>
        <v>234.49999999987389</v>
      </c>
      <c r="AF12" s="385">
        <f t="shared" si="27"/>
        <v>0.14656249999992119</v>
      </c>
      <c r="AG12" s="385">
        <f t="shared" si="27"/>
        <v>9.1601562499950745E-5</v>
      </c>
      <c r="AH12" s="386">
        <f t="shared" si="23"/>
        <v>84.999908398437498</v>
      </c>
      <c r="AI12" s="73">
        <f t="shared" si="28"/>
        <v>724.2784810122688</v>
      </c>
      <c r="AJ12" s="277">
        <f t="shared" si="9"/>
        <v>0.25738396624472576</v>
      </c>
      <c r="AK12" s="277">
        <f t="shared" si="10"/>
        <v>60.356540084355736</v>
      </c>
      <c r="AL12">
        <f t="shared" si="24"/>
        <v>1</v>
      </c>
    </row>
    <row r="13" spans="1:38" ht="15.75" thickBot="1">
      <c r="A13" s="4">
        <f>ELEC!C14</f>
        <v>44876</v>
      </c>
      <c r="B13" s="602">
        <f t="shared" si="29"/>
        <v>1373</v>
      </c>
      <c r="C13" s="275">
        <f t="shared" si="11"/>
        <v>0</v>
      </c>
      <c r="D13" s="499">
        <f t="shared" si="25"/>
        <v>794461</v>
      </c>
      <c r="E13" s="275">
        <f t="shared" si="12"/>
        <v>0</v>
      </c>
      <c r="F13" s="275">
        <f t="shared" si="0"/>
        <v>0</v>
      </c>
      <c r="G13" s="196"/>
      <c r="H13" s="260">
        <f t="shared" si="13"/>
        <v>12231</v>
      </c>
      <c r="I13" s="275" t="str">
        <f t="shared" si="1"/>
        <v>ok</v>
      </c>
      <c r="J13" s="498">
        <f t="shared" si="14"/>
        <v>138</v>
      </c>
      <c r="K13" s="275">
        <f t="shared" si="2"/>
        <v>0</v>
      </c>
      <c r="L13" s="499">
        <f t="shared" si="30"/>
        <v>390941</v>
      </c>
      <c r="M13" s="275">
        <f t="shared" si="3"/>
        <v>0</v>
      </c>
      <c r="N13" s="275">
        <v>250</v>
      </c>
      <c r="O13" s="196"/>
      <c r="P13" s="276">
        <f t="shared" si="16"/>
        <v>10873</v>
      </c>
      <c r="Q13" s="275" t="str">
        <f t="shared" si="4"/>
        <v>ok</v>
      </c>
      <c r="R13" s="498">
        <f t="shared" si="17"/>
        <v>13913</v>
      </c>
      <c r="S13" s="275">
        <f t="shared" si="5"/>
        <v>0</v>
      </c>
      <c r="T13" s="499">
        <f t="shared" si="31"/>
        <v>417512</v>
      </c>
      <c r="U13" s="275">
        <f t="shared" si="32"/>
        <v>0</v>
      </c>
      <c r="V13" s="275">
        <v>250</v>
      </c>
      <c r="W13" s="322"/>
      <c r="X13" s="260">
        <f t="shared" si="18"/>
        <v>14773</v>
      </c>
      <c r="Y13" s="275" t="str">
        <f t="shared" si="19"/>
        <v>ok</v>
      </c>
      <c r="Z13" s="275">
        <f t="shared" si="8"/>
        <v>0</v>
      </c>
      <c r="AA13" s="275">
        <f t="shared" si="20"/>
        <v>0</v>
      </c>
      <c r="AB13" s="275">
        <f t="shared" si="21"/>
        <v>500</v>
      </c>
      <c r="AC13" s="275">
        <f t="shared" si="22"/>
        <v>0</v>
      </c>
      <c r="AD13" s="73">
        <f>ELEC!Q14</f>
        <v>0</v>
      </c>
      <c r="AE13" s="73" t="e">
        <f t="shared" si="26"/>
        <v>#DIV/0!</v>
      </c>
      <c r="AF13" s="385" t="e">
        <f t="shared" si="27"/>
        <v>#DIV/0!</v>
      </c>
      <c r="AG13" s="385" t="e">
        <f t="shared" si="27"/>
        <v>#DIV/0!</v>
      </c>
      <c r="AH13" s="386" t="e">
        <f t="shared" si="23"/>
        <v>#DIV/0!</v>
      </c>
      <c r="AI13" s="73">
        <f t="shared" si="28"/>
        <v>0</v>
      </c>
      <c r="AJ13" s="277">
        <f t="shared" si="9"/>
        <v>0.25738396624472576</v>
      </c>
      <c r="AK13" s="277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44877</v>
      </c>
      <c r="B14" s="602">
        <f t="shared" si="29"/>
        <v>1373</v>
      </c>
      <c r="C14" s="275">
        <f t="shared" si="11"/>
        <v>0</v>
      </c>
      <c r="D14" s="499">
        <f t="shared" si="25"/>
        <v>794461</v>
      </c>
      <c r="E14" s="275">
        <f t="shared" si="12"/>
        <v>0</v>
      </c>
      <c r="F14" s="275">
        <f t="shared" si="0"/>
        <v>0</v>
      </c>
      <c r="G14" s="196"/>
      <c r="H14" s="260">
        <f t="shared" si="13"/>
        <v>12231</v>
      </c>
      <c r="I14" s="275" t="str">
        <f t="shared" si="1"/>
        <v>ok</v>
      </c>
      <c r="J14" s="498">
        <f t="shared" si="14"/>
        <v>138</v>
      </c>
      <c r="K14" s="275">
        <f t="shared" si="2"/>
        <v>0</v>
      </c>
      <c r="L14" s="499">
        <f t="shared" si="30"/>
        <v>390941</v>
      </c>
      <c r="M14" s="275">
        <f t="shared" si="3"/>
        <v>0</v>
      </c>
      <c r="N14" s="275">
        <v>250</v>
      </c>
      <c r="O14" s="196"/>
      <c r="P14" s="276">
        <f t="shared" si="16"/>
        <v>10873</v>
      </c>
      <c r="Q14" s="275" t="str">
        <f t="shared" si="4"/>
        <v>ok</v>
      </c>
      <c r="R14" s="498">
        <f t="shared" si="17"/>
        <v>13913</v>
      </c>
      <c r="S14" s="275">
        <f t="shared" si="5"/>
        <v>0</v>
      </c>
      <c r="T14" s="499">
        <f t="shared" si="31"/>
        <v>417512</v>
      </c>
      <c r="U14" s="275">
        <f t="shared" si="32"/>
        <v>0</v>
      </c>
      <c r="V14" s="275">
        <v>250</v>
      </c>
      <c r="W14" s="322"/>
      <c r="X14" s="260">
        <f t="shared" si="18"/>
        <v>14773</v>
      </c>
      <c r="Y14" s="275" t="str">
        <f t="shared" si="19"/>
        <v>ok</v>
      </c>
      <c r="Z14" s="275">
        <f t="shared" si="8"/>
        <v>0</v>
      </c>
      <c r="AA14" s="275">
        <f t="shared" si="20"/>
        <v>0</v>
      </c>
      <c r="AB14" s="275">
        <f t="shared" si="21"/>
        <v>500</v>
      </c>
      <c r="AC14" s="275">
        <f t="shared" si="22"/>
        <v>0</v>
      </c>
      <c r="AD14" s="73">
        <f>ELEC!Q15</f>
        <v>0</v>
      </c>
      <c r="AE14" s="73" t="e">
        <f t="shared" si="26"/>
        <v>#DIV/0!</v>
      </c>
      <c r="AF14" s="385" t="e">
        <f t="shared" si="27"/>
        <v>#DIV/0!</v>
      </c>
      <c r="AG14" s="385" t="e">
        <f t="shared" si="27"/>
        <v>#DIV/0!</v>
      </c>
      <c r="AH14" s="386" t="e">
        <f t="shared" si="23"/>
        <v>#DIV/0!</v>
      </c>
      <c r="AI14" s="73">
        <f t="shared" si="28"/>
        <v>0</v>
      </c>
      <c r="AJ14" s="277">
        <f t="shared" si="9"/>
        <v>0.25738396624472576</v>
      </c>
      <c r="AK14" s="277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44878</v>
      </c>
      <c r="B15" s="602">
        <v>1384</v>
      </c>
      <c r="C15" s="275">
        <f t="shared" si="11"/>
        <v>11</v>
      </c>
      <c r="D15" s="499">
        <f t="shared" si="25"/>
        <v>795396</v>
      </c>
      <c r="E15" s="275">
        <f t="shared" si="12"/>
        <v>935</v>
      </c>
      <c r="F15" s="275">
        <f t="shared" si="0"/>
        <v>85</v>
      </c>
      <c r="G15" s="196"/>
      <c r="H15" s="260">
        <f t="shared" si="13"/>
        <v>12231</v>
      </c>
      <c r="I15" s="275" t="str">
        <f t="shared" si="1"/>
        <v>ok</v>
      </c>
      <c r="J15" s="498">
        <f t="shared" si="14"/>
        <v>138</v>
      </c>
      <c r="K15" s="275">
        <f t="shared" si="2"/>
        <v>0</v>
      </c>
      <c r="L15" s="499">
        <f t="shared" si="30"/>
        <v>390941</v>
      </c>
      <c r="M15" s="275">
        <f t="shared" si="3"/>
        <v>0</v>
      </c>
      <c r="N15" s="275">
        <v>250</v>
      </c>
      <c r="O15" s="196"/>
      <c r="P15" s="276">
        <f t="shared" si="16"/>
        <v>10873</v>
      </c>
      <c r="Q15" s="275" t="str">
        <f t="shared" si="4"/>
        <v>ok</v>
      </c>
      <c r="R15" s="498">
        <f t="shared" si="17"/>
        <v>13913</v>
      </c>
      <c r="S15" s="275">
        <f t="shared" si="5"/>
        <v>0</v>
      </c>
      <c r="T15" s="499">
        <f t="shared" si="31"/>
        <v>417512</v>
      </c>
      <c r="U15" s="275">
        <f t="shared" si="32"/>
        <v>0</v>
      </c>
      <c r="V15" s="275">
        <v>250</v>
      </c>
      <c r="W15" s="322"/>
      <c r="X15" s="260">
        <f t="shared" si="18"/>
        <v>14773</v>
      </c>
      <c r="Y15" s="275" t="str">
        <f t="shared" si="19"/>
        <v>ok</v>
      </c>
      <c r="Z15" s="275">
        <f t="shared" si="8"/>
        <v>11</v>
      </c>
      <c r="AA15" s="275">
        <f t="shared" si="20"/>
        <v>935</v>
      </c>
      <c r="AB15" s="275">
        <f t="shared" si="21"/>
        <v>585</v>
      </c>
      <c r="AC15" s="275">
        <f t="shared" si="22"/>
        <v>85</v>
      </c>
      <c r="AD15" s="73">
        <f>ELEC!Q16</f>
        <v>2813.0000000019209</v>
      </c>
      <c r="AE15" s="73">
        <f t="shared" si="26"/>
        <v>255.72727272744734</v>
      </c>
      <c r="AF15" s="385">
        <f t="shared" si="27"/>
        <v>0.15982954545465458</v>
      </c>
      <c r="AG15" s="385">
        <f t="shared" si="27"/>
        <v>9.9893465909159113E-5</v>
      </c>
      <c r="AH15" s="386">
        <f t="shared" si="23"/>
        <v>84.999900106534085</v>
      </c>
      <c r="AI15" s="73">
        <f t="shared" si="28"/>
        <v>724.02109704690793</v>
      </c>
      <c r="AJ15" s="277">
        <f t="shared" si="9"/>
        <v>0.25738396624472576</v>
      </c>
      <c r="AK15" s="277">
        <f t="shared" si="10"/>
        <v>65.820099731537084</v>
      </c>
      <c r="AL15">
        <f t="shared" si="24"/>
        <v>1</v>
      </c>
    </row>
    <row r="16" spans="1:38" ht="15.75" thickBot="1">
      <c r="A16" s="4">
        <f>ELEC!C17</f>
        <v>44879</v>
      </c>
      <c r="B16" s="602">
        <v>1394</v>
      </c>
      <c r="C16" s="275">
        <f t="shared" si="11"/>
        <v>10</v>
      </c>
      <c r="D16" s="499">
        <f t="shared" si="25"/>
        <v>796246</v>
      </c>
      <c r="E16" s="275">
        <f t="shared" si="12"/>
        <v>850</v>
      </c>
      <c r="F16" s="275">
        <f t="shared" si="0"/>
        <v>85</v>
      </c>
      <c r="G16" s="196"/>
      <c r="H16" s="260">
        <f t="shared" si="13"/>
        <v>12231</v>
      </c>
      <c r="I16" s="275" t="str">
        <f t="shared" si="1"/>
        <v>ok</v>
      </c>
      <c r="J16" s="498">
        <f t="shared" si="14"/>
        <v>138</v>
      </c>
      <c r="K16" s="275">
        <f t="shared" si="2"/>
        <v>0</v>
      </c>
      <c r="L16" s="499">
        <f t="shared" si="30"/>
        <v>390941</v>
      </c>
      <c r="M16" s="275">
        <f t="shared" si="3"/>
        <v>0</v>
      </c>
      <c r="N16" s="275">
        <v>250</v>
      </c>
      <c r="O16" s="196"/>
      <c r="P16" s="276">
        <f t="shared" si="16"/>
        <v>10873</v>
      </c>
      <c r="Q16" s="275" t="str">
        <f t="shared" si="4"/>
        <v>ok</v>
      </c>
      <c r="R16" s="498">
        <f t="shared" si="17"/>
        <v>13913</v>
      </c>
      <c r="S16" s="275">
        <f t="shared" si="5"/>
        <v>0</v>
      </c>
      <c r="T16" s="499">
        <f t="shared" si="31"/>
        <v>417512</v>
      </c>
      <c r="U16" s="275">
        <f t="shared" si="32"/>
        <v>0</v>
      </c>
      <c r="V16" s="275">
        <v>250</v>
      </c>
      <c r="W16" s="322"/>
      <c r="X16" s="260">
        <f t="shared" si="18"/>
        <v>14773</v>
      </c>
      <c r="Y16" s="275" t="str">
        <f t="shared" si="19"/>
        <v>ok</v>
      </c>
      <c r="Z16" s="275">
        <f t="shared" si="8"/>
        <v>10</v>
      </c>
      <c r="AA16" s="275">
        <f t="shared" si="20"/>
        <v>850</v>
      </c>
      <c r="AB16" s="275">
        <f t="shared" si="21"/>
        <v>585</v>
      </c>
      <c r="AC16" s="275">
        <f t="shared" si="22"/>
        <v>85</v>
      </c>
      <c r="AD16" s="73">
        <f>ELEC!Q17</f>
        <v>2998.9999999997963</v>
      </c>
      <c r="AE16" s="73">
        <f t="shared" si="26"/>
        <v>299.89999999997963</v>
      </c>
      <c r="AF16" s="385">
        <f t="shared" si="27"/>
        <v>0.18743749999998727</v>
      </c>
      <c r="AG16" s="385">
        <f t="shared" si="27"/>
        <v>1.1714843749999204E-4</v>
      </c>
      <c r="AH16" s="386">
        <f t="shared" si="23"/>
        <v>84.999882851562504</v>
      </c>
      <c r="AI16" s="73">
        <f t="shared" si="28"/>
        <v>771.89451476788008</v>
      </c>
      <c r="AJ16" s="277">
        <f t="shared" si="9"/>
        <v>0.25738396624472576</v>
      </c>
      <c r="AK16" s="277">
        <f t="shared" si="10"/>
        <v>77.189451476788008</v>
      </c>
      <c r="AL16">
        <f t="shared" si="24"/>
        <v>1</v>
      </c>
    </row>
    <row r="17" spans="1:38" ht="15.75" thickBot="1">
      <c r="A17" s="4">
        <f>ELEC!C18</f>
        <v>44880</v>
      </c>
      <c r="B17" s="602">
        <v>1404</v>
      </c>
      <c r="C17" s="275">
        <f t="shared" si="11"/>
        <v>10</v>
      </c>
      <c r="D17" s="499">
        <f t="shared" si="25"/>
        <v>797096</v>
      </c>
      <c r="E17" s="275">
        <f t="shared" si="12"/>
        <v>850</v>
      </c>
      <c r="F17" s="275">
        <f t="shared" si="0"/>
        <v>85</v>
      </c>
      <c r="G17" s="196"/>
      <c r="H17" s="260">
        <f t="shared" si="13"/>
        <v>12231</v>
      </c>
      <c r="I17" s="275" t="str">
        <f t="shared" si="1"/>
        <v>ok</v>
      </c>
      <c r="J17" s="498">
        <f t="shared" si="14"/>
        <v>138</v>
      </c>
      <c r="K17" s="275">
        <f t="shared" si="2"/>
        <v>0</v>
      </c>
      <c r="L17" s="499">
        <f t="shared" si="30"/>
        <v>390941</v>
      </c>
      <c r="M17" s="275">
        <f t="shared" si="3"/>
        <v>0</v>
      </c>
      <c r="N17" s="275">
        <v>250</v>
      </c>
      <c r="O17" s="196"/>
      <c r="P17" s="276">
        <f t="shared" si="16"/>
        <v>10873</v>
      </c>
      <c r="Q17" s="275" t="str">
        <f t="shared" si="4"/>
        <v>ok</v>
      </c>
      <c r="R17" s="498">
        <f t="shared" si="17"/>
        <v>13913</v>
      </c>
      <c r="S17" s="275">
        <f t="shared" si="5"/>
        <v>0</v>
      </c>
      <c r="T17" s="499">
        <f t="shared" si="31"/>
        <v>417512</v>
      </c>
      <c r="U17" s="275">
        <f t="shared" si="32"/>
        <v>0</v>
      </c>
      <c r="V17" s="275">
        <v>250</v>
      </c>
      <c r="W17" s="322"/>
      <c r="X17" s="260">
        <f t="shared" si="18"/>
        <v>14773</v>
      </c>
      <c r="Y17" s="275" t="str">
        <f t="shared" si="19"/>
        <v>ok</v>
      </c>
      <c r="Z17" s="275">
        <f t="shared" si="8"/>
        <v>10</v>
      </c>
      <c r="AA17" s="275">
        <f t="shared" si="20"/>
        <v>850</v>
      </c>
      <c r="AB17" s="275">
        <f t="shared" si="21"/>
        <v>585</v>
      </c>
      <c r="AC17" s="275">
        <f t="shared" si="22"/>
        <v>85</v>
      </c>
      <c r="AD17" s="73">
        <f>ELEC!Q18</f>
        <v>2465.0000000001455</v>
      </c>
      <c r="AE17" s="73">
        <f t="shared" si="26"/>
        <v>246.50000000001455</v>
      </c>
      <c r="AF17" s="385">
        <f t="shared" si="27"/>
        <v>0.15406250000000909</v>
      </c>
      <c r="AG17" s="385">
        <f t="shared" si="27"/>
        <v>9.6289062500005685E-5</v>
      </c>
      <c r="AH17" s="386">
        <f t="shared" si="23"/>
        <v>84.999903710937502</v>
      </c>
      <c r="AI17" s="73">
        <f t="shared" si="28"/>
        <v>634.45147679328647</v>
      </c>
      <c r="AJ17" s="277">
        <f t="shared" si="9"/>
        <v>0.25738396624472576</v>
      </c>
      <c r="AK17" s="277">
        <f t="shared" si="10"/>
        <v>63.445147679328649</v>
      </c>
      <c r="AL17">
        <f t="shared" si="24"/>
        <v>1</v>
      </c>
    </row>
    <row r="18" spans="1:38" ht="15.75" thickBot="1">
      <c r="A18" s="4">
        <f>ELEC!C19</f>
        <v>44881</v>
      </c>
      <c r="B18" s="602">
        <v>1413</v>
      </c>
      <c r="C18" s="275">
        <f t="shared" si="11"/>
        <v>9</v>
      </c>
      <c r="D18" s="499">
        <f t="shared" si="25"/>
        <v>797861</v>
      </c>
      <c r="E18" s="275">
        <f t="shared" si="12"/>
        <v>765</v>
      </c>
      <c r="F18" s="275">
        <f t="shared" si="0"/>
        <v>85</v>
      </c>
      <c r="G18" s="196"/>
      <c r="H18" s="260">
        <f t="shared" si="13"/>
        <v>12231</v>
      </c>
      <c r="I18" s="275" t="str">
        <f t="shared" si="1"/>
        <v>ok</v>
      </c>
      <c r="J18" s="498">
        <v>141</v>
      </c>
      <c r="K18" s="275">
        <f t="shared" si="2"/>
        <v>3</v>
      </c>
      <c r="L18" s="499">
        <f t="shared" si="30"/>
        <v>391691</v>
      </c>
      <c r="M18" s="275">
        <f t="shared" si="3"/>
        <v>750</v>
      </c>
      <c r="N18" s="275">
        <v>250</v>
      </c>
      <c r="O18" s="196"/>
      <c r="P18" s="276">
        <f t="shared" si="16"/>
        <v>10873</v>
      </c>
      <c r="Q18" s="275" t="str">
        <f>IF(J18-P14&lt;=0,"ok","oil change")</f>
        <v>ok</v>
      </c>
      <c r="R18" s="498">
        <f t="shared" si="17"/>
        <v>13913</v>
      </c>
      <c r="S18" s="275">
        <f t="shared" si="5"/>
        <v>0</v>
      </c>
      <c r="T18" s="499">
        <f t="shared" si="31"/>
        <v>417512</v>
      </c>
      <c r="U18" s="275">
        <f t="shared" si="32"/>
        <v>0</v>
      </c>
      <c r="V18" s="275">
        <v>250</v>
      </c>
      <c r="W18" s="322"/>
      <c r="X18" s="260">
        <f t="shared" si="18"/>
        <v>14773</v>
      </c>
      <c r="Y18" s="275" t="str">
        <f t="shared" si="19"/>
        <v>ok</v>
      </c>
      <c r="Z18" s="275">
        <f t="shared" si="8"/>
        <v>12</v>
      </c>
      <c r="AA18" s="275">
        <f t="shared" si="20"/>
        <v>1515</v>
      </c>
      <c r="AB18" s="275">
        <f t="shared" si="21"/>
        <v>585</v>
      </c>
      <c r="AC18" s="275">
        <f t="shared" si="22"/>
        <v>126.25</v>
      </c>
      <c r="AD18" s="73">
        <f>ELEC!Q19</f>
        <v>2921.9999999986612</v>
      </c>
      <c r="AE18" s="73">
        <f t="shared" si="26"/>
        <v>243.49999999988844</v>
      </c>
      <c r="AF18" s="385">
        <f t="shared" si="27"/>
        <v>0.15218749999993028</v>
      </c>
      <c r="AG18" s="385">
        <f t="shared" si="27"/>
        <v>9.5117187499956429E-5</v>
      </c>
      <c r="AH18" s="386">
        <f t="shared" si="23"/>
        <v>126.2499048828125</v>
      </c>
      <c r="AI18" s="73">
        <f t="shared" si="28"/>
        <v>752.07594936674411</v>
      </c>
      <c r="AJ18" s="277">
        <f t="shared" si="9"/>
        <v>0.25738396624472576</v>
      </c>
      <c r="AK18" s="277">
        <f t="shared" si="10"/>
        <v>62.672995780562012</v>
      </c>
      <c r="AL18">
        <f t="shared" si="24"/>
        <v>1</v>
      </c>
    </row>
    <row r="19" spans="1:38" ht="15.75" thickBot="1">
      <c r="A19" s="4">
        <f>ELEC!C20</f>
        <v>44882</v>
      </c>
      <c r="B19" s="602">
        <v>1424</v>
      </c>
      <c r="C19" s="275">
        <f t="shared" si="11"/>
        <v>11</v>
      </c>
      <c r="D19" s="499">
        <f t="shared" si="25"/>
        <v>798796</v>
      </c>
      <c r="E19" s="275">
        <f t="shared" si="12"/>
        <v>935</v>
      </c>
      <c r="F19" s="275">
        <f t="shared" si="0"/>
        <v>85</v>
      </c>
      <c r="G19" s="196"/>
      <c r="H19" s="260">
        <f t="shared" si="13"/>
        <v>12231</v>
      </c>
      <c r="I19" s="275" t="str">
        <f t="shared" si="1"/>
        <v>ok</v>
      </c>
      <c r="J19" s="498">
        <f t="shared" si="14"/>
        <v>141</v>
      </c>
      <c r="K19" s="275">
        <f t="shared" si="2"/>
        <v>0</v>
      </c>
      <c r="L19" s="499">
        <f t="shared" si="30"/>
        <v>391691</v>
      </c>
      <c r="M19" s="275">
        <f t="shared" si="3"/>
        <v>0</v>
      </c>
      <c r="N19" s="275">
        <v>250</v>
      </c>
      <c r="O19" s="196"/>
      <c r="P19" s="276">
        <f t="shared" si="16"/>
        <v>10873</v>
      </c>
      <c r="Q19" s="275" t="str">
        <f t="shared" ref="Q19:Q30" si="33">IF(J19-P19&lt;=0,"ok","oil change")</f>
        <v>ok</v>
      </c>
      <c r="R19" s="498">
        <f t="shared" si="17"/>
        <v>13913</v>
      </c>
      <c r="S19" s="275">
        <f t="shared" si="5"/>
        <v>0</v>
      </c>
      <c r="T19" s="499">
        <f t="shared" si="31"/>
        <v>417512</v>
      </c>
      <c r="U19" s="275">
        <f t="shared" si="32"/>
        <v>0</v>
      </c>
      <c r="V19" s="275">
        <v>250</v>
      </c>
      <c r="W19" s="322"/>
      <c r="X19" s="260">
        <f t="shared" si="18"/>
        <v>14773</v>
      </c>
      <c r="Y19" s="275" t="str">
        <f t="shared" si="19"/>
        <v>ok</v>
      </c>
      <c r="Z19" s="275">
        <f t="shared" si="8"/>
        <v>11</v>
      </c>
      <c r="AA19" s="275">
        <f t="shared" si="20"/>
        <v>935</v>
      </c>
      <c r="AB19" s="275">
        <f t="shared" si="21"/>
        <v>585</v>
      </c>
      <c r="AC19" s="275">
        <f t="shared" si="22"/>
        <v>85</v>
      </c>
      <c r="AD19" s="73">
        <f>ELEC!Q20</f>
        <v>2614.000000001397</v>
      </c>
      <c r="AE19" s="73">
        <f t="shared" si="26"/>
        <v>237.63636363649064</v>
      </c>
      <c r="AF19" s="385">
        <f t="shared" si="27"/>
        <v>0.14852272727280666</v>
      </c>
      <c r="AG19" s="385">
        <f t="shared" si="27"/>
        <v>9.2826704545504168E-5</v>
      </c>
      <c r="AH19" s="386">
        <f t="shared" si="23"/>
        <v>84.999907173295455</v>
      </c>
      <c r="AI19" s="73">
        <f t="shared" si="28"/>
        <v>672.80168776407265</v>
      </c>
      <c r="AJ19" s="277">
        <f t="shared" si="9"/>
        <v>0.25738396624472576</v>
      </c>
      <c r="AK19" s="277">
        <f t="shared" si="10"/>
        <v>61.16378979673388</v>
      </c>
      <c r="AL19">
        <f t="shared" si="24"/>
        <v>1</v>
      </c>
    </row>
    <row r="20" spans="1:38" ht="15.75" thickBot="1">
      <c r="A20" s="4">
        <f>ELEC!C21</f>
        <v>44883</v>
      </c>
      <c r="B20" s="602">
        <f t="shared" si="29"/>
        <v>1424</v>
      </c>
      <c r="C20" s="275">
        <f>B20-B19</f>
        <v>0</v>
      </c>
      <c r="D20" s="499">
        <f t="shared" si="25"/>
        <v>798796</v>
      </c>
      <c r="E20" s="275">
        <f t="shared" si="12"/>
        <v>0</v>
      </c>
      <c r="F20" s="275">
        <f t="shared" si="0"/>
        <v>0</v>
      </c>
      <c r="G20" s="196"/>
      <c r="H20" s="260">
        <f t="shared" si="13"/>
        <v>12231</v>
      </c>
      <c r="I20" s="275" t="str">
        <f t="shared" si="1"/>
        <v>ok</v>
      </c>
      <c r="J20" s="498">
        <f t="shared" si="14"/>
        <v>141</v>
      </c>
      <c r="K20" s="275">
        <f t="shared" si="2"/>
        <v>0</v>
      </c>
      <c r="L20" s="499">
        <f t="shared" si="30"/>
        <v>391691</v>
      </c>
      <c r="M20" s="275">
        <f t="shared" si="3"/>
        <v>0</v>
      </c>
      <c r="N20" s="275">
        <v>250</v>
      </c>
      <c r="O20" s="196"/>
      <c r="P20" s="276">
        <f t="shared" si="16"/>
        <v>10873</v>
      </c>
      <c r="Q20" s="275" t="str">
        <f t="shared" si="33"/>
        <v>ok</v>
      </c>
      <c r="R20" s="498">
        <f t="shared" si="17"/>
        <v>13913</v>
      </c>
      <c r="S20" s="275">
        <f t="shared" si="5"/>
        <v>0</v>
      </c>
      <c r="T20" s="499">
        <f t="shared" si="31"/>
        <v>417512</v>
      </c>
      <c r="U20" s="275">
        <f t="shared" si="32"/>
        <v>0</v>
      </c>
      <c r="V20" s="275">
        <v>250</v>
      </c>
      <c r="W20" s="322"/>
      <c r="X20" s="260">
        <f t="shared" si="18"/>
        <v>14773</v>
      </c>
      <c r="Y20" s="275" t="str">
        <f t="shared" si="19"/>
        <v>ok</v>
      </c>
      <c r="Z20" s="275">
        <f t="shared" si="8"/>
        <v>0</v>
      </c>
      <c r="AA20" s="275">
        <f t="shared" si="20"/>
        <v>0</v>
      </c>
      <c r="AB20" s="275">
        <f t="shared" si="21"/>
        <v>500</v>
      </c>
      <c r="AC20" s="275">
        <f t="shared" si="22"/>
        <v>0</v>
      </c>
      <c r="AD20" s="73">
        <f>ELEC!Q21</f>
        <v>0</v>
      </c>
      <c r="AE20" s="73" t="e">
        <f t="shared" si="26"/>
        <v>#DIV/0!</v>
      </c>
      <c r="AF20" s="385" t="e">
        <f t="shared" si="27"/>
        <v>#DIV/0!</v>
      </c>
      <c r="AG20" s="385" t="e">
        <f t="shared" si="27"/>
        <v>#DIV/0!</v>
      </c>
      <c r="AH20" s="386" t="e">
        <f t="shared" si="23"/>
        <v>#DIV/0!</v>
      </c>
      <c r="AI20" s="73">
        <f>AD20*AJ20</f>
        <v>0</v>
      </c>
      <c r="AJ20" s="277">
        <f t="shared" si="9"/>
        <v>0.25738396624472576</v>
      </c>
      <c r="AK20" s="277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44884</v>
      </c>
      <c r="B21" s="602">
        <f t="shared" si="29"/>
        <v>1424</v>
      </c>
      <c r="C21" s="275">
        <f>B21-B20</f>
        <v>0</v>
      </c>
      <c r="D21" s="499">
        <f t="shared" si="25"/>
        <v>798796</v>
      </c>
      <c r="E21" s="275">
        <f t="shared" si="12"/>
        <v>0</v>
      </c>
      <c r="F21" s="275">
        <f t="shared" si="0"/>
        <v>0</v>
      </c>
      <c r="G21" s="196"/>
      <c r="H21" s="260">
        <f t="shared" si="13"/>
        <v>12231</v>
      </c>
      <c r="I21" s="275" t="str">
        <f t="shared" si="1"/>
        <v>ok</v>
      </c>
      <c r="J21" s="498">
        <f t="shared" si="14"/>
        <v>141</v>
      </c>
      <c r="K21" s="275">
        <f t="shared" si="2"/>
        <v>0</v>
      </c>
      <c r="L21" s="499">
        <f t="shared" si="30"/>
        <v>391691</v>
      </c>
      <c r="M21" s="275">
        <f t="shared" si="3"/>
        <v>0</v>
      </c>
      <c r="N21" s="275">
        <v>250</v>
      </c>
      <c r="O21" s="196"/>
      <c r="P21" s="276">
        <f t="shared" si="16"/>
        <v>10873</v>
      </c>
      <c r="Q21" s="275" t="str">
        <f t="shared" si="33"/>
        <v>ok</v>
      </c>
      <c r="R21" s="498">
        <f t="shared" si="17"/>
        <v>13913</v>
      </c>
      <c r="S21" s="275">
        <f t="shared" si="5"/>
        <v>0</v>
      </c>
      <c r="T21" s="499">
        <f t="shared" si="31"/>
        <v>417512</v>
      </c>
      <c r="U21" s="275">
        <f t="shared" si="32"/>
        <v>0</v>
      </c>
      <c r="V21" s="275">
        <v>250</v>
      </c>
      <c r="W21" s="196"/>
      <c r="X21" s="260">
        <f t="shared" si="18"/>
        <v>14773</v>
      </c>
      <c r="Y21" s="275" t="str">
        <f t="shared" si="19"/>
        <v>ok</v>
      </c>
      <c r="Z21" s="275">
        <f t="shared" si="8"/>
        <v>0</v>
      </c>
      <c r="AA21" s="275">
        <f t="shared" si="20"/>
        <v>0</v>
      </c>
      <c r="AB21" s="275">
        <f t="shared" si="21"/>
        <v>500</v>
      </c>
      <c r="AC21" s="275">
        <f t="shared" si="22"/>
        <v>0</v>
      </c>
      <c r="AD21" s="73">
        <f>ELEC!Q22</f>
        <v>0</v>
      </c>
      <c r="AE21" s="73" t="e">
        <f t="shared" si="26"/>
        <v>#DIV/0!</v>
      </c>
      <c r="AF21" s="385" t="e">
        <f t="shared" si="27"/>
        <v>#DIV/0!</v>
      </c>
      <c r="AG21" s="385" t="e">
        <f t="shared" si="27"/>
        <v>#DIV/0!</v>
      </c>
      <c r="AH21" s="386" t="e">
        <f t="shared" si="23"/>
        <v>#DIV/0!</v>
      </c>
      <c r="AI21" s="73">
        <f t="shared" si="28"/>
        <v>0</v>
      </c>
      <c r="AJ21" s="277">
        <f t="shared" si="9"/>
        <v>0.25738396624472576</v>
      </c>
      <c r="AK21" s="277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44885</v>
      </c>
      <c r="B22" s="602">
        <v>1432</v>
      </c>
      <c r="C22" s="275">
        <f t="shared" ref="C22:C26" si="34">B22-B21</f>
        <v>8</v>
      </c>
      <c r="D22" s="499">
        <f t="shared" si="25"/>
        <v>799476</v>
      </c>
      <c r="E22" s="275">
        <f t="shared" si="12"/>
        <v>680</v>
      </c>
      <c r="F22" s="275">
        <f t="shared" si="0"/>
        <v>85</v>
      </c>
      <c r="G22" s="196"/>
      <c r="H22" s="260">
        <f t="shared" si="13"/>
        <v>12231</v>
      </c>
      <c r="I22" s="275" t="str">
        <f t="shared" si="1"/>
        <v>ok</v>
      </c>
      <c r="J22" s="498">
        <f t="shared" si="14"/>
        <v>141</v>
      </c>
      <c r="K22" s="275">
        <f t="shared" si="2"/>
        <v>0</v>
      </c>
      <c r="L22" s="499">
        <f t="shared" si="30"/>
        <v>391691</v>
      </c>
      <c r="M22" s="275">
        <f t="shared" si="3"/>
        <v>0</v>
      </c>
      <c r="N22" s="275">
        <v>250</v>
      </c>
      <c r="O22" s="196"/>
      <c r="P22" s="276">
        <f t="shared" si="16"/>
        <v>10873</v>
      </c>
      <c r="Q22" s="275" t="str">
        <f t="shared" si="33"/>
        <v>ok</v>
      </c>
      <c r="R22" s="498">
        <f t="shared" si="17"/>
        <v>13913</v>
      </c>
      <c r="S22" s="275">
        <f t="shared" si="5"/>
        <v>0</v>
      </c>
      <c r="T22" s="499">
        <f t="shared" si="31"/>
        <v>417512</v>
      </c>
      <c r="U22" s="275">
        <f t="shared" si="32"/>
        <v>0</v>
      </c>
      <c r="V22" s="275">
        <v>250</v>
      </c>
      <c r="W22" s="196"/>
      <c r="X22" s="260">
        <f t="shared" si="18"/>
        <v>14773</v>
      </c>
      <c r="Y22" s="275" t="str">
        <f t="shared" si="19"/>
        <v>ok</v>
      </c>
      <c r="Z22" s="275">
        <f t="shared" si="8"/>
        <v>8</v>
      </c>
      <c r="AA22" s="275">
        <f t="shared" si="20"/>
        <v>680</v>
      </c>
      <c r="AB22" s="275">
        <f t="shared" si="21"/>
        <v>585</v>
      </c>
      <c r="AC22" s="275">
        <f t="shared" si="22"/>
        <v>85</v>
      </c>
      <c r="AD22" s="73">
        <f>ELEC!Q23</f>
        <v>2085.9999999993306</v>
      </c>
      <c r="AE22" s="73">
        <f t="shared" si="26"/>
        <v>260.74999999991633</v>
      </c>
      <c r="AF22" s="385">
        <f t="shared" si="27"/>
        <v>0.1629687499999477</v>
      </c>
      <c r="AG22" s="385">
        <f t="shared" si="27"/>
        <v>1.0185546874996732E-4</v>
      </c>
      <c r="AH22" s="386">
        <f t="shared" si="23"/>
        <v>84.999898144531244</v>
      </c>
      <c r="AI22" s="73">
        <f t="shared" si="28"/>
        <v>536.90295358632568</v>
      </c>
      <c r="AJ22" s="277">
        <f t="shared" si="9"/>
        <v>0.25738396624472576</v>
      </c>
      <c r="AK22" s="277">
        <f t="shared" si="10"/>
        <v>67.11286919829071</v>
      </c>
      <c r="AL22">
        <f t="shared" si="24"/>
        <v>1</v>
      </c>
    </row>
    <row r="23" spans="1:38" ht="15.75" thickBot="1">
      <c r="A23" s="4">
        <f>ELEC!C24</f>
        <v>44886</v>
      </c>
      <c r="B23" s="602">
        <v>1432</v>
      </c>
      <c r="C23" s="275"/>
      <c r="D23" s="499">
        <f>D22+C23*85</f>
        <v>799476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8">
        <f t="shared" si="14"/>
        <v>141</v>
      </c>
      <c r="K23" s="275">
        <f t="shared" si="2"/>
        <v>0</v>
      </c>
      <c r="L23" s="499">
        <f t="shared" si="30"/>
        <v>391691</v>
      </c>
      <c r="M23" s="275">
        <f t="shared" si="3"/>
        <v>0</v>
      </c>
      <c r="N23" s="275">
        <v>250</v>
      </c>
      <c r="O23" s="196"/>
      <c r="P23" s="276">
        <f t="shared" si="16"/>
        <v>10873</v>
      </c>
      <c r="Q23" s="275" t="str">
        <f t="shared" si="33"/>
        <v>ok</v>
      </c>
      <c r="R23" s="498">
        <f t="shared" si="17"/>
        <v>13913</v>
      </c>
      <c r="S23" s="275">
        <f>R23-R22</f>
        <v>0</v>
      </c>
      <c r="T23" s="499">
        <f t="shared" si="31"/>
        <v>417512</v>
      </c>
      <c r="U23" s="275">
        <f>V23*S23</f>
        <v>0</v>
      </c>
      <c r="V23" s="275">
        <v>250</v>
      </c>
      <c r="W23" s="196"/>
      <c r="X23" s="260">
        <f t="shared" si="18"/>
        <v>14773</v>
      </c>
      <c r="Y23" s="275" t="str">
        <f t="shared" si="19"/>
        <v>ok</v>
      </c>
      <c r="Z23" s="275">
        <f t="shared" si="8"/>
        <v>0</v>
      </c>
      <c r="AA23" s="275">
        <f t="shared" si="20"/>
        <v>0</v>
      </c>
      <c r="AB23" s="275">
        <f t="shared" si="21"/>
        <v>500</v>
      </c>
      <c r="AC23" s="275">
        <f t="shared" si="22"/>
        <v>0</v>
      </c>
      <c r="AD23" s="73">
        <f>ELEC!Q24</f>
        <v>2672.999999998865</v>
      </c>
      <c r="AE23" s="73" t="e">
        <f t="shared" si="26"/>
        <v>#DIV/0!</v>
      </c>
      <c r="AF23" s="385" t="e">
        <f t="shared" si="27"/>
        <v>#DIV/0!</v>
      </c>
      <c r="AG23" s="385" t="e">
        <f t="shared" si="27"/>
        <v>#DIV/0!</v>
      </c>
      <c r="AH23" s="386" t="e">
        <f t="shared" si="23"/>
        <v>#DIV/0!</v>
      </c>
      <c r="AI23" s="73">
        <f t="shared" si="28"/>
        <v>687.98734177185986</v>
      </c>
      <c r="AJ23" s="277">
        <f t="shared" si="9"/>
        <v>0.25738396624472576</v>
      </c>
      <c r="AK23" s="277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44887</v>
      </c>
      <c r="B24" s="602">
        <v>1442</v>
      </c>
      <c r="C24" s="275">
        <f t="shared" si="34"/>
        <v>10</v>
      </c>
      <c r="D24" s="499">
        <f t="shared" si="25"/>
        <v>800326</v>
      </c>
      <c r="E24" s="275">
        <f>SUM(D24-D23)</f>
        <v>850</v>
      </c>
      <c r="F24" s="275">
        <f t="shared" si="0"/>
        <v>85</v>
      </c>
      <c r="G24" s="196"/>
      <c r="H24" s="260">
        <f t="shared" si="13"/>
        <v>12231</v>
      </c>
      <c r="I24" s="275" t="str">
        <f t="shared" si="1"/>
        <v>ok</v>
      </c>
      <c r="J24" s="498">
        <f t="shared" si="14"/>
        <v>141</v>
      </c>
      <c r="K24" s="275">
        <f t="shared" si="2"/>
        <v>0</v>
      </c>
      <c r="L24" s="499">
        <f t="shared" si="30"/>
        <v>391691</v>
      </c>
      <c r="M24" s="275">
        <f t="shared" si="3"/>
        <v>0</v>
      </c>
      <c r="N24" s="275">
        <v>250</v>
      </c>
      <c r="O24" s="196"/>
      <c r="P24" s="276">
        <f t="shared" si="16"/>
        <v>10873</v>
      </c>
      <c r="Q24" s="275" t="str">
        <f t="shared" si="33"/>
        <v>ok</v>
      </c>
      <c r="R24" s="498">
        <f t="shared" si="17"/>
        <v>13913</v>
      </c>
      <c r="S24" s="275">
        <f t="shared" si="5"/>
        <v>0</v>
      </c>
      <c r="T24" s="499">
        <f t="shared" si="31"/>
        <v>417512</v>
      </c>
      <c r="U24" s="275">
        <f t="shared" si="32"/>
        <v>0</v>
      </c>
      <c r="V24" s="275">
        <v>250</v>
      </c>
      <c r="W24" s="196"/>
      <c r="X24" s="260">
        <f t="shared" si="18"/>
        <v>14773</v>
      </c>
      <c r="Y24" s="275" t="str">
        <f t="shared" si="19"/>
        <v>ok</v>
      </c>
      <c r="Z24" s="275">
        <f t="shared" si="8"/>
        <v>10</v>
      </c>
      <c r="AA24" s="275">
        <f t="shared" si="20"/>
        <v>850</v>
      </c>
      <c r="AB24" s="275">
        <f t="shared" si="21"/>
        <v>585</v>
      </c>
      <c r="AC24" s="275">
        <f t="shared" si="22"/>
        <v>85</v>
      </c>
      <c r="AD24" s="73">
        <f>ELEC!Q25</f>
        <v>0</v>
      </c>
      <c r="AE24" s="73">
        <f t="shared" si="26"/>
        <v>0</v>
      </c>
      <c r="AF24" s="385">
        <f t="shared" si="27"/>
        <v>0</v>
      </c>
      <c r="AG24" s="385">
        <f t="shared" si="27"/>
        <v>0</v>
      </c>
      <c r="AH24" s="386">
        <f t="shared" si="23"/>
        <v>85</v>
      </c>
      <c r="AI24" s="73">
        <f t="shared" si="28"/>
        <v>0</v>
      </c>
      <c r="AJ24" s="277">
        <f t="shared" si="9"/>
        <v>0.25738396624472576</v>
      </c>
      <c r="AK24" s="277">
        <f t="shared" si="10"/>
        <v>0</v>
      </c>
      <c r="AL24">
        <f t="shared" si="24"/>
        <v>1</v>
      </c>
    </row>
    <row r="25" spans="1:38" ht="15.75" thickBot="1">
      <c r="A25" s="4">
        <f>ELEC!C26</f>
        <v>44888</v>
      </c>
      <c r="B25" s="602">
        <v>1453</v>
      </c>
      <c r="C25" s="275">
        <f t="shared" si="34"/>
        <v>11</v>
      </c>
      <c r="D25" s="499">
        <f t="shared" si="25"/>
        <v>801261</v>
      </c>
      <c r="E25" s="275">
        <f>SUM(D25-D24)</f>
        <v>935</v>
      </c>
      <c r="F25" s="275">
        <f t="shared" si="0"/>
        <v>85</v>
      </c>
      <c r="G25" s="196"/>
      <c r="H25" s="260">
        <f t="shared" si="13"/>
        <v>12231</v>
      </c>
      <c r="I25" s="275" t="str">
        <f t="shared" si="1"/>
        <v>ok</v>
      </c>
      <c r="J25" s="498">
        <f t="shared" si="14"/>
        <v>141</v>
      </c>
      <c r="K25" s="275">
        <f t="shared" si="2"/>
        <v>0</v>
      </c>
      <c r="L25" s="499">
        <f t="shared" si="30"/>
        <v>391691</v>
      </c>
      <c r="M25" s="275">
        <f t="shared" si="3"/>
        <v>0</v>
      </c>
      <c r="N25" s="275">
        <v>250</v>
      </c>
      <c r="O25" s="196"/>
      <c r="P25" s="276">
        <f t="shared" si="16"/>
        <v>10873</v>
      </c>
      <c r="Q25" s="275" t="str">
        <f t="shared" si="33"/>
        <v>ok</v>
      </c>
      <c r="R25" s="498">
        <f t="shared" si="17"/>
        <v>13913</v>
      </c>
      <c r="S25" s="275">
        <f t="shared" si="5"/>
        <v>0</v>
      </c>
      <c r="T25" s="499">
        <f t="shared" si="31"/>
        <v>417512</v>
      </c>
      <c r="U25" s="275">
        <f t="shared" si="32"/>
        <v>0</v>
      </c>
      <c r="V25" s="275">
        <v>250</v>
      </c>
      <c r="W25" s="196"/>
      <c r="X25" s="260">
        <f t="shared" si="18"/>
        <v>14773</v>
      </c>
      <c r="Y25" s="275" t="str">
        <f t="shared" si="19"/>
        <v>ok</v>
      </c>
      <c r="Z25" s="275">
        <f>C24+K25+S25</f>
        <v>10</v>
      </c>
      <c r="AA25" s="275">
        <f t="shared" si="20"/>
        <v>935</v>
      </c>
      <c r="AB25" s="275">
        <f t="shared" si="21"/>
        <v>585</v>
      </c>
      <c r="AC25" s="275">
        <f t="shared" si="22"/>
        <v>93.5</v>
      </c>
      <c r="AD25" s="73">
        <f>ELEC!Q26</f>
        <v>2908.9999999996508</v>
      </c>
      <c r="AE25" s="73">
        <f t="shared" si="26"/>
        <v>290.89999999996508</v>
      </c>
      <c r="AF25" s="385">
        <f t="shared" si="27"/>
        <v>0.18181249999997817</v>
      </c>
      <c r="AG25" s="385">
        <f t="shared" si="27"/>
        <v>1.1363281249998636E-4</v>
      </c>
      <c r="AH25" s="386">
        <f t="shared" si="23"/>
        <v>93.4998863671875</v>
      </c>
      <c r="AI25" s="73">
        <f t="shared" si="28"/>
        <v>748.72995780581732</v>
      </c>
      <c r="AJ25" s="277">
        <f t="shared" si="9"/>
        <v>0.25738396624472576</v>
      </c>
      <c r="AK25" s="277">
        <f t="shared" si="10"/>
        <v>74.872995780581732</v>
      </c>
      <c r="AL25">
        <f t="shared" si="24"/>
        <v>1</v>
      </c>
    </row>
    <row r="26" spans="1:38" ht="15.75" thickBot="1">
      <c r="A26" s="4">
        <f>ELEC!C27</f>
        <v>44889</v>
      </c>
      <c r="B26" s="602">
        <v>1462</v>
      </c>
      <c r="C26" s="275">
        <f t="shared" si="34"/>
        <v>9</v>
      </c>
      <c r="D26" s="499">
        <f t="shared" si="25"/>
        <v>802026</v>
      </c>
      <c r="E26" s="275">
        <f>SUM(D26-D25)</f>
        <v>765</v>
      </c>
      <c r="F26" s="275">
        <f>IF(C25&gt;0,E26/C25,0)</f>
        <v>69.545454545454547</v>
      </c>
      <c r="G26" s="196"/>
      <c r="H26" s="260">
        <f t="shared" si="13"/>
        <v>12231</v>
      </c>
      <c r="I26" s="275" t="str">
        <f t="shared" si="1"/>
        <v>ok</v>
      </c>
      <c r="J26" s="498">
        <f t="shared" si="14"/>
        <v>141</v>
      </c>
      <c r="K26" s="275">
        <f t="shared" si="2"/>
        <v>0</v>
      </c>
      <c r="L26" s="499">
        <f t="shared" si="30"/>
        <v>391691</v>
      </c>
      <c r="M26" s="275">
        <f t="shared" si="3"/>
        <v>0</v>
      </c>
      <c r="N26" s="275">
        <v>250</v>
      </c>
      <c r="O26" s="196"/>
      <c r="P26" s="276">
        <f t="shared" si="16"/>
        <v>10873</v>
      </c>
      <c r="Q26" s="275" t="str">
        <f t="shared" si="33"/>
        <v>ok</v>
      </c>
      <c r="R26" s="498">
        <f t="shared" si="17"/>
        <v>13913</v>
      </c>
      <c r="S26" s="275">
        <f>R26-R25</f>
        <v>0</v>
      </c>
      <c r="T26" s="499">
        <f t="shared" si="31"/>
        <v>417512</v>
      </c>
      <c r="U26" s="275">
        <f t="shared" si="32"/>
        <v>0</v>
      </c>
      <c r="V26" s="275">
        <v>250</v>
      </c>
      <c r="W26" s="196"/>
      <c r="X26" s="260">
        <f t="shared" si="18"/>
        <v>14773</v>
      </c>
      <c r="Y26" s="275" t="str">
        <f t="shared" si="19"/>
        <v>ok</v>
      </c>
      <c r="Z26" s="275">
        <f>C25+K26+S26</f>
        <v>11</v>
      </c>
      <c r="AA26" s="275">
        <f t="shared" si="20"/>
        <v>765</v>
      </c>
      <c r="AB26" s="275">
        <f t="shared" si="21"/>
        <v>569.5454545454545</v>
      </c>
      <c r="AC26" s="275">
        <f t="shared" si="22"/>
        <v>69.545454545454547</v>
      </c>
      <c r="AD26" s="73">
        <f>ELEC!Q27</f>
        <v>2615.0000000016007</v>
      </c>
      <c r="AE26" s="73">
        <f t="shared" si="26"/>
        <v>237.72727272741824</v>
      </c>
      <c r="AF26" s="385">
        <f t="shared" si="27"/>
        <v>0.14857954545463639</v>
      </c>
      <c r="AG26" s="385">
        <f t="shared" si="27"/>
        <v>9.2862215909147745E-5</v>
      </c>
      <c r="AH26" s="386">
        <f t="shared" si="23"/>
        <v>69.545361683238639</v>
      </c>
      <c r="AI26" s="73">
        <f t="shared" si="28"/>
        <v>673.05907173036985</v>
      </c>
      <c r="AJ26" s="277">
        <f t="shared" si="9"/>
        <v>0.25738396624472576</v>
      </c>
      <c r="AK26" s="277">
        <f t="shared" si="10"/>
        <v>61.187188339124532</v>
      </c>
      <c r="AL26">
        <f t="shared" si="24"/>
        <v>1</v>
      </c>
    </row>
    <row r="27" spans="1:38" ht="15.75" thickBot="1">
      <c r="A27" s="4">
        <f>ELEC!C28</f>
        <v>44890</v>
      </c>
      <c r="B27" s="602">
        <v>1462</v>
      </c>
      <c r="C27" s="275">
        <f t="shared" ref="C27:C28" si="35">B27-B26</f>
        <v>0</v>
      </c>
      <c r="D27" s="499">
        <f t="shared" si="25"/>
        <v>802026</v>
      </c>
      <c r="E27" s="275">
        <f>SUM(D27-D26)</f>
        <v>0</v>
      </c>
      <c r="F27" s="275">
        <f>IF(C26&gt;0,E27/C26,0)</f>
        <v>0</v>
      </c>
      <c r="G27" s="196"/>
      <c r="H27" s="260">
        <f t="shared" si="13"/>
        <v>12231</v>
      </c>
      <c r="I27" s="275" t="str">
        <f>IF(B26-H27&lt;=0,"ok","oil change")</f>
        <v>ok</v>
      </c>
      <c r="J27" s="498">
        <f t="shared" si="14"/>
        <v>141</v>
      </c>
      <c r="K27" s="275">
        <f t="shared" si="2"/>
        <v>0</v>
      </c>
      <c r="L27" s="499">
        <f t="shared" si="30"/>
        <v>391691</v>
      </c>
      <c r="M27" s="275">
        <f t="shared" si="3"/>
        <v>0</v>
      </c>
      <c r="N27" s="275">
        <v>250</v>
      </c>
      <c r="O27" s="196"/>
      <c r="P27" s="276">
        <f t="shared" si="16"/>
        <v>10873</v>
      </c>
      <c r="Q27" s="275" t="str">
        <f t="shared" si="33"/>
        <v>ok</v>
      </c>
      <c r="R27" s="498">
        <f t="shared" si="17"/>
        <v>13913</v>
      </c>
      <c r="S27" s="275">
        <f t="shared" si="5"/>
        <v>0</v>
      </c>
      <c r="T27" s="499">
        <f t="shared" si="31"/>
        <v>417512</v>
      </c>
      <c r="U27" s="275">
        <f t="shared" si="32"/>
        <v>0</v>
      </c>
      <c r="V27" s="275">
        <v>250</v>
      </c>
      <c r="W27" s="196"/>
      <c r="X27" s="260">
        <f t="shared" si="18"/>
        <v>14773</v>
      </c>
      <c r="Y27" s="275" t="str">
        <f t="shared" si="19"/>
        <v>ok</v>
      </c>
      <c r="Z27" s="275">
        <f>C26+K27+S27</f>
        <v>9</v>
      </c>
      <c r="AA27" s="275">
        <f t="shared" si="20"/>
        <v>0</v>
      </c>
      <c r="AB27" s="275">
        <f t="shared" si="21"/>
        <v>500</v>
      </c>
      <c r="AC27" s="275">
        <f t="shared" si="22"/>
        <v>0</v>
      </c>
      <c r="AD27" s="73">
        <f>ELEC!Q28</f>
        <v>0</v>
      </c>
      <c r="AE27" s="73">
        <f t="shared" si="26"/>
        <v>0</v>
      </c>
      <c r="AF27" s="385">
        <f t="shared" si="27"/>
        <v>0</v>
      </c>
      <c r="AG27" s="385">
        <f t="shared" si="27"/>
        <v>0</v>
      </c>
      <c r="AH27" s="386">
        <f t="shared" si="23"/>
        <v>0</v>
      </c>
      <c r="AI27" s="73">
        <f t="shared" si="28"/>
        <v>0</v>
      </c>
      <c r="AJ27" s="277">
        <f t="shared" si="9"/>
        <v>0.25738396624472576</v>
      </c>
      <c r="AK27" s="277">
        <f t="shared" si="10"/>
        <v>0</v>
      </c>
      <c r="AL27">
        <f t="shared" si="24"/>
        <v>1</v>
      </c>
    </row>
    <row r="28" spans="1:38" ht="15.75" thickBot="1">
      <c r="A28" s="4">
        <f>ELEC!C29</f>
        <v>44891</v>
      </c>
      <c r="B28" s="602">
        <v>1462</v>
      </c>
      <c r="C28" s="275">
        <f t="shared" si="35"/>
        <v>0</v>
      </c>
      <c r="D28" s="499">
        <f t="shared" si="25"/>
        <v>802026</v>
      </c>
      <c r="E28" s="275">
        <f t="shared" si="12"/>
        <v>0</v>
      </c>
      <c r="F28" s="275">
        <f t="shared" si="0"/>
        <v>0</v>
      </c>
      <c r="G28" s="273"/>
      <c r="H28" s="260">
        <f t="shared" si="13"/>
        <v>12231</v>
      </c>
      <c r="I28" s="275" t="str">
        <f t="shared" si="1"/>
        <v>ok</v>
      </c>
      <c r="J28" s="498">
        <f t="shared" si="14"/>
        <v>141</v>
      </c>
      <c r="K28" s="275">
        <f t="shared" si="2"/>
        <v>0</v>
      </c>
      <c r="L28" s="499">
        <f t="shared" si="30"/>
        <v>391691</v>
      </c>
      <c r="M28" s="275">
        <f t="shared" si="3"/>
        <v>0</v>
      </c>
      <c r="N28" s="275">
        <v>250</v>
      </c>
      <c r="O28" s="196"/>
      <c r="P28" s="276">
        <f t="shared" si="16"/>
        <v>10873</v>
      </c>
      <c r="Q28" s="275" t="str">
        <f t="shared" si="33"/>
        <v>ok</v>
      </c>
      <c r="R28" s="498">
        <f t="shared" si="17"/>
        <v>13913</v>
      </c>
      <c r="S28" s="275">
        <f t="shared" si="5"/>
        <v>0</v>
      </c>
      <c r="T28" s="499">
        <f t="shared" si="31"/>
        <v>417512</v>
      </c>
      <c r="U28" s="275">
        <f t="shared" si="32"/>
        <v>0</v>
      </c>
      <c r="V28" s="275">
        <v>250</v>
      </c>
      <c r="W28" s="196"/>
      <c r="X28" s="260">
        <f t="shared" si="18"/>
        <v>14773</v>
      </c>
      <c r="Y28" s="275" t="str">
        <f t="shared" si="19"/>
        <v>ok</v>
      </c>
      <c r="Z28" s="275">
        <f t="shared" si="8"/>
        <v>0</v>
      </c>
      <c r="AA28" s="275">
        <f t="shared" si="20"/>
        <v>0</v>
      </c>
      <c r="AB28" s="275">
        <f t="shared" si="21"/>
        <v>500</v>
      </c>
      <c r="AC28" s="275">
        <f t="shared" si="22"/>
        <v>0</v>
      </c>
      <c r="AD28" s="73">
        <f>ELEC!Q29</f>
        <v>0</v>
      </c>
      <c r="AE28" s="73" t="e">
        <f t="shared" si="26"/>
        <v>#DIV/0!</v>
      </c>
      <c r="AF28" s="385" t="e">
        <f t="shared" si="27"/>
        <v>#DIV/0!</v>
      </c>
      <c r="AG28" s="385" t="e">
        <f t="shared" si="27"/>
        <v>#DIV/0!</v>
      </c>
      <c r="AH28" s="386" t="e">
        <f t="shared" si="23"/>
        <v>#DIV/0!</v>
      </c>
      <c r="AI28" s="73">
        <f t="shared" si="28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44892</v>
      </c>
      <c r="B29" s="602">
        <v>1467</v>
      </c>
      <c r="C29" s="275">
        <f t="shared" si="11"/>
        <v>5</v>
      </c>
      <c r="D29" s="499">
        <f t="shared" si="25"/>
        <v>802451</v>
      </c>
      <c r="E29" s="275">
        <f t="shared" si="12"/>
        <v>425</v>
      </c>
      <c r="F29" s="275">
        <f t="shared" si="0"/>
        <v>85</v>
      </c>
      <c r="G29" s="196"/>
      <c r="H29" s="260">
        <f t="shared" si="13"/>
        <v>12231</v>
      </c>
      <c r="I29" s="275" t="str">
        <f t="shared" si="1"/>
        <v>ok</v>
      </c>
      <c r="J29" s="498">
        <v>143</v>
      </c>
      <c r="K29" s="275">
        <f t="shared" si="2"/>
        <v>2</v>
      </c>
      <c r="L29" s="499">
        <f t="shared" si="30"/>
        <v>392191</v>
      </c>
      <c r="M29" s="275">
        <f t="shared" si="3"/>
        <v>500</v>
      </c>
      <c r="N29" s="275">
        <v>250</v>
      </c>
      <c r="O29" s="196"/>
      <c r="P29" s="276">
        <f t="shared" si="16"/>
        <v>10873</v>
      </c>
      <c r="Q29" s="275" t="str">
        <f t="shared" si="33"/>
        <v>ok</v>
      </c>
      <c r="R29" s="498">
        <f t="shared" si="17"/>
        <v>13913</v>
      </c>
      <c r="S29" s="275">
        <f t="shared" si="5"/>
        <v>0</v>
      </c>
      <c r="T29" s="499">
        <f t="shared" si="31"/>
        <v>417512</v>
      </c>
      <c r="U29" s="275">
        <f>V29*S29</f>
        <v>0</v>
      </c>
      <c r="V29" s="275">
        <v>250</v>
      </c>
      <c r="W29" s="196"/>
      <c r="X29" s="260">
        <f t="shared" si="18"/>
        <v>14773</v>
      </c>
      <c r="Y29" s="275" t="str">
        <f t="shared" si="19"/>
        <v>ok</v>
      </c>
      <c r="Z29" s="275">
        <f t="shared" si="8"/>
        <v>7</v>
      </c>
      <c r="AA29" s="275">
        <f t="shared" si="20"/>
        <v>925</v>
      </c>
      <c r="AB29" s="275">
        <f t="shared" si="21"/>
        <v>585</v>
      </c>
      <c r="AC29" s="275">
        <f t="shared" si="22"/>
        <v>132.14285714285714</v>
      </c>
      <c r="AD29" s="73">
        <f>ELEC!Q30</f>
        <v>2000</v>
      </c>
      <c r="AE29" s="73">
        <f t="shared" si="26"/>
        <v>285.71428571428572</v>
      </c>
      <c r="AF29" s="385">
        <f t="shared" si="27"/>
        <v>0.17857142857142858</v>
      </c>
      <c r="AG29" s="385">
        <f t="shared" si="27"/>
        <v>1.1160714285714285E-4</v>
      </c>
      <c r="AH29" s="386">
        <f t="shared" si="23"/>
        <v>132.14274553571428</v>
      </c>
      <c r="AI29" s="73">
        <f t="shared" si="28"/>
        <v>514.76793248945148</v>
      </c>
      <c r="AJ29" s="277">
        <f t="shared" si="9"/>
        <v>0.25738396624472576</v>
      </c>
      <c r="AK29" s="277">
        <f t="shared" si="10"/>
        <v>73.538276069921636</v>
      </c>
      <c r="AL29">
        <f t="shared" si="24"/>
        <v>1</v>
      </c>
    </row>
    <row r="30" spans="1:38" ht="15.75" thickBot="1">
      <c r="A30" s="4">
        <f>ELEC!C31</f>
        <v>44893</v>
      </c>
      <c r="B30" s="602">
        <v>1477</v>
      </c>
      <c r="C30" s="275">
        <f t="shared" si="11"/>
        <v>10</v>
      </c>
      <c r="D30" s="499">
        <f t="shared" si="25"/>
        <v>803301</v>
      </c>
      <c r="E30" s="275">
        <f t="shared" si="12"/>
        <v>850</v>
      </c>
      <c r="F30" s="275">
        <f t="shared" si="0"/>
        <v>85</v>
      </c>
      <c r="G30" s="196"/>
      <c r="H30" s="260">
        <f t="shared" si="13"/>
        <v>12231</v>
      </c>
      <c r="I30" s="275" t="str">
        <f t="shared" si="1"/>
        <v>ok</v>
      </c>
      <c r="J30" s="498">
        <f t="shared" si="14"/>
        <v>143</v>
      </c>
      <c r="K30" s="275">
        <f t="shared" si="2"/>
        <v>0</v>
      </c>
      <c r="L30" s="499">
        <f t="shared" si="30"/>
        <v>392191</v>
      </c>
      <c r="M30" s="275">
        <f t="shared" si="3"/>
        <v>0</v>
      </c>
      <c r="N30" s="275">
        <v>250</v>
      </c>
      <c r="O30" s="196"/>
      <c r="P30" s="276">
        <f t="shared" si="16"/>
        <v>10873</v>
      </c>
      <c r="Q30" s="275" t="str">
        <f t="shared" si="33"/>
        <v>ok</v>
      </c>
      <c r="R30" s="498">
        <f t="shared" si="17"/>
        <v>13913</v>
      </c>
      <c r="S30" s="275">
        <f t="shared" si="5"/>
        <v>0</v>
      </c>
      <c r="T30" s="499">
        <f t="shared" si="31"/>
        <v>417512</v>
      </c>
      <c r="U30" s="275">
        <f t="shared" si="32"/>
        <v>0</v>
      </c>
      <c r="V30" s="275">
        <v>250</v>
      </c>
      <c r="W30" s="273"/>
      <c r="X30" s="260">
        <f t="shared" si="18"/>
        <v>14773</v>
      </c>
      <c r="Y30" s="275" t="str">
        <f t="shared" si="19"/>
        <v>ok</v>
      </c>
      <c r="Z30" s="275">
        <f t="shared" si="8"/>
        <v>10</v>
      </c>
      <c r="AA30" s="275">
        <f t="shared" si="20"/>
        <v>850</v>
      </c>
      <c r="AB30" s="275">
        <f t="shared" si="21"/>
        <v>585</v>
      </c>
      <c r="AC30" s="275">
        <f t="shared" si="22"/>
        <v>85</v>
      </c>
      <c r="AD30" s="73">
        <f>ELEC!Q31</f>
        <v>2500</v>
      </c>
      <c r="AE30" s="73">
        <f t="shared" si="26"/>
        <v>250</v>
      </c>
      <c r="AF30" s="385">
        <f t="shared" si="27"/>
        <v>0.15625</v>
      </c>
      <c r="AG30" s="385">
        <f t="shared" si="27"/>
        <v>9.7656250000000005E-5</v>
      </c>
      <c r="AH30" s="386">
        <f t="shared" si="23"/>
        <v>84.999902343749994</v>
      </c>
      <c r="AI30" s="73">
        <f t="shared" si="28"/>
        <v>643.45991561181438</v>
      </c>
      <c r="AJ30" s="277">
        <f t="shared" si="9"/>
        <v>0.25738396624472576</v>
      </c>
      <c r="AK30" s="277">
        <f t="shared" si="10"/>
        <v>64.345991561181435</v>
      </c>
      <c r="AL30">
        <f t="shared" si="24"/>
        <v>1</v>
      </c>
    </row>
    <row r="31" spans="1:38" ht="15.75" thickBot="1">
      <c r="A31" s="4">
        <f>ELEC!C32</f>
        <v>44894</v>
      </c>
      <c r="B31" s="602">
        <v>1491</v>
      </c>
      <c r="C31" s="275">
        <f t="shared" ref="C31:C33" si="36">B31-B30</f>
        <v>14</v>
      </c>
      <c r="D31" s="499">
        <f t="shared" si="25"/>
        <v>804491</v>
      </c>
      <c r="E31" s="275">
        <f t="shared" si="12"/>
        <v>1190</v>
      </c>
      <c r="F31" s="275">
        <f t="shared" ref="F31:F33" si="37">IF(C31&gt;0,E31/C31,0)</f>
        <v>85</v>
      </c>
      <c r="G31" s="322"/>
      <c r="H31" s="260">
        <f t="shared" si="13"/>
        <v>12231</v>
      </c>
      <c r="I31" s="275" t="str">
        <f t="shared" ref="I31:I33" si="38">IF(B31-H31&lt;=0,"ok","oil change")</f>
        <v>ok</v>
      </c>
      <c r="J31" s="498">
        <f t="shared" si="14"/>
        <v>143</v>
      </c>
      <c r="K31" s="275">
        <f t="shared" si="2"/>
        <v>0</v>
      </c>
      <c r="L31" s="499">
        <f t="shared" si="30"/>
        <v>392191</v>
      </c>
      <c r="M31" s="275">
        <f t="shared" si="3"/>
        <v>0</v>
      </c>
      <c r="N31" s="275">
        <v>250</v>
      </c>
      <c r="O31" s="322"/>
      <c r="P31" s="276">
        <f t="shared" si="16"/>
        <v>10873</v>
      </c>
      <c r="Q31" s="275" t="str">
        <f t="shared" ref="Q31:Q33" si="39">IF(J31-P31&lt;=0,"ok","oil change")</f>
        <v>ok</v>
      </c>
      <c r="R31" s="498">
        <v>13917</v>
      </c>
      <c r="S31" s="275">
        <f t="shared" ref="S31:S33" si="40">R31-R30</f>
        <v>4</v>
      </c>
      <c r="T31" s="499">
        <f t="shared" si="31"/>
        <v>418512</v>
      </c>
      <c r="U31" s="275">
        <f t="shared" ref="U31:U33" si="41">V31*S31</f>
        <v>1000</v>
      </c>
      <c r="V31" s="275">
        <v>250</v>
      </c>
      <c r="W31" s="322"/>
      <c r="X31" s="260">
        <f t="shared" si="18"/>
        <v>14773</v>
      </c>
      <c r="Y31" s="275" t="str">
        <f t="shared" si="19"/>
        <v>ok</v>
      </c>
      <c r="Z31" s="275">
        <f t="shared" ref="Z31:Z33" si="42">C31+K31+S31</f>
        <v>18</v>
      </c>
      <c r="AA31" s="275">
        <f t="shared" ref="AA31:AA33" si="43">U31+M31+E31</f>
        <v>2190</v>
      </c>
      <c r="AB31" s="275">
        <f t="shared" ref="AB31:AB33" si="44">V31+N31+F31</f>
        <v>585</v>
      </c>
      <c r="AC31" s="275">
        <f t="shared" ref="AC31:AC33" si="45">IF(Z31&gt;0,AA31/Z31,0)</f>
        <v>121.66666666666667</v>
      </c>
      <c r="AD31" s="73">
        <f>ELEC!Q32</f>
        <v>3966.0000000003492</v>
      </c>
      <c r="AE31" s="73">
        <f t="shared" ref="AE31:AE33" si="46">SUM(AD31/Z31)</f>
        <v>220.33333333335273</v>
      </c>
      <c r="AF31" s="385">
        <f t="shared" ref="AF31:AF33" si="47">SUM(AE31/1600)</f>
        <v>0.13770833333334545</v>
      </c>
      <c r="AG31" s="385">
        <f t="shared" ref="AG31:AG33" si="48">SUM(AF31/1600)</f>
        <v>8.6067708333340903E-5</v>
      </c>
      <c r="AH31" s="473">
        <f t="shared" ref="AH31:AH33" si="49">SUM(AC31-AG31)</f>
        <v>121.66658059895833</v>
      </c>
      <c r="AI31" s="73">
        <f t="shared" ref="AI31:AI33" si="50">AD31*AJ31</f>
        <v>1020.7848101266723</v>
      </c>
      <c r="AJ31" s="277">
        <f t="shared" si="9"/>
        <v>0.25738396624472576</v>
      </c>
      <c r="AK31" s="277">
        <f t="shared" ref="AK31:AK33" si="51">AI31/Z31</f>
        <v>56.710267229259571</v>
      </c>
      <c r="AL31">
        <f t="shared" ref="AL31:AL33" si="52">IF(Z31=0,0,1)</f>
        <v>1</v>
      </c>
    </row>
    <row r="32" spans="1:38" ht="15.75" thickBot="1">
      <c r="A32" s="4">
        <f>ELEC!C33</f>
        <v>44895</v>
      </c>
      <c r="B32" s="602">
        <v>1505</v>
      </c>
      <c r="C32" s="275">
        <f t="shared" si="36"/>
        <v>14</v>
      </c>
      <c r="D32" s="499">
        <f t="shared" si="25"/>
        <v>805681</v>
      </c>
      <c r="E32" s="275">
        <f t="shared" si="12"/>
        <v>1190</v>
      </c>
      <c r="F32" s="275">
        <f t="shared" si="37"/>
        <v>85</v>
      </c>
      <c r="G32" s="322"/>
      <c r="H32" s="260">
        <f t="shared" si="13"/>
        <v>12231</v>
      </c>
      <c r="I32" s="275" t="str">
        <f t="shared" si="38"/>
        <v>ok</v>
      </c>
      <c r="J32" s="498">
        <f t="shared" si="14"/>
        <v>143</v>
      </c>
      <c r="K32" s="275">
        <f t="shared" si="2"/>
        <v>0</v>
      </c>
      <c r="L32" s="499">
        <f t="shared" si="30"/>
        <v>392191</v>
      </c>
      <c r="M32" s="275">
        <f t="shared" si="3"/>
        <v>0</v>
      </c>
      <c r="N32" s="275">
        <v>250</v>
      </c>
      <c r="O32" s="322"/>
      <c r="P32" s="276">
        <f t="shared" si="16"/>
        <v>10873</v>
      </c>
      <c r="Q32" s="275" t="str">
        <f t="shared" si="39"/>
        <v>ok</v>
      </c>
      <c r="R32" s="498">
        <f t="shared" si="17"/>
        <v>13917</v>
      </c>
      <c r="S32" s="275">
        <f t="shared" si="40"/>
        <v>0</v>
      </c>
      <c r="T32" s="499">
        <f t="shared" si="31"/>
        <v>418512</v>
      </c>
      <c r="U32" s="275">
        <f t="shared" si="41"/>
        <v>0</v>
      </c>
      <c r="V32" s="275">
        <v>250</v>
      </c>
      <c r="W32" s="322"/>
      <c r="X32" s="260">
        <f t="shared" si="18"/>
        <v>14773</v>
      </c>
      <c r="Y32" s="275" t="str">
        <f t="shared" si="19"/>
        <v>ok</v>
      </c>
      <c r="Z32" s="275">
        <f t="shared" si="42"/>
        <v>14</v>
      </c>
      <c r="AA32" s="275">
        <f t="shared" si="43"/>
        <v>1190</v>
      </c>
      <c r="AB32" s="275">
        <f t="shared" si="44"/>
        <v>585</v>
      </c>
      <c r="AC32" s="275">
        <f t="shared" si="45"/>
        <v>85</v>
      </c>
      <c r="AD32" s="73">
        <f>ELEC!Q33</f>
        <v>3586.9999999995343</v>
      </c>
      <c r="AE32" s="73">
        <f t="shared" si="46"/>
        <v>256.21428571425247</v>
      </c>
      <c r="AF32" s="385">
        <f t="shared" si="47"/>
        <v>0.16013392857140779</v>
      </c>
      <c r="AG32" s="385">
        <f t="shared" si="48"/>
        <v>1.0008370535712987E-4</v>
      </c>
      <c r="AH32" s="473">
        <f t="shared" si="49"/>
        <v>84.999899916294638</v>
      </c>
      <c r="AI32" s="73">
        <f t="shared" si="50"/>
        <v>923.23628691971146</v>
      </c>
      <c r="AJ32" s="277">
        <f t="shared" si="9"/>
        <v>0.25738396624472576</v>
      </c>
      <c r="AK32" s="277">
        <f t="shared" si="51"/>
        <v>65.94544906569368</v>
      </c>
      <c r="AL32">
        <f t="shared" si="52"/>
        <v>1</v>
      </c>
    </row>
    <row r="33" spans="1:38">
      <c r="A33" s="4">
        <f>ELEC!C34</f>
        <v>44896</v>
      </c>
      <c r="B33" s="602">
        <f t="shared" si="29"/>
        <v>1505</v>
      </c>
      <c r="C33" s="275">
        <f t="shared" si="36"/>
        <v>0</v>
      </c>
      <c r="D33" s="499">
        <f t="shared" si="25"/>
        <v>805681</v>
      </c>
      <c r="E33" s="275">
        <f t="shared" si="12"/>
        <v>0</v>
      </c>
      <c r="F33" s="275">
        <f t="shared" si="37"/>
        <v>0</v>
      </c>
      <c r="G33" s="322"/>
      <c r="H33" s="260">
        <f t="shared" si="13"/>
        <v>12231</v>
      </c>
      <c r="I33" s="275" t="str">
        <f t="shared" si="38"/>
        <v>ok</v>
      </c>
      <c r="J33" s="498">
        <f t="shared" si="14"/>
        <v>143</v>
      </c>
      <c r="K33" s="275">
        <f t="shared" si="2"/>
        <v>0</v>
      </c>
      <c r="L33" s="499">
        <f t="shared" si="30"/>
        <v>392191</v>
      </c>
      <c r="M33" s="275">
        <f t="shared" si="3"/>
        <v>0</v>
      </c>
      <c r="N33" s="275">
        <v>250</v>
      </c>
      <c r="O33" s="322"/>
      <c r="P33" s="276">
        <f t="shared" si="16"/>
        <v>10873</v>
      </c>
      <c r="Q33" s="275" t="str">
        <f t="shared" si="39"/>
        <v>ok</v>
      </c>
      <c r="R33" s="498">
        <f t="shared" si="17"/>
        <v>13917</v>
      </c>
      <c r="S33" s="275">
        <f t="shared" si="40"/>
        <v>0</v>
      </c>
      <c r="T33" s="499">
        <f t="shared" si="31"/>
        <v>418512</v>
      </c>
      <c r="U33" s="275">
        <f t="shared" si="41"/>
        <v>0</v>
      </c>
      <c r="V33" s="275">
        <v>250</v>
      </c>
      <c r="W33" s="322"/>
      <c r="X33" s="260">
        <f t="shared" si="18"/>
        <v>14773</v>
      </c>
      <c r="Y33" s="275" t="str">
        <f t="shared" si="19"/>
        <v>ok</v>
      </c>
      <c r="Z33" s="275">
        <f t="shared" si="42"/>
        <v>0</v>
      </c>
      <c r="AA33" s="275">
        <f t="shared" si="43"/>
        <v>0</v>
      </c>
      <c r="AB33" s="275">
        <f t="shared" si="44"/>
        <v>500</v>
      </c>
      <c r="AC33" s="275">
        <f t="shared" si="45"/>
        <v>0</v>
      </c>
      <c r="AD33" s="73">
        <f>ELEC!Q34</f>
        <v>0</v>
      </c>
      <c r="AE33" s="73" t="e">
        <f t="shared" si="46"/>
        <v>#DIV/0!</v>
      </c>
      <c r="AF33" s="385" t="e">
        <f t="shared" si="47"/>
        <v>#DIV/0!</v>
      </c>
      <c r="AG33" s="385" t="e">
        <f t="shared" si="48"/>
        <v>#DIV/0!</v>
      </c>
      <c r="AH33" s="473" t="e">
        <f t="shared" si="49"/>
        <v>#DIV/0!</v>
      </c>
      <c r="AI33" s="73">
        <f t="shared" si="50"/>
        <v>0</v>
      </c>
      <c r="AJ33" s="277">
        <f t="shared" si="9"/>
        <v>0.25738396624472576</v>
      </c>
      <c r="AK33" s="277" t="e">
        <f t="shared" si="51"/>
        <v>#DIV/0!</v>
      </c>
      <c r="AL33">
        <f t="shared" si="52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228</v>
      </c>
      <c r="V34" s="40"/>
      <c r="X34">
        <v>341</v>
      </c>
      <c r="Z34" s="402">
        <f>SUM(Z3:Z33)</f>
        <v>238</v>
      </c>
      <c r="AF34" s="385">
        <f>SUM(AE34/1600)</f>
        <v>0</v>
      </c>
      <c r="AL34">
        <f>SUM(AL3:AL33)</f>
        <v>22</v>
      </c>
    </row>
    <row r="35" spans="1:38">
      <c r="C35" s="40">
        <f>SUM(C3:C33)</f>
        <v>219</v>
      </c>
      <c r="K35" s="40">
        <f>SUM(K3:K33)</f>
        <v>5</v>
      </c>
      <c r="S35" s="40">
        <f>SUM(S3:S33)</f>
        <v>4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8">
        <f>193+10</f>
        <v>203</v>
      </c>
      <c r="T41">
        <v>0</v>
      </c>
    </row>
    <row r="42" spans="1:38" ht="15.75" thickBot="1">
      <c r="D42" s="498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8">
        <f t="shared" ref="D43:D44" si="53">D42</f>
        <v>213</v>
      </c>
      <c r="T43">
        <v>8</v>
      </c>
    </row>
    <row r="44" spans="1:38" ht="15.75" thickBot="1">
      <c r="D44" s="498">
        <f t="shared" si="53"/>
        <v>213</v>
      </c>
      <c r="T44">
        <v>9</v>
      </c>
    </row>
    <row r="45" spans="1:38" ht="15.75" thickBot="1">
      <c r="D45" s="498">
        <f>213+8</f>
        <v>221</v>
      </c>
      <c r="T45">
        <v>10</v>
      </c>
    </row>
    <row r="46" spans="1:38" ht="15.75" thickBot="1">
      <c r="D46" s="498">
        <f>221+9</f>
        <v>230</v>
      </c>
      <c r="T46">
        <v>9</v>
      </c>
    </row>
    <row r="47" spans="1:38" ht="15.75" thickBot="1">
      <c r="D47" s="498">
        <f>230+10</f>
        <v>240</v>
      </c>
      <c r="T47">
        <v>9</v>
      </c>
    </row>
    <row r="48" spans="1:38" ht="15.75" thickBot="1">
      <c r="D48" s="498">
        <f>240+9</f>
        <v>249</v>
      </c>
    </row>
    <row r="49" spans="4:4" ht="15.75" thickBot="1">
      <c r="D49" s="498">
        <f>249+9</f>
        <v>258</v>
      </c>
    </row>
    <row r="50" spans="4:4">
      <c r="D50" s="498">
        <v>266</v>
      </c>
    </row>
  </sheetData>
  <conditionalFormatting sqref="K3:K33 S3:S33 C3:C33 Z3:Z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60" zoomScaleNormal="60" workbookViewId="0">
      <pane xSplit="1" topLeftCell="AO1" activePane="topRight" state="frozen"/>
      <selection pane="topRight" activeCell="AV32" sqref="AV32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5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0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69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69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231</v>
      </c>
      <c r="AT3" s="627" t="s">
        <v>299</v>
      </c>
      <c r="AU3" s="628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3">
        <f>[2]tanks!$A$36</f>
        <v>44865</v>
      </c>
      <c r="B5" s="495">
        <f>[2]tanks!B36</f>
        <v>241</v>
      </c>
      <c r="C5" s="495">
        <f>[2]tanks!C36</f>
        <v>5185.3870967741932</v>
      </c>
      <c r="D5" s="495">
        <f>[2]tanks!D36</f>
        <v>241</v>
      </c>
      <c r="E5" s="495">
        <f>[2]tanks!E36</f>
        <v>5185.3870967741932</v>
      </c>
      <c r="F5" s="495">
        <f>[2]tanks!F36</f>
        <v>241</v>
      </c>
      <c r="G5" s="495">
        <f>[2]tanks!G36</f>
        <v>5185.3870967741932</v>
      </c>
      <c r="H5" s="495">
        <f>[2]tanks!H36</f>
        <v>241</v>
      </c>
      <c r="I5" s="495">
        <f>[2]tanks!I36</f>
        <v>5185.3870967741932</v>
      </c>
      <c r="J5" s="495">
        <f>[2]tanks!J36</f>
        <v>241</v>
      </c>
      <c r="K5" s="495">
        <f>[2]tanks!K36</f>
        <v>5185.3870967741932</v>
      </c>
      <c r="L5" s="495">
        <f>[2]tanks!L36</f>
        <v>241</v>
      </c>
      <c r="M5" s="495">
        <f>[2]tanks!M36</f>
        <v>5185.3870967741932</v>
      </c>
      <c r="N5" s="495">
        <f>[2]tanks!N36</f>
        <v>241</v>
      </c>
      <c r="O5" s="495">
        <f>[2]tanks!O36</f>
        <v>5185.3870967741932</v>
      </c>
      <c r="P5" s="495">
        <f>[2]tanks!P36</f>
        <v>241</v>
      </c>
      <c r="Q5" s="495">
        <f>[2]tanks!Q36</f>
        <v>5185.3870967741932</v>
      </c>
      <c r="R5" s="495">
        <f>[2]tanks!R36</f>
        <v>241</v>
      </c>
      <c r="S5" s="495">
        <f>[2]tanks!S36</f>
        <v>5185.3870967741932</v>
      </c>
      <c r="T5" s="495">
        <f>[2]tanks!T36</f>
        <v>241</v>
      </c>
      <c r="U5" s="495">
        <f>[2]tanks!U36</f>
        <v>5185.3870967741932</v>
      </c>
      <c r="V5" s="495">
        <f>[2]tanks!V36</f>
        <v>241</v>
      </c>
      <c r="W5" s="495">
        <f>[2]tanks!W36</f>
        <v>5185.3870967741932</v>
      </c>
      <c r="X5" s="474">
        <f>[2]tanks!X36</f>
        <v>0.77741935483870972</v>
      </c>
      <c r="Y5" s="495">
        <f>[2]tanks!Y36</f>
        <v>57039.258064516136</v>
      </c>
      <c r="Z5" s="495">
        <f>[2]tanks!Z36</f>
        <v>247</v>
      </c>
      <c r="AA5" s="495">
        <f>[2]tanks!AA36</f>
        <v>2470</v>
      </c>
      <c r="AB5" s="495">
        <f>[2]tanks!AB36</f>
        <v>247</v>
      </c>
      <c r="AC5" s="495">
        <f>[2]tanks!AC36</f>
        <v>2470</v>
      </c>
      <c r="AD5" s="495">
        <f>[2]tanks!AD36</f>
        <v>247</v>
      </c>
      <c r="AE5" s="495">
        <f>[2]tanks!AE36</f>
        <v>2470</v>
      </c>
      <c r="AF5" s="495">
        <f>[2]tanks!AF36</f>
        <v>247</v>
      </c>
      <c r="AG5" s="495">
        <f>[2]tanks!AG36</f>
        <v>2470</v>
      </c>
      <c r="AH5" s="495">
        <f>[2]tanks!AH36</f>
        <v>247</v>
      </c>
      <c r="AI5" s="495">
        <f>[2]tanks!AI36</f>
        <v>2470</v>
      </c>
      <c r="AJ5" s="495">
        <f>[2]tanks!AJ36</f>
        <v>247</v>
      </c>
      <c r="AK5" s="495">
        <f>[2]tanks!AK36</f>
        <v>2470</v>
      </c>
      <c r="AL5" s="495">
        <f>[2]tanks!AL36</f>
        <v>247</v>
      </c>
      <c r="AM5" s="495">
        <f>[2]tanks!AM36</f>
        <v>2470</v>
      </c>
      <c r="AN5" s="474">
        <f>[2]tanks!AN36</f>
        <v>0.88214285714285712</v>
      </c>
      <c r="AO5" s="495">
        <f>[2]tanks!AO36</f>
        <v>17290</v>
      </c>
      <c r="AP5" s="495"/>
      <c r="AQ5" s="474">
        <f>[2]tanks!AQ36</f>
        <v>0.79949723636136538</v>
      </c>
      <c r="AR5" s="605">
        <f>[2]tanks!AR36</f>
        <v>74329.258064516136</v>
      </c>
      <c r="AS5" s="605">
        <f>[2]tanks!AS36</f>
        <v>-683.35483870968164</v>
      </c>
      <c r="AT5" s="605">
        <f>[2]tanks!AT36</f>
        <v>0</v>
      </c>
      <c r="AU5" s="605">
        <f>[2]tanks!AU36</f>
        <v>0</v>
      </c>
      <c r="AV5" s="604">
        <f>[2]tanks!AV36</f>
        <v>1.0349999999999999</v>
      </c>
      <c r="AW5" s="605">
        <f>[2]tanks!AW36</f>
        <v>-120</v>
      </c>
      <c r="AX5" s="599">
        <f>[2]tanks!AX36</f>
        <v>-563.35483870968164</v>
      </c>
      <c r="AY5" s="599">
        <f>[2]tanks!AY36</f>
        <v>-683.35483870968164</v>
      </c>
      <c r="AZ5" s="474">
        <f>[2]tanks!AZ36</f>
        <v>0</v>
      </c>
      <c r="BA5" s="599">
        <f>[2]tanks!BA36</f>
        <v>24.5</v>
      </c>
      <c r="BB5" s="474">
        <f>[2]tanks!BB36</f>
        <v>0.61</v>
      </c>
      <c r="BC5" s="474">
        <f>[2]tanks!BC36</f>
        <v>0</v>
      </c>
      <c r="BD5" s="474">
        <f>[2]tanks!BD36</f>
        <v>19225</v>
      </c>
      <c r="BE5" s="474" t="e">
        <f>[2]tanks!BE36</f>
        <v>#REF!</v>
      </c>
      <c r="BF5" s="474">
        <f>[2]tanks!BF36</f>
        <v>0</v>
      </c>
      <c r="BG5" s="474" t="e">
        <f>[2]tanks!BG36</f>
        <v>#REF!</v>
      </c>
      <c r="BH5" s="474">
        <f>[2]tanks!BH36</f>
        <v>0</v>
      </c>
      <c r="BI5" s="599">
        <f>[2]tanks!BI36</f>
        <v>23</v>
      </c>
      <c r="BJ5" s="599">
        <f>[2]tanks!BJ36</f>
        <v>-24.493688639551376</v>
      </c>
      <c r="BK5" s="599">
        <f>[2]tanks!BK36</f>
        <v>6.7395833333326507E-2</v>
      </c>
    </row>
    <row r="6" spans="1:63">
      <c r="A6" s="423">
        <f>ELEC!C4</f>
        <v>44866</v>
      </c>
      <c r="B6" s="495">
        <f>'B5'!B5</f>
        <v>236</v>
      </c>
      <c r="C6" s="203">
        <f>B6*$B$4</f>
        <v>5077.8064516129034</v>
      </c>
      <c r="D6">
        <f>SUM(B6)</f>
        <v>236</v>
      </c>
      <c r="E6" s="203">
        <f>D6*$B$4</f>
        <v>5077.8064516129034</v>
      </c>
      <c r="F6">
        <f>SUM(D6)</f>
        <v>236</v>
      </c>
      <c r="G6" s="203">
        <f t="shared" ref="G6:G33" si="1">F6*$B$4</f>
        <v>5077.8064516129034</v>
      </c>
      <c r="H6" s="203">
        <f>SUM(F6)</f>
        <v>236</v>
      </c>
      <c r="I6" s="203">
        <f t="shared" ref="I6:I33" si="2">H6*$B$4</f>
        <v>5077.8064516129034</v>
      </c>
      <c r="J6" s="203">
        <f>SUM(H6)</f>
        <v>236</v>
      </c>
      <c r="K6" s="203">
        <f t="shared" ref="K6:K33" si="3">J6*$B$4</f>
        <v>5077.8064516129034</v>
      </c>
      <c r="L6" s="203">
        <f>SUM(J6)</f>
        <v>236</v>
      </c>
      <c r="M6" s="203">
        <f t="shared" ref="M6:M33" si="4">L6*$B$4</f>
        <v>5077.8064516129034</v>
      </c>
      <c r="N6" s="203">
        <f>SUM(L6)</f>
        <v>236</v>
      </c>
      <c r="O6" s="203">
        <f t="shared" ref="O6:O33" si="5">N6*$B$4</f>
        <v>5077.8064516129034</v>
      </c>
      <c r="P6" s="203">
        <f>SUM(N6)</f>
        <v>236</v>
      </c>
      <c r="Q6" s="203">
        <f t="shared" ref="Q6:Q33" si="6">P6*$B$4</f>
        <v>5077.8064516129034</v>
      </c>
      <c r="R6" s="203">
        <f>SUM(P6)</f>
        <v>236</v>
      </c>
      <c r="S6" s="203">
        <f t="shared" ref="S6:S33" si="7">R6*$B$4</f>
        <v>5077.8064516129034</v>
      </c>
      <c r="T6" s="203">
        <f>SUM(R6)</f>
        <v>236</v>
      </c>
      <c r="U6" s="203">
        <f t="shared" ref="U6:U33" si="8">T6*$B$4</f>
        <v>5077.8064516129034</v>
      </c>
      <c r="V6" s="203">
        <f>SUM(T6)</f>
        <v>236</v>
      </c>
      <c r="W6" s="203">
        <f t="shared" ref="W6:W33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495">
        <f>'B5'!C5</f>
        <v>243</v>
      </c>
      <c r="AA6" s="203">
        <f>SUM(Z6*$Z$4)</f>
        <v>2430</v>
      </c>
      <c r="AB6" s="203">
        <f>SUM(Z6)</f>
        <v>243</v>
      </c>
      <c r="AC6" s="203">
        <f>SUM(AB6*$Z$4)</f>
        <v>2430</v>
      </c>
      <c r="AD6" s="203">
        <f>SUM(AB6)</f>
        <v>243</v>
      </c>
      <c r="AE6" s="203">
        <f t="shared" ref="AE6:AE33" si="11">SUM(AD6*$Z$4)</f>
        <v>2430</v>
      </c>
      <c r="AF6" s="203">
        <f>SUM(AD6)</f>
        <v>243</v>
      </c>
      <c r="AG6" s="203">
        <f t="shared" ref="AG6:AG33" si="12">SUM(AF6*$Z$4)</f>
        <v>2430</v>
      </c>
      <c r="AH6" s="203">
        <f>SUM(AF6)</f>
        <v>243</v>
      </c>
      <c r="AI6" s="203">
        <f t="shared" ref="AI6:AI33" si="13">SUM(AH6*$Z$4)</f>
        <v>2430</v>
      </c>
      <c r="AJ6" s="203">
        <f>SUM(AH6)</f>
        <v>243</v>
      </c>
      <c r="AK6" s="203">
        <f t="shared" ref="AK6:AK33" si="14">SUM(AJ6*$Z$4)</f>
        <v>2430</v>
      </c>
      <c r="AL6" s="203">
        <f>SUM(AJ6)</f>
        <v>243</v>
      </c>
      <c r="AM6" s="203">
        <f t="shared" ref="AM6:AM33" si="15">SUM(AL6*$Z$4)</f>
        <v>2430</v>
      </c>
      <c r="AN6" s="35">
        <f t="shared" ref="AN6:AN29" si="16">SUM(AO6/19600)</f>
        <v>0.86785714285714288</v>
      </c>
      <c r="AO6" s="36">
        <f>SUM(AA6+AC6+AE6+AG6+AI6+AK6+AM6)</f>
        <v>17010</v>
      </c>
      <c r="AQ6" s="223">
        <f>SUM(AR6/92970)</f>
        <v>0.78375681367905692</v>
      </c>
      <c r="AR6" s="38">
        <f>Y6+AO6</f>
        <v>72865.870967741925</v>
      </c>
      <c r="AS6" s="197">
        <f>SUM(AR6-AR5-AT6)</f>
        <v>-1464.3870967742114</v>
      </c>
      <c r="AT6" s="338">
        <v>1</v>
      </c>
      <c r="AU6" s="544"/>
      <c r="AV6" s="483">
        <f>IF(AT6&gt;0,AU6,AV5)</f>
        <v>0</v>
      </c>
      <c r="AW6" s="278">
        <f>-SUM('B5'!AI5)</f>
        <v>-127</v>
      </c>
      <c r="AX6" s="278">
        <f t="shared" ref="AX6:AX33" si="17">-SUM(AW6-AS6)</f>
        <v>-1337.3870967742114</v>
      </c>
      <c r="AY6" s="37">
        <f>SUM(AX6+AW6)</f>
        <v>-1464.3870967742114</v>
      </c>
      <c r="AZ6" s="100">
        <f>ELEC!A4</f>
        <v>0</v>
      </c>
      <c r="BA6" s="118">
        <f>'General information '!D5</f>
        <v>22</v>
      </c>
      <c r="BB6" s="268">
        <f>SUM('General information '!E5)</f>
        <v>0.63</v>
      </c>
      <c r="BC6" s="3">
        <f>IF(AR3&gt;=AR6,0,1)</f>
        <v>0</v>
      </c>
      <c r="BD6" s="102">
        <v>19222</v>
      </c>
      <c r="BE6" s="14">
        <f>(305/1185)*ELEC!Q5</f>
        <v>694.42194092835246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-111.44892473118428</v>
      </c>
      <c r="BK6" s="534"/>
    </row>
    <row r="7" spans="1:63">
      <c r="A7" s="423">
        <f>ELEC!C5</f>
        <v>44867</v>
      </c>
      <c r="B7" s="495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495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0.7680163909967489</v>
      </c>
      <c r="AR7" s="38">
        <f>Y7+AO7</f>
        <v>71402.483870967742</v>
      </c>
      <c r="AS7" s="197">
        <f>SUM(AR7-AR6-AT7)</f>
        <v>-1463.3870967741823</v>
      </c>
      <c r="AT7" s="338"/>
      <c r="AU7" s="544"/>
      <c r="AV7" s="483">
        <f>IF(AT7&gt;0,AU7,AV6)</f>
        <v>0</v>
      </c>
      <c r="AW7" s="278">
        <f>-SUM('B5'!AI6)</f>
        <v>-135</v>
      </c>
      <c r="AX7" s="278">
        <f t="shared" si="17"/>
        <v>-1328.3870967741823</v>
      </c>
      <c r="AY7" s="37">
        <f t="shared" ref="AY7:AY33" si="37">SUM(AX7+AW7)</f>
        <v>-1463.3870967741823</v>
      </c>
      <c r="AZ7" s="100">
        <f>ELEC!A5</f>
        <v>0</v>
      </c>
      <c r="BA7" s="118">
        <f>'General information '!D6</f>
        <v>21.5</v>
      </c>
      <c r="BB7" s="376">
        <f>SUM('General information '!E6)</f>
        <v>0.53</v>
      </c>
      <c r="BC7" s="3">
        <v>0</v>
      </c>
      <c r="BD7" s="102">
        <v>19222</v>
      </c>
      <c r="BE7" s="14">
        <f>(305/1185)*ELEC!Q6</f>
        <v>825.94514767904775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-88.559139784945486</v>
      </c>
      <c r="BK7" s="534"/>
    </row>
    <row r="8" spans="1:63">
      <c r="A8" s="423">
        <f>ELEC!C6</f>
        <v>44868</v>
      </c>
      <c r="B8" s="495">
        <f>'B5'!B7</f>
        <v>250</v>
      </c>
      <c r="C8" s="203">
        <f t="shared" si="18"/>
        <v>5379.0322580645161</v>
      </c>
      <c r="D8">
        <f t="shared" si="19"/>
        <v>250</v>
      </c>
      <c r="E8" s="203">
        <f t="shared" si="18"/>
        <v>5379.0322580645161</v>
      </c>
      <c r="F8">
        <f t="shared" si="20"/>
        <v>250</v>
      </c>
      <c r="G8" s="203">
        <f t="shared" si="1"/>
        <v>5379.0322580645161</v>
      </c>
      <c r="H8" s="203">
        <f t="shared" si="21"/>
        <v>250</v>
      </c>
      <c r="I8" s="203">
        <f t="shared" si="2"/>
        <v>5379.0322580645161</v>
      </c>
      <c r="J8" s="203">
        <f t="shared" si="22"/>
        <v>250</v>
      </c>
      <c r="K8" s="203">
        <f t="shared" si="3"/>
        <v>5379.0322580645161</v>
      </c>
      <c r="L8" s="203">
        <f t="shared" si="23"/>
        <v>250</v>
      </c>
      <c r="M8" s="203">
        <f t="shared" si="4"/>
        <v>5379.0322580645161</v>
      </c>
      <c r="N8" s="203">
        <f t="shared" si="24"/>
        <v>250</v>
      </c>
      <c r="O8" s="203">
        <f t="shared" si="5"/>
        <v>5379.0322580645161</v>
      </c>
      <c r="P8" s="203">
        <f t="shared" si="25"/>
        <v>250</v>
      </c>
      <c r="Q8" s="203">
        <f t="shared" si="6"/>
        <v>5379.0322580645161</v>
      </c>
      <c r="R8" s="203">
        <f t="shared" si="26"/>
        <v>250</v>
      </c>
      <c r="S8" s="203">
        <f t="shared" si="7"/>
        <v>5379.0322580645161</v>
      </c>
      <c r="T8" s="203">
        <f t="shared" si="27"/>
        <v>250</v>
      </c>
      <c r="U8" s="203">
        <f t="shared" si="8"/>
        <v>5379.0322580645161</v>
      </c>
      <c r="V8" s="203">
        <f t="shared" si="28"/>
        <v>250</v>
      </c>
      <c r="W8" s="203">
        <f t="shared" si="9"/>
        <v>5379.0322580645161</v>
      </c>
      <c r="X8" s="35">
        <f t="shared" si="10"/>
        <v>0.80645161290322576</v>
      </c>
      <c r="Y8" s="36">
        <f t="shared" si="29"/>
        <v>59169.354838709674</v>
      </c>
      <c r="Z8" s="495">
        <f>'B5'!C7</f>
        <v>257</v>
      </c>
      <c r="AA8" s="203">
        <f t="shared" si="30"/>
        <v>2570</v>
      </c>
      <c r="AB8" s="203">
        <f t="shared" si="31"/>
        <v>257</v>
      </c>
      <c r="AC8" s="203">
        <f t="shared" si="30"/>
        <v>2570</v>
      </c>
      <c r="AD8" s="203">
        <f t="shared" si="32"/>
        <v>257</v>
      </c>
      <c r="AE8" s="203">
        <f t="shared" si="11"/>
        <v>2570</v>
      </c>
      <c r="AF8" s="203">
        <f t="shared" si="33"/>
        <v>257</v>
      </c>
      <c r="AG8" s="203">
        <f t="shared" si="12"/>
        <v>2570</v>
      </c>
      <c r="AH8" s="203">
        <f t="shared" si="34"/>
        <v>257</v>
      </c>
      <c r="AI8" s="203">
        <f t="shared" si="13"/>
        <v>2570</v>
      </c>
      <c r="AJ8" s="203">
        <f t="shared" si="35"/>
        <v>257</v>
      </c>
      <c r="AK8" s="203">
        <f t="shared" si="14"/>
        <v>2570</v>
      </c>
      <c r="AL8" s="203">
        <f t="shared" si="36"/>
        <v>257</v>
      </c>
      <c r="AM8" s="203">
        <f t="shared" si="15"/>
        <v>2570</v>
      </c>
      <c r="AN8" s="35">
        <f t="shared" si="16"/>
        <v>0.91785714285714282</v>
      </c>
      <c r="AO8" s="36">
        <f t="shared" ref="AO8:AO29" si="39">SUM(AA8+AC8+AE8+AG8+AI8+AK8+AM8)</f>
        <v>17990</v>
      </c>
      <c r="AQ8" s="223">
        <f t="shared" ref="AQ8:AQ33" si="40">SUM(AR8/92970)</f>
        <v>0.8299382041379979</v>
      </c>
      <c r="AR8" s="38">
        <f t="shared" ref="AR8:AR36" si="41">Y8+AO8</f>
        <v>77159.354838709667</v>
      </c>
      <c r="AS8" s="197">
        <f t="shared" ref="AS8:AS20" si="42">SUM(AR8-AR7-AT8)</f>
        <v>226.87096774192469</v>
      </c>
      <c r="AT8" s="338">
        <v>5530</v>
      </c>
      <c r="AU8" s="544"/>
      <c r="AV8" s="483">
        <f t="shared" ref="AV8:AV14" si="43">IF(AT8&gt;0,AU8,AV7)</f>
        <v>0</v>
      </c>
      <c r="AW8" s="278">
        <f>-SUM('B5'!AI7)</f>
        <v>-47</v>
      </c>
      <c r="AX8" s="278">
        <f t="shared" si="17"/>
        <v>273.87096774192469</v>
      </c>
      <c r="AY8" s="37">
        <f t="shared" si="37"/>
        <v>226.87096774192469</v>
      </c>
      <c r="AZ8" s="100">
        <f>ELEC!A6</f>
        <v>0</v>
      </c>
      <c r="BA8" s="118">
        <f>'General information '!D7</f>
        <v>21</v>
      </c>
      <c r="BB8" s="376">
        <f>SUM('General information '!E7)</f>
        <v>0</v>
      </c>
      <c r="BC8" s="3">
        <f t="shared" ref="BC8:BC33" si="44">IF(AR7&gt;=AR8,0,1)</f>
        <v>1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30.430107526880519</v>
      </c>
      <c r="BK8" s="534">
        <f>GEN!AF5</f>
        <v>0.16713541666661058</v>
      </c>
    </row>
    <row r="9" spans="1:63">
      <c r="A9" s="423">
        <f>ELEC!C7</f>
        <v>44869</v>
      </c>
      <c r="B9" s="495">
        <f>'B5'!B8</f>
        <v>250</v>
      </c>
      <c r="C9" s="203">
        <f t="shared" si="18"/>
        <v>5379.0322580645161</v>
      </c>
      <c r="D9">
        <f t="shared" si="19"/>
        <v>250</v>
      </c>
      <c r="E9" s="203">
        <f t="shared" si="18"/>
        <v>5379.0322580645161</v>
      </c>
      <c r="F9">
        <f t="shared" si="20"/>
        <v>250</v>
      </c>
      <c r="G9" s="203">
        <f t="shared" si="1"/>
        <v>5379.0322580645161</v>
      </c>
      <c r="H9" s="203">
        <f t="shared" si="21"/>
        <v>250</v>
      </c>
      <c r="I9" s="203">
        <f t="shared" si="2"/>
        <v>5379.0322580645161</v>
      </c>
      <c r="J9" s="203">
        <f t="shared" si="22"/>
        <v>250</v>
      </c>
      <c r="K9" s="203">
        <f t="shared" si="3"/>
        <v>5379.0322580645161</v>
      </c>
      <c r="L9" s="203">
        <f t="shared" si="23"/>
        <v>250</v>
      </c>
      <c r="M9" s="203">
        <f t="shared" si="4"/>
        <v>5379.0322580645161</v>
      </c>
      <c r="N9" s="203">
        <f t="shared" si="24"/>
        <v>250</v>
      </c>
      <c r="O9" s="203">
        <f t="shared" si="5"/>
        <v>5379.0322580645161</v>
      </c>
      <c r="P9" s="203">
        <f t="shared" si="25"/>
        <v>250</v>
      </c>
      <c r="Q9" s="203">
        <f t="shared" si="6"/>
        <v>5379.0322580645161</v>
      </c>
      <c r="R9" s="203">
        <f t="shared" si="26"/>
        <v>250</v>
      </c>
      <c r="S9" s="203">
        <f t="shared" si="7"/>
        <v>5379.0322580645161</v>
      </c>
      <c r="T9" s="203">
        <f t="shared" si="27"/>
        <v>250</v>
      </c>
      <c r="U9" s="203">
        <f t="shared" si="8"/>
        <v>5379.0322580645161</v>
      </c>
      <c r="V9" s="203">
        <f t="shared" si="28"/>
        <v>250</v>
      </c>
      <c r="W9" s="203">
        <f t="shared" si="9"/>
        <v>5379.0322580645161</v>
      </c>
      <c r="X9" s="35">
        <f t="shared" si="10"/>
        <v>0.80645161290322576</v>
      </c>
      <c r="Y9" s="36">
        <f t="shared" si="29"/>
        <v>59169.354838709674</v>
      </c>
      <c r="Z9" s="495">
        <f>'B5'!C8</f>
        <v>257</v>
      </c>
      <c r="AA9" s="203">
        <f t="shared" si="30"/>
        <v>2570</v>
      </c>
      <c r="AB9" s="203">
        <f t="shared" si="31"/>
        <v>257</v>
      </c>
      <c r="AC9" s="203">
        <f t="shared" si="30"/>
        <v>2570</v>
      </c>
      <c r="AD9" s="203">
        <f t="shared" si="32"/>
        <v>257</v>
      </c>
      <c r="AE9" s="203">
        <f t="shared" si="11"/>
        <v>2570</v>
      </c>
      <c r="AF9" s="203">
        <f t="shared" si="33"/>
        <v>257</v>
      </c>
      <c r="AG9" s="203">
        <f t="shared" si="12"/>
        <v>2570</v>
      </c>
      <c r="AH9" s="203">
        <f t="shared" si="34"/>
        <v>257</v>
      </c>
      <c r="AI9" s="203">
        <f t="shared" si="13"/>
        <v>2570</v>
      </c>
      <c r="AJ9" s="203">
        <f t="shared" si="35"/>
        <v>257</v>
      </c>
      <c r="AK9" s="203">
        <f t="shared" si="14"/>
        <v>2570</v>
      </c>
      <c r="AL9" s="203">
        <f t="shared" si="36"/>
        <v>257</v>
      </c>
      <c r="AM9" s="203">
        <f t="shared" si="15"/>
        <v>2570</v>
      </c>
      <c r="AN9" s="35">
        <f t="shared" si="16"/>
        <v>0.91785714285714282</v>
      </c>
      <c r="AO9" s="36">
        <f>SUM(AA9+AC9+AE9+AG9+AI9+AK9+AM9)</f>
        <v>17990</v>
      </c>
      <c r="AQ9" s="223">
        <f t="shared" si="40"/>
        <v>0.8299382041379979</v>
      </c>
      <c r="AR9" s="38">
        <f t="shared" si="41"/>
        <v>77159.354838709667</v>
      </c>
      <c r="AS9" s="197">
        <f>SUM(AR9-AR8-AT9)</f>
        <v>0</v>
      </c>
      <c r="AT9" s="338"/>
      <c r="AU9" s="544"/>
      <c r="AV9" s="483">
        <f t="shared" si="43"/>
        <v>0</v>
      </c>
      <c r="AW9" s="278">
        <f>-SUM('B5'!AI8)</f>
        <v>0</v>
      </c>
      <c r="AX9" s="278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20.5</v>
      </c>
      <c r="BB9" s="376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4" t="e">
        <f>GEN!AF6</f>
        <v>#DIV/0!</v>
      </c>
    </row>
    <row r="10" spans="1:63">
      <c r="A10" s="423">
        <f>ELEC!C8</f>
        <v>44870</v>
      </c>
      <c r="B10" s="495">
        <f>'B5'!B9</f>
        <v>250</v>
      </c>
      <c r="C10" s="203">
        <f t="shared" si="18"/>
        <v>5379.0322580645161</v>
      </c>
      <c r="D10">
        <f t="shared" si="19"/>
        <v>250</v>
      </c>
      <c r="E10" s="203">
        <f t="shared" si="18"/>
        <v>5379.0322580645161</v>
      </c>
      <c r="F10">
        <f t="shared" si="20"/>
        <v>250</v>
      </c>
      <c r="G10" s="203">
        <f t="shared" si="1"/>
        <v>5379.0322580645161</v>
      </c>
      <c r="H10" s="203">
        <f t="shared" si="21"/>
        <v>250</v>
      </c>
      <c r="I10" s="203">
        <f t="shared" si="2"/>
        <v>5379.0322580645161</v>
      </c>
      <c r="J10" s="203">
        <f t="shared" si="22"/>
        <v>250</v>
      </c>
      <c r="K10" s="203">
        <f t="shared" si="3"/>
        <v>5379.0322580645161</v>
      </c>
      <c r="L10" s="203">
        <f t="shared" si="23"/>
        <v>250</v>
      </c>
      <c r="M10" s="203">
        <f t="shared" si="4"/>
        <v>5379.0322580645161</v>
      </c>
      <c r="N10" s="203">
        <f t="shared" si="24"/>
        <v>250</v>
      </c>
      <c r="O10" s="203">
        <f t="shared" si="5"/>
        <v>5379.0322580645161</v>
      </c>
      <c r="P10" s="203">
        <f t="shared" si="25"/>
        <v>250</v>
      </c>
      <c r="Q10" s="203">
        <f t="shared" si="6"/>
        <v>5379.0322580645161</v>
      </c>
      <c r="R10" s="203">
        <f t="shared" si="26"/>
        <v>250</v>
      </c>
      <c r="S10" s="203">
        <f t="shared" si="7"/>
        <v>5379.0322580645161</v>
      </c>
      <c r="T10" s="203">
        <f t="shared" si="27"/>
        <v>250</v>
      </c>
      <c r="U10" s="203">
        <f t="shared" si="8"/>
        <v>5379.0322580645161</v>
      </c>
      <c r="V10" s="203">
        <f t="shared" si="28"/>
        <v>250</v>
      </c>
      <c r="W10" s="203">
        <f t="shared" si="9"/>
        <v>5379.0322580645161</v>
      </c>
      <c r="X10" s="35">
        <f t="shared" si="10"/>
        <v>0.80645161290322576</v>
      </c>
      <c r="Y10" s="36">
        <f t="shared" si="29"/>
        <v>59169.354838709674</v>
      </c>
      <c r="Z10" s="495">
        <f>'B5'!C9</f>
        <v>257</v>
      </c>
      <c r="AA10" s="203">
        <f t="shared" si="30"/>
        <v>2570</v>
      </c>
      <c r="AB10" s="203">
        <f t="shared" si="31"/>
        <v>257</v>
      </c>
      <c r="AC10" s="203">
        <f t="shared" si="30"/>
        <v>2570</v>
      </c>
      <c r="AD10" s="203">
        <f t="shared" si="32"/>
        <v>257</v>
      </c>
      <c r="AE10" s="203">
        <f t="shared" si="11"/>
        <v>2570</v>
      </c>
      <c r="AF10" s="203">
        <f t="shared" si="33"/>
        <v>257</v>
      </c>
      <c r="AG10" s="203">
        <f t="shared" si="12"/>
        <v>2570</v>
      </c>
      <c r="AH10" s="203">
        <f t="shared" si="34"/>
        <v>257</v>
      </c>
      <c r="AI10" s="203">
        <f t="shared" si="13"/>
        <v>2570</v>
      </c>
      <c r="AJ10" s="203">
        <f t="shared" si="35"/>
        <v>257</v>
      </c>
      <c r="AK10" s="203">
        <f t="shared" si="14"/>
        <v>2570</v>
      </c>
      <c r="AL10" s="203">
        <f t="shared" si="36"/>
        <v>257</v>
      </c>
      <c r="AM10" s="203">
        <f t="shared" si="15"/>
        <v>2570</v>
      </c>
      <c r="AN10" s="35">
        <f t="shared" si="16"/>
        <v>0.91785714285714282</v>
      </c>
      <c r="AO10" s="36">
        <f t="shared" si="39"/>
        <v>17990</v>
      </c>
      <c r="AQ10" s="223">
        <f t="shared" si="40"/>
        <v>0.8299382041379979</v>
      </c>
      <c r="AR10" s="38">
        <f t="shared" si="41"/>
        <v>77159.354838709667</v>
      </c>
      <c r="AS10" s="197">
        <f>SUM(AR10-AR9-AT10)</f>
        <v>0</v>
      </c>
      <c r="AT10" s="338"/>
      <c r="AU10" s="544"/>
      <c r="AV10" s="483">
        <f>IF(AT10&gt;0,AU10,AV9)</f>
        <v>0</v>
      </c>
      <c r="AW10" s="278">
        <f>-SUM('B5'!AI9)</f>
        <v>0</v>
      </c>
      <c r="AX10" s="278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21.5</v>
      </c>
      <c r="BB10" s="376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765.97468354491809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4" t="e">
        <f>GEN!AF7</f>
        <v>#DIV/0!</v>
      </c>
    </row>
    <row r="11" spans="1:63">
      <c r="A11" s="423">
        <f>ELEC!C9</f>
        <v>44871</v>
      </c>
      <c r="B11" s="495">
        <f>'B5'!B10</f>
        <v>246</v>
      </c>
      <c r="C11" s="203">
        <f t="shared" si="18"/>
        <v>5292.9677419354839</v>
      </c>
      <c r="D11">
        <f>SUM(B11)</f>
        <v>246</v>
      </c>
      <c r="E11" s="203">
        <f t="shared" si="18"/>
        <v>5292.9677419354839</v>
      </c>
      <c r="F11">
        <f>SUM(D11)</f>
        <v>246</v>
      </c>
      <c r="G11" s="203">
        <f t="shared" si="1"/>
        <v>5292.9677419354839</v>
      </c>
      <c r="H11" s="203">
        <f>SUM(F11)</f>
        <v>246</v>
      </c>
      <c r="I11" s="203">
        <f t="shared" si="2"/>
        <v>5292.9677419354839</v>
      </c>
      <c r="J11" s="203">
        <f>SUM(H11)</f>
        <v>246</v>
      </c>
      <c r="K11" s="203">
        <f t="shared" si="3"/>
        <v>5292.9677419354839</v>
      </c>
      <c r="L11" s="203">
        <f>SUM(J11)</f>
        <v>246</v>
      </c>
      <c r="M11" s="203">
        <f t="shared" si="4"/>
        <v>5292.9677419354839</v>
      </c>
      <c r="N11" s="203">
        <f>SUM(L11)</f>
        <v>246</v>
      </c>
      <c r="O11" s="203">
        <f t="shared" si="5"/>
        <v>5292.9677419354839</v>
      </c>
      <c r="P11" s="203">
        <f>SUM(N11)</f>
        <v>246</v>
      </c>
      <c r="Q11" s="203">
        <f t="shared" si="6"/>
        <v>5292.9677419354839</v>
      </c>
      <c r="R11" s="203">
        <f>SUM(P11)</f>
        <v>246</v>
      </c>
      <c r="S11" s="203">
        <f t="shared" si="7"/>
        <v>5292.9677419354839</v>
      </c>
      <c r="T11" s="203">
        <f>SUM(R11)</f>
        <v>246</v>
      </c>
      <c r="U11" s="203">
        <f t="shared" si="8"/>
        <v>5292.9677419354839</v>
      </c>
      <c r="V11" s="203">
        <f>SUM(T11)</f>
        <v>246</v>
      </c>
      <c r="W11" s="203">
        <f t="shared" si="9"/>
        <v>5292.9677419354839</v>
      </c>
      <c r="X11" s="35">
        <f>SUM(Y11/73370)</f>
        <v>0.79354838709677422</v>
      </c>
      <c r="Y11" s="36">
        <f>SUM(C11+E11+G11+I11+K11+M11+O11+Q11+S11+U11+W11)</f>
        <v>58222.645161290326</v>
      </c>
      <c r="Z11" s="495">
        <f>'B5'!C10</f>
        <v>253</v>
      </c>
      <c r="AA11" s="203">
        <f t="shared" si="30"/>
        <v>2530</v>
      </c>
      <c r="AB11" s="203">
        <f>SUM(Z11)</f>
        <v>253</v>
      </c>
      <c r="AC11" s="203">
        <f t="shared" si="30"/>
        <v>2530</v>
      </c>
      <c r="AD11" s="203">
        <f>SUM(AB11)</f>
        <v>253</v>
      </c>
      <c r="AE11" s="203">
        <f t="shared" si="11"/>
        <v>2530</v>
      </c>
      <c r="AF11" s="203">
        <f>SUM(AD11)</f>
        <v>253</v>
      </c>
      <c r="AG11" s="203">
        <f t="shared" si="12"/>
        <v>2530</v>
      </c>
      <c r="AH11" s="203">
        <f>SUM(AF11)</f>
        <v>253</v>
      </c>
      <c r="AI11" s="203">
        <f t="shared" si="13"/>
        <v>2530</v>
      </c>
      <c r="AJ11" s="203">
        <f>SUM(AH11)</f>
        <v>253</v>
      </c>
      <c r="AK11" s="203">
        <f t="shared" si="14"/>
        <v>2530</v>
      </c>
      <c r="AL11" s="203">
        <f>SUM(AJ11)</f>
        <v>253</v>
      </c>
      <c r="AM11" s="203">
        <f t="shared" si="15"/>
        <v>2530</v>
      </c>
      <c r="AN11" s="35">
        <f>SUM(AO11/19600)</f>
        <v>0.90357142857142858</v>
      </c>
      <c r="AO11" s="36">
        <f t="shared" si="39"/>
        <v>17710</v>
      </c>
      <c r="AP11" s="521"/>
      <c r="AQ11" s="223">
        <f t="shared" si="40"/>
        <v>0.81674352114972926</v>
      </c>
      <c r="AR11" s="38">
        <f>Y11+AO11</f>
        <v>75932.645161290333</v>
      </c>
      <c r="AS11" s="197">
        <f t="shared" si="42"/>
        <v>-1226.7096774193342</v>
      </c>
      <c r="AT11" s="338"/>
      <c r="AU11" s="544"/>
      <c r="AV11" s="483">
        <f>IF(AT11&gt;0,AU11,AV10)</f>
        <v>0</v>
      </c>
      <c r="AW11" s="278">
        <f>-SUM('B5'!AI10)</f>
        <v>-205</v>
      </c>
      <c r="AX11" s="278">
        <f t="shared" si="17"/>
        <v>-1021.7096774193342</v>
      </c>
      <c r="AY11" s="37">
        <f t="shared" si="37"/>
        <v>-1226.7096774193342</v>
      </c>
      <c r="AZ11" s="100">
        <f>ELEC!A9</f>
        <v>0</v>
      </c>
      <c r="BA11" s="118">
        <f>'General information '!D10</f>
        <v>0</v>
      </c>
      <c r="BB11" s="376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810.75949367032433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-109.86125563649614</v>
      </c>
      <c r="BK11" s="534"/>
    </row>
    <row r="12" spans="1:63">
      <c r="A12" s="423">
        <f>ELEC!C10</f>
        <v>44872</v>
      </c>
      <c r="B12" s="495">
        <f>'B5'!B11</f>
        <v>242</v>
      </c>
      <c r="C12" s="203">
        <f t="shared" si="18"/>
        <v>5206.9032258064517</v>
      </c>
      <c r="D12">
        <f t="shared" si="19"/>
        <v>242</v>
      </c>
      <c r="E12" s="203">
        <f t="shared" si="18"/>
        <v>5206.9032258064517</v>
      </c>
      <c r="F12">
        <f t="shared" si="20"/>
        <v>242</v>
      </c>
      <c r="G12" s="203">
        <f t="shared" si="1"/>
        <v>5206.9032258064517</v>
      </c>
      <c r="H12" s="203">
        <f t="shared" si="21"/>
        <v>242</v>
      </c>
      <c r="I12" s="203">
        <f t="shared" si="2"/>
        <v>5206.9032258064517</v>
      </c>
      <c r="J12" s="203">
        <f t="shared" si="22"/>
        <v>242</v>
      </c>
      <c r="K12" s="203">
        <f t="shared" si="3"/>
        <v>5206.9032258064517</v>
      </c>
      <c r="L12" s="203">
        <f t="shared" si="23"/>
        <v>242</v>
      </c>
      <c r="M12" s="203">
        <f t="shared" si="4"/>
        <v>5206.9032258064517</v>
      </c>
      <c r="N12" s="203">
        <f t="shared" si="24"/>
        <v>242</v>
      </c>
      <c r="O12" s="203">
        <f t="shared" si="5"/>
        <v>5206.9032258064517</v>
      </c>
      <c r="P12" s="203">
        <f t="shared" si="25"/>
        <v>242</v>
      </c>
      <c r="Q12" s="203">
        <f t="shared" si="6"/>
        <v>5206.9032258064517</v>
      </c>
      <c r="R12" s="203">
        <f t="shared" si="26"/>
        <v>242</v>
      </c>
      <c r="S12" s="203">
        <f t="shared" si="7"/>
        <v>5206.9032258064517</v>
      </c>
      <c r="T12" s="203">
        <f t="shared" si="27"/>
        <v>242</v>
      </c>
      <c r="U12" s="203">
        <f t="shared" si="8"/>
        <v>5206.9032258064517</v>
      </c>
      <c r="V12" s="203">
        <f t="shared" si="28"/>
        <v>242</v>
      </c>
      <c r="W12" s="203">
        <f t="shared" si="9"/>
        <v>5206.9032258064517</v>
      </c>
      <c r="X12" s="35">
        <f t="shared" si="10"/>
        <v>0.78064516129032269</v>
      </c>
      <c r="Y12" s="36">
        <f t="shared" si="29"/>
        <v>57275.935483870977</v>
      </c>
      <c r="Z12" s="495">
        <f>'B5'!C11</f>
        <v>249</v>
      </c>
      <c r="AA12" s="203">
        <f t="shared" si="30"/>
        <v>2490</v>
      </c>
      <c r="AB12" s="203">
        <f t="shared" si="31"/>
        <v>249</v>
      </c>
      <c r="AC12" s="203">
        <f t="shared" si="30"/>
        <v>2490</v>
      </c>
      <c r="AD12" s="203">
        <f t="shared" si="32"/>
        <v>249</v>
      </c>
      <c r="AE12" s="203">
        <f t="shared" si="11"/>
        <v>2490</v>
      </c>
      <c r="AF12" s="203">
        <f t="shared" si="33"/>
        <v>249</v>
      </c>
      <c r="AG12" s="203">
        <f t="shared" si="12"/>
        <v>2490</v>
      </c>
      <c r="AH12" s="203">
        <f t="shared" si="34"/>
        <v>249</v>
      </c>
      <c r="AI12" s="203">
        <f t="shared" si="13"/>
        <v>2490</v>
      </c>
      <c r="AJ12" s="203">
        <f t="shared" si="35"/>
        <v>249</v>
      </c>
      <c r="AK12" s="203">
        <f t="shared" si="14"/>
        <v>2490</v>
      </c>
      <c r="AL12" s="203">
        <f t="shared" si="36"/>
        <v>249</v>
      </c>
      <c r="AM12" s="203">
        <f t="shared" si="15"/>
        <v>2490</v>
      </c>
      <c r="AN12" s="35">
        <f t="shared" si="16"/>
        <v>0.88928571428571423</v>
      </c>
      <c r="AO12" s="36">
        <f t="shared" si="39"/>
        <v>17430</v>
      </c>
      <c r="AP12" s="521"/>
      <c r="AQ12" s="223">
        <f t="shared" si="40"/>
        <v>0.80354883816146039</v>
      </c>
      <c r="AR12" s="38">
        <f t="shared" si="41"/>
        <v>74705.93548387097</v>
      </c>
      <c r="AS12" s="197">
        <f>SUM(AR12-AR11-AT12)</f>
        <v>-1226.7096774193633</v>
      </c>
      <c r="AT12" s="338"/>
      <c r="AU12" s="544"/>
      <c r="AV12" s="483">
        <f t="shared" si="43"/>
        <v>0</v>
      </c>
      <c r="AW12" s="278">
        <f>-SUM('B5'!AI11)</f>
        <v>0</v>
      </c>
      <c r="AX12" s="278">
        <f t="shared" si="17"/>
        <v>-1226.7096774193633</v>
      </c>
      <c r="AY12" s="37">
        <f t="shared" si="37"/>
        <v>-1226.7096774193633</v>
      </c>
      <c r="AZ12" s="100">
        <f>ELEC!A10</f>
        <v>0</v>
      </c>
      <c r="BA12" s="118">
        <f>'General information '!D11</f>
        <v>18</v>
      </c>
      <c r="BB12" s="376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506.01687763722072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-331.54315605922216</v>
      </c>
      <c r="BK12" s="534"/>
    </row>
    <row r="13" spans="1:63">
      <c r="A13" s="423">
        <f>ELEC!C11</f>
        <v>44873</v>
      </c>
      <c r="B13" s="495">
        <f>'B5'!B12</f>
        <v>238</v>
      </c>
      <c r="C13" s="203">
        <f t="shared" si="18"/>
        <v>5120.8387096774195</v>
      </c>
      <c r="D13">
        <f t="shared" si="19"/>
        <v>238</v>
      </c>
      <c r="E13" s="203">
        <f t="shared" si="18"/>
        <v>5120.8387096774195</v>
      </c>
      <c r="F13">
        <f t="shared" si="20"/>
        <v>238</v>
      </c>
      <c r="G13" s="203">
        <f t="shared" si="1"/>
        <v>5120.8387096774195</v>
      </c>
      <c r="H13" s="203">
        <f t="shared" si="21"/>
        <v>238</v>
      </c>
      <c r="I13" s="203">
        <f t="shared" si="2"/>
        <v>5120.8387096774195</v>
      </c>
      <c r="J13" s="203">
        <f t="shared" si="22"/>
        <v>238</v>
      </c>
      <c r="K13" s="203">
        <f t="shared" si="3"/>
        <v>5120.8387096774195</v>
      </c>
      <c r="L13" s="203">
        <f t="shared" si="23"/>
        <v>238</v>
      </c>
      <c r="M13" s="203">
        <f t="shared" si="4"/>
        <v>5120.8387096774195</v>
      </c>
      <c r="N13" s="203">
        <f t="shared" si="24"/>
        <v>238</v>
      </c>
      <c r="O13" s="203">
        <f t="shared" si="5"/>
        <v>5120.8387096774195</v>
      </c>
      <c r="P13" s="203">
        <f t="shared" si="25"/>
        <v>238</v>
      </c>
      <c r="Q13" s="203">
        <f t="shared" si="6"/>
        <v>5120.8387096774195</v>
      </c>
      <c r="R13" s="203">
        <f t="shared" si="26"/>
        <v>238</v>
      </c>
      <c r="S13" s="203">
        <f t="shared" si="7"/>
        <v>5120.8387096774195</v>
      </c>
      <c r="T13" s="203">
        <f t="shared" si="27"/>
        <v>238</v>
      </c>
      <c r="U13" s="203">
        <f t="shared" si="8"/>
        <v>5120.8387096774195</v>
      </c>
      <c r="V13" s="203">
        <f t="shared" si="28"/>
        <v>238</v>
      </c>
      <c r="W13" s="203">
        <f t="shared" si="9"/>
        <v>5120.8387096774195</v>
      </c>
      <c r="X13" s="35">
        <f t="shared" si="10"/>
        <v>0.76774193548387093</v>
      </c>
      <c r="Y13" s="36">
        <f t="shared" si="29"/>
        <v>56329.225806451606</v>
      </c>
      <c r="Z13" s="495">
        <f>'B5'!C12</f>
        <v>246</v>
      </c>
      <c r="AA13" s="203">
        <f t="shared" si="30"/>
        <v>2460</v>
      </c>
      <c r="AB13" s="203">
        <f t="shared" si="31"/>
        <v>246</v>
      </c>
      <c r="AC13" s="203">
        <f t="shared" si="30"/>
        <v>2460</v>
      </c>
      <c r="AD13" s="203">
        <f t="shared" si="32"/>
        <v>246</v>
      </c>
      <c r="AE13" s="203">
        <f t="shared" si="11"/>
        <v>2460</v>
      </c>
      <c r="AF13" s="203">
        <f t="shared" si="33"/>
        <v>246</v>
      </c>
      <c r="AG13" s="203">
        <f t="shared" si="12"/>
        <v>2460</v>
      </c>
      <c r="AH13" s="203">
        <f t="shared" si="34"/>
        <v>246</v>
      </c>
      <c r="AI13" s="203">
        <f t="shared" si="13"/>
        <v>2460</v>
      </c>
      <c r="AJ13" s="203">
        <f t="shared" si="35"/>
        <v>246</v>
      </c>
      <c r="AK13" s="203">
        <f t="shared" si="14"/>
        <v>2460</v>
      </c>
      <c r="AL13" s="203">
        <f t="shared" si="36"/>
        <v>246</v>
      </c>
      <c r="AM13" s="203">
        <f t="shared" si="15"/>
        <v>2460</v>
      </c>
      <c r="AN13" s="35">
        <f t="shared" si="16"/>
        <v>0.87857142857142856</v>
      </c>
      <c r="AO13" s="36">
        <f t="shared" si="39"/>
        <v>17220</v>
      </c>
      <c r="AP13" s="521"/>
      <c r="AQ13" s="223">
        <f t="shared" si="40"/>
        <v>0.79110708622621928</v>
      </c>
      <c r="AR13" s="38">
        <f>Y13+AO13</f>
        <v>73549.225806451606</v>
      </c>
      <c r="AS13" s="197">
        <f>SUM(AR13-AR12-AT13)</f>
        <v>-1156.7096774193633</v>
      </c>
      <c r="AT13" s="338"/>
      <c r="AU13" s="544"/>
      <c r="AV13" s="483">
        <f t="shared" si="43"/>
        <v>0</v>
      </c>
      <c r="AW13" s="278">
        <f>-SUM('B5'!AI12)</f>
        <v>0</v>
      </c>
      <c r="AX13" s="278">
        <f t="shared" si="17"/>
        <v>-1156.7096774193633</v>
      </c>
      <c r="AY13" s="37">
        <f t="shared" si="37"/>
        <v>-1156.7096774193633</v>
      </c>
      <c r="AZ13" s="100">
        <f>ELEC!A11</f>
        <v>0</v>
      </c>
      <c r="BA13" s="118">
        <f>'General information '!D12</f>
        <v>18.5</v>
      </c>
      <c r="BB13" s="376">
        <f>SUM('General information '!E12)</f>
        <v>0.71</v>
      </c>
      <c r="BC13" s="3">
        <f t="shared" si="44"/>
        <v>0</v>
      </c>
      <c r="BD13" s="102">
        <v>19222</v>
      </c>
      <c r="BE13" s="14">
        <f>(305/1185)*ELEC!Q12</f>
        <v>728.65400843932048</v>
      </c>
      <c r="BF13" s="14"/>
      <c r="BG13" s="14" t="e">
        <f>#REF!-BE13</f>
        <v>#REF!</v>
      </c>
      <c r="BH13" s="11"/>
      <c r="BI13">
        <v>5</v>
      </c>
      <c r="BJ13">
        <f t="shared" si="38"/>
        <v>-231.34193548387265</v>
      </c>
      <c r="BK13" s="534">
        <f>GEN!AF10</f>
        <v>0.17553571428574546</v>
      </c>
    </row>
    <row r="14" spans="1:63">
      <c r="A14" s="423">
        <f>ELEC!C12</f>
        <v>44874</v>
      </c>
      <c r="B14" s="495">
        <f>'B5'!B13</f>
        <v>235</v>
      </c>
      <c r="C14" s="203">
        <f t="shared" si="18"/>
        <v>5056.2903225806449</v>
      </c>
      <c r="D14">
        <f t="shared" si="19"/>
        <v>235</v>
      </c>
      <c r="E14" s="203">
        <f t="shared" si="18"/>
        <v>5056.2903225806449</v>
      </c>
      <c r="F14">
        <f t="shared" si="20"/>
        <v>235</v>
      </c>
      <c r="G14" s="203">
        <f t="shared" si="1"/>
        <v>5056.2903225806449</v>
      </c>
      <c r="H14" s="203">
        <f t="shared" si="21"/>
        <v>235</v>
      </c>
      <c r="I14" s="203">
        <f t="shared" si="2"/>
        <v>5056.2903225806449</v>
      </c>
      <c r="J14" s="203">
        <f t="shared" si="22"/>
        <v>235</v>
      </c>
      <c r="K14" s="203">
        <f t="shared" si="3"/>
        <v>5056.2903225806449</v>
      </c>
      <c r="L14" s="203">
        <f t="shared" si="23"/>
        <v>235</v>
      </c>
      <c r="M14" s="203">
        <f t="shared" si="4"/>
        <v>5056.2903225806449</v>
      </c>
      <c r="N14" s="203">
        <f t="shared" si="24"/>
        <v>235</v>
      </c>
      <c r="O14" s="203">
        <f t="shared" si="5"/>
        <v>5056.2903225806449</v>
      </c>
      <c r="P14" s="203">
        <f t="shared" si="25"/>
        <v>235</v>
      </c>
      <c r="Q14" s="203">
        <f t="shared" si="6"/>
        <v>5056.2903225806449</v>
      </c>
      <c r="R14" s="203">
        <f t="shared" si="26"/>
        <v>235</v>
      </c>
      <c r="S14" s="203">
        <f t="shared" si="7"/>
        <v>5056.2903225806449</v>
      </c>
      <c r="T14" s="203">
        <f t="shared" si="27"/>
        <v>235</v>
      </c>
      <c r="U14" s="203">
        <f t="shared" si="8"/>
        <v>5056.2903225806449</v>
      </c>
      <c r="V14" s="203">
        <f t="shared" si="28"/>
        <v>235</v>
      </c>
      <c r="W14" s="203">
        <f t="shared" si="9"/>
        <v>5056.2903225806449</v>
      </c>
      <c r="X14" s="35">
        <f t="shared" si="10"/>
        <v>0.75806451612903214</v>
      </c>
      <c r="Y14" s="36">
        <f t="shared" si="29"/>
        <v>55619.193548387091</v>
      </c>
      <c r="Z14" s="495">
        <f>'B5'!C13</f>
        <v>242</v>
      </c>
      <c r="AA14" s="203">
        <f t="shared" si="30"/>
        <v>2420</v>
      </c>
      <c r="AB14" s="203">
        <f t="shared" si="31"/>
        <v>242</v>
      </c>
      <c r="AC14" s="203">
        <f t="shared" si="30"/>
        <v>2420</v>
      </c>
      <c r="AD14" s="203">
        <f t="shared" si="32"/>
        <v>242</v>
      </c>
      <c r="AE14" s="203">
        <f t="shared" si="11"/>
        <v>2420</v>
      </c>
      <c r="AF14" s="203">
        <f t="shared" si="33"/>
        <v>242</v>
      </c>
      <c r="AG14" s="203">
        <f t="shared" si="12"/>
        <v>2420</v>
      </c>
      <c r="AH14" s="203">
        <f t="shared" si="34"/>
        <v>242</v>
      </c>
      <c r="AI14" s="203">
        <f t="shared" si="13"/>
        <v>2420</v>
      </c>
      <c r="AJ14" s="203">
        <f t="shared" si="35"/>
        <v>242</v>
      </c>
      <c r="AK14" s="203">
        <f t="shared" si="14"/>
        <v>2420</v>
      </c>
      <c r="AL14" s="203">
        <f t="shared" si="36"/>
        <v>242</v>
      </c>
      <c r="AM14" s="203">
        <f t="shared" si="15"/>
        <v>2420</v>
      </c>
      <c r="AN14" s="35">
        <f t="shared" si="16"/>
        <v>0.86428571428571432</v>
      </c>
      <c r="AO14" s="36">
        <f t="shared" si="39"/>
        <v>16940</v>
      </c>
      <c r="AQ14" s="223">
        <f t="shared" si="40"/>
        <v>0.78045814293198978</v>
      </c>
      <c r="AR14" s="38">
        <f t="shared" si="41"/>
        <v>72559.193548387091</v>
      </c>
      <c r="AS14" s="197">
        <f>SUM(AR14-AR13-AT14)</f>
        <v>-990.03225806451519</v>
      </c>
      <c r="AT14" s="338"/>
      <c r="AU14" s="544"/>
      <c r="AV14" s="483">
        <f t="shared" si="43"/>
        <v>0</v>
      </c>
      <c r="AW14" s="278">
        <f>-SUM('B5'!AI13)</f>
        <v>-257</v>
      </c>
      <c r="AX14" s="278">
        <f t="shared" si="17"/>
        <v>-733.03225806451519</v>
      </c>
      <c r="AY14" s="37">
        <f t="shared" si="37"/>
        <v>-990.03225806451519</v>
      </c>
      <c r="AZ14" s="100">
        <f>ELEC!A12</f>
        <v>0</v>
      </c>
      <c r="BA14" s="118">
        <f>'General information '!D13</f>
        <v>20</v>
      </c>
      <c r="BB14" s="376">
        <f>SUM('General information '!E13)</f>
        <v>0.63</v>
      </c>
      <c r="BC14" s="3">
        <f t="shared" si="44"/>
        <v>0</v>
      </c>
      <c r="BD14" s="102">
        <v>19222</v>
      </c>
      <c r="BE14" s="14">
        <f>(305/1185)*ELEC!Q13</f>
        <v>724.2784810122688</v>
      </c>
      <c r="BF14" s="14"/>
      <c r="BG14" s="14" t="e">
        <f>#REF!-BE14</f>
        <v>#REF!</v>
      </c>
      <c r="BH14" s="11"/>
      <c r="BI14">
        <v>3</v>
      </c>
      <c r="BJ14">
        <f t="shared" si="38"/>
        <v>-244.34408602150506</v>
      </c>
      <c r="BK14" s="534">
        <f>GEN!AF11</f>
        <v>0.19659722222235765</v>
      </c>
    </row>
    <row r="15" spans="1:63" ht="13.5" customHeight="1">
      <c r="A15" s="423">
        <f>ELEC!C13</f>
        <v>44875</v>
      </c>
      <c r="B15" s="495">
        <f>'B5'!B14</f>
        <v>232</v>
      </c>
      <c r="C15" s="203">
        <f>B15*$B$4</f>
        <v>4991.7419354838712</v>
      </c>
      <c r="D15">
        <f t="shared" si="19"/>
        <v>232</v>
      </c>
      <c r="E15" s="203">
        <f t="shared" si="18"/>
        <v>4991.7419354838712</v>
      </c>
      <c r="F15">
        <f t="shared" si="20"/>
        <v>232</v>
      </c>
      <c r="G15" s="203">
        <f t="shared" si="1"/>
        <v>4991.7419354838712</v>
      </c>
      <c r="H15" s="203">
        <f t="shared" si="21"/>
        <v>232</v>
      </c>
      <c r="I15" s="203">
        <f t="shared" si="2"/>
        <v>4991.7419354838712</v>
      </c>
      <c r="J15" s="203">
        <f t="shared" si="22"/>
        <v>232</v>
      </c>
      <c r="K15" s="203">
        <f t="shared" si="3"/>
        <v>4991.7419354838712</v>
      </c>
      <c r="L15" s="203">
        <f t="shared" si="23"/>
        <v>232</v>
      </c>
      <c r="M15" s="203">
        <f t="shared" si="4"/>
        <v>4991.7419354838712</v>
      </c>
      <c r="N15" s="203">
        <f t="shared" si="24"/>
        <v>232</v>
      </c>
      <c r="O15" s="203">
        <f t="shared" si="5"/>
        <v>4991.7419354838712</v>
      </c>
      <c r="P15" s="203">
        <f t="shared" si="25"/>
        <v>232</v>
      </c>
      <c r="Q15" s="203">
        <f t="shared" si="6"/>
        <v>4991.7419354838712</v>
      </c>
      <c r="R15" s="203">
        <f t="shared" si="26"/>
        <v>232</v>
      </c>
      <c r="S15" s="203">
        <f t="shared" si="7"/>
        <v>4991.7419354838712</v>
      </c>
      <c r="T15" s="203">
        <f t="shared" si="27"/>
        <v>232</v>
      </c>
      <c r="U15" s="203">
        <f t="shared" si="8"/>
        <v>4991.7419354838712</v>
      </c>
      <c r="V15" s="203">
        <f t="shared" si="28"/>
        <v>232</v>
      </c>
      <c r="W15" s="203">
        <f t="shared" si="9"/>
        <v>4991.7419354838712</v>
      </c>
      <c r="X15" s="35">
        <f t="shared" si="10"/>
        <v>0.74838709677419357</v>
      </c>
      <c r="Y15" s="36">
        <f t="shared" si="29"/>
        <v>54909.161290322583</v>
      </c>
      <c r="Z15" s="495">
        <f>'B5'!C14</f>
        <v>238</v>
      </c>
      <c r="AA15" s="203">
        <f t="shared" si="30"/>
        <v>2380</v>
      </c>
      <c r="AB15" s="203">
        <f t="shared" si="31"/>
        <v>238</v>
      </c>
      <c r="AC15" s="203">
        <f t="shared" si="30"/>
        <v>2380</v>
      </c>
      <c r="AD15" s="203">
        <f t="shared" si="32"/>
        <v>238</v>
      </c>
      <c r="AE15" s="203">
        <f t="shared" si="11"/>
        <v>2380</v>
      </c>
      <c r="AF15" s="203">
        <f t="shared" si="33"/>
        <v>238</v>
      </c>
      <c r="AG15" s="203">
        <f t="shared" si="12"/>
        <v>2380</v>
      </c>
      <c r="AH15" s="203">
        <f t="shared" si="34"/>
        <v>238</v>
      </c>
      <c r="AI15" s="203">
        <f t="shared" si="13"/>
        <v>2380</v>
      </c>
      <c r="AJ15" s="203">
        <f t="shared" si="35"/>
        <v>238</v>
      </c>
      <c r="AK15" s="203">
        <f t="shared" si="14"/>
        <v>2380</v>
      </c>
      <c r="AL15" s="203">
        <f t="shared" si="36"/>
        <v>238</v>
      </c>
      <c r="AM15" s="203">
        <f t="shared" si="15"/>
        <v>2380</v>
      </c>
      <c r="AN15" s="35">
        <f t="shared" si="16"/>
        <v>0.85</v>
      </c>
      <c r="AO15" s="36">
        <f t="shared" si="39"/>
        <v>16660</v>
      </c>
      <c r="AQ15" s="223">
        <f t="shared" si="40"/>
        <v>0.76980919963776029</v>
      </c>
      <c r="AR15" s="38">
        <f t="shared" si="41"/>
        <v>71569.161290322576</v>
      </c>
      <c r="AS15" s="197">
        <f t="shared" si="42"/>
        <v>-990.03225806451519</v>
      </c>
      <c r="AT15" s="338"/>
      <c r="AU15" s="544"/>
      <c r="AV15" s="483">
        <f>IF(AT15&gt;0,AU15,AV14)</f>
        <v>0</v>
      </c>
      <c r="AW15" s="278">
        <f>-SUM('B5'!AI14)</f>
        <v>-222</v>
      </c>
      <c r="AX15" s="278">
        <f t="shared" si="17"/>
        <v>-768.03225806451519</v>
      </c>
      <c r="AY15" s="37">
        <f t="shared" si="37"/>
        <v>-990.03225806451519</v>
      </c>
      <c r="AZ15" s="100">
        <f>ELEC!A13</f>
        <v>0</v>
      </c>
      <c r="BA15" s="118">
        <f>'General information '!D14</f>
        <v>23.5</v>
      </c>
      <c r="BB15" s="376">
        <f>SUM('General information '!E14)</f>
        <v>0.52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-192.0080645161288</v>
      </c>
      <c r="BK15" s="534">
        <f>GEN!AF12</f>
        <v>0.14656249999992119</v>
      </c>
    </row>
    <row r="16" spans="1:63">
      <c r="A16" s="423">
        <f>ELEC!C14</f>
        <v>44876</v>
      </c>
      <c r="B16" s="495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495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39"/>
        <v>16660</v>
      </c>
      <c r="AQ16" s="223">
        <f t="shared" si="40"/>
        <v>0.76980919963776029</v>
      </c>
      <c r="AR16" s="38">
        <f>Y16+AO16</f>
        <v>71569.161290322576</v>
      </c>
      <c r="AS16" s="197">
        <f>SUM(AR16-AR15-AT16)</f>
        <v>0</v>
      </c>
      <c r="AT16" s="338"/>
      <c r="AU16" s="544"/>
      <c r="AV16" s="483">
        <f t="shared" ref="AV16" si="45">IF(AT16&gt;0,AU16,AV15)</f>
        <v>0</v>
      </c>
      <c r="AW16" s="278">
        <f>-SUM('B5'!AI15)</f>
        <v>0</v>
      </c>
      <c r="AX16" s="278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6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4" t="e">
        <f>GEN!AF13</f>
        <v>#DIV/0!</v>
      </c>
    </row>
    <row r="17" spans="1:64">
      <c r="A17" s="423">
        <f>ELEC!C15</f>
        <v>44877</v>
      </c>
      <c r="B17" s="495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495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0"/>
        <v>0.76980919963776029</v>
      </c>
      <c r="AR17" s="38">
        <f t="shared" si="41"/>
        <v>71569.161290322576</v>
      </c>
      <c r="AS17" s="197">
        <f t="shared" si="42"/>
        <v>0</v>
      </c>
      <c r="AT17" s="338"/>
      <c r="AU17" s="544"/>
      <c r="AV17" s="483">
        <f>IF(AT17&gt;0,AU17,AV16)</f>
        <v>0</v>
      </c>
      <c r="AW17" s="278">
        <f>-SUM('B5'!AI16)</f>
        <v>0</v>
      </c>
      <c r="AX17" s="278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6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724.02109704690793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4" t="e">
        <f>GEN!AF14</f>
        <v>#DIV/0!</v>
      </c>
    </row>
    <row r="18" spans="1:64">
      <c r="A18" s="423">
        <f>ELEC!C16</f>
        <v>44878</v>
      </c>
      <c r="B18" s="495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495">
        <f>'B5'!C17</f>
        <v>235</v>
      </c>
      <c r="AA18" s="203">
        <f t="shared" si="30"/>
        <v>2350</v>
      </c>
      <c r="AB18" s="203">
        <f t="shared" si="31"/>
        <v>235</v>
      </c>
      <c r="AC18" s="203">
        <f t="shared" si="30"/>
        <v>2350</v>
      </c>
      <c r="AD18" s="203">
        <f t="shared" si="32"/>
        <v>235</v>
      </c>
      <c r="AE18" s="203">
        <f t="shared" si="11"/>
        <v>2350</v>
      </c>
      <c r="AF18" s="203">
        <f t="shared" si="33"/>
        <v>235</v>
      </c>
      <c r="AG18" s="203">
        <f t="shared" si="12"/>
        <v>2350</v>
      </c>
      <c r="AH18" s="203">
        <f t="shared" si="34"/>
        <v>235</v>
      </c>
      <c r="AI18" s="203">
        <f t="shared" si="13"/>
        <v>2350</v>
      </c>
      <c r="AJ18" s="203">
        <f t="shared" si="35"/>
        <v>235</v>
      </c>
      <c r="AK18" s="203">
        <f t="shared" si="14"/>
        <v>2350</v>
      </c>
      <c r="AL18" s="203">
        <f t="shared" si="36"/>
        <v>235</v>
      </c>
      <c r="AM18" s="203">
        <f t="shared" si="15"/>
        <v>2350</v>
      </c>
      <c r="AN18" s="35">
        <f t="shared" si="16"/>
        <v>0.8392857142857143</v>
      </c>
      <c r="AO18" s="36">
        <f t="shared" si="39"/>
        <v>16450</v>
      </c>
      <c r="AQ18" s="223">
        <f t="shared" si="40"/>
        <v>0.75736744770251951</v>
      </c>
      <c r="AR18" s="38">
        <f t="shared" si="41"/>
        <v>70412.451612903242</v>
      </c>
      <c r="AS18" s="197">
        <f>SUM(AR18-AR17-AT18)</f>
        <v>-1156.7096774193342</v>
      </c>
      <c r="AT18" s="338"/>
      <c r="AU18" s="544"/>
      <c r="AV18" s="483">
        <f t="shared" ref="AV18:AV36" si="47">IF(AT18&gt;0,AU18,AV17)</f>
        <v>0</v>
      </c>
      <c r="AW18" s="278">
        <f>-SUM('B5'!AI17)</f>
        <v>-161</v>
      </c>
      <c r="AX18" s="278">
        <f t="shared" si="17"/>
        <v>-995.70967741933418</v>
      </c>
      <c r="AY18" s="37">
        <f t="shared" si="37"/>
        <v>-1156.7096774193342</v>
      </c>
      <c r="AZ18" s="100">
        <f>ELEC!A16</f>
        <v>0</v>
      </c>
      <c r="BA18" s="118">
        <f>'General information '!D17</f>
        <v>24</v>
      </c>
      <c r="BB18" s="376">
        <f>SUM('General information '!E17)</f>
        <v>0.38</v>
      </c>
      <c r="BC18" s="3">
        <f t="shared" si="44"/>
        <v>0</v>
      </c>
      <c r="BD18" s="102">
        <v>19222</v>
      </c>
      <c r="BE18" s="14">
        <f>(305/1185)*ELEC!Q17</f>
        <v>771.89451476788008</v>
      </c>
      <c r="BF18" s="14"/>
      <c r="BG18" s="14" t="e">
        <f>#REF!-BE18</f>
        <v>#REF!</v>
      </c>
      <c r="BH18" s="11"/>
      <c r="BI18">
        <v>5</v>
      </c>
      <c r="BJ18">
        <f t="shared" si="46"/>
        <v>-199.14193548386683</v>
      </c>
      <c r="BK18" s="534"/>
    </row>
    <row r="19" spans="1:64">
      <c r="A19" s="423">
        <f>ELEC!C17</f>
        <v>44879</v>
      </c>
      <c r="B19" s="495">
        <f>'B5'!B18</f>
        <v>225</v>
      </c>
      <c r="C19" s="203">
        <f t="shared" si="18"/>
        <v>4841.1290322580644</v>
      </c>
      <c r="D19">
        <f t="shared" si="19"/>
        <v>225</v>
      </c>
      <c r="E19" s="203">
        <f t="shared" si="18"/>
        <v>4841.1290322580644</v>
      </c>
      <c r="F19">
        <f t="shared" si="20"/>
        <v>225</v>
      </c>
      <c r="G19" s="203">
        <f t="shared" si="1"/>
        <v>4841.1290322580644</v>
      </c>
      <c r="H19" s="203">
        <f t="shared" si="21"/>
        <v>225</v>
      </c>
      <c r="I19" s="203">
        <f t="shared" si="2"/>
        <v>4841.1290322580644</v>
      </c>
      <c r="J19" s="203">
        <f t="shared" si="22"/>
        <v>225</v>
      </c>
      <c r="K19" s="203">
        <f t="shared" si="3"/>
        <v>4841.1290322580644</v>
      </c>
      <c r="L19" s="203">
        <f t="shared" si="23"/>
        <v>225</v>
      </c>
      <c r="M19" s="203">
        <f t="shared" si="4"/>
        <v>4841.1290322580644</v>
      </c>
      <c r="N19" s="203">
        <f t="shared" si="24"/>
        <v>225</v>
      </c>
      <c r="O19" s="203">
        <f t="shared" si="5"/>
        <v>4841.1290322580644</v>
      </c>
      <c r="P19" s="203">
        <f t="shared" si="25"/>
        <v>225</v>
      </c>
      <c r="Q19" s="203">
        <f t="shared" si="6"/>
        <v>4841.1290322580644</v>
      </c>
      <c r="R19" s="203">
        <f t="shared" si="26"/>
        <v>225</v>
      </c>
      <c r="S19" s="203">
        <f t="shared" si="7"/>
        <v>4841.1290322580644</v>
      </c>
      <c r="T19" s="203">
        <f t="shared" si="27"/>
        <v>225</v>
      </c>
      <c r="U19" s="203">
        <f t="shared" si="8"/>
        <v>4841.1290322580644</v>
      </c>
      <c r="V19" s="203">
        <f t="shared" si="28"/>
        <v>225</v>
      </c>
      <c r="W19" s="203">
        <f t="shared" si="9"/>
        <v>4841.1290322580644</v>
      </c>
      <c r="X19" s="35">
        <f t="shared" si="10"/>
        <v>0.72580645161290303</v>
      </c>
      <c r="Y19" s="36">
        <f t="shared" si="29"/>
        <v>53252.419354838697</v>
      </c>
      <c r="Z19" s="495">
        <f>'B5'!C18</f>
        <v>231</v>
      </c>
      <c r="AA19" s="203">
        <f t="shared" si="30"/>
        <v>2310</v>
      </c>
      <c r="AB19" s="203">
        <f t="shared" si="31"/>
        <v>231</v>
      </c>
      <c r="AC19" s="203">
        <f t="shared" si="30"/>
        <v>2310</v>
      </c>
      <c r="AD19" s="203">
        <f t="shared" si="32"/>
        <v>231</v>
      </c>
      <c r="AE19" s="203">
        <f t="shared" si="11"/>
        <v>2310</v>
      </c>
      <c r="AF19" s="203">
        <f t="shared" si="33"/>
        <v>231</v>
      </c>
      <c r="AG19" s="203">
        <f t="shared" si="12"/>
        <v>2310</v>
      </c>
      <c r="AH19" s="203">
        <f t="shared" si="34"/>
        <v>231</v>
      </c>
      <c r="AI19" s="203">
        <f t="shared" si="13"/>
        <v>2310</v>
      </c>
      <c r="AJ19" s="203">
        <f t="shared" si="35"/>
        <v>231</v>
      </c>
      <c r="AK19" s="203">
        <f t="shared" si="14"/>
        <v>2310</v>
      </c>
      <c r="AL19" s="203">
        <f t="shared" si="36"/>
        <v>231</v>
      </c>
      <c r="AM19" s="203">
        <f t="shared" si="15"/>
        <v>2310</v>
      </c>
      <c r="AN19" s="35">
        <f t="shared" si="16"/>
        <v>0.82499999999999996</v>
      </c>
      <c r="AO19" s="36">
        <f t="shared" si="39"/>
        <v>16170</v>
      </c>
      <c r="AQ19" s="223">
        <f t="shared" si="40"/>
        <v>0.7467185044082898</v>
      </c>
      <c r="AR19" s="38">
        <f t="shared" si="41"/>
        <v>69422.419354838697</v>
      </c>
      <c r="AS19" s="197">
        <f t="shared" si="42"/>
        <v>-990.03225806454429</v>
      </c>
      <c r="AT19" s="338"/>
      <c r="AU19" s="544"/>
      <c r="AV19" s="483">
        <f t="shared" si="47"/>
        <v>0</v>
      </c>
      <c r="AW19" s="278">
        <f>-SUM('B5'!AI18)</f>
        <v>-153</v>
      </c>
      <c r="AX19" s="278">
        <f t="shared" si="17"/>
        <v>-837.03225806454429</v>
      </c>
      <c r="AY19" s="37">
        <f t="shared" si="37"/>
        <v>-990.03225806454429</v>
      </c>
      <c r="AZ19" s="100">
        <f>ELEC!A17</f>
        <v>0</v>
      </c>
      <c r="BA19" s="118">
        <f>'General information '!D18</f>
        <v>22.5</v>
      </c>
      <c r="BB19" s="376">
        <f>SUM('General information '!E18)</f>
        <v>0.52</v>
      </c>
      <c r="BC19" s="3">
        <f t="shared" si="44"/>
        <v>0</v>
      </c>
      <c r="BD19" s="102">
        <v>19222</v>
      </c>
      <c r="BE19" s="14">
        <f>(305/1185)*ELEC!Q18</f>
        <v>634.45147679328647</v>
      </c>
      <c r="BF19" s="14"/>
      <c r="BG19" s="14" t="e">
        <f>#REF!-BE19</f>
        <v>#REF!</v>
      </c>
      <c r="BH19" s="11"/>
      <c r="BI19">
        <v>6</v>
      </c>
      <c r="BJ19">
        <f t="shared" si="46"/>
        <v>-139.50537634409071</v>
      </c>
      <c r="BK19" s="534"/>
    </row>
    <row r="20" spans="1:64">
      <c r="A20" s="423">
        <f>ELEC!C18</f>
        <v>44880</v>
      </c>
      <c r="B20" s="495">
        <f>'B5'!B19</f>
        <v>222</v>
      </c>
      <c r="C20" s="203">
        <f t="shared" si="18"/>
        <v>4776.5806451612898</v>
      </c>
      <c r="D20">
        <f t="shared" si="19"/>
        <v>222</v>
      </c>
      <c r="E20" s="203">
        <f t="shared" si="18"/>
        <v>4776.5806451612898</v>
      </c>
      <c r="F20">
        <f t="shared" si="20"/>
        <v>222</v>
      </c>
      <c r="G20" s="203">
        <f t="shared" si="1"/>
        <v>4776.5806451612898</v>
      </c>
      <c r="H20" s="203">
        <f t="shared" si="21"/>
        <v>222</v>
      </c>
      <c r="I20" s="203">
        <f t="shared" si="2"/>
        <v>4776.5806451612898</v>
      </c>
      <c r="J20" s="203">
        <f t="shared" si="22"/>
        <v>222</v>
      </c>
      <c r="K20" s="203">
        <f t="shared" si="3"/>
        <v>4776.5806451612898</v>
      </c>
      <c r="L20" s="203">
        <f t="shared" si="23"/>
        <v>222</v>
      </c>
      <c r="M20" s="203">
        <f t="shared" si="4"/>
        <v>4776.5806451612898</v>
      </c>
      <c r="N20" s="203">
        <f t="shared" si="24"/>
        <v>222</v>
      </c>
      <c r="O20" s="203">
        <f t="shared" si="5"/>
        <v>4776.5806451612898</v>
      </c>
      <c r="P20" s="203">
        <f t="shared" si="25"/>
        <v>222</v>
      </c>
      <c r="Q20" s="203">
        <f t="shared" si="6"/>
        <v>4776.5806451612898</v>
      </c>
      <c r="R20" s="203">
        <f t="shared" si="26"/>
        <v>222</v>
      </c>
      <c r="S20" s="203">
        <f t="shared" si="7"/>
        <v>4776.5806451612898</v>
      </c>
      <c r="T20" s="203">
        <f t="shared" si="27"/>
        <v>222</v>
      </c>
      <c r="U20" s="203">
        <f t="shared" si="8"/>
        <v>4776.5806451612898</v>
      </c>
      <c r="V20" s="203">
        <f t="shared" si="28"/>
        <v>222</v>
      </c>
      <c r="W20" s="203">
        <f t="shared" si="9"/>
        <v>4776.5806451612898</v>
      </c>
      <c r="X20" s="35">
        <f t="shared" si="10"/>
        <v>0.71612903225806424</v>
      </c>
      <c r="Y20" s="36">
        <f t="shared" si="29"/>
        <v>52542.387096774175</v>
      </c>
      <c r="Z20" s="495">
        <f>'B5'!C19</f>
        <v>228</v>
      </c>
      <c r="AA20" s="203">
        <f t="shared" si="30"/>
        <v>2280</v>
      </c>
      <c r="AB20" s="203">
        <f t="shared" si="31"/>
        <v>228</v>
      </c>
      <c r="AC20" s="203">
        <f t="shared" si="30"/>
        <v>2280</v>
      </c>
      <c r="AD20" s="203">
        <f t="shared" si="32"/>
        <v>228</v>
      </c>
      <c r="AE20" s="203">
        <f t="shared" si="11"/>
        <v>2280</v>
      </c>
      <c r="AF20" s="203">
        <f t="shared" si="33"/>
        <v>228</v>
      </c>
      <c r="AG20" s="203">
        <f t="shared" si="12"/>
        <v>2280</v>
      </c>
      <c r="AH20" s="203">
        <f t="shared" si="34"/>
        <v>228</v>
      </c>
      <c r="AI20" s="203">
        <f t="shared" si="13"/>
        <v>2280</v>
      </c>
      <c r="AJ20" s="203">
        <f t="shared" si="35"/>
        <v>228</v>
      </c>
      <c r="AK20" s="203">
        <f t="shared" si="14"/>
        <v>2280</v>
      </c>
      <c r="AL20" s="203">
        <f t="shared" si="36"/>
        <v>228</v>
      </c>
      <c r="AM20" s="203">
        <f t="shared" si="15"/>
        <v>2280</v>
      </c>
      <c r="AN20" s="35">
        <f t="shared" si="16"/>
        <v>0.81428571428571428</v>
      </c>
      <c r="AO20" s="36">
        <f t="shared" si="39"/>
        <v>15960</v>
      </c>
      <c r="AQ20" s="223">
        <f t="shared" si="40"/>
        <v>0.73682249216708817</v>
      </c>
      <c r="AR20" s="38">
        <f t="shared" si="41"/>
        <v>68502.387096774182</v>
      </c>
      <c r="AS20" s="197">
        <f t="shared" si="42"/>
        <v>-920.03225806451519</v>
      </c>
      <c r="AT20" s="338"/>
      <c r="AU20" s="544"/>
      <c r="AV20" s="483">
        <f t="shared" si="47"/>
        <v>0</v>
      </c>
      <c r="AW20" s="278">
        <f>-SUM('B5'!AI19)</f>
        <v>-64</v>
      </c>
      <c r="AX20" s="278">
        <f>-SUM(AW20-AS20)</f>
        <v>-856.03225806451519</v>
      </c>
      <c r="AY20" s="37">
        <f t="shared" si="37"/>
        <v>-920.03225806451519</v>
      </c>
      <c r="AZ20" s="100">
        <f>ELEC!A18</f>
        <v>0</v>
      </c>
      <c r="BA20" s="118">
        <f>'General information '!D19</f>
        <v>21.5</v>
      </c>
      <c r="BB20" s="376">
        <f>SUM('General information '!E19)</f>
        <v>0.57999999999999996</v>
      </c>
      <c r="BC20" s="3">
        <f t="shared" si="44"/>
        <v>0</v>
      </c>
      <c r="BD20" s="102">
        <v>19222</v>
      </c>
      <c r="BE20" s="14">
        <f>(305/1185)*ELEC!Q19</f>
        <v>752.07594936674411</v>
      </c>
      <c r="BF20" s="14"/>
      <c r="BG20" s="14" t="e">
        <f>#REF!-BE20</f>
        <v>#REF!</v>
      </c>
      <c r="BH20" s="11"/>
      <c r="BI20">
        <v>7</v>
      </c>
      <c r="BJ20">
        <f t="shared" si="46"/>
        <v>-122.29032258064503</v>
      </c>
      <c r="BK20" s="534">
        <f>GEN!AF17</f>
        <v>0.15406250000000909</v>
      </c>
      <c r="BL20" s="203"/>
    </row>
    <row r="21" spans="1:64">
      <c r="A21" s="423">
        <f>ELEC!C19</f>
        <v>44881</v>
      </c>
      <c r="B21" s="495">
        <f>'B5'!B20</f>
        <v>238</v>
      </c>
      <c r="C21" s="203">
        <f t="shared" si="18"/>
        <v>5120.8387096774195</v>
      </c>
      <c r="D21">
        <f t="shared" si="19"/>
        <v>238</v>
      </c>
      <c r="E21" s="203">
        <f t="shared" si="18"/>
        <v>5120.8387096774195</v>
      </c>
      <c r="F21">
        <f t="shared" si="20"/>
        <v>238</v>
      </c>
      <c r="G21" s="203">
        <f t="shared" si="1"/>
        <v>5120.8387096774195</v>
      </c>
      <c r="H21" s="203">
        <f t="shared" si="21"/>
        <v>238</v>
      </c>
      <c r="I21" s="203">
        <f t="shared" si="2"/>
        <v>5120.8387096774195</v>
      </c>
      <c r="J21" s="203">
        <f t="shared" si="22"/>
        <v>238</v>
      </c>
      <c r="K21" s="203">
        <f t="shared" si="3"/>
        <v>5120.8387096774195</v>
      </c>
      <c r="L21" s="203">
        <f t="shared" si="23"/>
        <v>238</v>
      </c>
      <c r="M21" s="203">
        <f t="shared" si="4"/>
        <v>5120.8387096774195</v>
      </c>
      <c r="N21" s="203">
        <f t="shared" si="24"/>
        <v>238</v>
      </c>
      <c r="O21" s="203">
        <f t="shared" si="5"/>
        <v>5120.8387096774195</v>
      </c>
      <c r="P21" s="203">
        <f t="shared" si="25"/>
        <v>238</v>
      </c>
      <c r="Q21" s="203">
        <f t="shared" si="6"/>
        <v>5120.8387096774195</v>
      </c>
      <c r="R21" s="203">
        <f t="shared" si="26"/>
        <v>238</v>
      </c>
      <c r="S21" s="203">
        <f t="shared" si="7"/>
        <v>5120.8387096774195</v>
      </c>
      <c r="T21" s="203">
        <f t="shared" si="27"/>
        <v>238</v>
      </c>
      <c r="U21" s="203">
        <f t="shared" si="8"/>
        <v>5120.8387096774195</v>
      </c>
      <c r="V21" s="203">
        <f t="shared" si="28"/>
        <v>238</v>
      </c>
      <c r="W21" s="203">
        <f t="shared" si="9"/>
        <v>5120.8387096774195</v>
      </c>
      <c r="X21" s="35">
        <f t="shared" si="10"/>
        <v>0.76774193548387093</v>
      </c>
      <c r="Y21" s="36">
        <f t="shared" si="29"/>
        <v>56329.225806451606</v>
      </c>
      <c r="Z21" s="495">
        <f>'B5'!C20</f>
        <v>245</v>
      </c>
      <c r="AA21" s="203">
        <f t="shared" si="30"/>
        <v>2450</v>
      </c>
      <c r="AB21" s="203">
        <f t="shared" si="31"/>
        <v>245</v>
      </c>
      <c r="AC21" s="203">
        <f t="shared" si="30"/>
        <v>2450</v>
      </c>
      <c r="AD21" s="203">
        <f t="shared" si="32"/>
        <v>245</v>
      </c>
      <c r="AE21" s="203">
        <f t="shared" si="11"/>
        <v>2450</v>
      </c>
      <c r="AF21" s="203">
        <f t="shared" si="33"/>
        <v>245</v>
      </c>
      <c r="AG21" s="203">
        <f t="shared" si="12"/>
        <v>2450</v>
      </c>
      <c r="AH21" s="203">
        <f t="shared" si="34"/>
        <v>245</v>
      </c>
      <c r="AI21" s="203">
        <f t="shared" si="13"/>
        <v>2450</v>
      </c>
      <c r="AJ21" s="203">
        <f t="shared" si="35"/>
        <v>245</v>
      </c>
      <c r="AK21" s="203">
        <f t="shared" si="14"/>
        <v>2450</v>
      </c>
      <c r="AL21" s="203">
        <f t="shared" si="36"/>
        <v>245</v>
      </c>
      <c r="AM21" s="203">
        <f t="shared" si="15"/>
        <v>2450</v>
      </c>
      <c r="AN21" s="35">
        <f t="shared" si="16"/>
        <v>0.875</v>
      </c>
      <c r="AO21" s="36">
        <f t="shared" si="39"/>
        <v>17150</v>
      </c>
      <c r="AQ21" s="223">
        <f t="shared" si="40"/>
        <v>0.79035415517319141</v>
      </c>
      <c r="AR21" s="38">
        <f t="shared" si="41"/>
        <v>73479.225806451606</v>
      </c>
      <c r="AS21" s="197">
        <f>SUM(AR21-AR20-AT21)</f>
        <v>-553.16129032257595</v>
      </c>
      <c r="AT21" s="338">
        <v>5530</v>
      </c>
      <c r="AU21" s="544">
        <v>1.0349999999999999</v>
      </c>
      <c r="AV21" s="483">
        <f t="shared" si="47"/>
        <v>1.0349999999999999</v>
      </c>
      <c r="AW21" s="278">
        <f>-SUM('B5'!AI20)</f>
        <v>-198</v>
      </c>
      <c r="AX21" s="278">
        <f t="shared" si="17"/>
        <v>-355.16129032257595</v>
      </c>
      <c r="AY21" s="37">
        <f t="shared" si="37"/>
        <v>-553.16129032257595</v>
      </c>
      <c r="AZ21" s="100">
        <f>ELEC!A19</f>
        <v>0</v>
      </c>
      <c r="BA21" s="118">
        <f>'General information '!D20</f>
        <v>19.5</v>
      </c>
      <c r="BB21" s="376">
        <f>SUM('General information '!E20)</f>
        <v>0.69</v>
      </c>
      <c r="BC21" s="3">
        <f t="shared" si="44"/>
        <v>1</v>
      </c>
      <c r="BD21" s="102">
        <v>19222</v>
      </c>
      <c r="BE21" s="14">
        <f>(305/1185)*ELEC!Q20</f>
        <v>672.80168776407265</v>
      </c>
      <c r="BF21" s="14"/>
      <c r="BG21" s="14" t="e">
        <f>#REF!-BE21</f>
        <v>#REF!</v>
      </c>
      <c r="BH21" s="11"/>
      <c r="BI21">
        <v>8</v>
      </c>
      <c r="BJ21">
        <f t="shared" si="46"/>
        <v>-44.395161290321994</v>
      </c>
      <c r="BK21" s="534">
        <f>GEN!AF18</f>
        <v>0.15218749999993028</v>
      </c>
    </row>
    <row r="22" spans="1:64">
      <c r="A22" s="423">
        <f>ELEC!C20</f>
        <v>44882</v>
      </c>
      <c r="B22" s="495">
        <f>'B5'!B21</f>
        <v>234</v>
      </c>
      <c r="C22" s="203">
        <f t="shared" si="18"/>
        <v>5034.7741935483873</v>
      </c>
      <c r="D22">
        <f t="shared" si="19"/>
        <v>234</v>
      </c>
      <c r="E22" s="203">
        <f t="shared" si="18"/>
        <v>5034.7741935483873</v>
      </c>
      <c r="F22">
        <f t="shared" si="20"/>
        <v>234</v>
      </c>
      <c r="G22" s="203">
        <f t="shared" si="1"/>
        <v>5034.7741935483873</v>
      </c>
      <c r="H22" s="203">
        <f t="shared" si="21"/>
        <v>234</v>
      </c>
      <c r="I22" s="203">
        <f t="shared" si="2"/>
        <v>5034.7741935483873</v>
      </c>
      <c r="J22" s="203">
        <f t="shared" si="22"/>
        <v>234</v>
      </c>
      <c r="K22" s="203">
        <f t="shared" si="3"/>
        <v>5034.7741935483873</v>
      </c>
      <c r="L22" s="203">
        <f t="shared" si="23"/>
        <v>234</v>
      </c>
      <c r="M22" s="203">
        <f t="shared" si="4"/>
        <v>5034.7741935483873</v>
      </c>
      <c r="N22" s="203">
        <f t="shared" si="24"/>
        <v>234</v>
      </c>
      <c r="O22" s="203">
        <f t="shared" si="5"/>
        <v>5034.7741935483873</v>
      </c>
      <c r="P22" s="203">
        <f t="shared" si="25"/>
        <v>234</v>
      </c>
      <c r="Q22" s="203">
        <f t="shared" si="6"/>
        <v>5034.7741935483873</v>
      </c>
      <c r="R22" s="203">
        <f t="shared" si="26"/>
        <v>234</v>
      </c>
      <c r="S22" s="203">
        <f t="shared" si="7"/>
        <v>5034.7741935483873</v>
      </c>
      <c r="T22" s="203">
        <f t="shared" si="27"/>
        <v>234</v>
      </c>
      <c r="U22" s="203">
        <f t="shared" si="8"/>
        <v>5034.7741935483873</v>
      </c>
      <c r="V22" s="203">
        <f t="shared" si="28"/>
        <v>234</v>
      </c>
      <c r="W22" s="203">
        <f t="shared" si="9"/>
        <v>5034.7741935483873</v>
      </c>
      <c r="X22" s="35">
        <f t="shared" si="10"/>
        <v>0.75483870967741939</v>
      </c>
      <c r="Y22" s="36">
        <f t="shared" si="29"/>
        <v>55382.516129032258</v>
      </c>
      <c r="Z22" s="495">
        <f>'B5'!C21</f>
        <v>241</v>
      </c>
      <c r="AA22" s="203">
        <f t="shared" si="30"/>
        <v>2410</v>
      </c>
      <c r="AB22" s="203">
        <f t="shared" si="31"/>
        <v>241</v>
      </c>
      <c r="AC22" s="203">
        <f t="shared" si="30"/>
        <v>2410</v>
      </c>
      <c r="AD22" s="203">
        <f t="shared" si="32"/>
        <v>241</v>
      </c>
      <c r="AE22" s="203">
        <f t="shared" si="11"/>
        <v>2410</v>
      </c>
      <c r="AF22" s="203">
        <f t="shared" si="33"/>
        <v>241</v>
      </c>
      <c r="AG22" s="203">
        <f t="shared" si="12"/>
        <v>2410</v>
      </c>
      <c r="AH22" s="203">
        <f t="shared" si="34"/>
        <v>241</v>
      </c>
      <c r="AI22" s="203">
        <f t="shared" si="13"/>
        <v>2410</v>
      </c>
      <c r="AJ22" s="203">
        <f t="shared" si="35"/>
        <v>241</v>
      </c>
      <c r="AK22" s="203">
        <f t="shared" si="14"/>
        <v>2410</v>
      </c>
      <c r="AL22" s="203">
        <f t="shared" si="36"/>
        <v>241</v>
      </c>
      <c r="AM22" s="203">
        <f t="shared" si="15"/>
        <v>2410</v>
      </c>
      <c r="AN22" s="35">
        <f t="shared" si="16"/>
        <v>0.86071428571428577</v>
      </c>
      <c r="AO22" s="36">
        <f t="shared" si="39"/>
        <v>16870</v>
      </c>
      <c r="AQ22" s="223">
        <f t="shared" si="40"/>
        <v>0.77715947218492265</v>
      </c>
      <c r="AR22" s="38">
        <f t="shared" si="41"/>
        <v>72252.516129032258</v>
      </c>
      <c r="AS22" s="197">
        <f t="shared" ref="AS22:AS32" si="48">SUM(AR22-AR21-AT22)</f>
        <v>-1226.7096774193487</v>
      </c>
      <c r="AT22" s="338"/>
      <c r="AU22" s="544"/>
      <c r="AV22" s="483">
        <f t="shared" si="47"/>
        <v>1.0349999999999999</v>
      </c>
      <c r="AW22" s="278">
        <f>-SUM('B5'!AI21)</f>
        <v>-150</v>
      </c>
      <c r="AX22" s="278">
        <f>-SUM(AW22-AS22)</f>
        <v>-1076.7096774193487</v>
      </c>
      <c r="AY22" s="37">
        <f t="shared" si="37"/>
        <v>-1226.7096774193487</v>
      </c>
      <c r="AZ22" s="100">
        <f>ELEC!A20</f>
        <v>0</v>
      </c>
      <c r="BA22" s="118">
        <f>'General information '!D21</f>
        <v>20.5</v>
      </c>
      <c r="BB22" s="376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-119.63440860214986</v>
      </c>
      <c r="BK22" s="534">
        <f>GEN!AF19</f>
        <v>0.14852272727280666</v>
      </c>
    </row>
    <row r="23" spans="1:64">
      <c r="A23" s="423">
        <f>ELEC!C21</f>
        <v>44883</v>
      </c>
      <c r="B23" s="495">
        <f>'B5'!B22</f>
        <v>234</v>
      </c>
      <c r="C23" s="203">
        <f t="shared" si="18"/>
        <v>5034.7741935483873</v>
      </c>
      <c r="D23">
        <f t="shared" si="19"/>
        <v>234</v>
      </c>
      <c r="E23" s="203">
        <f t="shared" si="18"/>
        <v>5034.7741935483873</v>
      </c>
      <c r="F23">
        <f t="shared" si="20"/>
        <v>234</v>
      </c>
      <c r="G23" s="203">
        <f t="shared" si="1"/>
        <v>5034.7741935483873</v>
      </c>
      <c r="H23" s="203">
        <f t="shared" si="21"/>
        <v>234</v>
      </c>
      <c r="I23" s="203">
        <f t="shared" si="2"/>
        <v>5034.7741935483873</v>
      </c>
      <c r="J23" s="203">
        <f t="shared" si="22"/>
        <v>234</v>
      </c>
      <c r="K23" s="203">
        <f t="shared" si="3"/>
        <v>5034.7741935483873</v>
      </c>
      <c r="L23" s="203">
        <f t="shared" si="23"/>
        <v>234</v>
      </c>
      <c r="M23" s="203">
        <f t="shared" si="4"/>
        <v>5034.7741935483873</v>
      </c>
      <c r="N23" s="203">
        <f t="shared" si="24"/>
        <v>234</v>
      </c>
      <c r="O23" s="203">
        <f t="shared" si="5"/>
        <v>5034.7741935483873</v>
      </c>
      <c r="P23" s="203">
        <f t="shared" si="25"/>
        <v>234</v>
      </c>
      <c r="Q23" s="203">
        <f t="shared" si="6"/>
        <v>5034.7741935483873</v>
      </c>
      <c r="R23" s="203">
        <f t="shared" si="26"/>
        <v>234</v>
      </c>
      <c r="S23" s="203">
        <f t="shared" si="7"/>
        <v>5034.7741935483873</v>
      </c>
      <c r="T23" s="203">
        <f t="shared" si="27"/>
        <v>234</v>
      </c>
      <c r="U23" s="203">
        <f t="shared" si="8"/>
        <v>5034.7741935483873</v>
      </c>
      <c r="V23" s="203">
        <f t="shared" si="28"/>
        <v>234</v>
      </c>
      <c r="W23" s="203">
        <f t="shared" si="9"/>
        <v>5034.7741935483873</v>
      </c>
      <c r="X23" s="35">
        <f t="shared" si="10"/>
        <v>0.75483870967741939</v>
      </c>
      <c r="Y23" s="36">
        <f t="shared" si="29"/>
        <v>55382.516129032258</v>
      </c>
      <c r="Z23" s="495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39"/>
        <v>16870</v>
      </c>
      <c r="AQ23" s="223">
        <f t="shared" si="40"/>
        <v>0.77715947218492265</v>
      </c>
      <c r="AR23" s="38">
        <f t="shared" si="41"/>
        <v>72252.516129032258</v>
      </c>
      <c r="AS23" s="197">
        <f t="shared" si="48"/>
        <v>0</v>
      </c>
      <c r="AT23" s="338"/>
      <c r="AU23" s="544"/>
      <c r="AV23" s="483">
        <f t="shared" si="47"/>
        <v>1.0349999999999999</v>
      </c>
      <c r="AW23" s="278">
        <f>-SUM('B5'!AI22)</f>
        <v>0</v>
      </c>
      <c r="AX23" s="278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18</v>
      </c>
      <c r="BB23" s="376">
        <f>SUM('General information '!E22)</f>
        <v>0.51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4" t="e">
        <f>GEN!AF20</f>
        <v>#DIV/0!</v>
      </c>
    </row>
    <row r="24" spans="1:64">
      <c r="A24" s="423">
        <f>ELEC!C22</f>
        <v>44884</v>
      </c>
      <c r="B24" s="495">
        <f>'B5'!B23</f>
        <v>234</v>
      </c>
      <c r="C24" s="203">
        <f t="shared" si="18"/>
        <v>5034.7741935483873</v>
      </c>
      <c r="D24">
        <f t="shared" si="19"/>
        <v>234</v>
      </c>
      <c r="E24" s="203">
        <f t="shared" si="18"/>
        <v>5034.7741935483873</v>
      </c>
      <c r="F24">
        <f t="shared" si="20"/>
        <v>234</v>
      </c>
      <c r="G24" s="203">
        <f t="shared" si="1"/>
        <v>5034.7741935483873</v>
      </c>
      <c r="H24" s="203">
        <f t="shared" si="21"/>
        <v>234</v>
      </c>
      <c r="I24" s="203">
        <f t="shared" si="2"/>
        <v>5034.7741935483873</v>
      </c>
      <c r="J24" s="203">
        <f t="shared" si="22"/>
        <v>234</v>
      </c>
      <c r="K24" s="203">
        <f t="shared" si="3"/>
        <v>5034.7741935483873</v>
      </c>
      <c r="L24" s="203">
        <f t="shared" si="23"/>
        <v>234</v>
      </c>
      <c r="M24" s="203">
        <f t="shared" si="4"/>
        <v>5034.7741935483873</v>
      </c>
      <c r="N24" s="203">
        <f t="shared" si="24"/>
        <v>234</v>
      </c>
      <c r="O24" s="203">
        <f t="shared" si="5"/>
        <v>5034.7741935483873</v>
      </c>
      <c r="P24" s="203">
        <f t="shared" si="25"/>
        <v>234</v>
      </c>
      <c r="Q24" s="203">
        <f t="shared" si="6"/>
        <v>5034.7741935483873</v>
      </c>
      <c r="R24" s="203">
        <f t="shared" si="26"/>
        <v>234</v>
      </c>
      <c r="S24" s="203">
        <f t="shared" si="7"/>
        <v>5034.7741935483873</v>
      </c>
      <c r="T24" s="203">
        <f t="shared" si="27"/>
        <v>234</v>
      </c>
      <c r="U24" s="203">
        <f t="shared" si="8"/>
        <v>5034.7741935483873</v>
      </c>
      <c r="V24" s="203">
        <f t="shared" si="28"/>
        <v>234</v>
      </c>
      <c r="W24" s="203">
        <f t="shared" si="9"/>
        <v>5034.7741935483873</v>
      </c>
      <c r="X24" s="35">
        <f t="shared" si="10"/>
        <v>0.75483870967741939</v>
      </c>
      <c r="Y24" s="36">
        <f t="shared" si="29"/>
        <v>55382.516129032258</v>
      </c>
      <c r="Z24" s="495">
        <f>'B5'!C23</f>
        <v>241</v>
      </c>
      <c r="AA24" s="203">
        <f t="shared" si="30"/>
        <v>2410</v>
      </c>
      <c r="AB24" s="203">
        <f t="shared" si="31"/>
        <v>241</v>
      </c>
      <c r="AC24" s="203">
        <f t="shared" si="30"/>
        <v>2410</v>
      </c>
      <c r="AD24" s="203">
        <f t="shared" si="32"/>
        <v>241</v>
      </c>
      <c r="AE24" s="203">
        <f t="shared" si="11"/>
        <v>2410</v>
      </c>
      <c r="AF24" s="203">
        <f t="shared" si="33"/>
        <v>241</v>
      </c>
      <c r="AG24" s="203">
        <f t="shared" si="12"/>
        <v>2410</v>
      </c>
      <c r="AH24" s="203">
        <f t="shared" si="34"/>
        <v>241</v>
      </c>
      <c r="AI24" s="203">
        <f t="shared" si="13"/>
        <v>2410</v>
      </c>
      <c r="AJ24" s="203">
        <f t="shared" si="35"/>
        <v>241</v>
      </c>
      <c r="AK24" s="203">
        <f t="shared" si="14"/>
        <v>2410</v>
      </c>
      <c r="AL24" s="203">
        <f t="shared" si="36"/>
        <v>241</v>
      </c>
      <c r="AM24" s="203">
        <f t="shared" si="15"/>
        <v>2410</v>
      </c>
      <c r="AN24" s="35">
        <f t="shared" si="16"/>
        <v>0.86071428571428577</v>
      </c>
      <c r="AO24" s="36">
        <f t="shared" si="39"/>
        <v>16870</v>
      </c>
      <c r="AQ24" s="223">
        <f t="shared" si="40"/>
        <v>0.77715947218492265</v>
      </c>
      <c r="AR24" s="38">
        <f t="shared" si="41"/>
        <v>72252.516129032258</v>
      </c>
      <c r="AS24" s="197">
        <f t="shared" si="48"/>
        <v>0</v>
      </c>
      <c r="AT24" s="338"/>
      <c r="AU24" s="544"/>
      <c r="AV24" s="483">
        <f t="shared" si="47"/>
        <v>1.0349999999999999</v>
      </c>
      <c r="AW24" s="278">
        <f>-SUM('B5'!AI23)</f>
        <v>0</v>
      </c>
      <c r="AX24" s="278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6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536.90295358632568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4" t="e">
        <f>GEN!AF21</f>
        <v>#DIV/0!</v>
      </c>
    </row>
    <row r="25" spans="1:64">
      <c r="A25" s="423">
        <f>ELEC!C23</f>
        <v>44885</v>
      </c>
      <c r="B25" s="495">
        <f>'B5'!B24</f>
        <v>231</v>
      </c>
      <c r="C25" s="203">
        <f t="shared" si="18"/>
        <v>4970.2258064516127</v>
      </c>
      <c r="D25">
        <f t="shared" si="19"/>
        <v>231</v>
      </c>
      <c r="E25" s="203">
        <f t="shared" si="18"/>
        <v>4970.2258064516127</v>
      </c>
      <c r="F25">
        <f t="shared" si="20"/>
        <v>231</v>
      </c>
      <c r="G25" s="203">
        <f t="shared" si="1"/>
        <v>4970.2258064516127</v>
      </c>
      <c r="H25" s="203">
        <f t="shared" si="21"/>
        <v>231</v>
      </c>
      <c r="I25" s="203">
        <f t="shared" si="2"/>
        <v>4970.2258064516127</v>
      </c>
      <c r="J25" s="203">
        <f t="shared" si="22"/>
        <v>231</v>
      </c>
      <c r="K25" s="203">
        <f t="shared" si="3"/>
        <v>4970.2258064516127</v>
      </c>
      <c r="L25" s="203">
        <f t="shared" si="23"/>
        <v>231</v>
      </c>
      <c r="M25" s="203">
        <f t="shared" si="4"/>
        <v>4970.2258064516127</v>
      </c>
      <c r="N25" s="203">
        <f t="shared" si="24"/>
        <v>231</v>
      </c>
      <c r="O25" s="203">
        <f t="shared" si="5"/>
        <v>4970.2258064516127</v>
      </c>
      <c r="P25" s="203">
        <f t="shared" si="25"/>
        <v>231</v>
      </c>
      <c r="Q25" s="203">
        <f t="shared" si="6"/>
        <v>4970.2258064516127</v>
      </c>
      <c r="R25" s="203">
        <f t="shared" si="26"/>
        <v>231</v>
      </c>
      <c r="S25" s="203">
        <f t="shared" si="7"/>
        <v>4970.2258064516127</v>
      </c>
      <c r="T25" s="203">
        <f t="shared" si="27"/>
        <v>231</v>
      </c>
      <c r="U25" s="203">
        <f t="shared" si="8"/>
        <v>4970.2258064516127</v>
      </c>
      <c r="V25" s="203">
        <f t="shared" si="28"/>
        <v>231</v>
      </c>
      <c r="W25" s="203">
        <f t="shared" si="9"/>
        <v>4970.2258064516127</v>
      </c>
      <c r="X25" s="35">
        <f t="shared" si="10"/>
        <v>0.74516129032258061</v>
      </c>
      <c r="Y25" s="36">
        <f t="shared" si="29"/>
        <v>54672.483870967742</v>
      </c>
      <c r="Z25" s="495">
        <f>'B5'!C24</f>
        <v>238</v>
      </c>
      <c r="AA25" s="203">
        <f t="shared" si="30"/>
        <v>2380</v>
      </c>
      <c r="AB25" s="203">
        <f t="shared" si="31"/>
        <v>238</v>
      </c>
      <c r="AC25" s="203">
        <f t="shared" si="30"/>
        <v>2380</v>
      </c>
      <c r="AD25" s="203">
        <f t="shared" si="32"/>
        <v>238</v>
      </c>
      <c r="AE25" s="203">
        <f t="shared" si="11"/>
        <v>2380</v>
      </c>
      <c r="AF25" s="203">
        <f t="shared" si="33"/>
        <v>238</v>
      </c>
      <c r="AG25" s="203">
        <f t="shared" si="12"/>
        <v>2380</v>
      </c>
      <c r="AH25" s="203">
        <f t="shared" si="34"/>
        <v>238</v>
      </c>
      <c r="AI25" s="203">
        <f t="shared" si="13"/>
        <v>2380</v>
      </c>
      <c r="AJ25" s="203">
        <f t="shared" si="35"/>
        <v>238</v>
      </c>
      <c r="AK25" s="203">
        <f t="shared" si="14"/>
        <v>2380</v>
      </c>
      <c r="AL25" s="203">
        <f t="shared" si="36"/>
        <v>238</v>
      </c>
      <c r="AM25" s="203">
        <f t="shared" si="15"/>
        <v>2380</v>
      </c>
      <c r="AN25" s="35">
        <f t="shared" si="16"/>
        <v>0.85</v>
      </c>
      <c r="AO25" s="36">
        <f t="shared" si="39"/>
        <v>16660</v>
      </c>
      <c r="AQ25" s="223">
        <f t="shared" si="40"/>
        <v>0.76726345994372103</v>
      </c>
      <c r="AR25" s="38">
        <f t="shared" si="41"/>
        <v>71332.483870967742</v>
      </c>
      <c r="AS25" s="197">
        <f t="shared" si="48"/>
        <v>-920.03225806451519</v>
      </c>
      <c r="AT25" s="338"/>
      <c r="AU25" s="544"/>
      <c r="AV25" s="483">
        <f t="shared" si="47"/>
        <v>1.0349999999999999</v>
      </c>
      <c r="AW25" s="278">
        <f>-SUM('B5'!AI24)</f>
        <v>-134</v>
      </c>
      <c r="AX25" s="278">
        <f t="shared" si="17"/>
        <v>-786.03225806451519</v>
      </c>
      <c r="AY25" s="37">
        <f t="shared" si="37"/>
        <v>-920.03225806451519</v>
      </c>
      <c r="AZ25" s="100">
        <f>ELEC!A23</f>
        <v>0</v>
      </c>
      <c r="BA25" s="118">
        <f>'General information '!D24</f>
        <v>0</v>
      </c>
      <c r="BB25" s="376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687.98734177185986</v>
      </c>
      <c r="BF25" s="14"/>
      <c r="BG25" s="14" t="e">
        <f>#REF!-BE25</f>
        <v>#REF!</v>
      </c>
      <c r="BH25" s="11"/>
      <c r="BI25">
        <v>12</v>
      </c>
      <c r="BJ25">
        <f t="shared" si="46"/>
        <v>-65.502688172042937</v>
      </c>
      <c r="BK25" s="534"/>
    </row>
    <row r="26" spans="1:64">
      <c r="A26" s="423">
        <f>ELEC!C24</f>
        <v>44886</v>
      </c>
      <c r="B26" s="495">
        <f>'B5'!B25</f>
        <v>227</v>
      </c>
      <c r="C26" s="203">
        <f t="shared" si="18"/>
        <v>4884.1612903225805</v>
      </c>
      <c r="D26">
        <f t="shared" si="19"/>
        <v>227</v>
      </c>
      <c r="E26" s="203">
        <f t="shared" si="18"/>
        <v>4884.1612903225805</v>
      </c>
      <c r="F26">
        <f t="shared" si="20"/>
        <v>227</v>
      </c>
      <c r="G26" s="203">
        <f t="shared" si="1"/>
        <v>4884.1612903225805</v>
      </c>
      <c r="H26" s="203">
        <f t="shared" si="21"/>
        <v>227</v>
      </c>
      <c r="I26" s="203">
        <f t="shared" si="2"/>
        <v>4884.1612903225805</v>
      </c>
      <c r="J26" s="203">
        <f t="shared" si="22"/>
        <v>227</v>
      </c>
      <c r="K26" s="203">
        <f t="shared" si="3"/>
        <v>4884.1612903225805</v>
      </c>
      <c r="L26" s="203">
        <f t="shared" si="23"/>
        <v>227</v>
      </c>
      <c r="M26" s="203">
        <f t="shared" si="4"/>
        <v>4884.1612903225805</v>
      </c>
      <c r="N26" s="203">
        <f t="shared" si="24"/>
        <v>227</v>
      </c>
      <c r="O26" s="203">
        <f t="shared" si="5"/>
        <v>4884.1612903225805</v>
      </c>
      <c r="P26" s="203">
        <f t="shared" si="25"/>
        <v>227</v>
      </c>
      <c r="Q26" s="203">
        <f t="shared" si="6"/>
        <v>4884.1612903225805</v>
      </c>
      <c r="R26" s="203">
        <f t="shared" si="26"/>
        <v>227</v>
      </c>
      <c r="S26" s="203">
        <f t="shared" si="7"/>
        <v>4884.1612903225805</v>
      </c>
      <c r="T26" s="203">
        <f t="shared" si="27"/>
        <v>227</v>
      </c>
      <c r="U26" s="203">
        <f t="shared" si="8"/>
        <v>4884.1612903225805</v>
      </c>
      <c r="V26" s="203">
        <f t="shared" si="28"/>
        <v>227</v>
      </c>
      <c r="W26" s="203">
        <f t="shared" si="9"/>
        <v>4884.1612903225805</v>
      </c>
      <c r="X26" s="35">
        <f t="shared" si="10"/>
        <v>0.73225806451612907</v>
      </c>
      <c r="Y26" s="36">
        <f t="shared" si="29"/>
        <v>53725.774193548394</v>
      </c>
      <c r="Z26" s="495">
        <f>'B5'!C25</f>
        <v>234</v>
      </c>
      <c r="AA26" s="203">
        <f t="shared" si="30"/>
        <v>2340</v>
      </c>
      <c r="AB26" s="203">
        <f t="shared" si="31"/>
        <v>234</v>
      </c>
      <c r="AC26" s="203">
        <f t="shared" si="30"/>
        <v>2340</v>
      </c>
      <c r="AD26" s="203">
        <f t="shared" si="32"/>
        <v>234</v>
      </c>
      <c r="AE26" s="203">
        <f t="shared" si="11"/>
        <v>2340</v>
      </c>
      <c r="AF26" s="203">
        <f t="shared" si="33"/>
        <v>234</v>
      </c>
      <c r="AG26" s="203">
        <f t="shared" si="12"/>
        <v>2340</v>
      </c>
      <c r="AH26" s="203">
        <f t="shared" si="34"/>
        <v>234</v>
      </c>
      <c r="AI26" s="203">
        <f t="shared" si="13"/>
        <v>2340</v>
      </c>
      <c r="AJ26" s="203">
        <f t="shared" si="35"/>
        <v>234</v>
      </c>
      <c r="AK26" s="203">
        <f t="shared" si="14"/>
        <v>2340</v>
      </c>
      <c r="AL26" s="203">
        <f t="shared" si="36"/>
        <v>234</v>
      </c>
      <c r="AM26" s="203">
        <f t="shared" si="15"/>
        <v>2340</v>
      </c>
      <c r="AN26" s="35">
        <f t="shared" si="16"/>
        <v>0.83571428571428574</v>
      </c>
      <c r="AO26" s="36">
        <f t="shared" si="39"/>
        <v>16380</v>
      </c>
      <c r="AQ26" s="223">
        <f t="shared" si="40"/>
        <v>0.75406877695545227</v>
      </c>
      <c r="AR26" s="38">
        <f t="shared" si="41"/>
        <v>70105.774193548394</v>
      </c>
      <c r="AS26" s="197">
        <f t="shared" si="48"/>
        <v>-1226.7096774193487</v>
      </c>
      <c r="AT26" s="338"/>
      <c r="AU26" s="544"/>
      <c r="AV26" s="483">
        <f t="shared" si="47"/>
        <v>1.0349999999999999</v>
      </c>
      <c r="AW26" s="278">
        <f>-SUM('B5'!AI25)</f>
        <v>-232</v>
      </c>
      <c r="AX26" s="278">
        <f t="shared" si="17"/>
        <v>-994.70967741934874</v>
      </c>
      <c r="AY26" s="37">
        <f t="shared" si="37"/>
        <v>-1226.7096774193487</v>
      </c>
      <c r="AZ26" s="100">
        <f>ELEC!A24</f>
        <v>0</v>
      </c>
      <c r="BA26" s="118">
        <f>'General information '!D25</f>
        <v>0</v>
      </c>
      <c r="BB26" s="376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-76.516129032257595</v>
      </c>
      <c r="BK26" s="534"/>
    </row>
    <row r="27" spans="1:64">
      <c r="A27" s="423">
        <f>ELEC!C25</f>
        <v>44887</v>
      </c>
      <c r="B27" s="495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495">
        <f>'B5'!C26</f>
        <v>234</v>
      </c>
      <c r="AA27" s="203">
        <f t="shared" si="30"/>
        <v>2340</v>
      </c>
      <c r="AB27" s="203">
        <f t="shared" si="31"/>
        <v>234</v>
      </c>
      <c r="AC27" s="203">
        <f t="shared" si="30"/>
        <v>2340</v>
      </c>
      <c r="AD27" s="203">
        <f t="shared" si="32"/>
        <v>234</v>
      </c>
      <c r="AE27" s="203">
        <f t="shared" si="11"/>
        <v>2340</v>
      </c>
      <c r="AF27" s="203">
        <f t="shared" si="33"/>
        <v>234</v>
      </c>
      <c r="AG27" s="203">
        <f t="shared" si="12"/>
        <v>2340</v>
      </c>
      <c r="AH27" s="203">
        <f t="shared" si="34"/>
        <v>234</v>
      </c>
      <c r="AI27" s="203">
        <f t="shared" si="13"/>
        <v>2340</v>
      </c>
      <c r="AJ27" s="203">
        <f t="shared" si="35"/>
        <v>234</v>
      </c>
      <c r="AK27" s="203">
        <f t="shared" si="14"/>
        <v>2340</v>
      </c>
      <c r="AL27" s="203">
        <f t="shared" si="36"/>
        <v>234</v>
      </c>
      <c r="AM27" s="203">
        <f t="shared" si="15"/>
        <v>2340</v>
      </c>
      <c r="AN27" s="35">
        <f t="shared" si="16"/>
        <v>0.83571428571428574</v>
      </c>
      <c r="AO27" s="36">
        <f t="shared" si="39"/>
        <v>16380</v>
      </c>
      <c r="AQ27" s="223">
        <f t="shared" si="40"/>
        <v>0.75406877695545227</v>
      </c>
      <c r="AR27" s="38">
        <f t="shared" si="41"/>
        <v>70105.774193548394</v>
      </c>
      <c r="AS27" s="197">
        <f t="shared" si="48"/>
        <v>0</v>
      </c>
      <c r="AT27" s="338"/>
      <c r="AU27" s="544"/>
      <c r="AV27" s="483">
        <f t="shared" si="47"/>
        <v>1.0349999999999999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748.72995780581732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4">
        <f>GEN!AF24</f>
        <v>0</v>
      </c>
    </row>
    <row r="28" spans="1:64">
      <c r="A28" s="423">
        <f>ELEC!C26</f>
        <v>44888</v>
      </c>
      <c r="B28" s="495">
        <f>'B5'!B27</f>
        <v>223</v>
      </c>
      <c r="C28" s="203">
        <f t="shared" si="18"/>
        <v>4798.0967741935483</v>
      </c>
      <c r="D28">
        <f t="shared" si="19"/>
        <v>223</v>
      </c>
      <c r="E28" s="203">
        <f t="shared" si="18"/>
        <v>4798.0967741935483</v>
      </c>
      <c r="F28">
        <f t="shared" si="20"/>
        <v>223</v>
      </c>
      <c r="G28" s="203">
        <f t="shared" si="1"/>
        <v>4798.0967741935483</v>
      </c>
      <c r="H28" s="203">
        <f t="shared" si="21"/>
        <v>223</v>
      </c>
      <c r="I28" s="203">
        <f t="shared" si="2"/>
        <v>4798.0967741935483</v>
      </c>
      <c r="J28" s="203">
        <f t="shared" si="22"/>
        <v>223</v>
      </c>
      <c r="K28" s="203">
        <f t="shared" si="3"/>
        <v>4798.0967741935483</v>
      </c>
      <c r="L28" s="203">
        <f t="shared" si="23"/>
        <v>223</v>
      </c>
      <c r="M28" s="203">
        <f t="shared" si="4"/>
        <v>4798.0967741935483</v>
      </c>
      <c r="N28" s="203">
        <f t="shared" si="24"/>
        <v>223</v>
      </c>
      <c r="O28" s="203">
        <f t="shared" si="5"/>
        <v>4798.0967741935483</v>
      </c>
      <c r="P28" s="203">
        <f t="shared" si="25"/>
        <v>223</v>
      </c>
      <c r="Q28" s="203">
        <f t="shared" si="6"/>
        <v>4798.0967741935483</v>
      </c>
      <c r="R28" s="203">
        <f t="shared" si="26"/>
        <v>223</v>
      </c>
      <c r="S28" s="203">
        <f t="shared" si="7"/>
        <v>4798.0967741935483</v>
      </c>
      <c r="T28" s="203">
        <f t="shared" si="27"/>
        <v>223</v>
      </c>
      <c r="U28" s="203">
        <f t="shared" si="8"/>
        <v>4798.0967741935483</v>
      </c>
      <c r="V28" s="203">
        <f t="shared" si="28"/>
        <v>223</v>
      </c>
      <c r="W28" s="203">
        <f t="shared" si="9"/>
        <v>4798.0967741935483</v>
      </c>
      <c r="X28" s="35">
        <f t="shared" si="10"/>
        <v>0.71935483870967731</v>
      </c>
      <c r="Y28" s="36">
        <f t="shared" si="29"/>
        <v>52779.064516129023</v>
      </c>
      <c r="Z28" s="495">
        <f>'B5'!C27</f>
        <v>230</v>
      </c>
      <c r="AA28" s="203">
        <f t="shared" si="30"/>
        <v>2300</v>
      </c>
      <c r="AB28" s="203">
        <f t="shared" si="31"/>
        <v>230</v>
      </c>
      <c r="AC28" s="203">
        <f t="shared" si="30"/>
        <v>2300</v>
      </c>
      <c r="AD28" s="203">
        <f t="shared" si="32"/>
        <v>230</v>
      </c>
      <c r="AE28" s="203">
        <f t="shared" si="11"/>
        <v>2300</v>
      </c>
      <c r="AF28" s="203">
        <f t="shared" si="33"/>
        <v>230</v>
      </c>
      <c r="AG28" s="203">
        <f t="shared" si="12"/>
        <v>2300</v>
      </c>
      <c r="AH28" s="203">
        <f t="shared" si="34"/>
        <v>230</v>
      </c>
      <c r="AI28" s="203">
        <f t="shared" si="13"/>
        <v>2300</v>
      </c>
      <c r="AJ28" s="203">
        <f t="shared" si="35"/>
        <v>230</v>
      </c>
      <c r="AK28" s="203">
        <f t="shared" si="14"/>
        <v>2300</v>
      </c>
      <c r="AL28" s="203">
        <f t="shared" si="36"/>
        <v>230</v>
      </c>
      <c r="AM28" s="203">
        <f t="shared" si="15"/>
        <v>2300</v>
      </c>
      <c r="AN28" s="35">
        <f t="shared" si="16"/>
        <v>0.8214285714285714</v>
      </c>
      <c r="AO28" s="36">
        <f t="shared" si="39"/>
        <v>16100</v>
      </c>
      <c r="AQ28" s="223">
        <f t="shared" si="40"/>
        <v>0.74087409396718329</v>
      </c>
      <c r="AR28" s="38">
        <f t="shared" si="41"/>
        <v>68879.06451612903</v>
      </c>
      <c r="AS28" s="197">
        <f t="shared" si="48"/>
        <v>-1226.7096774193633</v>
      </c>
      <c r="AT28" s="338"/>
      <c r="AU28" s="544"/>
      <c r="AV28" s="483">
        <f t="shared" si="47"/>
        <v>1.0349999999999999</v>
      </c>
      <c r="AW28" s="278">
        <f>-SUM('B5'!AI27)</f>
        <v>-199</v>
      </c>
      <c r="AX28" s="278">
        <f t="shared" si="17"/>
        <v>-1027.7096774193633</v>
      </c>
      <c r="AY28" s="37">
        <f t="shared" si="37"/>
        <v>-1226.7096774193633</v>
      </c>
      <c r="AZ28" s="100">
        <f>ELEC!A26</f>
        <v>0</v>
      </c>
      <c r="BA28" s="118">
        <f>'General information '!D27</f>
        <v>0</v>
      </c>
      <c r="BB28" s="37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673.05907173036985</v>
      </c>
      <c r="BF28" s="14"/>
      <c r="BG28" s="14" t="e">
        <f>#REF!-BE28</f>
        <v>#REF!</v>
      </c>
      <c r="BH28" s="11"/>
      <c r="BI28">
        <v>15</v>
      </c>
      <c r="BJ28">
        <f t="shared" si="46"/>
        <v>-68.513978494624226</v>
      </c>
      <c r="BK28" s="534">
        <f>GEN!AF25</f>
        <v>0.18181249999997817</v>
      </c>
    </row>
    <row r="29" spans="1:64">
      <c r="A29" s="423">
        <f>ELEC!C27</f>
        <v>44889</v>
      </c>
      <c r="B29" s="495">
        <f>'B5'!B28</f>
        <v>221</v>
      </c>
      <c r="C29" s="203">
        <f t="shared" si="18"/>
        <v>4755.0645161290322</v>
      </c>
      <c r="D29">
        <f t="shared" si="19"/>
        <v>221</v>
      </c>
      <c r="E29" s="203">
        <f t="shared" si="18"/>
        <v>4755.0645161290322</v>
      </c>
      <c r="F29">
        <f t="shared" si="20"/>
        <v>221</v>
      </c>
      <c r="G29" s="203">
        <f t="shared" si="1"/>
        <v>4755.0645161290322</v>
      </c>
      <c r="H29" s="203">
        <f t="shared" si="21"/>
        <v>221</v>
      </c>
      <c r="I29" s="203">
        <f t="shared" si="2"/>
        <v>4755.0645161290322</v>
      </c>
      <c r="J29" s="203">
        <f t="shared" si="22"/>
        <v>221</v>
      </c>
      <c r="K29" s="203">
        <f t="shared" si="3"/>
        <v>4755.0645161290322</v>
      </c>
      <c r="L29" s="203">
        <f t="shared" si="23"/>
        <v>221</v>
      </c>
      <c r="M29" s="203">
        <f t="shared" si="4"/>
        <v>4755.0645161290322</v>
      </c>
      <c r="N29" s="203">
        <f t="shared" si="24"/>
        <v>221</v>
      </c>
      <c r="O29" s="203">
        <f t="shared" si="5"/>
        <v>4755.0645161290322</v>
      </c>
      <c r="P29" s="203">
        <f t="shared" si="25"/>
        <v>221</v>
      </c>
      <c r="Q29" s="203">
        <f t="shared" si="6"/>
        <v>4755.0645161290322</v>
      </c>
      <c r="R29" s="203">
        <f t="shared" si="26"/>
        <v>221</v>
      </c>
      <c r="S29" s="203">
        <f t="shared" si="7"/>
        <v>4755.0645161290322</v>
      </c>
      <c r="T29" s="203">
        <f t="shared" si="27"/>
        <v>221</v>
      </c>
      <c r="U29" s="203">
        <f t="shared" si="8"/>
        <v>4755.0645161290322</v>
      </c>
      <c r="V29" s="203">
        <f t="shared" si="28"/>
        <v>221</v>
      </c>
      <c r="W29" s="203">
        <f t="shared" si="9"/>
        <v>4755.0645161290322</v>
      </c>
      <c r="X29" s="35">
        <f t="shared" si="10"/>
        <v>0.71290322580645138</v>
      </c>
      <c r="Y29" s="36">
        <f t="shared" si="29"/>
        <v>52305.709677419341</v>
      </c>
      <c r="Z29" s="495">
        <f>'B5'!C28</f>
        <v>228</v>
      </c>
      <c r="AA29" s="203">
        <f t="shared" si="30"/>
        <v>2280</v>
      </c>
      <c r="AB29" s="203">
        <f t="shared" si="31"/>
        <v>228</v>
      </c>
      <c r="AC29" s="203">
        <f t="shared" si="30"/>
        <v>2280</v>
      </c>
      <c r="AD29" s="203">
        <f t="shared" si="32"/>
        <v>228</v>
      </c>
      <c r="AE29" s="203">
        <f t="shared" si="11"/>
        <v>2280</v>
      </c>
      <c r="AF29" s="203">
        <f t="shared" si="33"/>
        <v>228</v>
      </c>
      <c r="AG29" s="203">
        <f t="shared" si="12"/>
        <v>2280</v>
      </c>
      <c r="AH29" s="203">
        <f t="shared" si="34"/>
        <v>228</v>
      </c>
      <c r="AI29" s="203">
        <f t="shared" si="13"/>
        <v>2280</v>
      </c>
      <c r="AJ29" s="203">
        <f t="shared" si="35"/>
        <v>228</v>
      </c>
      <c r="AK29" s="203">
        <f t="shared" si="14"/>
        <v>2280</v>
      </c>
      <c r="AL29" s="203">
        <f t="shared" si="36"/>
        <v>228</v>
      </c>
      <c r="AM29" s="203">
        <f t="shared" si="15"/>
        <v>2280</v>
      </c>
      <c r="AN29" s="35">
        <f t="shared" si="16"/>
        <v>0.81428571428571428</v>
      </c>
      <c r="AO29" s="36">
        <f t="shared" si="39"/>
        <v>15960</v>
      </c>
      <c r="AQ29" s="223">
        <f t="shared" si="40"/>
        <v>0.73427675247304869</v>
      </c>
      <c r="AR29" s="38">
        <f t="shared" si="41"/>
        <v>68265.709677419334</v>
      </c>
      <c r="AS29" s="197">
        <f>SUM(AR29-AR28-AT29)</f>
        <v>-613.3548387096962</v>
      </c>
      <c r="AT29" s="338"/>
      <c r="AU29" s="544"/>
      <c r="AV29" s="483">
        <f t="shared" si="47"/>
        <v>1.0349999999999999</v>
      </c>
      <c r="AW29" s="278">
        <f>-SUM('B5'!AI28)</f>
        <v>-115</v>
      </c>
      <c r="AX29" s="278">
        <f t="shared" si="17"/>
        <v>-498.3548387096962</v>
      </c>
      <c r="AY29" s="37">
        <f t="shared" si="37"/>
        <v>-613.3548387096962</v>
      </c>
      <c r="AZ29" s="100">
        <f>ELEC!A27</f>
        <v>0</v>
      </c>
      <c r="BA29" s="118">
        <f>'General information '!D28</f>
        <v>0</v>
      </c>
      <c r="BB29" s="376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-31.147177419356012</v>
      </c>
      <c r="BK29" s="534">
        <f>GEN!AF26</f>
        <v>0.14857954545463639</v>
      </c>
    </row>
    <row r="30" spans="1:64">
      <c r="A30" s="423">
        <f>ELEC!C28</f>
        <v>44890</v>
      </c>
      <c r="B30" s="495">
        <f>'B5'!B29</f>
        <v>220</v>
      </c>
      <c r="C30" s="203">
        <f t="shared" si="18"/>
        <v>4733.5483870967737</v>
      </c>
      <c r="D30">
        <f>SUM(B30)</f>
        <v>220</v>
      </c>
      <c r="E30" s="203">
        <f t="shared" si="18"/>
        <v>4733.5483870967737</v>
      </c>
      <c r="F30">
        <f>SUM(D30)</f>
        <v>220</v>
      </c>
      <c r="G30" s="203">
        <f t="shared" si="1"/>
        <v>4733.5483870967737</v>
      </c>
      <c r="H30" s="203">
        <f>SUM(F30)</f>
        <v>220</v>
      </c>
      <c r="I30" s="203">
        <f t="shared" si="2"/>
        <v>4733.5483870967737</v>
      </c>
      <c r="J30" s="203">
        <f>SUM(H30)</f>
        <v>220</v>
      </c>
      <c r="K30" s="203">
        <f t="shared" si="3"/>
        <v>4733.5483870967737</v>
      </c>
      <c r="L30" s="203">
        <f>SUM(J30)</f>
        <v>220</v>
      </c>
      <c r="M30" s="203">
        <f t="shared" si="4"/>
        <v>4733.5483870967737</v>
      </c>
      <c r="N30" s="203">
        <f>SUM(L30)</f>
        <v>220</v>
      </c>
      <c r="O30" s="203">
        <f t="shared" si="5"/>
        <v>4733.5483870967737</v>
      </c>
      <c r="P30" s="203">
        <f>SUM(N30)</f>
        <v>220</v>
      </c>
      <c r="Q30" s="203">
        <f t="shared" si="6"/>
        <v>4733.5483870967737</v>
      </c>
      <c r="R30" s="203">
        <f>SUM(P30)</f>
        <v>220</v>
      </c>
      <c r="S30" s="203">
        <f t="shared" si="7"/>
        <v>4733.5483870967737</v>
      </c>
      <c r="T30" s="203">
        <f>SUM(R30)</f>
        <v>220</v>
      </c>
      <c r="U30" s="203">
        <f t="shared" si="8"/>
        <v>4733.5483870967737</v>
      </c>
      <c r="V30" s="203">
        <f>SUM(T30)</f>
        <v>220</v>
      </c>
      <c r="W30" s="203">
        <f t="shared" si="9"/>
        <v>4733.5483870967737</v>
      </c>
      <c r="X30" s="35">
        <f>SUM(Y30/73370)</f>
        <v>0.70967741935483863</v>
      </c>
      <c r="Y30" s="36">
        <f>SUM(C30+E30+G30+I30+K30+M30+O30+Q30+S30+U30+W30)</f>
        <v>52069.032258064508</v>
      </c>
      <c r="Z30" s="495">
        <f>'B5'!C29</f>
        <v>227</v>
      </c>
      <c r="AA30" s="203">
        <f t="shared" si="30"/>
        <v>2270</v>
      </c>
      <c r="AB30" s="203">
        <f>SUM(Z30)</f>
        <v>227</v>
      </c>
      <c r="AC30" s="203">
        <f t="shared" si="30"/>
        <v>2270</v>
      </c>
      <c r="AD30" s="203">
        <f>SUM(AB30)</f>
        <v>227</v>
      </c>
      <c r="AE30" s="203">
        <f t="shared" si="11"/>
        <v>2270</v>
      </c>
      <c r="AF30" s="203">
        <f>SUM(AD30)</f>
        <v>227</v>
      </c>
      <c r="AG30" s="203">
        <f t="shared" si="12"/>
        <v>2270</v>
      </c>
      <c r="AH30" s="203">
        <f>SUM(AF30)</f>
        <v>227</v>
      </c>
      <c r="AI30" s="203">
        <f t="shared" si="13"/>
        <v>2270</v>
      </c>
      <c r="AJ30" s="203">
        <f>SUM(AH30)</f>
        <v>227</v>
      </c>
      <c r="AK30" s="203">
        <f t="shared" si="14"/>
        <v>2270</v>
      </c>
      <c r="AL30" s="203">
        <f>SUM(AJ30)</f>
        <v>227</v>
      </c>
      <c r="AM30" s="203">
        <f t="shared" si="15"/>
        <v>2270</v>
      </c>
      <c r="AN30" s="35">
        <f>SUM(AO30/19600)</f>
        <v>0.81071428571428572</v>
      </c>
      <c r="AO30" s="36">
        <f>SUM(AA30+AC30+AE30+AG30+AI30+AK30+AM30)</f>
        <v>15890</v>
      </c>
      <c r="AQ30" s="223">
        <f t="shared" si="40"/>
        <v>0.73097808172598167</v>
      </c>
      <c r="AR30" s="38">
        <f t="shared" si="41"/>
        <v>67959.032258064515</v>
      </c>
      <c r="AS30" s="197">
        <f>SUM(AR30-AR29-AT30)</f>
        <v>-306.67741935481899</v>
      </c>
      <c r="AT30" s="338"/>
      <c r="AU30" s="544"/>
      <c r="AV30" s="483">
        <f t="shared" si="47"/>
        <v>1.0349999999999999</v>
      </c>
      <c r="AW30" s="278">
        <f>-SUM('B5'!AI29)</f>
        <v>0</v>
      </c>
      <c r="AX30" s="278">
        <f t="shared" si="17"/>
        <v>-306.67741935481899</v>
      </c>
      <c r="AY30" s="37">
        <f t="shared" si="37"/>
        <v>-306.67741935481899</v>
      </c>
      <c r="AZ30" s="100">
        <f>ELEC!A28</f>
        <v>0</v>
      </c>
      <c r="BA30" s="118">
        <f>'General information '!D29</f>
        <v>0</v>
      </c>
      <c r="BB30" s="376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-18.039848197342295</v>
      </c>
      <c r="BK30" s="534">
        <f>GEN!AF27</f>
        <v>0</v>
      </c>
    </row>
    <row r="31" spans="1:64">
      <c r="A31" s="423">
        <f>ELEC!C29</f>
        <v>44891</v>
      </c>
      <c r="B31" s="495">
        <f>'B5'!B30</f>
        <v>220</v>
      </c>
      <c r="C31" s="203">
        <f t="shared" si="18"/>
        <v>4733.5483870967737</v>
      </c>
      <c r="D31">
        <f>SUM(B31)</f>
        <v>220</v>
      </c>
      <c r="E31" s="203">
        <f t="shared" si="18"/>
        <v>4733.5483870967737</v>
      </c>
      <c r="F31">
        <f>SUM(D31)</f>
        <v>220</v>
      </c>
      <c r="G31" s="203">
        <f t="shared" si="1"/>
        <v>4733.5483870967737</v>
      </c>
      <c r="H31" s="203">
        <f>SUM(F31)</f>
        <v>220</v>
      </c>
      <c r="I31" s="203">
        <f t="shared" si="2"/>
        <v>4733.5483870967737</v>
      </c>
      <c r="J31" s="203">
        <f>SUM(H31)</f>
        <v>220</v>
      </c>
      <c r="K31" s="203">
        <f t="shared" si="3"/>
        <v>4733.5483870967737</v>
      </c>
      <c r="L31" s="203">
        <f>SUM(J31)</f>
        <v>220</v>
      </c>
      <c r="M31" s="203">
        <f t="shared" si="4"/>
        <v>4733.5483870967737</v>
      </c>
      <c r="N31" s="203">
        <f>SUM(L31)</f>
        <v>220</v>
      </c>
      <c r="O31" s="203">
        <f t="shared" si="5"/>
        <v>4733.5483870967737</v>
      </c>
      <c r="P31" s="203">
        <f>SUM(N31)</f>
        <v>220</v>
      </c>
      <c r="Q31" s="203">
        <f t="shared" si="6"/>
        <v>4733.5483870967737</v>
      </c>
      <c r="R31" s="203">
        <f>SUM(P31)</f>
        <v>220</v>
      </c>
      <c r="S31" s="203">
        <f t="shared" si="7"/>
        <v>4733.5483870967737</v>
      </c>
      <c r="T31" s="203">
        <f>SUM(R31)</f>
        <v>220</v>
      </c>
      <c r="U31" s="203">
        <f t="shared" si="8"/>
        <v>4733.5483870967737</v>
      </c>
      <c r="V31" s="203">
        <f>SUM(T31)</f>
        <v>220</v>
      </c>
      <c r="W31" s="203">
        <f t="shared" si="9"/>
        <v>4733.5483870967737</v>
      </c>
      <c r="X31" s="35">
        <f>SUM(Y31/73370)</f>
        <v>0.70967741935483863</v>
      </c>
      <c r="Y31" s="36">
        <f>SUM(C31+E31+G31+I31+K31+M31+O31+Q31+S31+U31+W31)</f>
        <v>52069.032258064508</v>
      </c>
      <c r="Z31" s="495">
        <f>'B5'!C30</f>
        <v>227</v>
      </c>
      <c r="AA31" s="203">
        <f t="shared" si="30"/>
        <v>2270</v>
      </c>
      <c r="AB31" s="203">
        <f>SUM(Z31)</f>
        <v>227</v>
      </c>
      <c r="AC31" s="203">
        <f t="shared" si="30"/>
        <v>2270</v>
      </c>
      <c r="AD31" s="203">
        <f>SUM(AB31)</f>
        <v>227</v>
      </c>
      <c r="AE31" s="203">
        <f t="shared" si="11"/>
        <v>2270</v>
      </c>
      <c r="AF31" s="203">
        <f>SUM(AD31)</f>
        <v>227</v>
      </c>
      <c r="AG31" s="203">
        <f t="shared" si="12"/>
        <v>2270</v>
      </c>
      <c r="AH31" s="203">
        <f>SUM(AF31)</f>
        <v>227</v>
      </c>
      <c r="AI31" s="203">
        <f t="shared" si="13"/>
        <v>2270</v>
      </c>
      <c r="AJ31" s="203">
        <f>SUM(AH31)</f>
        <v>227</v>
      </c>
      <c r="AK31" s="203">
        <f t="shared" si="14"/>
        <v>2270</v>
      </c>
      <c r="AL31" s="203">
        <f>SUM(AJ31)</f>
        <v>227</v>
      </c>
      <c r="AM31" s="203">
        <f t="shared" si="15"/>
        <v>2270</v>
      </c>
      <c r="AN31" s="35">
        <f>SUM(AO31/19600)</f>
        <v>0.81071428571428572</v>
      </c>
      <c r="AO31" s="36">
        <f>SUM(AA31+AC31+AE31+AG31+AI31+AK31+AM31)</f>
        <v>15890</v>
      </c>
      <c r="AQ31" s="223">
        <f t="shared" si="40"/>
        <v>0.73097808172598167</v>
      </c>
      <c r="AR31" s="38">
        <f t="shared" si="41"/>
        <v>67959.032258064515</v>
      </c>
      <c r="AS31" s="197">
        <f t="shared" si="48"/>
        <v>0</v>
      </c>
      <c r="AT31" s="338"/>
      <c r="AU31" s="544"/>
      <c r="AV31" s="483">
        <f t="shared" si="47"/>
        <v>1.0349999999999999</v>
      </c>
      <c r="AW31" s="278">
        <f>-SUM('B5'!AI30)</f>
        <v>0</v>
      </c>
      <c r="AX31" s="278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6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514.76793248945148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4" t="e">
        <f>GEN!AF28</f>
        <v>#DIV/0!</v>
      </c>
    </row>
    <row r="32" spans="1:64">
      <c r="A32" s="423">
        <f>ELEC!C30</f>
        <v>44892</v>
      </c>
      <c r="B32" s="495">
        <f>'B5'!B31</f>
        <v>217</v>
      </c>
      <c r="C32" s="203">
        <f t="shared" si="18"/>
        <v>4669</v>
      </c>
      <c r="D32">
        <f>SUM(B32)</f>
        <v>217</v>
      </c>
      <c r="E32" s="203">
        <f t="shared" si="18"/>
        <v>4669</v>
      </c>
      <c r="F32">
        <f>SUM(D32)</f>
        <v>217</v>
      </c>
      <c r="G32" s="203">
        <f t="shared" si="1"/>
        <v>4669</v>
      </c>
      <c r="H32" s="203">
        <f>SUM(F32)</f>
        <v>217</v>
      </c>
      <c r="I32" s="203">
        <f t="shared" si="2"/>
        <v>4669</v>
      </c>
      <c r="J32" s="203">
        <f>SUM(H32)</f>
        <v>217</v>
      </c>
      <c r="K32" s="203">
        <f t="shared" si="3"/>
        <v>4669</v>
      </c>
      <c r="L32" s="203">
        <f>SUM(J32)</f>
        <v>217</v>
      </c>
      <c r="M32" s="203">
        <f t="shared" si="4"/>
        <v>4669</v>
      </c>
      <c r="N32" s="203">
        <f>SUM(L32)</f>
        <v>217</v>
      </c>
      <c r="O32" s="203">
        <f t="shared" si="5"/>
        <v>4669</v>
      </c>
      <c r="P32" s="203">
        <f>SUM(N32)</f>
        <v>217</v>
      </c>
      <c r="Q32" s="203">
        <f t="shared" si="6"/>
        <v>4669</v>
      </c>
      <c r="R32" s="203">
        <f>SUM(P32)</f>
        <v>217</v>
      </c>
      <c r="S32" s="203">
        <f t="shared" si="7"/>
        <v>4669</v>
      </c>
      <c r="T32" s="203">
        <f>SUM(R32)</f>
        <v>217</v>
      </c>
      <c r="U32" s="203">
        <f t="shared" si="8"/>
        <v>4669</v>
      </c>
      <c r="V32" s="203">
        <f>SUM(T32)</f>
        <v>217</v>
      </c>
      <c r="W32" s="203">
        <f t="shared" si="9"/>
        <v>4669</v>
      </c>
      <c r="X32" s="35">
        <f>SUM(Y32/73370)</f>
        <v>0.7</v>
      </c>
      <c r="Y32" s="36">
        <f>SUM(C32+E32+G32+I32+K32+M32+O32+Q32+S32+U32+W32)</f>
        <v>51359</v>
      </c>
      <c r="Z32" s="495">
        <f>'B5'!C31</f>
        <v>223</v>
      </c>
      <c r="AA32" s="203">
        <f t="shared" si="30"/>
        <v>2230</v>
      </c>
      <c r="AB32" s="203">
        <f>SUM(Z32)</f>
        <v>223</v>
      </c>
      <c r="AC32" s="203">
        <f t="shared" si="30"/>
        <v>2230</v>
      </c>
      <c r="AD32" s="203">
        <f>SUM(AB32)</f>
        <v>223</v>
      </c>
      <c r="AE32" s="203">
        <f t="shared" si="11"/>
        <v>2230</v>
      </c>
      <c r="AF32" s="203">
        <f>SUM(AD32)</f>
        <v>223</v>
      </c>
      <c r="AG32" s="203">
        <f t="shared" si="12"/>
        <v>2230</v>
      </c>
      <c r="AH32" s="203">
        <f>SUM(AF32)</f>
        <v>223</v>
      </c>
      <c r="AI32" s="203">
        <f t="shared" si="13"/>
        <v>2230</v>
      </c>
      <c r="AJ32" s="203">
        <f>SUM(AH32)</f>
        <v>223</v>
      </c>
      <c r="AK32" s="203">
        <f t="shared" si="14"/>
        <v>2230</v>
      </c>
      <c r="AL32" s="203">
        <f>SUM(AJ32)</f>
        <v>223</v>
      </c>
      <c r="AM32" s="203">
        <f t="shared" si="15"/>
        <v>2230</v>
      </c>
      <c r="AN32" s="35">
        <f>SUM(AO32/19600)</f>
        <v>0.79642857142857137</v>
      </c>
      <c r="AO32" s="36">
        <f>SUM(AA32+AC32+AE32+AG32+AI32+AK32+AM32)</f>
        <v>15610</v>
      </c>
      <c r="AQ32" s="223">
        <f t="shared" si="40"/>
        <v>0.72032913843175217</v>
      </c>
      <c r="AR32" s="38">
        <f t="shared" si="41"/>
        <v>66969</v>
      </c>
      <c r="AS32" s="197">
        <f t="shared" si="48"/>
        <v>-990.03225806451519</v>
      </c>
      <c r="AT32" s="338"/>
      <c r="AU32" s="544"/>
      <c r="AV32" s="483">
        <f t="shared" si="47"/>
        <v>1.0349999999999999</v>
      </c>
      <c r="AW32" s="278">
        <f>-SUM('B5'!AI31)</f>
        <v>-524</v>
      </c>
      <c r="AX32" s="278">
        <f t="shared" si="17"/>
        <v>-466.03225806451519</v>
      </c>
      <c r="AY32" s="37">
        <f t="shared" si="37"/>
        <v>-990.03225806451519</v>
      </c>
      <c r="AZ32" s="100">
        <f>ELEC!A30</f>
        <v>0</v>
      </c>
      <c r="BA32" s="118">
        <f>'General information '!D31</f>
        <v>18</v>
      </c>
      <c r="BB32" s="376">
        <f>SUM('General information '!E31)</f>
        <v>0.51</v>
      </c>
      <c r="BC32" s="3">
        <f t="shared" si="44"/>
        <v>0</v>
      </c>
      <c r="BD32" s="102">
        <v>19222</v>
      </c>
      <c r="BE32" s="14">
        <f>(305/1185)*ELEC!Q31</f>
        <v>643.45991561181438</v>
      </c>
      <c r="BF32" s="14"/>
      <c r="BG32" s="14" t="e">
        <f>#REF!-BE32</f>
        <v>#REF!</v>
      </c>
      <c r="BH32" s="11"/>
      <c r="BI32">
        <v>19</v>
      </c>
      <c r="BJ32">
        <f t="shared" si="46"/>
        <v>-24.528013582342904</v>
      </c>
      <c r="BK32" s="534">
        <f>GEN!AF29</f>
        <v>0.17857142857142858</v>
      </c>
    </row>
    <row r="33" spans="1:63">
      <c r="A33" s="423">
        <f>ELEC!C31</f>
        <v>44893</v>
      </c>
      <c r="B33" s="495">
        <f>'B5'!B32</f>
        <v>213</v>
      </c>
      <c r="C33" s="203">
        <f t="shared" si="18"/>
        <v>4582.9354838709678</v>
      </c>
      <c r="D33">
        <f>SUM(B33)</f>
        <v>213</v>
      </c>
      <c r="E33" s="203">
        <f t="shared" si="18"/>
        <v>4582.9354838709678</v>
      </c>
      <c r="F33">
        <f>SUM(D33)</f>
        <v>213</v>
      </c>
      <c r="G33" s="203">
        <f t="shared" si="1"/>
        <v>4582.9354838709678</v>
      </c>
      <c r="H33" s="203">
        <f>SUM(F33)</f>
        <v>213</v>
      </c>
      <c r="I33" s="203">
        <f t="shared" si="2"/>
        <v>4582.9354838709678</v>
      </c>
      <c r="J33" s="203">
        <f>SUM(H33)</f>
        <v>213</v>
      </c>
      <c r="K33" s="203">
        <f t="shared" si="3"/>
        <v>4582.9354838709678</v>
      </c>
      <c r="L33" s="203">
        <f>SUM(J33)</f>
        <v>213</v>
      </c>
      <c r="M33" s="203">
        <f t="shared" si="4"/>
        <v>4582.9354838709678</v>
      </c>
      <c r="N33" s="203">
        <f>SUM(L33)</f>
        <v>213</v>
      </c>
      <c r="O33" s="203">
        <f t="shared" si="5"/>
        <v>4582.9354838709678</v>
      </c>
      <c r="P33" s="203">
        <f>SUM(N33)</f>
        <v>213</v>
      </c>
      <c r="Q33" s="203">
        <f t="shared" si="6"/>
        <v>4582.9354838709678</v>
      </c>
      <c r="R33" s="203">
        <f>SUM(P33)</f>
        <v>213</v>
      </c>
      <c r="S33" s="203">
        <f t="shared" si="7"/>
        <v>4582.9354838709678</v>
      </c>
      <c r="T33" s="203">
        <f>SUM(R33)</f>
        <v>213</v>
      </c>
      <c r="U33" s="203">
        <f t="shared" si="8"/>
        <v>4582.9354838709678</v>
      </c>
      <c r="V33" s="203">
        <f>SUM(T33)</f>
        <v>213</v>
      </c>
      <c r="W33" s="203">
        <f t="shared" si="9"/>
        <v>4582.9354838709678</v>
      </c>
      <c r="X33" s="35">
        <f>SUM(Y33/73370)</f>
        <v>0.68709677419354853</v>
      </c>
      <c r="Y33" s="36">
        <f>SUM(C33+E33+G33+I33+K33+M33+O33+Q33+S33+U33+W33)</f>
        <v>50412.290322580659</v>
      </c>
      <c r="Z33" s="495">
        <f>'B5'!C32</f>
        <v>219</v>
      </c>
      <c r="AA33" s="203">
        <f t="shared" si="30"/>
        <v>2190</v>
      </c>
      <c r="AB33" s="203">
        <f>SUM(Z33)</f>
        <v>219</v>
      </c>
      <c r="AC33" s="203">
        <f t="shared" si="30"/>
        <v>2190</v>
      </c>
      <c r="AD33" s="203">
        <f>SUM(AB33)</f>
        <v>219</v>
      </c>
      <c r="AE33" s="203">
        <f t="shared" si="11"/>
        <v>2190</v>
      </c>
      <c r="AF33" s="203">
        <f>SUM(AD33)</f>
        <v>219</v>
      </c>
      <c r="AG33" s="203">
        <f t="shared" si="12"/>
        <v>2190</v>
      </c>
      <c r="AH33" s="203">
        <f>SUM(AF33)</f>
        <v>219</v>
      </c>
      <c r="AI33" s="203">
        <f t="shared" si="13"/>
        <v>2190</v>
      </c>
      <c r="AJ33" s="203">
        <f>SUM(AH33)</f>
        <v>219</v>
      </c>
      <c r="AK33" s="203">
        <f t="shared" si="14"/>
        <v>2190</v>
      </c>
      <c r="AL33" s="203">
        <f>SUM(AJ33)</f>
        <v>219</v>
      </c>
      <c r="AM33" s="203">
        <f t="shared" si="15"/>
        <v>2190</v>
      </c>
      <c r="AN33" s="35">
        <f>SUM(AO33/19600)</f>
        <v>0.78214285714285714</v>
      </c>
      <c r="AO33" s="36">
        <f>SUM(AA33+AC33+AE33+AG33+AI33+AK33+AM33)</f>
        <v>15330</v>
      </c>
      <c r="AQ33" s="223">
        <f t="shared" si="40"/>
        <v>0.70713445544348352</v>
      </c>
      <c r="AR33" s="38">
        <f t="shared" si="41"/>
        <v>65742.290322580666</v>
      </c>
      <c r="AS33" s="197">
        <f>SUM(AR33-AR32-AT33)</f>
        <v>-1226.7096774193342</v>
      </c>
      <c r="AT33" s="338"/>
      <c r="AU33" s="544"/>
      <c r="AV33" s="483">
        <f t="shared" si="47"/>
        <v>1.0349999999999999</v>
      </c>
      <c r="AW33" s="278">
        <f>-SUM('B5'!AI32)</f>
        <v>-324</v>
      </c>
      <c r="AX33" s="278">
        <f t="shared" si="17"/>
        <v>-902.70967741933418</v>
      </c>
      <c r="AY33" s="37">
        <f t="shared" si="37"/>
        <v>-1226.7096774193342</v>
      </c>
      <c r="AZ33" s="100">
        <f>ELEC!A31</f>
        <v>0</v>
      </c>
      <c r="BA33" s="118">
        <f>'General information '!D32</f>
        <v>20.5</v>
      </c>
      <c r="BB33" s="204">
        <f>SUM('General information '!E32)</f>
        <v>0.69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-45.135483870966709</v>
      </c>
      <c r="BK33" s="534">
        <f>GEN!AF30</f>
        <v>0.15625</v>
      </c>
    </row>
    <row r="34" spans="1:63">
      <c r="A34" s="423">
        <f>ELEC!C32</f>
        <v>44894</v>
      </c>
      <c r="B34" s="495">
        <f>'B5'!B33</f>
        <v>208</v>
      </c>
      <c r="C34" s="203">
        <f t="shared" ref="C34:C36" si="49">B34*$B$4</f>
        <v>4475.3548387096771</v>
      </c>
      <c r="D34">
        <f t="shared" ref="D34:D36" si="50">SUM(B34)</f>
        <v>208</v>
      </c>
      <c r="E34" s="203">
        <f t="shared" ref="E34:E36" si="51">D34*$B$4</f>
        <v>4475.3548387096771</v>
      </c>
      <c r="F34">
        <f t="shared" ref="F34:F36" si="52">SUM(D34)</f>
        <v>208</v>
      </c>
      <c r="G34" s="203">
        <f t="shared" ref="G34:G36" si="53">F34*$B$4</f>
        <v>4475.3548387096771</v>
      </c>
      <c r="H34" s="203">
        <f t="shared" ref="H34:H36" si="54">SUM(F34)</f>
        <v>208</v>
      </c>
      <c r="I34" s="203">
        <f t="shared" ref="I34:I36" si="55">H34*$B$4</f>
        <v>4475.3548387096771</v>
      </c>
      <c r="J34" s="203">
        <f t="shared" ref="J34:J36" si="56">SUM(H34)</f>
        <v>208</v>
      </c>
      <c r="K34" s="203">
        <f t="shared" ref="K34:K36" si="57">J34*$B$4</f>
        <v>4475.3548387096771</v>
      </c>
      <c r="L34" s="203">
        <f t="shared" ref="L34:L36" si="58">SUM(J34)</f>
        <v>208</v>
      </c>
      <c r="M34" s="203">
        <f t="shared" ref="M34:M36" si="59">L34*$B$4</f>
        <v>4475.3548387096771</v>
      </c>
      <c r="N34" s="203">
        <f t="shared" ref="N34:N36" si="60">SUM(L34)</f>
        <v>208</v>
      </c>
      <c r="O34" s="203">
        <f t="shared" ref="O34:O36" si="61">N34*$B$4</f>
        <v>4475.3548387096771</v>
      </c>
      <c r="P34" s="203">
        <f t="shared" ref="P34:P36" si="62">SUM(N34)</f>
        <v>208</v>
      </c>
      <c r="Q34" s="203">
        <f t="shared" ref="Q34:Q36" si="63">P34*$B$4</f>
        <v>4475.3548387096771</v>
      </c>
      <c r="R34" s="203">
        <f t="shared" ref="R34:R36" si="64">SUM(P34)</f>
        <v>208</v>
      </c>
      <c r="S34" s="203">
        <f t="shared" ref="S34:S36" si="65">R34*$B$4</f>
        <v>4475.3548387096771</v>
      </c>
      <c r="T34" s="203">
        <f t="shared" ref="T34:T36" si="66">SUM(R34)</f>
        <v>208</v>
      </c>
      <c r="U34" s="203">
        <f t="shared" ref="U34:U36" si="67">T34*$B$4</f>
        <v>4475.3548387096771</v>
      </c>
      <c r="V34" s="203">
        <f t="shared" ref="V34:V36" si="68">SUM(T34)</f>
        <v>208</v>
      </c>
      <c r="W34" s="203">
        <f t="shared" ref="W34:W36" si="69">V34*$B$4</f>
        <v>4475.3548387096771</v>
      </c>
      <c r="X34" s="35">
        <f t="shared" ref="X34:X36" si="70">SUM(Y34/73370)</f>
        <v>0.6709677419354837</v>
      </c>
      <c r="Y34" s="36">
        <f t="shared" ref="Y34:Y36" si="71">SUM(C34+E34+G34+I34+K34+M34+O34+Q34+S34+U34+W34)</f>
        <v>49228.90322580644</v>
      </c>
      <c r="Z34" s="495">
        <f>'B5'!C33</f>
        <v>215</v>
      </c>
      <c r="AA34" s="203">
        <f t="shared" ref="AA34:AA36" si="72">SUM(Z34*$Z$4)</f>
        <v>2150</v>
      </c>
      <c r="AB34" s="203">
        <f t="shared" ref="AB34:AB36" si="73">SUM(Z34)</f>
        <v>215</v>
      </c>
      <c r="AC34" s="203">
        <f t="shared" ref="AC34:AC36" si="74">SUM(AB34*$Z$4)</f>
        <v>2150</v>
      </c>
      <c r="AD34" s="203">
        <f t="shared" ref="AD34:AD36" si="75">SUM(AB34)</f>
        <v>215</v>
      </c>
      <c r="AE34" s="203">
        <f t="shared" ref="AE34:AE36" si="76">SUM(AD34*$Z$4)</f>
        <v>2150</v>
      </c>
      <c r="AF34" s="203">
        <f t="shared" ref="AF34:AF36" si="77">SUM(AD34)</f>
        <v>215</v>
      </c>
      <c r="AG34" s="203">
        <f t="shared" ref="AG34:AG36" si="78">SUM(AF34*$Z$4)</f>
        <v>2150</v>
      </c>
      <c r="AH34" s="203">
        <f t="shared" ref="AH34:AH36" si="79">SUM(AF34)</f>
        <v>215</v>
      </c>
      <c r="AI34" s="203">
        <f t="shared" ref="AI34:AI36" si="80">SUM(AH34*$Z$4)</f>
        <v>2150</v>
      </c>
      <c r="AJ34" s="203">
        <f t="shared" ref="AJ34:AJ36" si="81">SUM(AH34)</f>
        <v>215</v>
      </c>
      <c r="AK34" s="203">
        <f t="shared" ref="AK34:AK36" si="82">SUM(AJ34*$Z$4)</f>
        <v>2150</v>
      </c>
      <c r="AL34" s="203">
        <f t="shared" ref="AL34:AL36" si="83">SUM(AJ34)</f>
        <v>215</v>
      </c>
      <c r="AM34" s="203">
        <f t="shared" ref="AM34:AM36" si="84">SUM(AL34*$Z$4)</f>
        <v>2150</v>
      </c>
      <c r="AN34" s="35">
        <f t="shared" ref="AN34:AN36" si="85">SUM(AO34/19600)</f>
        <v>0.7678571428571429</v>
      </c>
      <c r="AO34" s="36">
        <f t="shared" ref="AO34:AO36" si="86">SUM(AA34+AC34+AE34+AG34+AI34+AK34+AM34)</f>
        <v>15050</v>
      </c>
      <c r="AQ34" s="223">
        <f t="shared" ref="AQ34:AQ36" si="87">SUM(AR34/92970)</f>
        <v>0.69139403276117495</v>
      </c>
      <c r="AR34" s="38">
        <f t="shared" si="41"/>
        <v>64278.90322580644</v>
      </c>
      <c r="AS34" s="197">
        <f t="shared" ref="AS34:AS36" si="88">SUM(AR34-AR33-AT34)</f>
        <v>-1463.3870967742259</v>
      </c>
      <c r="AT34" s="338"/>
      <c r="AU34" s="544"/>
      <c r="AV34" s="483">
        <f t="shared" si="47"/>
        <v>1.0349999999999999</v>
      </c>
      <c r="AW34" s="278">
        <f>-SUM('B5'!AI33)</f>
        <v>-143</v>
      </c>
      <c r="AX34" s="278">
        <f t="shared" ref="AX34:AX36" si="89">-SUM(AW34-AS34)</f>
        <v>-1320.3870967742259</v>
      </c>
      <c r="AY34" s="37">
        <f t="shared" ref="AY34:AY36" si="90">SUM(AX34+AW34)</f>
        <v>-1463.3870967742259</v>
      </c>
      <c r="AZ34" s="100">
        <f>ELEC!A32</f>
        <v>0</v>
      </c>
      <c r="BA34" s="118">
        <f>'General information '!D33</f>
        <v>20</v>
      </c>
      <c r="BB34" s="376">
        <f>SUM('General information '!E33)</f>
        <v>0.65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-62.875576036867905</v>
      </c>
      <c r="BK34" s="534">
        <f>GEN!AF31</f>
        <v>0.13770833333334545</v>
      </c>
    </row>
    <row r="35" spans="1:63">
      <c r="A35" s="423">
        <f>ELEC!C33</f>
        <v>44895</v>
      </c>
      <c r="B35" s="495">
        <f>'B5'!B34</f>
        <v>243</v>
      </c>
      <c r="C35" s="203">
        <f t="shared" si="49"/>
        <v>5228.4193548387093</v>
      </c>
      <c r="D35">
        <f t="shared" si="50"/>
        <v>243</v>
      </c>
      <c r="E35" s="203">
        <f t="shared" si="51"/>
        <v>5228.4193548387093</v>
      </c>
      <c r="F35">
        <f t="shared" si="52"/>
        <v>243</v>
      </c>
      <c r="G35" s="203">
        <f t="shared" si="53"/>
        <v>5228.4193548387093</v>
      </c>
      <c r="H35" s="203">
        <f t="shared" si="54"/>
        <v>243</v>
      </c>
      <c r="I35" s="203">
        <f t="shared" si="55"/>
        <v>5228.4193548387093</v>
      </c>
      <c r="J35" s="203">
        <f t="shared" si="56"/>
        <v>243</v>
      </c>
      <c r="K35" s="203">
        <f t="shared" si="57"/>
        <v>5228.4193548387093</v>
      </c>
      <c r="L35" s="203">
        <f t="shared" si="58"/>
        <v>243</v>
      </c>
      <c r="M35" s="203">
        <f t="shared" si="59"/>
        <v>5228.4193548387093</v>
      </c>
      <c r="N35" s="203">
        <f t="shared" si="60"/>
        <v>243</v>
      </c>
      <c r="O35" s="203">
        <f t="shared" si="61"/>
        <v>5228.4193548387093</v>
      </c>
      <c r="P35" s="203">
        <f t="shared" si="62"/>
        <v>243</v>
      </c>
      <c r="Q35" s="203">
        <f t="shared" si="63"/>
        <v>5228.4193548387093</v>
      </c>
      <c r="R35" s="203">
        <f t="shared" si="64"/>
        <v>243</v>
      </c>
      <c r="S35" s="203">
        <f t="shared" si="65"/>
        <v>5228.4193548387093</v>
      </c>
      <c r="T35" s="203">
        <f t="shared" si="66"/>
        <v>243</v>
      </c>
      <c r="U35" s="203">
        <f t="shared" si="67"/>
        <v>5228.4193548387093</v>
      </c>
      <c r="V35" s="203">
        <f t="shared" si="68"/>
        <v>243</v>
      </c>
      <c r="W35" s="203">
        <f t="shared" si="69"/>
        <v>5228.4193548387093</v>
      </c>
      <c r="X35" s="35">
        <f t="shared" si="70"/>
        <v>0.78387096774193554</v>
      </c>
      <c r="Y35" s="36">
        <f t="shared" si="71"/>
        <v>57512.61290322581</v>
      </c>
      <c r="Z35" s="495">
        <f>'B5'!C34</f>
        <v>250</v>
      </c>
      <c r="AA35" s="203">
        <f t="shared" si="72"/>
        <v>2500</v>
      </c>
      <c r="AB35" s="203">
        <f t="shared" si="73"/>
        <v>250</v>
      </c>
      <c r="AC35" s="203">
        <f t="shared" si="74"/>
        <v>2500</v>
      </c>
      <c r="AD35" s="203">
        <f t="shared" si="75"/>
        <v>250</v>
      </c>
      <c r="AE35" s="203">
        <f t="shared" si="76"/>
        <v>2500</v>
      </c>
      <c r="AF35" s="203">
        <f t="shared" si="77"/>
        <v>250</v>
      </c>
      <c r="AG35" s="203">
        <f t="shared" si="78"/>
        <v>2500</v>
      </c>
      <c r="AH35" s="203">
        <f t="shared" si="79"/>
        <v>250</v>
      </c>
      <c r="AI35" s="203">
        <f t="shared" si="80"/>
        <v>2500</v>
      </c>
      <c r="AJ35" s="203">
        <f t="shared" si="81"/>
        <v>250</v>
      </c>
      <c r="AK35" s="203">
        <f t="shared" si="82"/>
        <v>2500</v>
      </c>
      <c r="AL35" s="203">
        <f t="shared" si="83"/>
        <v>250</v>
      </c>
      <c r="AM35" s="203">
        <f t="shared" si="84"/>
        <v>2500</v>
      </c>
      <c r="AN35" s="35">
        <f t="shared" si="85"/>
        <v>0.8928571428571429</v>
      </c>
      <c r="AO35" s="36">
        <f t="shared" si="86"/>
        <v>17500</v>
      </c>
      <c r="AQ35" s="223">
        <f t="shared" si="87"/>
        <v>0.80684750890852763</v>
      </c>
      <c r="AR35" s="38">
        <f t="shared" si="41"/>
        <v>75012.612903225818</v>
      </c>
      <c r="AS35" s="197">
        <f t="shared" si="88"/>
        <v>-31.29032258062216</v>
      </c>
      <c r="AT35" s="338">
        <v>10765</v>
      </c>
      <c r="AU35" s="544">
        <v>0.95299999999999996</v>
      </c>
      <c r="AV35" s="483">
        <f t="shared" si="47"/>
        <v>0.95299999999999996</v>
      </c>
      <c r="AW35" s="278">
        <f>-SUM('B5'!AI34)</f>
        <v>-223</v>
      </c>
      <c r="AX35" s="278">
        <f t="shared" si="89"/>
        <v>191.70967741937784</v>
      </c>
      <c r="AY35" s="37">
        <f t="shared" si="90"/>
        <v>-31.29032258062216</v>
      </c>
      <c r="AZ35" s="100">
        <f>ELEC!A33</f>
        <v>0</v>
      </c>
      <c r="BA35" s="118">
        <f>'General information '!D34</f>
        <v>19.5</v>
      </c>
      <c r="BB35" s="376">
        <f>SUM('General information '!E34)</f>
        <v>0.76</v>
      </c>
      <c r="BC35" s="3">
        <f t="shared" si="91"/>
        <v>1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8.714076246335356</v>
      </c>
      <c r="BK35" s="534">
        <f>GEN!AF32</f>
        <v>0.16013392857140779</v>
      </c>
    </row>
    <row r="36" spans="1:63">
      <c r="A36" s="423">
        <f>ELEC!C34</f>
        <v>44896</v>
      </c>
      <c r="B36" s="495">
        <f>'B5'!B35</f>
        <v>243</v>
      </c>
      <c r="C36" s="203">
        <f t="shared" si="49"/>
        <v>5228.4193548387093</v>
      </c>
      <c r="D36">
        <f t="shared" si="50"/>
        <v>243</v>
      </c>
      <c r="E36" s="203">
        <f t="shared" si="51"/>
        <v>5228.4193548387093</v>
      </c>
      <c r="F36">
        <f t="shared" si="52"/>
        <v>243</v>
      </c>
      <c r="G36" s="203">
        <f t="shared" si="53"/>
        <v>5228.4193548387093</v>
      </c>
      <c r="H36" s="203">
        <f t="shared" si="54"/>
        <v>243</v>
      </c>
      <c r="I36" s="203">
        <f t="shared" si="55"/>
        <v>5228.4193548387093</v>
      </c>
      <c r="J36" s="203">
        <f t="shared" si="56"/>
        <v>243</v>
      </c>
      <c r="K36" s="203">
        <f t="shared" si="57"/>
        <v>5228.4193548387093</v>
      </c>
      <c r="L36" s="203">
        <f t="shared" si="58"/>
        <v>243</v>
      </c>
      <c r="M36" s="203">
        <f t="shared" si="59"/>
        <v>5228.4193548387093</v>
      </c>
      <c r="N36" s="203">
        <f t="shared" si="60"/>
        <v>243</v>
      </c>
      <c r="O36" s="203">
        <f t="shared" si="61"/>
        <v>5228.4193548387093</v>
      </c>
      <c r="P36" s="203">
        <f t="shared" si="62"/>
        <v>243</v>
      </c>
      <c r="Q36" s="203">
        <f t="shared" si="63"/>
        <v>5228.4193548387093</v>
      </c>
      <c r="R36" s="203">
        <f t="shared" si="64"/>
        <v>243</v>
      </c>
      <c r="S36" s="203">
        <f t="shared" si="65"/>
        <v>5228.4193548387093</v>
      </c>
      <c r="T36" s="203">
        <f t="shared" si="66"/>
        <v>243</v>
      </c>
      <c r="U36" s="203">
        <f t="shared" si="67"/>
        <v>5228.4193548387093</v>
      </c>
      <c r="V36" s="203">
        <f t="shared" si="68"/>
        <v>243</v>
      </c>
      <c r="W36" s="203">
        <f t="shared" si="69"/>
        <v>5228.4193548387093</v>
      </c>
      <c r="X36" s="35">
        <f t="shared" si="70"/>
        <v>0.78387096774193554</v>
      </c>
      <c r="Y36" s="36">
        <f t="shared" si="71"/>
        <v>57512.61290322581</v>
      </c>
      <c r="Z36" s="495">
        <f>'B5'!C35</f>
        <v>250</v>
      </c>
      <c r="AA36" s="203">
        <f t="shared" si="72"/>
        <v>2500</v>
      </c>
      <c r="AB36" s="203">
        <f t="shared" si="73"/>
        <v>250</v>
      </c>
      <c r="AC36" s="203">
        <f t="shared" si="74"/>
        <v>2500</v>
      </c>
      <c r="AD36" s="203">
        <f t="shared" si="75"/>
        <v>250</v>
      </c>
      <c r="AE36" s="203">
        <f t="shared" si="76"/>
        <v>2500</v>
      </c>
      <c r="AF36" s="203">
        <f t="shared" si="77"/>
        <v>250</v>
      </c>
      <c r="AG36" s="203">
        <f t="shared" si="78"/>
        <v>2500</v>
      </c>
      <c r="AH36" s="203">
        <f t="shared" si="79"/>
        <v>250</v>
      </c>
      <c r="AI36" s="203">
        <f t="shared" si="80"/>
        <v>2500</v>
      </c>
      <c r="AJ36" s="203">
        <f t="shared" si="81"/>
        <v>250</v>
      </c>
      <c r="AK36" s="203">
        <f t="shared" si="82"/>
        <v>2500</v>
      </c>
      <c r="AL36" s="203">
        <f t="shared" si="83"/>
        <v>250</v>
      </c>
      <c r="AM36" s="203">
        <f t="shared" si="84"/>
        <v>2500</v>
      </c>
      <c r="AN36" s="35">
        <f t="shared" si="85"/>
        <v>0.8928571428571429</v>
      </c>
      <c r="AO36" s="36">
        <f t="shared" si="86"/>
        <v>17500</v>
      </c>
      <c r="AQ36" s="223">
        <f t="shared" si="87"/>
        <v>0.80684750890852763</v>
      </c>
      <c r="AR36" s="38">
        <f t="shared" si="41"/>
        <v>75012.612903225818</v>
      </c>
      <c r="AS36" s="197">
        <f t="shared" si="88"/>
        <v>0</v>
      </c>
      <c r="AT36" s="338"/>
      <c r="AU36" s="544"/>
      <c r="AV36" s="483">
        <f t="shared" si="47"/>
        <v>0.95299999999999996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6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4" t="e">
        <f>GEN!AF33</f>
        <v>#DIV/0!</v>
      </c>
    </row>
    <row r="37" spans="1:63">
      <c r="AQ37" s="20"/>
      <c r="AR37" s="454" t="s">
        <v>223</v>
      </c>
      <c r="AS37" s="459">
        <f>COUNT(AT6:AT36)</f>
        <v>4</v>
      </c>
      <c r="AT37" s="203">
        <f>SUM(AT6:AT36)</f>
        <v>21826</v>
      </c>
      <c r="AU37" s="540">
        <f>SUM(AU6:AU36)/AS37</f>
        <v>0.497</v>
      </c>
      <c r="AX37" s="203">
        <f>SUM(AX6:AX36)</f>
        <v>-17529.645161290318</v>
      </c>
      <c r="AY37" s="203">
        <f>SUM(AY6:AY36)</f>
        <v>-21142.645161290318</v>
      </c>
    </row>
    <row r="38" spans="1:63">
      <c r="AS38" s="206"/>
      <c r="AT38" s="82">
        <f>+AT37*AU37</f>
        <v>10847.522000000001</v>
      </c>
    </row>
    <row r="40" spans="1:63">
      <c r="AS40" s="165">
        <f>SUM(AS6:AS36)/'EDl log'!A35</f>
        <v>-5285.6612903225796</v>
      </c>
      <c r="AT40" s="203"/>
    </row>
    <row r="41" spans="1:63">
      <c r="AX41">
        <v>43309</v>
      </c>
    </row>
    <row r="42" spans="1:63">
      <c r="AR42" s="203">
        <f>AR36-22000</f>
        <v>53012.612903225818</v>
      </c>
      <c r="AU42" s="203"/>
      <c r="AX42">
        <f>AX37/AX41</f>
        <v>-0.40475755989033035</v>
      </c>
    </row>
    <row r="43" spans="1:63">
      <c r="AR43">
        <f>AR42/5500</f>
        <v>9.6386568914956037</v>
      </c>
    </row>
    <row r="44" spans="1:63">
      <c r="AR44">
        <f>AR43*2</f>
        <v>19.277313782991207</v>
      </c>
    </row>
    <row r="45" spans="1:63">
      <c r="AR45" s="203"/>
    </row>
    <row r="46" spans="1:63">
      <c r="AT46" s="586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25" zoomScaleNormal="100" workbookViewId="0">
      <selection activeCell="W32" sqref="W3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log'!$A$34</f>
        <v>44865</v>
      </c>
      <c r="B3" s="254">
        <f>'[2]EDl log'!B34</f>
        <v>1124846</v>
      </c>
      <c r="C3" s="254">
        <f>'[2]EDl log'!C34</f>
        <v>0</v>
      </c>
      <c r="D3" s="254">
        <f>'[2]EDl log'!D34</f>
        <v>0</v>
      </c>
      <c r="E3" s="254">
        <f>'[2]EDl log'!E34</f>
        <v>1124846</v>
      </c>
      <c r="F3" s="254">
        <f>'[2]EDl log'!F34</f>
        <v>161459</v>
      </c>
      <c r="G3" s="254">
        <f>'[2]EDl log'!G34</f>
        <v>0</v>
      </c>
      <c r="H3" s="254">
        <f>'[2]EDl log'!H34</f>
        <v>561453</v>
      </c>
      <c r="I3" s="254">
        <f>'[2]EDl log'!I34</f>
        <v>0</v>
      </c>
      <c r="J3" s="254">
        <f>'[2]EDl log'!J34</f>
        <v>401934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439.4167741935517</v>
      </c>
      <c r="R3" s="254">
        <f>'[2]EDl log'!R34</f>
        <v>594.21981276413965</v>
      </c>
      <c r="S3" s="254">
        <f>'[2]EDl log'!S34</f>
        <v>2800</v>
      </c>
      <c r="T3" s="254">
        <f>'[2]EDl log'!T34</f>
        <v>0.21222136170147846</v>
      </c>
      <c r="Z3" t="s">
        <v>213</v>
      </c>
      <c r="AA3">
        <v>0.1</v>
      </c>
    </row>
    <row r="4" spans="1:32" ht="20.100000000000001" customHeight="1">
      <c r="A4" s="163">
        <f>ELEC!C4</f>
        <v>44866</v>
      </c>
      <c r="B4" s="532">
        <f>B3</f>
        <v>1124846</v>
      </c>
      <c r="C4" s="254">
        <f t="shared" ref="C4:C30" si="0">SUM(B4-B3)</f>
        <v>0</v>
      </c>
      <c r="D4" s="294">
        <f>SUM(G4+I4+K4)</f>
        <v>0</v>
      </c>
      <c r="E4" s="294">
        <f>B3+D4</f>
        <v>1124846</v>
      </c>
      <c r="F4" s="535">
        <f>F3</f>
        <v>161459</v>
      </c>
      <c r="G4" s="160">
        <f t="shared" ref="G4:G30" si="1">F4-F3</f>
        <v>0</v>
      </c>
      <c r="H4" s="535">
        <f>H3</f>
        <v>561453</v>
      </c>
      <c r="I4" s="161">
        <f t="shared" ref="I4:I30" si="2">H4-H3</f>
        <v>0</v>
      </c>
      <c r="J4" s="576">
        <f>J3</f>
        <v>401934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159.96313985627418</v>
      </c>
      <c r="P4" s="284">
        <f>SUM(L4:O4)</f>
        <v>159.96313985627418</v>
      </c>
      <c r="Q4" s="284">
        <f>SUM(-tanks!AX6*tanks!$AU$37)</f>
        <v>664.68138709678306</v>
      </c>
      <c r="R4" s="284">
        <f>SUM(P4:Q4)</f>
        <v>824.64452695305727</v>
      </c>
      <c r="S4" s="286">
        <f>SUM(ELEC!N4)</f>
        <v>3564</v>
      </c>
      <c r="T4" s="320">
        <f>IF(S4&gt;0,R4/S4,0)</f>
        <v>0.23138174156932023</v>
      </c>
      <c r="U4" s="245"/>
      <c r="V4" s="166" t="s">
        <v>200</v>
      </c>
      <c r="W4" s="167">
        <f>'[2]EDl log'!$W$21</f>
        <v>44856</v>
      </c>
      <c r="X4" s="168"/>
      <c r="Y4" s="168"/>
      <c r="Z4" s="169" t="s">
        <v>201</v>
      </c>
      <c r="AA4" s="168"/>
      <c r="AB4" s="642"/>
      <c r="AC4" s="643"/>
    </row>
    <row r="5" spans="1:32" ht="20.100000000000001" customHeight="1">
      <c r="A5" s="163">
        <f>ELEC!C5</f>
        <v>44867</v>
      </c>
      <c r="B5" s="601">
        <f t="shared" ref="B5:B34" si="6">B4</f>
        <v>1124846</v>
      </c>
      <c r="C5" s="254">
        <f t="shared" si="0"/>
        <v>0</v>
      </c>
      <c r="D5" s="294">
        <f>SUM(G5+I5+K5)</f>
        <v>0</v>
      </c>
      <c r="E5" s="294">
        <f>B4+D5</f>
        <v>1124846</v>
      </c>
      <c r="F5" s="601">
        <f t="shared" ref="F5:F34" si="7">F4</f>
        <v>161459</v>
      </c>
      <c r="G5" s="160">
        <f t="shared" si="1"/>
        <v>0</v>
      </c>
      <c r="H5" s="601">
        <f t="shared" ref="H5:H34" si="8">H4</f>
        <v>561453</v>
      </c>
      <c r="I5" s="161">
        <f t="shared" si="2"/>
        <v>0</v>
      </c>
      <c r="J5" s="601">
        <f t="shared" ref="J5:J34" si="9">J4</f>
        <v>401934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159.96313985627418</v>
      </c>
      <c r="P5" s="284">
        <f t="shared" ref="P5:P30" si="12">SUM(L5:O5)</f>
        <v>159.96313985627418</v>
      </c>
      <c r="Q5" s="284">
        <f>SUM(-tanks!AX7*tanks!$AU$37)</f>
        <v>660.20838709676855</v>
      </c>
      <c r="R5" s="284">
        <f t="shared" ref="R5:R30" si="13">SUM(P5:Q5)</f>
        <v>820.17152695304276</v>
      </c>
      <c r="S5" s="286">
        <f>SUM(ELEC!N5)</f>
        <v>2667</v>
      </c>
      <c r="T5" s="320">
        <f>IF(S5&gt;0,R5/S5,0)</f>
        <v>0.30752588187215701</v>
      </c>
      <c r="U5" s="245"/>
      <c r="V5" s="636"/>
      <c r="W5" s="637"/>
      <c r="X5" s="637"/>
      <c r="Y5" s="638"/>
      <c r="Z5" s="26" t="s">
        <v>202</v>
      </c>
      <c r="AA5" s="26">
        <v>5000</v>
      </c>
      <c r="AB5" s="644"/>
      <c r="AC5" s="645"/>
    </row>
    <row r="6" spans="1:32" ht="20.100000000000001" customHeight="1">
      <c r="A6" s="163">
        <f>ELEC!C6</f>
        <v>44868</v>
      </c>
      <c r="B6" s="601">
        <f t="shared" si="6"/>
        <v>1124846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1124846</v>
      </c>
      <c r="F6" s="601">
        <f t="shared" si="7"/>
        <v>161459</v>
      </c>
      <c r="G6" s="160">
        <f t="shared" si="1"/>
        <v>0</v>
      </c>
      <c r="H6" s="601">
        <f t="shared" si="8"/>
        <v>561453</v>
      </c>
      <c r="I6" s="161">
        <f t="shared" si="2"/>
        <v>0</v>
      </c>
      <c r="J6" s="601">
        <f t="shared" si="9"/>
        <v>401934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159.96313985627418</v>
      </c>
      <c r="P6" s="284">
        <f t="shared" si="12"/>
        <v>159.96313985627418</v>
      </c>
      <c r="Q6" s="284">
        <f>SUM(-tanks!AX8*tanks!$AU$37)</f>
        <v>-136.11387096773657</v>
      </c>
      <c r="R6" s="284">
        <f t="shared" si="13"/>
        <v>23.849268888537608</v>
      </c>
      <c r="S6" s="286">
        <f>SUM(ELEC!N6)</f>
        <v>3137</v>
      </c>
      <c r="T6" s="320">
        <f t="shared" ref="T6:T30" si="16">IF(S6&gt;0,R6/S6,0)</f>
        <v>7.6025721672099483E-3</v>
      </c>
      <c r="V6" s="639"/>
      <c r="W6" s="640"/>
      <c r="X6" s="640"/>
      <c r="Y6" s="641"/>
      <c r="Z6" s="648"/>
      <c r="AA6" s="649"/>
      <c r="AB6" s="644"/>
      <c r="AC6" s="645"/>
    </row>
    <row r="7" spans="1:32" ht="20.100000000000001" customHeight="1">
      <c r="A7" s="163">
        <f>ELEC!C7</f>
        <v>44869</v>
      </c>
      <c r="B7" s="601">
        <f t="shared" si="6"/>
        <v>1124846</v>
      </c>
      <c r="C7" s="254">
        <f>SUM(B7-B6)</f>
        <v>0</v>
      </c>
      <c r="D7" s="294">
        <f>SUM(G7+I7+K7)</f>
        <v>0</v>
      </c>
      <c r="E7" s="294">
        <f t="shared" si="15"/>
        <v>1124846</v>
      </c>
      <c r="F7" s="601">
        <f t="shared" si="7"/>
        <v>161459</v>
      </c>
      <c r="G7" s="160">
        <f t="shared" si="1"/>
        <v>0</v>
      </c>
      <c r="H7" s="601">
        <f t="shared" si="8"/>
        <v>561453</v>
      </c>
      <c r="I7" s="161">
        <f t="shared" si="2"/>
        <v>0</v>
      </c>
      <c r="J7" s="601">
        <f t="shared" si="9"/>
        <v>401934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159.96313985627418</v>
      </c>
      <c r="P7" s="284">
        <f t="shared" si="12"/>
        <v>159.96313985627418</v>
      </c>
      <c r="Q7" s="284">
        <f>SUM(-tanks!AX9*tanks!$AU$37)</f>
        <v>0</v>
      </c>
      <c r="R7" s="284">
        <f t="shared" si="13"/>
        <v>159.96313985627418</v>
      </c>
      <c r="S7" s="286">
        <f>SUM(ELEC!N7)</f>
        <v>0</v>
      </c>
      <c r="T7" s="320">
        <f t="shared" si="16"/>
        <v>0</v>
      </c>
      <c r="V7" s="631" t="s">
        <v>203</v>
      </c>
      <c r="W7" s="632"/>
      <c r="X7" s="633" t="s">
        <v>204</v>
      </c>
      <c r="Y7" s="634"/>
      <c r="Z7" s="635"/>
      <c r="AA7" s="170"/>
      <c r="AB7" s="646"/>
      <c r="AC7" s="647"/>
    </row>
    <row r="8" spans="1:32" ht="20.100000000000001" customHeight="1">
      <c r="A8" s="163">
        <f>ELEC!C8</f>
        <v>44870</v>
      </c>
      <c r="B8" s="601">
        <f t="shared" si="6"/>
        <v>1124846</v>
      </c>
      <c r="C8" s="254">
        <f t="shared" si="0"/>
        <v>0</v>
      </c>
      <c r="D8" s="294">
        <f t="shared" si="14"/>
        <v>0</v>
      </c>
      <c r="E8" s="294">
        <f t="shared" si="15"/>
        <v>1124846</v>
      </c>
      <c r="F8" s="601">
        <f t="shared" si="7"/>
        <v>161459</v>
      </c>
      <c r="G8" s="160">
        <f t="shared" si="1"/>
        <v>0</v>
      </c>
      <c r="H8" s="601">
        <f t="shared" si="8"/>
        <v>561453</v>
      </c>
      <c r="I8" s="161">
        <f t="shared" si="2"/>
        <v>0</v>
      </c>
      <c r="J8" s="601">
        <f t="shared" si="9"/>
        <v>401934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159.96313985627418</v>
      </c>
      <c r="P8" s="284">
        <f t="shared" si="12"/>
        <v>159.96313985627418</v>
      </c>
      <c r="Q8" s="284">
        <f>SUM(-tanks!AX10*tanks!$AU$37)</f>
        <v>0</v>
      </c>
      <c r="R8" s="284">
        <f t="shared" si="13"/>
        <v>159.96313985627418</v>
      </c>
      <c r="S8" s="286">
        <f>SUM(ELEC!N8)</f>
        <v>0</v>
      </c>
      <c r="T8" s="320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44871</v>
      </c>
      <c r="B9" s="601">
        <v>1124959</v>
      </c>
      <c r="C9" s="254">
        <f t="shared" si="0"/>
        <v>113</v>
      </c>
      <c r="D9" s="294">
        <f t="shared" si="14"/>
        <v>111</v>
      </c>
      <c r="E9" s="294">
        <f t="shared" si="15"/>
        <v>1124957</v>
      </c>
      <c r="F9" s="601">
        <v>161475</v>
      </c>
      <c r="G9" s="160">
        <f t="shared" si="1"/>
        <v>16</v>
      </c>
      <c r="H9" s="601">
        <v>561548</v>
      </c>
      <c r="I9" s="161">
        <f t="shared" si="2"/>
        <v>95</v>
      </c>
      <c r="J9" s="601">
        <v>401934</v>
      </c>
      <c r="K9" s="162">
        <f>J9-J8</f>
        <v>0</v>
      </c>
      <c r="L9" s="283">
        <f t="shared" si="3"/>
        <v>3.3963515754560532</v>
      </c>
      <c r="M9" s="283">
        <f t="shared" si="4"/>
        <v>7.0580431177446101</v>
      </c>
      <c r="N9" s="283">
        <f t="shared" si="5"/>
        <v>0</v>
      </c>
      <c r="O9" s="283">
        <f t="shared" si="11"/>
        <v>159.96313985627418</v>
      </c>
      <c r="P9" s="284">
        <f t="shared" si="12"/>
        <v>170.41753454947485</v>
      </c>
      <c r="Q9" s="284">
        <f>SUM(-tanks!AX11*tanks!$AU$37)</f>
        <v>507.78970967740906</v>
      </c>
      <c r="R9" s="284">
        <f>SUM(P9:Q9)</f>
        <v>678.20724422688386</v>
      </c>
      <c r="S9" s="286">
        <f>SUM(ELEC!N9)</f>
        <v>3030</v>
      </c>
      <c r="T9" s="320">
        <f t="shared" si="16"/>
        <v>0.22383077367223889</v>
      </c>
      <c r="V9" s="246">
        <f>'[2]EDl log'!V26</f>
        <v>401903</v>
      </c>
      <c r="W9" s="246">
        <f>'[2]EDl log'!W26</f>
        <v>401934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598">
        <f>'[2]EDl log'!AA26</f>
        <v>31</v>
      </c>
      <c r="AB9" s="598">
        <f>'[2]EDl log'!AB26</f>
        <v>2480</v>
      </c>
      <c r="AC9" s="598">
        <f>'[2]EDl log'!AC26</f>
        <v>1033333</v>
      </c>
      <c r="AD9" s="587">
        <f>'[2]EDl log'!AD26</f>
        <v>9.7178683385579931E-2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44872</v>
      </c>
      <c r="B10" s="601">
        <f t="shared" si="6"/>
        <v>1124959</v>
      </c>
      <c r="C10" s="254">
        <f t="shared" si="0"/>
        <v>0</v>
      </c>
      <c r="D10" s="294">
        <f t="shared" si="14"/>
        <v>0</v>
      </c>
      <c r="E10" s="294">
        <f t="shared" si="15"/>
        <v>1124959</v>
      </c>
      <c r="F10" s="601">
        <f t="shared" si="7"/>
        <v>161475</v>
      </c>
      <c r="G10" s="160">
        <f t="shared" si="1"/>
        <v>0</v>
      </c>
      <c r="H10" s="601">
        <f t="shared" si="8"/>
        <v>561548</v>
      </c>
      <c r="I10" s="161">
        <f t="shared" si="2"/>
        <v>0</v>
      </c>
      <c r="J10" s="601">
        <f t="shared" si="9"/>
        <v>401934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159.96313985627418</v>
      </c>
      <c r="P10" s="284">
        <f t="shared" si="12"/>
        <v>159.96313985627418</v>
      </c>
      <c r="Q10" s="284">
        <f>SUM(-tanks!AX12*tanks!$AU$37)</f>
        <v>609.67470967742361</v>
      </c>
      <c r="R10" s="284">
        <f t="shared" si="13"/>
        <v>769.63784953369782</v>
      </c>
      <c r="S10" s="286">
        <f>SUM(ELEC!N10)</f>
        <v>3085</v>
      </c>
      <c r="T10" s="320">
        <f t="shared" si="16"/>
        <v>0.24947742286343527</v>
      </c>
      <c r="V10" s="246">
        <f>'[2]EDl log'!V27</f>
        <v>561097</v>
      </c>
      <c r="W10" s="246">
        <f>'[2]EDl log'!W27</f>
        <v>561453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598">
        <f>'[2]EDl log'!AA27</f>
        <v>356</v>
      </c>
      <c r="AB10" s="598">
        <f>'[2]EDl log'!AB27</f>
        <v>39872</v>
      </c>
      <c r="AC10" s="598">
        <f>'[2]EDl log'!AC27</f>
        <v>6200000</v>
      </c>
      <c r="AD10" s="587">
        <f>'[2]EDl log'!AD27</f>
        <v>0.90595611285266453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44873</v>
      </c>
      <c r="B11" s="601">
        <f t="shared" si="6"/>
        <v>1124959</v>
      </c>
      <c r="C11" s="254">
        <f>SUM(B11-B10)</f>
        <v>0</v>
      </c>
      <c r="D11" s="294">
        <f>SUM(G11+I11+K11)</f>
        <v>0</v>
      </c>
      <c r="E11" s="294">
        <f t="shared" si="15"/>
        <v>1124959</v>
      </c>
      <c r="F11" s="601">
        <f t="shared" si="7"/>
        <v>161475</v>
      </c>
      <c r="G11" s="160">
        <f t="shared" si="1"/>
        <v>0</v>
      </c>
      <c r="H11" s="601">
        <f t="shared" si="8"/>
        <v>561548</v>
      </c>
      <c r="I11" s="161">
        <f t="shared" si="2"/>
        <v>0</v>
      </c>
      <c r="J11" s="601">
        <f t="shared" si="9"/>
        <v>401934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159.96313985627418</v>
      </c>
      <c r="P11" s="284">
        <f t="shared" si="12"/>
        <v>159.96313985627418</v>
      </c>
      <c r="Q11" s="284">
        <f>SUM(-tanks!AX13*tanks!$AU$37)</f>
        <v>574.88470967742353</v>
      </c>
      <c r="R11" s="284">
        <f t="shared" si="13"/>
        <v>734.84784953369774</v>
      </c>
      <c r="S11" s="286">
        <f>SUM(ELEC!N11)</f>
        <v>1929</v>
      </c>
      <c r="T11" s="320">
        <f t="shared" si="16"/>
        <v>0.38094756326267382</v>
      </c>
      <c r="V11" s="246">
        <f>'[2]EDl log'!V28</f>
        <v>161410</v>
      </c>
      <c r="W11" s="246">
        <f>'[2]EDl log'!W28</f>
        <v>161459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598">
        <f>'[2]EDl log'!AA28</f>
        <v>49</v>
      </c>
      <c r="AB11" s="598">
        <f>'[2]EDl log'!AB28</f>
        <v>15680</v>
      </c>
      <c r="AC11" s="598">
        <f>'[2]EDl log'!AC28</f>
        <v>1000</v>
      </c>
      <c r="AD11" s="587">
        <f>'[2]EDl log'!AD28</f>
        <v>0</v>
      </c>
      <c r="AE11" s="246">
        <f>'[2]EDl log'!AE28</f>
        <v>784</v>
      </c>
      <c r="AF11" s="246">
        <f>'[2]EDl log'!AF28</f>
        <v>3472</v>
      </c>
    </row>
    <row r="12" spans="1:32" ht="20.100000000000001" customHeight="1">
      <c r="A12" s="163">
        <f>ELEC!C12</f>
        <v>44874</v>
      </c>
      <c r="B12" s="601">
        <f t="shared" si="6"/>
        <v>1124959</v>
      </c>
      <c r="C12" s="254">
        <f t="shared" si="0"/>
        <v>0</v>
      </c>
      <c r="D12" s="294">
        <f t="shared" si="14"/>
        <v>0</v>
      </c>
      <c r="E12" s="294">
        <f t="shared" si="15"/>
        <v>1124959</v>
      </c>
      <c r="F12" s="601">
        <f t="shared" si="7"/>
        <v>161475</v>
      </c>
      <c r="G12" s="160">
        <f t="shared" si="1"/>
        <v>0</v>
      </c>
      <c r="H12" s="601">
        <f t="shared" si="8"/>
        <v>561548</v>
      </c>
      <c r="I12" s="161">
        <f t="shared" si="2"/>
        <v>0</v>
      </c>
      <c r="J12" s="601">
        <f t="shared" si="9"/>
        <v>401934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159.96313985627418</v>
      </c>
      <c r="P12" s="284">
        <f t="shared" si="12"/>
        <v>159.96313985627418</v>
      </c>
      <c r="Q12" s="284">
        <f>SUM(-tanks!AX14*tanks!$AU$37)</f>
        <v>364.31703225806405</v>
      </c>
      <c r="R12" s="284">
        <f t="shared" si="13"/>
        <v>524.28017211433826</v>
      </c>
      <c r="S12" s="286">
        <f>SUM(ELEC!N12)</f>
        <v>2779</v>
      </c>
      <c r="T12" s="320">
        <f t="shared" si="16"/>
        <v>0.1886578525060591</v>
      </c>
      <c r="V12" s="213"/>
      <c r="W12" s="217"/>
      <c r="X12" s="214"/>
      <c r="Y12" s="215"/>
      <c r="Z12" s="3"/>
      <c r="AA12" s="598">
        <f>'[2]EDl log'!AA29</f>
        <v>436</v>
      </c>
      <c r="AB12" s="598">
        <f>'[2]EDl log'!AB29</f>
        <v>58032</v>
      </c>
      <c r="AC12" s="598">
        <f>'[2]EDl log'!AC29</f>
        <v>7234333</v>
      </c>
      <c r="AD12" s="603"/>
    </row>
    <row r="13" spans="1:32" ht="20.100000000000001" customHeight="1">
      <c r="A13" s="163">
        <f>ELEC!C13</f>
        <v>44875</v>
      </c>
      <c r="B13" s="601">
        <f t="shared" si="6"/>
        <v>1124959</v>
      </c>
      <c r="C13" s="254">
        <f t="shared" si="0"/>
        <v>0</v>
      </c>
      <c r="D13" s="294">
        <f t="shared" si="14"/>
        <v>0</v>
      </c>
      <c r="E13" s="294">
        <f t="shared" si="15"/>
        <v>1124959</v>
      </c>
      <c r="F13" s="601">
        <f t="shared" si="7"/>
        <v>161475</v>
      </c>
      <c r="G13" s="160">
        <f t="shared" si="1"/>
        <v>0</v>
      </c>
      <c r="H13" s="601">
        <f t="shared" si="8"/>
        <v>561548</v>
      </c>
      <c r="I13" s="161">
        <f t="shared" si="2"/>
        <v>0</v>
      </c>
      <c r="J13" s="601">
        <f t="shared" si="9"/>
        <v>401934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159.96313985627418</v>
      </c>
      <c r="P13" s="284">
        <f t="shared" si="12"/>
        <v>159.96313985627418</v>
      </c>
      <c r="Q13" s="284">
        <f>SUM(-tanks!AX15*tanks!$AU$37)</f>
        <v>381.71203225806403</v>
      </c>
      <c r="R13" s="284">
        <f t="shared" si="13"/>
        <v>541.67517211433824</v>
      </c>
      <c r="S13" s="286">
        <f>SUM(ELEC!N13)</f>
        <v>2745</v>
      </c>
      <c r="T13" s="320">
        <f>IF(S13&gt;0,R13/S13,0)</f>
        <v>0.19733157454074252</v>
      </c>
      <c r="V13" s="216" t="s">
        <v>314</v>
      </c>
      <c r="W13" s="587">
        <f>'[6]EDl log'!W30</f>
        <v>0</v>
      </c>
      <c r="X13" s="217"/>
      <c r="Y13" s="218" t="s">
        <v>327</v>
      </c>
      <c r="Z13" s="3"/>
      <c r="AA13" s="598">
        <f>'[2]EDl log'!AA30</f>
        <v>0</v>
      </c>
      <c r="AB13" s="598">
        <f>'[2]EDl log'!AB30</f>
        <v>7292365</v>
      </c>
      <c r="AC13" s="598">
        <f>'[2]EDl log'!AC30</f>
        <v>0</v>
      </c>
      <c r="AD13" s="603"/>
    </row>
    <row r="14" spans="1:32" ht="20.100000000000001" customHeight="1">
      <c r="A14" s="163">
        <f>ELEC!C14</f>
        <v>44876</v>
      </c>
      <c r="B14" s="601">
        <f t="shared" si="6"/>
        <v>1124959</v>
      </c>
      <c r="C14" s="254">
        <f t="shared" si="0"/>
        <v>0</v>
      </c>
      <c r="D14" s="294">
        <f t="shared" si="14"/>
        <v>0</v>
      </c>
      <c r="E14" s="294">
        <f t="shared" si="15"/>
        <v>1124959</v>
      </c>
      <c r="F14" s="601">
        <f t="shared" si="7"/>
        <v>161475</v>
      </c>
      <c r="G14" s="160">
        <f t="shared" si="1"/>
        <v>0</v>
      </c>
      <c r="H14" s="601">
        <f t="shared" si="8"/>
        <v>561548</v>
      </c>
      <c r="I14" s="161">
        <f t="shared" si="2"/>
        <v>0</v>
      </c>
      <c r="J14" s="601">
        <f t="shared" si="9"/>
        <v>401934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159.96313985627418</v>
      </c>
      <c r="P14" s="284">
        <f>SUM(L14:O14)</f>
        <v>159.96313985627418</v>
      </c>
      <c r="Q14" s="284">
        <f>SUM(-tanks!AX16*tanks!$AU$37)</f>
        <v>0</v>
      </c>
      <c r="R14" s="284">
        <f>SUM(P14:Q14)</f>
        <v>159.96313985627418</v>
      </c>
      <c r="S14" s="286">
        <f>SUM(ELEC!N14)</f>
        <v>0</v>
      </c>
      <c r="T14" s="320">
        <f>IF(S14&gt;0,R14/S14,0)</f>
        <v>0</v>
      </c>
      <c r="V14" s="216"/>
      <c r="W14" s="217"/>
      <c r="X14" s="217"/>
      <c r="Y14" s="218"/>
      <c r="Z14" s="3"/>
      <c r="AA14" s="598">
        <f>'[2]EDl log'!AA31</f>
        <v>0</v>
      </c>
      <c r="AB14" s="598">
        <f>'[2]EDl log'!AB31</f>
        <v>0</v>
      </c>
      <c r="AC14" s="598">
        <f>'[2]EDl log'!AC31</f>
        <v>0</v>
      </c>
      <c r="AD14" s="603"/>
    </row>
    <row r="15" spans="1:32" ht="20.100000000000001" customHeight="1">
      <c r="A15" s="163">
        <f>ELEC!C15</f>
        <v>44877</v>
      </c>
      <c r="B15" s="601">
        <f t="shared" si="6"/>
        <v>1124959</v>
      </c>
      <c r="C15" s="254">
        <f t="shared" si="0"/>
        <v>0</v>
      </c>
      <c r="D15" s="294">
        <f t="shared" si="14"/>
        <v>0</v>
      </c>
      <c r="E15" s="294">
        <f t="shared" si="15"/>
        <v>1124959</v>
      </c>
      <c r="F15" s="601">
        <f t="shared" si="7"/>
        <v>161475</v>
      </c>
      <c r="G15" s="160">
        <f t="shared" si="1"/>
        <v>0</v>
      </c>
      <c r="H15" s="601">
        <f t="shared" si="8"/>
        <v>561548</v>
      </c>
      <c r="I15" s="161">
        <f t="shared" si="2"/>
        <v>0</v>
      </c>
      <c r="J15" s="601">
        <f t="shared" si="9"/>
        <v>401934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159.96313985627418</v>
      </c>
      <c r="P15" s="284">
        <f>SUM(L15:O15)</f>
        <v>159.96313985627418</v>
      </c>
      <c r="Q15" s="284">
        <f>SUM(-tanks!AX17*tanks!$AU$37)</f>
        <v>0</v>
      </c>
      <c r="R15" s="284">
        <f>SUM(P15:Q15)</f>
        <v>159.96313985627418</v>
      </c>
      <c r="S15" s="286">
        <f>SUM(ELEC!N15)</f>
        <v>0</v>
      </c>
      <c r="T15" s="320">
        <f>IF(S15&gt;0,R15/S15,0)</f>
        <v>0</v>
      </c>
      <c r="V15" s="216" t="s">
        <v>315</v>
      </c>
      <c r="W15" s="246">
        <f>'[2]EDl log'!W32</f>
        <v>232</v>
      </c>
      <c r="X15" s="246">
        <f>'[2]EDl log'!X32</f>
        <v>232</v>
      </c>
      <c r="Y15" s="246">
        <f>'[2]EDl log'!Y32</f>
        <v>232</v>
      </c>
      <c r="Z15" s="3"/>
      <c r="AA15" s="598">
        <f>'[2]EDl log'!AA32</f>
        <v>0</v>
      </c>
      <c r="AB15" s="598">
        <f>'[2]EDl log'!AB32</f>
        <v>0</v>
      </c>
      <c r="AC15" s="598">
        <f>'[2]EDl log'!AC32</f>
        <v>0</v>
      </c>
      <c r="AD15" s="603"/>
    </row>
    <row r="16" spans="1:32" ht="20.100000000000001" customHeight="1">
      <c r="A16" s="163">
        <f>ELEC!C16</f>
        <v>44878</v>
      </c>
      <c r="B16" s="601">
        <f t="shared" si="6"/>
        <v>1124959</v>
      </c>
      <c r="C16" s="254">
        <f t="shared" si="0"/>
        <v>0</v>
      </c>
      <c r="D16" s="294">
        <f t="shared" si="14"/>
        <v>0</v>
      </c>
      <c r="E16" s="294">
        <f t="shared" si="15"/>
        <v>1124959</v>
      </c>
      <c r="F16" s="601">
        <f t="shared" si="7"/>
        <v>161475</v>
      </c>
      <c r="G16" s="160">
        <f t="shared" si="1"/>
        <v>0</v>
      </c>
      <c r="H16" s="601">
        <f t="shared" si="8"/>
        <v>561548</v>
      </c>
      <c r="I16" s="161">
        <f t="shared" si="2"/>
        <v>0</v>
      </c>
      <c r="J16" s="601">
        <f t="shared" si="9"/>
        <v>401934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159.96313985627418</v>
      </c>
      <c r="P16" s="284">
        <f>SUM(L16:O16)</f>
        <v>159.96313985627418</v>
      </c>
      <c r="Q16" s="284">
        <f>SUM(-tanks!AX18*tanks!$AU$37)</f>
        <v>494.8677096774091</v>
      </c>
      <c r="R16" s="284">
        <f>SUM(P16:Q16)</f>
        <v>654.83084953368325</v>
      </c>
      <c r="S16" s="286">
        <f>SUM(ELEC!N16)</f>
        <v>2751</v>
      </c>
      <c r="T16" s="320">
        <f>IF(S16&gt;0,R16/S16,0)</f>
        <v>0.2380337511936326</v>
      </c>
      <c r="V16" s="216" t="s">
        <v>413</v>
      </c>
      <c r="X16" s="222"/>
      <c r="Y16" s="250"/>
      <c r="Z16" s="3" t="s">
        <v>415</v>
      </c>
      <c r="AA16" s="598">
        <f>'[2]EDl log'!AA33</f>
        <v>0.11</v>
      </c>
      <c r="AB16" s="598">
        <f>'[2]EDl log'!AB33</f>
        <v>802160.15</v>
      </c>
      <c r="AC16" s="598">
        <f>'[2]EDl log'!AC33</f>
        <v>7234333</v>
      </c>
      <c r="AD16" s="603"/>
    </row>
    <row r="17" spans="1:32" ht="20.100000000000001" customHeight="1">
      <c r="A17" s="163">
        <f>ELEC!C17</f>
        <v>44879</v>
      </c>
      <c r="B17" s="601">
        <f t="shared" si="6"/>
        <v>1124959</v>
      </c>
      <c r="C17" s="254">
        <f t="shared" si="0"/>
        <v>0</v>
      </c>
      <c r="D17" s="294">
        <f t="shared" si="14"/>
        <v>0</v>
      </c>
      <c r="E17" s="294">
        <f t="shared" si="15"/>
        <v>1124959</v>
      </c>
      <c r="F17" s="601">
        <f t="shared" si="7"/>
        <v>161475</v>
      </c>
      <c r="G17" s="160">
        <f>F17-F16</f>
        <v>0</v>
      </c>
      <c r="H17" s="601">
        <f t="shared" si="8"/>
        <v>561548</v>
      </c>
      <c r="I17" s="161">
        <f t="shared" si="2"/>
        <v>0</v>
      </c>
      <c r="J17" s="601">
        <f t="shared" si="9"/>
        <v>401934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159.96313985627418</v>
      </c>
      <c r="P17" s="284">
        <f>SUM(L17:O17)</f>
        <v>159.96313985627418</v>
      </c>
      <c r="Q17" s="284">
        <f>SUM(-tanks!AX19*tanks!$AU$37)</f>
        <v>416.00503225807853</v>
      </c>
      <c r="R17" s="284">
        <f>SUM(P17:Q17)</f>
        <v>575.96817211435268</v>
      </c>
      <c r="S17" s="286">
        <f>SUM(ELEC!N17)</f>
        <v>2937</v>
      </c>
      <c r="T17" s="320">
        <f>IF(S17&gt;0,R17/S17,0)</f>
        <v>0.19610765138384498</v>
      </c>
      <c r="V17" s="216" t="s">
        <v>414</v>
      </c>
      <c r="Z17" s="3"/>
      <c r="AA17" s="598">
        <f>'[2]EDl log'!AA34</f>
        <v>0</v>
      </c>
      <c r="AB17" s="598">
        <f>'[2]EDl log'!AB34</f>
        <v>8094525.1500000004</v>
      </c>
      <c r="AC17" s="598">
        <f>'[2]EDl log'!AC34</f>
        <v>0</v>
      </c>
      <c r="AD17" s="603"/>
    </row>
    <row r="18" spans="1:32" ht="20.100000000000001" customHeight="1" thickBot="1">
      <c r="A18" s="163">
        <f>ELEC!C18</f>
        <v>44880</v>
      </c>
      <c r="B18" s="601">
        <f t="shared" si="6"/>
        <v>1124959</v>
      </c>
      <c r="C18" s="254">
        <f>SUM(B18-B17)</f>
        <v>0</v>
      </c>
      <c r="D18" s="294">
        <f>SUM(G18+I18+K18)</f>
        <v>0</v>
      </c>
      <c r="E18" s="294">
        <f t="shared" si="15"/>
        <v>1124959</v>
      </c>
      <c r="F18" s="601">
        <f t="shared" si="7"/>
        <v>161475</v>
      </c>
      <c r="G18" s="160">
        <f t="shared" si="1"/>
        <v>0</v>
      </c>
      <c r="H18" s="601">
        <f t="shared" si="8"/>
        <v>561548</v>
      </c>
      <c r="I18" s="161">
        <f t="shared" si="2"/>
        <v>0</v>
      </c>
      <c r="J18" s="601">
        <f t="shared" si="9"/>
        <v>401934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159.96313985627418</v>
      </c>
      <c r="P18" s="284">
        <f t="shared" si="12"/>
        <v>159.96313985627418</v>
      </c>
      <c r="Q18" s="284">
        <f>SUM(-tanks!AX20*tanks!$AU$37)</f>
        <v>425.44803225806407</v>
      </c>
      <c r="R18" s="284">
        <f t="shared" si="13"/>
        <v>585.41117211433823</v>
      </c>
      <c r="S18" s="286">
        <f>SUM(ELEC!N18)</f>
        <v>2410</v>
      </c>
      <c r="T18" s="320">
        <f t="shared" si="16"/>
        <v>0.24290920004744324</v>
      </c>
      <c r="V18" s="226"/>
      <c r="W18" s="227"/>
      <c r="X18" s="227"/>
      <c r="Y18" s="227"/>
      <c r="Z18" s="3"/>
      <c r="AA18" s="598">
        <f>'[2]EDl log'!AA35</f>
        <v>0</v>
      </c>
      <c r="AB18" s="598">
        <f>'[2]EDl log'!AB35</f>
        <v>0</v>
      </c>
      <c r="AC18" s="598">
        <f>'[2]EDl log'!AC35</f>
        <v>0</v>
      </c>
      <c r="AD18" s="603"/>
    </row>
    <row r="19" spans="1:32" ht="20.100000000000001" customHeight="1" thickBot="1">
      <c r="A19" s="163">
        <f>ELEC!C19</f>
        <v>44881</v>
      </c>
      <c r="B19" s="601">
        <f t="shared" si="6"/>
        <v>1124959</v>
      </c>
      <c r="C19" s="254">
        <f t="shared" si="0"/>
        <v>0</v>
      </c>
      <c r="D19" s="294">
        <f t="shared" si="14"/>
        <v>0</v>
      </c>
      <c r="E19" s="294">
        <f t="shared" si="15"/>
        <v>1124959</v>
      </c>
      <c r="F19" s="601">
        <f t="shared" si="7"/>
        <v>161475</v>
      </c>
      <c r="G19" s="160">
        <f t="shared" si="1"/>
        <v>0</v>
      </c>
      <c r="H19" s="601">
        <f t="shared" si="8"/>
        <v>561548</v>
      </c>
      <c r="I19" s="161">
        <f t="shared" si="2"/>
        <v>0</v>
      </c>
      <c r="J19" s="601">
        <f t="shared" si="9"/>
        <v>401934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159.96313985627418</v>
      </c>
      <c r="P19" s="284">
        <f>SUM(L19:O19)</f>
        <v>159.96313985627418</v>
      </c>
      <c r="Q19" s="284">
        <f>SUM(-tanks!AX21*tanks!$AU$37)</f>
        <v>176.51516129032024</v>
      </c>
      <c r="R19" s="284">
        <f>SUM(P19:Q19)</f>
        <v>336.47830114659439</v>
      </c>
      <c r="S19" s="286">
        <f>SUM(ELEC!N19)</f>
        <v>2863.6000000000931</v>
      </c>
      <c r="T19" s="320">
        <f>IF(S19&gt;0,R19/S19,0)</f>
        <v>0.11750185121755254</v>
      </c>
      <c r="V19" s="226"/>
      <c r="W19" s="227"/>
      <c r="X19" s="227"/>
      <c r="Y19" s="227"/>
      <c r="Z19" s="227"/>
      <c r="AA19" s="598" t="str">
        <f>'[2]EDl log'!AA36</f>
        <v>$ without VAT</v>
      </c>
      <c r="AB19" s="598">
        <f>'[2]EDl log'!AB36</f>
        <v>4837.3897180762851</v>
      </c>
      <c r="AC19" s="598">
        <f>'[2]EDl log'!AC36</f>
        <v>0</v>
      </c>
    </row>
    <row r="20" spans="1:32" ht="20.100000000000001" customHeight="1" thickBot="1">
      <c r="A20" s="163">
        <f>ELEC!C20</f>
        <v>44882</v>
      </c>
      <c r="B20" s="601">
        <v>1125123</v>
      </c>
      <c r="C20" s="254">
        <f t="shared" si="0"/>
        <v>164</v>
      </c>
      <c r="D20" s="294">
        <f t="shared" si="14"/>
        <v>163</v>
      </c>
      <c r="E20" s="294">
        <f t="shared" si="15"/>
        <v>1125122</v>
      </c>
      <c r="F20" s="601">
        <v>161528</v>
      </c>
      <c r="G20" s="160">
        <f t="shared" si="1"/>
        <v>53</v>
      </c>
      <c r="H20" s="601">
        <v>561658</v>
      </c>
      <c r="I20" s="161">
        <f t="shared" si="2"/>
        <v>110</v>
      </c>
      <c r="J20" s="601">
        <f t="shared" si="9"/>
        <v>401934</v>
      </c>
      <c r="K20" s="162">
        <f t="shared" si="10"/>
        <v>0</v>
      </c>
      <c r="L20" s="283">
        <f t="shared" si="17"/>
        <v>11.250414593698176</v>
      </c>
      <c r="M20" s="283">
        <f t="shared" si="18"/>
        <v>8.1724709784411278</v>
      </c>
      <c r="N20" s="283">
        <f t="shared" si="19"/>
        <v>0</v>
      </c>
      <c r="O20" s="283">
        <f t="shared" si="11"/>
        <v>159.96313985627418</v>
      </c>
      <c r="P20" s="284">
        <f t="shared" si="12"/>
        <v>179.38602542841349</v>
      </c>
      <c r="Q20" s="284">
        <f>SUM(-tanks!AX22*tanks!$AU$37)</f>
        <v>535.12470967741626</v>
      </c>
      <c r="R20" s="284">
        <f t="shared" si="13"/>
        <v>714.51073510582978</v>
      </c>
      <c r="S20" s="286">
        <f>SUM(ELEC!N20)</f>
        <v>2741.3999999999069</v>
      </c>
      <c r="T20" s="320">
        <f t="shared" si="16"/>
        <v>0.26063716900337569</v>
      </c>
      <c r="AB20" s="523"/>
    </row>
    <row r="21" spans="1:32" ht="20.100000000000001" customHeight="1">
      <c r="A21" s="163">
        <f>ELEC!C21</f>
        <v>44883</v>
      </c>
      <c r="B21" s="601">
        <f t="shared" si="6"/>
        <v>1125123</v>
      </c>
      <c r="C21" s="254">
        <f t="shared" si="0"/>
        <v>0</v>
      </c>
      <c r="D21" s="294">
        <f t="shared" si="14"/>
        <v>0</v>
      </c>
      <c r="E21" s="294">
        <f t="shared" si="15"/>
        <v>1125123</v>
      </c>
      <c r="F21" s="601">
        <f t="shared" si="7"/>
        <v>161528</v>
      </c>
      <c r="G21" s="160">
        <f t="shared" si="1"/>
        <v>0</v>
      </c>
      <c r="H21" s="601">
        <f t="shared" si="8"/>
        <v>561658</v>
      </c>
      <c r="I21" s="161">
        <f t="shared" si="2"/>
        <v>0</v>
      </c>
      <c r="J21" s="601">
        <f t="shared" si="9"/>
        <v>401934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159.96313985627418</v>
      </c>
      <c r="P21" s="284">
        <f t="shared" si="12"/>
        <v>159.96313985627418</v>
      </c>
      <c r="Q21" s="284">
        <f>SUM(-tanks!AX23*tanks!$AU$37)</f>
        <v>0</v>
      </c>
      <c r="R21" s="284">
        <f t="shared" si="13"/>
        <v>159.96313985627418</v>
      </c>
      <c r="S21" s="286">
        <f>SUM(ELEC!N21)</f>
        <v>0</v>
      </c>
      <c r="T21" s="320">
        <f t="shared" si="16"/>
        <v>0</v>
      </c>
      <c r="V21" s="166" t="s">
        <v>200</v>
      </c>
      <c r="W21" s="167">
        <v>44887</v>
      </c>
      <c r="X21" s="168"/>
      <c r="Y21" s="168"/>
      <c r="Z21" s="169" t="s">
        <v>201</v>
      </c>
      <c r="AA21" s="168"/>
      <c r="AB21" s="642"/>
      <c r="AC21" s="643"/>
    </row>
    <row r="22" spans="1:32" ht="20.100000000000001" customHeight="1">
      <c r="A22" s="163">
        <f>ELEC!C22</f>
        <v>44884</v>
      </c>
      <c r="B22" s="601">
        <f t="shared" si="6"/>
        <v>1125123</v>
      </c>
      <c r="C22" s="254">
        <f t="shared" si="0"/>
        <v>0</v>
      </c>
      <c r="D22" s="294">
        <f t="shared" si="14"/>
        <v>0</v>
      </c>
      <c r="E22" s="294">
        <v>1124846</v>
      </c>
      <c r="F22" s="601">
        <f t="shared" si="7"/>
        <v>161528</v>
      </c>
      <c r="G22" s="160">
        <f t="shared" si="1"/>
        <v>0</v>
      </c>
      <c r="H22" s="601">
        <f t="shared" si="8"/>
        <v>561658</v>
      </c>
      <c r="I22" s="161">
        <f t="shared" si="2"/>
        <v>0</v>
      </c>
      <c r="J22" s="601">
        <f t="shared" si="9"/>
        <v>401934</v>
      </c>
      <c r="K22" s="162">
        <f t="shared" si="10"/>
        <v>0</v>
      </c>
      <c r="L22" s="283">
        <f t="shared" si="17"/>
        <v>0</v>
      </c>
      <c r="M22" s="283">
        <f t="shared" si="18"/>
        <v>0</v>
      </c>
      <c r="N22" s="283">
        <f t="shared" si="19"/>
        <v>0</v>
      </c>
      <c r="O22" s="283">
        <f t="shared" si="11"/>
        <v>159.96313985627418</v>
      </c>
      <c r="P22" s="284">
        <f t="shared" si="12"/>
        <v>159.96313985627418</v>
      </c>
      <c r="Q22" s="284">
        <f>SUM(-tanks!AX24*tanks!$AU$37)</f>
        <v>0</v>
      </c>
      <c r="R22" s="284">
        <f t="shared" si="13"/>
        <v>159.96313985627418</v>
      </c>
      <c r="S22" s="286">
        <f>SUM(ELEC!N22)</f>
        <v>0</v>
      </c>
      <c r="T22" s="320">
        <f t="shared" si="16"/>
        <v>0</v>
      </c>
      <c r="V22" s="636"/>
      <c r="W22" s="637"/>
      <c r="X22" s="637"/>
      <c r="Y22" s="638"/>
      <c r="Z22" s="26" t="s">
        <v>202</v>
      </c>
      <c r="AA22" s="26">
        <v>5000</v>
      </c>
      <c r="AB22" s="644"/>
      <c r="AC22" s="645"/>
    </row>
    <row r="23" spans="1:32" ht="21" customHeight="1">
      <c r="A23" s="163">
        <f>ELEC!C23</f>
        <v>44885</v>
      </c>
      <c r="B23" s="601">
        <f t="shared" si="6"/>
        <v>1125123</v>
      </c>
      <c r="C23" s="254">
        <f t="shared" si="0"/>
        <v>0</v>
      </c>
      <c r="D23" s="294">
        <f t="shared" si="14"/>
        <v>0</v>
      </c>
      <c r="E23" s="294">
        <f t="shared" si="15"/>
        <v>1125123</v>
      </c>
      <c r="F23" s="601">
        <f t="shared" si="7"/>
        <v>161528</v>
      </c>
      <c r="G23" s="160">
        <f t="shared" si="1"/>
        <v>0</v>
      </c>
      <c r="H23" s="601">
        <f t="shared" si="8"/>
        <v>561658</v>
      </c>
      <c r="I23" s="161">
        <f t="shared" si="2"/>
        <v>0</v>
      </c>
      <c r="J23" s="601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159.96313985627418</v>
      </c>
      <c r="P23" s="284">
        <f t="shared" si="12"/>
        <v>159.96313985627418</v>
      </c>
      <c r="Q23" s="284">
        <f>SUM(-tanks!AX25*tanks!$AU$37)</f>
        <v>390.65803225806405</v>
      </c>
      <c r="R23" s="284">
        <f t="shared" si="13"/>
        <v>550.62117211433826</v>
      </c>
      <c r="S23" s="286">
        <f>SUM(ELEC!N23)</f>
        <v>2602</v>
      </c>
      <c r="T23" s="320">
        <f t="shared" si="16"/>
        <v>0.21161459343364269</v>
      </c>
      <c r="V23" s="639"/>
      <c r="W23" s="640"/>
      <c r="X23" s="640"/>
      <c r="Y23" s="641"/>
      <c r="Z23" s="648"/>
      <c r="AA23" s="649"/>
      <c r="AB23" s="644"/>
      <c r="AC23" s="645"/>
    </row>
    <row r="24" spans="1:32" ht="20.100000000000001" customHeight="1">
      <c r="A24" s="163">
        <f>ELEC!C24</f>
        <v>44886</v>
      </c>
      <c r="B24" s="601">
        <f t="shared" si="6"/>
        <v>1125123</v>
      </c>
      <c r="C24" s="254">
        <f t="shared" si="0"/>
        <v>0</v>
      </c>
      <c r="D24" s="294">
        <f t="shared" si="14"/>
        <v>0</v>
      </c>
      <c r="E24" s="294">
        <f t="shared" si="15"/>
        <v>1125123</v>
      </c>
      <c r="F24" s="601">
        <f t="shared" si="7"/>
        <v>161528</v>
      </c>
      <c r="G24" s="160">
        <f t="shared" si="1"/>
        <v>0</v>
      </c>
      <c r="H24" s="601">
        <f t="shared" si="8"/>
        <v>561658</v>
      </c>
      <c r="I24" s="161">
        <f t="shared" si="2"/>
        <v>0</v>
      </c>
      <c r="J24" s="601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159.96313985627418</v>
      </c>
      <c r="P24" s="284">
        <f t="shared" si="12"/>
        <v>159.96313985627418</v>
      </c>
      <c r="Q24" s="284">
        <f>SUM(-tanks!AX26*tanks!$AU$37)</f>
        <v>494.3707096774163</v>
      </c>
      <c r="R24" s="284">
        <f t="shared" si="13"/>
        <v>654.33384953369045</v>
      </c>
      <c r="S24" s="286">
        <f>SUM(ELEC!N24)</f>
        <v>2685</v>
      </c>
      <c r="T24" s="320">
        <f t="shared" si="16"/>
        <v>0.24369975774066682</v>
      </c>
      <c r="V24" s="631" t="s">
        <v>203</v>
      </c>
      <c r="W24" s="632"/>
      <c r="X24" s="633" t="s">
        <v>204</v>
      </c>
      <c r="Y24" s="634"/>
      <c r="Z24" s="635"/>
      <c r="AA24" s="170"/>
      <c r="AB24" s="646"/>
      <c r="AC24" s="647"/>
    </row>
    <row r="25" spans="1:32" ht="20.100000000000001" customHeight="1">
      <c r="A25" s="163">
        <f>ELEC!C25</f>
        <v>44887</v>
      </c>
      <c r="B25" s="601">
        <f t="shared" si="6"/>
        <v>1125123</v>
      </c>
      <c r="C25" s="254">
        <f t="shared" si="0"/>
        <v>0</v>
      </c>
      <c r="D25" s="294">
        <f t="shared" si="14"/>
        <v>0</v>
      </c>
      <c r="E25" s="294">
        <f t="shared" si="15"/>
        <v>1125123</v>
      </c>
      <c r="F25" s="601">
        <f t="shared" si="7"/>
        <v>161528</v>
      </c>
      <c r="G25" s="160">
        <f t="shared" si="1"/>
        <v>0</v>
      </c>
      <c r="H25" s="601">
        <f t="shared" si="8"/>
        <v>561658</v>
      </c>
      <c r="I25" s="161">
        <f t="shared" si="2"/>
        <v>0</v>
      </c>
      <c r="J25" s="601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159.96313985627418</v>
      </c>
      <c r="P25" s="284">
        <f t="shared" si="12"/>
        <v>159.96313985627418</v>
      </c>
      <c r="Q25" s="284">
        <f>SUM(-tanks!AX27*tanks!$AU$37)</f>
        <v>0</v>
      </c>
      <c r="R25" s="284">
        <f t="shared" si="13"/>
        <v>159.96313985627418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44888</v>
      </c>
      <c r="B26" s="601">
        <f t="shared" si="6"/>
        <v>1125123</v>
      </c>
      <c r="C26" s="254">
        <f t="shared" si="0"/>
        <v>0</v>
      </c>
      <c r="D26" s="294">
        <f t="shared" si="14"/>
        <v>0</v>
      </c>
      <c r="E26" s="294">
        <f t="shared" si="15"/>
        <v>1125123</v>
      </c>
      <c r="F26" s="601">
        <f t="shared" si="7"/>
        <v>161528</v>
      </c>
      <c r="G26" s="160">
        <f t="shared" si="1"/>
        <v>0</v>
      </c>
      <c r="H26" s="601">
        <f t="shared" si="8"/>
        <v>561658</v>
      </c>
      <c r="I26" s="161">
        <f t="shared" si="2"/>
        <v>0</v>
      </c>
      <c r="J26" s="601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159.96313985627418</v>
      </c>
      <c r="P26" s="284">
        <f t="shared" si="12"/>
        <v>159.96313985627418</v>
      </c>
      <c r="Q26" s="284">
        <f>SUM(-tanks!AX28*tanks!$AU$37)</f>
        <v>510.77170967742353</v>
      </c>
      <c r="R26" s="284">
        <f t="shared" si="13"/>
        <v>670.73484953369768</v>
      </c>
      <c r="S26" s="286">
        <f>SUM(ELEC!N26)</f>
        <v>3117</v>
      </c>
      <c r="T26" s="320">
        <f t="shared" si="16"/>
        <v>0.2151860280826749</v>
      </c>
      <c r="V26" s="246">
        <f>W9</f>
        <v>401934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0</v>
      </c>
      <c r="AB26" s="322">
        <f>AA26*Y26</f>
        <v>0</v>
      </c>
      <c r="AC26" s="244">
        <f>AC9</f>
        <v>1033333</v>
      </c>
      <c r="AD26" s="474">
        <f>SUM(K36)</f>
        <v>0</v>
      </c>
    </row>
    <row r="27" spans="1:32" ht="20.100000000000001" customHeight="1">
      <c r="A27" s="163">
        <f>ELEC!C27</f>
        <v>44889</v>
      </c>
      <c r="B27" s="601">
        <f t="shared" si="6"/>
        <v>1125123</v>
      </c>
      <c r="C27" s="254">
        <f t="shared" si="0"/>
        <v>0</v>
      </c>
      <c r="D27" s="294">
        <f t="shared" si="14"/>
        <v>0</v>
      </c>
      <c r="E27" s="294">
        <f t="shared" si="15"/>
        <v>1125123</v>
      </c>
      <c r="F27" s="601">
        <f t="shared" si="7"/>
        <v>161528</v>
      </c>
      <c r="G27" s="160">
        <f t="shared" si="1"/>
        <v>0</v>
      </c>
      <c r="H27" s="601">
        <f t="shared" si="8"/>
        <v>561658</v>
      </c>
      <c r="I27" s="161">
        <f t="shared" si="2"/>
        <v>0</v>
      </c>
      <c r="J27" s="601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159.96313985627418</v>
      </c>
      <c r="P27" s="284">
        <f t="shared" si="12"/>
        <v>159.96313985627418</v>
      </c>
      <c r="Q27" s="284">
        <f>SUM(-tanks!AX29*tanks!$AU$37)</f>
        <v>247.68235483871902</v>
      </c>
      <c r="R27" s="284">
        <f t="shared" si="13"/>
        <v>407.6454946949932</v>
      </c>
      <c r="S27" s="286">
        <f>SUM(ELEC!N27)</f>
        <v>2605</v>
      </c>
      <c r="T27" s="320">
        <f t="shared" si="16"/>
        <v>0.15648579450863462</v>
      </c>
      <c r="V27" s="246">
        <f>W10</f>
        <v>561453</v>
      </c>
      <c r="W27" s="170">
        <f>H34</f>
        <v>563190</v>
      </c>
      <c r="X27" s="172" t="s">
        <v>212</v>
      </c>
      <c r="Y27" s="172">
        <v>112</v>
      </c>
      <c r="Z27" s="172">
        <v>1</v>
      </c>
      <c r="AA27" s="322">
        <f>(W27-V27)*Z27</f>
        <v>1737</v>
      </c>
      <c r="AB27" s="322">
        <f>SUM(AA27*Y27)</f>
        <v>194544</v>
      </c>
      <c r="AC27" s="244">
        <f>AC10</f>
        <v>6200000</v>
      </c>
      <c r="AD27" s="474">
        <f>SUM(I36)</f>
        <v>0.90563086548488003</v>
      </c>
    </row>
    <row r="28" spans="1:32" ht="20.100000000000001" customHeight="1">
      <c r="A28" s="163">
        <f>ELEC!C28</f>
        <v>44890</v>
      </c>
      <c r="B28" s="601">
        <v>1125618</v>
      </c>
      <c r="C28" s="254">
        <f t="shared" si="0"/>
        <v>495</v>
      </c>
      <c r="D28" s="294">
        <f t="shared" si="14"/>
        <v>497</v>
      </c>
      <c r="E28" s="294">
        <f t="shared" si="15"/>
        <v>1125620</v>
      </c>
      <c r="F28" s="601">
        <v>161640</v>
      </c>
      <c r="G28" s="160">
        <f t="shared" si="1"/>
        <v>112</v>
      </c>
      <c r="H28" s="601">
        <v>562043</v>
      </c>
      <c r="I28" s="161">
        <f t="shared" si="2"/>
        <v>385</v>
      </c>
      <c r="J28" s="601">
        <v>401934</v>
      </c>
      <c r="K28" s="162">
        <f t="shared" si="10"/>
        <v>0</v>
      </c>
      <c r="L28" s="283">
        <f t="shared" si="17"/>
        <v>23.77446102819237</v>
      </c>
      <c r="M28" s="283">
        <f t="shared" si="18"/>
        <v>28.603648424543948</v>
      </c>
      <c r="N28" s="283">
        <f t="shared" si="19"/>
        <v>0</v>
      </c>
      <c r="O28" s="283">
        <f t="shared" si="11"/>
        <v>159.96313985627418</v>
      </c>
      <c r="P28" s="284">
        <f t="shared" si="12"/>
        <v>212.34124930901049</v>
      </c>
      <c r="Q28" s="284">
        <f>SUM(-tanks!AX30*tanks!$AU$37)</f>
        <v>152.41867741934504</v>
      </c>
      <c r="R28" s="284">
        <f t="shared" si="13"/>
        <v>364.75992672835554</v>
      </c>
      <c r="S28" s="286">
        <f>SUM(ELEC!N28)</f>
        <v>0</v>
      </c>
      <c r="T28" s="320">
        <f t="shared" si="16"/>
        <v>0</v>
      </c>
      <c r="V28" s="246">
        <f>W11</f>
        <v>161459</v>
      </c>
      <c r="W28" s="170">
        <f>F34</f>
        <v>161640</v>
      </c>
      <c r="X28" s="172" t="s">
        <v>197</v>
      </c>
      <c r="Y28" s="172">
        <v>320</v>
      </c>
      <c r="Z28" s="172">
        <v>1</v>
      </c>
      <c r="AA28" s="322">
        <f>(W28-V28)*Z28</f>
        <v>181</v>
      </c>
      <c r="AB28" s="322">
        <f>SUM(AA28*Y28)</f>
        <v>57920</v>
      </c>
      <c r="AC28" s="244">
        <f>AC11</f>
        <v>1000</v>
      </c>
      <c r="AD28" s="474">
        <f>SUM(G36)</f>
        <v>9.4369134515119912E-2</v>
      </c>
      <c r="AE28" s="40">
        <f>SUM(AB28*5%)</f>
        <v>2896</v>
      </c>
      <c r="AF28" s="82">
        <f>SUM(AE28/7)*31</f>
        <v>12825.142857142857</v>
      </c>
    </row>
    <row r="29" spans="1:32" ht="20.100000000000001" customHeight="1">
      <c r="A29" s="163">
        <f>ELEC!C29</f>
        <v>44891</v>
      </c>
      <c r="B29" s="601">
        <f t="shared" si="6"/>
        <v>1125618</v>
      </c>
      <c r="C29" s="254">
        <f t="shared" si="0"/>
        <v>0</v>
      </c>
      <c r="D29" s="294">
        <f t="shared" si="14"/>
        <v>0</v>
      </c>
      <c r="E29" s="294">
        <f t="shared" si="15"/>
        <v>1125618</v>
      </c>
      <c r="F29" s="601">
        <f t="shared" si="7"/>
        <v>161640</v>
      </c>
      <c r="G29" s="160">
        <f t="shared" si="1"/>
        <v>0</v>
      </c>
      <c r="H29" s="601">
        <f t="shared" si="8"/>
        <v>562043</v>
      </c>
      <c r="I29" s="161">
        <f t="shared" si="2"/>
        <v>0</v>
      </c>
      <c r="J29" s="601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159.96313985627418</v>
      </c>
      <c r="P29" s="284">
        <f t="shared" si="12"/>
        <v>159.96313985627418</v>
      </c>
      <c r="Q29" s="284">
        <f>SUM(-tanks!AX31*tanks!$AU$37)</f>
        <v>0</v>
      </c>
      <c r="R29" s="284">
        <f t="shared" si="13"/>
        <v>159.96313985627418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1918</v>
      </c>
      <c r="AB29" s="322">
        <f>SUM(AB26:AB28)</f>
        <v>252464</v>
      </c>
      <c r="AC29" s="244">
        <f>SUM(AC26:AC28)</f>
        <v>7234333</v>
      </c>
    </row>
    <row r="30" spans="1:32" ht="20.100000000000001" customHeight="1">
      <c r="A30" s="163">
        <f>ELEC!C30</f>
        <v>44892</v>
      </c>
      <c r="B30" s="601">
        <f t="shared" si="6"/>
        <v>1125618</v>
      </c>
      <c r="C30" s="254">
        <f t="shared" si="0"/>
        <v>0</v>
      </c>
      <c r="D30" s="294">
        <f t="shared" si="14"/>
        <v>0</v>
      </c>
      <c r="E30" s="294">
        <f t="shared" si="15"/>
        <v>1125618</v>
      </c>
      <c r="F30" s="601">
        <f t="shared" si="7"/>
        <v>161640</v>
      </c>
      <c r="G30" s="160">
        <f t="shared" si="1"/>
        <v>0</v>
      </c>
      <c r="H30" s="601">
        <f t="shared" si="8"/>
        <v>562043</v>
      </c>
      <c r="I30" s="161">
        <f t="shared" si="2"/>
        <v>0</v>
      </c>
      <c r="J30" s="601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159.96313985627418</v>
      </c>
      <c r="P30" s="284">
        <f t="shared" si="12"/>
        <v>159.96313985627418</v>
      </c>
      <c r="Q30" s="284">
        <f>SUM(-tanks!AX32*tanks!$AU$37)</f>
        <v>231.61803225806406</v>
      </c>
      <c r="R30" s="284">
        <f t="shared" si="13"/>
        <v>391.58117211433824</v>
      </c>
      <c r="S30" s="286">
        <f>SUM(ELEC!N30)</f>
        <v>4127</v>
      </c>
      <c r="T30" s="320">
        <f t="shared" si="16"/>
        <v>9.4882765232454147E-2</v>
      </c>
      <c r="V30" s="216" t="s">
        <v>314</v>
      </c>
      <c r="W30" s="422">
        <f>'General information '!F36</f>
        <v>0</v>
      </c>
      <c r="X30" s="217"/>
      <c r="Y30" s="218" t="s">
        <v>327</v>
      </c>
      <c r="Z30" s="3"/>
      <c r="AA30" s="322"/>
      <c r="AB30" s="322">
        <f>AB29+AC29</f>
        <v>7486797</v>
      </c>
      <c r="AC30" s="244"/>
    </row>
    <row r="31" spans="1:32" ht="20.100000000000001" customHeight="1">
      <c r="A31" s="163">
        <f>ELEC!C31</f>
        <v>44893</v>
      </c>
      <c r="B31" s="601">
        <v>1126764</v>
      </c>
      <c r="C31" s="254">
        <f>SUM(B31-B30)</f>
        <v>1146</v>
      </c>
      <c r="D31" s="294">
        <f t="shared" si="14"/>
        <v>1147</v>
      </c>
      <c r="E31" s="294">
        <f t="shared" si="15"/>
        <v>1126765</v>
      </c>
      <c r="F31" s="601">
        <v>161640</v>
      </c>
      <c r="G31" s="160">
        <f>F31-F30</f>
        <v>0</v>
      </c>
      <c r="H31" s="601">
        <v>563190</v>
      </c>
      <c r="I31" s="161">
        <f>H31-H30</f>
        <v>1147</v>
      </c>
      <c r="J31" s="601">
        <v>401934</v>
      </c>
      <c r="K31" s="162">
        <f>J31-J30</f>
        <v>0</v>
      </c>
      <c r="L31" s="283">
        <f>SUM(G31*$Y$28)/1507.5</f>
        <v>0</v>
      </c>
      <c r="M31" s="283">
        <f>SUM(I31*$Y$27)/1507.5</f>
        <v>85.216583747927032</v>
      </c>
      <c r="N31" s="283">
        <f>SUM(K31*$Y$26)/1507.5</f>
        <v>0</v>
      </c>
      <c r="O31" s="283">
        <f t="shared" si="11"/>
        <v>159.96313985627418</v>
      </c>
      <c r="P31" s="284">
        <f>SUM(L31:O31)</f>
        <v>245.17972360420123</v>
      </c>
      <c r="Q31" s="284">
        <f>SUM(-tanks!AX33*tanks!$AU$37)</f>
        <v>448.64670967740909</v>
      </c>
      <c r="R31" s="284">
        <f>SUM(P31:Q31)</f>
        <v>693.82643328161032</v>
      </c>
      <c r="S31" s="286">
        <f>SUM(ELEC!N31)</f>
        <v>2701</v>
      </c>
      <c r="T31" s="320">
        <f>IF(S31&gt;0,R31/S31,0)</f>
        <v>0.25687761321051844</v>
      </c>
      <c r="V31" s="216"/>
      <c r="W31" s="510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44894</v>
      </c>
      <c r="B32" s="601">
        <f t="shared" si="6"/>
        <v>1126764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1126764</v>
      </c>
      <c r="F32" s="601">
        <f t="shared" si="7"/>
        <v>161640</v>
      </c>
      <c r="G32" s="160">
        <f t="shared" ref="G32:G34" si="22">F32-F31</f>
        <v>0</v>
      </c>
      <c r="H32" s="601">
        <f t="shared" si="8"/>
        <v>563190</v>
      </c>
      <c r="I32" s="161">
        <f t="shared" ref="I32:I34" si="23">H32-H31</f>
        <v>0</v>
      </c>
      <c r="J32" s="601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159.96313985627418</v>
      </c>
      <c r="P32" s="284">
        <f t="shared" ref="P32:P34" si="28">SUM(L32:O32)</f>
        <v>159.96313985627418</v>
      </c>
      <c r="Q32" s="284">
        <f>SUM(-tanks!AX34*tanks!$AU$37)</f>
        <v>656.23238709679026</v>
      </c>
      <c r="R32" s="284">
        <f t="shared" ref="R32:R34" si="29">SUM(P32:Q32)</f>
        <v>816.19552695306447</v>
      </c>
      <c r="S32" s="286">
        <f>SUM(ELEC!N32)</f>
        <v>3880</v>
      </c>
      <c r="T32" s="320">
        <f t="shared" ref="T32:T34" si="30">IF(S32&gt;0,R32/S32,0)</f>
        <v>0.2103596718951197</v>
      </c>
      <c r="V32" s="216" t="s">
        <v>315</v>
      </c>
      <c r="W32" s="536">
        <f>'Utility Cost '!B18</f>
        <v>238</v>
      </c>
      <c r="X32" s="222">
        <f>SUM(W32/A35)</f>
        <v>59.5</v>
      </c>
      <c r="Y32" s="250">
        <f>SUM(X32/1)</f>
        <v>59.5</v>
      </c>
      <c r="Z32" s="3"/>
      <c r="AA32" s="322"/>
      <c r="AB32" s="322"/>
      <c r="AC32" s="244"/>
    </row>
    <row r="33" spans="1:32" ht="20.100000000000001" customHeight="1">
      <c r="A33" s="163">
        <f>ELEC!C33</f>
        <v>44895</v>
      </c>
      <c r="B33" s="601">
        <f t="shared" si="6"/>
        <v>1126764</v>
      </c>
      <c r="C33" s="254">
        <f t="shared" si="20"/>
        <v>0</v>
      </c>
      <c r="D33" s="294">
        <f t="shared" si="21"/>
        <v>0</v>
      </c>
      <c r="E33" s="294">
        <f t="shared" si="15"/>
        <v>1126764</v>
      </c>
      <c r="F33" s="601">
        <f t="shared" si="7"/>
        <v>161640</v>
      </c>
      <c r="G33" s="160">
        <f t="shared" si="22"/>
        <v>0</v>
      </c>
      <c r="H33" s="601">
        <f t="shared" si="8"/>
        <v>563190</v>
      </c>
      <c r="I33" s="161">
        <f t="shared" si="23"/>
        <v>0</v>
      </c>
      <c r="J33" s="601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159.96313985627418</v>
      </c>
      <c r="P33" s="284">
        <f t="shared" si="28"/>
        <v>159.96313985627418</v>
      </c>
      <c r="Q33" s="284">
        <f>SUM(-tanks!AX35*tanks!$AU$37)</f>
        <v>-95.279709677430787</v>
      </c>
      <c r="R33" s="284">
        <f t="shared" si="29"/>
        <v>64.683430178843395</v>
      </c>
      <c r="S33" s="286">
        <f>SUM(ELEC!N33)</f>
        <v>3572</v>
      </c>
      <c r="T33" s="320">
        <f t="shared" si="30"/>
        <v>1.8108463095980794E-2</v>
      </c>
      <c r="V33" s="216" t="s">
        <v>413</v>
      </c>
      <c r="W33" s="536"/>
      <c r="X33" s="222"/>
      <c r="Y33" s="250"/>
      <c r="Z33" s="3" t="s">
        <v>415</v>
      </c>
      <c r="AA33" s="574">
        <v>0.11</v>
      </c>
      <c r="AB33" s="575">
        <f>AB30*AA33</f>
        <v>823547.67</v>
      </c>
      <c r="AC33" s="244">
        <f>SUM(AC29)</f>
        <v>7234333</v>
      </c>
    </row>
    <row r="34" spans="1:32" ht="20.100000000000001" customHeight="1">
      <c r="A34" s="163">
        <f>ELEC!C34</f>
        <v>44896</v>
      </c>
      <c r="B34" s="601">
        <f t="shared" si="6"/>
        <v>1126764</v>
      </c>
      <c r="C34" s="254">
        <f t="shared" si="20"/>
        <v>0</v>
      </c>
      <c r="D34" s="294">
        <f t="shared" si="21"/>
        <v>0</v>
      </c>
      <c r="E34" s="294">
        <f t="shared" si="15"/>
        <v>1126764</v>
      </c>
      <c r="F34" s="601">
        <f t="shared" si="7"/>
        <v>161640</v>
      </c>
      <c r="G34" s="160">
        <f t="shared" si="22"/>
        <v>0</v>
      </c>
      <c r="H34" s="601">
        <f t="shared" si="8"/>
        <v>563190</v>
      </c>
      <c r="I34" s="161">
        <f t="shared" si="23"/>
        <v>0</v>
      </c>
      <c r="J34" s="601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159.96313985627418</v>
      </c>
      <c r="P34" s="284">
        <f t="shared" si="28"/>
        <v>159.96313985627418</v>
      </c>
      <c r="Q34" s="284">
        <f>SUM(-tanks!AX36*tanks!$AU$37)</f>
        <v>0</v>
      </c>
      <c r="R34" s="284">
        <f t="shared" si="29"/>
        <v>159.96313985627418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0">
        <f>AB30+AB33</f>
        <v>8310344.6699999999</v>
      </c>
      <c r="AC34" s="244">
        <f>SUM(AC30)</f>
        <v>0</v>
      </c>
    </row>
    <row r="35" spans="1:32" ht="15.75" thickBot="1">
      <c r="A35" s="497">
        <f>A37-COUNTIF(C4:C33,0)</f>
        <v>4</v>
      </c>
      <c r="C35" s="173">
        <f>SUM(C4:C34)/A35</f>
        <v>479.5</v>
      </c>
      <c r="D35" s="173"/>
      <c r="E35" s="173"/>
      <c r="F35" s="558"/>
      <c r="G35" s="558">
        <f>SUM(G4:G34)/A35</f>
        <v>45.25</v>
      </c>
      <c r="H35" s="173"/>
      <c r="I35" s="173">
        <f>SUM(I4:I34)/A35</f>
        <v>434.25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7"/>
    </row>
    <row r="36" spans="1:32" ht="15.75" thickBot="1">
      <c r="A36" s="210"/>
      <c r="C36" s="212">
        <f>SUM(G36:K36)</f>
        <v>1</v>
      </c>
      <c r="G36" s="225">
        <f>IF(C35&gt;0,G35/C35,0)</f>
        <v>9.4369134515119912E-2</v>
      </c>
      <c r="H36" s="212"/>
      <c r="I36" s="225">
        <f>SUM(I35/C35)</f>
        <v>0.90563086548488003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8">
        <f>AB30/1507.5</f>
        <v>4966.3661691542293</v>
      </c>
      <c r="AC36" s="52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4"/>
      <c r="AA37" s="524"/>
      <c r="AB37" s="525"/>
      <c r="AC37" s="526"/>
    </row>
    <row r="38" spans="1:32">
      <c r="V38" s="217"/>
      <c r="W38" s="82"/>
      <c r="Z38" s="40"/>
      <c r="AA38" s="339"/>
      <c r="AB38" s="281">
        <f>SUM(AB36)</f>
        <v>4966.3661691542293</v>
      </c>
    </row>
    <row r="39" spans="1:32">
      <c r="V39" s="217"/>
      <c r="W39" s="82"/>
      <c r="X39" s="501"/>
      <c r="Z39" s="281"/>
      <c r="AA39" s="280"/>
      <c r="AB39" s="280"/>
    </row>
    <row r="40" spans="1:32">
      <c r="V40" s="17"/>
      <c r="W40" s="82"/>
      <c r="X40" s="501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4"/>
      <c r="E42" s="484"/>
      <c r="F42" s="484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8"/>
      <c r="AE44" s="17"/>
      <c r="AF44" s="17"/>
    </row>
    <row r="45" spans="1:32">
      <c r="V45" s="502"/>
      <c r="W45" s="503"/>
      <c r="X45" s="17"/>
      <c r="Y45" s="17"/>
      <c r="Z45" s="504"/>
      <c r="AA45" s="17"/>
      <c r="AB45" s="650"/>
      <c r="AC45" s="650"/>
      <c r="AD45" s="538"/>
      <c r="AE45" s="17"/>
      <c r="AF45" s="17"/>
    </row>
    <row r="46" spans="1:32">
      <c r="V46" s="650"/>
      <c r="W46" s="650"/>
      <c r="X46" s="650"/>
      <c r="Y46" s="650"/>
      <c r="Z46" s="504"/>
      <c r="AA46" s="504"/>
      <c r="AB46" s="650"/>
      <c r="AC46" s="650"/>
      <c r="AD46" s="538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38"/>
      <c r="AE47" s="17"/>
      <c r="AF47" s="17"/>
    </row>
    <row r="48" spans="1:32">
      <c r="V48" s="651"/>
      <c r="W48" s="651"/>
      <c r="X48" s="652"/>
      <c r="Y48" s="652"/>
      <c r="Z48" s="652"/>
      <c r="AA48" s="505"/>
      <c r="AB48" s="650"/>
      <c r="AC48" s="650"/>
      <c r="AD48" s="538"/>
      <c r="AE48" s="17"/>
      <c r="AF48" s="17"/>
    </row>
    <row r="49" spans="22:32">
      <c r="V49" s="502"/>
      <c r="W49" s="502"/>
      <c r="X49" s="502"/>
      <c r="Y49" s="502"/>
      <c r="Z49" s="502"/>
      <c r="AA49" s="502"/>
      <c r="AB49" s="502"/>
      <c r="AC49" s="506"/>
      <c r="AD49" s="538"/>
      <c r="AE49" s="17"/>
      <c r="AF49" s="17"/>
    </row>
    <row r="50" spans="22:32">
      <c r="V50" s="505"/>
      <c r="W50" s="505"/>
      <c r="X50" s="507"/>
      <c r="Y50" s="507"/>
      <c r="Z50" s="507"/>
      <c r="AA50" s="73"/>
      <c r="AB50" s="73"/>
      <c r="AC50" s="73"/>
      <c r="AD50" s="538"/>
      <c r="AE50" s="17"/>
      <c r="AF50" s="17"/>
    </row>
    <row r="51" spans="22:32">
      <c r="V51" s="505"/>
      <c r="W51" s="505"/>
      <c r="X51" s="507"/>
      <c r="Y51" s="507"/>
      <c r="Z51" s="507"/>
      <c r="AA51" s="73"/>
      <c r="AB51" s="73"/>
      <c r="AC51" s="73"/>
      <c r="AD51" s="538"/>
      <c r="AE51" s="17"/>
      <c r="AF51" s="17"/>
    </row>
    <row r="52" spans="22:32">
      <c r="V52" s="505"/>
      <c r="W52" s="505"/>
      <c r="X52" s="507"/>
      <c r="Y52" s="507"/>
      <c r="Z52" s="507"/>
      <c r="AA52" s="73"/>
      <c r="AB52" s="73"/>
      <c r="AC52" s="73"/>
      <c r="AD52" s="538"/>
      <c r="AE52" s="508"/>
      <c r="AF52" s="509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8"/>
      <c r="AE53" s="17"/>
      <c r="AF53" s="17"/>
    </row>
    <row r="54" spans="22:32">
      <c r="V54" s="217"/>
      <c r="W54" s="510"/>
      <c r="X54" s="217"/>
      <c r="Y54" s="217"/>
      <c r="Z54" s="17"/>
      <c r="AA54" s="73"/>
      <c r="AB54" s="257"/>
      <c r="AC54" s="73"/>
      <c r="AD54" s="538"/>
      <c r="AE54" s="17"/>
      <c r="AF54" s="17"/>
    </row>
    <row r="55" spans="22:32">
      <c r="V55" s="217"/>
      <c r="W55" s="217"/>
      <c r="X55" s="222"/>
      <c r="Y55" s="511"/>
      <c r="Z55" s="17"/>
      <c r="AA55" s="17"/>
      <c r="AB55" s="73"/>
      <c r="AC55" s="73"/>
      <c r="AD55" s="53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8"/>
      <c r="AE58" s="17"/>
      <c r="AF58" s="17"/>
    </row>
    <row r="59" spans="22:32">
      <c r="V59" s="17"/>
      <c r="W59" s="17"/>
      <c r="X59" s="17"/>
      <c r="Y59" s="17"/>
      <c r="Z59" s="17"/>
      <c r="AA59" s="512"/>
      <c r="AB59" s="513"/>
      <c r="AC59" s="514"/>
      <c r="AD59" s="538"/>
      <c r="AE59" s="17"/>
      <c r="AF59" s="17"/>
    </row>
    <row r="60" spans="22:32">
      <c r="V60" s="17"/>
      <c r="W60" s="17"/>
      <c r="X60" s="17"/>
      <c r="Y60" s="17"/>
      <c r="Z60" s="17"/>
      <c r="AA60" s="515"/>
      <c r="AB60" s="513"/>
      <c r="AC60" s="514"/>
      <c r="AD60" s="53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3"/>
      <c r="AC61" s="514"/>
      <c r="AD61" s="53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6"/>
      <c r="AC62" s="17"/>
      <c r="AD62" s="538"/>
      <c r="AE62" s="17"/>
      <c r="AF62" s="17"/>
    </row>
    <row r="63" spans="22:32">
      <c r="V63" s="217"/>
      <c r="W63" s="509"/>
      <c r="X63" s="17"/>
      <c r="Y63" s="17"/>
      <c r="Z63" s="508"/>
      <c r="AA63" s="517"/>
      <c r="AB63" s="507"/>
      <c r="AC63" s="17"/>
      <c r="AD63" s="538"/>
      <c r="AE63" s="17"/>
      <c r="AF63" s="17"/>
    </row>
    <row r="64" spans="22:32">
      <c r="V64" s="217"/>
      <c r="W64" s="509"/>
      <c r="X64" s="17"/>
      <c r="Y64" s="17"/>
      <c r="Z64" s="403"/>
      <c r="AA64" s="507"/>
      <c r="AB64" s="507"/>
      <c r="AC64" s="17"/>
      <c r="AD64" s="538"/>
      <c r="AE64" s="17"/>
      <c r="AF64" s="17"/>
    </row>
    <row r="65" spans="22:32">
      <c r="V65" s="17"/>
      <c r="W65" s="509"/>
      <c r="X65" s="17"/>
      <c r="Y65" s="509"/>
      <c r="Z65" s="403"/>
      <c r="AA65" s="507"/>
      <c r="AB65" s="518"/>
      <c r="AC65" s="17"/>
      <c r="AD65" s="538"/>
      <c r="AE65" s="17"/>
      <c r="AF65" s="17"/>
    </row>
    <row r="66" spans="22:32" ht="18.75">
      <c r="V66" s="17"/>
      <c r="W66" s="509"/>
      <c r="X66" s="17"/>
      <c r="Y66" s="17"/>
      <c r="Z66" s="519"/>
      <c r="AA66" s="507"/>
      <c r="AB66" s="520"/>
      <c r="AC66" s="17"/>
      <c r="AD66" s="538"/>
      <c r="AE66" s="17"/>
      <c r="AF66" s="17"/>
    </row>
    <row r="67" spans="22:32">
      <c r="V67" s="17"/>
      <c r="W67" s="509"/>
      <c r="X67" s="17"/>
      <c r="Y67" s="17"/>
      <c r="Z67" s="73"/>
      <c r="AA67" s="17"/>
      <c r="AB67" s="17"/>
      <c r="AC67" s="17"/>
      <c r="AD67" s="538"/>
      <c r="AE67" s="17"/>
      <c r="AF67" s="17"/>
    </row>
    <row r="68" spans="22:32">
      <c r="V68" s="17"/>
      <c r="W68" s="17"/>
      <c r="X68" s="17"/>
      <c r="Y68" s="17"/>
      <c r="Z68" s="507"/>
      <c r="AA68" s="17"/>
      <c r="AB68" s="17"/>
      <c r="AC68" s="17"/>
      <c r="AD68" s="53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8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="60" zoomScaleNormal="60" workbookViewId="0">
      <pane ySplit="4" topLeftCell="A8" activePane="bottomLeft" state="frozen"/>
      <selection pane="bottomLeft" activeCell="J54" sqref="J54"/>
    </sheetView>
  </sheetViews>
  <sheetFormatPr defaultRowHeight="15"/>
  <cols>
    <col min="1" max="1" width="11.7109375" style="458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3" t="s">
        <v>193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ht="15.75" customHeight="1" thickBot="1">
      <c r="A2" s="656"/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8"/>
    </row>
    <row r="3" spans="1:15" ht="9" customHeight="1" thickBot="1">
      <c r="A3" s="45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6"/>
      <c r="B4" s="149" t="s">
        <v>383</v>
      </c>
      <c r="C4" s="150" t="s">
        <v>158</v>
      </c>
      <c r="D4" s="147" t="s">
        <v>160</v>
      </c>
      <c r="E4" s="151" t="s">
        <v>159</v>
      </c>
      <c r="F4" s="472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7">
        <f>ELEC!C4</f>
        <v>44866</v>
      </c>
      <c r="B5" s="37">
        <v>24</v>
      </c>
      <c r="C5" s="37">
        <v>20</v>
      </c>
      <c r="D5" s="26">
        <f t="shared" ref="D5:D10" si="0">(C5+B5)/2</f>
        <v>22</v>
      </c>
      <c r="E5" s="324">
        <v>0.63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7">
        <f>ELEC!C5</f>
        <v>44867</v>
      </c>
      <c r="B6" s="37">
        <v>25</v>
      </c>
      <c r="C6" s="37">
        <v>18</v>
      </c>
      <c r="D6" s="26">
        <f t="shared" si="0"/>
        <v>21.5</v>
      </c>
      <c r="E6" s="324">
        <v>0.53</v>
      </c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7">
        <f>ELEC!C6</f>
        <v>44868</v>
      </c>
      <c r="B7" s="37">
        <v>24</v>
      </c>
      <c r="C7" s="37">
        <v>18</v>
      </c>
      <c r="D7" s="26">
        <f t="shared" si="0"/>
        <v>21</v>
      </c>
      <c r="E7" s="376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7">
        <f>ELEC!C7</f>
        <v>44869</v>
      </c>
      <c r="B8" s="37">
        <v>24</v>
      </c>
      <c r="C8" s="37">
        <v>17</v>
      </c>
      <c r="D8" s="26">
        <f>(C8+B8)/2</f>
        <v>20.5</v>
      </c>
      <c r="E8" s="376"/>
      <c r="F8" s="37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7">
        <f>ELEC!C8</f>
        <v>44870</v>
      </c>
      <c r="B9" s="37">
        <v>25</v>
      </c>
      <c r="C9" s="37">
        <v>18</v>
      </c>
      <c r="D9" s="26">
        <f t="shared" si="0"/>
        <v>21.5</v>
      </c>
      <c r="E9" s="376"/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7">
        <f>ELEC!C9</f>
        <v>44871</v>
      </c>
      <c r="B10" s="37"/>
      <c r="C10" s="37"/>
      <c r="D10" s="26">
        <f t="shared" si="0"/>
        <v>0</v>
      </c>
      <c r="E10" s="376"/>
      <c r="F10" s="37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7">
        <f>ELEC!C10</f>
        <v>44872</v>
      </c>
      <c r="B11" s="37">
        <v>20</v>
      </c>
      <c r="C11" s="37">
        <v>16</v>
      </c>
      <c r="D11" s="26">
        <f>(C11+B11)/2</f>
        <v>18</v>
      </c>
      <c r="E11" s="376"/>
      <c r="F11" s="37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7">
        <f>ELEC!C11</f>
        <v>44873</v>
      </c>
      <c r="B12" s="37">
        <v>21</v>
      </c>
      <c r="C12" s="37">
        <v>16</v>
      </c>
      <c r="D12" s="26">
        <f t="shared" ref="D12:D13" si="3">(C12+B12)/2</f>
        <v>18.5</v>
      </c>
      <c r="E12" s="376">
        <v>0.71</v>
      </c>
      <c r="F12" s="37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7">
        <f>ELEC!C12</f>
        <v>44874</v>
      </c>
      <c r="B13" s="37">
        <v>22</v>
      </c>
      <c r="C13" s="37">
        <v>18</v>
      </c>
      <c r="D13" s="26">
        <f t="shared" si="3"/>
        <v>20</v>
      </c>
      <c r="E13" s="376">
        <v>0.63</v>
      </c>
      <c r="F13" s="37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7">
        <f>ELEC!C13</f>
        <v>44875</v>
      </c>
      <c r="B14" s="37">
        <v>24</v>
      </c>
      <c r="C14" s="37">
        <v>23</v>
      </c>
      <c r="D14" s="26">
        <f>(C14+B14)/2</f>
        <v>23.5</v>
      </c>
      <c r="E14" s="376">
        <v>0.52</v>
      </c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7">
        <f>ELEC!C14</f>
        <v>44876</v>
      </c>
      <c r="B15" s="37"/>
      <c r="C15" s="37"/>
      <c r="D15" s="26"/>
      <c r="E15" s="376"/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7">
        <f>ELEC!C15</f>
        <v>44877</v>
      </c>
      <c r="B16" s="37"/>
      <c r="C16" s="37"/>
      <c r="D16" s="26">
        <f t="shared" ref="D16:D21" si="5">(C16+B16)/2</f>
        <v>0</v>
      </c>
      <c r="E16" s="600"/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7">
        <f>ELEC!C16</f>
        <v>44878</v>
      </c>
      <c r="B17" s="37">
        <v>27</v>
      </c>
      <c r="C17" s="37">
        <v>21</v>
      </c>
      <c r="D17" s="26">
        <f t="shared" si="5"/>
        <v>24</v>
      </c>
      <c r="E17" s="408">
        <v>0.38</v>
      </c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7">
        <f>ELEC!C17</f>
        <v>44879</v>
      </c>
      <c r="B18" s="37">
        <v>25</v>
      </c>
      <c r="C18" s="37">
        <v>20</v>
      </c>
      <c r="D18" s="26">
        <f t="shared" si="5"/>
        <v>22.5</v>
      </c>
      <c r="E18" s="324">
        <v>0.52</v>
      </c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7">
        <f>ELEC!C18</f>
        <v>44880</v>
      </c>
      <c r="B19" s="37">
        <v>22</v>
      </c>
      <c r="C19" s="37">
        <v>21</v>
      </c>
      <c r="D19" s="26">
        <f t="shared" si="5"/>
        <v>21.5</v>
      </c>
      <c r="E19" s="324">
        <v>0.57999999999999996</v>
      </c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7">
        <f>ELEC!C19</f>
        <v>44881</v>
      </c>
      <c r="B20" s="37">
        <v>23</v>
      </c>
      <c r="C20" s="37">
        <v>16</v>
      </c>
      <c r="D20" s="26">
        <f>(C20+B20)/2</f>
        <v>19.5</v>
      </c>
      <c r="E20" s="324">
        <v>0.69</v>
      </c>
      <c r="F20" s="37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7">
        <f>ELEC!C20</f>
        <v>44882</v>
      </c>
      <c r="B21" s="37">
        <v>23</v>
      </c>
      <c r="C21" s="37">
        <v>18</v>
      </c>
      <c r="D21" s="26">
        <f t="shared" si="5"/>
        <v>20.5</v>
      </c>
      <c r="E21" s="324">
        <v>0.65</v>
      </c>
      <c r="F21" s="37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7">
        <f>ELEC!C21</f>
        <v>44883</v>
      </c>
      <c r="B22" s="37">
        <v>21</v>
      </c>
      <c r="C22" s="37">
        <v>15</v>
      </c>
      <c r="D22" s="26">
        <f>(C22+B22)/2</f>
        <v>18</v>
      </c>
      <c r="E22" s="376">
        <v>0.51</v>
      </c>
      <c r="F22" s="37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7">
        <f>ELEC!C22</f>
        <v>44884</v>
      </c>
      <c r="B23" s="37"/>
      <c r="C23" s="37"/>
      <c r="D23" s="26">
        <f t="shared" ref="D23:D35" si="6">(C23+B23)/2</f>
        <v>0</v>
      </c>
      <c r="E23" s="376"/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7">
        <f>ELEC!C23</f>
        <v>44885</v>
      </c>
      <c r="B24" s="37"/>
      <c r="C24" s="37"/>
      <c r="D24" s="26">
        <f t="shared" si="6"/>
        <v>0</v>
      </c>
      <c r="E24" s="376"/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7">
        <f>ELEC!C24</f>
        <v>44886</v>
      </c>
      <c r="B25" s="37"/>
      <c r="C25" s="37"/>
      <c r="D25" s="26">
        <f t="shared" si="6"/>
        <v>0</v>
      </c>
      <c r="E25" s="376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7">
        <f>ELEC!C25</f>
        <v>44887</v>
      </c>
      <c r="B26" s="37"/>
      <c r="C26" s="37"/>
      <c r="D26" s="26">
        <f t="shared" si="6"/>
        <v>0</v>
      </c>
      <c r="E26" s="376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7">
        <f>ELEC!C26</f>
        <v>44888</v>
      </c>
      <c r="B27" s="37"/>
      <c r="C27" s="37"/>
      <c r="D27" s="26">
        <f t="shared" si="6"/>
        <v>0</v>
      </c>
      <c r="E27" s="376"/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7">+J27+H27+I27</f>
        <v>0</v>
      </c>
      <c r="L27" s="3"/>
      <c r="M27" s="3"/>
      <c r="N27" s="155"/>
      <c r="O27" s="3"/>
    </row>
    <row r="28" spans="1:15">
      <c r="A28" s="457">
        <f>ELEC!C27</f>
        <v>44889</v>
      </c>
      <c r="B28" s="37"/>
      <c r="C28" s="37"/>
      <c r="D28" s="26">
        <f t="shared" si="6"/>
        <v>0</v>
      </c>
      <c r="E28" s="324"/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7"/>
        <v>0</v>
      </c>
      <c r="L28" s="3"/>
      <c r="M28" s="3"/>
      <c r="N28" s="155"/>
      <c r="O28" s="3"/>
    </row>
    <row r="29" spans="1:15">
      <c r="A29" s="457">
        <f>ELEC!C28</f>
        <v>44890</v>
      </c>
      <c r="B29" s="37"/>
      <c r="C29" s="37"/>
      <c r="D29" s="26">
        <f t="shared" si="6"/>
        <v>0</v>
      </c>
      <c r="E29" s="324"/>
      <c r="F29" s="37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7"/>
        <v>0</v>
      </c>
      <c r="L29" s="3"/>
      <c r="M29" s="3"/>
      <c r="N29" s="155"/>
      <c r="O29" s="3"/>
    </row>
    <row r="30" spans="1:15">
      <c r="A30" s="457">
        <f>ELEC!C29</f>
        <v>44891</v>
      </c>
      <c r="B30" s="37"/>
      <c r="C30" s="37"/>
      <c r="D30" s="26">
        <f t="shared" si="6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7"/>
        <v>0</v>
      </c>
      <c r="L30" s="3"/>
      <c r="M30" s="3"/>
      <c r="N30" s="155"/>
      <c r="O30" s="3"/>
    </row>
    <row r="31" spans="1:15">
      <c r="A31" s="457">
        <f>ELEC!C30</f>
        <v>44892</v>
      </c>
      <c r="B31" s="37">
        <v>21</v>
      </c>
      <c r="C31" s="37">
        <v>15</v>
      </c>
      <c r="D31" s="26">
        <f t="shared" si="6"/>
        <v>18</v>
      </c>
      <c r="E31" s="325">
        <v>0.51</v>
      </c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7"/>
        <v>0</v>
      </c>
      <c r="L31" s="3"/>
      <c r="M31" s="3"/>
      <c r="N31" s="155"/>
      <c r="O31" s="3"/>
    </row>
    <row r="32" spans="1:15">
      <c r="A32" s="457">
        <f>ELEC!C31</f>
        <v>44893</v>
      </c>
      <c r="B32" s="37">
        <v>23</v>
      </c>
      <c r="C32" s="37">
        <v>18</v>
      </c>
      <c r="D32" s="26">
        <f t="shared" si="6"/>
        <v>20.5</v>
      </c>
      <c r="E32" s="324">
        <v>0.69</v>
      </c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7"/>
        <v>0</v>
      </c>
      <c r="L32" s="3"/>
      <c r="M32" s="3"/>
      <c r="N32" s="155"/>
      <c r="O32" s="3"/>
    </row>
    <row r="33" spans="1:15">
      <c r="A33" s="457">
        <f>ELEC!C32</f>
        <v>44894</v>
      </c>
      <c r="B33" s="37">
        <v>24</v>
      </c>
      <c r="C33" s="37">
        <v>16</v>
      </c>
      <c r="D33" s="26">
        <f t="shared" si="6"/>
        <v>20</v>
      </c>
      <c r="E33" s="376">
        <v>0.65</v>
      </c>
      <c r="F33" s="326">
        <v>0</v>
      </c>
      <c r="G33" s="238">
        <f t="shared" ref="G33:G35" si="8">F33*230</f>
        <v>0</v>
      </c>
      <c r="H33" s="3">
        <v>0</v>
      </c>
      <c r="I33" s="3">
        <v>0</v>
      </c>
      <c r="J33" s="37">
        <v>0</v>
      </c>
      <c r="K33" s="253">
        <f t="shared" ref="K33:K35" si="9">+J33+H33+I33</f>
        <v>0</v>
      </c>
      <c r="L33" s="3"/>
      <c r="M33" s="3"/>
      <c r="N33" s="155"/>
      <c r="O33" s="3"/>
    </row>
    <row r="34" spans="1:15">
      <c r="A34" s="457">
        <f>ELEC!C33</f>
        <v>44895</v>
      </c>
      <c r="B34" s="37">
        <v>22</v>
      </c>
      <c r="C34" s="37">
        <v>17</v>
      </c>
      <c r="D34" s="26">
        <f t="shared" si="6"/>
        <v>19.5</v>
      </c>
      <c r="E34" s="376">
        <v>0.76</v>
      </c>
      <c r="F34" s="326">
        <v>0</v>
      </c>
      <c r="G34" s="238">
        <f t="shared" si="8"/>
        <v>0</v>
      </c>
      <c r="H34" s="3">
        <v>0</v>
      </c>
      <c r="I34" s="3">
        <v>0</v>
      </c>
      <c r="J34" s="37">
        <v>0</v>
      </c>
      <c r="K34" s="253">
        <f t="shared" si="9"/>
        <v>0</v>
      </c>
      <c r="L34" s="3"/>
      <c r="M34" s="3"/>
      <c r="N34" s="155"/>
      <c r="O34" s="3"/>
    </row>
    <row r="35" spans="1:15">
      <c r="A35" s="457">
        <f>ELEC!C34</f>
        <v>44896</v>
      </c>
      <c r="B35" s="37"/>
      <c r="C35" s="37"/>
      <c r="D35" s="26">
        <f t="shared" si="6"/>
        <v>0</v>
      </c>
      <c r="E35" s="376"/>
      <c r="F35" s="326">
        <v>0</v>
      </c>
      <c r="G35" s="238">
        <f t="shared" si="8"/>
        <v>0</v>
      </c>
      <c r="H35" s="3">
        <v>0</v>
      </c>
      <c r="I35" s="3">
        <v>0</v>
      </c>
      <c r="J35" s="37">
        <v>0</v>
      </c>
      <c r="K35" s="253">
        <f t="shared" si="9"/>
        <v>0</v>
      </c>
      <c r="L35" s="3"/>
      <c r="M35" s="3"/>
      <c r="N35" s="155"/>
      <c r="O35" s="3"/>
    </row>
    <row r="36" spans="1:15">
      <c r="D36" s="251"/>
      <c r="F36" s="493">
        <f>AVERAGE(F5:F35)</f>
        <v>0</v>
      </c>
      <c r="G36" s="203">
        <f>SUM(G5:G35)</f>
        <v>0</v>
      </c>
    </row>
    <row r="37" spans="1:15">
      <c r="D37" s="251">
        <f>SUM(D5:D35)/'EDl log'!A35</f>
        <v>97.625</v>
      </c>
      <c r="F37" s="211"/>
    </row>
    <row r="40" spans="1:15">
      <c r="I40" s="392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3564</v>
      </c>
      <c r="D2" s="3">
        <f>C2-E2</f>
        <v>-486.99999999947613</v>
      </c>
      <c r="E2" s="3">
        <f>ELEC!Q4</f>
        <v>4050.9999999994761</v>
      </c>
      <c r="F2" s="3">
        <f>GEN!Z2</f>
        <v>24</v>
      </c>
      <c r="G2" s="3">
        <f>WATER!C5+WATER!H5</f>
        <v>0</v>
      </c>
      <c r="H2" s="3">
        <f>WATER!L5</f>
        <v>0</v>
      </c>
      <c r="I2" s="15">
        <f>WATER!BC5+WATER!BD5+WATER!BE6-Sheet1!G2</f>
        <v>-16.300000000000011</v>
      </c>
      <c r="J2" s="9">
        <f>'B5'!A4</f>
        <v>44865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2667</v>
      </c>
      <c r="D3" s="3">
        <f t="shared" ref="D3:D30" si="0">C3-E3</f>
        <v>-31.000000000320142</v>
      </c>
      <c r="E3" s="3">
        <f>ELEC!Q5</f>
        <v>2698.0000000003201</v>
      </c>
      <c r="F3" s="3">
        <f>GEN!Z3</f>
        <v>14</v>
      </c>
      <c r="G3" s="3">
        <f>WATER!C6+WATER!H6</f>
        <v>0</v>
      </c>
      <c r="H3" s="3">
        <f>WATER!L6</f>
        <v>0</v>
      </c>
      <c r="I3" s="15">
        <f>WATER!BC6+WATER!BD6+WATER!BE7-Sheet1!G3</f>
        <v>-19.900000000000006</v>
      </c>
      <c r="J3" s="9">
        <f>'B5'!A5</f>
        <v>44866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3137</v>
      </c>
      <c r="D4" s="3">
        <f t="shared" si="0"/>
        <v>-71.999999998923158</v>
      </c>
      <c r="E4" s="3">
        <f>ELEC!Q6</f>
        <v>3208.9999999989232</v>
      </c>
      <c r="F4" s="3">
        <f>GEN!Z4</f>
        <v>11</v>
      </c>
      <c r="G4" s="3">
        <f>WATER!C7+WATER!H7</f>
        <v>159</v>
      </c>
      <c r="H4" s="3">
        <f>WATER!L7</f>
        <v>0</v>
      </c>
      <c r="I4" s="15">
        <f>WATER!BC7+WATER!BD7+WATER!BE8-Sheet1!G4</f>
        <v>-136.69999999999999</v>
      </c>
      <c r="J4" s="9">
        <f>'B5'!A6</f>
        <v>44867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139.50000000000003</v>
      </c>
      <c r="J5" s="9">
        <f>'B5'!A7</f>
        <v>44868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44869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3030</v>
      </c>
      <c r="D7" s="3">
        <f t="shared" si="0"/>
        <v>53.999999997613486</v>
      </c>
      <c r="E7" s="3">
        <f>ELEC!Q9</f>
        <v>2976.0000000023865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-9.800000000000054</v>
      </c>
      <c r="J7" s="9">
        <f>'B5'!A9</f>
        <v>44870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3085</v>
      </c>
      <c r="D8" s="3">
        <f t="shared" si="0"/>
        <v>-64.999999997817213</v>
      </c>
      <c r="E8" s="3">
        <f>ELEC!Q10</f>
        <v>3149.9999999978172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18.99999999999995</v>
      </c>
      <c r="J8" s="9">
        <f>'B5'!A10</f>
        <v>44871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1929</v>
      </c>
      <c r="D9" s="3">
        <f t="shared" si="0"/>
        <v>-37.000000000349246</v>
      </c>
      <c r="E9" s="3">
        <f>ELEC!Q11</f>
        <v>1966.0000000003492</v>
      </c>
      <c r="F9" s="3">
        <f>GEN!Z9</f>
        <v>12</v>
      </c>
      <c r="G9" s="3">
        <f>WATER!C12+WATER!H12</f>
        <v>0</v>
      </c>
      <c r="H9" s="3">
        <f>WATER!L12</f>
        <v>0</v>
      </c>
      <c r="I9" s="15">
        <f>WATER!BC12+WATER!BD12+WATER!BE13-Sheet1!G9</f>
        <v>3.0000000000000426</v>
      </c>
      <c r="J9" s="9">
        <f>'B5'!A11</f>
        <v>44872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2779</v>
      </c>
      <c r="D10" s="3">
        <f t="shared" si="0"/>
        <v>-52.000000001949957</v>
      </c>
      <c r="E10" s="3">
        <f>ELEC!Q12</f>
        <v>2831.00000000195</v>
      </c>
      <c r="F10" s="3">
        <f>GEN!Z10</f>
        <v>7</v>
      </c>
      <c r="G10" s="3">
        <f>WATER!C13+WATER!H13</f>
        <v>53</v>
      </c>
      <c r="H10" s="3">
        <f>WATER!L13</f>
        <v>0</v>
      </c>
      <c r="I10" s="15">
        <f>WATER!BC13+WATER!BD13+WATER!BE14-Sheet1!G10</f>
        <v>-49.999999999999957</v>
      </c>
      <c r="J10" s="9">
        <f>'B5'!A12</f>
        <v>44873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2745</v>
      </c>
      <c r="D11" s="3">
        <f t="shared" si="0"/>
        <v>-68.999999998486601</v>
      </c>
      <c r="E11" s="3">
        <f>ELEC!Q13</f>
        <v>2813.9999999984866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40.299999999999976</v>
      </c>
      <c r="J11" s="9">
        <f>'B5'!A13</f>
        <v>44874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12</v>
      </c>
      <c r="G12" s="3">
        <f>WATER!C15+WATER!H15</f>
        <v>116</v>
      </c>
      <c r="H12" s="3">
        <f>WATER!L15</f>
        <v>0</v>
      </c>
      <c r="I12" s="15">
        <f>WATER!BC15+WATER!BD15+WATER!BE16-Sheet1!G12</f>
        <v>-134.20000000000002</v>
      </c>
      <c r="J12" s="9">
        <f>'B5'!A14</f>
        <v>44875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44876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2751</v>
      </c>
      <c r="D14" s="3">
        <f t="shared" si="0"/>
        <v>-62.000000001920853</v>
      </c>
      <c r="E14" s="3">
        <f>ELEC!Q16</f>
        <v>2813.0000000019209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34.799999999999997</v>
      </c>
      <c r="J14" s="9">
        <f>'B5'!A16</f>
        <v>44877</v>
      </c>
    </row>
    <row r="15" spans="1:10">
      <c r="A15" s="3">
        <f>ELEC!T17+ELEC!X17+ELEC!AB17</f>
        <v>1</v>
      </c>
      <c r="B15" s="3">
        <f>ELEC!AF17</f>
        <v>195</v>
      </c>
      <c r="C15" s="3">
        <f>ELEC!N17</f>
        <v>2937</v>
      </c>
      <c r="D15" s="3">
        <f t="shared" si="0"/>
        <v>-61.999999999796273</v>
      </c>
      <c r="E15" s="3">
        <f>ELEC!Q17</f>
        <v>2998.9999999997963</v>
      </c>
      <c r="F15" s="3">
        <f>GEN!Z15</f>
        <v>11</v>
      </c>
      <c r="G15" s="3">
        <f>WATER!C18+WATER!H18</f>
        <v>86</v>
      </c>
      <c r="H15" s="3">
        <f>WATER!L18</f>
        <v>0</v>
      </c>
      <c r="I15" s="15">
        <f>WATER!BC18+WATER!BD18+WATER!BE19-Sheet1!G15</f>
        <v>-99.1</v>
      </c>
      <c r="J15" s="9">
        <f>'B5'!A17</f>
        <v>44878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2410</v>
      </c>
      <c r="D16" s="3">
        <f t="shared" si="0"/>
        <v>-55.000000000145519</v>
      </c>
      <c r="E16" s="3">
        <f>ELEC!Q18</f>
        <v>2465.0000000001455</v>
      </c>
      <c r="F16" s="3">
        <f>GEN!Z16</f>
        <v>10</v>
      </c>
      <c r="G16" s="3">
        <f>WATER!C19+WATER!H19</f>
        <v>0</v>
      </c>
      <c r="H16" s="3">
        <f>WATER!L19</f>
        <v>0</v>
      </c>
      <c r="I16" s="15">
        <f>WATER!BC19+WATER!BD19+WATER!BE20-Sheet1!G16</f>
        <v>-2.8999999999999773</v>
      </c>
      <c r="J16" s="9">
        <f>'B5'!A18</f>
        <v>44879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2863.6000000000931</v>
      </c>
      <c r="D17" s="3">
        <f t="shared" si="0"/>
        <v>-58.399999998568092</v>
      </c>
      <c r="E17" s="3">
        <f>ELEC!Q19</f>
        <v>2921.9999999986612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-44.299999999999983</v>
      </c>
      <c r="J17" s="9">
        <f>'B5'!A19</f>
        <v>44880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2741.3999999999069</v>
      </c>
      <c r="D18" s="3">
        <f t="shared" si="0"/>
        <v>127.39999999850988</v>
      </c>
      <c r="E18" s="3">
        <f>ELEC!Q20</f>
        <v>2614.000000001397</v>
      </c>
      <c r="F18" s="3">
        <f>GEN!Z18</f>
        <v>12</v>
      </c>
      <c r="G18" s="3">
        <f>WATER!C21+WATER!H21</f>
        <v>0</v>
      </c>
      <c r="H18" s="3">
        <f>WATER!L21</f>
        <v>0</v>
      </c>
      <c r="I18" s="15">
        <f>WATER!BC21+WATER!BD21+WATER!BE22-Sheet1!G18</f>
        <v>76.600000000000009</v>
      </c>
      <c r="J18" s="9">
        <f>'B5'!A20</f>
        <v>44881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11</v>
      </c>
      <c r="G19" s="3">
        <f>WATER!C22+WATER!H22</f>
        <v>78</v>
      </c>
      <c r="H19" s="3">
        <f>WATER!L22</f>
        <v>0</v>
      </c>
      <c r="I19" s="15">
        <f>WATER!BC22+WATER!BD22+WATER!BE23-Sheet1!G19</f>
        <v>-84.90000000000002</v>
      </c>
      <c r="J19" s="9">
        <f>'B5'!A21</f>
        <v>44882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44883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2602</v>
      </c>
      <c r="D21" s="3">
        <f t="shared" si="0"/>
        <v>516.00000000066939</v>
      </c>
      <c r="E21" s="3">
        <f>ELEC!Q23</f>
        <v>2085.9999999993306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-2.4000000000000057</v>
      </c>
      <c r="J21" s="9">
        <f>'B5'!A23</f>
        <v>44884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2685</v>
      </c>
      <c r="D22" s="3">
        <f t="shared" si="0"/>
        <v>12.000000001135049</v>
      </c>
      <c r="E22" s="3">
        <f>ELEC!Q24</f>
        <v>2672.999999998865</v>
      </c>
      <c r="F22" s="3">
        <f>GEN!Z22</f>
        <v>8</v>
      </c>
      <c r="G22" s="3">
        <f>WATER!C25+WATER!H25</f>
        <v>8</v>
      </c>
      <c r="H22" s="3">
        <f>WATER!L25</f>
        <v>0</v>
      </c>
      <c r="I22" s="15">
        <f>WATER!BC25+WATER!BD25+WATER!BE26-Sheet1!G22</f>
        <v>-21.200000000000003</v>
      </c>
      <c r="J22" s="9">
        <f>'B5'!A24</f>
        <v>44885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-5.7999999999999829</v>
      </c>
      <c r="J23" s="9">
        <f>'B5'!A25</f>
        <v>44886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3117</v>
      </c>
      <c r="D24" s="3">
        <f t="shared" si="0"/>
        <v>208.00000000034925</v>
      </c>
      <c r="E24" s="3">
        <f>ELEC!Q26</f>
        <v>2908.9999999996508</v>
      </c>
      <c r="F24" s="3">
        <f>GEN!Z24</f>
        <v>10</v>
      </c>
      <c r="G24" s="3">
        <f>WATER!C27+WATER!H27</f>
        <v>0</v>
      </c>
      <c r="H24" s="3">
        <f>WATER!L27</f>
        <v>0</v>
      </c>
      <c r="I24" s="15">
        <f>WATER!BC27+WATER!BD27+WATER!BE28-Sheet1!G24</f>
        <v>41.8</v>
      </c>
      <c r="J24" s="9">
        <f>'B5'!A26</f>
        <v>44887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2605</v>
      </c>
      <c r="D25" s="3">
        <f t="shared" si="0"/>
        <v>-10.000000001600711</v>
      </c>
      <c r="E25" s="3">
        <f>ELEC!Q27</f>
        <v>2615.0000000016007</v>
      </c>
      <c r="F25" s="3">
        <f>GEN!Z25</f>
        <v>10</v>
      </c>
      <c r="G25" s="3">
        <f>WATER!C28+WATER!H28</f>
        <v>0</v>
      </c>
      <c r="H25" s="3">
        <f>WATER!L28</f>
        <v>0</v>
      </c>
      <c r="I25" s="15">
        <f>WATER!BC28+WATER!BD28+WATER!BE29-Sheet1!G25</f>
        <v>63.299999999999983</v>
      </c>
      <c r="J25" s="9">
        <f>'B5'!A27</f>
        <v>44888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11</v>
      </c>
      <c r="G26" s="3">
        <f>WATER!C29+WATER!H29</f>
        <v>0</v>
      </c>
      <c r="H26" s="3">
        <f>WATER!L29</f>
        <v>0</v>
      </c>
      <c r="I26" s="15">
        <f>WATER!BC29+WATER!BD29+WATER!BE30-Sheet1!G26</f>
        <v>35.499999999999986</v>
      </c>
      <c r="J26" s="9">
        <f>'B5'!A28</f>
        <v>44889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9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44890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4127</v>
      </c>
      <c r="D28" s="3">
        <f t="shared" si="0"/>
        <v>2127</v>
      </c>
      <c r="E28" s="3">
        <f>ELEC!Q30</f>
        <v>2000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22.299999999999983</v>
      </c>
      <c r="J28" s="9">
        <f>'B5'!A30</f>
        <v>44891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2701</v>
      </c>
      <c r="D29" s="3">
        <f t="shared" si="0"/>
        <v>201</v>
      </c>
      <c r="E29" s="3">
        <f>ELEC!Q31</f>
        <v>2500</v>
      </c>
      <c r="F29" s="3">
        <f>GEN!Z29</f>
        <v>7</v>
      </c>
      <c r="G29" s="3">
        <f>WATER!C32+WATER!H32</f>
        <v>260</v>
      </c>
      <c r="H29" s="3">
        <f>WATER!L32</f>
        <v>0</v>
      </c>
      <c r="I29" s="15">
        <f>WATER!BC32+WATER!BD32+WATER!BE33-Sheet1!G29</f>
        <v>-274.60000000000002</v>
      </c>
      <c r="J29" s="9">
        <f>'B5'!A31</f>
        <v>44892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44893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5"/>
      <c r="B1" s="663" t="s">
        <v>119</v>
      </c>
      <c r="C1" s="663" t="s">
        <v>118</v>
      </c>
      <c r="D1" s="667" t="s">
        <v>113</v>
      </c>
      <c r="E1" s="667" t="s">
        <v>114</v>
      </c>
      <c r="F1" s="668" t="s">
        <v>120</v>
      </c>
      <c r="G1" s="669" t="s">
        <v>75</v>
      </c>
      <c r="H1" s="660" t="s">
        <v>115</v>
      </c>
      <c r="I1" s="661" t="s">
        <v>116</v>
      </c>
      <c r="J1" s="660" t="s">
        <v>117</v>
      </c>
      <c r="K1" s="659" t="s">
        <v>121</v>
      </c>
      <c r="L1" s="659" t="s">
        <v>122</v>
      </c>
      <c r="M1" s="659" t="s">
        <v>123</v>
      </c>
      <c r="N1" s="659" t="s">
        <v>124</v>
      </c>
    </row>
    <row r="2" spans="1:14">
      <c r="A2" s="666"/>
      <c r="B2" s="664"/>
      <c r="C2" s="664"/>
      <c r="D2" s="667"/>
      <c r="E2" s="667"/>
      <c r="F2" s="668"/>
      <c r="G2" s="669"/>
      <c r="H2" s="660"/>
      <c r="I2" s="662"/>
      <c r="J2" s="660"/>
      <c r="K2" s="659"/>
      <c r="L2" s="659"/>
      <c r="M2" s="659"/>
      <c r="N2" s="65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44866</v>
      </c>
      <c r="B5" s="76">
        <f>'B5'!V5</f>
        <v>92</v>
      </c>
      <c r="C5" s="76">
        <f>'B5'!AH5</f>
        <v>35</v>
      </c>
      <c r="D5" s="76">
        <f>GEN!AI3</f>
        <v>1042.6624472572491</v>
      </c>
      <c r="E5" s="239">
        <f t="shared" ref="E5:E33" si="0">B5+C5+D5</f>
        <v>1169.6624472572491</v>
      </c>
      <c r="F5" s="75">
        <f>WATER!L5</f>
        <v>0</v>
      </c>
      <c r="G5" s="78">
        <f>WATER!BG5</f>
        <v>-1.1000000000000085</v>
      </c>
      <c r="H5" s="79">
        <f>ELEC!AF4</f>
        <v>0</v>
      </c>
      <c r="I5" s="79">
        <f>ELEC!Q4</f>
        <v>4050.9999999994761</v>
      </c>
      <c r="J5" s="79">
        <f>ELEC!R4</f>
        <v>-486.99999999947613</v>
      </c>
      <c r="K5" s="80"/>
      <c r="L5" s="3"/>
      <c r="M5" s="3"/>
      <c r="N5" s="3"/>
    </row>
    <row r="6" spans="1:14">
      <c r="A6" s="63">
        <f>'B5'!A6</f>
        <v>44867</v>
      </c>
      <c r="B6" s="76">
        <f>'B5'!V6</f>
        <v>135</v>
      </c>
      <c r="C6" s="76">
        <f>'B5'!AH6</f>
        <v>0</v>
      </c>
      <c r="D6" s="76">
        <f>GEN!AI4</f>
        <v>694.42194092835246</v>
      </c>
      <c r="E6" s="239">
        <f t="shared" si="0"/>
        <v>829.42194092835246</v>
      </c>
      <c r="F6" s="75">
        <f>WATER!L6</f>
        <v>0</v>
      </c>
      <c r="G6" s="78">
        <f>WATER!BG6</f>
        <v>-15.200000000000003</v>
      </c>
      <c r="H6" s="79">
        <f>ELEC!AF5</f>
        <v>0</v>
      </c>
      <c r="I6" s="79">
        <f>ELEC!Q5</f>
        <v>2698.0000000003201</v>
      </c>
      <c r="J6" s="79">
        <f>ELEC!R5</f>
        <v>-31.000000000320142</v>
      </c>
      <c r="K6" s="3"/>
      <c r="L6" s="3"/>
      <c r="M6" s="3"/>
      <c r="N6" s="3"/>
    </row>
    <row r="7" spans="1:14">
      <c r="A7" s="63">
        <f>'B5'!A7</f>
        <v>44868</v>
      </c>
      <c r="B7" s="76">
        <f>'B5'!V7</f>
        <v>47</v>
      </c>
      <c r="C7" s="76">
        <f>'B5'!AH7</f>
        <v>0</v>
      </c>
      <c r="D7" s="76">
        <f>GEN!AI5</f>
        <v>825.94514767904775</v>
      </c>
      <c r="E7" s="239">
        <f t="shared" si="0"/>
        <v>872.94514767904775</v>
      </c>
      <c r="F7" s="75">
        <f>WATER!L7</f>
        <v>0</v>
      </c>
      <c r="G7" s="78">
        <f>WATER!BG7</f>
        <v>-20</v>
      </c>
      <c r="H7" s="79">
        <f>ELEC!AF6</f>
        <v>0</v>
      </c>
      <c r="I7" s="79">
        <f>ELEC!Q6</f>
        <v>3208.9999999989232</v>
      </c>
      <c r="J7" s="79">
        <f>ELEC!R6</f>
        <v>-71.999999998923158</v>
      </c>
      <c r="K7" s="3"/>
      <c r="L7" s="3"/>
      <c r="M7" s="3"/>
      <c r="N7" s="3"/>
    </row>
    <row r="8" spans="1:14">
      <c r="A8" s="63">
        <f>'B5'!A8</f>
        <v>44869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42.300000000000026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44870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44871</v>
      </c>
      <c r="B10" s="76">
        <f>'B5'!V10</f>
        <v>205</v>
      </c>
      <c r="C10" s="76">
        <f>'B5'!AH10</f>
        <v>0</v>
      </c>
      <c r="D10" s="76">
        <f>GEN!AI8</f>
        <v>765.97468354491809</v>
      </c>
      <c r="E10" s="239">
        <f t="shared" si="0"/>
        <v>970.97468354491809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2976.0000000023865</v>
      </c>
      <c r="J10" s="79">
        <f>ELEC!R9</f>
        <v>53.999999997613486</v>
      </c>
      <c r="K10" s="3"/>
      <c r="L10" s="3"/>
      <c r="M10" s="3"/>
      <c r="N10" s="3"/>
    </row>
    <row r="11" spans="1:14">
      <c r="A11" s="63">
        <f>'B5'!A11</f>
        <v>44872</v>
      </c>
      <c r="B11" s="76">
        <f>'B5'!V11</f>
        <v>0</v>
      </c>
      <c r="C11" s="76">
        <f>'B5'!AH11</f>
        <v>0</v>
      </c>
      <c r="D11" s="76">
        <f>GEN!AI9</f>
        <v>810.75949367032433</v>
      </c>
      <c r="E11" s="239">
        <f t="shared" si="0"/>
        <v>810.75949367032433</v>
      </c>
      <c r="F11" s="75">
        <f>WATER!L11</f>
        <v>0</v>
      </c>
      <c r="G11" s="78">
        <f>WATER!BG11</f>
        <v>-9.800000000000054</v>
      </c>
      <c r="H11" s="79">
        <f>ELEC!AF10</f>
        <v>0</v>
      </c>
      <c r="I11" s="79">
        <f>ELEC!Q10</f>
        <v>3149.9999999978172</v>
      </c>
      <c r="J11" s="79">
        <f>ELEC!R10</f>
        <v>-64.999999997817213</v>
      </c>
      <c r="K11" s="3"/>
      <c r="L11" s="3"/>
      <c r="M11" s="3"/>
      <c r="N11" s="3"/>
    </row>
    <row r="12" spans="1:14">
      <c r="A12" s="63">
        <f>'B5'!A12</f>
        <v>44873</v>
      </c>
      <c r="B12" s="76">
        <f>'B5'!V12</f>
        <v>0</v>
      </c>
      <c r="C12" s="76">
        <f>'B5'!AH12</f>
        <v>0</v>
      </c>
      <c r="D12" s="76">
        <f>GEN!AI10</f>
        <v>506.01687763722072</v>
      </c>
      <c r="E12" s="239">
        <f t="shared" si="0"/>
        <v>506.01687763722072</v>
      </c>
      <c r="F12" s="75">
        <f>WATER!L12</f>
        <v>0</v>
      </c>
      <c r="G12" s="78">
        <f>WATER!BG12</f>
        <v>28.800000000000004</v>
      </c>
      <c r="H12" s="79">
        <f>ELEC!AF11</f>
        <v>0</v>
      </c>
      <c r="I12" s="79">
        <f>ELEC!Q11</f>
        <v>1966.0000000003492</v>
      </c>
      <c r="J12" s="79">
        <f>ELEC!R11</f>
        <v>-37.000000000349246</v>
      </c>
      <c r="K12" s="3"/>
      <c r="L12" s="3"/>
      <c r="M12" s="3"/>
      <c r="N12" s="3"/>
    </row>
    <row r="13" spans="1:14">
      <c r="A13" s="63">
        <f>'B5'!A13</f>
        <v>44874</v>
      </c>
      <c r="B13" s="76">
        <f>'B5'!V13</f>
        <v>257</v>
      </c>
      <c r="C13" s="76">
        <f>'B5'!AH13</f>
        <v>0</v>
      </c>
      <c r="D13" s="76">
        <f>GEN!AI11</f>
        <v>728.65400843932048</v>
      </c>
      <c r="E13" s="239">
        <f t="shared" si="0"/>
        <v>985.65400843932048</v>
      </c>
      <c r="F13" s="75">
        <f>WATER!L13</f>
        <v>0</v>
      </c>
      <c r="G13" s="78">
        <f>WATER!BG13</f>
        <v>3.0000000000000426</v>
      </c>
      <c r="H13" s="79">
        <f>ELEC!AF12</f>
        <v>0</v>
      </c>
      <c r="I13" s="79">
        <f>ELEC!Q12</f>
        <v>2831.00000000195</v>
      </c>
      <c r="J13" s="79">
        <f>ELEC!R12</f>
        <v>-52.000000001949957</v>
      </c>
      <c r="K13" s="3"/>
      <c r="L13" s="3"/>
      <c r="M13" s="3"/>
      <c r="N13" s="3"/>
    </row>
    <row r="14" spans="1:14">
      <c r="A14" s="63">
        <f>'B5'!A14</f>
        <v>44875</v>
      </c>
      <c r="B14" s="76">
        <f>'B5'!V14</f>
        <v>92</v>
      </c>
      <c r="C14" s="76">
        <f>'B5'!AH14</f>
        <v>130</v>
      </c>
      <c r="D14" s="76">
        <f>GEN!AI12</f>
        <v>724.2784810122688</v>
      </c>
      <c r="E14" s="239">
        <f t="shared" si="0"/>
        <v>946.2784810122688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2813.9999999984866</v>
      </c>
      <c r="J14" s="79">
        <f>ELEC!R13</f>
        <v>-68.999999998486601</v>
      </c>
      <c r="K14" s="3"/>
      <c r="L14" s="3"/>
      <c r="M14" s="3"/>
      <c r="N14" s="3"/>
    </row>
    <row r="15" spans="1:14">
      <c r="A15" s="63">
        <f>'B5'!A15</f>
        <v>44876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40.299999999999983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44877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44878</v>
      </c>
      <c r="B17" s="76">
        <f>'B5'!V17</f>
        <v>161</v>
      </c>
      <c r="C17" s="76">
        <f>'B5'!AH17</f>
        <v>0</v>
      </c>
      <c r="D17" s="76">
        <f>GEN!AI15</f>
        <v>724.02109704690793</v>
      </c>
      <c r="E17" s="239">
        <f t="shared" si="0"/>
        <v>885.02109704690793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2813.0000000019209</v>
      </c>
      <c r="J17" s="79">
        <f>ELEC!R16</f>
        <v>-62.000000001920853</v>
      </c>
      <c r="K17" s="3"/>
      <c r="L17" s="3"/>
      <c r="M17" s="3"/>
      <c r="N17" s="3"/>
    </row>
    <row r="18" spans="1:14">
      <c r="A18" s="63">
        <f>'B5'!A18</f>
        <v>44879</v>
      </c>
      <c r="B18" s="76">
        <f>'B5'!V18</f>
        <v>153</v>
      </c>
      <c r="C18" s="76">
        <f>'B5'!AH18</f>
        <v>0</v>
      </c>
      <c r="D18" s="76">
        <f>GEN!AI16</f>
        <v>771.89451476788008</v>
      </c>
      <c r="E18" s="239">
        <f t="shared" si="0"/>
        <v>924.89451476788008</v>
      </c>
      <c r="F18" s="75">
        <f>WATER!L18</f>
        <v>0</v>
      </c>
      <c r="G18" s="78">
        <f>WATER!BG18</f>
        <v>34.799999999999997</v>
      </c>
      <c r="H18" s="79">
        <f>ELEC!AF17</f>
        <v>195</v>
      </c>
      <c r="I18" s="79">
        <f>ELEC!Q17</f>
        <v>2998.9999999997963</v>
      </c>
      <c r="J18" s="79">
        <f>ELEC!R17</f>
        <v>-61.999999999796273</v>
      </c>
      <c r="K18" s="3"/>
      <c r="L18" s="3"/>
      <c r="M18" s="3"/>
      <c r="N18" s="3"/>
    </row>
    <row r="19" spans="1:14">
      <c r="A19" s="63">
        <f>'B5'!A19</f>
        <v>44880</v>
      </c>
      <c r="B19" s="76">
        <f>'B5'!V19</f>
        <v>64</v>
      </c>
      <c r="C19" s="76">
        <f>'B5'!AH19</f>
        <v>0</v>
      </c>
      <c r="D19" s="76">
        <f>GEN!AI17</f>
        <v>634.45147679328647</v>
      </c>
      <c r="E19" s="239">
        <f t="shared" si="0"/>
        <v>698.45147679328647</v>
      </c>
      <c r="F19" s="75">
        <f>WATER!L19</f>
        <v>0</v>
      </c>
      <c r="G19" s="78">
        <f>WATER!BG19</f>
        <v>-2.8999999999999773</v>
      </c>
      <c r="H19" s="79">
        <f>ELEC!AF18</f>
        <v>0</v>
      </c>
      <c r="I19" s="79">
        <f>ELEC!Q18</f>
        <v>2465.0000000001455</v>
      </c>
      <c r="J19" s="79">
        <f>ELEC!R18</f>
        <v>-55.000000000145519</v>
      </c>
      <c r="K19" s="3"/>
      <c r="L19" s="3"/>
      <c r="M19" s="3"/>
      <c r="N19" s="3"/>
    </row>
    <row r="20" spans="1:14">
      <c r="A20" s="63">
        <f>'B5'!A20</f>
        <v>44881</v>
      </c>
      <c r="B20" s="76">
        <f>'B5'!V20</f>
        <v>135</v>
      </c>
      <c r="C20" s="76">
        <f>'B5'!AH20</f>
        <v>63</v>
      </c>
      <c r="D20" s="76">
        <f>GEN!AI18</f>
        <v>752.07594936674411</v>
      </c>
      <c r="E20" s="239">
        <f t="shared" si="0"/>
        <v>950.07594936674411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2921.9999999986612</v>
      </c>
      <c r="J20" s="79">
        <f>ELEC!R19</f>
        <v>-58.399999998568092</v>
      </c>
      <c r="K20" s="3"/>
      <c r="L20" s="3"/>
      <c r="M20" s="3"/>
      <c r="N20" s="3"/>
    </row>
    <row r="21" spans="1:14">
      <c r="A21" s="63">
        <f>'B5'!A21</f>
        <v>44882</v>
      </c>
      <c r="B21" s="76">
        <f>'B5'!V21</f>
        <v>150</v>
      </c>
      <c r="C21" s="76">
        <f>'B5'!AH21</f>
        <v>0</v>
      </c>
      <c r="D21" s="76">
        <f>GEN!AI19</f>
        <v>672.80168776407265</v>
      </c>
      <c r="E21" s="239">
        <f t="shared" si="0"/>
        <v>822.80168776407265</v>
      </c>
      <c r="F21" s="75">
        <f>WATER!L21</f>
        <v>0</v>
      </c>
      <c r="G21" s="78">
        <f>WATER!BG21</f>
        <v>-44.299999999999983</v>
      </c>
      <c r="H21" s="79">
        <f>ELEC!AF20</f>
        <v>0</v>
      </c>
      <c r="I21" s="79">
        <f>ELEC!Q20</f>
        <v>2614.000000001397</v>
      </c>
      <c r="J21" s="79">
        <f>ELEC!R20</f>
        <v>127.39999999850988</v>
      </c>
      <c r="K21" s="3"/>
      <c r="L21" s="3"/>
      <c r="M21" s="3"/>
      <c r="N21" s="3"/>
    </row>
    <row r="22" spans="1:14">
      <c r="A22" s="63">
        <f>'B5'!A22</f>
        <v>44883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33.59999999999998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44884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44885</v>
      </c>
      <c r="B24" s="76">
        <f>'B5'!V24</f>
        <v>134</v>
      </c>
      <c r="C24" s="76">
        <f>'B5'!AH24</f>
        <v>0</v>
      </c>
      <c r="D24" s="76">
        <f>GEN!AI22</f>
        <v>536.90295358632568</v>
      </c>
      <c r="E24" s="239">
        <f t="shared" si="0"/>
        <v>670.90295358632568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2085.9999999993306</v>
      </c>
      <c r="J24" s="79">
        <f>ELEC!R23</f>
        <v>516.00000000066939</v>
      </c>
      <c r="K24" s="3"/>
      <c r="L24" s="3"/>
      <c r="M24" s="3"/>
      <c r="N24" s="3"/>
    </row>
    <row r="25" spans="1:14">
      <c r="A25" s="63">
        <f>'B5'!A25</f>
        <v>44886</v>
      </c>
      <c r="B25" s="76">
        <f>'B5'!V25</f>
        <v>232</v>
      </c>
      <c r="C25" s="76">
        <f>'B5'!AH25</f>
        <v>0</v>
      </c>
      <c r="D25" s="76">
        <f>GEN!AI23</f>
        <v>687.98734177185986</v>
      </c>
      <c r="E25" s="239">
        <f t="shared" si="0"/>
        <v>919.98734177185986</v>
      </c>
      <c r="F25" s="75">
        <f>WATER!L25</f>
        <v>0</v>
      </c>
      <c r="G25" s="78">
        <f>WATER!BG25</f>
        <v>-2.4000000000000057</v>
      </c>
      <c r="H25" s="79">
        <f>ELEC!AF24</f>
        <v>0</v>
      </c>
      <c r="I25" s="79">
        <f>ELEC!Q24</f>
        <v>2672.999999998865</v>
      </c>
      <c r="J25" s="79">
        <f>ELEC!R24</f>
        <v>12.000000001135049</v>
      </c>
      <c r="K25" s="3"/>
      <c r="L25" s="3"/>
      <c r="M25" s="3"/>
      <c r="N25" s="3"/>
    </row>
    <row r="26" spans="1:14">
      <c r="A26" s="63">
        <f>'B5'!A26</f>
        <v>44887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-6.2999999999999972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44888</v>
      </c>
      <c r="B27" s="76">
        <f>'B5'!V27</f>
        <v>199</v>
      </c>
      <c r="C27" s="76">
        <f>'B5'!AH27</f>
        <v>0</v>
      </c>
      <c r="D27" s="76">
        <f>GEN!AI25</f>
        <v>748.72995780581732</v>
      </c>
      <c r="E27" s="239">
        <f t="shared" si="0"/>
        <v>947.72995780581732</v>
      </c>
      <c r="F27" s="75">
        <f>WATER!L27</f>
        <v>0</v>
      </c>
      <c r="G27" s="78">
        <f>WATER!BG27</f>
        <v>-5.7999999999999829</v>
      </c>
      <c r="H27" s="79">
        <f>ELEC!AF26</f>
        <v>0</v>
      </c>
      <c r="I27" s="79">
        <f>ELEC!Q26</f>
        <v>2908.9999999996508</v>
      </c>
      <c r="J27" s="79">
        <f>ELEC!R26</f>
        <v>208.00000000034925</v>
      </c>
      <c r="K27" s="3"/>
      <c r="L27" s="3"/>
      <c r="M27" s="3"/>
      <c r="N27" s="3"/>
    </row>
    <row r="28" spans="1:14">
      <c r="A28" s="63">
        <f>'B5'!A28</f>
        <v>44889</v>
      </c>
      <c r="B28" s="76">
        <f>'B5'!V28</f>
        <v>115</v>
      </c>
      <c r="C28" s="76">
        <f>'B5'!AH28</f>
        <v>0</v>
      </c>
      <c r="D28" s="76">
        <f>GEN!AI26</f>
        <v>673.05907173036985</v>
      </c>
      <c r="E28" s="239">
        <f t="shared" si="0"/>
        <v>788.05907173036985</v>
      </c>
      <c r="F28" s="75">
        <f>WATER!L28</f>
        <v>0</v>
      </c>
      <c r="G28" s="78">
        <f>WATER!BG28</f>
        <v>47.59999999999998</v>
      </c>
      <c r="H28" s="79">
        <f>ELEC!AF27</f>
        <v>0</v>
      </c>
      <c r="I28" s="79">
        <f>ELEC!Q27</f>
        <v>2615.0000000016007</v>
      </c>
      <c r="J28" s="79">
        <f>ELEC!R27</f>
        <v>-10.000000001600711</v>
      </c>
      <c r="K28" s="3"/>
      <c r="L28" s="3"/>
      <c r="M28" s="3"/>
      <c r="N28" s="3"/>
    </row>
    <row r="29" spans="1:14">
      <c r="A29" s="63">
        <f>'B5'!A29</f>
        <v>44890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14.799999999999997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44892</v>
      </c>
      <c r="B31" s="76">
        <f>'B5'!V31</f>
        <v>322</v>
      </c>
      <c r="C31" s="76">
        <f>'B5'!AH31</f>
        <v>202</v>
      </c>
      <c r="D31" s="76">
        <f>GEN!AI29</f>
        <v>514.76793248945148</v>
      </c>
      <c r="E31" s="77">
        <f t="shared" si="0"/>
        <v>1038.7679324894516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2000</v>
      </c>
      <c r="J31" s="79">
        <f>ELEC!R30</f>
        <v>2127</v>
      </c>
      <c r="K31" s="3"/>
      <c r="L31" s="3"/>
      <c r="M31" s="3"/>
      <c r="N31" s="3"/>
    </row>
    <row r="32" spans="1:14">
      <c r="A32" s="63">
        <f>'B5'!A32</f>
        <v>44893</v>
      </c>
      <c r="B32" s="76">
        <f>'B5'!V32</f>
        <v>273</v>
      </c>
      <c r="C32" s="76">
        <f>'B5'!AH32</f>
        <v>51</v>
      </c>
      <c r="D32" s="76">
        <f>GEN!AI30</f>
        <v>643.45991561181438</v>
      </c>
      <c r="E32" s="77">
        <f t="shared" si="0"/>
        <v>967.45991561181438</v>
      </c>
      <c r="F32" s="75">
        <f>WATER!L32</f>
        <v>0</v>
      </c>
      <c r="G32" s="78">
        <f>WATER!BG32</f>
        <v>22.299999999999983</v>
      </c>
      <c r="H32" s="79">
        <f>ELEC!AF31</f>
        <v>0</v>
      </c>
      <c r="I32" s="79">
        <f>ELEC!Q31</f>
        <v>2500</v>
      </c>
      <c r="J32" s="79">
        <f>ELEC!R31</f>
        <v>201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0" t="s">
        <v>151</v>
      </c>
      <c r="U3" s="67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14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1</v>
      </c>
      <c r="G21">
        <f t="shared" si="1"/>
        <v>107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2</v>
      </c>
      <c r="E29">
        <f t="shared" si="0"/>
        <v>180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4</v>
      </c>
      <c r="E32">
        <f t="shared" si="0"/>
        <v>360</v>
      </c>
      <c r="F32">
        <f>'B5'!AM31</f>
        <v>2</v>
      </c>
      <c r="G32">
        <f t="shared" si="1"/>
        <v>214</v>
      </c>
    </row>
    <row r="33" spans="3:7">
      <c r="C33" s="99">
        <v>42457</v>
      </c>
      <c r="D33">
        <f>'B5'!AL32</f>
        <v>3</v>
      </c>
      <c r="E33">
        <f t="shared" si="0"/>
        <v>270</v>
      </c>
      <c r="F33">
        <f>'B5'!AM32</f>
        <v>1</v>
      </c>
      <c r="G33">
        <f t="shared" si="1"/>
        <v>107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2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316</v>
      </c>
      <c r="C1" s="693"/>
      <c r="D1" s="695"/>
      <c r="E1" s="692" t="s">
        <v>317</v>
      </c>
      <c r="F1" s="693"/>
      <c r="G1" s="694"/>
      <c r="H1" s="689" t="s">
        <v>321</v>
      </c>
      <c r="I1" s="686" t="s">
        <v>322</v>
      </c>
      <c r="J1" s="683" t="s">
        <v>43</v>
      </c>
    </row>
    <row r="2" spans="1:18" ht="38.25" thickBot="1">
      <c r="A2" s="68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0"/>
      <c r="I2" s="687"/>
      <c r="J2" s="684"/>
    </row>
    <row r="3" spans="1:18" ht="24" customHeight="1" thickBot="1">
      <c r="A3" s="68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1"/>
      <c r="I3" s="688"/>
      <c r="J3" s="685"/>
    </row>
    <row r="4" spans="1:18" ht="19.5" thickBot="1">
      <c r="A4" s="572"/>
      <c r="B4" s="577" t="s">
        <v>325</v>
      </c>
      <c r="C4" s="578" t="s">
        <v>320</v>
      </c>
      <c r="D4" s="579" t="s">
        <v>326</v>
      </c>
      <c r="E4" s="580" t="s">
        <v>325</v>
      </c>
      <c r="F4" s="579" t="s">
        <v>320</v>
      </c>
      <c r="G4" s="580" t="s">
        <v>326</v>
      </c>
      <c r="H4" s="564">
        <v>0</v>
      </c>
      <c r="I4" s="565"/>
      <c r="J4" s="566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5"/>
      <c r="B5" s="671" t="s">
        <v>417</v>
      </c>
      <c r="C5" s="672"/>
      <c r="D5" s="672"/>
      <c r="E5" s="672"/>
      <c r="F5" s="672"/>
      <c r="G5" s="673"/>
      <c r="H5" s="596"/>
      <c r="I5" s="597"/>
      <c r="J5" s="584"/>
      <c r="K5" s="573"/>
      <c r="L5" s="496"/>
      <c r="M5" s="475"/>
      <c r="N5" s="475"/>
      <c r="O5" s="475"/>
    </row>
    <row r="6" spans="1:18" ht="15.75" customHeight="1">
      <c r="A6" s="589">
        <f>ELEC!C4</f>
        <v>44866</v>
      </c>
      <c r="B6" s="674"/>
      <c r="C6" s="675"/>
      <c r="D6" s="675"/>
      <c r="E6" s="675"/>
      <c r="F6" s="675"/>
      <c r="G6" s="676"/>
      <c r="H6" s="588">
        <f>H5</f>
        <v>0</v>
      </c>
      <c r="I6" s="594">
        <f>H6-H5</f>
        <v>0</v>
      </c>
      <c r="J6" s="583">
        <v>0.29166666666666669</v>
      </c>
      <c r="L6" s="99">
        <f t="shared" ref="L6:L33" si="0">A6</f>
        <v>44866</v>
      </c>
      <c r="M6" s="3">
        <f>M5</f>
        <v>0</v>
      </c>
      <c r="N6" s="475"/>
      <c r="O6" s="475">
        <f>M6+N6</f>
        <v>0</v>
      </c>
    </row>
    <row r="7" spans="1:18">
      <c r="A7" s="590">
        <f>ELEC!C5</f>
        <v>44867</v>
      </c>
      <c r="B7" s="674"/>
      <c r="C7" s="675"/>
      <c r="D7" s="675"/>
      <c r="E7" s="675"/>
      <c r="F7" s="675"/>
      <c r="G7" s="676"/>
      <c r="H7" s="588">
        <f t="shared" ref="H7:H36" si="1">H6</f>
        <v>0</v>
      </c>
      <c r="I7" s="475">
        <f>H7-H6</f>
        <v>0</v>
      </c>
      <c r="J7" s="460">
        <v>0.29166666666666669</v>
      </c>
      <c r="L7" s="99">
        <f t="shared" si="0"/>
        <v>44867</v>
      </c>
      <c r="M7" s="3">
        <f t="shared" ref="M7:M36" si="2">M6</f>
        <v>0</v>
      </c>
      <c r="N7" s="475"/>
      <c r="O7" s="475">
        <f t="shared" ref="O7:O33" si="3">M7+N7</f>
        <v>0</v>
      </c>
    </row>
    <row r="8" spans="1:18">
      <c r="A8" s="590">
        <f>ELEC!C6</f>
        <v>44868</v>
      </c>
      <c r="B8" s="674"/>
      <c r="C8" s="675"/>
      <c r="D8" s="675"/>
      <c r="E8" s="675"/>
      <c r="F8" s="675"/>
      <c r="G8" s="676"/>
      <c r="H8" s="588">
        <f t="shared" si="1"/>
        <v>0</v>
      </c>
      <c r="I8" s="475">
        <f t="shared" ref="I8:I33" si="4">H8-H7</f>
        <v>0</v>
      </c>
      <c r="J8" s="460">
        <v>0.29166666666666669</v>
      </c>
      <c r="L8" s="99">
        <f t="shared" si="0"/>
        <v>44868</v>
      </c>
      <c r="M8" s="3">
        <f t="shared" si="2"/>
        <v>0</v>
      </c>
      <c r="N8" s="475"/>
      <c r="O8" s="475">
        <f t="shared" si="3"/>
        <v>0</v>
      </c>
    </row>
    <row r="9" spans="1:18">
      <c r="A9" s="590">
        <f>ELEC!C7</f>
        <v>44869</v>
      </c>
      <c r="B9" s="674"/>
      <c r="C9" s="675"/>
      <c r="D9" s="675"/>
      <c r="E9" s="675"/>
      <c r="F9" s="675"/>
      <c r="G9" s="676"/>
      <c r="H9" s="588">
        <v>7082</v>
      </c>
      <c r="I9" s="475">
        <f t="shared" si="4"/>
        <v>7082</v>
      </c>
      <c r="J9" s="460">
        <v>0.25</v>
      </c>
      <c r="L9" s="99">
        <f t="shared" si="0"/>
        <v>44869</v>
      </c>
      <c r="M9" s="3">
        <f t="shared" si="2"/>
        <v>0</v>
      </c>
      <c r="N9" s="475"/>
      <c r="O9" s="475">
        <f t="shared" si="3"/>
        <v>0</v>
      </c>
    </row>
    <row r="10" spans="1:18">
      <c r="A10" s="590">
        <f>ELEC!C8</f>
        <v>44870</v>
      </c>
      <c r="B10" s="674"/>
      <c r="C10" s="675"/>
      <c r="D10" s="675"/>
      <c r="E10" s="675"/>
      <c r="F10" s="675"/>
      <c r="G10" s="676"/>
      <c r="H10" s="588">
        <f t="shared" si="1"/>
        <v>7082</v>
      </c>
      <c r="I10" s="475">
        <f t="shared" si="4"/>
        <v>0</v>
      </c>
      <c r="J10" s="460">
        <v>0.29166666666666669</v>
      </c>
      <c r="L10" s="99">
        <f t="shared" si="0"/>
        <v>44870</v>
      </c>
      <c r="M10" s="3">
        <f t="shared" si="2"/>
        <v>0</v>
      </c>
      <c r="N10" s="475"/>
      <c r="O10" s="475">
        <f t="shared" si="3"/>
        <v>0</v>
      </c>
    </row>
    <row r="11" spans="1:18">
      <c r="A11" s="590">
        <f>ELEC!C9</f>
        <v>44871</v>
      </c>
      <c r="B11" s="674"/>
      <c r="C11" s="675"/>
      <c r="D11" s="675"/>
      <c r="E11" s="675"/>
      <c r="F11" s="675"/>
      <c r="G11" s="676"/>
      <c r="H11" s="588">
        <f t="shared" si="1"/>
        <v>7082</v>
      </c>
      <c r="I11" s="475">
        <f t="shared" si="4"/>
        <v>0</v>
      </c>
      <c r="J11" s="460">
        <v>0.29166666666666669</v>
      </c>
      <c r="L11" s="99">
        <f t="shared" si="0"/>
        <v>44871</v>
      </c>
      <c r="M11" s="3">
        <f t="shared" si="2"/>
        <v>0</v>
      </c>
      <c r="N11" s="475"/>
      <c r="O11" s="475">
        <f t="shared" si="3"/>
        <v>0</v>
      </c>
    </row>
    <row r="12" spans="1:18" ht="15.75">
      <c r="A12" s="590">
        <f>ELEC!C10</f>
        <v>44872</v>
      </c>
      <c r="B12" s="674"/>
      <c r="C12" s="675"/>
      <c r="D12" s="675"/>
      <c r="E12" s="675"/>
      <c r="F12" s="675"/>
      <c r="G12" s="676"/>
      <c r="H12" s="588">
        <f t="shared" si="1"/>
        <v>7082</v>
      </c>
      <c r="I12" s="475">
        <f t="shared" si="4"/>
        <v>0</v>
      </c>
      <c r="J12" s="460">
        <v>0.29166666666666669</v>
      </c>
      <c r="L12" s="99">
        <f t="shared" si="0"/>
        <v>44872</v>
      </c>
      <c r="M12" s="3">
        <f t="shared" si="2"/>
        <v>0</v>
      </c>
      <c r="N12" s="475"/>
      <c r="O12" s="475">
        <f t="shared" si="3"/>
        <v>0</v>
      </c>
      <c r="P12" s="417"/>
      <c r="Q12" s="340"/>
      <c r="R12" s="340"/>
    </row>
    <row r="13" spans="1:18">
      <c r="A13" s="590">
        <f>ELEC!C11</f>
        <v>44873</v>
      </c>
      <c r="B13" s="674"/>
      <c r="C13" s="675"/>
      <c r="D13" s="675"/>
      <c r="E13" s="675"/>
      <c r="F13" s="675"/>
      <c r="G13" s="676"/>
      <c r="H13" s="588">
        <f t="shared" si="1"/>
        <v>7082</v>
      </c>
      <c r="I13" s="475">
        <f t="shared" si="4"/>
        <v>0</v>
      </c>
      <c r="J13" s="460">
        <v>0.29166666666666669</v>
      </c>
      <c r="L13" s="99">
        <f t="shared" si="0"/>
        <v>44873</v>
      </c>
      <c r="M13" s="3">
        <f t="shared" si="2"/>
        <v>0</v>
      </c>
      <c r="N13" s="475"/>
      <c r="O13" s="475">
        <f t="shared" si="3"/>
        <v>0</v>
      </c>
    </row>
    <row r="14" spans="1:18">
      <c r="A14" s="590">
        <f>ELEC!C12</f>
        <v>44874</v>
      </c>
      <c r="B14" s="674"/>
      <c r="C14" s="675"/>
      <c r="D14" s="675"/>
      <c r="E14" s="675"/>
      <c r="F14" s="675"/>
      <c r="G14" s="676"/>
      <c r="H14" s="588">
        <v>7088</v>
      </c>
      <c r="I14" s="475">
        <f t="shared" si="4"/>
        <v>6</v>
      </c>
      <c r="J14" s="460">
        <v>0.29166666666666669</v>
      </c>
      <c r="L14" s="99">
        <f t="shared" si="0"/>
        <v>44874</v>
      </c>
      <c r="M14" s="3">
        <f t="shared" si="2"/>
        <v>0</v>
      </c>
      <c r="N14" s="475"/>
      <c r="O14" s="475">
        <f t="shared" si="3"/>
        <v>0</v>
      </c>
    </row>
    <row r="15" spans="1:18">
      <c r="A15" s="590">
        <f>ELEC!C13</f>
        <v>44875</v>
      </c>
      <c r="B15" s="674"/>
      <c r="C15" s="675"/>
      <c r="D15" s="675"/>
      <c r="E15" s="675"/>
      <c r="F15" s="675"/>
      <c r="G15" s="676"/>
      <c r="H15" s="588">
        <f t="shared" si="1"/>
        <v>7088</v>
      </c>
      <c r="I15" s="475">
        <f t="shared" si="4"/>
        <v>0</v>
      </c>
      <c r="J15" s="460">
        <v>0.29166666666666669</v>
      </c>
      <c r="L15" s="99">
        <f t="shared" si="0"/>
        <v>44875</v>
      </c>
      <c r="M15" s="3">
        <f t="shared" si="2"/>
        <v>0</v>
      </c>
      <c r="N15" s="475"/>
      <c r="O15" s="475">
        <f t="shared" si="3"/>
        <v>0</v>
      </c>
    </row>
    <row r="16" spans="1:18">
      <c r="A16" s="590">
        <f>ELEC!C14</f>
        <v>44876</v>
      </c>
      <c r="B16" s="674"/>
      <c r="C16" s="675"/>
      <c r="D16" s="675"/>
      <c r="E16" s="675"/>
      <c r="F16" s="675"/>
      <c r="G16" s="676"/>
      <c r="H16" s="588">
        <v>7089</v>
      </c>
      <c r="I16" s="475">
        <f t="shared" si="4"/>
        <v>1</v>
      </c>
      <c r="J16" s="460">
        <v>0.29166666666666669</v>
      </c>
      <c r="L16" s="99">
        <f t="shared" si="0"/>
        <v>44876</v>
      </c>
      <c r="M16" s="3">
        <f t="shared" si="2"/>
        <v>0</v>
      </c>
      <c r="N16" s="475"/>
      <c r="O16" s="475">
        <f t="shared" si="3"/>
        <v>0</v>
      </c>
    </row>
    <row r="17" spans="1:15">
      <c r="A17" s="590">
        <f>ELEC!C15</f>
        <v>44877</v>
      </c>
      <c r="B17" s="674"/>
      <c r="C17" s="675"/>
      <c r="D17" s="675"/>
      <c r="E17" s="675"/>
      <c r="F17" s="675"/>
      <c r="G17" s="676"/>
      <c r="H17" s="588">
        <f t="shared" si="1"/>
        <v>7089</v>
      </c>
      <c r="I17" s="475">
        <f t="shared" si="4"/>
        <v>0</v>
      </c>
      <c r="J17" s="460">
        <v>0.29166666666666669</v>
      </c>
      <c r="L17" s="99">
        <f t="shared" si="0"/>
        <v>44877</v>
      </c>
      <c r="M17" s="3">
        <f t="shared" si="2"/>
        <v>0</v>
      </c>
      <c r="N17" s="475"/>
      <c r="O17" s="475">
        <f t="shared" si="3"/>
        <v>0</v>
      </c>
    </row>
    <row r="18" spans="1:15">
      <c r="A18" s="590">
        <f>ELEC!C16</f>
        <v>44878</v>
      </c>
      <c r="B18" s="674"/>
      <c r="C18" s="675"/>
      <c r="D18" s="675"/>
      <c r="E18" s="675"/>
      <c r="F18" s="675"/>
      <c r="G18" s="676"/>
      <c r="H18" s="588">
        <f t="shared" si="1"/>
        <v>7089</v>
      </c>
      <c r="I18" s="475">
        <f t="shared" si="4"/>
        <v>0</v>
      </c>
      <c r="J18" s="460">
        <v>0.29166666666666669</v>
      </c>
      <c r="L18" s="99">
        <f t="shared" si="0"/>
        <v>44878</v>
      </c>
      <c r="M18" s="3">
        <f t="shared" si="2"/>
        <v>0</v>
      </c>
      <c r="N18" s="475"/>
      <c r="O18" s="475">
        <f t="shared" si="3"/>
        <v>0</v>
      </c>
    </row>
    <row r="19" spans="1:15">
      <c r="A19" s="590">
        <f>ELEC!C17</f>
        <v>44879</v>
      </c>
      <c r="B19" s="674"/>
      <c r="C19" s="675"/>
      <c r="D19" s="675"/>
      <c r="E19" s="675"/>
      <c r="F19" s="675"/>
      <c r="G19" s="676"/>
      <c r="H19" s="588">
        <f t="shared" si="1"/>
        <v>7089</v>
      </c>
      <c r="I19" s="475">
        <f t="shared" si="4"/>
        <v>0</v>
      </c>
      <c r="J19" s="460">
        <v>0.29166666666666669</v>
      </c>
      <c r="L19" s="99">
        <f t="shared" si="0"/>
        <v>44879</v>
      </c>
      <c r="M19" s="3">
        <f t="shared" si="2"/>
        <v>0</v>
      </c>
      <c r="N19" s="475"/>
      <c r="O19" s="475">
        <f t="shared" si="3"/>
        <v>0</v>
      </c>
    </row>
    <row r="20" spans="1:15">
      <c r="A20" s="590">
        <f>ELEC!C18</f>
        <v>44880</v>
      </c>
      <c r="B20" s="674"/>
      <c r="C20" s="675"/>
      <c r="D20" s="675"/>
      <c r="E20" s="675"/>
      <c r="F20" s="675"/>
      <c r="G20" s="676"/>
      <c r="H20" s="588">
        <f t="shared" si="1"/>
        <v>7089</v>
      </c>
      <c r="I20" s="475">
        <f t="shared" si="4"/>
        <v>0</v>
      </c>
      <c r="J20" s="460">
        <v>0.29166666666666669</v>
      </c>
      <c r="L20" s="99">
        <f t="shared" si="0"/>
        <v>44880</v>
      </c>
      <c r="M20" s="3">
        <f t="shared" si="2"/>
        <v>0</v>
      </c>
      <c r="N20" s="475"/>
      <c r="O20" s="475">
        <f t="shared" si="3"/>
        <v>0</v>
      </c>
    </row>
    <row r="21" spans="1:15">
      <c r="A21" s="590">
        <f>ELEC!C19</f>
        <v>44881</v>
      </c>
      <c r="B21" s="674"/>
      <c r="C21" s="675"/>
      <c r="D21" s="675"/>
      <c r="E21" s="675"/>
      <c r="F21" s="675"/>
      <c r="G21" s="676"/>
      <c r="H21" s="588">
        <f t="shared" si="1"/>
        <v>7089</v>
      </c>
      <c r="I21" s="475">
        <f t="shared" si="4"/>
        <v>0</v>
      </c>
      <c r="J21" s="531" t="s">
        <v>409</v>
      </c>
      <c r="L21" s="99">
        <f t="shared" si="0"/>
        <v>44881</v>
      </c>
      <c r="M21" s="3">
        <f t="shared" si="2"/>
        <v>0</v>
      </c>
      <c r="N21" s="475"/>
      <c r="O21" s="475">
        <f t="shared" si="3"/>
        <v>0</v>
      </c>
    </row>
    <row r="22" spans="1:15">
      <c r="A22" s="590">
        <f>ELEC!C20</f>
        <v>44882</v>
      </c>
      <c r="B22" s="674"/>
      <c r="C22" s="675"/>
      <c r="D22" s="675"/>
      <c r="E22" s="675"/>
      <c r="F22" s="675"/>
      <c r="G22" s="676"/>
      <c r="H22" s="588">
        <f t="shared" si="1"/>
        <v>7089</v>
      </c>
      <c r="I22" s="475">
        <f t="shared" si="4"/>
        <v>0</v>
      </c>
      <c r="J22" s="460">
        <v>0.29166666666666669</v>
      </c>
      <c r="L22" s="99">
        <f t="shared" si="0"/>
        <v>44882</v>
      </c>
      <c r="M22" s="3">
        <f t="shared" si="2"/>
        <v>0</v>
      </c>
      <c r="N22" s="475"/>
      <c r="O22" s="475">
        <f t="shared" si="3"/>
        <v>0</v>
      </c>
    </row>
    <row r="23" spans="1:15">
      <c r="A23" s="590">
        <f>ELEC!C21</f>
        <v>44883</v>
      </c>
      <c r="B23" s="674"/>
      <c r="C23" s="675"/>
      <c r="D23" s="675"/>
      <c r="E23" s="675"/>
      <c r="F23" s="675"/>
      <c r="G23" s="676"/>
      <c r="H23" s="588">
        <f t="shared" si="1"/>
        <v>7089</v>
      </c>
      <c r="I23" s="475">
        <f t="shared" si="4"/>
        <v>0</v>
      </c>
      <c r="J23" s="460">
        <v>0.29166666666666669</v>
      </c>
      <c r="L23" s="99">
        <f t="shared" si="0"/>
        <v>44883</v>
      </c>
      <c r="M23" s="3">
        <f t="shared" si="2"/>
        <v>0</v>
      </c>
      <c r="N23" s="475"/>
      <c r="O23" s="475">
        <f t="shared" si="3"/>
        <v>0</v>
      </c>
    </row>
    <row r="24" spans="1:15">
      <c r="A24" s="590">
        <f>ELEC!C22</f>
        <v>44884</v>
      </c>
      <c r="B24" s="674"/>
      <c r="C24" s="675"/>
      <c r="D24" s="675"/>
      <c r="E24" s="675"/>
      <c r="F24" s="675"/>
      <c r="G24" s="676"/>
      <c r="H24" s="588">
        <f t="shared" si="1"/>
        <v>7089</v>
      </c>
      <c r="I24" s="475">
        <f t="shared" si="4"/>
        <v>0</v>
      </c>
      <c r="J24" s="460">
        <v>0.29166666666666702</v>
      </c>
      <c r="L24" s="99">
        <f t="shared" si="0"/>
        <v>44884</v>
      </c>
      <c r="M24" s="3">
        <f t="shared" si="2"/>
        <v>0</v>
      </c>
      <c r="N24" s="475"/>
      <c r="O24" s="475">
        <f t="shared" si="3"/>
        <v>0</v>
      </c>
    </row>
    <row r="25" spans="1:15">
      <c r="A25" s="590">
        <f>ELEC!C23</f>
        <v>44885</v>
      </c>
      <c r="B25" s="674"/>
      <c r="C25" s="675"/>
      <c r="D25" s="675"/>
      <c r="E25" s="675"/>
      <c r="F25" s="675"/>
      <c r="G25" s="676"/>
      <c r="H25" s="588">
        <f t="shared" si="1"/>
        <v>7089</v>
      </c>
      <c r="I25" s="475">
        <f t="shared" si="4"/>
        <v>0</v>
      </c>
      <c r="J25" s="460">
        <v>0.29166666666666702</v>
      </c>
      <c r="L25" s="99">
        <f t="shared" si="0"/>
        <v>44885</v>
      </c>
      <c r="M25" s="3">
        <f t="shared" si="2"/>
        <v>0</v>
      </c>
      <c r="N25" s="475"/>
      <c r="O25" s="475">
        <f t="shared" si="3"/>
        <v>0</v>
      </c>
    </row>
    <row r="26" spans="1:15">
      <c r="A26" s="590">
        <f>ELEC!C24</f>
        <v>44886</v>
      </c>
      <c r="B26" s="674"/>
      <c r="C26" s="675"/>
      <c r="D26" s="675"/>
      <c r="E26" s="675"/>
      <c r="F26" s="675"/>
      <c r="G26" s="676"/>
      <c r="H26" s="588">
        <f t="shared" si="1"/>
        <v>7089</v>
      </c>
      <c r="I26" s="475">
        <f t="shared" si="4"/>
        <v>0</v>
      </c>
      <c r="J26" s="460">
        <v>0.29166666666666702</v>
      </c>
      <c r="L26" s="99">
        <f t="shared" si="0"/>
        <v>44886</v>
      </c>
      <c r="M26" s="3">
        <f t="shared" si="2"/>
        <v>0</v>
      </c>
      <c r="N26" s="475"/>
      <c r="O26" s="475">
        <f t="shared" si="3"/>
        <v>0</v>
      </c>
    </row>
    <row r="27" spans="1:15">
      <c r="A27" s="590">
        <f>ELEC!C25</f>
        <v>44887</v>
      </c>
      <c r="B27" s="674"/>
      <c r="C27" s="675"/>
      <c r="D27" s="675"/>
      <c r="E27" s="675"/>
      <c r="F27" s="675"/>
      <c r="G27" s="676"/>
      <c r="H27" s="588">
        <f t="shared" si="1"/>
        <v>7089</v>
      </c>
      <c r="I27" s="475">
        <f t="shared" si="4"/>
        <v>0</v>
      </c>
      <c r="J27" s="460">
        <v>0.29166666666666702</v>
      </c>
      <c r="L27" s="99">
        <f t="shared" si="0"/>
        <v>44887</v>
      </c>
      <c r="M27" s="3">
        <f t="shared" si="2"/>
        <v>0</v>
      </c>
      <c r="N27" s="475"/>
      <c r="O27" s="475">
        <f t="shared" si="3"/>
        <v>0</v>
      </c>
    </row>
    <row r="28" spans="1:15">
      <c r="A28" s="590">
        <f>ELEC!C26</f>
        <v>44888</v>
      </c>
      <c r="B28" s="674"/>
      <c r="C28" s="675"/>
      <c r="D28" s="675"/>
      <c r="E28" s="675"/>
      <c r="F28" s="675"/>
      <c r="G28" s="676"/>
      <c r="H28" s="588">
        <f t="shared" si="1"/>
        <v>7089</v>
      </c>
      <c r="I28" s="475">
        <f t="shared" si="4"/>
        <v>0</v>
      </c>
      <c r="J28" s="461">
        <v>0.29166666666666702</v>
      </c>
      <c r="L28" s="99">
        <f t="shared" si="0"/>
        <v>44888</v>
      </c>
      <c r="M28" s="3">
        <f t="shared" si="2"/>
        <v>0</v>
      </c>
      <c r="N28" s="475"/>
      <c r="O28" s="475">
        <f t="shared" si="3"/>
        <v>0</v>
      </c>
    </row>
    <row r="29" spans="1:15">
      <c r="A29" s="590">
        <f>ELEC!C27</f>
        <v>44889</v>
      </c>
      <c r="B29" s="674"/>
      <c r="C29" s="675"/>
      <c r="D29" s="675"/>
      <c r="E29" s="675"/>
      <c r="F29" s="675"/>
      <c r="G29" s="676"/>
      <c r="H29" s="588">
        <f t="shared" si="1"/>
        <v>7089</v>
      </c>
      <c r="I29" s="475">
        <f t="shared" si="4"/>
        <v>0</v>
      </c>
      <c r="J29" s="460">
        <v>0.29166666666666702</v>
      </c>
      <c r="L29" s="99">
        <f t="shared" si="0"/>
        <v>44889</v>
      </c>
      <c r="M29" s="3">
        <f t="shared" si="2"/>
        <v>0</v>
      </c>
      <c r="N29" s="475"/>
      <c r="O29" s="475">
        <f t="shared" si="3"/>
        <v>0</v>
      </c>
    </row>
    <row r="30" spans="1:15">
      <c r="A30" s="590">
        <f>ELEC!C28</f>
        <v>44890</v>
      </c>
      <c r="B30" s="674"/>
      <c r="C30" s="675"/>
      <c r="D30" s="675"/>
      <c r="E30" s="675"/>
      <c r="F30" s="675"/>
      <c r="G30" s="676"/>
      <c r="H30" s="588">
        <f t="shared" si="1"/>
        <v>7089</v>
      </c>
      <c r="I30" s="475">
        <f t="shared" si="4"/>
        <v>0</v>
      </c>
      <c r="J30" s="460">
        <v>0.29166666666666702</v>
      </c>
      <c r="L30" s="99">
        <f t="shared" si="0"/>
        <v>44890</v>
      </c>
      <c r="M30" s="3">
        <f t="shared" si="2"/>
        <v>0</v>
      </c>
      <c r="N30" s="475"/>
      <c r="O30" s="475">
        <f t="shared" si="3"/>
        <v>0</v>
      </c>
    </row>
    <row r="31" spans="1:15">
      <c r="A31" s="590">
        <f>ELEC!C29</f>
        <v>44891</v>
      </c>
      <c r="B31" s="674"/>
      <c r="C31" s="675"/>
      <c r="D31" s="675"/>
      <c r="E31" s="675"/>
      <c r="F31" s="675"/>
      <c r="G31" s="676"/>
      <c r="H31" s="588">
        <f t="shared" si="1"/>
        <v>7089</v>
      </c>
      <c r="I31" s="475">
        <f t="shared" si="4"/>
        <v>0</v>
      </c>
      <c r="J31" s="460">
        <v>0.29166666666666702</v>
      </c>
      <c r="L31" s="99">
        <f t="shared" si="0"/>
        <v>44891</v>
      </c>
      <c r="M31" s="3">
        <f t="shared" si="2"/>
        <v>0</v>
      </c>
      <c r="N31" s="475"/>
      <c r="O31" s="475">
        <f t="shared" si="3"/>
        <v>0</v>
      </c>
    </row>
    <row r="32" spans="1:15">
      <c r="A32" s="590">
        <f>ELEC!C30</f>
        <v>44892</v>
      </c>
      <c r="B32" s="674"/>
      <c r="C32" s="675"/>
      <c r="D32" s="675"/>
      <c r="E32" s="675"/>
      <c r="F32" s="675"/>
      <c r="G32" s="676"/>
      <c r="H32" s="588">
        <f t="shared" si="1"/>
        <v>7089</v>
      </c>
      <c r="I32" s="475">
        <f t="shared" si="4"/>
        <v>0</v>
      </c>
      <c r="J32" s="460">
        <v>0.29166666666666702</v>
      </c>
      <c r="L32" s="99">
        <f t="shared" si="0"/>
        <v>44892</v>
      </c>
      <c r="M32" s="3">
        <f t="shared" si="2"/>
        <v>0</v>
      </c>
      <c r="N32" s="475"/>
      <c r="O32" s="475">
        <v>6879</v>
      </c>
    </row>
    <row r="33" spans="1:15">
      <c r="A33" s="590">
        <f>ELEC!C31</f>
        <v>44893</v>
      </c>
      <c r="B33" s="674"/>
      <c r="C33" s="675"/>
      <c r="D33" s="675"/>
      <c r="E33" s="675"/>
      <c r="F33" s="675"/>
      <c r="G33" s="676"/>
      <c r="H33" s="588">
        <f t="shared" si="1"/>
        <v>7089</v>
      </c>
      <c r="I33" s="475">
        <f t="shared" si="4"/>
        <v>0</v>
      </c>
      <c r="J33" s="460">
        <v>0.29166666666666702</v>
      </c>
      <c r="L33" s="99">
        <f t="shared" si="0"/>
        <v>44893</v>
      </c>
      <c r="M33" s="3">
        <f t="shared" si="2"/>
        <v>0</v>
      </c>
      <c r="N33" s="475"/>
      <c r="O33" s="475">
        <f t="shared" si="3"/>
        <v>0</v>
      </c>
    </row>
    <row r="34" spans="1:15">
      <c r="A34" s="590">
        <f>ELEC!C32</f>
        <v>44894</v>
      </c>
      <c r="B34" s="674"/>
      <c r="C34" s="675"/>
      <c r="D34" s="675"/>
      <c r="E34" s="675"/>
      <c r="F34" s="675"/>
      <c r="G34" s="676"/>
      <c r="H34" s="588">
        <f t="shared" si="1"/>
        <v>7089</v>
      </c>
      <c r="I34" s="475">
        <f t="shared" ref="I34:I36" si="5">H34-H33</f>
        <v>0</v>
      </c>
      <c r="J34" s="460">
        <v>0.33333333333333398</v>
      </c>
      <c r="L34" s="99">
        <f t="shared" ref="L34:L36" si="6">A34</f>
        <v>44894</v>
      </c>
      <c r="M34" s="3">
        <f t="shared" si="2"/>
        <v>0</v>
      </c>
      <c r="N34" s="475"/>
      <c r="O34" s="475">
        <f t="shared" ref="O34:O36" si="7">M34+N34</f>
        <v>0</v>
      </c>
    </row>
    <row r="35" spans="1:15">
      <c r="A35" s="590">
        <f>ELEC!C33</f>
        <v>44895</v>
      </c>
      <c r="B35" s="674"/>
      <c r="C35" s="675"/>
      <c r="D35" s="675"/>
      <c r="E35" s="675"/>
      <c r="F35" s="675"/>
      <c r="G35" s="676"/>
      <c r="H35" s="588">
        <f t="shared" si="1"/>
        <v>7089</v>
      </c>
      <c r="I35" s="475">
        <f t="shared" si="5"/>
        <v>0</v>
      </c>
      <c r="J35" s="460">
        <v>0.375</v>
      </c>
      <c r="L35" s="99">
        <f t="shared" si="6"/>
        <v>44895</v>
      </c>
      <c r="M35" s="3">
        <f t="shared" si="2"/>
        <v>0</v>
      </c>
      <c r="N35" s="475"/>
      <c r="O35" s="475">
        <f t="shared" si="7"/>
        <v>0</v>
      </c>
    </row>
    <row r="36" spans="1:15" ht="15.75" thickBot="1">
      <c r="A36" s="591">
        <f>ELEC!C34</f>
        <v>44896</v>
      </c>
      <c r="B36" s="677"/>
      <c r="C36" s="678"/>
      <c r="D36" s="678"/>
      <c r="E36" s="678"/>
      <c r="F36" s="678"/>
      <c r="G36" s="679"/>
      <c r="H36" s="588">
        <f t="shared" si="1"/>
        <v>7089</v>
      </c>
      <c r="I36" s="592">
        <f t="shared" si="5"/>
        <v>0</v>
      </c>
      <c r="J36" s="593">
        <v>0.41666666666666702</v>
      </c>
      <c r="L36" s="99">
        <f t="shared" si="6"/>
        <v>44896</v>
      </c>
      <c r="M36" s="3">
        <f t="shared" si="2"/>
        <v>0</v>
      </c>
      <c r="N36" s="475"/>
      <c r="O36" s="475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J47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404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20</v>
      </c>
      <c r="D10" s="261">
        <f>'[8]Degree Days 2020'!D10</f>
        <v>-0.80000000000000071</v>
      </c>
      <c r="E10" s="494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4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4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4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4">
        <v>1</v>
      </c>
      <c r="V10" s="261">
        <f>'[14]Degree Days 2022'!V10</f>
        <v>25</v>
      </c>
      <c r="W10" s="261">
        <f>'[14]Degree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18</v>
      </c>
      <c r="D11" s="261">
        <f>'[8]Degree Days 2020'!D11</f>
        <v>-0.30000000000000071</v>
      </c>
      <c r="E11" s="494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4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4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4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4">
        <v>2</v>
      </c>
      <c r="V11" s="261">
        <f>'[14]Degree Days 2022'!V11</f>
        <v>25</v>
      </c>
      <c r="W11" s="261">
        <f>'[14]Degree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18</v>
      </c>
      <c r="D12" s="261">
        <f>'[8]Degree Days 2020'!D12</f>
        <v>0.19999999999999929</v>
      </c>
      <c r="E12" s="494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4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4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4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4">
        <v>3</v>
      </c>
      <c r="V12" s="261">
        <f>'[14]Degree Days 2022'!V12</f>
        <v>0</v>
      </c>
      <c r="W12" s="261">
        <f>'[14]Degree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17</v>
      </c>
      <c r="D13" s="261">
        <f>'[8]Degree Days 2020'!D13</f>
        <v>0.19999999999999929</v>
      </c>
      <c r="E13" s="494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4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4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4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4">
        <v>4</v>
      </c>
      <c r="V13" s="261">
        <f>'[14]Degree Days 2022'!V13</f>
        <v>0</v>
      </c>
      <c r="W13" s="261">
        <f>'[14]Degree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18</v>
      </c>
      <c r="D14" s="261">
        <f>'[8]Degree Days 2020'!D14</f>
        <v>0.69999999999999929</v>
      </c>
      <c r="E14" s="494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4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4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4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4">
        <v>5</v>
      </c>
      <c r="V14" s="261">
        <f>'[14]Degree Days 2022'!V14</f>
        <v>27</v>
      </c>
      <c r="W14" s="261">
        <f>'[14]Degree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0</v>
      </c>
      <c r="D15" s="261">
        <f>'[8]Degree Days 2020'!D15</f>
        <v>0.19999999999999929</v>
      </c>
      <c r="E15" s="494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4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4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4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4">
        <v>6</v>
      </c>
      <c r="V15" s="261">
        <f>'[14]Degree Days 2022'!V15</f>
        <v>26</v>
      </c>
      <c r="W15" s="261">
        <f>'[14]Degree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16</v>
      </c>
      <c r="D16" s="261">
        <f>'[8]Degree Days 2020'!D16</f>
        <v>-1.3000000000000007</v>
      </c>
      <c r="E16" s="494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4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4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4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4">
        <v>7</v>
      </c>
      <c r="V16" s="261">
        <f>'[14]Degree Days 2022'!V16</f>
        <v>27</v>
      </c>
      <c r="W16" s="261">
        <f>'[14]Degree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16</v>
      </c>
      <c r="D17" s="261">
        <f>'[8]Degree Days 2020'!D17</f>
        <v>-0.80000000000000071</v>
      </c>
      <c r="E17" s="494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4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4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4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4">
        <v>8</v>
      </c>
      <c r="V17" s="261">
        <f>'[14]Degree Days 2022'!V17</f>
        <v>27</v>
      </c>
      <c r="W17" s="261">
        <f>'[14]Degree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18</v>
      </c>
      <c r="D18" s="261">
        <f>'[8]Degree Days 2020'!D18</f>
        <v>0.19999999999999929</v>
      </c>
      <c r="E18" s="494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4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4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4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4">
        <v>9</v>
      </c>
      <c r="V18" s="261">
        <f>'[14]Degree Days 2022'!V18</f>
        <v>0</v>
      </c>
      <c r="W18" s="261">
        <f>'[14]Degree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23</v>
      </c>
      <c r="D19" s="261">
        <f>'[8]Degree Days 2020'!D19</f>
        <v>0.19999999999999929</v>
      </c>
      <c r="E19" s="494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4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4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4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4">
        <v>10</v>
      </c>
      <c r="V19" s="261">
        <f>'[14]Degree Days 2022'!V19</f>
        <v>0</v>
      </c>
      <c r="W19" s="261">
        <f>'[14]Degree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4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4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4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4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4">
        <v>11</v>
      </c>
      <c r="V20" s="261">
        <f>'[14]Degree Days 2022'!V20</f>
        <v>0</v>
      </c>
      <c r="W20" s="261">
        <f>'[14]Degree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4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4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4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4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4">
        <v>12</v>
      </c>
      <c r="V21" s="261">
        <f>'[14]Degree Days 2022'!V21</f>
        <v>0</v>
      </c>
      <c r="W21" s="261">
        <f>'[14]Degree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21</v>
      </c>
      <c r="D22" s="261">
        <f>'[8]Degree Days 2020'!D22</f>
        <v>-3.3000000000000007</v>
      </c>
      <c r="E22" s="494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4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4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4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4">
        <v>13</v>
      </c>
      <c r="V22" s="261">
        <f>'[14]Degree Days 2022'!V22</f>
        <v>0</v>
      </c>
      <c r="W22" s="261">
        <f>'[14]Degree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20</v>
      </c>
      <c r="D23" s="261">
        <f>'[8]Degree Days 2020'!D23</f>
        <v>-3.8000000000000007</v>
      </c>
      <c r="E23" s="494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4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4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4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4">
        <v>14</v>
      </c>
      <c r="V23" s="261">
        <f>'[14]Degree Days 2022'!V23</f>
        <v>27</v>
      </c>
      <c r="W23" s="261">
        <f>'[14]Degree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21</v>
      </c>
      <c r="D24" s="261">
        <f>'[8]Degree Days 2020'!D24</f>
        <v>-2.3000000000000007</v>
      </c>
      <c r="E24" s="494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4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4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4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4">
        <v>15</v>
      </c>
      <c r="V24" s="261">
        <f>'[14]Degree Days 2022'!V24</f>
        <v>28</v>
      </c>
      <c r="W24" s="261">
        <f>'[14]Degree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16</v>
      </c>
      <c r="D25" s="261">
        <f>'[8]Degree Days 2020'!D25</f>
        <v>-6.3000000000000007</v>
      </c>
      <c r="E25" s="494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4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4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4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4">
        <v>16</v>
      </c>
      <c r="V25" s="261">
        <f>'[14]Degree Days 2022'!V25</f>
        <v>30</v>
      </c>
      <c r="W25" s="261">
        <f>'[14]Degree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18</v>
      </c>
      <c r="D26" s="261">
        <f>'[8]Degree Days 2020'!D26</f>
        <v>-4.8000000000000007</v>
      </c>
      <c r="E26" s="494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4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4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4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4">
        <v>17</v>
      </c>
      <c r="V26" s="261">
        <f>'[14]Degree Days 2022'!V26</f>
        <v>0</v>
      </c>
      <c r="W26" s="261">
        <f>'[14]Degree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15</v>
      </c>
      <c r="D27" s="261">
        <f>'[8]Degree Days 2020'!D27</f>
        <v>-7.3000000000000007</v>
      </c>
      <c r="E27" s="494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4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4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4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4">
        <v>18</v>
      </c>
      <c r="V27" s="261">
        <f>'[14]Degree Days 2022'!V27</f>
        <v>0</v>
      </c>
      <c r="W27" s="261">
        <f>'[14]Degree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4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4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4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4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4">
        <v>19</v>
      </c>
      <c r="V28" s="261">
        <f>'[14]Degree Days 2022'!V28</f>
        <v>0</v>
      </c>
      <c r="W28" s="261">
        <f>'[14]Degree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4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4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4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4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4">
        <v>20</v>
      </c>
      <c r="V29" s="261">
        <f>'[14]Degree Days 2022'!V29</f>
        <v>27</v>
      </c>
      <c r="W29" s="261">
        <f>'[14]Degree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4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4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4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4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4">
        <v>21</v>
      </c>
      <c r="V30" s="261">
        <f>'[14]Degree Days 2022'!V30</f>
        <v>28</v>
      </c>
      <c r="W30" s="261">
        <f>'[14]Degree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4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4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4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4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4">
        <v>22</v>
      </c>
      <c r="V31" s="261">
        <f>'[14]Degree Days 2022'!V31</f>
        <v>0</v>
      </c>
      <c r="W31" s="261">
        <f>'[14]Degree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4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4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4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4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4">
        <v>23</v>
      </c>
      <c r="V32" s="261">
        <f>'[14]Degree Days 2022'!V32</f>
        <v>0</v>
      </c>
      <c r="W32" s="261">
        <f>'[14]Degree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4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4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4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4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4">
        <v>24</v>
      </c>
      <c r="V33" s="261">
        <f>'[14]Degree Days 2022'!V33</f>
        <v>0</v>
      </c>
      <c r="W33" s="261">
        <f>'[14]Degree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4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4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4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4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4">
        <v>25</v>
      </c>
      <c r="V34" s="261">
        <f>'[14]Degree Days 2022'!V34</f>
        <v>0</v>
      </c>
      <c r="W34" s="261">
        <f>'[14]Degree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4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4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4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4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4">
        <v>26</v>
      </c>
      <c r="V35" s="261">
        <f>'[14]Degree Days 2022'!V35</f>
        <v>29</v>
      </c>
      <c r="W35" s="261">
        <f>'[14]Degree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15</v>
      </c>
      <c r="D36" s="261">
        <f>'[8]Degree Days 2020'!D36</f>
        <v>-6.3000000000000007</v>
      </c>
      <c r="E36" s="494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4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4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4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4">
        <v>27</v>
      </c>
      <c r="V36" s="261">
        <f>'[14]Degree Days 2022'!V36</f>
        <v>29</v>
      </c>
      <c r="W36" s="261">
        <f>'[14]Degree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18</v>
      </c>
      <c r="D37" s="261">
        <f>'[8]Degree Days 2020'!D37</f>
        <v>-6.3000000000000007</v>
      </c>
      <c r="E37" s="494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4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4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4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4">
        <v>28</v>
      </c>
      <c r="V37" s="261">
        <f>'[14]Degree Days 2022'!V37</f>
        <v>28</v>
      </c>
      <c r="W37" s="261">
        <f>'[14]Degree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16</v>
      </c>
      <c r="D38" s="261">
        <f>'[8]Degree Days 2020'!D38</f>
        <v>-4.3000000000000007</v>
      </c>
      <c r="E38" s="494"/>
      <c r="F38" s="261"/>
      <c r="G38" s="261"/>
      <c r="H38" s="261"/>
      <c r="I38" s="494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4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4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4">
        <v>29</v>
      </c>
      <c r="V38" s="261">
        <f>'[14]Degree Days 2022'!V38</f>
        <v>29</v>
      </c>
      <c r="W38" s="261">
        <f>'[14]Degree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17</v>
      </c>
      <c r="D39" s="261">
        <f>'[8]Degree Days 2020'!D39</f>
        <v>-11.3</v>
      </c>
      <c r="E39" s="494"/>
      <c r="F39" s="261"/>
      <c r="G39" s="261"/>
      <c r="H39" s="261"/>
      <c r="I39" s="494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4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4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4">
        <v>30</v>
      </c>
      <c r="V39" s="261">
        <f>'[14]Degree Days 2022'!V39</f>
        <v>29</v>
      </c>
      <c r="W39" s="261">
        <f>'[14]Degree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4"/>
      <c r="F40" s="261"/>
      <c r="G40" s="261"/>
      <c r="H40" s="261"/>
      <c r="I40" s="494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4"/>
      <c r="N40" s="261"/>
      <c r="O40" s="261"/>
      <c r="P40" s="261"/>
      <c r="Q40" s="494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'[15]General information '!B5</f>
        <v>0</v>
      </c>
      <c r="C48" s="261">
        <f>'[15]General information '!C5</f>
        <v>0</v>
      </c>
      <c r="D48" s="119">
        <f t="shared" ref="D48:D56" si="3">(B48+C48)/2-18.3</f>
        <v>-18.3</v>
      </c>
      <c r="E48" s="117">
        <v>1</v>
      </c>
      <c r="F48" s="261">
        <f>'[6]General information '!B5</f>
        <v>31</v>
      </c>
      <c r="G48" s="261">
        <f>'[6]General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24</v>
      </c>
      <c r="K48" s="261">
        <f>'General information '!C5</f>
        <v>20</v>
      </c>
      <c r="L48" s="119">
        <f>(J48+K48)/2-18.3</f>
        <v>3.6999999999999993</v>
      </c>
      <c r="M48" s="117">
        <v>1</v>
      </c>
      <c r="N48" s="261">
        <f>'[2]General information '!B5</f>
        <v>29</v>
      </c>
      <c r="O48" s="261">
        <f>'[2]General information '!C5</f>
        <v>24</v>
      </c>
      <c r="P48" s="119">
        <f>(N48+O48)/2-18.3</f>
        <v>8.1999999999999993</v>
      </c>
      <c r="Q48" s="117">
        <v>1</v>
      </c>
      <c r="R48" s="261">
        <f>'General information '!B5</f>
        <v>24</v>
      </c>
      <c r="S48" s="261">
        <f>'General information '!C5</f>
        <v>20</v>
      </c>
      <c r="T48" s="119">
        <f>(R48+S48)/2-18.3</f>
        <v>3.6999999999999993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'[15]General information '!B6</f>
        <v>0</v>
      </c>
      <c r="C49" s="261">
        <f>'[15]General information '!C6</f>
        <v>0</v>
      </c>
      <c r="D49" s="119">
        <f t="shared" si="3"/>
        <v>-18.3</v>
      </c>
      <c r="E49" s="117">
        <v>2</v>
      </c>
      <c r="F49" s="261">
        <f>'[6]General information '!B6</f>
        <v>31</v>
      </c>
      <c r="G49" s="261">
        <f>'[6]General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25</v>
      </c>
      <c r="K49" s="261">
        <f>'General information '!C6</f>
        <v>18</v>
      </c>
      <c r="L49" s="119">
        <f t="shared" ref="L49:L77" si="6">(J49+K49)/2-18.3</f>
        <v>3.1999999999999993</v>
      </c>
      <c r="M49" s="117">
        <v>2</v>
      </c>
      <c r="N49" s="261">
        <f>'[2]General information '!B6</f>
        <v>0</v>
      </c>
      <c r="O49" s="261">
        <f>'[2]General information '!C6</f>
        <v>0</v>
      </c>
      <c r="P49" s="119">
        <f t="shared" ref="P49:P78" si="7">(N49+O49)/2-18.3</f>
        <v>-18.3</v>
      </c>
      <c r="Q49" s="117">
        <v>2</v>
      </c>
      <c r="R49" s="261">
        <f>'General information '!B6</f>
        <v>25</v>
      </c>
      <c r="S49" s="261">
        <f>'General information '!C6</f>
        <v>18</v>
      </c>
      <c r="T49" s="119">
        <f t="shared" ref="T49:T77" si="8">(R49+S49)/2-18.3</f>
        <v>3.1999999999999993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'[15]General information '!B7</f>
        <v>29</v>
      </c>
      <c r="C50" s="261">
        <f>'[15]General information '!C7</f>
        <v>26</v>
      </c>
      <c r="D50" s="119">
        <f t="shared" si="3"/>
        <v>9.1999999999999993</v>
      </c>
      <c r="E50" s="117">
        <v>3</v>
      </c>
      <c r="F50" s="261">
        <f>'[6]General information '!B7</f>
        <v>0</v>
      </c>
      <c r="G50" s="261">
        <f>'[6]General information '!C7</f>
        <v>0</v>
      </c>
      <c r="H50" s="119">
        <f t="shared" si="4"/>
        <v>-18.3</v>
      </c>
      <c r="I50" s="117">
        <v>3</v>
      </c>
      <c r="J50" s="261">
        <f>'General information '!B7</f>
        <v>24</v>
      </c>
      <c r="K50" s="261">
        <f>'General information '!C7</f>
        <v>18</v>
      </c>
      <c r="L50" s="119">
        <f t="shared" si="6"/>
        <v>2.6999999999999993</v>
      </c>
      <c r="M50" s="117">
        <v>3</v>
      </c>
      <c r="N50" s="261">
        <f>'[2]General information '!B7</f>
        <v>0</v>
      </c>
      <c r="O50" s="261">
        <f>'[2]General information '!C7</f>
        <v>0</v>
      </c>
      <c r="P50" s="119">
        <f t="shared" si="7"/>
        <v>-18.3</v>
      </c>
      <c r="Q50" s="117">
        <v>3</v>
      </c>
      <c r="R50" s="261">
        <f>'General information '!B7</f>
        <v>24</v>
      </c>
      <c r="S50" s="261">
        <f>'General information '!C7</f>
        <v>18</v>
      </c>
      <c r="T50" s="119">
        <f t="shared" si="8"/>
        <v>2.6999999999999993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'[15]General information '!B8</f>
        <v>29</v>
      </c>
      <c r="C51" s="261">
        <f>'[15]General information '!C8</f>
        <v>25</v>
      </c>
      <c r="D51" s="119">
        <f t="shared" si="3"/>
        <v>8.6999999999999993</v>
      </c>
      <c r="E51" s="117">
        <v>4</v>
      </c>
      <c r="F51" s="261">
        <f>'[6]General information '!B8</f>
        <v>30</v>
      </c>
      <c r="G51" s="261">
        <f>'[6]General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24</v>
      </c>
      <c r="K51" s="261">
        <f>'General information '!C8</f>
        <v>17</v>
      </c>
      <c r="L51" s="119">
        <f t="shared" si="6"/>
        <v>2.1999999999999993</v>
      </c>
      <c r="M51" s="117">
        <v>4</v>
      </c>
      <c r="N51" s="261">
        <f>'[2]General information '!B8</f>
        <v>28</v>
      </c>
      <c r="O51" s="261">
        <f>'[2]General information '!C8</f>
        <v>25</v>
      </c>
      <c r="P51" s="119">
        <f t="shared" si="7"/>
        <v>8.1999999999999993</v>
      </c>
      <c r="Q51" s="117">
        <v>4</v>
      </c>
      <c r="R51" s="261">
        <f>'General information '!B8</f>
        <v>24</v>
      </c>
      <c r="S51" s="261">
        <f>'General information '!C8</f>
        <v>17</v>
      </c>
      <c r="T51" s="119">
        <f t="shared" si="8"/>
        <v>2.1999999999999993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'[15]General information '!B9</f>
        <v>30</v>
      </c>
      <c r="C52" s="261">
        <f>'[15]General information '!C9</f>
        <v>24</v>
      </c>
      <c r="D52" s="119">
        <f t="shared" si="3"/>
        <v>8.6999999999999993</v>
      </c>
      <c r="E52" s="117">
        <v>5</v>
      </c>
      <c r="F52" s="261">
        <f>'[6]General information '!B9</f>
        <v>0</v>
      </c>
      <c r="G52" s="261">
        <f>'[6]General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25</v>
      </c>
      <c r="K52" s="261">
        <f>'General information '!C9</f>
        <v>18</v>
      </c>
      <c r="L52" s="119">
        <f t="shared" si="6"/>
        <v>3.1999999999999993</v>
      </c>
      <c r="M52" s="117">
        <v>5</v>
      </c>
      <c r="N52" s="261">
        <f>'[2]General information '!B9</f>
        <v>28</v>
      </c>
      <c r="O52" s="261">
        <f>'[2]General information '!C9</f>
        <v>25</v>
      </c>
      <c r="P52" s="119">
        <f t="shared" si="7"/>
        <v>8.1999999999999993</v>
      </c>
      <c r="Q52" s="117">
        <v>5</v>
      </c>
      <c r="R52" s="261">
        <f>'General information '!B9</f>
        <v>25</v>
      </c>
      <c r="S52" s="261">
        <f>'General information '!C9</f>
        <v>18</v>
      </c>
      <c r="T52" s="119">
        <f t="shared" si="8"/>
        <v>3.1999999999999993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'[15]General information '!B10</f>
        <v>30</v>
      </c>
      <c r="C53" s="261">
        <f>'[15]General information '!C10</f>
        <v>24</v>
      </c>
      <c r="D53" s="119">
        <f t="shared" si="3"/>
        <v>8.6999999999999993</v>
      </c>
      <c r="E53" s="117">
        <v>6</v>
      </c>
      <c r="F53" s="261">
        <f>'[6]General information '!B10</f>
        <v>0</v>
      </c>
      <c r="G53" s="261">
        <f>'[6]General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0</v>
      </c>
      <c r="K53" s="261">
        <f>'General information '!C10</f>
        <v>0</v>
      </c>
      <c r="L53" s="119">
        <f t="shared" si="6"/>
        <v>-18.3</v>
      </c>
      <c r="M53" s="117">
        <v>6</v>
      </c>
      <c r="N53" s="261">
        <f>'[2]General information '!B10</f>
        <v>27</v>
      </c>
      <c r="O53" s="261">
        <f>'[2]General information '!C10</f>
        <v>22</v>
      </c>
      <c r="P53" s="119">
        <f t="shared" si="7"/>
        <v>6.1999999999999993</v>
      </c>
      <c r="Q53" s="117">
        <v>6</v>
      </c>
      <c r="R53" s="261">
        <f>'General information '!B10</f>
        <v>0</v>
      </c>
      <c r="S53" s="261">
        <f>'General information '!C10</f>
        <v>0</v>
      </c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'[15]General information '!B11</f>
        <v>0</v>
      </c>
      <c r="C54" s="261">
        <f>'[15]General information '!C11</f>
        <v>0</v>
      </c>
      <c r="D54" s="119">
        <f t="shared" si="3"/>
        <v>-18.3</v>
      </c>
      <c r="E54" s="117">
        <v>7</v>
      </c>
      <c r="F54" s="261">
        <f>'[6]General information '!B11</f>
        <v>0</v>
      </c>
      <c r="G54" s="261">
        <f>'[6]General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20</v>
      </c>
      <c r="K54" s="261">
        <f>'General information '!C11</f>
        <v>16</v>
      </c>
      <c r="L54" s="119">
        <f t="shared" si="6"/>
        <v>-0.30000000000000071</v>
      </c>
      <c r="M54" s="117">
        <v>7</v>
      </c>
      <c r="N54" s="261">
        <f>'[2]General information '!B11</f>
        <v>27</v>
      </c>
      <c r="O54" s="261">
        <f>'[2]General information '!C11</f>
        <v>23</v>
      </c>
      <c r="P54" s="119">
        <f t="shared" si="7"/>
        <v>6.6999999999999993</v>
      </c>
      <c r="Q54" s="117">
        <v>7</v>
      </c>
      <c r="R54" s="261">
        <f>'General information '!B11</f>
        <v>20</v>
      </c>
      <c r="S54" s="261">
        <f>'General information '!C11</f>
        <v>16</v>
      </c>
      <c r="T54" s="119">
        <f t="shared" si="8"/>
        <v>-0.30000000000000071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'[15]General information '!B12</f>
        <v>0</v>
      </c>
      <c r="C55" s="261">
        <f>'[15]General information '!C12</f>
        <v>0</v>
      </c>
      <c r="D55" s="119">
        <f t="shared" si="3"/>
        <v>-18.3</v>
      </c>
      <c r="E55" s="117">
        <v>8</v>
      </c>
      <c r="F55" s="261">
        <f>'[6]General information '!B12</f>
        <v>30</v>
      </c>
      <c r="G55" s="261">
        <f>'[6]General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21</v>
      </c>
      <c r="K55" s="261">
        <f>'General information '!C12</f>
        <v>16</v>
      </c>
      <c r="L55" s="119">
        <f t="shared" si="6"/>
        <v>0.19999999999999929</v>
      </c>
      <c r="M55" s="117">
        <v>8</v>
      </c>
      <c r="N55" s="261">
        <f>'[2]General information '!B12</f>
        <v>0</v>
      </c>
      <c r="O55" s="261">
        <f>'[2]General information '!C12</f>
        <v>0</v>
      </c>
      <c r="P55" s="119">
        <f t="shared" si="7"/>
        <v>-18.3</v>
      </c>
      <c r="Q55" s="117">
        <v>8</v>
      </c>
      <c r="R55" s="261">
        <f>'General information '!B12</f>
        <v>21</v>
      </c>
      <c r="S55" s="261">
        <f>'General information '!C12</f>
        <v>16</v>
      </c>
      <c r="T55" s="119">
        <f t="shared" si="8"/>
        <v>0.19999999999999929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'[15]General information '!B13</f>
        <v>0</v>
      </c>
      <c r="C56" s="261">
        <f>'[15]General information '!C13</f>
        <v>0</v>
      </c>
      <c r="D56" s="119">
        <f t="shared" si="3"/>
        <v>-18.3</v>
      </c>
      <c r="E56" s="117">
        <v>9</v>
      </c>
      <c r="F56" s="261">
        <f>'[6]General information '!B13</f>
        <v>30</v>
      </c>
      <c r="G56" s="261">
        <f>'[6]General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22</v>
      </c>
      <c r="K56" s="261">
        <f>'General information '!C13</f>
        <v>18</v>
      </c>
      <c r="L56" s="119">
        <f t="shared" si="6"/>
        <v>1.6999999999999993</v>
      </c>
      <c r="M56" s="117">
        <v>9</v>
      </c>
      <c r="N56" s="261">
        <f>'[2]General information '!B13</f>
        <v>0</v>
      </c>
      <c r="O56" s="261">
        <f>'[2]General information '!C13</f>
        <v>0</v>
      </c>
      <c r="P56" s="119">
        <f t="shared" si="7"/>
        <v>-18.3</v>
      </c>
      <c r="Q56" s="117">
        <v>9</v>
      </c>
      <c r="R56" s="261">
        <f>'General information '!B13</f>
        <v>22</v>
      </c>
      <c r="S56" s="261">
        <f>'General information '!C13</f>
        <v>18</v>
      </c>
      <c r="T56" s="119">
        <f t="shared" si="8"/>
        <v>1.6999999999999993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'[15]General information '!B14</f>
        <v>0</v>
      </c>
      <c r="C57" s="261">
        <f>'[15]General information '!C14</f>
        <v>0</v>
      </c>
      <c r="D57" s="119">
        <f t="shared" ref="D57:D78" si="9">(B57+C57)/2-18.3</f>
        <v>-18.3</v>
      </c>
      <c r="E57" s="117">
        <v>10</v>
      </c>
      <c r="F57" s="261">
        <f>'[6]General information '!B14</f>
        <v>0</v>
      </c>
      <c r="G57" s="261">
        <f>'[6]General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24</v>
      </c>
      <c r="K57" s="261">
        <f>'General information '!C14</f>
        <v>23</v>
      </c>
      <c r="L57" s="119">
        <f t="shared" si="6"/>
        <v>5.1999999999999993</v>
      </c>
      <c r="M57" s="117">
        <v>10</v>
      </c>
      <c r="N57" s="261">
        <f>'[2]General information '!B14</f>
        <v>0</v>
      </c>
      <c r="O57" s="261">
        <f>'[2]General information '!C14</f>
        <v>0</v>
      </c>
      <c r="P57" s="119">
        <f t="shared" si="7"/>
        <v>-18.3</v>
      </c>
      <c r="Q57" s="117">
        <v>10</v>
      </c>
      <c r="R57" s="261">
        <f>'General information '!B14</f>
        <v>24</v>
      </c>
      <c r="S57" s="261">
        <f>'General information '!C14</f>
        <v>23</v>
      </c>
      <c r="T57" s="119">
        <f t="shared" si="8"/>
        <v>5.1999999999999993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'[15]General information '!B15</f>
        <v>30</v>
      </c>
      <c r="C58" s="261">
        <f>'[15]General information '!C15</f>
        <v>25</v>
      </c>
      <c r="D58" s="119">
        <f t="shared" si="9"/>
        <v>9.1999999999999993</v>
      </c>
      <c r="E58" s="117">
        <v>11</v>
      </c>
      <c r="F58" s="261">
        <f>'[6]General information '!B15</f>
        <v>0</v>
      </c>
      <c r="G58" s="261">
        <f>'[6]General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>
        <f>'[2]General information '!B15</f>
        <v>28</v>
      </c>
      <c r="O58" s="261">
        <f>'[2]General information '!C15</f>
        <v>22</v>
      </c>
      <c r="P58" s="119">
        <f t="shared" si="7"/>
        <v>6.6999999999999993</v>
      </c>
      <c r="Q58" s="117">
        <v>11</v>
      </c>
      <c r="R58" s="261">
        <f>'General information '!B15</f>
        <v>0</v>
      </c>
      <c r="S58" s="261">
        <f>'General information '!C15</f>
        <v>0</v>
      </c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'[15]General information '!B16</f>
        <v>31</v>
      </c>
      <c r="C59" s="261">
        <f>'[15]General information '!C16</f>
        <v>24</v>
      </c>
      <c r="D59" s="119">
        <f t="shared" si="9"/>
        <v>9.1999999999999993</v>
      </c>
      <c r="E59" s="117">
        <v>12</v>
      </c>
      <c r="F59" s="261">
        <f>'[6]General information '!B16</f>
        <v>0</v>
      </c>
      <c r="G59" s="261">
        <f>'[6]General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>
        <f>'[2]General information '!B16</f>
        <v>27</v>
      </c>
      <c r="O59" s="261">
        <f>'[2]General information '!C16</f>
        <v>22</v>
      </c>
      <c r="P59" s="119">
        <f t="shared" si="7"/>
        <v>6.1999999999999993</v>
      </c>
      <c r="Q59" s="117">
        <v>12</v>
      </c>
      <c r="R59" s="261">
        <f>'General information '!B16</f>
        <v>0</v>
      </c>
      <c r="S59" s="261">
        <f>'General information '!C16</f>
        <v>0</v>
      </c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'[15]General information '!B17</f>
        <v>30</v>
      </c>
      <c r="C60" s="261">
        <f>'[15]General information '!C17</f>
        <v>23</v>
      </c>
      <c r="D60" s="119">
        <f t="shared" si="9"/>
        <v>8.1999999999999993</v>
      </c>
      <c r="E60" s="117">
        <v>13</v>
      </c>
      <c r="F60" s="261">
        <f>'[6]General information '!B17</f>
        <v>0</v>
      </c>
      <c r="G60" s="261">
        <f>'[6]General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27</v>
      </c>
      <c r="K60" s="261">
        <f>'General information '!C17</f>
        <v>21</v>
      </c>
      <c r="L60" s="119">
        <f t="shared" si="6"/>
        <v>5.6999999999999993</v>
      </c>
      <c r="M60" s="117">
        <v>13</v>
      </c>
      <c r="N60" s="261">
        <f>'[2]General information '!B17</f>
        <v>0</v>
      </c>
      <c r="O60" s="261">
        <f>'[2]General information '!C17</f>
        <v>0</v>
      </c>
      <c r="P60" s="119">
        <f t="shared" si="7"/>
        <v>-18.3</v>
      </c>
      <c r="Q60" s="117">
        <v>13</v>
      </c>
      <c r="R60" s="261">
        <f>'General information '!B17</f>
        <v>27</v>
      </c>
      <c r="S60" s="261">
        <f>'General information '!C17</f>
        <v>21</v>
      </c>
      <c r="T60" s="119">
        <f t="shared" si="8"/>
        <v>5.6999999999999993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'[15]General information '!B18</f>
        <v>27</v>
      </c>
      <c r="C61" s="261">
        <f>'[15]General information '!C18</f>
        <v>26</v>
      </c>
      <c r="D61" s="119">
        <f t="shared" si="9"/>
        <v>8.1999999999999993</v>
      </c>
      <c r="E61" s="117">
        <v>14</v>
      </c>
      <c r="F61" s="261">
        <f>'[6]General information '!B18</f>
        <v>0</v>
      </c>
      <c r="G61" s="261">
        <f>'[6]General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25</v>
      </c>
      <c r="K61" s="261">
        <f>'General information '!C18</f>
        <v>20</v>
      </c>
      <c r="L61" s="119">
        <f t="shared" si="6"/>
        <v>4.1999999999999993</v>
      </c>
      <c r="M61" s="117">
        <v>14</v>
      </c>
      <c r="N61" s="261">
        <f>'[2]General information '!B18</f>
        <v>0</v>
      </c>
      <c r="O61" s="261">
        <f>'[2]General information '!C18</f>
        <v>0</v>
      </c>
      <c r="P61" s="119">
        <f t="shared" si="7"/>
        <v>-18.3</v>
      </c>
      <c r="Q61" s="117">
        <v>14</v>
      </c>
      <c r="R61" s="261">
        <f>'General information '!B18</f>
        <v>25</v>
      </c>
      <c r="S61" s="261">
        <f>'General information '!C18</f>
        <v>20</v>
      </c>
      <c r="T61" s="119">
        <f t="shared" si="8"/>
        <v>4.1999999999999993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'[15]General information '!B19</f>
        <v>0</v>
      </c>
      <c r="C62" s="261">
        <f>'[15]General information '!C19</f>
        <v>0</v>
      </c>
      <c r="D62" s="119">
        <f t="shared" si="9"/>
        <v>-18.3</v>
      </c>
      <c r="E62" s="117">
        <v>15</v>
      </c>
      <c r="F62" s="261">
        <f>'[6]General information '!B19</f>
        <v>0</v>
      </c>
      <c r="G62" s="261">
        <f>'[6]General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22</v>
      </c>
      <c r="K62" s="261">
        <f>'General information '!C19</f>
        <v>21</v>
      </c>
      <c r="L62" s="119">
        <f t="shared" si="6"/>
        <v>3.1999999999999993</v>
      </c>
      <c r="M62" s="117">
        <v>15</v>
      </c>
      <c r="N62" s="261">
        <f>'[2]General information '!B19</f>
        <v>0</v>
      </c>
      <c r="O62" s="261">
        <f>'[2]General information '!C19</f>
        <v>0</v>
      </c>
      <c r="P62" s="119">
        <f t="shared" si="7"/>
        <v>-18.3</v>
      </c>
      <c r="Q62" s="117">
        <v>15</v>
      </c>
      <c r="R62" s="261">
        <f>'General information '!B19</f>
        <v>22</v>
      </c>
      <c r="S62" s="261">
        <f>'General information '!C19</f>
        <v>21</v>
      </c>
      <c r="T62" s="119">
        <f t="shared" si="8"/>
        <v>3.1999999999999993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'[15]General information '!B20</f>
        <v>0</v>
      </c>
      <c r="C63" s="261">
        <f>'[15]General information '!C20</f>
        <v>0</v>
      </c>
      <c r="D63" s="119">
        <f t="shared" si="9"/>
        <v>-18.3</v>
      </c>
      <c r="E63" s="117">
        <v>16</v>
      </c>
      <c r="F63" s="261">
        <f>'[6]General information '!B20</f>
        <v>30</v>
      </c>
      <c r="G63" s="261">
        <f>'[6]General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23</v>
      </c>
      <c r="K63" s="261">
        <f>'General information '!C20</f>
        <v>16</v>
      </c>
      <c r="L63" s="119">
        <f t="shared" si="6"/>
        <v>1.1999999999999993</v>
      </c>
      <c r="M63" s="117">
        <v>16</v>
      </c>
      <c r="N63" s="261">
        <f>'[2]General information '!B20</f>
        <v>0</v>
      </c>
      <c r="O63" s="261">
        <f>'[2]General information '!C20</f>
        <v>0</v>
      </c>
      <c r="P63" s="119">
        <f t="shared" si="7"/>
        <v>-18.3</v>
      </c>
      <c r="Q63" s="117">
        <v>16</v>
      </c>
      <c r="R63" s="261">
        <f>'General information '!B20</f>
        <v>23</v>
      </c>
      <c r="S63" s="261">
        <f>'General information '!C20</f>
        <v>16</v>
      </c>
      <c r="T63" s="119">
        <f t="shared" si="8"/>
        <v>1.1999999999999993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'[15]General information '!B21</f>
        <v>28</v>
      </c>
      <c r="C64" s="261">
        <f>'[15]General information '!C21</f>
        <v>26</v>
      </c>
      <c r="D64" s="119">
        <f t="shared" si="9"/>
        <v>8.6999999999999993</v>
      </c>
      <c r="E64" s="117">
        <v>17</v>
      </c>
      <c r="F64" s="261">
        <f>'[6]General information '!B21</f>
        <v>31</v>
      </c>
      <c r="G64" s="261">
        <f>'[6]General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23</v>
      </c>
      <c r="K64" s="261">
        <f>'General information '!C21</f>
        <v>18</v>
      </c>
      <c r="L64" s="119">
        <f t="shared" si="6"/>
        <v>2.1999999999999993</v>
      </c>
      <c r="M64" s="117">
        <v>17</v>
      </c>
      <c r="N64" s="261">
        <f>'[2]General information '!B21</f>
        <v>26</v>
      </c>
      <c r="O64" s="261">
        <f>'[2]General information '!C21</f>
        <v>21</v>
      </c>
      <c r="P64" s="119">
        <f t="shared" si="7"/>
        <v>5.1999999999999993</v>
      </c>
      <c r="Q64" s="117">
        <v>17</v>
      </c>
      <c r="R64" s="261">
        <f>'General information '!B21</f>
        <v>23</v>
      </c>
      <c r="S64" s="261">
        <f>'General information '!C21</f>
        <v>18</v>
      </c>
      <c r="T64" s="119">
        <f t="shared" si="8"/>
        <v>2.1999999999999993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'[15]General information '!B22</f>
        <v>30</v>
      </c>
      <c r="C65" s="261">
        <f>'[15]General information '!C22</f>
        <v>25</v>
      </c>
      <c r="D65" s="119">
        <f t="shared" si="9"/>
        <v>9.1999999999999993</v>
      </c>
      <c r="E65" s="117">
        <v>18</v>
      </c>
      <c r="F65" s="261">
        <f>'[6]General information '!B22</f>
        <v>30</v>
      </c>
      <c r="G65" s="261">
        <f>'[6]General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21</v>
      </c>
      <c r="K65" s="261">
        <f>'General information '!C22</f>
        <v>15</v>
      </c>
      <c r="L65" s="119">
        <f t="shared" si="6"/>
        <v>-0.30000000000000071</v>
      </c>
      <c r="M65" s="117">
        <v>18</v>
      </c>
      <c r="N65" s="261">
        <f>'[2]General information '!B22</f>
        <v>27</v>
      </c>
      <c r="O65" s="261">
        <f>'[2]General information '!C22</f>
        <v>21</v>
      </c>
      <c r="P65" s="119">
        <f t="shared" si="7"/>
        <v>5.6999999999999993</v>
      </c>
      <c r="Q65" s="117">
        <v>18</v>
      </c>
      <c r="R65" s="261">
        <f>'General information '!B22</f>
        <v>21</v>
      </c>
      <c r="S65" s="261">
        <f>'General information '!C22</f>
        <v>15</v>
      </c>
      <c r="T65" s="119">
        <f t="shared" si="8"/>
        <v>-0.30000000000000071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'[15]General information '!B23</f>
        <v>0</v>
      </c>
      <c r="C66" s="261">
        <f>'[15]General information '!C23</f>
        <v>0</v>
      </c>
      <c r="D66" s="119">
        <f t="shared" si="9"/>
        <v>-18.3</v>
      </c>
      <c r="E66" s="117">
        <v>19</v>
      </c>
      <c r="F66" s="261">
        <f>'[6]General information '!B23</f>
        <v>30</v>
      </c>
      <c r="G66" s="261">
        <f>'[6]General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>
        <f>'[2]General information '!B23</f>
        <v>26</v>
      </c>
      <c r="O66" s="261">
        <f>'[2]General information '!C23</f>
        <v>21</v>
      </c>
      <c r="P66" s="119">
        <f t="shared" si="7"/>
        <v>5.1999999999999993</v>
      </c>
      <c r="Q66" s="117">
        <v>19</v>
      </c>
      <c r="R66" s="261">
        <f>'General information '!B23</f>
        <v>0</v>
      </c>
      <c r="S66" s="261">
        <f>'General information '!C23</f>
        <v>0</v>
      </c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'[15]General information '!B24</f>
        <v>0</v>
      </c>
      <c r="C67" s="261">
        <f>'[15]General information '!C24</f>
        <v>0</v>
      </c>
      <c r="D67" s="119">
        <f t="shared" si="9"/>
        <v>-18.3</v>
      </c>
      <c r="E67" s="117">
        <v>20</v>
      </c>
      <c r="F67" s="261">
        <f>'[6]General information '!B24</f>
        <v>29</v>
      </c>
      <c r="G67" s="261">
        <f>'[6]General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>
        <f>'[2]General information '!B24</f>
        <v>26</v>
      </c>
      <c r="O67" s="261">
        <f>'[2]General information '!C24</f>
        <v>21</v>
      </c>
      <c r="P67" s="119">
        <f t="shared" si="7"/>
        <v>5.1999999999999993</v>
      </c>
      <c r="Q67" s="117">
        <v>20</v>
      </c>
      <c r="R67" s="261">
        <f>'General information '!B24</f>
        <v>0</v>
      </c>
      <c r="S67" s="261">
        <f>'General information '!C24</f>
        <v>0</v>
      </c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'[15]General information '!B25</f>
        <v>0</v>
      </c>
      <c r="C68" s="261">
        <f>'[15]General information '!C25</f>
        <v>0</v>
      </c>
      <c r="D68" s="119">
        <f t="shared" si="9"/>
        <v>-18.3</v>
      </c>
      <c r="E68" s="117">
        <v>21</v>
      </c>
      <c r="F68" s="261">
        <f>'[6]General information '!B25</f>
        <v>30</v>
      </c>
      <c r="G68" s="261">
        <f>'[6]General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>
        <f>'[2]General information '!B25</f>
        <v>0</v>
      </c>
      <c r="O68" s="261">
        <f>'[2]General information '!C25</f>
        <v>0</v>
      </c>
      <c r="P68" s="119">
        <f t="shared" si="7"/>
        <v>-18.3</v>
      </c>
      <c r="Q68" s="117">
        <v>21</v>
      </c>
      <c r="R68" s="261">
        <f>'General information '!B25</f>
        <v>0</v>
      </c>
      <c r="S68" s="261">
        <f>'General information '!C25</f>
        <v>0</v>
      </c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'[15]General information '!B26</f>
        <v>0</v>
      </c>
      <c r="C69" s="261">
        <f>'[15]General information '!C26</f>
        <v>0</v>
      </c>
      <c r="D69" s="119">
        <f t="shared" si="9"/>
        <v>-18.3</v>
      </c>
      <c r="E69" s="117">
        <v>22</v>
      </c>
      <c r="F69" s="261">
        <f>'[6]General information '!B26</f>
        <v>30</v>
      </c>
      <c r="G69" s="261">
        <f>'[6]General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>
        <f>'[2]General information '!B26</f>
        <v>0</v>
      </c>
      <c r="O69" s="261">
        <f>'[2]General information '!C26</f>
        <v>0</v>
      </c>
      <c r="P69" s="119">
        <f t="shared" si="7"/>
        <v>-18.3</v>
      </c>
      <c r="Q69" s="117">
        <v>22</v>
      </c>
      <c r="R69" s="261">
        <f>'General information '!B26</f>
        <v>0</v>
      </c>
      <c r="S69" s="261">
        <f>'General information '!C26</f>
        <v>0</v>
      </c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'[15]General information '!B27</f>
        <v>0</v>
      </c>
      <c r="C70" s="261">
        <f>'[15]General information '!C27</f>
        <v>0</v>
      </c>
      <c r="D70" s="119">
        <f t="shared" si="9"/>
        <v>-18.3</v>
      </c>
      <c r="E70" s="117">
        <v>23</v>
      </c>
      <c r="F70" s="261">
        <f>'[6]General information '!B27</f>
        <v>29</v>
      </c>
      <c r="G70" s="261">
        <f>'[6]General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>
        <f>'[2]General information '!B27</f>
        <v>26</v>
      </c>
      <c r="O70" s="261">
        <f>'[2]General information '!C27</f>
        <v>22</v>
      </c>
      <c r="P70" s="119">
        <f t="shared" si="7"/>
        <v>5.6999999999999993</v>
      </c>
      <c r="Q70" s="117">
        <v>23</v>
      </c>
      <c r="R70" s="261">
        <f>'General information '!B27</f>
        <v>0</v>
      </c>
      <c r="S70" s="261">
        <f>'General information '!C27</f>
        <v>0</v>
      </c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'[15]General information '!B28</f>
        <v>31</v>
      </c>
      <c r="C71" s="261">
        <f>'[15]General information '!C28</f>
        <v>26</v>
      </c>
      <c r="D71" s="119">
        <f t="shared" si="9"/>
        <v>10.199999999999999</v>
      </c>
      <c r="E71" s="117">
        <v>24</v>
      </c>
      <c r="F71" s="261">
        <f>'[6]General information '!B28</f>
        <v>29</v>
      </c>
      <c r="G71" s="261">
        <f>'[6]General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>
        <f>'[2]General information '!B28</f>
        <v>28</v>
      </c>
      <c r="O71" s="261">
        <f>'[2]General information '!C28</f>
        <v>21</v>
      </c>
      <c r="P71" s="119">
        <f t="shared" si="7"/>
        <v>6.1999999999999993</v>
      </c>
      <c r="Q71" s="117">
        <v>24</v>
      </c>
      <c r="R71" s="261">
        <f>'General information '!B28</f>
        <v>0</v>
      </c>
      <c r="S71" s="261">
        <f>'General information '!C28</f>
        <v>0</v>
      </c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'[15]General information '!B29</f>
        <v>31</v>
      </c>
      <c r="C72" s="261">
        <f>'[15]General information '!C29</f>
        <v>26</v>
      </c>
      <c r="D72" s="119">
        <f t="shared" si="9"/>
        <v>10.199999999999999</v>
      </c>
      <c r="E72" s="117">
        <v>25</v>
      </c>
      <c r="F72" s="261">
        <f>'[6]General information '!B29</f>
        <v>31</v>
      </c>
      <c r="G72" s="261">
        <f>'[6]General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>
        <f>'[2]General information '!B29</f>
        <v>27</v>
      </c>
      <c r="O72" s="261">
        <f>'[2]General information '!C29</f>
        <v>22</v>
      </c>
      <c r="P72" s="119">
        <f t="shared" si="7"/>
        <v>6.1999999999999993</v>
      </c>
      <c r="Q72" s="117">
        <v>25</v>
      </c>
      <c r="R72" s="261">
        <f>'General information '!B29</f>
        <v>0</v>
      </c>
      <c r="S72" s="261">
        <f>'General information '!C29</f>
        <v>0</v>
      </c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'[15]General information '!B30</f>
        <v>31</v>
      </c>
      <c r="C73" s="261">
        <f>'[15]General information '!C30</f>
        <v>27</v>
      </c>
      <c r="D73" s="119">
        <f t="shared" si="9"/>
        <v>10.7</v>
      </c>
      <c r="E73" s="117">
        <v>26</v>
      </c>
      <c r="F73" s="261">
        <f>'[6]General information '!B30</f>
        <v>31</v>
      </c>
      <c r="G73" s="261">
        <f>'[6]General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>
        <f>'[2]General information '!B30</f>
        <v>27</v>
      </c>
      <c r="O73" s="261">
        <f>'[2]General information '!C30</f>
        <v>22</v>
      </c>
      <c r="P73" s="119">
        <f t="shared" si="7"/>
        <v>6.1999999999999993</v>
      </c>
      <c r="Q73" s="117">
        <v>26</v>
      </c>
      <c r="R73" s="261">
        <f>'General information '!B30</f>
        <v>0</v>
      </c>
      <c r="S73" s="261">
        <f>'General information '!C30</f>
        <v>0</v>
      </c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'[15]General information '!B31</f>
        <v>30</v>
      </c>
      <c r="C74" s="261">
        <f>'[15]General information '!C31</f>
        <v>26</v>
      </c>
      <c r="D74" s="119">
        <f t="shared" si="9"/>
        <v>9.6999999999999993</v>
      </c>
      <c r="E74" s="117">
        <v>27</v>
      </c>
      <c r="F74" s="261">
        <f>'[6]General information '!B31</f>
        <v>0</v>
      </c>
      <c r="G74" s="261">
        <f>'[6]General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21</v>
      </c>
      <c r="K74" s="261">
        <f>'General information '!C31</f>
        <v>15</v>
      </c>
      <c r="L74" s="119">
        <f t="shared" si="6"/>
        <v>-0.30000000000000071</v>
      </c>
      <c r="M74" s="117">
        <v>27</v>
      </c>
      <c r="N74" s="261">
        <f>'[2]General information '!B31</f>
        <v>27</v>
      </c>
      <c r="O74" s="261">
        <f>'[2]General information '!C31</f>
        <v>21</v>
      </c>
      <c r="P74" s="119">
        <f t="shared" si="7"/>
        <v>5.6999999999999993</v>
      </c>
      <c r="Q74" s="117">
        <v>27</v>
      </c>
      <c r="R74" s="261">
        <f>'General information '!B31</f>
        <v>21</v>
      </c>
      <c r="S74" s="261">
        <f>'General information '!C31</f>
        <v>15</v>
      </c>
      <c r="T74" s="119">
        <f t="shared" si="8"/>
        <v>-0.30000000000000071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'[15]General information '!B32</f>
        <v>31</v>
      </c>
      <c r="C75" s="261">
        <f>'[15]General information '!C32</f>
        <v>27</v>
      </c>
      <c r="D75" s="119">
        <f t="shared" si="9"/>
        <v>10.7</v>
      </c>
      <c r="E75" s="117">
        <v>28</v>
      </c>
      <c r="F75" s="261">
        <f>'[6]General information '!B32</f>
        <v>32</v>
      </c>
      <c r="G75" s="261">
        <f>'[6]General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23</v>
      </c>
      <c r="K75" s="261">
        <f>'General information '!C32</f>
        <v>18</v>
      </c>
      <c r="L75" s="119">
        <f t="shared" si="6"/>
        <v>2.1999999999999993</v>
      </c>
      <c r="M75" s="117">
        <v>28</v>
      </c>
      <c r="N75" s="261">
        <f>'[2]General information '!B32</f>
        <v>0</v>
      </c>
      <c r="O75" s="261">
        <f>'[2]General information '!C32</f>
        <v>0</v>
      </c>
      <c r="P75" s="119">
        <f t="shared" si="7"/>
        <v>-18.3</v>
      </c>
      <c r="Q75" s="117">
        <v>28</v>
      </c>
      <c r="R75" s="261">
        <f>'General information '!B32</f>
        <v>23</v>
      </c>
      <c r="S75" s="261">
        <f>'General information '!C32</f>
        <v>18</v>
      </c>
      <c r="T75" s="119">
        <f t="shared" si="8"/>
        <v>2.1999999999999993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'[15]General information '!B33</f>
        <v>0</v>
      </c>
      <c r="C76" s="261">
        <f>'[15]General information '!C33</f>
        <v>0</v>
      </c>
      <c r="D76" s="119">
        <f t="shared" si="9"/>
        <v>-18.3</v>
      </c>
      <c r="E76" s="117">
        <v>29</v>
      </c>
      <c r="F76" s="261">
        <f>'[6]General information '!B33</f>
        <v>32</v>
      </c>
      <c r="G76" s="261">
        <f>'[6]General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24</v>
      </c>
      <c r="K76" s="261">
        <f>'General information '!C33</f>
        <v>16</v>
      </c>
      <c r="L76" s="119">
        <f t="shared" si="6"/>
        <v>1.6999999999999993</v>
      </c>
      <c r="M76" s="117">
        <v>29</v>
      </c>
      <c r="N76" s="261">
        <f>'[2]General information '!B33</f>
        <v>0</v>
      </c>
      <c r="O76" s="261">
        <f>'[2]General information '!C33</f>
        <v>0</v>
      </c>
      <c r="P76" s="119">
        <f t="shared" si="7"/>
        <v>-18.3</v>
      </c>
      <c r="Q76" s="117">
        <v>29</v>
      </c>
      <c r="R76" s="261">
        <f>'General information '!B33</f>
        <v>24</v>
      </c>
      <c r="S76" s="261">
        <f>'General information '!C33</f>
        <v>16</v>
      </c>
      <c r="T76" s="119">
        <f t="shared" si="8"/>
        <v>1.6999999999999993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'[15]General information '!B34</f>
        <v>0</v>
      </c>
      <c r="C77" s="261">
        <f>'[15]General information '!C34</f>
        <v>0</v>
      </c>
      <c r="D77" s="119">
        <f t="shared" si="9"/>
        <v>-18.3</v>
      </c>
      <c r="E77" s="117">
        <v>30</v>
      </c>
      <c r="F77" s="261">
        <f>'[6]General information '!B34</f>
        <v>31</v>
      </c>
      <c r="G77" s="261">
        <f>'[6]General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22</v>
      </c>
      <c r="K77" s="261">
        <f>'General information '!C34</f>
        <v>17</v>
      </c>
      <c r="L77" s="119">
        <f t="shared" si="6"/>
        <v>1.1999999999999993</v>
      </c>
      <c r="M77" s="117">
        <v>30</v>
      </c>
      <c r="N77" s="261">
        <f>'[2]General information '!B34</f>
        <v>26</v>
      </c>
      <c r="O77" s="261">
        <f>'[2]General information '!C34</f>
        <v>21</v>
      </c>
      <c r="P77" s="119">
        <f t="shared" si="7"/>
        <v>5.1999999999999993</v>
      </c>
      <c r="Q77" s="117">
        <v>30</v>
      </c>
      <c r="R77" s="261">
        <f>'General information '!B34</f>
        <v>22</v>
      </c>
      <c r="S77" s="261">
        <f>'General information '!C34</f>
        <v>17</v>
      </c>
      <c r="T77" s="119">
        <f t="shared" si="8"/>
        <v>1.1999999999999993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'[15]General information '!B35</f>
        <v>31</v>
      </c>
      <c r="C78" s="261">
        <f>'[15]General information '!C35</f>
        <v>26</v>
      </c>
      <c r="D78" s="119">
        <f t="shared" si="9"/>
        <v>10.199999999999999</v>
      </c>
      <c r="E78" s="120">
        <v>31</v>
      </c>
      <c r="F78" s="261">
        <f>'[6]General information '!B35</f>
        <v>31</v>
      </c>
      <c r="G78" s="261">
        <f>'[6]General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>
        <f>'[2]General information '!B35</f>
        <v>26</v>
      </c>
      <c r="O78" s="261">
        <f>'[2]General information '!C35</f>
        <v>23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-202.20000000000005</v>
      </c>
      <c r="K81" s="119">
        <f>SUMIF(L48:L78,"&gt;0")</f>
        <v>43.7</v>
      </c>
      <c r="L81" s="130"/>
      <c r="M81" s="129"/>
      <c r="N81" s="119">
        <f>SUMIF(P48:P78,"&lt;0")</f>
        <v>-237.90000000000006</v>
      </c>
      <c r="O81" s="119">
        <f>SUMIF(P48:P78,"&gt;0")</f>
        <v>113.10000000000004</v>
      </c>
      <c r="P81" s="130"/>
      <c r="Q81" s="129"/>
      <c r="R81" s="119">
        <f>SUMIF(T48:T78,"&lt;0")</f>
        <v>-202.20000000000005</v>
      </c>
      <c r="S81" s="119">
        <f>SUMIF(T48:T78,"&gt;0")</f>
        <v>43.7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-2572.9000000000005</v>
      </c>
      <c r="O86" s="142">
        <f>C43+G43+K43+O43+S43+W43+C81+G81+K81+O81+S81+W81</f>
        <v>736.80000000000007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K20" sqref="K20:K21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214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44887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0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6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0">
        <v>0</v>
      </c>
      <c r="J6" s="265"/>
    </row>
    <row r="7" spans="1:11">
      <c r="A7" s="184" t="s">
        <v>216</v>
      </c>
      <c r="B7" s="334">
        <f>WATER!H37</f>
        <v>829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6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5">
        <f>tanks!AT37</f>
        <v>21826</v>
      </c>
      <c r="C8" s="464">
        <f>SUM(tanks!AU37)</f>
        <v>0.497</v>
      </c>
      <c r="D8" s="191">
        <f>SUM(B8*C8)*D4</f>
        <v>16352639.415000001</v>
      </c>
      <c r="E8" s="192">
        <f>SUM(D8/D4/F4)</f>
        <v>361.58406666666667</v>
      </c>
      <c r="F8" s="192">
        <f>SUM(E8*F4)</f>
        <v>10847.522000000001</v>
      </c>
      <c r="G8" s="563">
        <f>E8*$G$4</f>
        <v>10847.522000000001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6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1918</v>
      </c>
      <c r="C10" s="181"/>
      <c r="D10" s="183">
        <f>'EDl log'!AB30</f>
        <v>7486797</v>
      </c>
      <c r="E10" s="182">
        <f>SUM(D10/D4/F4)</f>
        <v>165.54553897180764</v>
      </c>
      <c r="F10" s="182">
        <f>SUM(E10*F4)</f>
        <v>4966.3661691542293</v>
      </c>
      <c r="G10" s="476">
        <f>E10*$G$4</f>
        <v>4966.3661691542293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09">
        <f>SUM(E6:E11)</f>
        <v>800.46293897180772</v>
      </c>
      <c r="F12" s="180">
        <f>SUM(F6:F10)</f>
        <v>24013.88816915423</v>
      </c>
      <c r="G12" s="179">
        <f>SUM(G6:G10)</f>
        <v>24013.88816915423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1" t="s">
        <v>380</v>
      </c>
      <c r="D13" s="401" t="s">
        <v>384</v>
      </c>
      <c r="E13" s="401" t="s">
        <v>381</v>
      </c>
      <c r="F13" s="401" t="s">
        <v>405</v>
      </c>
      <c r="G13" s="403"/>
      <c r="H13" s="17"/>
      <c r="I13" s="17"/>
      <c r="J13" s="17"/>
    </row>
    <row r="14" spans="1:11">
      <c r="A14" s="426" t="s">
        <v>300</v>
      </c>
      <c r="B14" s="97">
        <f>'Degree Days 2022'!K81</f>
        <v>43.7</v>
      </c>
      <c r="C14" s="414">
        <f>'[17]Utility Cost '!B14</f>
        <v>176.99999999999997</v>
      </c>
      <c r="D14" s="170"/>
      <c r="E14" s="414">
        <f>'[18]Utility Cost '!F14</f>
        <v>0</v>
      </c>
      <c r="F14" s="475">
        <v>0</v>
      </c>
      <c r="G14" s="403"/>
      <c r="H14" s="404">
        <f>SUM(G12-H12)</f>
        <v>-56115.01183084576</v>
      </c>
      <c r="I14" s="404">
        <f>SUM(G12-I12)</f>
        <v>-27230.031551275879</v>
      </c>
    </row>
    <row r="15" spans="1:11">
      <c r="A15" s="426" t="s">
        <v>301</v>
      </c>
      <c r="B15" s="97">
        <f>'Degree Days 2022'!J81</f>
        <v>-202.20000000000005</v>
      </c>
      <c r="C15" s="414">
        <f>'[17]Utility Cost '!B15</f>
        <v>-183.00000000000003</v>
      </c>
      <c r="D15" s="170"/>
      <c r="E15" s="414">
        <f>'[18]Utility Cost '!F15</f>
        <v>0</v>
      </c>
      <c r="F15" s="475">
        <v>0</v>
      </c>
      <c r="G15" s="403"/>
      <c r="H15" s="17"/>
      <c r="I15" s="17"/>
      <c r="J15" s="17"/>
    </row>
    <row r="16" spans="1:11">
      <c r="A16" s="426" t="s">
        <v>302</v>
      </c>
      <c r="B16" s="522">
        <f>'General information '!D37</f>
        <v>97.625</v>
      </c>
      <c r="C16" s="414">
        <f>'[17]Utility Cost '!B16</f>
        <v>57.875</v>
      </c>
      <c r="D16" s="413"/>
      <c r="E16" s="414">
        <f>'[18]Utility Cost '!F16</f>
        <v>0</v>
      </c>
      <c r="F16" s="492">
        <v>0</v>
      </c>
      <c r="G16" s="403"/>
      <c r="H16" s="17"/>
      <c r="I16" s="17"/>
      <c r="J16" s="17"/>
    </row>
    <row r="17" spans="1:10">
      <c r="A17" s="486" t="s">
        <v>314</v>
      </c>
      <c r="B17" s="488">
        <f>'General information '!F36</f>
        <v>0</v>
      </c>
      <c r="C17" s="414">
        <f>'[17]Utility Cost '!B17</f>
        <v>0</v>
      </c>
      <c r="D17" s="453">
        <v>0</v>
      </c>
      <c r="E17" s="414">
        <f>'[18]Utility Cost '!F17</f>
        <v>0</v>
      </c>
      <c r="F17" s="490">
        <f>B17-D17</f>
        <v>0</v>
      </c>
      <c r="G17" s="17"/>
      <c r="H17" s="17"/>
      <c r="I17" s="17"/>
      <c r="J17" s="17"/>
    </row>
    <row r="18" spans="1:10">
      <c r="A18" s="487" t="s">
        <v>382</v>
      </c>
      <c r="B18" s="489">
        <f>GEN!Z34</f>
        <v>238</v>
      </c>
      <c r="C18" s="414">
        <f>'[17]Utility Cost '!B18</f>
        <v>222</v>
      </c>
      <c r="D18" s="411">
        <f>'[19]Other Fuel Calculation 2021'!$G$116</f>
        <v>202.66666666666666</v>
      </c>
      <c r="E18" s="414">
        <f>'[18]Utility Cost '!F18</f>
        <v>276.33333333333337</v>
      </c>
      <c r="F18" s="491">
        <f>B18-D18</f>
        <v>35.333333333333343</v>
      </c>
    </row>
    <row r="19" spans="1:10">
      <c r="A19" s="487" t="s">
        <v>412</v>
      </c>
      <c r="B19" s="489">
        <f>GEN!AL34</f>
        <v>22</v>
      </c>
      <c r="C19" s="414">
        <f>'[17]Utility Cost '!B19</f>
        <v>21</v>
      </c>
      <c r="D19" s="411"/>
      <c r="E19" s="414"/>
      <c r="F19" s="491"/>
    </row>
    <row r="20" spans="1:10">
      <c r="A20" s="487" t="s">
        <v>406</v>
      </c>
      <c r="B20" s="485">
        <f>B18/B19</f>
        <v>10.818181818181818</v>
      </c>
      <c r="C20" s="414">
        <f>'[17]Utility Cost '!B20</f>
        <v>10.571428571428571</v>
      </c>
      <c r="D20" s="412"/>
      <c r="E20" s="414"/>
      <c r="F20" s="475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7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2022-12-01T11:15:29Z</dcterms:modified>
</cp:coreProperties>
</file>