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3/"/>
    </mc:Choice>
  </mc:AlternateContent>
  <xr:revisionPtr revIDLastSave="170" documentId="8_{917264A1-4939-40AC-A1AC-229CE9B78B6E}" xr6:coauthVersionLast="47" xr6:coauthVersionMax="47" xr10:uidLastSave="{6AEE0BD4-7363-4EE6-91FE-0CF5364F4EBE}"/>
  <bookViews>
    <workbookView xWindow="-120" yWindow="-120" windowWidth="16440" windowHeight="28440" activeTab="2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3" i="6" l="1"/>
  <c r="BF13" i="6"/>
  <c r="BD13" i="6"/>
  <c r="BA13" i="6"/>
  <c r="AY13" i="6"/>
  <c r="BB13" i="6" s="1"/>
  <c r="AV13" i="6"/>
  <c r="AR13" i="6"/>
  <c r="AP13" i="6"/>
  <c r="AN13" i="6"/>
  <c r="AL13" i="6"/>
  <c r="AJ13" i="6"/>
  <c r="AH13" i="6"/>
  <c r="AF13" i="6"/>
  <c r="AD13" i="6"/>
  <c r="AB13" i="6"/>
  <c r="X13" i="6"/>
  <c r="U13" i="6"/>
  <c r="Y13" i="6" s="1"/>
  <c r="Q13" i="6"/>
  <c r="N13" i="6"/>
  <c r="K13" i="6"/>
  <c r="H13" i="6"/>
  <c r="E13" i="6"/>
  <c r="BB13" i="5"/>
  <c r="AZ13" i="5"/>
  <c r="AX13" i="5"/>
  <c r="AV13" i="5"/>
  <c r="AL13" i="5"/>
  <c r="AJ13" i="5"/>
  <c r="AG13" i="5"/>
  <c r="AD13" i="5"/>
  <c r="AA13" i="5"/>
  <c r="X13" i="5"/>
  <c r="U13" i="5"/>
  <c r="R13" i="5"/>
  <c r="O13" i="5"/>
  <c r="L13" i="5"/>
  <c r="I13" i="5"/>
  <c r="F13" i="5"/>
  <c r="BB12" i="5" l="1"/>
  <c r="AZ12" i="5"/>
  <c r="AX12" i="5"/>
  <c r="AV12" i="5"/>
  <c r="AL12" i="5"/>
  <c r="AJ12" i="5"/>
  <c r="AG12" i="5"/>
  <c r="AD12" i="5"/>
  <c r="AA12" i="5"/>
  <c r="X12" i="5"/>
  <c r="U12" i="5"/>
  <c r="R12" i="5"/>
  <c r="O12" i="5"/>
  <c r="L12" i="5"/>
  <c r="I12" i="5"/>
  <c r="F12" i="5"/>
  <c r="BH12" i="6"/>
  <c r="BF12" i="6"/>
  <c r="BD12" i="6"/>
  <c r="BA12" i="6"/>
  <c r="BB12" i="6" s="1"/>
  <c r="AY12" i="6"/>
  <c r="AV12" i="6"/>
  <c r="AR12" i="6"/>
  <c r="AP12" i="6"/>
  <c r="AN12" i="6"/>
  <c r="AL12" i="6"/>
  <c r="AJ12" i="6"/>
  <c r="AH12" i="6"/>
  <c r="AF12" i="6"/>
  <c r="AD12" i="6"/>
  <c r="AB12" i="6"/>
  <c r="X12" i="6"/>
  <c r="U12" i="6"/>
  <c r="Y12" i="6" s="1"/>
  <c r="Q12" i="6"/>
  <c r="N12" i="6"/>
  <c r="K12" i="6"/>
  <c r="H12" i="6"/>
  <c r="E12" i="6"/>
  <c r="BH11" i="6"/>
  <c r="BF11" i="6"/>
  <c r="BD11" i="6"/>
  <c r="BA11" i="6"/>
  <c r="BB11" i="6" s="1"/>
  <c r="AY11" i="6"/>
  <c r="AV11" i="6"/>
  <c r="AR11" i="6"/>
  <c r="AP11" i="6"/>
  <c r="AN11" i="6"/>
  <c r="AL11" i="6"/>
  <c r="AJ11" i="6"/>
  <c r="AH11" i="6"/>
  <c r="AF11" i="6"/>
  <c r="AD11" i="6"/>
  <c r="AB11" i="6"/>
  <c r="X11" i="6"/>
  <c r="U11" i="6"/>
  <c r="Y11" i="6" s="1"/>
  <c r="Q11" i="6"/>
  <c r="N11" i="6"/>
  <c r="K11" i="6"/>
  <c r="H11" i="6"/>
  <c r="E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C15" i="5"/>
  <c r="C14" i="5"/>
  <c r="C13" i="5"/>
  <c r="C12" i="5"/>
  <c r="C11" i="5"/>
  <c r="BB10" i="5"/>
  <c r="AZ10" i="5"/>
  <c r="AX10" i="5"/>
  <c r="AV10" i="5"/>
  <c r="BH10" i="6"/>
  <c r="BF10" i="6"/>
  <c r="BD10" i="6"/>
  <c r="BA10" i="6"/>
  <c r="AY10" i="6"/>
  <c r="BB10" i="6" s="1"/>
  <c r="AV10" i="6"/>
  <c r="AL10" i="5"/>
  <c r="AJ10" i="5"/>
  <c r="AG10" i="5"/>
  <c r="AD10" i="5"/>
  <c r="AA10" i="5"/>
  <c r="X10" i="5"/>
  <c r="U10" i="5"/>
  <c r="R10" i="5"/>
  <c r="O10" i="5"/>
  <c r="L10" i="5"/>
  <c r="I10" i="5"/>
  <c r="F10" i="5"/>
  <c r="AR10" i="6"/>
  <c r="AP10" i="6"/>
  <c r="AN10" i="6"/>
  <c r="AL10" i="6"/>
  <c r="AJ10" i="6"/>
  <c r="AH10" i="6"/>
  <c r="AF10" i="6"/>
  <c r="AD10" i="6"/>
  <c r="AB10" i="6"/>
  <c r="X10" i="6"/>
  <c r="U10" i="6"/>
  <c r="Y10" i="6" s="1"/>
  <c r="Q10" i="6"/>
  <c r="N10" i="6"/>
  <c r="K10" i="6"/>
  <c r="H10" i="6"/>
  <c r="E10" i="6"/>
  <c r="BH9" i="6"/>
  <c r="BF9" i="6"/>
  <c r="BD9" i="6"/>
  <c r="BB9" i="6"/>
  <c r="BA9" i="6"/>
  <c r="AY9" i="6"/>
  <c r="AV9" i="6"/>
  <c r="AR9" i="6"/>
  <c r="AP9" i="6"/>
  <c r="AN9" i="6"/>
  <c r="AL9" i="6"/>
  <c r="AJ9" i="6"/>
  <c r="AH9" i="6"/>
  <c r="AF9" i="6"/>
  <c r="AD9" i="6"/>
  <c r="AB9" i="6"/>
  <c r="Y9" i="6"/>
  <c r="X9" i="6"/>
  <c r="U9" i="6"/>
  <c r="Q9" i="6"/>
  <c r="N9" i="6"/>
  <c r="K9" i="6"/>
  <c r="H9" i="6"/>
  <c r="E9" i="6"/>
  <c r="BB9" i="5"/>
  <c r="AZ9" i="5"/>
  <c r="AX9" i="5"/>
  <c r="AV9" i="5"/>
  <c r="AL9" i="5"/>
  <c r="AJ9" i="5"/>
  <c r="AG9" i="5"/>
  <c r="AD9" i="5"/>
  <c r="AA9" i="5"/>
  <c r="X9" i="5"/>
  <c r="U9" i="5"/>
  <c r="R9" i="5"/>
  <c r="O9" i="5"/>
  <c r="L9" i="5"/>
  <c r="I9" i="5"/>
  <c r="F9" i="5"/>
  <c r="BB8" i="5"/>
  <c r="AZ8" i="5"/>
  <c r="AX8" i="5"/>
  <c r="AV8" i="5"/>
  <c r="AL8" i="5"/>
  <c r="AJ8" i="5"/>
  <c r="AG8" i="5"/>
  <c r="AD8" i="5"/>
  <c r="AA8" i="5"/>
  <c r="X8" i="5"/>
  <c r="U8" i="5"/>
  <c r="R8" i="5"/>
  <c r="O8" i="5"/>
  <c r="L8" i="5"/>
  <c r="I8" i="5"/>
  <c r="F8" i="5"/>
  <c r="BH8" i="6"/>
  <c r="BF8" i="6"/>
  <c r="BD8" i="6"/>
  <c r="BA8" i="6"/>
  <c r="BB8" i="6" s="1"/>
  <c r="AY8" i="6"/>
  <c r="AV8" i="6"/>
  <c r="AR8" i="6"/>
  <c r="AP8" i="6"/>
  <c r="AN8" i="6"/>
  <c r="AL8" i="6"/>
  <c r="AJ8" i="6"/>
  <c r="AH8" i="6"/>
  <c r="AF8" i="6"/>
  <c r="AD8" i="6"/>
  <c r="AB8" i="6"/>
  <c r="X8" i="6"/>
  <c r="U8" i="6"/>
  <c r="Y8" i="6" s="1"/>
  <c r="Q8" i="6"/>
  <c r="N8" i="6"/>
  <c r="K8" i="6"/>
  <c r="H8" i="6"/>
  <c r="E8" i="6"/>
  <c r="BH7" i="6"/>
  <c r="BF7" i="6"/>
  <c r="BD7" i="6"/>
  <c r="BA7" i="6"/>
  <c r="AY7" i="6"/>
  <c r="BB7" i="6" s="1"/>
  <c r="AR7" i="6"/>
  <c r="AP7" i="6"/>
  <c r="AN7" i="6"/>
  <c r="AL7" i="6"/>
  <c r="AJ7" i="6"/>
  <c r="AH7" i="6"/>
  <c r="AF7" i="6"/>
  <c r="AD7" i="6"/>
  <c r="AB7" i="6"/>
  <c r="Y7" i="6"/>
  <c r="X7" i="6"/>
  <c r="U7" i="6"/>
  <c r="Q7" i="6"/>
  <c r="N7" i="6"/>
  <c r="K7" i="6"/>
  <c r="H7" i="6"/>
  <c r="E7" i="6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C10" i="5" l="1"/>
  <c r="C9" i="5"/>
  <c r="C8" i="5"/>
  <c r="C7" i="5"/>
  <c r="C6" i="5"/>
  <c r="C5" i="5"/>
  <c r="C4" i="5"/>
  <c r="BF6" i="6" l="1"/>
  <c r="BD6" i="6"/>
  <c r="BA6" i="6"/>
  <c r="AY6" i="6"/>
  <c r="BB6" i="6" s="1"/>
  <c r="AV6" i="6"/>
  <c r="AR6" i="6"/>
  <c r="AP6" i="6"/>
  <c r="AN6" i="6"/>
  <c r="AL6" i="6"/>
  <c r="AJ6" i="6"/>
  <c r="AH6" i="6"/>
  <c r="AF6" i="6"/>
  <c r="AD6" i="6"/>
  <c r="AB6" i="6"/>
  <c r="Y6" i="6"/>
  <c r="X6" i="6"/>
  <c r="U6" i="6"/>
  <c r="Q6" i="6"/>
  <c r="N6" i="6"/>
  <c r="K6" i="6"/>
  <c r="H6" i="6"/>
  <c r="E6" i="6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B5" i="5"/>
  <c r="AZ5" i="5"/>
  <c r="AX5" i="5"/>
  <c r="AV5" i="5"/>
  <c r="AL5" i="5"/>
  <c r="AJ5" i="5"/>
  <c r="AG5" i="5"/>
  <c r="AP5" i="5" s="1"/>
  <c r="AD5" i="5"/>
  <c r="AA5" i="5"/>
  <c r="X5" i="5"/>
  <c r="U5" i="5"/>
  <c r="R5" i="5"/>
  <c r="O5" i="5"/>
  <c r="L5" i="5"/>
  <c r="I5" i="5"/>
  <c r="F5" i="5"/>
  <c r="BH5" i="6"/>
  <c r="BF5" i="6"/>
  <c r="BD5" i="6"/>
  <c r="BA5" i="6"/>
  <c r="AY5" i="6"/>
  <c r="BB5" i="6" s="1"/>
  <c r="AV5" i="6"/>
  <c r="AR5" i="6"/>
  <c r="AP5" i="6"/>
  <c r="AN5" i="6"/>
  <c r="AL5" i="6"/>
  <c r="AJ5" i="6"/>
  <c r="AH5" i="6"/>
  <c r="AF5" i="6"/>
  <c r="AD5" i="6"/>
  <c r="AB5" i="6"/>
  <c r="X5" i="6"/>
  <c r="U5" i="6"/>
  <c r="Y5" i="6" s="1"/>
  <c r="Q5" i="6"/>
  <c r="N5" i="6"/>
  <c r="K5" i="6"/>
  <c r="H5" i="6"/>
  <c r="E5" i="6"/>
  <c r="AT4" i="6"/>
  <c r="AO5" i="5" l="1"/>
  <c r="AR5" i="5" s="1"/>
  <c r="AT65" i="6"/>
  <c r="AT66" i="6"/>
  <c r="AT67" i="6"/>
  <c r="AT65" i="5"/>
  <c r="AT66" i="5"/>
  <c r="AT67" i="5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K61" i="1"/>
  <c r="G62" i="1"/>
  <c r="K62" i="1"/>
  <c r="K63" i="1"/>
  <c r="K64" i="1"/>
  <c r="E65" i="1"/>
  <c r="F65" i="1" s="1"/>
  <c r="G65" i="1"/>
  <c r="I65" i="1"/>
  <c r="J65" i="1"/>
  <c r="K65" i="1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AQ5" i="5" l="1"/>
  <c r="G63" i="1"/>
  <c r="I64" i="1"/>
  <c r="J64" i="1" s="1"/>
  <c r="I62" i="1"/>
  <c r="J62" i="1" s="1"/>
  <c r="G64" i="1"/>
  <c r="I63" i="1"/>
  <c r="J63" i="1" s="1"/>
  <c r="E64" i="1"/>
  <c r="F64" i="1" s="1"/>
  <c r="E62" i="1"/>
  <c r="F62" i="1" s="1"/>
  <c r="E63" i="1"/>
  <c r="F63" i="1" s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G61" i="1" s="1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61" i="1" l="1"/>
  <c r="J61" i="1" s="1"/>
  <c r="G59" i="1"/>
  <c r="G58" i="1"/>
  <c r="G56" i="1"/>
  <c r="G55" i="1"/>
  <c r="Z53" i="3"/>
  <c r="AC52" i="3"/>
  <c r="AK54" i="3"/>
  <c r="G53" i="1" s="1"/>
  <c r="G52" i="1"/>
  <c r="AK52" i="3"/>
  <c r="G51" i="1" s="1"/>
  <c r="I58" i="1"/>
  <c r="J58" i="1" s="1"/>
  <c r="I57" i="1"/>
  <c r="J57" i="1" s="1"/>
  <c r="G57" i="1"/>
  <c r="G54" i="1"/>
  <c r="G50" i="1"/>
  <c r="G60" i="1"/>
  <c r="G49" i="1"/>
  <c r="I56" i="1"/>
  <c r="J56" i="1" s="1"/>
  <c r="I55" i="1"/>
  <c r="J55" i="1" s="1"/>
  <c r="I50" i="1"/>
  <c r="J50" i="1" s="1"/>
  <c r="I54" i="1"/>
  <c r="J54" i="1" s="1"/>
  <c r="I53" i="1"/>
  <c r="J53" i="1" s="1"/>
  <c r="I52" i="1"/>
  <c r="J52" i="1" s="1"/>
  <c r="I51" i="1"/>
  <c r="J51" i="1" s="1"/>
  <c r="I49" i="1"/>
  <c r="J49" i="1" s="1"/>
  <c r="I60" i="1"/>
  <c r="J60" i="1" s="1"/>
  <c r="I59" i="1"/>
  <c r="J59" i="1" s="1"/>
  <c r="G44" i="1"/>
  <c r="I44" i="1"/>
  <c r="J44" i="1" s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E61" i="1" l="1"/>
  <c r="F61" i="1" s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E43" i="3"/>
  <c r="E44" i="3"/>
  <c r="E45" i="3"/>
  <c r="E46" i="3"/>
  <c r="E47" i="3"/>
  <c r="E48" i="3"/>
  <c r="E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E42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E32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E33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E34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E35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E36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E37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E38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E39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E40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E41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" i="1" l="1"/>
  <c r="J2" i="1" s="1"/>
  <c r="I42" i="1"/>
  <c r="J42" i="1" s="1"/>
  <c r="G42" i="1"/>
  <c r="AC42" i="3"/>
  <c r="E41" i="1" s="1"/>
  <c r="F41" i="1" s="1"/>
  <c r="G48" i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G14" i="1"/>
  <c r="AL30" i="3"/>
  <c r="G29" i="1" s="1"/>
  <c r="G13" i="1"/>
  <c r="G30" i="1"/>
  <c r="G10" i="1"/>
  <c r="AX49" i="3"/>
  <c r="AX48" i="3"/>
  <c r="G27" i="1"/>
  <c r="G7" i="1"/>
  <c r="AX34" i="3"/>
  <c r="G5" i="1"/>
  <c r="G2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I3" i="1"/>
  <c r="J3" i="1" s="1"/>
  <c r="I8" i="1"/>
  <c r="J8" i="1" s="1"/>
  <c r="G3" i="1"/>
  <c r="G37" i="1"/>
  <c r="G9" i="1"/>
  <c r="I24" i="1"/>
  <c r="J24" i="1" s="1"/>
  <c r="I28" i="1"/>
  <c r="J28" i="1" s="1"/>
  <c r="I12" i="1"/>
  <c r="J12" i="1" s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I26" i="1"/>
  <c r="J26" i="1" s="1"/>
  <c r="I18" i="1"/>
  <c r="J18" i="1" s="1"/>
  <c r="I10" i="1"/>
  <c r="J10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6" i="1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<sst xmlns="http://schemas.openxmlformats.org/spreadsheetml/2006/main" count="1209" uniqueCount="219">
  <si>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</si>
  <si>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</si>
  <si>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</si>
  <si>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</si>
  <si>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</si>
  <si>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</si>
  <si>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</si>
  <si>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</si>
  <si>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</si>
  <si>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</si>
  <si>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</si>
  <si>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</si>
  <si>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</si>
  <si>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</si>
  <si>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</si>
  <si>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</si>
  <si>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</si>
  <si>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</si>
  <si>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</si>
  <si>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</si>
  <si>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</si>
  <si>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</si>
  <si>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</si>
  <si>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</si>
  <si>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</si>
  <si>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</si>
  <si>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</si>
  <si>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</si>
  <si>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</si>
  <si>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</si>
  <si>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</si>
  <si>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</si>
  <si>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</si>
  <si>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</si>
  <si>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</si>
  <si>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</si>
  <si>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</si>
  <si>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</si>
  <si>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</si>
  <si>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</si>
  <si>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</si>
  <si>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</si>
  <si>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</si>
  <si>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</si>
  <si>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</si>
  <si>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</si>
  <si>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</si>
  <si>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</si>
  <si>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</si>
  <si>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</si>
  <si>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</si>
  <si>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</si>
  <si>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</si>
  <si>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</si>
  <si>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</si>
  <si>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</si>
  <si>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</si>
  <si>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</si>
  <si>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</si>
  <si>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</si>
  <si>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</si>
  <si>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</si>
  <si>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</si>
  <si>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</si>
  <si>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</si>
  <si>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</si>
  <si>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</si>
  <si>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</si>
  <si>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</si>
  <si>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</si>
  <si>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</si>
  <si>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</si>
  <si>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</si>
  <si>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</si>
  <si>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</si>
  <si>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CG0612A084</t>
  </si>
  <si>
    <t>CC0612A036</t>
  </si>
  <si>
    <t>CS0210A030</t>
  </si>
  <si>
    <t>IIC0608A03</t>
  </si>
  <si>
    <t>KWH</t>
  </si>
  <si>
    <t>Date</t>
  </si>
  <si>
    <t>Occupancy</t>
  </si>
  <si>
    <t>68 425 008</t>
  </si>
  <si>
    <t>T7384</t>
  </si>
  <si>
    <t>KWH Total</t>
  </si>
  <si>
    <t>68 425 010</t>
  </si>
  <si>
    <t>T2392</t>
  </si>
  <si>
    <t>68 425 078</t>
  </si>
  <si>
    <t>T2393</t>
  </si>
  <si>
    <t>68 425 077</t>
  </si>
  <si>
    <t>T2395</t>
  </si>
  <si>
    <t>68 425 071</t>
  </si>
  <si>
    <t>T7285</t>
  </si>
  <si>
    <t>68 425 060</t>
  </si>
  <si>
    <t>T7380</t>
  </si>
  <si>
    <t>68 425 059</t>
  </si>
  <si>
    <t>T2390</t>
  </si>
  <si>
    <t>68 425 093</t>
  </si>
  <si>
    <t>T7382</t>
  </si>
  <si>
    <t>68 425 094</t>
  </si>
  <si>
    <t>T2391</t>
  </si>
  <si>
    <t>90 625 242</t>
  </si>
  <si>
    <t>T7283</t>
  </si>
  <si>
    <t>68 425 097</t>
  </si>
  <si>
    <t>T7281</t>
  </si>
  <si>
    <t>90 630 431</t>
  </si>
  <si>
    <t>Total KWH</t>
  </si>
  <si>
    <t>Total Mnth</t>
  </si>
  <si>
    <t>676 62 513</t>
  </si>
  <si>
    <t>672 73 163</t>
  </si>
  <si>
    <t>61 979 920</t>
  </si>
  <si>
    <t>56 253 208</t>
  </si>
  <si>
    <t>Total</t>
  </si>
  <si>
    <t>Demand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</si>
  <si>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</si>
  <si>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</si>
  <si>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</si>
  <si>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</si>
  <si>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</si>
  <si>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</si>
  <si>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</si>
  <si>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</si>
  <si>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</si>
  <si>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12C004186-C1</t>
  </si>
  <si>
    <t>Total Gas Usage</t>
  </si>
  <si>
    <t>112014001775</t>
  </si>
  <si>
    <t>112014001771</t>
  </si>
  <si>
    <t>82SJ729151</t>
  </si>
  <si>
    <t>67327447 / 80606729</t>
  </si>
  <si>
    <t>X10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</si>
  <si>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</si>
  <si>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</si>
  <si>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</si>
  <si>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</si>
  <si>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</si>
  <si>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</si>
  <si>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</si>
  <si>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</si>
  <si>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</si>
  <si>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</si>
  <si>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</si>
  <si>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</si>
  <si>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</si>
  <si>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</si>
  <si>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</si>
  <si>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</si>
  <si>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</si>
  <si>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</si>
  <si>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</si>
  <si>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</si>
  <si>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</si>
  <si>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</si>
  <si>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</si>
  <si>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</si>
  <si>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</si>
  <si>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</si>
  <si>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</si>
  <si>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</si>
  <si>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</si>
  <si>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</si>
  <si>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Budget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</si>
  <si>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</si>
  <si>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</si>
  <si>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</si>
  <si>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</si>
  <si>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</si>
  <si>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</si>
  <si>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</si>
  <si>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</si>
  <si>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</si>
  <si>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</si>
  <si>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</si>
  <si>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Total Occupied</t>
  </si>
  <si>
    <t>Month: January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</si>
  <si>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</si>
  <si>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</si>
  <si>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</si>
  <si>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</si>
  <si>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</si>
  <si>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</si>
  <si>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</si>
  <si>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</si>
  <si>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</si>
  <si>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</si>
  <si>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</si>
  <si>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</si>
  <si>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</si>
  <si>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</si>
  <si>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</si>
  <si>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</si>
  <si>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</si>
  <si>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</si>
  <si>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</si>
  <si>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</si>
  <si>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</si>
  <si>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</si>
  <si>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</si>
  <si>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</si>
  <si>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</si>
  <si>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</si>
  <si>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</si>
  <si>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</si>
  <si>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</si>
  <si>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</si>
  <si>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</si>
  <si>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</si>
  <si>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</si>
  <si>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</si>
  <si>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</si>
  <si>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</si>
  <si>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</si>
  <si>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</si>
  <si>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</si>
  <si>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</si>
  <si>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Month: November</t>
  </si>
  <si>
    <t>Month: December</t>
  </si>
  <si>
    <t xml:space="preserve"> </t>
  </si>
  <si>
    <t>Hydraunic Water M/U (x100)</t>
  </si>
  <si>
    <t>Year: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</si>
</sst>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color rgb="FF00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4" borderId="12" xfId="0" applyFill="1" applyBorder="1"/>
    <xf numFmtId="0" fontId="0" fillId="23" borderId="16" xfId="0" applyFill="1" applyBorder="1" applyAlignment="1">
      <alignment horizontal="center"/>
    </xf>
    <xf numFmtId="0" fontId="0" fillId="24" borderId="12" xfId="0" applyFill="1" applyBorder="1" applyAlignment="1">
      <alignment wrapText="1"/>
    </xf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0" fontId="23" fillId="0" borderId="0" xfId="0" applyFont="1" applyAlignment="1">
      <alignment horizontal="center"/>
    </xf>
    <xf numFmtId="14" fontId="0" fillId="25" borderId="12" xfId="0" applyNumberFormat="1" applyFill="1" applyBorder="1"/>
    <xf numFmtId="0" fontId="23" fillId="0" borderId="0" xfId="0" applyFont="1"/>
    <xf numFmtId="0" fontId="28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0" borderId="24" xfId="0" applyBorder="1"/>
    <xf numFmtId="0" fontId="0" fillId="24" borderId="21" xfId="0" applyFill="1" applyBorder="1"/>
    <xf numFmtId="0" fontId="22" fillId="0" borderId="14" xfId="0" applyFont="1" applyBorder="1" applyAlignment="1">
      <alignment horizontal="center"/>
    </xf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33" fillId="0" borderId="12" xfId="0" applyFont="1" applyBorder="1" applyAlignment="1">
      <alignment wrapText="1"/>
    </xf>
    <xf numFmtId="0" fontId="33" fillId="26" borderId="12" xfId="0" applyFont="1" applyFill="1" applyBorder="1" applyAlignment="1">
      <alignment wrapText="1"/>
    </xf>
    <xf numFmtId="0" fontId="33" fillId="0" borderId="24" xfId="0" applyFont="1" applyBorder="1" applyAlignment="1">
      <alignment wrapText="1"/>
    </xf>
    <xf numFmtId="0" fontId="33" fillId="26" borderId="21" xfId="0" applyFont="1" applyFill="1" applyBorder="1" applyAlignment="1">
      <alignment wrapText="1"/>
    </xf>
    <xf numFmtId="0" fontId="0" fillId="24" borderId="12" xfId="0" applyFill="1" applyBorder="1" applyAlignment="1">
      <alignment horizontal="center"/>
    </xf>
    <xf numFmtId="0" fontId="0" fillId="24" borderId="12" xfId="0" applyFill="1" applyBorder="1" applyAlignment="1">
      <alignment horizontal="center" wrapText="1"/>
    </xf>
    <xf numFmtId="0" fontId="0" fillId="24" borderId="12" xfId="0" applyFill="1" applyBorder="1" applyAlignment="1">
      <alignment horizontal="right"/>
    </xf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0" xfId="0" applyNumberFormat="1" applyFill="1" applyAlignment="1">
      <alignment horizontal="center"/>
    </xf>
    <xf numFmtId="1" fontId="0" fillId="23" borderId="0" xfId="0" applyNumberFormat="1" applyFill="1"/>
    <xf numFmtId="1" fontId="0" fillId="0" borderId="0" xfId="0" applyNumberFormat="1"/>
    <xf numFmtId="0" fontId="27" fillId="0" borderId="0" xfId="0" applyFont="1" applyAlignment="1">
      <alignment horizontal="center"/>
    </xf>
    <xf numFmtId="0" fontId="33" fillId="0" borderId="12" xfId="0" applyFont="1" applyBorder="1" applyAlignment="1">
      <alignment horizontal="right" wrapText="1"/>
    </xf>
    <xf numFmtId="0" fontId="33" fillId="26" borderId="12" xfId="0" applyFont="1" applyFill="1" applyBorder="1" applyAlignment="1">
      <alignment horizontal="right" wrapText="1"/>
    </xf>
    <xf numFmtId="0" fontId="0" fillId="23" borderId="0" xfId="0" applyFill="1" applyAlignment="1">
      <alignment horizontal="right"/>
    </xf>
    <xf numFmtId="0" fontId="33" fillId="27" borderId="0" xfId="0" applyFont="1" applyFill="1" applyAlignment="1">
      <alignment horizontal="right" wrapText="1"/>
    </xf>
    <xf numFmtId="0" fontId="33" fillId="26" borderId="18" xfId="0" applyFont="1" applyFill="1" applyBorder="1" applyAlignment="1">
      <alignment horizontal="right" wrapText="1"/>
    </xf>
    <xf numFmtId="0" fontId="33" fillId="0" borderId="24" xfId="0" applyFont="1" applyBorder="1" applyAlignment="1">
      <alignment horizontal="right" wrapText="1"/>
    </xf>
    <xf numFmtId="0" fontId="33" fillId="26" borderId="21" xfId="0" applyFont="1" applyFill="1" applyBorder="1" applyAlignment="1">
      <alignment horizontal="right" wrapText="1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29" fillId="0" borderId="18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3" fillId="0" borderId="18" xfId="0" applyFont="1" applyBorder="1" applyAlignment="1">
      <alignment horizontal="center" wrapText="1"/>
    </xf>
    <xf numFmtId="0" fontId="33" fillId="0" borderId="21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5"/>
  <sheetViews>
    <sheetView workbookViewId="0">
      <selection activeCell="F3" sqref="F3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85" t="s">
        <v>1</v>
      </c>
      <c r="C1" s="85" t="s">
        <v>2</v>
      </c>
      <c r="D1" s="85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">
        <v>1</v>
      </c>
      <c r="C2" s="2">
        <v>1</v>
      </c>
      <c r="D2" s="2">
        <v>2023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0</v>
      </c>
      <c r="F2" s="10" t="e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#DIV/0!</v>
      </c>
      <c r="G2" s="4">
        <f>Submetering!AK3+Submetering!AL3+Submetering!AU3</f>
        <v>0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0</v>
      </c>
      <c r="J2" s="11" t="e">
        <f>((Submetering!AG3+Submetering!BA3)*0.8868+(1712.96+1070.52)/30+(Submetering!AF3+Submetering!AY3+Submetering!AV3+Submetering!AZ3)*1.1251+(2076.11+129.67+207.57+207.57)/30+(11680.53+56.61)/30)/I2</f>
        <v>#DIV/0!</v>
      </c>
      <c r="K2" s="4">
        <f>Elect!C5</f>
        <v>330</v>
      </c>
    </row>
    <row r="3" spans="1:23" x14ac:dyDescent="0.25">
      <c r="A3" s="3" t="s">
        <v>11</v>
      </c>
      <c r="B3" s="1">
        <v>2</v>
      </c>
      <c r="C3" s="2">
        <v>1</v>
      </c>
      <c r="D3" s="2">
        <v>2023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358374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8.0324737578060898E-2</v>
      </c>
      <c r="G3" s="4">
        <f>Submetering!AK4+Submetering!AL4+Submetering!AU4</f>
        <v>545.7826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19592.796922000001</v>
      </c>
      <c r="J3" s="11">
        <f>((Submetering!AG4+Submetering!BA4)*0.8868+(1712.96+1070.52)/30+(Submetering!AF4+Submetering!AY4+Submetering!AV4+Submetering!AZ4)*1.1251+(2076.11+129.67+207.57+207.57)/30+(11680.53+56.61)/30)/I3</f>
        <v>0.36525234858791983</v>
      </c>
      <c r="K3" s="4">
        <f>Elect!C6</f>
        <v>2418</v>
      </c>
    </row>
    <row r="4" spans="1:23" x14ac:dyDescent="0.25">
      <c r="A4" s="3" t="s">
        <v>11</v>
      </c>
      <c r="B4" s="1">
        <v>9</v>
      </c>
      <c r="C4" s="2">
        <v>1</v>
      </c>
      <c r="D4" s="2">
        <v>2023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287533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8.0380277128538291E-2</v>
      </c>
      <c r="G4" s="4">
        <f>Submetering!AK5+Submetering!AL5+Submetering!AU5</f>
        <v>744.92539999999997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13963.155669999998</v>
      </c>
      <c r="J4" s="11">
        <f>((Submetering!AG5+Submetering!BA5)*0.8868+(1712.96+1070.52)/30+(Submetering!AF5+Submetering!AY5+Submetering!AV5+Submetering!AZ5)*1.1251+(2076.11+129.67+207.57+207.57)/30+(11680.53+56.61)/30)/I4</f>
        <v>0.48092279857012205</v>
      </c>
      <c r="K4" s="4">
        <f>Elect!C7</f>
        <v>1995</v>
      </c>
    </row>
    <row r="5" spans="1:23" x14ac:dyDescent="0.25">
      <c r="A5" s="3" t="s">
        <v>11</v>
      </c>
      <c r="B5" s="1">
        <v>16</v>
      </c>
      <c r="C5" s="2">
        <v>1</v>
      </c>
      <c r="D5" s="2">
        <v>2023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311864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8.0361529887386818E-2</v>
      </c>
      <c r="G5" s="4">
        <f>Submetering!AK6+Submetering!AL6+Submetering!AU6</f>
        <v>598.6558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22459.681386000004</v>
      </c>
      <c r="J5" s="11">
        <f>((Submetering!AG6+Submetering!BA6)*0.8868+(1712.96+1070.52)/30+(Submetering!AF6+Submetering!AY6+Submetering!AV6+Submetering!AZ6)*1.1251+(2076.11+129.67+207.57+207.57)/30+(11680.53+56.61)/30)/I5</f>
        <v>0.51597054634133199</v>
      </c>
      <c r="K5" s="4">
        <f>Elect!C8</f>
        <v>2324</v>
      </c>
    </row>
    <row r="6" spans="1:23" x14ac:dyDescent="0.25">
      <c r="A6" s="3" t="s">
        <v>11</v>
      </c>
      <c r="B6" s="1">
        <v>23</v>
      </c>
      <c r="C6" s="2">
        <v>1</v>
      </c>
      <c r="D6" s="2">
        <v>2023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304137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8.0366087876187375E-2</v>
      </c>
      <c r="G6" s="4">
        <f>Submetering!AK7+Submetering!AL7+Submetering!AU7</f>
        <v>643.50340000000006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21712.061140000002</v>
      </c>
      <c r="J6" s="11">
        <f>((Submetering!AG7+Submetering!BA7)*0.8868+(1712.96+1070.52)/30+(Submetering!AF7+Submetering!AY7+Submetering!AV7+Submetering!AZ7)*1.1251+(2076.11+129.67+207.57+207.57)/30+(11680.53+56.61)/30)/I6</f>
        <v>0.53433392354599207</v>
      </c>
      <c r="K6" s="4">
        <f>Elect!C9</f>
        <v>2633</v>
      </c>
    </row>
    <row r="7" spans="1:23" x14ac:dyDescent="0.25">
      <c r="A7" s="3" t="s">
        <v>11</v>
      </c>
      <c r="B7" s="1">
        <v>30</v>
      </c>
      <c r="C7" s="2">
        <v>1</v>
      </c>
      <c r="D7" s="2">
        <v>2023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53548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8.0529845999850594E-2</v>
      </c>
      <c r="G7" s="4">
        <f>Submetering!AK8+Submetering!AL8+Submetering!AU8</f>
        <v>44.551200000000001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4499.5530579999995</v>
      </c>
      <c r="J7" s="11">
        <f>((Submetering!AG8+Submetering!BA8)*0.8868+(1712.96+1070.52)/30+(Submetering!AF8+Submetering!AY8+Submetering!AV8+Submetering!AZ8)*1.1251+(2076.11+129.67+207.57+207.57)/30+(11680.53+56.61)/30)/I7</f>
        <v>0.60394132802037659</v>
      </c>
      <c r="K7" s="4">
        <f>Elect!C10</f>
        <v>398</v>
      </c>
    </row>
    <row r="8" spans="1:23" x14ac:dyDescent="0.25">
      <c r="A8" s="3" t="s">
        <v>11</v>
      </c>
      <c r="B8" s="1">
        <v>31</v>
      </c>
      <c r="C8" s="2">
        <v>1</v>
      </c>
      <c r="D8" s="2">
        <v>2023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260271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8.0366315252947879E-2</v>
      </c>
      <c r="G8" s="4">
        <f>Submetering!AK9+Submetering!AL9+Submetering!AU9</f>
        <v>386.50559999999996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19028.448852000001</v>
      </c>
      <c r="J8" s="11">
        <f>((Submetering!AG9+Submetering!BA9)*0.8868+(1712.96+1070.52)/30+(Submetering!AF9+Submetering!AY9+Submetering!AV9+Submetering!AZ9)*1.1251+(2076.11+129.67+207.57+207.57)/30+(11680.53+56.61)/30)/I8</f>
        <v>0.39306875937502006</v>
      </c>
      <c r="K8" s="4">
        <f>Elect!C11</f>
        <v>1646</v>
      </c>
    </row>
    <row r="9" spans="1:23" x14ac:dyDescent="0.25">
      <c r="A9" s="3" t="s">
        <v>11</v>
      </c>
      <c r="B9" s="1">
        <v>6</v>
      </c>
      <c r="C9" s="2">
        <v>2</v>
      </c>
      <c r="D9" s="2">
        <v>2023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325014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8.0348010315863305E-2</v>
      </c>
      <c r="G9" s="4">
        <f>Submetering!AK10+Submetering!AL10+Submetering!AU10</f>
        <v>506.66920000000005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23255.697178000002</v>
      </c>
      <c r="J9" s="11">
        <f>((Submetering!AG10+Submetering!BA10)*0.8868+(1712.96+1070.52)/30+(Submetering!AF10+Submetering!AY10+Submetering!AV10+Submetering!AZ10)*1.1251+(2076.11+129.67+207.57+207.57)/30+(11680.53+56.61)/30)/I9</f>
        <v>0.51448452735896999</v>
      </c>
      <c r="K9" s="4">
        <f>Elect!C12</f>
        <v>2108</v>
      </c>
    </row>
    <row r="10" spans="1:23" x14ac:dyDescent="0.25">
      <c r="A10" s="3" t="s">
        <v>11</v>
      </c>
      <c r="B10" s="1">
        <v>13</v>
      </c>
      <c r="C10" s="2">
        <v>2</v>
      </c>
      <c r="D10" s="2">
        <v>2023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315412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8.0355032473082816E-2</v>
      </c>
      <c r="G10" s="4">
        <f>Submetering!AK11+Submetering!AL11+Submetering!AU11</f>
        <v>518.4226000000001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26274.683291999998</v>
      </c>
      <c r="J10" s="11">
        <f>((Submetering!AG11+Submetering!BA11)*0.8868+(1712.96+1070.52)/30+(Submetering!AF11+Submetering!AY11+Submetering!AV11+Submetering!AZ11)*1.1251+(2076.11+129.67+207.57+207.57)/30+(11680.53+56.61)/30)/I10</f>
        <v>0.54275981768841131</v>
      </c>
      <c r="K10" s="4">
        <f>Elect!C13</f>
        <v>2834</v>
      </c>
    </row>
    <row r="11" spans="1:23" x14ac:dyDescent="0.25">
      <c r="A11" s="3" t="s">
        <v>11</v>
      </c>
      <c r="B11" s="1">
        <v>20</v>
      </c>
      <c r="C11" s="2">
        <v>2</v>
      </c>
      <c r="D11" s="2">
        <v>2023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0</v>
      </c>
      <c r="F11" s="10" t="e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#DIV/0!</v>
      </c>
      <c r="G11" s="4">
        <f>Submetering!AK12+Submetering!AL12+Submetering!AU12</f>
        <v>0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0</v>
      </c>
      <c r="J11" s="11" t="e">
        <f>((Submetering!AG12+Submetering!BA12)*0.8868+(1712.96+1070.52)/30+(Submetering!AF12+Submetering!AY12+Submetering!AV12+Submetering!AZ12)*1.1251+(2076.11+129.67+207.57+207.57)/30+(11680.53+56.61)/30)/I11</f>
        <v>#DIV/0!</v>
      </c>
      <c r="K11" s="4">
        <f>Elect!C14</f>
        <v>2314</v>
      </c>
    </row>
    <row r="12" spans="1:23" x14ac:dyDescent="0.25">
      <c r="A12" s="3" t="s">
        <v>11</v>
      </c>
      <c r="B12" s="1">
        <v>27</v>
      </c>
      <c r="C12" s="2">
        <v>2</v>
      </c>
      <c r="D12" s="2">
        <v>2023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0</v>
      </c>
      <c r="F12" s="10" t="e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#DIV/0!</v>
      </c>
      <c r="G12" s="4">
        <f>Submetering!AK13+Submetering!AL13+Submetering!AU13</f>
        <v>0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0</v>
      </c>
      <c r="J12" s="11" t="e">
        <f>((Submetering!AG13+Submetering!BA13)*0.8868+(1712.96+1070.52)/30+(Submetering!AF13+Submetering!AY13+Submetering!AV13+Submetering!AZ13)*1.1251+(2076.11+129.67+207.57+207.57)/30+(11680.53+56.61)/30)/I12</f>
        <v>#DIV/0!</v>
      </c>
      <c r="K12" s="4">
        <f>Elect!C15</f>
        <v>413</v>
      </c>
    </row>
    <row r="13" spans="1:23" x14ac:dyDescent="0.25">
      <c r="A13" s="3" t="s">
        <v>11</v>
      </c>
      <c r="B13" s="1">
        <v>28</v>
      </c>
      <c r="C13" s="2">
        <v>2</v>
      </c>
      <c r="D13" s="2">
        <v>2023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0</v>
      </c>
      <c r="F13" s="10" t="e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#DIV/0!</v>
      </c>
      <c r="G13" s="4">
        <f>Submetering!AK14+Submetering!AL14+Submetering!AU14</f>
        <v>0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0</v>
      </c>
      <c r="J13" s="11" t="e">
        <f>((Submetering!AG14+Submetering!BA14)*0.8868+(1712.96+1070.52)/30+(Submetering!AF14+Submetering!AY14+Submetering!AV14+Submetering!AZ14)*1.1251+(2076.11+129.67+207.57+207.57)/30+(11680.53+56.61)/30)/I13</f>
        <v>#DIV/0!</v>
      </c>
      <c r="K13" s="4">
        <f>Elect!C16</f>
        <v>0</v>
      </c>
    </row>
    <row r="14" spans="1:23" x14ac:dyDescent="0.25">
      <c r="A14" s="3" t="s">
        <v>11</v>
      </c>
      <c r="B14" s="1">
        <v>6</v>
      </c>
      <c r="C14" s="2">
        <v>3</v>
      </c>
      <c r="D14" s="2">
        <v>2023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0</v>
      </c>
      <c r="F14" s="10" t="e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#DIV/0!</v>
      </c>
      <c r="G14" s="4">
        <f>Submetering!AK15+Submetering!AL15+Submetering!AU15</f>
        <v>0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0</v>
      </c>
      <c r="J14" s="11" t="e">
        <f>((Submetering!AG15+Submetering!BA15)*0.8868+(1712.96+1070.52)/30+(Submetering!AF15+Submetering!AY15+Submetering!AV15+Submetering!AZ15)*1.1251+(2076.11+129.67+207.57+207.57)/30+(11680.53+56.61)/30)/I14</f>
        <v>#DIV/0!</v>
      </c>
      <c r="K14" s="4">
        <f>Elect!C17</f>
        <v>0</v>
      </c>
    </row>
    <row r="15" spans="1:23" x14ac:dyDescent="0.25">
      <c r="A15" s="3" t="s">
        <v>11</v>
      </c>
      <c r="B15" s="1">
        <v>13</v>
      </c>
      <c r="C15" s="2">
        <v>3</v>
      </c>
      <c r="D15" s="2">
        <v>2023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0</v>
      </c>
      <c r="F15" s="10" t="e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#DIV/0!</v>
      </c>
      <c r="G15" s="4">
        <f>Submetering!AK16+Submetering!AL16+Submetering!AU16</f>
        <v>0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0</v>
      </c>
      <c r="J15" s="11" t="e">
        <f>((Submetering!AG16+Submetering!BA16)*0.8868+(1712.96+1070.52)/30+(Submetering!AF16+Submetering!AY16+Submetering!AV16+Submetering!AZ16)*1.1251+(2076.11+129.67+207.57+207.57)/30+(11680.53+56.61)/30)/I15</f>
        <v>#DIV/0!</v>
      </c>
      <c r="K15" s="4">
        <f>Elect!C18</f>
        <v>0</v>
      </c>
    </row>
    <row r="16" spans="1:23" x14ac:dyDescent="0.25">
      <c r="A16" s="3" t="s">
        <v>11</v>
      </c>
      <c r="B16" s="1">
        <v>20</v>
      </c>
      <c r="C16" s="2">
        <v>3</v>
      </c>
      <c r="D16" s="2">
        <v>2023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0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4">
        <f>Submetering!AK17+Submetering!AL17+Submetering!AU17</f>
        <v>0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0</v>
      </c>
      <c r="J16" s="11" t="e">
        <f>((Submetering!AG17+Submetering!BA17)*0.8868+(1712.96+1070.52)/30+(Submetering!AF17+Submetering!AY17+Submetering!AV17+Submetering!AZ17)*1.1251+(2076.11+129.67+207.57+207.57)/30+(11680.53+56.61)/30)/I16</f>
        <v>#DIV/0!</v>
      </c>
      <c r="K16" s="4">
        <f>Elect!C19</f>
        <v>0</v>
      </c>
    </row>
    <row r="17" spans="1:11" x14ac:dyDescent="0.25">
      <c r="A17" s="3" t="s">
        <v>11</v>
      </c>
      <c r="B17" s="1">
        <v>27</v>
      </c>
      <c r="C17" s="2">
        <v>3</v>
      </c>
      <c r="D17" s="2">
        <v>2023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0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4">
        <f>Submetering!AK18+Submetering!AL18+Submetering!AU18</f>
        <v>0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0</v>
      </c>
      <c r="J17" s="11" t="e">
        <f>((Submetering!AG18+Submetering!BA18)*0.8868+(1712.96+1070.52)/30+(Submetering!AF18+Submetering!AY18+Submetering!AV18+Submetering!AZ18)*1.1251+(2076.11+129.67+207.57+207.57)/30+(11680.53+56.61)/30)/I17</f>
        <v>#DIV/0!</v>
      </c>
      <c r="K17" s="4">
        <f>Elect!C20</f>
        <v>0</v>
      </c>
    </row>
    <row r="18" spans="1:11" x14ac:dyDescent="0.25">
      <c r="A18" s="3" t="s">
        <v>11</v>
      </c>
      <c r="B18" s="1">
        <v>31</v>
      </c>
      <c r="C18" s="2">
        <v>3</v>
      </c>
      <c r="D18" s="2">
        <v>2023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0</v>
      </c>
    </row>
    <row r="19" spans="1:11" x14ac:dyDescent="0.25">
      <c r="A19" s="3" t="s">
        <v>11</v>
      </c>
      <c r="B19" s="1">
        <v>3</v>
      </c>
      <c r="C19" s="2">
        <v>4</v>
      </c>
      <c r="D19" s="2">
        <v>2023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0</v>
      </c>
    </row>
    <row r="20" spans="1:11" x14ac:dyDescent="0.25">
      <c r="A20" s="3" t="s">
        <v>11</v>
      </c>
      <c r="B20" s="1">
        <v>10</v>
      </c>
      <c r="C20" s="2">
        <v>4</v>
      </c>
      <c r="D20" s="2">
        <v>2023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0</v>
      </c>
    </row>
    <row r="21" spans="1:11" x14ac:dyDescent="0.25">
      <c r="A21" s="3" t="s">
        <v>11</v>
      </c>
      <c r="B21" s="1">
        <v>17</v>
      </c>
      <c r="C21" s="2">
        <v>4</v>
      </c>
      <c r="D21" s="2">
        <v>2023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25">
      <c r="A22" s="3" t="s">
        <v>11</v>
      </c>
      <c r="B22" s="1">
        <v>24</v>
      </c>
      <c r="C22" s="2">
        <v>4</v>
      </c>
      <c r="D22" s="2">
        <v>2023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25">
      <c r="A23" s="3" t="s">
        <v>11</v>
      </c>
      <c r="B23" s="1">
        <v>30</v>
      </c>
      <c r="C23" s="2">
        <v>4</v>
      </c>
      <c r="D23" s="2">
        <v>2023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1">
        <v>1</v>
      </c>
      <c r="C24" s="2">
        <v>5</v>
      </c>
      <c r="D24" s="2">
        <v>2023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1">
        <v>8</v>
      </c>
      <c r="C25" s="2">
        <v>5</v>
      </c>
      <c r="D25" s="2">
        <v>2023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1">
        <v>15</v>
      </c>
      <c r="C26" s="2">
        <v>5</v>
      </c>
      <c r="D26" s="2">
        <v>2023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1">
        <v>22</v>
      </c>
      <c r="C27" s="2">
        <v>5</v>
      </c>
      <c r="D27" s="2">
        <v>2023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1">
        <v>29</v>
      </c>
      <c r="C28" s="2">
        <v>5</v>
      </c>
      <c r="D28" s="2">
        <v>2023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1">
        <v>31</v>
      </c>
      <c r="C29" s="2">
        <v>5</v>
      </c>
      <c r="D29" s="2">
        <v>2023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1">
        <v>5</v>
      </c>
      <c r="C30" s="2">
        <v>6</v>
      </c>
      <c r="D30" s="2">
        <v>2023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1">
        <v>12</v>
      </c>
      <c r="C31" s="2">
        <v>6</v>
      </c>
      <c r="D31" s="2">
        <v>2023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1">
        <v>19</v>
      </c>
      <c r="C32" s="2">
        <v>6</v>
      </c>
      <c r="D32" s="2">
        <v>2023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1">
        <v>26</v>
      </c>
      <c r="C33" s="2">
        <v>6</v>
      </c>
      <c r="D33" s="2">
        <v>2023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</row>
    <row r="34" spans="1:12" x14ac:dyDescent="0.25">
      <c r="A34" s="3" t="s">
        <v>11</v>
      </c>
      <c r="B34" s="1">
        <v>30</v>
      </c>
      <c r="C34" s="2">
        <v>6</v>
      </c>
      <c r="D34" s="2">
        <v>2023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</row>
    <row r="35" spans="1:12" x14ac:dyDescent="0.25">
      <c r="A35" s="3" t="s">
        <v>11</v>
      </c>
      <c r="B35" s="1">
        <v>3</v>
      </c>
      <c r="C35" s="2">
        <v>7</v>
      </c>
      <c r="D35" s="2">
        <v>2023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</row>
    <row r="36" spans="1:12" x14ac:dyDescent="0.25">
      <c r="A36" s="3" t="s">
        <v>11</v>
      </c>
      <c r="B36" s="1">
        <v>10</v>
      </c>
      <c r="C36" s="2">
        <v>7</v>
      </c>
      <c r="D36" s="2">
        <v>2023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</row>
    <row r="37" spans="1:12" x14ac:dyDescent="0.25">
      <c r="A37" s="3" t="s">
        <v>11</v>
      </c>
      <c r="B37" s="1">
        <v>17</v>
      </c>
      <c r="C37" s="2">
        <v>7</v>
      </c>
      <c r="D37" s="2">
        <v>2023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</row>
    <row r="38" spans="1:12" x14ac:dyDescent="0.25">
      <c r="A38" s="3" t="s">
        <v>11</v>
      </c>
      <c r="B38" s="1">
        <v>24</v>
      </c>
      <c r="C38" s="2">
        <v>7</v>
      </c>
      <c r="D38" s="2">
        <v>2023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</row>
    <row r="39" spans="1:12" x14ac:dyDescent="0.25">
      <c r="A39" s="3" t="s">
        <v>11</v>
      </c>
      <c r="B39" s="1">
        <v>31</v>
      </c>
      <c r="C39" s="2">
        <v>7</v>
      </c>
      <c r="D39" s="2">
        <v>2023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</row>
    <row r="40" spans="1:12" x14ac:dyDescent="0.25">
      <c r="A40" s="3" t="s">
        <v>11</v>
      </c>
      <c r="B40" s="1">
        <v>7</v>
      </c>
      <c r="C40" s="2">
        <v>8</v>
      </c>
      <c r="D40" s="2">
        <v>2023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</row>
    <row r="41" spans="1:12" x14ac:dyDescent="0.25">
      <c r="A41" s="3" t="s">
        <v>11</v>
      </c>
      <c r="B41" s="1">
        <v>14</v>
      </c>
      <c r="C41" s="2">
        <v>8</v>
      </c>
      <c r="D41" s="2">
        <v>2023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1">
        <v>21</v>
      </c>
      <c r="C42" s="2">
        <v>8</v>
      </c>
      <c r="D42" s="2">
        <v>2023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</row>
    <row r="43" spans="1:12" x14ac:dyDescent="0.25">
      <c r="A43" s="3" t="s">
        <v>11</v>
      </c>
      <c r="B43" s="1">
        <v>28</v>
      </c>
      <c r="C43" s="2">
        <v>9</v>
      </c>
      <c r="D43" s="2">
        <v>2023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</row>
    <row r="44" spans="1:12" x14ac:dyDescent="0.25">
      <c r="A44" s="3" t="s">
        <v>11</v>
      </c>
      <c r="B44" s="1">
        <v>31</v>
      </c>
      <c r="C44" s="2">
        <v>8</v>
      </c>
      <c r="D44" s="2">
        <v>2023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</row>
    <row r="45" spans="1:12" x14ac:dyDescent="0.25">
      <c r="A45" s="3" t="s">
        <v>11</v>
      </c>
      <c r="B45" s="1">
        <v>4</v>
      </c>
      <c r="C45" s="2">
        <v>9</v>
      </c>
      <c r="D45" s="2">
        <v>2023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</row>
    <row r="46" spans="1:12" x14ac:dyDescent="0.25">
      <c r="A46" s="3" t="s">
        <v>11</v>
      </c>
      <c r="B46" s="1">
        <v>11</v>
      </c>
      <c r="C46" s="2">
        <v>9</v>
      </c>
      <c r="D46" s="2">
        <v>2023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</row>
    <row r="47" spans="1:12" x14ac:dyDescent="0.25">
      <c r="A47" s="3" t="s">
        <v>11</v>
      </c>
      <c r="B47" s="1">
        <v>18</v>
      </c>
      <c r="C47" s="2">
        <v>9</v>
      </c>
      <c r="D47" s="2">
        <v>2023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</row>
    <row r="48" spans="1:12" x14ac:dyDescent="0.25">
      <c r="A48" s="3" t="s">
        <v>11</v>
      </c>
      <c r="B48" s="1">
        <v>25</v>
      </c>
      <c r="C48" s="2">
        <v>9</v>
      </c>
      <c r="D48" s="2">
        <v>2023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</row>
    <row r="49" spans="1:11" x14ac:dyDescent="0.25">
      <c r="A49" s="3" t="s">
        <v>11</v>
      </c>
      <c r="B49" s="1">
        <v>30</v>
      </c>
      <c r="C49" s="2">
        <v>9</v>
      </c>
      <c r="D49" s="2">
        <v>2023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1">
        <v>2</v>
      </c>
      <c r="C50" s="2">
        <v>10</v>
      </c>
      <c r="D50" s="2">
        <v>2023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1">
        <v>9</v>
      </c>
      <c r="C51" s="2">
        <v>10</v>
      </c>
      <c r="D51" s="2">
        <v>2023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1">
        <v>16</v>
      </c>
      <c r="C52" s="2">
        <v>10</v>
      </c>
      <c r="D52" s="2">
        <v>2023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1">
        <v>23</v>
      </c>
      <c r="C53" s="2">
        <v>10</v>
      </c>
      <c r="D53" s="2">
        <v>2023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1">
        <v>30</v>
      </c>
      <c r="C54" s="2">
        <v>10</v>
      </c>
      <c r="D54" s="2">
        <v>2023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1">
        <v>31</v>
      </c>
      <c r="C55" s="2">
        <v>10</v>
      </c>
      <c r="D55" s="2">
        <v>2023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1">
        <v>6</v>
      </c>
      <c r="C56" s="2">
        <v>11</v>
      </c>
      <c r="D56" s="2">
        <v>2023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1">
        <v>13</v>
      </c>
      <c r="C57" s="2">
        <v>11</v>
      </c>
      <c r="D57" s="2">
        <v>2023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1">
        <v>20</v>
      </c>
      <c r="C58" s="2">
        <v>11</v>
      </c>
      <c r="D58" s="2">
        <v>2023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1">
        <v>27</v>
      </c>
      <c r="C59" s="2">
        <v>11</v>
      </c>
      <c r="D59" s="2">
        <v>2023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1">
        <v>30</v>
      </c>
      <c r="C60" s="2">
        <v>11</v>
      </c>
      <c r="D60" s="2">
        <v>2023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1">
        <v>4</v>
      </c>
      <c r="C61" s="2">
        <v>12</v>
      </c>
      <c r="D61" s="2">
        <v>2023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0.81659999999999999</v>
      </c>
      <c r="I61" s="4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1">
        <v>11</v>
      </c>
      <c r="C62" s="2">
        <v>12</v>
      </c>
      <c r="D62" s="2">
        <v>2023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0.81659999999999999</v>
      </c>
      <c r="I62" s="4">
        <f>Submetering!AF63+Submetering!AG63+Submetering!AH63+Submetering!AI63+Submetering!AJ63+Submetering!AM63+Submetering!AN63+Submetering!AO63+Submetering!AQ63+Submetering!AR63+Submetering!AS63+Submetering!AT63+Submetering!AV63+Submetering!AY63+Submetering!AW63+Submetering!AZ63+Submetering!BA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  <row r="63" spans="1:11" x14ac:dyDescent="0.25">
      <c r="A63" s="3" t="s">
        <v>11</v>
      </c>
      <c r="B63" s="1">
        <v>18</v>
      </c>
      <c r="C63" s="2">
        <v>12</v>
      </c>
      <c r="D63" s="2">
        <v>2023</v>
      </c>
      <c r="E63" s="4">
        <f>Submetering!F64+Submetering!H64+Submetering!J64+Submetering!L64+Submetering!N64+Submetering!P64+Submetering!R64+Submetering!T64+Submetering!V64+Submetering!X64+Submetering!Z64+Submetering!AB64+Submetering!AC64+Submetering!AD64+Submetering!AE64</f>
        <v>0</v>
      </c>
      <c r="F63" s="10" t="e">
        <f>((((Submetering!E64+Submetering!AD64)*0.13773+(Submetering!E64+Submetering!AD64)*0.02095)*1.09+(2.85/30)*2)+(((Submetering!F64+Submetering!H64+Submetering!J64+Submetering!L64+Submetering!N64+Submetering!P64+Submetering!R64+Submetering!T64+Submetering!V64+Submetering!X64+Submetering!Z64+Submetering!AB64+Submetering!AC64+Submetering!AE64)*0.05155)+((Submetering!F64+Submetering!H64+Submetering!J64+Submetering!L64+Submetering!N64+Submetering!P64+Submetering!R64+Submetering!T64+Submetering!V64+Submetering!X64+Submetering!Z64+Submetering!AB64+Submetering!AC64+Submetering!AE64)*0.02095)+(20/30)*15)*1.1048)/E63</f>
        <v>#DIV/0!</v>
      </c>
      <c r="G63" s="4">
        <f>Submetering!AK64+Submetering!AL64+Submetering!AU64</f>
        <v>0</v>
      </c>
      <c r="H63" s="11">
        <v>0.81659999999999999</v>
      </c>
      <c r="I63" s="4">
        <f>Submetering!AF64+Submetering!AG64+Submetering!AH64+Submetering!AI64+Submetering!AJ64+Submetering!AM64+Submetering!AN64+Submetering!AO64+Submetering!AQ64+Submetering!AR64+Submetering!AS64+Submetering!AT64+Submetering!AV64+Submetering!AY64+Submetering!AW64+Submetering!AZ64+Submetering!BA64</f>
        <v>0</v>
      </c>
      <c r="J63" s="11" t="e">
        <f>((Submetering!AG64+Submetering!BA64)*0.8868+(1712.96+1070.52)/30+(Submetering!AF64+Submetering!AY64+Submetering!AV64+Submetering!AZ64)*1.1251+(2076.11+129.67+207.57+207.57)/30+(11680.53+56.61)/30)/I63</f>
        <v>#DIV/0!</v>
      </c>
      <c r="K63" s="4">
        <f>Elect!C66</f>
        <v>0</v>
      </c>
    </row>
    <row r="64" spans="1:11" x14ac:dyDescent="0.25">
      <c r="A64" s="3" t="s">
        <v>11</v>
      </c>
      <c r="B64" s="1">
        <v>25</v>
      </c>
      <c r="C64" s="2">
        <v>12</v>
      </c>
      <c r="D64" s="2">
        <v>2023</v>
      </c>
      <c r="E64" s="4">
        <f>Submetering!F65+Submetering!H65+Submetering!J65+Submetering!L65+Submetering!N65+Submetering!P65+Submetering!R65+Submetering!T65+Submetering!V65+Submetering!X65+Submetering!Z65+Submetering!AB65+Submetering!AC65+Submetering!AD65+Submetering!AE65</f>
        <v>0</v>
      </c>
      <c r="F64" s="10" t="e">
        <f>((((Submetering!E65+Submetering!AD65)*0.13773+(Submetering!E65+Submetering!AD65)*0.02095)*1.09+(2.85/30)*2)+(((Submetering!F65+Submetering!H65+Submetering!J65+Submetering!L65+Submetering!N65+Submetering!P65+Submetering!R65+Submetering!T65+Submetering!V65+Submetering!X65+Submetering!Z65+Submetering!AB65+Submetering!AC65+Submetering!AE65)*0.05155)+((Submetering!F65+Submetering!H65+Submetering!J65+Submetering!L65+Submetering!N65+Submetering!P65+Submetering!R65+Submetering!T65+Submetering!V65+Submetering!X65+Submetering!Z65+Submetering!AB65+Submetering!AC65+Submetering!AE65)*0.02095)+(20/30)*15)*1.1048)/E64</f>
        <v>#DIV/0!</v>
      </c>
      <c r="G64" s="4">
        <f>Submetering!AK65+Submetering!AL65+Submetering!AU65</f>
        <v>0</v>
      </c>
      <c r="H64" s="11">
        <v>0.81659999999999999</v>
      </c>
      <c r="I64" s="4">
        <f>Submetering!AF65+Submetering!AG65+Submetering!AH65+Submetering!AI65+Submetering!AJ65+Submetering!AM65+Submetering!AN65+Submetering!AO65+Submetering!AQ65+Submetering!AR65+Submetering!AS65+Submetering!AT65+Submetering!AV65+Submetering!AY65+Submetering!AW65+Submetering!AZ65+Submetering!BA65</f>
        <v>0</v>
      </c>
      <c r="J64" s="11" t="e">
        <f>((Submetering!AG65+Submetering!BA65)*0.8868+(1712.96+1070.52)/30+(Submetering!AF65+Submetering!AY65+Submetering!AV65+Submetering!AZ65)*1.1251+(2076.11+129.67+207.57+207.57)/30+(11680.53+56.61)/30)/I64</f>
        <v>#DIV/0!</v>
      </c>
      <c r="K64" s="4">
        <f>Elect!C67</f>
        <v>0</v>
      </c>
    </row>
    <row r="65" spans="1:11" x14ac:dyDescent="0.25">
      <c r="A65" s="3" t="s">
        <v>11</v>
      </c>
      <c r="B65" s="1">
        <v>31</v>
      </c>
      <c r="C65" s="2">
        <v>12</v>
      </c>
      <c r="D65" s="2">
        <v>2023</v>
      </c>
      <c r="E65" s="4">
        <f>Submetering!F66+Submetering!H66+Submetering!J66+Submetering!L66+Submetering!N66+Submetering!P66+Submetering!R66+Submetering!T66+Submetering!V66+Submetering!X66+Submetering!Z66+Submetering!AB66+Submetering!AC66+Submetering!AD66+Submetering!AE66</f>
        <v>0</v>
      </c>
      <c r="F65" s="10" t="e">
        <f>((((Submetering!E66+Submetering!AD66)*0.13773+(Submetering!E66+Submetering!AD66)*0.02095)*1.09+(2.85/30)*2)+(((Submetering!F66+Submetering!H66+Submetering!J66+Submetering!L66+Submetering!N66+Submetering!P66+Submetering!R66+Submetering!T66+Submetering!V66+Submetering!X66+Submetering!Z66+Submetering!AB66+Submetering!AC66+Submetering!AE66)*0.05155)+((Submetering!F66+Submetering!H66+Submetering!J66+Submetering!L66+Submetering!N66+Submetering!P66+Submetering!R66+Submetering!T66+Submetering!V66+Submetering!X66+Submetering!Z66+Submetering!AB66+Submetering!AC66+Submetering!AE66)*0.02095)+(20/30)*15)*1.1048)/E65</f>
        <v>#DIV/0!</v>
      </c>
      <c r="G65" s="4">
        <f>Submetering!AK66+Submetering!AL66+Submetering!AU66</f>
        <v>0</v>
      </c>
      <c r="H65" s="11">
        <v>0.81659999999999999</v>
      </c>
      <c r="I65" s="4">
        <f>Submetering!AF66+Submetering!AG66+Submetering!AH66+Submetering!AI66+Submetering!AJ66+Submetering!AM66+Submetering!AN66+Submetering!AO66+Submetering!AQ66+Submetering!AR66+Submetering!AS66+Submetering!AT66+Submetering!AV66+Submetering!AY66+Submetering!AW66+Submetering!AZ66+Submetering!BA66</f>
        <v>0</v>
      </c>
      <c r="J65" s="11" t="e">
        <f>((Submetering!AG66+Submetering!BA66)*0.8868+(1712.96+1070.52)/30+(Submetering!AF66+Submetering!AY66+Submetering!AV66+Submetering!AZ66)*1.1251+(2076.11+129.67+207.57+207.57)/30+(11680.53+56.61)/30)/I65</f>
        <v>#DIV/0!</v>
      </c>
      <c r="K65" s="4">
        <f>Elect!C68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5"/>
  <sheetViews>
    <sheetView workbookViewId="0">
      <pane xSplit="2" ySplit="1" topLeftCell="T38" activePane="bottomRight" state="frozen"/>
      <selection pane="topRight" activeCell="C1" sqref="C1"/>
      <selection pane="bottomLeft" activeCell="A2" sqref="A2"/>
      <selection pane="bottomRight" activeCell="U65" sqref="U65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68"/>
    <col min="39" max="40" width="11.5703125" style="1"/>
    <col min="47" max="47" width="11.5703125" style="1"/>
    <col min="49" max="49" width="11.5703125" style="1"/>
    <col min="51" max="51" width="12.85546875" customWidth="1"/>
  </cols>
  <sheetData>
    <row r="1" spans="1:54" s="3" customFormat="1" ht="105" x14ac:dyDescent="0.25">
      <c r="A1" s="7" t="s">
        <v>0</v>
      </c>
      <c r="B1" s="86" t="s">
        <v>1</v>
      </c>
      <c r="C1" s="7" t="s">
        <v>2</v>
      </c>
      <c r="D1" s="7" t="s">
        <v>3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2" t="s">
        <v>18</v>
      </c>
      <c r="L1" s="32" t="s">
        <v>19</v>
      </c>
      <c r="M1" s="32" t="s">
        <v>20</v>
      </c>
      <c r="N1" s="32" t="s">
        <v>21</v>
      </c>
      <c r="O1" s="32" t="s">
        <v>22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32" t="s">
        <v>34</v>
      </c>
      <c r="AB1" s="32" t="s">
        <v>35</v>
      </c>
      <c r="AC1" s="32" t="s">
        <v>36</v>
      </c>
      <c r="AD1" s="32" t="s">
        <v>37</v>
      </c>
      <c r="AE1" s="32" t="s">
        <v>38</v>
      </c>
      <c r="AF1" s="34" t="s">
        <v>39</v>
      </c>
      <c r="AG1" s="34" t="s">
        <v>40</v>
      </c>
      <c r="AH1" s="34" t="s">
        <v>41</v>
      </c>
      <c r="AI1" s="34" t="s">
        <v>42</v>
      </c>
      <c r="AJ1" s="34" t="s">
        <v>43</v>
      </c>
      <c r="AK1" s="35" t="s">
        <v>44</v>
      </c>
      <c r="AL1" s="35" t="s">
        <v>45</v>
      </c>
      <c r="AM1" s="34" t="s">
        <v>46</v>
      </c>
      <c r="AN1" s="34" t="s">
        <v>47</v>
      </c>
      <c r="AO1" s="34" t="s">
        <v>48</v>
      </c>
      <c r="AP1" s="34" t="s">
        <v>49</v>
      </c>
      <c r="AQ1" s="34" t="s">
        <v>50</v>
      </c>
      <c r="AR1" s="34" t="s">
        <v>51</v>
      </c>
      <c r="AS1" s="34" t="s">
        <v>52</v>
      </c>
      <c r="AT1" s="34" t="s">
        <v>53</v>
      </c>
      <c r="AU1" s="35" t="s">
        <v>54</v>
      </c>
      <c r="AV1" s="34" t="s">
        <v>55</v>
      </c>
      <c r="AW1" s="34" t="s">
        <v>56</v>
      </c>
      <c r="AX1" s="34" t="s">
        <v>57</v>
      </c>
      <c r="AY1" s="34" t="s">
        <v>58</v>
      </c>
      <c r="AZ1" s="34" t="s">
        <v>59</v>
      </c>
      <c r="BA1" s="34" t="s">
        <v>60</v>
      </c>
      <c r="BB1" s="8"/>
    </row>
    <row r="2" spans="1:54" x14ac:dyDescent="0.25">
      <c r="A2" s="3" t="s">
        <v>11</v>
      </c>
      <c r="B2" s="1">
        <v>1</v>
      </c>
      <c r="C2" s="2">
        <v>1</v>
      </c>
      <c r="D2" s="2">
        <v>2023</v>
      </c>
      <c r="E2" s="33">
        <f>IF(Elect!AM4&lt;0,"0",Elect!AM4)</f>
        <v>0</v>
      </c>
      <c r="F2" s="33" t="str">
        <f>IF(Elect!I4&lt;0,"0",Elect!I4)</f>
        <v xml:space="preserve"> </v>
      </c>
      <c r="G2" s="33">
        <f>Elect!H4</f>
        <v>2.4689999999999999</v>
      </c>
      <c r="H2" s="33" t="str">
        <f>IF(Elect!F4&lt;0,"0",Elect!F4)</f>
        <v xml:space="preserve"> </v>
      </c>
      <c r="I2" s="33">
        <f>Elect!E4</f>
        <v>2.085</v>
      </c>
      <c r="J2" s="33" t="str">
        <f>IF(Elect!U4&lt;0,"0",Elect!U4)</f>
        <v xml:space="preserve"> </v>
      </c>
      <c r="K2" s="33">
        <f>Elect!T4</f>
        <v>2.0720000000000001</v>
      </c>
      <c r="L2" s="33" t="str">
        <f>IF(Elect!AJ4&lt;0,"0",Elect!AJ4)</f>
        <v xml:space="preserve"> </v>
      </c>
      <c r="M2" s="33">
        <f>Elect!AI4</f>
        <v>0.40500000000000003</v>
      </c>
      <c r="N2" s="33" t="str">
        <f>IF(Elect!X4&lt;0,"0",Elect!X4)</f>
        <v xml:space="preserve"> </v>
      </c>
      <c r="O2" s="33">
        <f>Elect!W4</f>
        <v>1.756</v>
      </c>
      <c r="P2" s="33" t="str">
        <f>IF(Elect!O4&lt;0,"0",Elect!O4)</f>
        <v xml:space="preserve"> </v>
      </c>
      <c r="Q2" s="33">
        <f>Elect!N4</f>
        <v>3.68</v>
      </c>
      <c r="R2" s="33" t="str">
        <f>IF(Elect!L4&lt;0,"0",Elect!L4)</f>
        <v xml:space="preserve"> </v>
      </c>
      <c r="S2" s="33">
        <f>Elect!K4</f>
        <v>4.16</v>
      </c>
      <c r="T2" s="33" t="str">
        <f>IF(Elect!R4&lt;0,"0",Elect!R4)</f>
        <v xml:space="preserve"> </v>
      </c>
      <c r="U2" s="33">
        <f>Elect!Q4</f>
        <v>3.76</v>
      </c>
      <c r="V2" s="33" t="str">
        <f>IF(Elect!AA4&lt;0,"0",Elect!AA4)</f>
        <v xml:space="preserve"> </v>
      </c>
      <c r="W2" s="33">
        <f>Elect!Z4</f>
        <v>3</v>
      </c>
      <c r="X2" s="33" t="str">
        <f>IF(Elect!AD4&lt;0,"0",Elect!AD4)</f>
        <v xml:space="preserve"> </v>
      </c>
      <c r="Y2" s="33">
        <f>Elect!AC4</f>
        <v>2.25</v>
      </c>
      <c r="Z2" s="33" t="str">
        <f>IF(Elect!AG4&lt;0,"0",Elect!AG4)</f>
        <v xml:space="preserve"> </v>
      </c>
      <c r="AA2" s="33">
        <f>Elect!AF4</f>
        <v>2.1989999999999998</v>
      </c>
      <c r="AB2" s="33" t="str">
        <f>IF(Elect!AX4&lt;0,"0",Elect!AX4)</f>
        <v xml:space="preserve"> </v>
      </c>
      <c r="AC2" s="33" t="str">
        <f>IF(Elect!AV4&lt;0,"0",Elect!AV4)</f>
        <v xml:space="preserve"> </v>
      </c>
      <c r="AD2" s="33" t="str">
        <f>IF(Elect!AZ4&lt;0,"0",Elect!AZ4)</f>
        <v xml:space="preserve"> </v>
      </c>
      <c r="AE2" s="33" t="str">
        <f>IF(Elect!BB4&lt;0,"0",Elect!BB4)</f>
        <v xml:space="preserve"> </v>
      </c>
      <c r="AF2" s="66" t="e">
        <f>IF('Wtr-Gas'!E4&lt;0,"0",('Wtr-Gas'!E4)*0.0038)</f>
        <v>#VALUE!</v>
      </c>
      <c r="AG2" s="66" t="e">
        <f>IF('Wtr-Gas'!H4&lt;0,"0",('Wtr-Gas'!H4)*0.0038)</f>
        <v>#VALUE!</v>
      </c>
      <c r="AH2" s="66" t="e">
        <f>IF('Wtr-Gas'!K4&lt;0,"0",('Wtr-Gas'!K4)*0.0038)</f>
        <v>#VALUE!</v>
      </c>
      <c r="AI2" s="66" t="e">
        <f>IF('Wtr-Gas'!N4&lt;0,"0",('Wtr-Gas'!N4)*0.0038)</f>
        <v>#VALUE!</v>
      </c>
      <c r="AJ2" s="66" t="e">
        <f>IF('Wtr-Gas'!Q4&lt;0,"0",('Wtr-Gas'!Q4)*0.0038)</f>
        <v>#VALUE!</v>
      </c>
      <c r="AK2" s="67" t="e">
        <f>IF('Wtr-Gas'!U4&lt;0,"0",('Wtr-Gas'!U4)*0.0038)</f>
        <v>#VALUE!</v>
      </c>
      <c r="AL2" s="67" t="e">
        <f>IF('Wtr-Gas'!X4&lt;0,"0",('Wtr-Gas'!X4)*0.0038)</f>
        <v>#VALUE!</v>
      </c>
      <c r="AM2" s="66" t="e">
        <f>IF('Wtr-Gas'!AB4&lt;0,"0",('Wtr-Gas'!AB4)*0.0038)</f>
        <v>#VALUE!</v>
      </c>
      <c r="AN2" s="66" t="e">
        <f>IF('Wtr-Gas'!AD4&lt;0,"0",('Wtr-Gas'!AD4)*0.0038)</f>
        <v>#VALUE!</v>
      </c>
      <c r="AO2" s="66" t="e">
        <f>IF('Wtr-Gas'!AH4&lt;0,"0",('Wtr-Gas'!AH4)*0.0038)</f>
        <v>#VALUE!</v>
      </c>
      <c r="AP2" s="66" t="e">
        <f>IF('Wtr-Gas'!AJ4&lt;0,"0",('Wtr-Gas'!AJ4)*0.0038)</f>
        <v>#VALUE!</v>
      </c>
      <c r="AQ2" s="66" t="e">
        <f>IF('Wtr-Gas'!AL4&lt;0,"0",('Wtr-Gas'!AL4)*0.0038)</f>
        <v>#VALUE!</v>
      </c>
      <c r="AR2" s="66" t="e">
        <f>IF('Wtr-Gas'!AN4&lt;0,"0",('Wtr-Gas'!AN4)*0.0038)</f>
        <v>#VALUE!</v>
      </c>
      <c r="AS2" s="66" t="e">
        <f>IF('Wtr-Gas'!AP4&lt;0,"0",('Wtr-Gas'!AP4)*0.0038)</f>
        <v>#VALUE!</v>
      </c>
      <c r="AT2" s="66" t="e">
        <f>IF('Wtr-Gas'!AR4&lt;0,"0",('Wtr-Gas'!AR4)*0.0038)</f>
        <v>#VALUE!</v>
      </c>
      <c r="AU2" s="72" t="e">
        <f>IF('Wtr-Gas'!AV4&lt;0,"0",('Wtr-Gas'!AV4)*0.0038)</f>
        <v>#VALUE!</v>
      </c>
      <c r="AV2" s="66" t="e">
        <f>IF('Wtr-Gas'!AY4&lt;0,"0",('Wtr-Gas'!AY4)*0.0038)</f>
        <v>#VALUE!</v>
      </c>
      <c r="AW2" s="66" t="e">
        <f>IF('Wtr-Gas'!BA4&lt;0,"0",('Wtr-Gas'!BA4)*0.0038)</f>
        <v>#VALUE!</v>
      </c>
      <c r="AX2" s="66" t="e">
        <f>IF('Wtr-Gas'!BB4&lt;0,"0",('Wtr-Gas'!BB4)*0.0038)</f>
        <v>#VALUE!</v>
      </c>
      <c r="AY2" s="66" t="e">
        <f>IF('Wtr-Gas'!BD4&lt;0,"0",('Wtr-Gas'!BD4)*0.0038)</f>
        <v>#VALUE!</v>
      </c>
      <c r="AZ2" s="66" t="e">
        <f>IF('Wtr-Gas'!BF4&lt;0,"0",('Wtr-Gas'!BF4)*0.0038)</f>
        <v>#VALUE!</v>
      </c>
      <c r="BA2" s="66" t="e">
        <f>IF('Wtr-Gas'!BH4&lt;0,"0",('Wtr-Gas'!BH4)*0.0038)</f>
        <v>#VALUE!</v>
      </c>
    </row>
    <row r="3" spans="1:54" x14ac:dyDescent="0.25">
      <c r="A3" s="3" t="s">
        <v>11</v>
      </c>
      <c r="B3" s="1">
        <v>2</v>
      </c>
      <c r="C3" s="2">
        <v>1</v>
      </c>
      <c r="D3" s="2">
        <v>2023</v>
      </c>
      <c r="E3" s="33">
        <f>IF(Elect!AM5&lt;0,"0",Elect!AM5)</f>
        <v>0</v>
      </c>
      <c r="F3" s="33">
        <f>IF(Elect!I5&lt;0,"0",Elect!I5)</f>
        <v>0</v>
      </c>
      <c r="G3" s="33">
        <f>Elect!H5</f>
        <v>2.4689999999999999</v>
      </c>
      <c r="H3" s="33">
        <f>IF(Elect!F5&lt;0,"0",Elect!F5)</f>
        <v>0</v>
      </c>
      <c r="I3" s="33">
        <f>Elect!E5</f>
        <v>2.085</v>
      </c>
      <c r="J3" s="33">
        <f>IF(Elect!U5&lt;0,"0",Elect!U5)</f>
        <v>0</v>
      </c>
      <c r="K3" s="33">
        <f>Elect!T5</f>
        <v>2.0720000000000001</v>
      </c>
      <c r="L3" s="33">
        <f>IF(Elect!AJ5&lt;0,"0",Elect!AJ5)</f>
        <v>0</v>
      </c>
      <c r="M3" s="33">
        <f>Elect!AI5</f>
        <v>0.40500000000000003</v>
      </c>
      <c r="N3" s="33">
        <f>IF(Elect!X5&lt;0,"0",Elect!X5)</f>
        <v>0</v>
      </c>
      <c r="O3" s="33">
        <f>Elect!W5</f>
        <v>1.756</v>
      </c>
      <c r="P3" s="33">
        <f>IF(Elect!O5&lt;0,"0",Elect!O5)</f>
        <v>0</v>
      </c>
      <c r="Q3" s="33">
        <f>Elect!N5</f>
        <v>3.68</v>
      </c>
      <c r="R3" s="33">
        <f>IF(Elect!L5&lt;0,"0",Elect!L5)</f>
        <v>0</v>
      </c>
      <c r="S3" s="33">
        <f>Elect!K5</f>
        <v>4.16</v>
      </c>
      <c r="T3" s="33">
        <f>IF(Elect!R5&lt;0,"0",Elect!R5)</f>
        <v>0</v>
      </c>
      <c r="U3" s="33">
        <f>Elect!Q5</f>
        <v>3.76</v>
      </c>
      <c r="V3" s="33">
        <f>IF(Elect!AA5&lt;0,"0",Elect!AA5)</f>
        <v>0</v>
      </c>
      <c r="W3" s="33">
        <f>Elect!Z5</f>
        <v>3</v>
      </c>
      <c r="X3" s="33">
        <f>IF(Elect!AD5&lt;0,"0",Elect!AD5)</f>
        <v>0</v>
      </c>
      <c r="Y3" s="33">
        <f>Elect!AC5</f>
        <v>2.25</v>
      </c>
      <c r="Z3" s="33">
        <f>IF(Elect!AG5&lt;0,"0",Elect!AG5)</f>
        <v>0</v>
      </c>
      <c r="AA3" s="33">
        <f>Elect!AF5</f>
        <v>2.1989999999999998</v>
      </c>
      <c r="AB3" s="33">
        <f>IF(Elect!AX5&lt;0,"0",Elect!AX5)</f>
        <v>0</v>
      </c>
      <c r="AC3" s="33">
        <f>IF(Elect!AV5&lt;0,"0",Elect!AV5)</f>
        <v>0</v>
      </c>
      <c r="AD3" s="33">
        <f>IF(Elect!AZ5&lt;0,"0",Elect!AZ5)</f>
        <v>0</v>
      </c>
      <c r="AE3" s="33">
        <f>IF(Elect!BB5&lt;0,"0",Elect!BB5)</f>
        <v>0</v>
      </c>
      <c r="AF3" s="66">
        <f>IF('Wtr-Gas'!E5&lt;0,"0",('Wtr-Gas'!E5)*0.0038)</f>
        <v>0</v>
      </c>
      <c r="AG3" s="66">
        <f>IF('Wtr-Gas'!H5&lt;0,"0",('Wtr-Gas'!H5)*0.0038)</f>
        <v>0</v>
      </c>
      <c r="AH3" s="66">
        <f>IF('Wtr-Gas'!K5&lt;0,"0",('Wtr-Gas'!K5)*0.0038)</f>
        <v>0</v>
      </c>
      <c r="AI3" s="66">
        <f>IF('Wtr-Gas'!N5&lt;0,"0",('Wtr-Gas'!N5)*0.0038)</f>
        <v>0</v>
      </c>
      <c r="AJ3" s="66">
        <f>IF('Wtr-Gas'!Q5&lt;0,"0",('Wtr-Gas'!Q5)*0.0038)</f>
        <v>0</v>
      </c>
      <c r="AK3" s="67">
        <f>IF('Wtr-Gas'!U5&lt;0,"0",('Wtr-Gas'!U5)*0.0038)</f>
        <v>0</v>
      </c>
      <c r="AL3" s="67">
        <f>IF('Wtr-Gas'!X5&lt;0,"0",('Wtr-Gas'!X5)*0.0038)</f>
        <v>0</v>
      </c>
      <c r="AM3" s="66">
        <f>IF('Wtr-Gas'!AB5&lt;0,"0",('Wtr-Gas'!AB5)*0.0038)</f>
        <v>0</v>
      </c>
      <c r="AN3" s="66">
        <f>IF('Wtr-Gas'!AD5&lt;0,"0",('Wtr-Gas'!AD5)*0.0038)</f>
        <v>0</v>
      </c>
      <c r="AO3" s="66">
        <f>IF('Wtr-Gas'!AH5&lt;0,"0",('Wtr-Gas'!AH5)*0.0038)</f>
        <v>0</v>
      </c>
      <c r="AP3" s="66">
        <f>IF('Wtr-Gas'!AJ5&lt;0,"0",('Wtr-Gas'!AJ5)*0.0038)</f>
        <v>0</v>
      </c>
      <c r="AQ3" s="66">
        <f>IF('Wtr-Gas'!AL5&lt;0,"0",('Wtr-Gas'!AL5)*0.0038)</f>
        <v>0</v>
      </c>
      <c r="AR3" s="66">
        <f>IF('Wtr-Gas'!AN5&lt;0,"0",('Wtr-Gas'!AN5)*0.0038)</f>
        <v>0</v>
      </c>
      <c r="AS3" s="66">
        <f>IF('Wtr-Gas'!AP5&lt;0,"0",('Wtr-Gas'!AP5)*0.0038)</f>
        <v>0</v>
      </c>
      <c r="AT3" s="66">
        <f>IF('Wtr-Gas'!AR5&lt;0,"0",('Wtr-Gas'!AR5)*0.0038)</f>
        <v>0</v>
      </c>
      <c r="AU3" s="72">
        <f>IF('Wtr-Gas'!AV5&lt;0,"0",('Wtr-Gas'!AV5)*0.0038)</f>
        <v>0</v>
      </c>
      <c r="AV3" s="66">
        <f>IF('Wtr-Gas'!AY5&lt;0,"0",('Wtr-Gas'!AY5)*0.0038)</f>
        <v>0</v>
      </c>
      <c r="AW3" s="66">
        <f>IF('Wtr-Gas'!BA5&lt;0,"0",('Wtr-Gas'!BA5)*0.0038)</f>
        <v>0</v>
      </c>
      <c r="AX3" s="66">
        <f>IF('Wtr-Gas'!BB5&lt;0,"0",('Wtr-Gas'!BB5)*0.0038)</f>
        <v>0</v>
      </c>
      <c r="AY3" s="66">
        <f>IF('Wtr-Gas'!BD5&lt;0,"0",('Wtr-Gas'!BD5)*0.0038)</f>
        <v>0</v>
      </c>
      <c r="AZ3" s="66">
        <f>IF('Wtr-Gas'!BF5&lt;0,"0",('Wtr-Gas'!BF5)*0.0038)</f>
        <v>0</v>
      </c>
      <c r="BA3" s="66">
        <f>IF('Wtr-Gas'!BH5&lt;0,"0",('Wtr-Gas'!BH5)*0.0038)</f>
        <v>0</v>
      </c>
    </row>
    <row r="4" spans="1:54" x14ac:dyDescent="0.25">
      <c r="A4" s="3" t="s">
        <v>11</v>
      </c>
      <c r="B4" s="1">
        <v>9</v>
      </c>
      <c r="C4" s="2">
        <v>1</v>
      </c>
      <c r="D4" s="2">
        <v>2023</v>
      </c>
      <c r="E4" s="33">
        <f>IF(Elect!AM6&lt;0,"0",Elect!AM6)</f>
        <v>0</v>
      </c>
      <c r="F4" s="33">
        <f>IF(Elect!I6&lt;0,"0",Elect!I6)</f>
        <v>56160</v>
      </c>
      <c r="G4" s="33">
        <f>Elect!H6</f>
        <v>2.4689999999999999</v>
      </c>
      <c r="H4" s="33">
        <f>IF(Elect!F6&lt;0,"0",Elect!F6)</f>
        <v>48800</v>
      </c>
      <c r="I4" s="33">
        <f>Elect!E6</f>
        <v>2.085</v>
      </c>
      <c r="J4" s="33">
        <f>IF(Elect!U6&lt;0,"0",Elect!U6)</f>
        <v>59400</v>
      </c>
      <c r="K4" s="33">
        <f>Elect!T6</f>
        <v>2.0720000000000001</v>
      </c>
      <c r="L4" s="33">
        <f>IF(Elect!AJ6&lt;0,"0",Elect!AJ6)</f>
        <v>1600</v>
      </c>
      <c r="M4" s="33">
        <f>Elect!AI6</f>
        <v>0.40500000000000003</v>
      </c>
      <c r="N4" s="33">
        <f>IF(Elect!X6&lt;0,"0",Elect!X6)</f>
        <v>57300</v>
      </c>
      <c r="O4" s="33">
        <f>Elect!W6</f>
        <v>1.958</v>
      </c>
      <c r="P4" s="33">
        <f>IF(Elect!O6&lt;0,"0",Elect!O6)</f>
        <v>15200</v>
      </c>
      <c r="Q4" s="33">
        <f>Elect!N6</f>
        <v>3.68</v>
      </c>
      <c r="R4" s="33">
        <f>IF(Elect!L6&lt;0,"0",Elect!L6)</f>
        <v>17200</v>
      </c>
      <c r="S4" s="33">
        <f>Elect!K6</f>
        <v>4.16</v>
      </c>
      <c r="T4" s="33">
        <f>IF(Elect!R6&lt;0,"0",Elect!R6)</f>
        <v>14400</v>
      </c>
      <c r="U4" s="33">
        <f>Elect!Q6</f>
        <v>3.76</v>
      </c>
      <c r="V4" s="33">
        <f>IF(Elect!AA6&lt;0,"0",Elect!AA6)</f>
        <v>8640</v>
      </c>
      <c r="W4" s="33">
        <f>Elect!Z6</f>
        <v>4.9400000000000004</v>
      </c>
      <c r="X4" s="33">
        <f>IF(Elect!AD6&lt;0,"0",Elect!AD6)</f>
        <v>4160</v>
      </c>
      <c r="Y4" s="33">
        <f>Elect!AC6</f>
        <v>2.83</v>
      </c>
      <c r="Z4" s="33">
        <f>IF(Elect!AG6&lt;0,"0",Elect!AG6)</f>
        <v>58600</v>
      </c>
      <c r="AA4" s="33">
        <f>Elect!AF6</f>
        <v>2.1989999999999998</v>
      </c>
      <c r="AB4" s="33">
        <f>IF(Elect!AX6&lt;0,"0",Elect!AX6)</f>
        <v>1400</v>
      </c>
      <c r="AC4" s="33">
        <f>IF(Elect!AV6&lt;0,"0",Elect!AV6)</f>
        <v>13200</v>
      </c>
      <c r="AD4" s="33">
        <f>IF(Elect!AZ6&lt;0,"0",Elect!AZ6)</f>
        <v>754</v>
      </c>
      <c r="AE4" s="33">
        <f>IF(Elect!BB6&lt;0,"0",Elect!BB6)</f>
        <v>1560</v>
      </c>
      <c r="AF4" s="66">
        <f>IF('Wtr-Gas'!E6&lt;0,"0",('Wtr-Gas'!E6)*0.0038)</f>
        <v>5286.4080000000004</v>
      </c>
      <c r="AG4" s="66">
        <f>IF('Wtr-Gas'!H6&lt;0,"0",('Wtr-Gas'!H6)*0.0038)</f>
        <v>405.42200000000003</v>
      </c>
      <c r="AH4" s="66">
        <f>IF('Wtr-Gas'!K6&lt;0,"0",('Wtr-Gas'!K6)*0.0038)</f>
        <v>1.71</v>
      </c>
      <c r="AI4" s="66">
        <f>IF('Wtr-Gas'!N6&lt;0,"0",('Wtr-Gas'!N6)*0.0038)</f>
        <v>4111.6000000000004</v>
      </c>
      <c r="AJ4" s="66">
        <f>IF('Wtr-Gas'!Q6&lt;0,"0",('Wtr-Gas'!Q6)*0.0038)</f>
        <v>114.76</v>
      </c>
      <c r="AK4" s="67">
        <f>IF('Wtr-Gas'!U6&lt;0,"0",('Wtr-Gas'!U6)*0.0038)</f>
        <v>0</v>
      </c>
      <c r="AL4" s="67">
        <f>IF('Wtr-Gas'!X6&lt;0,"0",('Wtr-Gas'!X6)*0.0038)</f>
        <v>545.29999999999995</v>
      </c>
      <c r="AM4" s="66">
        <f>IF('Wtr-Gas'!AB6&lt;0,"0",('Wtr-Gas'!AB6)*0.0038)</f>
        <v>6916</v>
      </c>
      <c r="AN4" s="66">
        <f>IF('Wtr-Gas'!AD6&lt;0,"0",('Wtr-Gas'!AD6)*0.0038)</f>
        <v>1721.71046</v>
      </c>
      <c r="AO4" s="66">
        <f>IF('Wtr-Gas'!AH6&lt;0,"0",('Wtr-Gas'!AH6)*0.0038)</f>
        <v>20.52</v>
      </c>
      <c r="AP4" s="66">
        <f>IF('Wtr-Gas'!AJ6&lt;0,"0",('Wtr-Gas'!AJ6)*0.0038)</f>
        <v>256.88</v>
      </c>
      <c r="AQ4" s="66">
        <f>IF('Wtr-Gas'!AL6&lt;0,"0",('Wtr-Gas'!AL6)*0.0038)</f>
        <v>72.154399999999995</v>
      </c>
      <c r="AR4" s="66">
        <f>IF('Wtr-Gas'!AN6&lt;0,"0",('Wtr-Gas'!AN6)*0.0038)</f>
        <v>524.4</v>
      </c>
      <c r="AS4" s="66">
        <f>IF('Wtr-Gas'!AP6&lt;0,"0",('Wtr-Gas'!AP6)*0.0038)</f>
        <v>6.8400000000000002E-2</v>
      </c>
      <c r="AT4" s="66">
        <f>IF('Wtr-Gas'!AR6&lt;0,"0",('Wtr-Gas'!AR6)*0.0038)</f>
        <v>8.74</v>
      </c>
      <c r="AU4" s="72">
        <f>IF('Wtr-Gas'!AV6&lt;0,"0",('Wtr-Gas'!AV6)*0.0038)</f>
        <v>0.48259999999999997</v>
      </c>
      <c r="AV4" s="66">
        <f>IF('Wtr-Gas'!AY6&lt;0,"0",('Wtr-Gas'!AY6)*0.0038)</f>
        <v>231.59100000000001</v>
      </c>
      <c r="AW4" s="66">
        <f>IF('Wtr-Gas'!BA6&lt;0,"0",('Wtr-Gas'!BA6)*0.0038)</f>
        <v>162.51266200000001</v>
      </c>
      <c r="AX4" s="66">
        <f>IF('Wtr-Gas'!BB6&lt;0,"0",('Wtr-Gas'!BB6)*0.0038)</f>
        <v>69.078338000000002</v>
      </c>
      <c r="AY4" s="66">
        <f>IF('Wtr-Gas'!BD6&lt;0,"0",('Wtr-Gas'!BD6)*0.0038)</f>
        <v>14.44</v>
      </c>
      <c r="AZ4" s="66">
        <f>IF('Wtr-Gas'!BF6&lt;0,"0",('Wtr-Gas'!BF6)*0.0038)</f>
        <v>0.76</v>
      </c>
      <c r="BA4" s="66">
        <f>IF('Wtr-Gas'!BH6&lt;0,"0",('Wtr-Gas'!BH6)*0.0038)</f>
        <v>0</v>
      </c>
    </row>
    <row r="5" spans="1:54" x14ac:dyDescent="0.25">
      <c r="A5" s="3" t="s">
        <v>11</v>
      </c>
      <c r="B5" s="1">
        <v>16</v>
      </c>
      <c r="C5" s="2">
        <v>1</v>
      </c>
      <c r="D5" s="2">
        <v>2023</v>
      </c>
      <c r="E5" s="33">
        <f>IF(Elect!AM7&lt;0,"0",Elect!AM7)</f>
        <v>0</v>
      </c>
      <c r="F5" s="33">
        <f>IF(Elect!I7&lt;0,"0",Elect!I7)</f>
        <v>51520</v>
      </c>
      <c r="G5" s="33">
        <f>Elect!H7</f>
        <v>2.4689999999999999</v>
      </c>
      <c r="H5" s="33">
        <f>IF(Elect!F7&lt;0,"0",Elect!F7)</f>
        <v>44480</v>
      </c>
      <c r="I5" s="33">
        <f>Elect!E7</f>
        <v>2.085</v>
      </c>
      <c r="J5" s="33">
        <f>IF(Elect!U7&lt;0,"0",Elect!U7)</f>
        <v>33900</v>
      </c>
      <c r="K5" s="33">
        <f>Elect!T7</f>
        <v>2.0720000000000001</v>
      </c>
      <c r="L5" s="33">
        <f>IF(Elect!AJ7&lt;0,"0",Elect!AJ7)</f>
        <v>1360</v>
      </c>
      <c r="M5" s="33">
        <f>Elect!AI7</f>
        <v>0.40500000000000003</v>
      </c>
      <c r="N5" s="33">
        <f>IF(Elect!X7&lt;0,"0",Elect!X7)</f>
        <v>35400</v>
      </c>
      <c r="O5" s="33">
        <f>Elect!W7</f>
        <v>1.958</v>
      </c>
      <c r="P5" s="33">
        <f>IF(Elect!O7&lt;0,"0",Elect!O7)</f>
        <v>13600</v>
      </c>
      <c r="Q5" s="33">
        <f>Elect!N7</f>
        <v>3.68</v>
      </c>
      <c r="R5" s="33">
        <f>IF(Elect!L7&lt;0,"0",Elect!L7)</f>
        <v>16000</v>
      </c>
      <c r="S5" s="33">
        <f>Elect!K7</f>
        <v>4.16</v>
      </c>
      <c r="T5" s="33">
        <f>IF(Elect!R7&lt;0,"0",Elect!R7)</f>
        <v>14000</v>
      </c>
      <c r="U5" s="33">
        <f>Elect!Q7</f>
        <v>3.76</v>
      </c>
      <c r="V5" s="33">
        <f>IF(Elect!AA7&lt;0,"0",Elect!AA7)</f>
        <v>7520</v>
      </c>
      <c r="W5" s="33">
        <f>Elect!Z7</f>
        <v>4.9400000000000004</v>
      </c>
      <c r="X5" s="33">
        <f>IF(Elect!AD7&lt;0,"0",Elect!AD7)</f>
        <v>4320</v>
      </c>
      <c r="Y5" s="33">
        <f>Elect!AC7</f>
        <v>2.1989999999999998</v>
      </c>
      <c r="Z5" s="33">
        <f>IF(Elect!AG7&lt;0,"0",Elect!AG7)</f>
        <v>49400</v>
      </c>
      <c r="AA5" s="33">
        <f>Elect!AF7</f>
        <v>2.1989999999999998</v>
      </c>
      <c r="AB5" s="33">
        <f>IF(Elect!AX7&lt;0,"0",Elect!AX7)</f>
        <v>1900</v>
      </c>
      <c r="AC5" s="33">
        <f>IF(Elect!AV7&lt;0,"0",Elect!AV7)</f>
        <v>11700</v>
      </c>
      <c r="AD5" s="33">
        <f>IF(Elect!AZ7&lt;0,"0",Elect!AZ7)</f>
        <v>753</v>
      </c>
      <c r="AE5" s="33">
        <f>IF(Elect!BB7&lt;0,"0",Elect!BB7)</f>
        <v>1680</v>
      </c>
      <c r="AF5" s="66">
        <f>IF('Wtr-Gas'!E7&lt;0,"0",('Wtr-Gas'!E7)*0.0038)</f>
        <v>4543.3559999999998</v>
      </c>
      <c r="AG5" s="66">
        <f>IF('Wtr-Gas'!H7&lt;0,"0",('Wtr-Gas'!H7)*0.0038)</f>
        <v>41.268000000000001</v>
      </c>
      <c r="AH5" s="66">
        <f>IF('Wtr-Gas'!K7&lt;0,"0",('Wtr-Gas'!K7)*0.0038)</f>
        <v>1.444</v>
      </c>
      <c r="AI5" s="66">
        <f>IF('Wtr-Gas'!N7&lt;0,"0",('Wtr-Gas'!N7)*0.0038)</f>
        <v>3412.4</v>
      </c>
      <c r="AJ5" s="66">
        <f>IF('Wtr-Gas'!Q7&lt;0,"0",('Wtr-Gas'!Q7)*0.0038)</f>
        <v>100.7</v>
      </c>
      <c r="AK5" s="67">
        <f>IF('Wtr-Gas'!U7&lt;0,"0",('Wtr-Gas'!U7)*0.0038)</f>
        <v>0</v>
      </c>
      <c r="AL5" s="67">
        <f>IF('Wtr-Gas'!X7&lt;0,"0",('Wtr-Gas'!X7)*0.0038)</f>
        <v>744.42</v>
      </c>
      <c r="AM5" s="66">
        <f>IF('Wtr-Gas'!AB7&lt;0,"0",('Wtr-Gas'!AB7)*0.0038)</f>
        <v>3230</v>
      </c>
      <c r="AN5" s="66">
        <f>IF('Wtr-Gas'!AD7&lt;0,"0",('Wtr-Gas'!AD7)*0.0038)</f>
        <v>821.03902000000005</v>
      </c>
      <c r="AO5" s="66">
        <f>IF('Wtr-Gas'!AH7&lt;0,"0",('Wtr-Gas'!AH7)*0.0038)</f>
        <v>3.4580000000000002</v>
      </c>
      <c r="AP5" s="66">
        <f>IF('Wtr-Gas'!AJ7&lt;0,"0",('Wtr-Gas'!AJ7)*0.0038)</f>
        <v>242.47800000000001</v>
      </c>
      <c r="AQ5" s="66">
        <f>IF('Wtr-Gas'!AL7&lt;0,"0",('Wtr-Gas'!AL7)*0.0038)</f>
        <v>64.406199999999998</v>
      </c>
      <c r="AR5" s="66">
        <f>IF('Wtr-Gas'!AN7&lt;0,"0",('Wtr-Gas'!AN7)*0.0038)</f>
        <v>478.8</v>
      </c>
      <c r="AS5" s="66">
        <f>IF('Wtr-Gas'!AP7&lt;0,"0",('Wtr-Gas'!AP7)*0.0038)</f>
        <v>6.4600000000000005E-2</v>
      </c>
      <c r="AT5" s="66">
        <f>IF('Wtr-Gas'!AR7&lt;0,"0",('Wtr-Gas'!AR7)*0.0038)</f>
        <v>8.74</v>
      </c>
      <c r="AU5" s="72">
        <f>IF('Wtr-Gas'!AV7&lt;0,"0",('Wtr-Gas'!AV7)*0.0038)</f>
        <v>0.50539999999999996</v>
      </c>
      <c r="AV5" s="66">
        <f>IF('Wtr-Gas'!AY7&lt;0,"0",('Wtr-Gas'!AY7)*0.0038)</f>
        <v>270.26740000000001</v>
      </c>
      <c r="AW5" s="66">
        <f>IF('Wtr-Gas'!BA7&lt;0,"0",('Wtr-Gas'!BA7)*0.0038)</f>
        <v>212.13784999999999</v>
      </c>
      <c r="AX5" s="66">
        <f>IF('Wtr-Gas'!BB7&lt;0,"0",('Wtr-Gas'!BB7)*0.0038)</f>
        <v>58.129550000000002</v>
      </c>
      <c r="AY5" s="66">
        <f>IF('Wtr-Gas'!BD7&lt;0,"0",('Wtr-Gas'!BD7)*0.0038)</f>
        <v>15.96</v>
      </c>
      <c r="AZ5" s="66">
        <f>IF('Wtr-Gas'!BF7&lt;0,"0",('Wtr-Gas'!BF7)*0.0038)</f>
        <v>1.1399999999999999</v>
      </c>
      <c r="BA5" s="66">
        <f>IF('Wtr-Gas'!BH7&lt;0,"0",('Wtr-Gas'!BH7)*0.0038)</f>
        <v>757.97460000000001</v>
      </c>
    </row>
    <row r="6" spans="1:54" x14ac:dyDescent="0.25">
      <c r="A6" s="3" t="s">
        <v>11</v>
      </c>
      <c r="B6" s="1">
        <v>23</v>
      </c>
      <c r="C6" s="2">
        <v>1</v>
      </c>
      <c r="D6" s="2">
        <v>2023</v>
      </c>
      <c r="E6" s="33">
        <f>IF(Elect!AM8&lt;0,"0",Elect!AM8)</f>
        <v>0</v>
      </c>
      <c r="F6" s="33">
        <f>IF(Elect!I8&lt;0,"0",Elect!I8)</f>
        <v>52000</v>
      </c>
      <c r="G6" s="33">
        <f>Elect!H8</f>
        <v>2.3119999999999998</v>
      </c>
      <c r="H6" s="33">
        <f>IF(Elect!F8&lt;0,"0",Elect!F8)</f>
        <v>43840</v>
      </c>
      <c r="I6" s="33">
        <f>Elect!E8</f>
        <v>1.883</v>
      </c>
      <c r="J6" s="33">
        <f>IF(Elect!U8&lt;0,"0",Elect!U8)</f>
        <v>46200</v>
      </c>
      <c r="K6" s="33">
        <f>Elect!T8</f>
        <v>1.522</v>
      </c>
      <c r="L6" s="33">
        <f>IF(Elect!AJ8&lt;0,"0",Elect!AJ8)</f>
        <v>1480</v>
      </c>
      <c r="M6" s="33">
        <f>Elect!AI8</f>
        <v>0.25900000000000001</v>
      </c>
      <c r="N6" s="33">
        <f>IF(Elect!X8&lt;0,"0",Elect!X8)</f>
        <v>46200</v>
      </c>
      <c r="O6" s="33">
        <f>Elect!W8</f>
        <v>1.744</v>
      </c>
      <c r="P6" s="33">
        <f>IF(Elect!O8&lt;0,"0",Elect!O8)</f>
        <v>12800</v>
      </c>
      <c r="Q6" s="33">
        <f>Elect!N8</f>
        <v>2.27</v>
      </c>
      <c r="R6" s="33">
        <f>IF(Elect!L8&lt;0,"0",Elect!L8)</f>
        <v>15600</v>
      </c>
      <c r="S6" s="33">
        <f>Elect!K8</f>
        <v>2.96</v>
      </c>
      <c r="T6" s="33">
        <f>IF(Elect!R8&lt;0,"0",Elect!R8)</f>
        <v>13600</v>
      </c>
      <c r="U6" s="33">
        <f>Elect!Q8</f>
        <v>2.39</v>
      </c>
      <c r="V6" s="33">
        <f>IF(Elect!AA8&lt;0,"0",Elect!AA8)</f>
        <v>6880</v>
      </c>
      <c r="W6" s="33">
        <f>Elect!Z8</f>
        <v>3.11</v>
      </c>
      <c r="X6" s="33">
        <f>IF(Elect!AD8&lt;0,"0",Elect!AD8)</f>
        <v>4320</v>
      </c>
      <c r="Y6" s="33">
        <f>Elect!AC8</f>
        <v>2.31</v>
      </c>
      <c r="Z6" s="33">
        <f>IF(Elect!AG8&lt;0,"0",Elect!AG8)</f>
        <v>51600</v>
      </c>
      <c r="AA6" s="33">
        <f>Elect!AF8</f>
        <v>1.9410000000000001</v>
      </c>
      <c r="AB6" s="33">
        <f>IF(Elect!AX8&lt;0,"0",Elect!AX8)</f>
        <v>1700</v>
      </c>
      <c r="AC6" s="33">
        <f>IF(Elect!AV8&lt;0,"0",Elect!AV8)</f>
        <v>13000</v>
      </c>
      <c r="AD6" s="33">
        <f>IF(Elect!AZ8&lt;0,"0",Elect!AZ8)</f>
        <v>764</v>
      </c>
      <c r="AE6" s="33">
        <f>IF(Elect!BB8&lt;0,"0",Elect!BB8)</f>
        <v>1880</v>
      </c>
      <c r="AF6" s="66">
        <f>IF('Wtr-Gas'!E8&lt;0,"0",('Wtr-Gas'!E8)*0.0038)</f>
        <v>4961.2039999999997</v>
      </c>
      <c r="AG6" s="66">
        <f>IF('Wtr-Gas'!H8&lt;0,"0",('Wtr-Gas'!H8)*0.0038)</f>
        <v>367.46</v>
      </c>
      <c r="AH6" s="66">
        <f>IF('Wtr-Gas'!K8&lt;0,"0",('Wtr-Gas'!K8)*0.0038)</f>
        <v>2.1280000000000001</v>
      </c>
      <c r="AI6" s="66">
        <f>IF('Wtr-Gas'!N8&lt;0,"0",('Wtr-Gas'!N8)*0.0038)</f>
        <v>3910.2</v>
      </c>
      <c r="AJ6" s="66">
        <f>IF('Wtr-Gas'!Q8&lt;0,"0",('Wtr-Gas'!Q8)*0.0038)</f>
        <v>124.64</v>
      </c>
      <c r="AK6" s="67">
        <f>IF('Wtr-Gas'!U8&lt;0,"0",('Wtr-Gas'!U8)*0.0038)</f>
        <v>0</v>
      </c>
      <c r="AL6" s="67">
        <f>IF('Wtr-Gas'!X8&lt;0,"0",('Wtr-Gas'!X8)*0.0038)</f>
        <v>598.12</v>
      </c>
      <c r="AM6" s="66">
        <f>IF('Wtr-Gas'!AB8&lt;0,"0",('Wtr-Gas'!AB8)*0.0038)</f>
        <v>5282</v>
      </c>
      <c r="AN6" s="66">
        <f>IF('Wtr-Gas'!AD8&lt;0,"0",('Wtr-Gas'!AD8)*0.0038)</f>
        <v>1352.3052400000001</v>
      </c>
      <c r="AO6" s="66">
        <f>IF('Wtr-Gas'!AH8&lt;0,"0",('Wtr-Gas'!AH8)*0.0038)</f>
        <v>0.76</v>
      </c>
      <c r="AP6" s="66">
        <f>IF('Wtr-Gas'!AJ8&lt;0,"0",('Wtr-Gas'!AJ8)*0.0038)</f>
        <v>143.108</v>
      </c>
      <c r="AQ6" s="66">
        <f>IF('Wtr-Gas'!AL8&lt;0,"0",('Wtr-Gas'!AL8)*0.0038)</f>
        <v>78.6524</v>
      </c>
      <c r="AR6" s="66">
        <f>IF('Wtr-Gas'!AN8&lt;0,"0",('Wtr-Gas'!AN8)*0.0038)</f>
        <v>513</v>
      </c>
      <c r="AS6" s="66">
        <f>IF('Wtr-Gas'!AP8&lt;0,"0",('Wtr-Gas'!AP8)*0.0038)</f>
        <v>5.7000000000000002E-2</v>
      </c>
      <c r="AT6" s="66">
        <f>IF('Wtr-Gas'!AR8&lt;0,"0",('Wtr-Gas'!AR8)*0.0038)</f>
        <v>15.58</v>
      </c>
      <c r="AU6" s="72">
        <f>IF('Wtr-Gas'!AV8&lt;0,"0",('Wtr-Gas'!AV8)*0.0038)</f>
        <v>0.53580000000000005</v>
      </c>
      <c r="AV6" s="66">
        <f>IF('Wtr-Gas'!AY8&lt;0,"0",('Wtr-Gas'!AY8)*0.0038)</f>
        <v>210.9</v>
      </c>
      <c r="AW6" s="66">
        <f>IF('Wtr-Gas'!BA8&lt;0,"0",('Wtr-Gas'!BA8)*0.0038)</f>
        <v>151.51234599999998</v>
      </c>
      <c r="AX6" s="66">
        <f>IF('Wtr-Gas'!BB8&lt;0,"0",('Wtr-Gas'!BB8)*0.0038)</f>
        <v>59.387654000000005</v>
      </c>
      <c r="AY6" s="66">
        <f>IF('Wtr-Gas'!BD8&lt;0,"0",('Wtr-Gas'!BD8)*0.0038)</f>
        <v>15.58</v>
      </c>
      <c r="AZ6" s="66">
        <f>IF('Wtr-Gas'!BF8&lt;0,"0",('Wtr-Gas'!BF8)*0.0038)</f>
        <v>2.2799999999999998</v>
      </c>
      <c r="BA6" s="66">
        <f>IF('Wtr-Gas'!BH8&lt;0,"0",('Wtr-Gas'!BH8)*0.0038)</f>
        <v>5471.4224000000004</v>
      </c>
    </row>
    <row r="7" spans="1:54" x14ac:dyDescent="0.25">
      <c r="A7" s="3" t="s">
        <v>11</v>
      </c>
      <c r="B7" s="1">
        <v>30</v>
      </c>
      <c r="C7" s="2">
        <v>1</v>
      </c>
      <c r="D7" s="2">
        <v>2023</v>
      </c>
      <c r="E7" s="33">
        <f>IF(Elect!AM9&lt;0,"0",Elect!AM9)</f>
        <v>0</v>
      </c>
      <c r="F7" s="33">
        <f>IF(Elect!I9&lt;0,"0",Elect!I9)</f>
        <v>50400</v>
      </c>
      <c r="G7" s="33">
        <f>Elect!H9</f>
        <v>2.4129999999999998</v>
      </c>
      <c r="H7" s="33">
        <f>IF(Elect!F9&lt;0,"0",Elect!F9)</f>
        <v>44000</v>
      </c>
      <c r="I7" s="33">
        <f>Elect!E9</f>
        <v>2.0830000000000002</v>
      </c>
      <c r="J7" s="33">
        <f>IF(Elect!U9&lt;0,"0",Elect!U9)</f>
        <v>50100</v>
      </c>
      <c r="K7" s="33">
        <f>Elect!T9</f>
        <v>2.2530000000000001</v>
      </c>
      <c r="L7" s="33">
        <f>IF(Elect!AJ9&lt;0,"0",Elect!AJ9)</f>
        <v>1440</v>
      </c>
      <c r="M7" s="33">
        <f>Elect!AI9</f>
        <v>0.32400000000000001</v>
      </c>
      <c r="N7" s="33">
        <f>IF(Elect!X9&lt;0,"0",Elect!X9)</f>
        <v>35700</v>
      </c>
      <c r="O7" s="33">
        <f>Elect!W9</f>
        <v>1.744</v>
      </c>
      <c r="P7" s="33">
        <f>IF(Elect!O9&lt;0,"0",Elect!O9)</f>
        <v>13200</v>
      </c>
      <c r="Q7" s="33">
        <f>Elect!N9</f>
        <v>2.76</v>
      </c>
      <c r="R7" s="33">
        <f>IF(Elect!L9&lt;0,"0",Elect!L9)</f>
        <v>15200</v>
      </c>
      <c r="S7" s="33">
        <f>Elect!K9</f>
        <v>3.29</v>
      </c>
      <c r="T7" s="33">
        <f>IF(Elect!R9&lt;0,"0",Elect!R9)</f>
        <v>13600</v>
      </c>
      <c r="U7" s="33">
        <f>Elect!Q9</f>
        <v>3.07</v>
      </c>
      <c r="V7" s="33">
        <f>IF(Elect!AA9&lt;0,"0",Elect!AA9)</f>
        <v>8160</v>
      </c>
      <c r="W7" s="33">
        <f>Elect!Z9</f>
        <v>4.71</v>
      </c>
      <c r="X7" s="33">
        <f>IF(Elect!AD9&lt;0,"0",Elect!AD9)</f>
        <v>4320</v>
      </c>
      <c r="Y7" s="33">
        <f>Elect!AC9</f>
        <v>3.32</v>
      </c>
      <c r="Z7" s="33">
        <f>IF(Elect!AG9&lt;0,"0",Elect!AG9)</f>
        <v>50000</v>
      </c>
      <c r="AA7" s="33">
        <f>Elect!AF9</f>
        <v>1.9410000000000001</v>
      </c>
      <c r="AB7" s="33">
        <f>IF(Elect!AX9&lt;0,"0",Elect!AX9)</f>
        <v>1800</v>
      </c>
      <c r="AC7" s="33">
        <f>IF(Elect!AV9&lt;0,"0",Elect!AV9)</f>
        <v>13300</v>
      </c>
      <c r="AD7" s="33">
        <f>IF(Elect!AZ9&lt;0,"0",Elect!AZ9)</f>
        <v>757</v>
      </c>
      <c r="AE7" s="33">
        <f>IF(Elect!BB9&lt;0,"0",Elect!BB9)</f>
        <v>2160</v>
      </c>
      <c r="AF7" s="66">
        <f>IF('Wtr-Gas'!E9&lt;0,"0",('Wtr-Gas'!E9)*0.0038)</f>
        <v>4531.7659999999996</v>
      </c>
      <c r="AG7" s="66">
        <f>IF('Wtr-Gas'!H9&lt;0,"0",('Wtr-Gas'!H9)*0.0038)</f>
        <v>389.5</v>
      </c>
      <c r="AH7" s="66">
        <f>IF('Wtr-Gas'!K9&lt;0,"0",('Wtr-Gas'!K9)*0.0038)</f>
        <v>0.874</v>
      </c>
      <c r="AI7" s="66">
        <f>IF('Wtr-Gas'!N9&lt;0,"0",('Wtr-Gas'!N9)*0.0038)</f>
        <v>3458</v>
      </c>
      <c r="AJ7" s="66">
        <f>IF('Wtr-Gas'!Q9&lt;0,"0",('Wtr-Gas'!Q9)*0.0038)</f>
        <v>102.6</v>
      </c>
      <c r="AK7" s="67">
        <f>IF('Wtr-Gas'!U9&lt;0,"0",('Wtr-Gas'!U9)*0.0038)</f>
        <v>0</v>
      </c>
      <c r="AL7" s="67">
        <f>IF('Wtr-Gas'!X9&lt;0,"0",('Wtr-Gas'!X9)*0.0038)</f>
        <v>642.96</v>
      </c>
      <c r="AM7" s="66">
        <f>IF('Wtr-Gas'!AB9&lt;0,"0",('Wtr-Gas'!AB9)*0.0038)</f>
        <v>4978</v>
      </c>
      <c r="AN7" s="66">
        <f>IF('Wtr-Gas'!AD9&lt;0,"0",('Wtr-Gas'!AD9)*0.0038)</f>
        <v>1270.1500000000001</v>
      </c>
      <c r="AO7" s="66">
        <f>IF('Wtr-Gas'!AH9&lt;0,"0",('Wtr-Gas'!AH9)*0.0038)</f>
        <v>1.5580000000000001</v>
      </c>
      <c r="AP7" s="66">
        <f>IF('Wtr-Gas'!AJ9&lt;0,"0",('Wtr-Gas'!AJ9)*0.0038)</f>
        <v>164.12199999999999</v>
      </c>
      <c r="AQ7" s="66">
        <f>IF('Wtr-Gas'!AL9&lt;0,"0",('Wtr-Gas'!AL9)*0.0038)</f>
        <v>54.777000000000001</v>
      </c>
      <c r="AR7" s="66">
        <f>IF('Wtr-Gas'!AN9&lt;0,"0",('Wtr-Gas'!AN9)*0.0038)</f>
        <v>516.79999999999995</v>
      </c>
      <c r="AS7" s="66">
        <f>IF('Wtr-Gas'!AP9&lt;0,"0",('Wtr-Gas'!AP9)*0.0038)</f>
        <v>4.9399999999999999E-2</v>
      </c>
      <c r="AT7" s="66">
        <f>IF('Wtr-Gas'!AR9&lt;0,"0",('Wtr-Gas'!AR9)*0.0038)</f>
        <v>18.62</v>
      </c>
      <c r="AU7" s="72">
        <f>IF('Wtr-Gas'!AV9&lt;0,"0",('Wtr-Gas'!AV9)*0.0038)</f>
        <v>0.54339999999999999</v>
      </c>
      <c r="AV7" s="66">
        <f>IF('Wtr-Gas'!AY9&lt;0,"0",('Wtr-Gas'!AY9)*0.0038)</f>
        <v>217.83500000000001</v>
      </c>
      <c r="AW7" s="66">
        <f>IF('Wtr-Gas'!BA9&lt;0,"0",('Wtr-Gas'!BA9)*0.0038)</f>
        <v>151.70094</v>
      </c>
      <c r="AX7" s="66">
        <f>IF('Wtr-Gas'!BB9&lt;0,"0",('Wtr-Gas'!BB9)*0.0038)</f>
        <v>66.134059999999991</v>
      </c>
      <c r="AY7" s="66">
        <f>IF('Wtr-Gas'!BD9&lt;0,"0",('Wtr-Gas'!BD9)*0.0038)</f>
        <v>9.1199999999999992</v>
      </c>
      <c r="AZ7" s="66">
        <f>IF('Wtr-Gas'!BF9&lt;0,"0",('Wtr-Gas'!BF9)*0.0038)</f>
        <v>1.52</v>
      </c>
      <c r="BA7" s="66">
        <f>IF('Wtr-Gas'!BH9&lt;0,"0",('Wtr-Gas'!BH9)*0.0038)</f>
        <v>6009.1908000000003</v>
      </c>
    </row>
    <row r="8" spans="1:54" x14ac:dyDescent="0.25">
      <c r="A8" s="3" t="s">
        <v>11</v>
      </c>
      <c r="B8" s="1">
        <v>31</v>
      </c>
      <c r="C8" s="2">
        <v>1</v>
      </c>
      <c r="D8" s="2">
        <v>2023</v>
      </c>
      <c r="E8" s="33">
        <f>IF(Elect!AM10&lt;0,"0",Elect!AM10)</f>
        <v>0</v>
      </c>
      <c r="F8" s="33">
        <f>IF(Elect!I10&lt;0,"0",Elect!I10)</f>
        <v>7680</v>
      </c>
      <c r="G8" s="33">
        <f>Elect!H10</f>
        <v>2.4129999999999998</v>
      </c>
      <c r="H8" s="33">
        <f>IF(Elect!F10&lt;0,"0",Elect!F10)</f>
        <v>7040</v>
      </c>
      <c r="I8" s="33">
        <f>Elect!E10</f>
        <v>2.0830000000000002</v>
      </c>
      <c r="J8" s="33">
        <f>IF(Elect!U10&lt;0,"0",Elect!U10)</f>
        <v>8700</v>
      </c>
      <c r="K8" s="33">
        <f>Elect!T10</f>
        <v>2.2530000000000001</v>
      </c>
      <c r="L8" s="33">
        <f>IF(Elect!AJ10&lt;0,"0",Elect!AJ10)</f>
        <v>200</v>
      </c>
      <c r="M8" s="33">
        <f>Elect!AI10</f>
        <v>0.32400000000000001</v>
      </c>
      <c r="N8" s="33">
        <f>IF(Elect!X10&lt;0,"0",Elect!X10)</f>
        <v>11100</v>
      </c>
      <c r="O8" s="33">
        <f>Elect!W10</f>
        <v>1.8280000000000001</v>
      </c>
      <c r="P8" s="33">
        <f>IF(Elect!O10&lt;0,"0",Elect!O10)</f>
        <v>2000</v>
      </c>
      <c r="Q8" s="33">
        <f>Elect!N10</f>
        <v>2.76</v>
      </c>
      <c r="R8" s="33">
        <f>IF(Elect!L10&lt;0,"0",Elect!L10)</f>
        <v>2000</v>
      </c>
      <c r="S8" s="33">
        <f>Elect!K10</f>
        <v>3.29</v>
      </c>
      <c r="T8" s="33">
        <f>IF(Elect!R10&lt;0,"0",Elect!R10)</f>
        <v>1600</v>
      </c>
      <c r="U8" s="33">
        <f>Elect!Q10</f>
        <v>3.07</v>
      </c>
      <c r="V8" s="33">
        <f>IF(Elect!AA10&lt;0,"0",Elect!AA10)</f>
        <v>960</v>
      </c>
      <c r="W8" s="33">
        <f>Elect!Z10</f>
        <v>4.71</v>
      </c>
      <c r="X8" s="33">
        <f>IF(Elect!AD10&lt;0,"0",Elect!AD10)</f>
        <v>480</v>
      </c>
      <c r="Y8" s="33">
        <f>Elect!AC10</f>
        <v>3.32</v>
      </c>
      <c r="Z8" s="33">
        <f>IF(Elect!AG10&lt;0,"0",Elect!AG10)</f>
        <v>8200</v>
      </c>
      <c r="AA8" s="33">
        <f>Elect!AF10</f>
        <v>1.9410000000000001</v>
      </c>
      <c r="AB8" s="33">
        <f>IF(Elect!AX10&lt;0,"0",Elect!AX10)</f>
        <v>300</v>
      </c>
      <c r="AC8" s="33">
        <f>IF(Elect!AV10&lt;0,"0",Elect!AV10)</f>
        <v>2600</v>
      </c>
      <c r="AD8" s="33">
        <f>IF(Elect!AZ10&lt;0,"0",Elect!AZ10)</f>
        <v>128</v>
      </c>
      <c r="AE8" s="33">
        <f>IF(Elect!BB10&lt;0,"0",Elect!BB10)</f>
        <v>560</v>
      </c>
      <c r="AF8" s="66">
        <f>IF('Wtr-Gas'!E10&lt;0,"0",('Wtr-Gas'!E10)*0.0038)</f>
        <v>608.03800000000001</v>
      </c>
      <c r="AG8" s="66">
        <f>IF('Wtr-Gas'!H10&lt;0,"0",('Wtr-Gas'!H10)*0.0038)</f>
        <v>1.254</v>
      </c>
      <c r="AH8" s="66">
        <f>IF('Wtr-Gas'!K10&lt;0,"0",('Wtr-Gas'!K10)*0.0038)</f>
        <v>0.874</v>
      </c>
      <c r="AI8" s="66">
        <f>IF('Wtr-Gas'!N10&lt;0,"0",('Wtr-Gas'!N10)*0.0038)</f>
        <v>456</v>
      </c>
      <c r="AJ8" s="66">
        <f>IF('Wtr-Gas'!Q10&lt;0,"0",('Wtr-Gas'!Q10)*0.0038)</f>
        <v>14.06</v>
      </c>
      <c r="AK8" s="67">
        <f>IF('Wtr-Gas'!U10&lt;0,"0",('Wtr-Gas'!U10)*0.0038)</f>
        <v>0</v>
      </c>
      <c r="AL8" s="67">
        <f>IF('Wtr-Gas'!X10&lt;0,"0",('Wtr-Gas'!X10)*0.0038)</f>
        <v>44.46</v>
      </c>
      <c r="AM8" s="66">
        <f>IF('Wtr-Gas'!AB10&lt;0,"0",('Wtr-Gas'!AB10)*0.0038)</f>
        <v>1368</v>
      </c>
      <c r="AN8" s="66">
        <f>IF('Wtr-Gas'!AD10&lt;0,"0",('Wtr-Gas'!AD10)*0.0038)</f>
        <v>341.35399999999998</v>
      </c>
      <c r="AO8" s="66">
        <f>IF('Wtr-Gas'!AH10&lt;0,"0",('Wtr-Gas'!AH10)*0.0038)</f>
        <v>0.34200000000000003</v>
      </c>
      <c r="AP8" s="66">
        <f>IF('Wtr-Gas'!AJ10&lt;0,"0",('Wtr-Gas'!AJ10)*0.0038)</f>
        <v>21.774000000000001</v>
      </c>
      <c r="AQ8" s="66">
        <f>IF('Wtr-Gas'!AL10&lt;0,"0",('Wtr-Gas'!AL10)*0.0038)</f>
        <v>0</v>
      </c>
      <c r="AR8" s="66">
        <f>IF('Wtr-Gas'!AN10&lt;0,"0",('Wtr-Gas'!AN10)*0.0038)</f>
        <v>49.4</v>
      </c>
      <c r="AS8" s="66">
        <f>IF('Wtr-Gas'!AP10&lt;0,"0",('Wtr-Gas'!AP10)*0.0038)</f>
        <v>0</v>
      </c>
      <c r="AT8" s="66">
        <f>IF('Wtr-Gas'!AR10&lt;0,"0",('Wtr-Gas'!AR10)*0.0038)</f>
        <v>1.52</v>
      </c>
      <c r="AU8" s="72">
        <f>IF('Wtr-Gas'!AV10&lt;0,"0",('Wtr-Gas'!AV10)*0.0038)</f>
        <v>9.1200000000000003E-2</v>
      </c>
      <c r="AV8" s="66">
        <f>IF('Wtr-Gas'!AY10&lt;0,"0",('Wtr-Gas'!AY10)*0.0038)</f>
        <v>30.749600000000001</v>
      </c>
      <c r="AW8" s="66">
        <f>IF('Wtr-Gas'!BA10&lt;0,"0",('Wtr-Gas'!BA10)*0.0038)</f>
        <v>21.671057999999999</v>
      </c>
      <c r="AX8" s="66">
        <f>IF('Wtr-Gas'!BB10&lt;0,"0",('Wtr-Gas'!BB10)*0.0038)</f>
        <v>9.0785420000000006</v>
      </c>
      <c r="AY8" s="66">
        <f>IF('Wtr-Gas'!BD10&lt;0,"0",('Wtr-Gas'!BD10)*0.0038)</f>
        <v>6.46</v>
      </c>
      <c r="AZ8" s="66">
        <f>IF('Wtr-Gas'!BF10&lt;0,"0",('Wtr-Gas'!BF10)*0.0038)</f>
        <v>1.1399999999999999</v>
      </c>
      <c r="BA8" s="66">
        <f>IF('Wtr-Gas'!BH10&lt;0,"0",('Wtr-Gas'!BH10)*0.0038)</f>
        <v>1598.6904</v>
      </c>
    </row>
    <row r="9" spans="1:54" x14ac:dyDescent="0.25">
      <c r="A9" s="3" t="s">
        <v>11</v>
      </c>
      <c r="B9" s="1">
        <v>6</v>
      </c>
      <c r="C9" s="2">
        <v>2</v>
      </c>
      <c r="D9" s="2">
        <v>2023</v>
      </c>
      <c r="E9" s="33">
        <f>IF(Elect!AM11&lt;0,"0",Elect!AM11)</f>
        <v>0</v>
      </c>
      <c r="F9" s="33">
        <f>IF(Elect!I11&lt;0,"0",Elect!I11)</f>
        <v>41440</v>
      </c>
      <c r="G9" s="33">
        <f>Elect!H11</f>
        <v>2.4129999999999998</v>
      </c>
      <c r="H9" s="33">
        <f>IF(Elect!F11&lt;0,"0",Elect!F11)</f>
        <v>35520</v>
      </c>
      <c r="I9" s="33">
        <f>Elect!E11</f>
        <v>2.0830000000000002</v>
      </c>
      <c r="J9" s="33">
        <f>IF(Elect!U11&lt;0,"0",Elect!U11)</f>
        <v>39000</v>
      </c>
      <c r="K9" s="33">
        <f>Elect!T11</f>
        <v>2.2530000000000001</v>
      </c>
      <c r="L9" s="33">
        <f>IF(Elect!AJ11&lt;0,"0",Elect!AJ11)</f>
        <v>1120</v>
      </c>
      <c r="M9" s="33">
        <f>Elect!AI11</f>
        <v>0.32400000000000001</v>
      </c>
      <c r="N9" s="33">
        <f>IF(Elect!X11&lt;0,"0",Elect!X11)</f>
        <v>44100</v>
      </c>
      <c r="O9" s="33">
        <f>Elect!W11</f>
        <v>1.8280000000000001</v>
      </c>
      <c r="P9" s="33">
        <f>IF(Elect!O11&lt;0,"0",Elect!O11)</f>
        <v>9600</v>
      </c>
      <c r="Q9" s="33">
        <f>Elect!N11</f>
        <v>2.76</v>
      </c>
      <c r="R9" s="33">
        <f>IF(Elect!L11&lt;0,"0",Elect!L11)</f>
        <v>12000</v>
      </c>
      <c r="S9" s="33">
        <f>Elect!K11</f>
        <v>3.29</v>
      </c>
      <c r="T9" s="33">
        <f>IF(Elect!R11&lt;0,"0",Elect!R11)</f>
        <v>10400</v>
      </c>
      <c r="U9" s="33">
        <f>Elect!Q11</f>
        <v>3.07</v>
      </c>
      <c r="V9" s="33">
        <f>IF(Elect!AA11&lt;0,"0",Elect!AA11)</f>
        <v>5600</v>
      </c>
      <c r="W9" s="33">
        <f>Elect!Z11</f>
        <v>4.71</v>
      </c>
      <c r="X9" s="33">
        <f>IF(Elect!AD11&lt;0,"0",Elect!AD11)</f>
        <v>3680</v>
      </c>
      <c r="Y9" s="33">
        <f>Elect!AC11</f>
        <v>3.32</v>
      </c>
      <c r="Z9" s="33">
        <f>IF(Elect!AG11&lt;0,"0",Elect!AG11)</f>
        <v>43000</v>
      </c>
      <c r="AA9" s="33">
        <f>Elect!AF11</f>
        <v>1.9410000000000001</v>
      </c>
      <c r="AB9" s="33">
        <f>IF(Elect!AX11&lt;0,"0",Elect!AX11)</f>
        <v>1500</v>
      </c>
      <c r="AC9" s="33">
        <f>IF(Elect!AV11&lt;0,"0",Elect!AV11)</f>
        <v>11600</v>
      </c>
      <c r="AD9" s="33">
        <f>IF(Elect!AZ11&lt;0,"0",Elect!AZ11)</f>
        <v>631</v>
      </c>
      <c r="AE9" s="33">
        <f>IF(Elect!BB11&lt;0,"0",Elect!BB11)</f>
        <v>1080</v>
      </c>
      <c r="AF9" s="66">
        <f>IF('Wtr-Gas'!E11&lt;0,"0",('Wtr-Gas'!E11)*0.0038)</f>
        <v>3743.152</v>
      </c>
      <c r="AG9" s="66">
        <f>IF('Wtr-Gas'!H11&lt;0,"0",('Wtr-Gas'!H11)*0.0038)</f>
        <v>370.08199999999999</v>
      </c>
      <c r="AH9" s="66">
        <f>IF('Wtr-Gas'!K11&lt;0,"0",('Wtr-Gas'!K11)*0.0038)</f>
        <v>1.5580000000000001</v>
      </c>
      <c r="AI9" s="66">
        <f>IF('Wtr-Gas'!N11&lt;0,"0",('Wtr-Gas'!N11)*0.0038)</f>
        <v>2922.2</v>
      </c>
      <c r="AJ9" s="66">
        <f>IF('Wtr-Gas'!Q11&lt;0,"0",('Wtr-Gas'!Q11)*0.0038)</f>
        <v>82.84</v>
      </c>
      <c r="AK9" s="67">
        <f>IF('Wtr-Gas'!U11&lt;0,"0",('Wtr-Gas'!U11)*0.0038)</f>
        <v>0</v>
      </c>
      <c r="AL9" s="67">
        <f>IF('Wtr-Gas'!X11&lt;0,"0",('Wtr-Gas'!X11)*0.0038)</f>
        <v>386.08</v>
      </c>
      <c r="AM9" s="66">
        <f>IF('Wtr-Gas'!AB11&lt;0,"0",('Wtr-Gas'!AB11)*0.0038)</f>
        <v>7258</v>
      </c>
      <c r="AN9" s="66">
        <f>IF('Wtr-Gas'!AD11&lt;0,"0",('Wtr-Gas'!AD11)*0.0038)</f>
        <v>1409.6479999999999</v>
      </c>
      <c r="AO9" s="66">
        <f>IF('Wtr-Gas'!AH11&lt;0,"0",('Wtr-Gas'!AH11)*0.0038)</f>
        <v>0.56999999999999995</v>
      </c>
      <c r="AP9" s="66">
        <f>IF('Wtr-Gas'!AJ11&lt;0,"0",('Wtr-Gas'!AJ11)*0.0038)</f>
        <v>90.022000000000006</v>
      </c>
      <c r="AQ9" s="66">
        <f>IF('Wtr-Gas'!AL11&lt;0,"0",('Wtr-Gas'!AL11)*0.0038)</f>
        <v>41.074199999999998</v>
      </c>
      <c r="AR9" s="66">
        <f>IF('Wtr-Gas'!AN11&lt;0,"0",('Wtr-Gas'!AN11)*0.0038)</f>
        <v>437</v>
      </c>
      <c r="AS9" s="66">
        <f>IF('Wtr-Gas'!AP11&lt;0,"0",('Wtr-Gas'!AP11)*0.0038)</f>
        <v>4.9399999999999999E-2</v>
      </c>
      <c r="AT9" s="66">
        <f>IF('Wtr-Gas'!AR11&lt;0,"0",('Wtr-Gas'!AR11)*0.0038)</f>
        <v>11.4</v>
      </c>
      <c r="AU9" s="72">
        <f>IF('Wtr-Gas'!AV11&lt;0,"0",('Wtr-Gas'!AV11)*0.0038)</f>
        <v>0.42559999999999998</v>
      </c>
      <c r="AV9" s="66">
        <f>IF('Wtr-Gas'!AY11&lt;0,"0",('Wtr-Gas'!AY11)*0.0038)</f>
        <v>179.80459999999999</v>
      </c>
      <c r="AW9" s="66">
        <f>IF('Wtr-Gas'!BA11&lt;0,"0",('Wtr-Gas'!BA11)*0.0038)</f>
        <v>130.80945199999999</v>
      </c>
      <c r="AX9" s="66">
        <f>IF('Wtr-Gas'!BB11&lt;0,"0",('Wtr-Gas'!BB11)*0.0038)</f>
        <v>48.995147999999993</v>
      </c>
      <c r="AY9" s="66">
        <f>IF('Wtr-Gas'!BD11&lt;0,"0",('Wtr-Gas'!BD11)*0.0038)</f>
        <v>7.98</v>
      </c>
      <c r="AZ9" s="66">
        <f>IF('Wtr-Gas'!BF11&lt;0,"0",('Wtr-Gas'!BF11)*0.0038)</f>
        <v>1.1399999999999999</v>
      </c>
      <c r="BA9" s="66">
        <f>IF('Wtr-Gas'!BH11&lt;0,"0",('Wtr-Gas'!BH11)*0.0038)</f>
        <v>2431.1412</v>
      </c>
    </row>
    <row r="10" spans="1:54" x14ac:dyDescent="0.25">
      <c r="A10" s="3" t="s">
        <v>11</v>
      </c>
      <c r="B10" s="1">
        <v>13</v>
      </c>
      <c r="C10" s="2">
        <v>2</v>
      </c>
      <c r="D10" s="2">
        <v>2023</v>
      </c>
      <c r="E10" s="33">
        <f>IF(Elect!AM12&lt;0,"0",Elect!AM12)</f>
        <v>0</v>
      </c>
      <c r="F10" s="33">
        <f>IF(Elect!I12&lt;0,"0",Elect!I12)</f>
        <v>46880</v>
      </c>
      <c r="G10" s="33">
        <f>Elect!H12</f>
        <v>2.4129999999999998</v>
      </c>
      <c r="H10" s="33">
        <f>IF(Elect!F12&lt;0,"0",Elect!F12)</f>
        <v>44800</v>
      </c>
      <c r="I10" s="33">
        <f>Elect!E12</f>
        <v>2.0830000000000002</v>
      </c>
      <c r="J10" s="33">
        <f>IF(Elect!U12&lt;0,"0",Elect!U12)</f>
        <v>48900</v>
      </c>
      <c r="K10" s="33">
        <f>Elect!T12</f>
        <v>2.2530000000000001</v>
      </c>
      <c r="L10" s="33">
        <f>IF(Elect!AJ12&lt;0,"0",Elect!AJ12)</f>
        <v>1280</v>
      </c>
      <c r="M10" s="33">
        <f>Elect!AI12</f>
        <v>0.32400000000000001</v>
      </c>
      <c r="N10" s="33">
        <f>IF(Elect!X12&lt;0,"0",Elect!X12)</f>
        <v>59100</v>
      </c>
      <c r="O10" s="33">
        <f>Elect!W12</f>
        <v>2.1619999999999999</v>
      </c>
      <c r="P10" s="33">
        <f>IF(Elect!O12&lt;0,"0",Elect!O12)</f>
        <v>12400</v>
      </c>
      <c r="Q10" s="33">
        <f>Elect!N12</f>
        <v>3.06</v>
      </c>
      <c r="R10" s="33">
        <f>IF(Elect!L12&lt;0,"0",Elect!L12)</f>
        <v>14800</v>
      </c>
      <c r="S10" s="33">
        <f>Elect!K12</f>
        <v>3.63</v>
      </c>
      <c r="T10" s="33">
        <f>IF(Elect!R12&lt;0,"0",Elect!R12)</f>
        <v>12800</v>
      </c>
      <c r="U10" s="33">
        <f>Elect!Q12</f>
        <v>3.07</v>
      </c>
      <c r="V10" s="33">
        <f>IF(Elect!AA12&lt;0,"0",Elect!AA12)</f>
        <v>8160</v>
      </c>
      <c r="W10" s="33">
        <f>Elect!Z12</f>
        <v>4.7699999999999996</v>
      </c>
      <c r="X10" s="33">
        <f>IF(Elect!AD12&lt;0,"0",Elect!AD12)</f>
        <v>4800</v>
      </c>
      <c r="Y10" s="33">
        <f>Elect!AC12</f>
        <v>3.32</v>
      </c>
      <c r="Z10" s="33">
        <f>IF(Elect!AG12&lt;0,"0",Elect!AG12)</f>
        <v>51800</v>
      </c>
      <c r="AA10" s="33">
        <f>Elect!AF12</f>
        <v>1.9410000000000001</v>
      </c>
      <c r="AB10" s="33">
        <f>IF(Elect!AX12&lt;0,"0",Elect!AX12)</f>
        <v>1800</v>
      </c>
      <c r="AC10" s="33">
        <f>IF(Elect!AV12&lt;0,"0",Elect!AV12)</f>
        <v>14500</v>
      </c>
      <c r="AD10" s="33">
        <f>IF(Elect!AZ12&lt;0,"0",Elect!AZ12)</f>
        <v>754</v>
      </c>
      <c r="AE10" s="33">
        <f>IF(Elect!BB12&lt;0,"0",Elect!BB12)</f>
        <v>2240</v>
      </c>
      <c r="AF10" s="66">
        <f>IF('Wtr-Gas'!E12&lt;0,"0",('Wtr-Gas'!E12)*0.0038)</f>
        <v>5084.5519999999997</v>
      </c>
      <c r="AG10" s="66">
        <f>IF('Wtr-Gas'!H12&lt;0,"0",('Wtr-Gas'!H12)*0.0038)</f>
        <v>353.93200000000002</v>
      </c>
      <c r="AH10" s="66">
        <f>IF('Wtr-Gas'!K12&lt;0,"0",('Wtr-Gas'!K12)*0.0038)</f>
        <v>3.23</v>
      </c>
      <c r="AI10" s="66">
        <f>IF('Wtr-Gas'!N12&lt;0,"0",('Wtr-Gas'!N12)*0.0038)</f>
        <v>4123</v>
      </c>
      <c r="AJ10" s="66">
        <f>IF('Wtr-Gas'!Q12&lt;0,"0",('Wtr-Gas'!Q12)*0.0038)</f>
        <v>108.68</v>
      </c>
      <c r="AK10" s="67">
        <f>IF('Wtr-Gas'!U12&lt;0,"0",('Wtr-Gas'!U12)*0.0038)</f>
        <v>0</v>
      </c>
      <c r="AL10" s="67">
        <f>IF('Wtr-Gas'!X12&lt;0,"0",('Wtr-Gas'!X12)*0.0038)</f>
        <v>506.16</v>
      </c>
      <c r="AM10" s="66">
        <f>IF('Wtr-Gas'!AB12&lt;0,"0",('Wtr-Gas'!AB12)*0.0038)</f>
        <v>5016</v>
      </c>
      <c r="AN10" s="66">
        <f>IF('Wtr-Gas'!AD12&lt;0,"0",('Wtr-Gas'!AD12)*0.0038)</f>
        <v>1675.4960000000001</v>
      </c>
      <c r="AO10" s="66">
        <f>IF('Wtr-Gas'!AH12&lt;0,"0",('Wtr-Gas'!AH12)*0.0038)</f>
        <v>0.72199999999999998</v>
      </c>
      <c r="AP10" s="66">
        <f>IF('Wtr-Gas'!AJ12&lt;0,"0",('Wtr-Gas'!AJ12)*0.0038)</f>
        <v>77.52</v>
      </c>
      <c r="AQ10" s="66">
        <f>IF('Wtr-Gas'!AL12&lt;0,"0",('Wtr-Gas'!AL12)*0.0038)</f>
        <v>280.5958</v>
      </c>
      <c r="AR10" s="66">
        <f>IF('Wtr-Gas'!AN12&lt;0,"0",('Wtr-Gas'!AN12)*0.0038)</f>
        <v>463.6</v>
      </c>
      <c r="AS10" s="66">
        <f>IF('Wtr-Gas'!AP12&lt;0,"0",('Wtr-Gas'!AP12)*0.0038)</f>
        <v>0.31540000000000001</v>
      </c>
      <c r="AT10" s="66">
        <f>IF('Wtr-Gas'!AR12&lt;0,"0",('Wtr-Gas'!AR12)*0.0038)</f>
        <v>11.4</v>
      </c>
      <c r="AU10" s="72">
        <f>IF('Wtr-Gas'!AV12&lt;0,"0",('Wtr-Gas'!AV12)*0.0038)</f>
        <v>0.50919999999999999</v>
      </c>
      <c r="AV10" s="66">
        <f>IF('Wtr-Gas'!AY12&lt;0,"0",('Wtr-Gas'!AY12)*0.0038)</f>
        <v>213.53720000000001</v>
      </c>
      <c r="AW10" s="66">
        <f>IF('Wtr-Gas'!BA12&lt;0,"0",('Wtr-Gas'!BA12)*0.0038)</f>
        <v>151.85297799999998</v>
      </c>
      <c r="AX10" s="66">
        <f>IF('Wtr-Gas'!BB12&lt;0,"0",('Wtr-Gas'!BB12)*0.0038)</f>
        <v>61.684222000000005</v>
      </c>
      <c r="AY10" s="66">
        <f>IF('Wtr-Gas'!BD12&lt;0,"0",('Wtr-Gas'!BD12)*0.0038)</f>
        <v>9.8800000000000008</v>
      </c>
      <c r="AZ10" s="66">
        <f>IF('Wtr-Gas'!BF12&lt;0,"0",('Wtr-Gas'!BF12)*0.0038)</f>
        <v>1.9</v>
      </c>
      <c r="BA10" s="66">
        <f>IF('Wtr-Gas'!BH12&lt;0,"0",('Wtr-Gas'!BH12)*0.0038)</f>
        <v>5757.0038000000004</v>
      </c>
    </row>
    <row r="11" spans="1:54" x14ac:dyDescent="0.25">
      <c r="A11" s="3" t="s">
        <v>11</v>
      </c>
      <c r="B11" s="1">
        <v>20</v>
      </c>
      <c r="C11" s="2">
        <v>2</v>
      </c>
      <c r="D11" s="2">
        <v>2023</v>
      </c>
      <c r="E11" s="33">
        <f>IF(Elect!AM13&lt;0,"0",Elect!AM13)</f>
        <v>0</v>
      </c>
      <c r="F11" s="33">
        <f>IF(Elect!I13&lt;0,"0",Elect!I13)</f>
        <v>52640</v>
      </c>
      <c r="G11" s="33">
        <f>Elect!H13</f>
        <v>2.4129999999999998</v>
      </c>
      <c r="H11" s="33">
        <f>IF(Elect!F13&lt;0,"0",Elect!F13)</f>
        <v>44320</v>
      </c>
      <c r="I11" s="33">
        <f>Elect!E13</f>
        <v>2.0830000000000002</v>
      </c>
      <c r="J11" s="33">
        <f>IF(Elect!U13&lt;0,"0",Elect!U13)</f>
        <v>47700</v>
      </c>
      <c r="K11" s="33">
        <f>Elect!T13</f>
        <v>2.2530000000000001</v>
      </c>
      <c r="L11" s="33">
        <f>IF(Elect!AJ13&lt;0,"0",Elect!AJ13)</f>
        <v>1360</v>
      </c>
      <c r="M11" s="33">
        <f>Elect!AI13</f>
        <v>0.32400000000000001</v>
      </c>
      <c r="N11" s="33">
        <f>IF(Elect!X13&lt;0,"0",Elect!X13)</f>
        <v>47400</v>
      </c>
      <c r="O11" s="33">
        <f>Elect!W13</f>
        <v>2.1619999999999999</v>
      </c>
      <c r="P11" s="33">
        <f>IF(Elect!O13&lt;0,"0",Elect!O13)</f>
        <v>12800</v>
      </c>
      <c r="Q11" s="33">
        <f>Elect!N13</f>
        <v>3.06</v>
      </c>
      <c r="R11" s="33">
        <f>IF(Elect!L13&lt;0,"0",Elect!L13)</f>
        <v>15200</v>
      </c>
      <c r="S11" s="33">
        <f>Elect!K13</f>
        <v>3.63</v>
      </c>
      <c r="T11" s="33">
        <f>IF(Elect!R13&lt;0,"0",Elect!R13)</f>
        <v>12400</v>
      </c>
      <c r="U11" s="33">
        <f>Elect!Q13</f>
        <v>3.07</v>
      </c>
      <c r="V11" s="33">
        <f>IF(Elect!AA13&lt;0,"0",Elect!AA13)</f>
        <v>7200</v>
      </c>
      <c r="W11" s="33">
        <f>Elect!Z13</f>
        <v>4.7699999999999996</v>
      </c>
      <c r="X11" s="33">
        <f>IF(Elect!AD13&lt;0,"0",Elect!AD13)</f>
        <v>4320</v>
      </c>
      <c r="Y11" s="33">
        <f>Elect!AC13</f>
        <v>3.32</v>
      </c>
      <c r="Z11" s="33">
        <f>IF(Elect!AG13&lt;0,"0",Elect!AG13)</f>
        <v>51000</v>
      </c>
      <c r="AA11" s="33">
        <f>Elect!AF13</f>
        <v>1.972</v>
      </c>
      <c r="AB11" s="33">
        <f>IF(Elect!AX13&lt;0,"0",Elect!AX13)</f>
        <v>1700</v>
      </c>
      <c r="AC11" s="33">
        <f>IF(Elect!AV13&lt;0,"0",Elect!AV13)</f>
        <v>13700</v>
      </c>
      <c r="AD11" s="33">
        <f>IF(Elect!AZ13&lt;0,"0",Elect!AZ13)</f>
        <v>752</v>
      </c>
      <c r="AE11" s="33">
        <f>IF(Elect!BB13&lt;0,"0",Elect!BB13)</f>
        <v>2920</v>
      </c>
      <c r="AF11" s="66">
        <f>IF('Wtr-Gas'!E13&lt;0,"0",('Wtr-Gas'!E13)*0.0038)</f>
        <v>4990.8440000000001</v>
      </c>
      <c r="AG11" s="66">
        <f>IF('Wtr-Gas'!H13&lt;0,"0",('Wtr-Gas'!H13)*0.0038)</f>
        <v>506.464</v>
      </c>
      <c r="AH11" s="66">
        <f>IF('Wtr-Gas'!K13&lt;0,"0",('Wtr-Gas'!K13)*0.0038)</f>
        <v>1.71</v>
      </c>
      <c r="AI11" s="66">
        <f>IF('Wtr-Gas'!N13&lt;0,"0",('Wtr-Gas'!N13)*0.0038)</f>
        <v>3944.4</v>
      </c>
      <c r="AJ11" s="66">
        <f>IF('Wtr-Gas'!Q13&lt;0,"0",('Wtr-Gas'!Q13)*0.0038)</f>
        <v>106.02</v>
      </c>
      <c r="AK11" s="67">
        <f>IF('Wtr-Gas'!U13&lt;0,"0",('Wtr-Gas'!U13)*0.0038)</f>
        <v>0</v>
      </c>
      <c r="AL11" s="67">
        <f>IF('Wtr-Gas'!X13&lt;0,"0",('Wtr-Gas'!X13)*0.0038)</f>
        <v>517.94000000000005</v>
      </c>
      <c r="AM11" s="66">
        <f>IF('Wtr-Gas'!AB13&lt;0,"0",('Wtr-Gas'!AB13)*0.0038)</f>
        <v>6042</v>
      </c>
      <c r="AN11" s="66">
        <f>IF('Wtr-Gas'!AD13&lt;0,"0",('Wtr-Gas'!AD13)*0.0038)</f>
        <v>1428.192</v>
      </c>
      <c r="AO11" s="66">
        <f>IF('Wtr-Gas'!AH13&lt;0,"0",('Wtr-Gas'!AH13)*0.0038)</f>
        <v>0.874</v>
      </c>
      <c r="AP11" s="66">
        <f>IF('Wtr-Gas'!AJ13&lt;0,"0",('Wtr-Gas'!AJ13)*0.0038)</f>
        <v>117.61</v>
      </c>
      <c r="AQ11" s="66">
        <f>IF('Wtr-Gas'!AL13&lt;0,"0",('Wtr-Gas'!AL13)*0.0038)</f>
        <v>71.322199999999995</v>
      </c>
      <c r="AR11" s="66">
        <f>IF('Wtr-Gas'!AN13&lt;0,"0",('Wtr-Gas'!AN13)*0.0038)</f>
        <v>471.2</v>
      </c>
      <c r="AS11" s="66">
        <f>IF('Wtr-Gas'!AP13&lt;0,"0",('Wtr-Gas'!AP13)*0.0038)</f>
        <v>6.4600000000000005E-2</v>
      </c>
      <c r="AT11" s="66">
        <f>IF('Wtr-Gas'!AR13&lt;0,"0",('Wtr-Gas'!AR13)*0.0038)</f>
        <v>21.66</v>
      </c>
      <c r="AU11" s="72">
        <f>IF('Wtr-Gas'!AV13&lt;0,"0",('Wtr-Gas'!AV13)*0.0038)</f>
        <v>0.48259999999999997</v>
      </c>
      <c r="AV11" s="66">
        <f>IF('Wtr-Gas'!AY13&lt;0,"0",('Wtr-Gas'!AY13)*0.0038)</f>
        <v>208.34639999999999</v>
      </c>
      <c r="AW11" s="66">
        <f>IF('Wtr-Gas'!BA13&lt;0,"0",('Wtr-Gas'!BA13)*0.0038)</f>
        <v>151.42749199999997</v>
      </c>
      <c r="AX11" s="66">
        <f>IF('Wtr-Gas'!BB13&lt;0,"0",('Wtr-Gas'!BB13)*0.0038)</f>
        <v>56.918908000000016</v>
      </c>
      <c r="AY11" s="66">
        <f>IF('Wtr-Gas'!BD13&lt;0,"0",('Wtr-Gas'!BD13)*0.0038)</f>
        <v>12.92</v>
      </c>
      <c r="AZ11" s="66">
        <f>IF('Wtr-Gas'!BF13&lt;0,"0",('Wtr-Gas'!BF13)*0.0038)</f>
        <v>1.9</v>
      </c>
      <c r="BA11" s="66">
        <f>IF('Wtr-Gas'!BH13&lt;0,"0",('Wtr-Gas'!BH13)*0.0038)</f>
        <v>8315.3385999999991</v>
      </c>
    </row>
    <row r="12" spans="1:54" x14ac:dyDescent="0.25">
      <c r="A12" s="3" t="s">
        <v>11</v>
      </c>
      <c r="B12" s="1">
        <v>27</v>
      </c>
      <c r="C12" s="2">
        <v>2</v>
      </c>
      <c r="D12" s="2">
        <v>2023</v>
      </c>
      <c r="E12" s="33">
        <f>IF(Elect!AM14&lt;0,"0",Elect!AM14)</f>
        <v>0</v>
      </c>
      <c r="F12" s="33">
        <f>IF(Elect!I14&lt;0,"0",Elect!I14)</f>
        <v>0</v>
      </c>
      <c r="G12" s="33">
        <f>Elect!H14</f>
        <v>0</v>
      </c>
      <c r="H12" s="33">
        <f>IF(Elect!F14&lt;0,"0",Elect!F14)</f>
        <v>0</v>
      </c>
      <c r="I12" s="33">
        <f>Elect!E14</f>
        <v>0</v>
      </c>
      <c r="J12" s="33">
        <f>IF(Elect!U14&lt;0,"0",Elect!U14)</f>
        <v>0</v>
      </c>
      <c r="K12" s="33">
        <f>Elect!T14</f>
        <v>0</v>
      </c>
      <c r="L12" s="33">
        <f>IF(Elect!AJ14&lt;0,"0",Elect!AJ14)</f>
        <v>0</v>
      </c>
      <c r="M12" s="33">
        <f>Elect!AI14</f>
        <v>0</v>
      </c>
      <c r="N12" s="33">
        <f>IF(Elect!X14&lt;0,"0",Elect!X14)</f>
        <v>0</v>
      </c>
      <c r="O12" s="33">
        <f>Elect!W14</f>
        <v>0</v>
      </c>
      <c r="P12" s="33">
        <f>IF(Elect!O14&lt;0,"0",Elect!O14)</f>
        <v>0</v>
      </c>
      <c r="Q12" s="33">
        <f>Elect!N14</f>
        <v>0</v>
      </c>
      <c r="R12" s="33">
        <f>IF(Elect!L14&lt;0,"0",Elect!L14)</f>
        <v>0</v>
      </c>
      <c r="S12" s="33">
        <f>Elect!K14</f>
        <v>0</v>
      </c>
      <c r="T12" s="33">
        <f>IF(Elect!R14&lt;0,"0",Elect!R14)</f>
        <v>0</v>
      </c>
      <c r="U12" s="33">
        <f>Elect!Q14</f>
        <v>0</v>
      </c>
      <c r="V12" s="33">
        <f>IF(Elect!AA14&lt;0,"0",Elect!AA14)</f>
        <v>0</v>
      </c>
      <c r="W12" s="33">
        <f>Elect!Z14</f>
        <v>0</v>
      </c>
      <c r="X12" s="33">
        <f>IF(Elect!AD14&lt;0,"0",Elect!AD14)</f>
        <v>0</v>
      </c>
      <c r="Y12" s="33">
        <f>Elect!AC14</f>
        <v>0</v>
      </c>
      <c r="Z12" s="33">
        <f>IF(Elect!AG14&lt;0,"0",Elect!AG14)</f>
        <v>0</v>
      </c>
      <c r="AA12" s="33">
        <f>Elect!AF14</f>
        <v>0</v>
      </c>
      <c r="AB12" s="33">
        <f>IF(Elect!AX14&lt;0,"0",Elect!AX14)</f>
        <v>0</v>
      </c>
      <c r="AC12" s="33">
        <f>IF(Elect!AV14&lt;0,"0",Elect!AV14)</f>
        <v>0</v>
      </c>
      <c r="AD12" s="33">
        <f>IF(Elect!AZ14&lt;0,"0",Elect!AZ14)</f>
        <v>0</v>
      </c>
      <c r="AE12" s="33">
        <f>IF(Elect!BB14&lt;0,"0",Elect!BB14)</f>
        <v>0</v>
      </c>
      <c r="AF12" s="66">
        <f>IF('Wtr-Gas'!E14&lt;0,"0",('Wtr-Gas'!E14)*0.0038)</f>
        <v>0</v>
      </c>
      <c r="AG12" s="66">
        <f>IF('Wtr-Gas'!H14&lt;0,"0",('Wtr-Gas'!H14)*0.0038)</f>
        <v>0</v>
      </c>
      <c r="AH12" s="66">
        <f>IF('Wtr-Gas'!K14&lt;0,"0",('Wtr-Gas'!K14)*0.0038)</f>
        <v>0</v>
      </c>
      <c r="AI12" s="66">
        <f>IF('Wtr-Gas'!N14&lt;0,"0",('Wtr-Gas'!N14)*0.0038)</f>
        <v>0</v>
      </c>
      <c r="AJ12" s="66">
        <f>IF('Wtr-Gas'!Q14&lt;0,"0",('Wtr-Gas'!Q14)*0.0038)</f>
        <v>0</v>
      </c>
      <c r="AK12" s="67">
        <f>IF('Wtr-Gas'!U14&lt;0,"0",('Wtr-Gas'!U14)*0.0038)</f>
        <v>0</v>
      </c>
      <c r="AL12" s="67">
        <f>IF('Wtr-Gas'!X14&lt;0,"0",('Wtr-Gas'!X14)*0.0038)</f>
        <v>0</v>
      </c>
      <c r="AM12" s="66">
        <f>IF('Wtr-Gas'!AB14&lt;0,"0",('Wtr-Gas'!AB14)*0.0038)</f>
        <v>0</v>
      </c>
      <c r="AN12" s="66">
        <f>IF('Wtr-Gas'!AD14&lt;0,"0",('Wtr-Gas'!AD14)*0.0038)</f>
        <v>0</v>
      </c>
      <c r="AO12" s="66">
        <f>IF('Wtr-Gas'!AH14&lt;0,"0",('Wtr-Gas'!AH14)*0.0038)</f>
        <v>0</v>
      </c>
      <c r="AP12" s="66">
        <f>IF('Wtr-Gas'!AJ14&lt;0,"0",('Wtr-Gas'!AJ14)*0.0038)</f>
        <v>0</v>
      </c>
      <c r="AQ12" s="66">
        <f>IF('Wtr-Gas'!AL14&lt;0,"0",('Wtr-Gas'!AL14)*0.0038)</f>
        <v>0</v>
      </c>
      <c r="AR12" s="66">
        <f>IF('Wtr-Gas'!AN14&lt;0,"0",('Wtr-Gas'!AN14)*0.0038)</f>
        <v>0</v>
      </c>
      <c r="AS12" s="66">
        <f>IF('Wtr-Gas'!AP14&lt;0,"0",('Wtr-Gas'!AP14)*0.0038)</f>
        <v>0</v>
      </c>
      <c r="AT12" s="66">
        <f>IF('Wtr-Gas'!AR14&lt;0,"0",('Wtr-Gas'!AR14)*0.0038)</f>
        <v>0</v>
      </c>
      <c r="AU12" s="72">
        <f>IF('Wtr-Gas'!AV14&lt;0,"0",('Wtr-Gas'!AV14)*0.0038)</f>
        <v>0</v>
      </c>
      <c r="AV12" s="66">
        <f>IF('Wtr-Gas'!AY14&lt;0,"0",('Wtr-Gas'!AY14)*0.0038)</f>
        <v>0</v>
      </c>
      <c r="AW12" s="66">
        <f>IF('Wtr-Gas'!BA14&lt;0,"0",('Wtr-Gas'!BA14)*0.0038)</f>
        <v>0</v>
      </c>
      <c r="AX12" s="66">
        <f>IF('Wtr-Gas'!BB14&lt;0,"0",('Wtr-Gas'!BB14)*0.0038)</f>
        <v>0</v>
      </c>
      <c r="AY12" s="66">
        <f>IF('Wtr-Gas'!BD14&lt;0,"0",('Wtr-Gas'!BD14)*0.0038)</f>
        <v>0</v>
      </c>
      <c r="AZ12" s="66">
        <f>IF('Wtr-Gas'!BF14&lt;0,"0",('Wtr-Gas'!BF14)*0.0038)</f>
        <v>0</v>
      </c>
      <c r="BA12" s="66">
        <f>IF('Wtr-Gas'!BH14&lt;0,"0",('Wtr-Gas'!BH14)*0.0038)</f>
        <v>0</v>
      </c>
    </row>
    <row r="13" spans="1:54" x14ac:dyDescent="0.25">
      <c r="A13" s="3" t="s">
        <v>11</v>
      </c>
      <c r="B13" s="1">
        <v>28</v>
      </c>
      <c r="C13" s="2">
        <v>2</v>
      </c>
      <c r="D13" s="2">
        <v>2023</v>
      </c>
      <c r="E13" s="33">
        <f>IF(Elect!AM15&lt;0,"0",Elect!AM15)</f>
        <v>0</v>
      </c>
      <c r="F13" s="33">
        <f>IF(Elect!I15&lt;0,"0",Elect!I15)</f>
        <v>0</v>
      </c>
      <c r="G13" s="33">
        <f>Elect!H15</f>
        <v>0</v>
      </c>
      <c r="H13" s="33">
        <f>IF(Elect!F15&lt;0,"0",Elect!F15)</f>
        <v>0</v>
      </c>
      <c r="I13" s="33">
        <f>Elect!E15</f>
        <v>0</v>
      </c>
      <c r="J13" s="33">
        <f>IF(Elect!U15&lt;0,"0",Elect!U15)</f>
        <v>0</v>
      </c>
      <c r="K13" s="33">
        <f>Elect!T15</f>
        <v>0</v>
      </c>
      <c r="L13" s="33">
        <f>IF(Elect!AJ15&lt;0,"0",Elect!AJ15)</f>
        <v>0</v>
      </c>
      <c r="M13" s="33">
        <f>Elect!AI15</f>
        <v>0</v>
      </c>
      <c r="N13" s="33">
        <f>IF(Elect!X15&lt;0,"0",Elect!X15)</f>
        <v>0</v>
      </c>
      <c r="O13" s="33">
        <f>Elect!W15</f>
        <v>0</v>
      </c>
      <c r="P13" s="33">
        <f>IF(Elect!O15&lt;0,"0",Elect!O15)</f>
        <v>0</v>
      </c>
      <c r="Q13" s="33">
        <f>Elect!N15</f>
        <v>0</v>
      </c>
      <c r="R13" s="33">
        <f>IF(Elect!L15&lt;0,"0",Elect!L15)</f>
        <v>0</v>
      </c>
      <c r="S13" s="33">
        <f>Elect!K15</f>
        <v>0</v>
      </c>
      <c r="T13" s="33">
        <f>IF(Elect!R15&lt;0,"0",Elect!R15)</f>
        <v>0</v>
      </c>
      <c r="U13" s="33">
        <f>Elect!Q15</f>
        <v>0</v>
      </c>
      <c r="V13" s="33">
        <f>IF(Elect!AA15&lt;0,"0",Elect!AA15)</f>
        <v>0</v>
      </c>
      <c r="W13" s="33">
        <f>Elect!Z15</f>
        <v>0</v>
      </c>
      <c r="X13" s="33">
        <f>IF(Elect!AD15&lt;0,"0",Elect!AD15)</f>
        <v>0</v>
      </c>
      <c r="Y13" s="33">
        <f>Elect!AC15</f>
        <v>0</v>
      </c>
      <c r="Z13" s="33">
        <f>IF(Elect!AG15&lt;0,"0",Elect!AG15)</f>
        <v>0</v>
      </c>
      <c r="AA13" s="33">
        <f>Elect!AF15</f>
        <v>0</v>
      </c>
      <c r="AB13" s="33">
        <f>IF(Elect!AX15&lt;0,"0",Elect!AX15)</f>
        <v>0</v>
      </c>
      <c r="AC13" s="33">
        <f>IF(Elect!AV15&lt;0,"0",Elect!AV15)</f>
        <v>0</v>
      </c>
      <c r="AD13" s="33">
        <f>IF(Elect!AZ15&lt;0,"0",Elect!AZ15)</f>
        <v>0</v>
      </c>
      <c r="AE13" s="33">
        <f>IF(Elect!BB15&lt;0,"0",Elect!BB15)</f>
        <v>0</v>
      </c>
      <c r="AF13" s="66">
        <f>IF('Wtr-Gas'!E15&lt;0,"0",('Wtr-Gas'!E15)*0.0038)</f>
        <v>0</v>
      </c>
      <c r="AG13" s="66">
        <f>IF('Wtr-Gas'!H15&lt;0,"0",('Wtr-Gas'!H15)*0.0038)</f>
        <v>0</v>
      </c>
      <c r="AH13" s="66">
        <f>IF('Wtr-Gas'!K15&lt;0,"0",('Wtr-Gas'!K15)*0.0038)</f>
        <v>0</v>
      </c>
      <c r="AI13" s="66">
        <f>IF('Wtr-Gas'!N15&lt;0,"0",('Wtr-Gas'!N15)*0.0038)</f>
        <v>0</v>
      </c>
      <c r="AJ13" s="66">
        <f>IF('Wtr-Gas'!Q15&lt;0,"0",('Wtr-Gas'!Q15)*0.0038)</f>
        <v>0</v>
      </c>
      <c r="AK13" s="67">
        <f>IF('Wtr-Gas'!U15&lt;0,"0",('Wtr-Gas'!U15)*0.0038)</f>
        <v>0</v>
      </c>
      <c r="AL13" s="67">
        <f>IF('Wtr-Gas'!X15&lt;0,"0",('Wtr-Gas'!X15)*0.0038)</f>
        <v>0</v>
      </c>
      <c r="AM13" s="66">
        <f>IF('Wtr-Gas'!AB15&lt;0,"0",('Wtr-Gas'!AB15)*0.0038)</f>
        <v>0</v>
      </c>
      <c r="AN13" s="66">
        <f>IF('Wtr-Gas'!AD15&lt;0,"0",('Wtr-Gas'!AD15)*0.0038)</f>
        <v>0</v>
      </c>
      <c r="AO13" s="66">
        <f>IF('Wtr-Gas'!AH15&lt;0,"0",('Wtr-Gas'!AH15)*0.0038)</f>
        <v>0</v>
      </c>
      <c r="AP13" s="66">
        <f>IF('Wtr-Gas'!AJ15&lt;0,"0",('Wtr-Gas'!AJ15)*0.0038)</f>
        <v>0</v>
      </c>
      <c r="AQ13" s="66">
        <f>IF('Wtr-Gas'!AL15&lt;0,"0",('Wtr-Gas'!AL15)*0.0038)</f>
        <v>0</v>
      </c>
      <c r="AR13" s="66">
        <f>IF('Wtr-Gas'!AN15&lt;0,"0",('Wtr-Gas'!AN15)*0.0038)</f>
        <v>0</v>
      </c>
      <c r="AS13" s="66">
        <f>IF('Wtr-Gas'!AP15&lt;0,"0",('Wtr-Gas'!AP15)*0.0038)</f>
        <v>0</v>
      </c>
      <c r="AT13" s="66">
        <f>IF('Wtr-Gas'!AR15&lt;0,"0",('Wtr-Gas'!AR15)*0.0038)</f>
        <v>0</v>
      </c>
      <c r="AU13" s="72">
        <f>IF('Wtr-Gas'!AV15&lt;0,"0",('Wtr-Gas'!AV15)*0.0038)</f>
        <v>0</v>
      </c>
      <c r="AV13" s="66">
        <f>IF('Wtr-Gas'!AY15&lt;0,"0",('Wtr-Gas'!AY15)*0.0038)</f>
        <v>0</v>
      </c>
      <c r="AW13" s="66">
        <f>IF('Wtr-Gas'!BA15&lt;0,"0",('Wtr-Gas'!BA15)*0.0038)</f>
        <v>0</v>
      </c>
      <c r="AX13" s="66">
        <f>IF('Wtr-Gas'!BB15&lt;0,"0",('Wtr-Gas'!BB15)*0.0038)</f>
        <v>0</v>
      </c>
      <c r="AY13" s="66">
        <f>IF('Wtr-Gas'!BD15&lt;0,"0",('Wtr-Gas'!BD15)*0.0038)</f>
        <v>0</v>
      </c>
      <c r="AZ13" s="66">
        <f>IF('Wtr-Gas'!BF15&lt;0,"0",('Wtr-Gas'!BF15)*0.0038)</f>
        <v>0</v>
      </c>
      <c r="BA13" s="66">
        <f>IF('Wtr-Gas'!BH15&lt;0,"0",('Wtr-Gas'!BH15)*0.0038)</f>
        <v>0</v>
      </c>
    </row>
    <row r="14" spans="1:54" x14ac:dyDescent="0.25">
      <c r="A14" s="3" t="s">
        <v>11</v>
      </c>
      <c r="B14" s="1">
        <v>6</v>
      </c>
      <c r="C14" s="2">
        <v>3</v>
      </c>
      <c r="D14" s="2">
        <v>2023</v>
      </c>
      <c r="E14" s="33">
        <f>IF(Elect!AM16&lt;0,"0",Elect!AM16)</f>
        <v>0</v>
      </c>
      <c r="F14" s="33">
        <f>IF(Elect!I16&lt;0,"0",Elect!I16)</f>
        <v>0</v>
      </c>
      <c r="G14" s="33">
        <f>Elect!H16</f>
        <v>0</v>
      </c>
      <c r="H14" s="33">
        <f>IF(Elect!F16&lt;0,"0",Elect!F16)</f>
        <v>0</v>
      </c>
      <c r="I14" s="33">
        <f>Elect!E16</f>
        <v>0</v>
      </c>
      <c r="J14" s="33">
        <f>IF(Elect!U16&lt;0,"0",Elect!U16)</f>
        <v>0</v>
      </c>
      <c r="K14" s="33">
        <f>Elect!T16</f>
        <v>0</v>
      </c>
      <c r="L14" s="33">
        <f>IF(Elect!AJ16&lt;0,"0",Elect!AJ16)</f>
        <v>0</v>
      </c>
      <c r="M14" s="33">
        <f>Elect!AI16</f>
        <v>0</v>
      </c>
      <c r="N14" s="33">
        <f>IF(Elect!X16&lt;0,"0",Elect!X16)</f>
        <v>0</v>
      </c>
      <c r="O14" s="33">
        <f>Elect!W16</f>
        <v>0</v>
      </c>
      <c r="P14" s="33">
        <f>IF(Elect!O16&lt;0,"0",Elect!O16)</f>
        <v>0</v>
      </c>
      <c r="Q14" s="33">
        <f>Elect!N16</f>
        <v>0</v>
      </c>
      <c r="R14" s="33">
        <f>IF(Elect!L16&lt;0,"0",Elect!L16)</f>
        <v>0</v>
      </c>
      <c r="S14" s="33">
        <f>Elect!K16</f>
        <v>0</v>
      </c>
      <c r="T14" s="33">
        <f>IF(Elect!R16&lt;0,"0",Elect!R16)</f>
        <v>0</v>
      </c>
      <c r="U14" s="33">
        <f>Elect!Q16</f>
        <v>0</v>
      </c>
      <c r="V14" s="33">
        <f>IF(Elect!AA16&lt;0,"0",Elect!AA16)</f>
        <v>0</v>
      </c>
      <c r="W14" s="33">
        <f>Elect!Z16</f>
        <v>0</v>
      </c>
      <c r="X14" s="33">
        <f>IF(Elect!AD16&lt;0,"0",Elect!AD16)</f>
        <v>0</v>
      </c>
      <c r="Y14" s="33">
        <f>Elect!AC16</f>
        <v>0</v>
      </c>
      <c r="Z14" s="33">
        <f>IF(Elect!AG16&lt;0,"0",Elect!AG16)</f>
        <v>0</v>
      </c>
      <c r="AA14" s="33">
        <f>Elect!AF16</f>
        <v>0</v>
      </c>
      <c r="AB14" s="33">
        <f>IF(Elect!AX16&lt;0,"0",Elect!AX16)</f>
        <v>0</v>
      </c>
      <c r="AC14" s="33">
        <f>IF(Elect!AV16&lt;0,"0",Elect!AV16)</f>
        <v>0</v>
      </c>
      <c r="AD14" s="33">
        <f>IF(Elect!AZ16&lt;0,"0",Elect!AZ16)</f>
        <v>0</v>
      </c>
      <c r="AE14" s="33">
        <f>IF(Elect!BB16&lt;0,"0",Elect!BB16)</f>
        <v>0</v>
      </c>
      <c r="AF14" s="66">
        <f>IF('Wtr-Gas'!E16&lt;0,"0",('Wtr-Gas'!E16)*0.0038)</f>
        <v>0</v>
      </c>
      <c r="AG14" s="66">
        <f>IF('Wtr-Gas'!H16&lt;0,"0",('Wtr-Gas'!H16)*0.0038)</f>
        <v>0</v>
      </c>
      <c r="AH14" s="66">
        <f>IF('Wtr-Gas'!K16&lt;0,"0",('Wtr-Gas'!K16)*0.0038)</f>
        <v>0</v>
      </c>
      <c r="AI14" s="66">
        <f>IF('Wtr-Gas'!N16&lt;0,"0",('Wtr-Gas'!N16)*0.0038)</f>
        <v>0</v>
      </c>
      <c r="AJ14" s="66">
        <f>IF('Wtr-Gas'!Q16&lt;0,"0",('Wtr-Gas'!Q16)*0.0038)</f>
        <v>0</v>
      </c>
      <c r="AK14" s="67">
        <f>IF('Wtr-Gas'!U16&lt;0,"0",('Wtr-Gas'!U16)*0.0038)</f>
        <v>0</v>
      </c>
      <c r="AL14" s="67">
        <f>IF('Wtr-Gas'!X16&lt;0,"0",('Wtr-Gas'!X16)*0.0038)</f>
        <v>0</v>
      </c>
      <c r="AM14" s="66">
        <f>IF('Wtr-Gas'!AB16&lt;0,"0",('Wtr-Gas'!AB16)*0.0038)</f>
        <v>0</v>
      </c>
      <c r="AN14" s="66">
        <f>IF('Wtr-Gas'!AD16&lt;0,"0",('Wtr-Gas'!AD16)*0.0038)</f>
        <v>0</v>
      </c>
      <c r="AO14" s="66">
        <f>IF('Wtr-Gas'!AH16&lt;0,"0",('Wtr-Gas'!AH16)*0.0038)</f>
        <v>0</v>
      </c>
      <c r="AP14" s="66">
        <f>IF('Wtr-Gas'!AJ16&lt;0,"0",('Wtr-Gas'!AJ16)*0.0038)</f>
        <v>0</v>
      </c>
      <c r="AQ14" s="66">
        <f>IF('Wtr-Gas'!AL16&lt;0,"0",('Wtr-Gas'!AL16)*0.0038)</f>
        <v>0</v>
      </c>
      <c r="AR14" s="66">
        <f>IF('Wtr-Gas'!AN16&lt;0,"0",('Wtr-Gas'!AN16)*0.0038)</f>
        <v>0</v>
      </c>
      <c r="AS14" s="66">
        <f>IF('Wtr-Gas'!AP16&lt;0,"0",('Wtr-Gas'!AP16)*0.0038)</f>
        <v>0</v>
      </c>
      <c r="AT14" s="66">
        <f>IF('Wtr-Gas'!AR16&lt;0,"0",('Wtr-Gas'!AR16)*0.0038)</f>
        <v>0</v>
      </c>
      <c r="AU14" s="72">
        <f>IF('Wtr-Gas'!AV16&lt;0,"0",('Wtr-Gas'!AV16)*0.0038)</f>
        <v>0</v>
      </c>
      <c r="AV14" s="66">
        <f>IF('Wtr-Gas'!AY16&lt;0,"0",('Wtr-Gas'!AY16)*0.0038)</f>
        <v>0</v>
      </c>
      <c r="AW14" s="66">
        <f>IF('Wtr-Gas'!BA16&lt;0,"0",('Wtr-Gas'!BA16)*0.0038)</f>
        <v>0</v>
      </c>
      <c r="AX14" s="66">
        <f>IF('Wtr-Gas'!BB16&lt;0,"0",('Wtr-Gas'!BB16)*0.0038)</f>
        <v>0</v>
      </c>
      <c r="AY14" s="66">
        <f>IF('Wtr-Gas'!BD16&lt;0,"0",('Wtr-Gas'!BD16)*0.0038)</f>
        <v>0</v>
      </c>
      <c r="AZ14" s="66">
        <f>IF('Wtr-Gas'!BF16&lt;0,"0",('Wtr-Gas'!BF16)*0.0038)</f>
        <v>0</v>
      </c>
      <c r="BA14" s="66">
        <f>IF('Wtr-Gas'!BH16&lt;0,"0",('Wtr-Gas'!BH16)*0.0038)</f>
        <v>0</v>
      </c>
    </row>
    <row r="15" spans="1:54" x14ac:dyDescent="0.25">
      <c r="A15" s="3" t="s">
        <v>11</v>
      </c>
      <c r="B15" s="1">
        <v>13</v>
      </c>
      <c r="C15" s="2">
        <v>3</v>
      </c>
      <c r="D15" s="2">
        <v>2023</v>
      </c>
      <c r="E15" s="33">
        <f>IF(Elect!AM17&lt;0,"0",Elect!AM17)</f>
        <v>0</v>
      </c>
      <c r="F15" s="33">
        <f>IF(Elect!I17&lt;0,"0",Elect!I17)</f>
        <v>0</v>
      </c>
      <c r="G15" s="33">
        <f>Elect!H17</f>
        <v>0</v>
      </c>
      <c r="H15" s="33">
        <f>IF(Elect!F17&lt;0,"0",Elect!F17)</f>
        <v>0</v>
      </c>
      <c r="I15" s="33">
        <f>Elect!E17</f>
        <v>0</v>
      </c>
      <c r="J15" s="33">
        <f>IF(Elect!U17&lt;0,"0",Elect!U17)</f>
        <v>0</v>
      </c>
      <c r="K15" s="33">
        <f>Elect!T17</f>
        <v>0</v>
      </c>
      <c r="L15" s="33">
        <f>IF(Elect!AJ17&lt;0,"0",Elect!AJ17)</f>
        <v>0</v>
      </c>
      <c r="M15" s="33">
        <f>Elect!AI17</f>
        <v>0</v>
      </c>
      <c r="N15" s="33">
        <f>IF(Elect!X17&lt;0,"0",Elect!X17)</f>
        <v>0</v>
      </c>
      <c r="O15" s="33">
        <f>Elect!W17</f>
        <v>0</v>
      </c>
      <c r="P15" s="33">
        <f>IF(Elect!O17&lt;0,"0",Elect!O17)</f>
        <v>0</v>
      </c>
      <c r="Q15" s="33">
        <f>Elect!N17</f>
        <v>0</v>
      </c>
      <c r="R15" s="33">
        <f>IF(Elect!L17&lt;0,"0",Elect!L17)</f>
        <v>0</v>
      </c>
      <c r="S15" s="33">
        <f>Elect!K17</f>
        <v>0</v>
      </c>
      <c r="T15" s="33">
        <f>IF(Elect!R17&lt;0,"0",Elect!R17)</f>
        <v>0</v>
      </c>
      <c r="U15" s="33">
        <f>Elect!Q17</f>
        <v>0</v>
      </c>
      <c r="V15" s="33">
        <f>IF(Elect!AA17&lt;0,"0",Elect!AA17)</f>
        <v>0</v>
      </c>
      <c r="W15" s="33">
        <f>Elect!Z17</f>
        <v>0</v>
      </c>
      <c r="X15" s="33">
        <f>IF(Elect!AD17&lt;0,"0",Elect!AD17)</f>
        <v>0</v>
      </c>
      <c r="Y15" s="33">
        <f>Elect!AC17</f>
        <v>0</v>
      </c>
      <c r="Z15" s="33">
        <f>IF(Elect!AG17&lt;0,"0",Elect!AG17)</f>
        <v>0</v>
      </c>
      <c r="AA15" s="33">
        <f>Elect!AF17</f>
        <v>0</v>
      </c>
      <c r="AB15" s="33">
        <f>IF(Elect!AX17&lt;0,"0",Elect!AX17)</f>
        <v>0</v>
      </c>
      <c r="AC15" s="33">
        <f>IF(Elect!AV17&lt;0,"0",Elect!AV17)</f>
        <v>0</v>
      </c>
      <c r="AD15" s="33">
        <f>IF(Elect!AZ17&lt;0,"0",Elect!AZ17)</f>
        <v>0</v>
      </c>
      <c r="AE15" s="33">
        <f>IF(Elect!BB17&lt;0,"0",Elect!BB17)</f>
        <v>0</v>
      </c>
      <c r="AF15" s="66">
        <f>IF('Wtr-Gas'!E17&lt;0,"0",('Wtr-Gas'!E17)*0.0038)</f>
        <v>0</v>
      </c>
      <c r="AG15" s="66">
        <f>IF('Wtr-Gas'!H17&lt;0,"0",('Wtr-Gas'!H17)*0.0038)</f>
        <v>0</v>
      </c>
      <c r="AH15" s="66">
        <f>IF('Wtr-Gas'!K17&lt;0,"0",('Wtr-Gas'!K17)*0.0038)</f>
        <v>0</v>
      </c>
      <c r="AI15" s="66">
        <f>IF('Wtr-Gas'!N17&lt;0,"0",('Wtr-Gas'!N17)*0.0038)</f>
        <v>0</v>
      </c>
      <c r="AJ15" s="66">
        <f>IF('Wtr-Gas'!Q17&lt;0,"0",('Wtr-Gas'!Q17)*0.0038)</f>
        <v>0</v>
      </c>
      <c r="AK15" s="67">
        <f>IF('Wtr-Gas'!U17&lt;0,"0",('Wtr-Gas'!U17)*0.0038)</f>
        <v>0</v>
      </c>
      <c r="AL15" s="67">
        <f>IF('Wtr-Gas'!X17&lt;0,"0",('Wtr-Gas'!X17)*0.0038)</f>
        <v>0</v>
      </c>
      <c r="AM15" s="66">
        <f>IF('Wtr-Gas'!AB17&lt;0,"0",('Wtr-Gas'!AB17)*0.0038)</f>
        <v>0</v>
      </c>
      <c r="AN15" s="66">
        <f>IF('Wtr-Gas'!AD17&lt;0,"0",('Wtr-Gas'!AD17)*0.0038)</f>
        <v>0</v>
      </c>
      <c r="AO15" s="66">
        <f>IF('Wtr-Gas'!AH17&lt;0,"0",('Wtr-Gas'!AH17)*0.0038)</f>
        <v>0</v>
      </c>
      <c r="AP15" s="66">
        <f>IF('Wtr-Gas'!AJ17&lt;0,"0",('Wtr-Gas'!AJ17)*0.0038)</f>
        <v>0</v>
      </c>
      <c r="AQ15" s="66">
        <f>IF('Wtr-Gas'!AL17&lt;0,"0",('Wtr-Gas'!AL17)*0.0038)</f>
        <v>0</v>
      </c>
      <c r="AR15" s="66">
        <f>IF('Wtr-Gas'!AN17&lt;0,"0",('Wtr-Gas'!AN17)*0.0038)</f>
        <v>0</v>
      </c>
      <c r="AS15" s="66">
        <f>IF('Wtr-Gas'!AP17&lt;0,"0",('Wtr-Gas'!AP17)*0.0038)</f>
        <v>0</v>
      </c>
      <c r="AT15" s="66">
        <f>IF('Wtr-Gas'!AR17&lt;0,"0",('Wtr-Gas'!AR17)*0.0038)</f>
        <v>0</v>
      </c>
      <c r="AU15" s="72">
        <f>IF('Wtr-Gas'!AV17&lt;0,"0",('Wtr-Gas'!AV17)*0.0038)</f>
        <v>0</v>
      </c>
      <c r="AV15" s="66">
        <f>IF('Wtr-Gas'!AY17&lt;0,"0",('Wtr-Gas'!AY17)*0.0038)</f>
        <v>0</v>
      </c>
      <c r="AW15" s="66">
        <f>IF('Wtr-Gas'!BA17&lt;0,"0",('Wtr-Gas'!BA17)*0.0038)</f>
        <v>0</v>
      </c>
      <c r="AX15" s="66">
        <f>IF('Wtr-Gas'!BB17&lt;0,"0",('Wtr-Gas'!BB17)*0.0038)</f>
        <v>0</v>
      </c>
      <c r="AY15" s="66">
        <f>IF('Wtr-Gas'!BD17&lt;0,"0",('Wtr-Gas'!BD17)*0.0038)</f>
        <v>0</v>
      </c>
      <c r="AZ15" s="66">
        <f>IF('Wtr-Gas'!BF17&lt;0,"0",('Wtr-Gas'!BF17)*0.0038)</f>
        <v>0</v>
      </c>
      <c r="BA15" s="66">
        <f>IF('Wtr-Gas'!BH17&lt;0,"0",('Wtr-Gas'!BH17)*0.0038)</f>
        <v>0</v>
      </c>
    </row>
    <row r="16" spans="1:54" x14ac:dyDescent="0.25">
      <c r="A16" s="3" t="s">
        <v>11</v>
      </c>
      <c r="B16" s="1">
        <v>20</v>
      </c>
      <c r="C16" s="2">
        <v>3</v>
      </c>
      <c r="D16" s="2">
        <v>2023</v>
      </c>
      <c r="E16" s="33">
        <f>IF(Elect!AM18&lt;0,"0",Elect!AM18)</f>
        <v>0</v>
      </c>
      <c r="F16" s="33">
        <f>IF(Elect!I18&lt;0,"0",Elect!I18)</f>
        <v>0</v>
      </c>
      <c r="G16" s="33">
        <f>Elect!H18</f>
        <v>0</v>
      </c>
      <c r="H16" s="33">
        <f>IF(Elect!F18&lt;0,"0",Elect!F18)</f>
        <v>0</v>
      </c>
      <c r="I16" s="33">
        <f>Elect!E18</f>
        <v>0</v>
      </c>
      <c r="J16" s="33">
        <f>IF(Elect!U18&lt;0,"0",Elect!U18)</f>
        <v>0</v>
      </c>
      <c r="K16" s="33">
        <f>Elect!T18</f>
        <v>0</v>
      </c>
      <c r="L16" s="33">
        <f>IF(Elect!AJ18&lt;0,"0",Elect!AJ18)</f>
        <v>0</v>
      </c>
      <c r="M16" s="33">
        <f>Elect!AI18</f>
        <v>0</v>
      </c>
      <c r="N16" s="33">
        <f>IF(Elect!X18&lt;0,"0",Elect!X18)</f>
        <v>0</v>
      </c>
      <c r="O16" s="33">
        <f>Elect!W18</f>
        <v>0</v>
      </c>
      <c r="P16" s="33">
        <f>IF(Elect!O18&lt;0,"0",Elect!O18)</f>
        <v>0</v>
      </c>
      <c r="Q16" s="33">
        <f>Elect!N18</f>
        <v>0</v>
      </c>
      <c r="R16" s="33">
        <f>IF(Elect!L18&lt;0,"0",Elect!L18)</f>
        <v>0</v>
      </c>
      <c r="S16" s="33">
        <f>Elect!K18</f>
        <v>0</v>
      </c>
      <c r="T16" s="33">
        <f>IF(Elect!R18&lt;0,"0",Elect!R18)</f>
        <v>0</v>
      </c>
      <c r="U16" s="33">
        <f>Elect!Q18</f>
        <v>0</v>
      </c>
      <c r="V16" s="33">
        <f>IF(Elect!AA18&lt;0,"0",Elect!AA18)</f>
        <v>0</v>
      </c>
      <c r="W16" s="33">
        <f>Elect!Z18</f>
        <v>0</v>
      </c>
      <c r="X16" s="33">
        <f>IF(Elect!AD18&lt;0,"0",Elect!AD18)</f>
        <v>0</v>
      </c>
      <c r="Y16" s="33">
        <f>Elect!AC18</f>
        <v>0</v>
      </c>
      <c r="Z16" s="33">
        <f>IF(Elect!AG18&lt;0,"0",Elect!AG18)</f>
        <v>0</v>
      </c>
      <c r="AA16" s="33">
        <f>Elect!AF18</f>
        <v>0</v>
      </c>
      <c r="AB16" s="33">
        <f>IF(Elect!AX18&lt;0,"0",Elect!AX18)</f>
        <v>0</v>
      </c>
      <c r="AC16" s="33">
        <f>IF(Elect!AV18&lt;0,"0",Elect!AV18)</f>
        <v>0</v>
      </c>
      <c r="AD16" s="33">
        <f>IF(Elect!AZ18&lt;0,"0",Elect!AZ18)</f>
        <v>0</v>
      </c>
      <c r="AE16" s="33">
        <f>IF(Elect!BB18&lt;0,"0",Elect!BB18)</f>
        <v>0</v>
      </c>
      <c r="AF16" s="66">
        <f>IF('Wtr-Gas'!E18&lt;0,"0",('Wtr-Gas'!E18)*0.0038)</f>
        <v>0</v>
      </c>
      <c r="AG16" s="66">
        <f>IF('Wtr-Gas'!H18&lt;0,"0",('Wtr-Gas'!H18)*0.0038)</f>
        <v>0</v>
      </c>
      <c r="AH16" s="66">
        <f>IF('Wtr-Gas'!K18&lt;0,"0",('Wtr-Gas'!K18)*0.0038)</f>
        <v>0</v>
      </c>
      <c r="AI16" s="66">
        <f>IF('Wtr-Gas'!N18&lt;0,"0",('Wtr-Gas'!N18)*0.0038)</f>
        <v>0</v>
      </c>
      <c r="AJ16" s="66">
        <f>IF('Wtr-Gas'!Q18&lt;0,"0",('Wtr-Gas'!Q18)*0.0038)</f>
        <v>0</v>
      </c>
      <c r="AK16" s="67">
        <f>IF('Wtr-Gas'!U18&lt;0,"0",('Wtr-Gas'!U18)*0.0038)</f>
        <v>0</v>
      </c>
      <c r="AL16" s="67">
        <f>IF('Wtr-Gas'!X18&lt;0,"0",('Wtr-Gas'!X18)*0.0038)</f>
        <v>0</v>
      </c>
      <c r="AM16" s="66">
        <f>IF('Wtr-Gas'!AB18&lt;0,"0",('Wtr-Gas'!AB18)*0.0038)</f>
        <v>0</v>
      </c>
      <c r="AN16" s="66">
        <f>IF('Wtr-Gas'!AD18&lt;0,"0",('Wtr-Gas'!AD18)*0.0038)</f>
        <v>0</v>
      </c>
      <c r="AO16" s="66">
        <f>IF('Wtr-Gas'!AH18&lt;0,"0",('Wtr-Gas'!AH18)*0.0038)</f>
        <v>0</v>
      </c>
      <c r="AP16" s="66">
        <f>IF('Wtr-Gas'!AJ18&lt;0,"0",('Wtr-Gas'!AJ18)*0.0038)</f>
        <v>0</v>
      </c>
      <c r="AQ16" s="66">
        <f>IF('Wtr-Gas'!AL18&lt;0,"0",('Wtr-Gas'!AL18)*0.0038)</f>
        <v>0</v>
      </c>
      <c r="AR16" s="66">
        <f>IF('Wtr-Gas'!AN18&lt;0,"0",('Wtr-Gas'!AN18)*0.0038)</f>
        <v>0</v>
      </c>
      <c r="AS16" s="66">
        <f>IF('Wtr-Gas'!AP18&lt;0,"0",('Wtr-Gas'!AP18)*0.0038)</f>
        <v>0</v>
      </c>
      <c r="AT16" s="66">
        <f>IF('Wtr-Gas'!AR18&lt;0,"0",('Wtr-Gas'!AR18)*0.0038)</f>
        <v>0</v>
      </c>
      <c r="AU16" s="72">
        <f>IF('Wtr-Gas'!AV18&lt;0,"0",('Wtr-Gas'!AV18)*0.0038)</f>
        <v>0</v>
      </c>
      <c r="AV16" s="66">
        <f>IF('Wtr-Gas'!AY18&lt;0,"0",('Wtr-Gas'!AY18)*0.0038)</f>
        <v>0</v>
      </c>
      <c r="AW16" s="66">
        <f>IF('Wtr-Gas'!BA18&lt;0,"0",('Wtr-Gas'!BA18)*0.0038)</f>
        <v>0</v>
      </c>
      <c r="AX16" s="66">
        <f>IF('Wtr-Gas'!BB18&lt;0,"0",('Wtr-Gas'!BB18)*0.0038)</f>
        <v>0</v>
      </c>
      <c r="AY16" s="66">
        <f>IF('Wtr-Gas'!BD18&lt;0,"0",('Wtr-Gas'!BD18)*0.0038)</f>
        <v>0</v>
      </c>
      <c r="AZ16" s="66">
        <f>IF('Wtr-Gas'!BF18&lt;0,"0",('Wtr-Gas'!BF18)*0.0038)</f>
        <v>0</v>
      </c>
      <c r="BA16" s="66">
        <f>IF('Wtr-Gas'!BH18&lt;0,"0",('Wtr-Gas'!BH18)*0.0038)</f>
        <v>0</v>
      </c>
    </row>
    <row r="17" spans="1:53" x14ac:dyDescent="0.25">
      <c r="A17" s="3" t="s">
        <v>11</v>
      </c>
      <c r="B17" s="1">
        <v>27</v>
      </c>
      <c r="C17" s="2">
        <v>3</v>
      </c>
      <c r="D17" s="2">
        <v>2023</v>
      </c>
      <c r="E17" s="33">
        <f>IF(Elect!AM19&lt;0,"0",Elect!AM19)</f>
        <v>0</v>
      </c>
      <c r="F17" s="33">
        <f>IF(Elect!I19&lt;0,"0",Elect!I19)</f>
        <v>0</v>
      </c>
      <c r="G17" s="33">
        <f>Elect!H19</f>
        <v>0</v>
      </c>
      <c r="H17" s="33">
        <f>IF(Elect!F19&lt;0,"0",Elect!F19)</f>
        <v>0</v>
      </c>
      <c r="I17" s="33">
        <f>Elect!E19</f>
        <v>0</v>
      </c>
      <c r="J17" s="33">
        <f>IF(Elect!U19&lt;0,"0",Elect!U19)</f>
        <v>0</v>
      </c>
      <c r="K17" s="33">
        <f>Elect!T19</f>
        <v>0</v>
      </c>
      <c r="L17" s="33">
        <f>IF(Elect!AJ19&lt;0,"0",Elect!AJ19)</f>
        <v>0</v>
      </c>
      <c r="M17" s="33">
        <f>Elect!AI19</f>
        <v>0</v>
      </c>
      <c r="N17" s="33">
        <f>IF(Elect!X19&lt;0,"0",Elect!X19)</f>
        <v>0</v>
      </c>
      <c r="O17" s="33">
        <f>Elect!W19</f>
        <v>0</v>
      </c>
      <c r="P17" s="33">
        <f>IF(Elect!O19&lt;0,"0",Elect!O19)</f>
        <v>0</v>
      </c>
      <c r="Q17" s="33">
        <f>Elect!N19</f>
        <v>0</v>
      </c>
      <c r="R17" s="33">
        <f>IF(Elect!L19&lt;0,"0",Elect!L19)</f>
        <v>0</v>
      </c>
      <c r="S17" s="33">
        <f>Elect!K19</f>
        <v>0</v>
      </c>
      <c r="T17" s="33">
        <f>IF(Elect!R19&lt;0,"0",Elect!R19)</f>
        <v>0</v>
      </c>
      <c r="U17" s="33">
        <f>Elect!Q19</f>
        <v>0</v>
      </c>
      <c r="V17" s="33">
        <f>IF(Elect!AA19&lt;0,"0",Elect!AA19)</f>
        <v>0</v>
      </c>
      <c r="W17" s="33">
        <f>Elect!Z19</f>
        <v>0</v>
      </c>
      <c r="X17" s="33">
        <f>IF(Elect!AD19&lt;0,"0",Elect!AD19)</f>
        <v>0</v>
      </c>
      <c r="Y17" s="33">
        <f>Elect!AC19</f>
        <v>0</v>
      </c>
      <c r="Z17" s="33">
        <f>IF(Elect!AG19&lt;0,"0",Elect!AG19)</f>
        <v>0</v>
      </c>
      <c r="AA17" s="33">
        <f>Elect!AF19</f>
        <v>0</v>
      </c>
      <c r="AB17" s="33">
        <f>IF(Elect!AX19&lt;0,"0",Elect!AX19)</f>
        <v>0</v>
      </c>
      <c r="AC17" s="33">
        <f>IF(Elect!AV19&lt;0,"0",Elect!AV19)</f>
        <v>0</v>
      </c>
      <c r="AD17" s="33">
        <f>IF(Elect!AZ19&lt;0,"0",Elect!AZ19)</f>
        <v>0</v>
      </c>
      <c r="AE17" s="33">
        <f>IF(Elect!BB19&lt;0,"0",Elect!BB19)</f>
        <v>0</v>
      </c>
      <c r="AF17" s="66">
        <f>IF('Wtr-Gas'!E19&lt;0,"0",('Wtr-Gas'!E19)*0.0038)</f>
        <v>0</v>
      </c>
      <c r="AG17" s="66">
        <f>IF('Wtr-Gas'!H19&lt;0,"0",('Wtr-Gas'!H19)*0.0038)</f>
        <v>0</v>
      </c>
      <c r="AH17" s="66">
        <f>IF('Wtr-Gas'!K19&lt;0,"0",('Wtr-Gas'!K19)*0.0038)</f>
        <v>0</v>
      </c>
      <c r="AI17" s="66">
        <f>IF('Wtr-Gas'!N19&lt;0,"0",('Wtr-Gas'!N19)*0.0038)</f>
        <v>0</v>
      </c>
      <c r="AJ17" s="66">
        <f>IF('Wtr-Gas'!Q19&lt;0,"0",('Wtr-Gas'!Q19)*0.0038)</f>
        <v>0</v>
      </c>
      <c r="AK17" s="67">
        <f>IF('Wtr-Gas'!U19&lt;0,"0",('Wtr-Gas'!U19)*0.0038)</f>
        <v>0</v>
      </c>
      <c r="AL17" s="67">
        <f>IF('Wtr-Gas'!X19&lt;0,"0",('Wtr-Gas'!X19)*0.0038)</f>
        <v>0</v>
      </c>
      <c r="AM17" s="66">
        <f>IF('Wtr-Gas'!AB19&lt;0,"0",('Wtr-Gas'!AB19)*0.0038)</f>
        <v>0</v>
      </c>
      <c r="AN17" s="66">
        <f>IF('Wtr-Gas'!AD19&lt;0,"0",('Wtr-Gas'!AD19)*0.0038)</f>
        <v>0</v>
      </c>
      <c r="AO17" s="66">
        <f>IF('Wtr-Gas'!AH19&lt;0,"0",('Wtr-Gas'!AH19)*0.0038)</f>
        <v>0</v>
      </c>
      <c r="AP17" s="66">
        <f>IF('Wtr-Gas'!AJ19&lt;0,"0",('Wtr-Gas'!AJ19)*0.0038)</f>
        <v>0</v>
      </c>
      <c r="AQ17" s="66">
        <f>IF('Wtr-Gas'!AL19&lt;0,"0",('Wtr-Gas'!AL19)*0.0038)</f>
        <v>0</v>
      </c>
      <c r="AR17" s="66">
        <f>IF('Wtr-Gas'!AN19&lt;0,"0",('Wtr-Gas'!AN19)*0.0038)</f>
        <v>0</v>
      </c>
      <c r="AS17" s="66">
        <f>IF('Wtr-Gas'!AP19&lt;0,"0",('Wtr-Gas'!AP19)*0.0038)</f>
        <v>0</v>
      </c>
      <c r="AT17" s="66">
        <f>IF('Wtr-Gas'!AR19&lt;0,"0",('Wtr-Gas'!AR19)*0.0038)</f>
        <v>0</v>
      </c>
      <c r="AU17" s="72">
        <f>IF('Wtr-Gas'!AV19&lt;0,"0",('Wtr-Gas'!AV19)*0.0038)</f>
        <v>0</v>
      </c>
      <c r="AV17" s="66">
        <f>IF('Wtr-Gas'!AY19&lt;0,"0",('Wtr-Gas'!AY19)*0.0038)</f>
        <v>0</v>
      </c>
      <c r="AW17" s="66">
        <f>IF('Wtr-Gas'!BA19&lt;0,"0",('Wtr-Gas'!BA19)*0.0038)</f>
        <v>0</v>
      </c>
      <c r="AX17" s="66">
        <f>IF('Wtr-Gas'!BB19&lt;0,"0",('Wtr-Gas'!BB19)*0.0038)</f>
        <v>0</v>
      </c>
      <c r="AY17" s="66">
        <f>IF('Wtr-Gas'!BD19&lt;0,"0",('Wtr-Gas'!BD19)*0.0038)</f>
        <v>0</v>
      </c>
      <c r="AZ17" s="66">
        <f>IF('Wtr-Gas'!BF19&lt;0,"0",('Wtr-Gas'!BF19)*0.0038)</f>
        <v>0</v>
      </c>
      <c r="BA17" s="66">
        <f>IF('Wtr-Gas'!BH19&lt;0,"0",('Wtr-Gas'!BH19)*0.0038)</f>
        <v>0</v>
      </c>
    </row>
    <row r="18" spans="1:53" x14ac:dyDescent="0.25">
      <c r="A18" s="3" t="s">
        <v>11</v>
      </c>
      <c r="B18" s="1">
        <v>31</v>
      </c>
      <c r="C18" s="2">
        <v>3</v>
      </c>
      <c r="D18" s="2">
        <v>2023</v>
      </c>
      <c r="E18" s="33">
        <f>IF(Elect!AM20&lt;0,"0",Elect!AM20)</f>
        <v>0</v>
      </c>
      <c r="F18" s="33">
        <f>IF(Elect!I20&lt;0,"0",Elect!I20)</f>
        <v>0</v>
      </c>
      <c r="G18" s="33">
        <f>Elect!H20</f>
        <v>0</v>
      </c>
      <c r="H18" s="33">
        <f>IF(Elect!F20&lt;0,"0",Elect!F20)</f>
        <v>0</v>
      </c>
      <c r="I18" s="33">
        <f>Elect!E20</f>
        <v>0</v>
      </c>
      <c r="J18" s="33">
        <f>IF(Elect!U20&lt;0,"0",Elect!U20)</f>
        <v>0</v>
      </c>
      <c r="K18" s="33">
        <f>Elect!T20</f>
        <v>0</v>
      </c>
      <c r="L18" s="33">
        <f>IF(Elect!AJ20&lt;0,"0",Elect!AJ20)</f>
        <v>0</v>
      </c>
      <c r="M18" s="33">
        <f>Elect!AI20</f>
        <v>0</v>
      </c>
      <c r="N18" s="33">
        <f>IF(Elect!X20&lt;0,"0",Elect!X20)</f>
        <v>0</v>
      </c>
      <c r="O18" s="33">
        <f>Elect!W20</f>
        <v>0</v>
      </c>
      <c r="P18" s="33">
        <f>IF(Elect!O20&lt;0,"0",Elect!O20)</f>
        <v>0</v>
      </c>
      <c r="Q18" s="33">
        <f>Elect!N20</f>
        <v>0</v>
      </c>
      <c r="R18" s="33">
        <f>IF(Elect!L20&lt;0,"0",Elect!L20)</f>
        <v>0</v>
      </c>
      <c r="S18" s="33">
        <f>Elect!K20</f>
        <v>0</v>
      </c>
      <c r="T18" s="33">
        <f>IF(Elect!R20&lt;0,"0",Elect!R20)</f>
        <v>0</v>
      </c>
      <c r="U18" s="33">
        <f>Elect!Q20</f>
        <v>0</v>
      </c>
      <c r="V18" s="33">
        <f>IF(Elect!AA20&lt;0,"0",Elect!AA20)</f>
        <v>0</v>
      </c>
      <c r="W18" s="33">
        <f>Elect!Z20</f>
        <v>0</v>
      </c>
      <c r="X18" s="33">
        <f>IF(Elect!AD20&lt;0,"0",Elect!AD20)</f>
        <v>0</v>
      </c>
      <c r="Y18" s="33">
        <f>Elect!AC20</f>
        <v>0</v>
      </c>
      <c r="Z18" s="33">
        <f>IF(Elect!AG20&lt;0,"0",Elect!AG20)</f>
        <v>0</v>
      </c>
      <c r="AA18" s="33">
        <f>Elect!AF20</f>
        <v>0</v>
      </c>
      <c r="AB18" s="33">
        <f>IF(Elect!AX20&lt;0,"0",Elect!AX20)</f>
        <v>0</v>
      </c>
      <c r="AC18" s="33">
        <f>IF(Elect!AV20&lt;0,"0",Elect!AV20)</f>
        <v>0</v>
      </c>
      <c r="AD18" s="33">
        <f>IF(Elect!AZ20&lt;0,"0",Elect!AZ20)</f>
        <v>0</v>
      </c>
      <c r="AE18" s="33">
        <f>IF(Elect!BB20&lt;0,"0",Elect!BB20)</f>
        <v>0</v>
      </c>
      <c r="AF18" s="66">
        <f>IF('Wtr-Gas'!E20&lt;0,"0",('Wtr-Gas'!E20)*0.0038)</f>
        <v>0</v>
      </c>
      <c r="AG18" s="66">
        <f>IF('Wtr-Gas'!H20&lt;0,"0",('Wtr-Gas'!H20)*0.0038)</f>
        <v>0</v>
      </c>
      <c r="AH18" s="66">
        <f>IF('Wtr-Gas'!K20&lt;0,"0",('Wtr-Gas'!K20)*0.0038)</f>
        <v>0</v>
      </c>
      <c r="AI18" s="66">
        <f>IF('Wtr-Gas'!N20&lt;0,"0",('Wtr-Gas'!N20)*0.0038)</f>
        <v>0</v>
      </c>
      <c r="AJ18" s="66">
        <f>IF('Wtr-Gas'!Q20&lt;0,"0",('Wtr-Gas'!Q20)*0.0038)</f>
        <v>0</v>
      </c>
      <c r="AK18" s="67">
        <f>IF('Wtr-Gas'!U20&lt;0,"0",('Wtr-Gas'!U20)*0.0038)</f>
        <v>0</v>
      </c>
      <c r="AL18" s="67">
        <f>IF('Wtr-Gas'!X20&lt;0,"0",('Wtr-Gas'!X20)*0.0038)</f>
        <v>0</v>
      </c>
      <c r="AM18" s="66">
        <f>IF('Wtr-Gas'!AB20&lt;0,"0",('Wtr-Gas'!AB20)*0.0038)</f>
        <v>0</v>
      </c>
      <c r="AN18" s="66">
        <f>IF('Wtr-Gas'!AD20&lt;0,"0",('Wtr-Gas'!AD20)*0.0038)</f>
        <v>0</v>
      </c>
      <c r="AO18" s="66">
        <f>IF('Wtr-Gas'!AH20&lt;0,"0",('Wtr-Gas'!AH20)*0.0038)</f>
        <v>0</v>
      </c>
      <c r="AP18" s="66">
        <f>IF('Wtr-Gas'!AJ20&lt;0,"0",('Wtr-Gas'!AJ20)*0.0038)</f>
        <v>0</v>
      </c>
      <c r="AQ18" s="66">
        <f>IF('Wtr-Gas'!AL20&lt;0,"0",('Wtr-Gas'!AL20)*0.0038)</f>
        <v>0</v>
      </c>
      <c r="AR18" s="66">
        <f>IF('Wtr-Gas'!AN20&lt;0,"0",('Wtr-Gas'!AN20)*0.0038)</f>
        <v>0</v>
      </c>
      <c r="AS18" s="66">
        <f>IF('Wtr-Gas'!AP20&lt;0,"0",('Wtr-Gas'!AP20)*0.0038)</f>
        <v>0</v>
      </c>
      <c r="AT18" s="66">
        <f>IF('Wtr-Gas'!AR20&lt;0,"0",('Wtr-Gas'!AR20)*0.0038)</f>
        <v>0</v>
      </c>
      <c r="AU18" s="72">
        <f>IF('Wtr-Gas'!AV20&lt;0,"0",('Wtr-Gas'!AV20)*0.0038)</f>
        <v>0</v>
      </c>
      <c r="AV18" s="66">
        <f>IF('Wtr-Gas'!AY20&lt;0,"0",('Wtr-Gas'!AY20)*0.0038)</f>
        <v>0</v>
      </c>
      <c r="AW18" s="66">
        <f>IF('Wtr-Gas'!BA20&lt;0,"0",('Wtr-Gas'!BA20)*0.0038)</f>
        <v>0</v>
      </c>
      <c r="AX18" s="66">
        <f>IF('Wtr-Gas'!BB20&lt;0,"0",('Wtr-Gas'!BB20)*0.0038)</f>
        <v>0</v>
      </c>
      <c r="AY18" s="66">
        <f>IF('Wtr-Gas'!BD20&lt;0,"0",('Wtr-Gas'!BD20)*0.0038)</f>
        <v>0</v>
      </c>
      <c r="AZ18" s="66">
        <f>IF('Wtr-Gas'!BF20&lt;0,"0",('Wtr-Gas'!BF20)*0.0038)</f>
        <v>0</v>
      </c>
      <c r="BA18" s="66">
        <f>IF('Wtr-Gas'!BH20&lt;0,"0",('Wtr-Gas'!BH20)*0.0038)</f>
        <v>0</v>
      </c>
    </row>
    <row r="19" spans="1:53" x14ac:dyDescent="0.25">
      <c r="A19" s="3" t="s">
        <v>11</v>
      </c>
      <c r="B19" s="1">
        <v>3</v>
      </c>
      <c r="C19" s="2">
        <v>4</v>
      </c>
      <c r="D19" s="2">
        <v>2023</v>
      </c>
      <c r="E19" s="33">
        <f>IF(Elect!AM21&lt;0,"0",Elect!AM21)</f>
        <v>0</v>
      </c>
      <c r="F19" s="33">
        <f>IF(Elect!I21&lt;0,"0",Elect!I21)</f>
        <v>0</v>
      </c>
      <c r="G19" s="33">
        <f>Elect!H21</f>
        <v>0</v>
      </c>
      <c r="H19" s="33">
        <f>IF(Elect!F21&lt;0,"0",Elect!F21)</f>
        <v>0</v>
      </c>
      <c r="I19" s="33">
        <f>Elect!E21</f>
        <v>0</v>
      </c>
      <c r="J19" s="33">
        <f>IF(Elect!U21&lt;0,"0",Elect!U21)</f>
        <v>0</v>
      </c>
      <c r="K19" s="33">
        <f>Elect!T21</f>
        <v>0</v>
      </c>
      <c r="L19" s="33">
        <f>IF(Elect!AJ21&lt;0,"0",Elect!AJ21)</f>
        <v>0</v>
      </c>
      <c r="M19" s="33">
        <f>Elect!AI21</f>
        <v>0</v>
      </c>
      <c r="N19" s="33">
        <f>IF(Elect!X21&lt;0,"0",Elect!X21)</f>
        <v>0</v>
      </c>
      <c r="O19" s="33">
        <f>Elect!W21</f>
        <v>0</v>
      </c>
      <c r="P19" s="33">
        <f>IF(Elect!O21&lt;0,"0",Elect!O21)</f>
        <v>0</v>
      </c>
      <c r="Q19" s="33">
        <f>Elect!N21</f>
        <v>0</v>
      </c>
      <c r="R19" s="33">
        <f>IF(Elect!L21&lt;0,"0",Elect!L21)</f>
        <v>0</v>
      </c>
      <c r="S19" s="33">
        <f>Elect!K21</f>
        <v>0</v>
      </c>
      <c r="T19" s="33">
        <f>IF(Elect!R21&lt;0,"0",Elect!R21)</f>
        <v>0</v>
      </c>
      <c r="U19" s="33">
        <f>Elect!Q21</f>
        <v>0</v>
      </c>
      <c r="V19" s="33">
        <f>IF(Elect!AA21&lt;0,"0",Elect!AA21)</f>
        <v>0</v>
      </c>
      <c r="W19" s="33">
        <f>Elect!Z21</f>
        <v>0</v>
      </c>
      <c r="X19" s="33">
        <f>IF(Elect!AD21&lt;0,"0",Elect!AD21)</f>
        <v>0</v>
      </c>
      <c r="Y19" s="33">
        <f>Elect!AC21</f>
        <v>0</v>
      </c>
      <c r="Z19" s="33">
        <f>IF(Elect!AG21&lt;0,"0",Elect!AG21)</f>
        <v>0</v>
      </c>
      <c r="AA19" s="33">
        <f>Elect!AF21</f>
        <v>0</v>
      </c>
      <c r="AB19" s="33">
        <f>IF(Elect!AX21&lt;0,"0",Elect!AX21)</f>
        <v>0</v>
      </c>
      <c r="AC19" s="33">
        <f>IF(Elect!AV21&lt;0,"0",Elect!AV21)</f>
        <v>0</v>
      </c>
      <c r="AD19" s="33">
        <f>IF(Elect!AZ21&lt;0,"0",Elect!AZ21)</f>
        <v>0</v>
      </c>
      <c r="AE19" s="33">
        <f>IF(Elect!BB21&lt;0,"0",Elect!BB21)</f>
        <v>0</v>
      </c>
      <c r="AF19" s="66">
        <f>IF('Wtr-Gas'!E21&lt;0,"0",('Wtr-Gas'!E21)*0.0038)</f>
        <v>0</v>
      </c>
      <c r="AG19" s="66">
        <f>IF('Wtr-Gas'!H21&lt;0,"0",('Wtr-Gas'!H21)*0.0038)</f>
        <v>0</v>
      </c>
      <c r="AH19" s="66">
        <f>IF('Wtr-Gas'!K21&lt;0,"0",('Wtr-Gas'!K21)*0.0038)</f>
        <v>0</v>
      </c>
      <c r="AI19" s="66">
        <f>IF('Wtr-Gas'!N21&lt;0,"0",('Wtr-Gas'!N21)*0.0038)</f>
        <v>0</v>
      </c>
      <c r="AJ19" s="66">
        <f>IF('Wtr-Gas'!Q21&lt;0,"0",('Wtr-Gas'!Q21)*0.0038)</f>
        <v>0</v>
      </c>
      <c r="AK19" s="67">
        <f>IF('Wtr-Gas'!U21&lt;0,"0",('Wtr-Gas'!U21)*0.0038)</f>
        <v>0</v>
      </c>
      <c r="AL19" s="67">
        <f>IF('Wtr-Gas'!X21&lt;0,"0",('Wtr-Gas'!X21)*0.0038)</f>
        <v>0</v>
      </c>
      <c r="AM19" s="66">
        <f>IF('Wtr-Gas'!AB21&lt;0,"0",('Wtr-Gas'!AB21)*0.0038)</f>
        <v>0</v>
      </c>
      <c r="AN19" s="66">
        <f>IF('Wtr-Gas'!AD21&lt;0,"0",('Wtr-Gas'!AD21)*0.0038)</f>
        <v>0</v>
      </c>
      <c r="AO19" s="66">
        <f>IF('Wtr-Gas'!AH21&lt;0,"0",('Wtr-Gas'!AH21)*0.0038)</f>
        <v>0</v>
      </c>
      <c r="AP19" s="66">
        <f>IF('Wtr-Gas'!AJ21&lt;0,"0",('Wtr-Gas'!AJ21)*0.0038)</f>
        <v>0</v>
      </c>
      <c r="AQ19" s="66">
        <f>IF('Wtr-Gas'!AL21&lt;0,"0",('Wtr-Gas'!AL21)*0.0038)</f>
        <v>0</v>
      </c>
      <c r="AR19" s="66">
        <f>IF('Wtr-Gas'!AN21&lt;0,"0",('Wtr-Gas'!AN21)*0.0038)</f>
        <v>0</v>
      </c>
      <c r="AS19" s="66">
        <f>IF('Wtr-Gas'!AP21&lt;0,"0",('Wtr-Gas'!AP21)*0.0038)</f>
        <v>0</v>
      </c>
      <c r="AT19" s="66">
        <f>IF('Wtr-Gas'!AR21&lt;0,"0",('Wtr-Gas'!AR21)*0.0038)</f>
        <v>0</v>
      </c>
      <c r="AU19" s="72">
        <f>IF('Wtr-Gas'!AV21&lt;0,"0",('Wtr-Gas'!AV21)*0.0038)</f>
        <v>0</v>
      </c>
      <c r="AV19" s="66">
        <f>IF('Wtr-Gas'!AY21&lt;0,"0",('Wtr-Gas'!AY21)*0.0038)</f>
        <v>0</v>
      </c>
      <c r="AW19" s="66">
        <f>IF('Wtr-Gas'!BA21&lt;0,"0",('Wtr-Gas'!BA21)*0.0038)</f>
        <v>0</v>
      </c>
      <c r="AX19" s="66">
        <f>IF('Wtr-Gas'!BB21&lt;0,"0",('Wtr-Gas'!BB21)*0.0038)</f>
        <v>0</v>
      </c>
      <c r="AY19" s="66">
        <f>IF('Wtr-Gas'!BD21&lt;0,"0",('Wtr-Gas'!BD21)*0.0038)</f>
        <v>0</v>
      </c>
      <c r="AZ19" s="66">
        <f>IF('Wtr-Gas'!BF21&lt;0,"0",('Wtr-Gas'!BF21)*0.0038)</f>
        <v>0</v>
      </c>
      <c r="BA19" s="66">
        <f>IF('Wtr-Gas'!BH21&lt;0,"0",('Wtr-Gas'!BH21)*0.0038)</f>
        <v>0</v>
      </c>
    </row>
    <row r="20" spans="1:53" x14ac:dyDescent="0.25">
      <c r="A20" s="3" t="s">
        <v>11</v>
      </c>
      <c r="B20" s="1">
        <v>10</v>
      </c>
      <c r="C20" s="2">
        <v>4</v>
      </c>
      <c r="D20" s="2">
        <v>2023</v>
      </c>
      <c r="E20" s="33">
        <f>IF(Elect!AM22&lt;0,"0",Elect!AM22)</f>
        <v>0</v>
      </c>
      <c r="F20" s="33">
        <f>IF(Elect!I22&lt;0,"0",Elect!I22)</f>
        <v>0</v>
      </c>
      <c r="G20" s="33">
        <f>Elect!H22</f>
        <v>0</v>
      </c>
      <c r="H20" s="33">
        <f>IF(Elect!F22&lt;0,"0",Elect!F22)</f>
        <v>0</v>
      </c>
      <c r="I20" s="33">
        <f>Elect!E22</f>
        <v>0</v>
      </c>
      <c r="J20" s="33">
        <f>IF(Elect!U22&lt;0,"0",Elect!U22)</f>
        <v>0</v>
      </c>
      <c r="K20" s="33">
        <f>Elect!T22</f>
        <v>0</v>
      </c>
      <c r="L20" s="33">
        <f>IF(Elect!AJ22&lt;0,"0",Elect!AJ22)</f>
        <v>0</v>
      </c>
      <c r="M20" s="33">
        <f>Elect!AI22</f>
        <v>0</v>
      </c>
      <c r="N20" s="33">
        <f>IF(Elect!X22&lt;0,"0",Elect!X22)</f>
        <v>0</v>
      </c>
      <c r="O20" s="33">
        <f>Elect!W22</f>
        <v>0</v>
      </c>
      <c r="P20" s="33">
        <f>IF(Elect!O22&lt;0,"0",Elect!O22)</f>
        <v>0</v>
      </c>
      <c r="Q20" s="33">
        <f>Elect!N22</f>
        <v>0</v>
      </c>
      <c r="R20" s="33">
        <f>IF(Elect!L22&lt;0,"0",Elect!L22)</f>
        <v>0</v>
      </c>
      <c r="S20" s="33">
        <f>Elect!K22</f>
        <v>0</v>
      </c>
      <c r="T20" s="33">
        <f>IF(Elect!R22&lt;0,"0",Elect!R22)</f>
        <v>0</v>
      </c>
      <c r="U20" s="33">
        <f>Elect!Q22</f>
        <v>0</v>
      </c>
      <c r="V20" s="33">
        <f>IF(Elect!AA22&lt;0,"0",Elect!AA22)</f>
        <v>0</v>
      </c>
      <c r="W20" s="33">
        <f>Elect!Z22</f>
        <v>0</v>
      </c>
      <c r="X20" s="33">
        <f>IF(Elect!AD22&lt;0,"0",Elect!AD22)</f>
        <v>0</v>
      </c>
      <c r="Y20" s="33">
        <f>Elect!AC22</f>
        <v>0</v>
      </c>
      <c r="Z20" s="33">
        <f>IF(Elect!AG22&lt;0,"0",Elect!AG22)</f>
        <v>0</v>
      </c>
      <c r="AA20" s="33">
        <f>Elect!AF22</f>
        <v>0</v>
      </c>
      <c r="AB20" s="33">
        <f>IF(Elect!AX22&lt;0,"0",Elect!AX22)</f>
        <v>0</v>
      </c>
      <c r="AC20" s="33">
        <f>IF(Elect!AV22&lt;0,"0",Elect!AV22)</f>
        <v>0</v>
      </c>
      <c r="AD20" s="33">
        <f>IF(Elect!AZ22&lt;0,"0",Elect!AZ22)</f>
        <v>0</v>
      </c>
      <c r="AE20" s="33">
        <f>IF(Elect!BB22&lt;0,"0",Elect!BB22)</f>
        <v>0</v>
      </c>
      <c r="AF20" s="66">
        <f>IF('Wtr-Gas'!E22&lt;0,"0",('Wtr-Gas'!E22)*0.0038)</f>
        <v>0</v>
      </c>
      <c r="AG20" s="66">
        <f>IF('Wtr-Gas'!H22&lt;0,"0",('Wtr-Gas'!H22)*0.0038)</f>
        <v>0</v>
      </c>
      <c r="AH20" s="66">
        <f>IF('Wtr-Gas'!K22&lt;0,"0",('Wtr-Gas'!K22)*0.0038)</f>
        <v>0</v>
      </c>
      <c r="AI20" s="66">
        <f>IF('Wtr-Gas'!N22&lt;0,"0",('Wtr-Gas'!N22)*0.0038)</f>
        <v>0</v>
      </c>
      <c r="AJ20" s="66">
        <f>IF('Wtr-Gas'!Q22&lt;0,"0",('Wtr-Gas'!Q22)*0.0038)</f>
        <v>0</v>
      </c>
      <c r="AK20" s="67">
        <f>IF('Wtr-Gas'!U22&lt;0,"0",('Wtr-Gas'!U22)*0.0038)</f>
        <v>0</v>
      </c>
      <c r="AL20" s="67">
        <f>IF('Wtr-Gas'!X22&lt;0,"0",('Wtr-Gas'!X22)*0.0038)</f>
        <v>0</v>
      </c>
      <c r="AM20" s="66">
        <f>IF('Wtr-Gas'!AB22&lt;0,"0",('Wtr-Gas'!AB22)*0.0038)</f>
        <v>0</v>
      </c>
      <c r="AN20" s="66">
        <f>IF('Wtr-Gas'!AD22&lt;0,"0",('Wtr-Gas'!AD22)*0.0038)</f>
        <v>0</v>
      </c>
      <c r="AO20" s="66">
        <f>IF('Wtr-Gas'!AH22&lt;0,"0",('Wtr-Gas'!AH22)*0.0038)</f>
        <v>0</v>
      </c>
      <c r="AP20" s="66">
        <f>IF('Wtr-Gas'!AJ22&lt;0,"0",('Wtr-Gas'!AJ22)*0.0038)</f>
        <v>0</v>
      </c>
      <c r="AQ20" s="66">
        <f>IF('Wtr-Gas'!AL22&lt;0,"0",('Wtr-Gas'!AL22)*0.0038)</f>
        <v>0</v>
      </c>
      <c r="AR20" s="66">
        <f>IF('Wtr-Gas'!AN22&lt;0,"0",('Wtr-Gas'!AN22)*0.0038)</f>
        <v>0</v>
      </c>
      <c r="AS20" s="66">
        <f>IF('Wtr-Gas'!AP22&lt;0,"0",('Wtr-Gas'!AP22)*0.0038)</f>
        <v>0</v>
      </c>
      <c r="AT20" s="66">
        <f>IF('Wtr-Gas'!AR22&lt;0,"0",('Wtr-Gas'!AR22)*0.0038)</f>
        <v>0</v>
      </c>
      <c r="AU20" s="72">
        <f>IF('Wtr-Gas'!AV22&lt;0,"0",('Wtr-Gas'!AV22)*0.0038)</f>
        <v>0</v>
      </c>
      <c r="AV20" s="66">
        <f>IF('Wtr-Gas'!AY22&lt;0,"0",('Wtr-Gas'!AY22)*0.0038)</f>
        <v>0</v>
      </c>
      <c r="AW20" s="66">
        <f>IF('Wtr-Gas'!BA22&lt;0,"0",('Wtr-Gas'!BA22)*0.0038)</f>
        <v>0</v>
      </c>
      <c r="AX20" s="66">
        <f>IF('Wtr-Gas'!BB22&lt;0,"0",('Wtr-Gas'!BB22)*0.0038)</f>
        <v>0</v>
      </c>
      <c r="AY20" s="66">
        <f>IF('Wtr-Gas'!BD22&lt;0,"0",('Wtr-Gas'!BD22)*0.0038)</f>
        <v>0</v>
      </c>
      <c r="AZ20" s="66">
        <f>IF('Wtr-Gas'!BF22&lt;0,"0",('Wtr-Gas'!BF22)*0.0038)</f>
        <v>0</v>
      </c>
      <c r="BA20" s="66">
        <f>IF('Wtr-Gas'!BH22&lt;0,"0",('Wtr-Gas'!BH22)*0.0038)</f>
        <v>0</v>
      </c>
    </row>
    <row r="21" spans="1:53" x14ac:dyDescent="0.25">
      <c r="A21" s="3" t="s">
        <v>11</v>
      </c>
      <c r="B21" s="1">
        <v>17</v>
      </c>
      <c r="C21" s="2">
        <v>4</v>
      </c>
      <c r="D21" s="2">
        <v>2023</v>
      </c>
      <c r="E21" s="33">
        <f>IF(Elect!AM23&lt;0,"0",Elect!AM23)</f>
        <v>0</v>
      </c>
      <c r="F21" s="33">
        <f>IF(Elect!I23&lt;0,"0",Elect!I23)</f>
        <v>0</v>
      </c>
      <c r="G21" s="33">
        <f>Elect!H23</f>
        <v>0</v>
      </c>
      <c r="H21" s="33">
        <f>IF(Elect!F23&lt;0,"0",Elect!F23)</f>
        <v>0</v>
      </c>
      <c r="I21" s="33">
        <f>Elect!E23</f>
        <v>0</v>
      </c>
      <c r="J21" s="33">
        <f>IF(Elect!U23&lt;0,"0",Elect!U23)</f>
        <v>0</v>
      </c>
      <c r="K21" s="33">
        <f>Elect!T23</f>
        <v>0</v>
      </c>
      <c r="L21" s="33">
        <f>IF(Elect!AJ23&lt;0,"0",Elect!AJ23)</f>
        <v>0</v>
      </c>
      <c r="M21" s="33">
        <f>Elect!AI23</f>
        <v>0</v>
      </c>
      <c r="N21" s="33">
        <f>IF(Elect!X23&lt;0,"0",Elect!X23)</f>
        <v>0</v>
      </c>
      <c r="O21" s="33">
        <f>Elect!W23</f>
        <v>0</v>
      </c>
      <c r="P21" s="33">
        <f>IF(Elect!O23&lt;0,"0",Elect!O23)</f>
        <v>0</v>
      </c>
      <c r="Q21" s="33">
        <f>Elect!N23</f>
        <v>0</v>
      </c>
      <c r="R21" s="33">
        <f>IF(Elect!L23&lt;0,"0",Elect!L23)</f>
        <v>0</v>
      </c>
      <c r="S21" s="33">
        <f>Elect!K23</f>
        <v>0</v>
      </c>
      <c r="T21" s="33">
        <f>IF(Elect!R23&lt;0,"0",Elect!R23)</f>
        <v>0</v>
      </c>
      <c r="U21" s="33">
        <f>Elect!Q23</f>
        <v>0</v>
      </c>
      <c r="V21" s="33">
        <f>IF(Elect!AA23&lt;0,"0",Elect!AA23)</f>
        <v>0</v>
      </c>
      <c r="W21" s="33">
        <f>Elect!Z23</f>
        <v>0</v>
      </c>
      <c r="X21" s="33">
        <f>IF(Elect!AD23&lt;0,"0",Elect!AD23)</f>
        <v>0</v>
      </c>
      <c r="Y21" s="33">
        <f>Elect!AC23</f>
        <v>0</v>
      </c>
      <c r="Z21" s="33">
        <f>IF(Elect!AG23&lt;0,"0",Elect!AG23)</f>
        <v>0</v>
      </c>
      <c r="AA21" s="33">
        <f>Elect!AF23</f>
        <v>0</v>
      </c>
      <c r="AB21" s="33">
        <f>IF(Elect!AX23&lt;0,"0",Elect!AX23)</f>
        <v>0</v>
      </c>
      <c r="AC21" s="33">
        <f>IF(Elect!AV23&lt;0,"0",Elect!AV23)</f>
        <v>0</v>
      </c>
      <c r="AD21" s="33">
        <f>IF(Elect!AZ23&lt;0,"0",Elect!AZ23)</f>
        <v>0</v>
      </c>
      <c r="AE21" s="33">
        <f>IF(Elect!BB23&lt;0,"0",Elect!BB23)</f>
        <v>0</v>
      </c>
      <c r="AF21" s="66">
        <f>IF('Wtr-Gas'!E23&lt;0,"0",('Wtr-Gas'!E23)*0.0038)</f>
        <v>0</v>
      </c>
      <c r="AG21" s="66">
        <f>IF('Wtr-Gas'!H23&lt;0,"0",('Wtr-Gas'!H23)*0.0038)</f>
        <v>0</v>
      </c>
      <c r="AH21" s="66">
        <f>IF('Wtr-Gas'!K23&lt;0,"0",('Wtr-Gas'!K23)*0.0038)</f>
        <v>0</v>
      </c>
      <c r="AI21" s="66">
        <f>IF('Wtr-Gas'!N23&lt;0,"0",('Wtr-Gas'!N23)*0.0038)</f>
        <v>0</v>
      </c>
      <c r="AJ21" s="66">
        <f>IF('Wtr-Gas'!Q23&lt;0,"0",('Wtr-Gas'!Q23)*0.0038)</f>
        <v>0</v>
      </c>
      <c r="AK21" s="67">
        <f>IF('Wtr-Gas'!U23&lt;0,"0",('Wtr-Gas'!U23)*0.0038)</f>
        <v>0</v>
      </c>
      <c r="AL21" s="67">
        <f>IF('Wtr-Gas'!X23&lt;0,"0",('Wtr-Gas'!X23)*0.0038)</f>
        <v>0</v>
      </c>
      <c r="AM21" s="66">
        <f>IF('Wtr-Gas'!AB23&lt;0,"0",('Wtr-Gas'!AB23)*0.0038)</f>
        <v>0</v>
      </c>
      <c r="AN21" s="66">
        <f>IF('Wtr-Gas'!AD23&lt;0,"0",('Wtr-Gas'!AD23)*0.0038)</f>
        <v>0</v>
      </c>
      <c r="AO21" s="66">
        <f>IF('Wtr-Gas'!AH23&lt;0,"0",('Wtr-Gas'!AH23)*0.0038)</f>
        <v>0</v>
      </c>
      <c r="AP21" s="66">
        <f>IF('Wtr-Gas'!AJ23&lt;0,"0",('Wtr-Gas'!AJ23)*0.0038)</f>
        <v>0</v>
      </c>
      <c r="AQ21" s="66">
        <f>IF('Wtr-Gas'!AL23&lt;0,"0",('Wtr-Gas'!AL23)*0.0038)</f>
        <v>0</v>
      </c>
      <c r="AR21" s="66">
        <f>IF('Wtr-Gas'!AN23&lt;0,"0",('Wtr-Gas'!AN23)*0.0038)</f>
        <v>0</v>
      </c>
      <c r="AS21" s="66">
        <f>IF('Wtr-Gas'!AP23&lt;0,"0",('Wtr-Gas'!AP23)*0.0038)</f>
        <v>0</v>
      </c>
      <c r="AT21" s="66">
        <f>IF('Wtr-Gas'!AR23&lt;0,"0",('Wtr-Gas'!AR23)*0.0038)</f>
        <v>0</v>
      </c>
      <c r="AU21" s="72">
        <f>IF('Wtr-Gas'!AV23&lt;0,"0",('Wtr-Gas'!AV23)*0.0038)</f>
        <v>0</v>
      </c>
      <c r="AV21" s="66">
        <f>IF('Wtr-Gas'!AY23&lt;0,"0",('Wtr-Gas'!AY23)*0.0038)</f>
        <v>0</v>
      </c>
      <c r="AW21" s="66">
        <f>IF('Wtr-Gas'!BA23&lt;0,"0",('Wtr-Gas'!BA23)*0.0038)</f>
        <v>0</v>
      </c>
      <c r="AX21" s="66">
        <f>IF('Wtr-Gas'!BB23&lt;0,"0",('Wtr-Gas'!BB23)*0.0038)</f>
        <v>0</v>
      </c>
      <c r="AY21" s="66">
        <f>IF('Wtr-Gas'!BD23&lt;0,"0",('Wtr-Gas'!BD23)*0.0038)</f>
        <v>0</v>
      </c>
      <c r="AZ21" s="66">
        <f>IF('Wtr-Gas'!BF23&lt;0,"0",('Wtr-Gas'!BF23)*0.0038)</f>
        <v>0</v>
      </c>
      <c r="BA21" s="66">
        <f>IF('Wtr-Gas'!BH23&lt;0,"0",('Wtr-Gas'!BH23)*0.0038)</f>
        <v>0</v>
      </c>
    </row>
    <row r="22" spans="1:53" x14ac:dyDescent="0.25">
      <c r="A22" s="3" t="s">
        <v>11</v>
      </c>
      <c r="B22" s="1">
        <v>24</v>
      </c>
      <c r="C22" s="2">
        <v>4</v>
      </c>
      <c r="D22" s="2">
        <v>2023</v>
      </c>
      <c r="E22" s="33">
        <f>IF(Elect!AM24&lt;0,"0",Elect!AM24)</f>
        <v>0</v>
      </c>
      <c r="F22" s="33">
        <f>IF(Elect!I24&lt;0,"0",Elect!I24)</f>
        <v>0</v>
      </c>
      <c r="G22" s="33">
        <f>Elect!H24</f>
        <v>0</v>
      </c>
      <c r="H22" s="33">
        <f>IF(Elect!F24&lt;0,"0",Elect!F24)</f>
        <v>0</v>
      </c>
      <c r="I22" s="33">
        <f>Elect!E24</f>
        <v>0</v>
      </c>
      <c r="J22" s="33">
        <f>IF(Elect!U24&lt;0,"0",Elect!U24)</f>
        <v>0</v>
      </c>
      <c r="K22" s="33">
        <f>Elect!T24</f>
        <v>0</v>
      </c>
      <c r="L22" s="33">
        <f>IF(Elect!AJ24&lt;0,"0",Elect!AJ24)</f>
        <v>0</v>
      </c>
      <c r="M22" s="33">
        <f>Elect!AI24</f>
        <v>0</v>
      </c>
      <c r="N22" s="33">
        <f>IF(Elect!X24&lt;0,"0",Elect!X24)</f>
        <v>0</v>
      </c>
      <c r="O22" s="33">
        <f>Elect!W24</f>
        <v>0</v>
      </c>
      <c r="P22" s="33">
        <f>IF(Elect!O24&lt;0,"0",Elect!O24)</f>
        <v>0</v>
      </c>
      <c r="Q22" s="33">
        <f>Elect!N24</f>
        <v>0</v>
      </c>
      <c r="R22" s="33">
        <f>IF(Elect!L24&lt;0,"0",Elect!L24)</f>
        <v>0</v>
      </c>
      <c r="S22" s="33">
        <f>Elect!K24</f>
        <v>0</v>
      </c>
      <c r="T22" s="33">
        <f>IF(Elect!R24&lt;0,"0",Elect!R24)</f>
        <v>0</v>
      </c>
      <c r="U22" s="33">
        <f>Elect!Q24</f>
        <v>0</v>
      </c>
      <c r="V22" s="33">
        <f>IF(Elect!AA24&lt;0,"0",Elect!AA24)</f>
        <v>0</v>
      </c>
      <c r="W22" s="33">
        <f>Elect!Z24</f>
        <v>0</v>
      </c>
      <c r="X22" s="33">
        <f>IF(Elect!AD24&lt;0,"0",Elect!AD24)</f>
        <v>0</v>
      </c>
      <c r="Y22" s="33">
        <f>Elect!AC24</f>
        <v>0</v>
      </c>
      <c r="Z22" s="33">
        <f>IF(Elect!AG24&lt;0,"0",Elect!AG24)</f>
        <v>0</v>
      </c>
      <c r="AA22" s="33">
        <f>Elect!AF24</f>
        <v>0</v>
      </c>
      <c r="AB22" s="33">
        <f>IF(Elect!AX24&lt;0,"0",Elect!AX24)</f>
        <v>0</v>
      </c>
      <c r="AC22" s="33">
        <f>IF(Elect!AV24&lt;0,"0",Elect!AV24)</f>
        <v>0</v>
      </c>
      <c r="AD22" s="33">
        <f>IF(Elect!AZ24&lt;0,"0",Elect!AZ24)</f>
        <v>0</v>
      </c>
      <c r="AE22" s="33">
        <f>IF(Elect!BB24&lt;0,"0",Elect!BB24)</f>
        <v>0</v>
      </c>
      <c r="AF22" s="66">
        <f>IF('Wtr-Gas'!E24&lt;0,"0",('Wtr-Gas'!E24)*0.0038)</f>
        <v>0</v>
      </c>
      <c r="AG22" s="66">
        <f>IF('Wtr-Gas'!H24&lt;0,"0",('Wtr-Gas'!H24)*0.0038)</f>
        <v>0</v>
      </c>
      <c r="AH22" s="66">
        <f>IF('Wtr-Gas'!K24&lt;0,"0",('Wtr-Gas'!K24)*0.0038)</f>
        <v>0</v>
      </c>
      <c r="AI22" s="66">
        <f>IF('Wtr-Gas'!N24&lt;0,"0",('Wtr-Gas'!N24)*0.0038)</f>
        <v>0</v>
      </c>
      <c r="AJ22" s="66">
        <f>IF('Wtr-Gas'!Q24&lt;0,"0",('Wtr-Gas'!Q24)*0.0038)</f>
        <v>0</v>
      </c>
      <c r="AK22" s="67">
        <f>IF('Wtr-Gas'!U24&lt;0,"0",('Wtr-Gas'!U24)*0.0038)</f>
        <v>0</v>
      </c>
      <c r="AL22" s="67">
        <f>IF('Wtr-Gas'!X24&lt;0,"0",('Wtr-Gas'!X24)*0.0038)</f>
        <v>0</v>
      </c>
      <c r="AM22" s="66">
        <f>IF('Wtr-Gas'!AB24&lt;0,"0",('Wtr-Gas'!AB24)*0.0038)</f>
        <v>0</v>
      </c>
      <c r="AN22" s="66">
        <f>IF('Wtr-Gas'!AD24&lt;0,"0",('Wtr-Gas'!AD24)*0.0038)</f>
        <v>0</v>
      </c>
      <c r="AO22" s="66">
        <f>IF('Wtr-Gas'!AH24&lt;0,"0",('Wtr-Gas'!AH24)*0.0038)</f>
        <v>0</v>
      </c>
      <c r="AP22" s="66">
        <f>IF('Wtr-Gas'!AJ24&lt;0,"0",('Wtr-Gas'!AJ24)*0.0038)</f>
        <v>0</v>
      </c>
      <c r="AQ22" s="66">
        <f>IF('Wtr-Gas'!AL24&lt;0,"0",('Wtr-Gas'!AL24)*0.0038)</f>
        <v>0</v>
      </c>
      <c r="AR22" s="66">
        <f>IF('Wtr-Gas'!AN24&lt;0,"0",('Wtr-Gas'!AN24)*0.0038)</f>
        <v>0</v>
      </c>
      <c r="AS22" s="66">
        <f>IF('Wtr-Gas'!AP24&lt;0,"0",('Wtr-Gas'!AP24)*0.0038)</f>
        <v>0</v>
      </c>
      <c r="AT22" s="66">
        <f>IF('Wtr-Gas'!AR24&lt;0,"0",('Wtr-Gas'!AR24)*0.0038)</f>
        <v>0</v>
      </c>
      <c r="AU22" s="72">
        <f>IF('Wtr-Gas'!AV24&lt;0,"0",('Wtr-Gas'!AV24)*0.0038)</f>
        <v>0</v>
      </c>
      <c r="AV22" s="66">
        <f>IF('Wtr-Gas'!AY24&lt;0,"0",('Wtr-Gas'!AY24)*0.0038)</f>
        <v>0</v>
      </c>
      <c r="AW22" s="66">
        <f>IF('Wtr-Gas'!BA24&lt;0,"0",('Wtr-Gas'!BA24)*0.0038)</f>
        <v>0</v>
      </c>
      <c r="AX22" s="66">
        <f>IF('Wtr-Gas'!BB24&lt;0,"0",('Wtr-Gas'!BB24)*0.0038)</f>
        <v>0</v>
      </c>
      <c r="AY22" s="66">
        <f>IF('Wtr-Gas'!BD24&lt;0,"0",('Wtr-Gas'!BD24)*0.0038)</f>
        <v>0</v>
      </c>
      <c r="AZ22" s="66">
        <f>IF('Wtr-Gas'!BF24&lt;0,"0",('Wtr-Gas'!BF24)*0.0038)</f>
        <v>0</v>
      </c>
      <c r="BA22" s="66">
        <f>IF('Wtr-Gas'!BH24&lt;0,"0",('Wtr-Gas'!BH24)*0.0038)</f>
        <v>0</v>
      </c>
    </row>
    <row r="23" spans="1:53" x14ac:dyDescent="0.25">
      <c r="A23" s="3" t="s">
        <v>11</v>
      </c>
      <c r="B23" s="1">
        <v>30</v>
      </c>
      <c r="C23" s="2">
        <v>4</v>
      </c>
      <c r="D23" s="2">
        <v>2023</v>
      </c>
      <c r="E23" s="33">
        <f>IF(Elect!AM25&lt;0,"0",Elect!AM25)</f>
        <v>0</v>
      </c>
      <c r="F23" s="33">
        <f>IF(Elect!I25&lt;0,"0",Elect!I25)</f>
        <v>0</v>
      </c>
      <c r="G23" s="33">
        <f>Elect!H25</f>
        <v>0</v>
      </c>
      <c r="H23" s="33">
        <f>IF(Elect!F25&lt;0,"0",Elect!F25)</f>
        <v>0</v>
      </c>
      <c r="I23" s="33">
        <f>Elect!E25</f>
        <v>0</v>
      </c>
      <c r="J23" s="33">
        <f>IF(Elect!U25&lt;0,"0",Elect!U25)</f>
        <v>0</v>
      </c>
      <c r="K23" s="33">
        <f>Elect!T25</f>
        <v>0</v>
      </c>
      <c r="L23" s="33">
        <f>IF(Elect!AJ25&lt;0,"0",Elect!AJ25)</f>
        <v>0</v>
      </c>
      <c r="M23" s="33">
        <f>Elect!AI25</f>
        <v>0</v>
      </c>
      <c r="N23" s="33">
        <f>IF(Elect!X25&lt;0,"0",Elect!X25)</f>
        <v>0</v>
      </c>
      <c r="O23" s="33">
        <f>Elect!W25</f>
        <v>0</v>
      </c>
      <c r="P23" s="33">
        <f>IF(Elect!O25&lt;0,"0",Elect!O25)</f>
        <v>0</v>
      </c>
      <c r="Q23" s="33">
        <f>Elect!N25</f>
        <v>0</v>
      </c>
      <c r="R23" s="33">
        <f>IF(Elect!L25&lt;0,"0",Elect!L25)</f>
        <v>0</v>
      </c>
      <c r="S23" s="33">
        <f>Elect!K25</f>
        <v>0</v>
      </c>
      <c r="T23" s="33">
        <f>IF(Elect!R25&lt;0,"0",Elect!R25)</f>
        <v>0</v>
      </c>
      <c r="U23" s="33">
        <f>Elect!Q25</f>
        <v>0</v>
      </c>
      <c r="V23" s="33">
        <f>IF(Elect!AA25&lt;0,"0",Elect!AA25)</f>
        <v>0</v>
      </c>
      <c r="W23" s="33">
        <f>Elect!Z25</f>
        <v>0</v>
      </c>
      <c r="X23" s="33">
        <f>IF(Elect!AD25&lt;0,"0",Elect!AD25)</f>
        <v>0</v>
      </c>
      <c r="Y23" s="33">
        <f>Elect!AC25</f>
        <v>0</v>
      </c>
      <c r="Z23" s="33">
        <f>IF(Elect!AG25&lt;0,"0",Elect!AG25)</f>
        <v>0</v>
      </c>
      <c r="AA23" s="33">
        <f>Elect!AF25</f>
        <v>0</v>
      </c>
      <c r="AB23" s="33">
        <f>IF(Elect!AX25&lt;0,"0",Elect!AX25)</f>
        <v>0</v>
      </c>
      <c r="AC23" s="33">
        <f>IF(Elect!AV25&lt;0,"0",Elect!AV25)</f>
        <v>0</v>
      </c>
      <c r="AD23" s="33">
        <f>IF(Elect!AZ25&lt;0,"0",Elect!AZ25)</f>
        <v>0</v>
      </c>
      <c r="AE23" s="33">
        <f>IF(Elect!BB25&lt;0,"0",Elect!BB25)</f>
        <v>0</v>
      </c>
      <c r="AF23" s="66">
        <f>IF('Wtr-Gas'!E25&lt;0,"0",('Wtr-Gas'!E25)*0.0038)</f>
        <v>0</v>
      </c>
      <c r="AG23" s="66">
        <f>IF('Wtr-Gas'!H25&lt;0,"0",('Wtr-Gas'!H25)*0.0038)</f>
        <v>0</v>
      </c>
      <c r="AH23" s="66">
        <f>IF('Wtr-Gas'!K25&lt;0,"0",('Wtr-Gas'!K25)*0.0038)</f>
        <v>0</v>
      </c>
      <c r="AI23" s="66">
        <f>IF('Wtr-Gas'!N25&lt;0,"0",('Wtr-Gas'!N25)*0.0038)</f>
        <v>0</v>
      </c>
      <c r="AJ23" s="66">
        <f>IF('Wtr-Gas'!Q25&lt;0,"0",('Wtr-Gas'!Q25)*0.0038)</f>
        <v>0</v>
      </c>
      <c r="AK23" s="67">
        <f>IF('Wtr-Gas'!U25&lt;0,"0",('Wtr-Gas'!U25)*0.0038)</f>
        <v>0</v>
      </c>
      <c r="AL23" s="67">
        <f>IF('Wtr-Gas'!X25&lt;0,"0",('Wtr-Gas'!X25)*0.0038)</f>
        <v>0</v>
      </c>
      <c r="AM23" s="66">
        <f>IF('Wtr-Gas'!AB25&lt;0,"0",('Wtr-Gas'!AB25)*0.0038)</f>
        <v>0</v>
      </c>
      <c r="AN23" s="66">
        <f>IF('Wtr-Gas'!AD25&lt;0,"0",('Wtr-Gas'!AD25)*0.0038)</f>
        <v>0</v>
      </c>
      <c r="AO23" s="66">
        <f>IF('Wtr-Gas'!AH25&lt;0,"0",('Wtr-Gas'!AH25)*0.0038)</f>
        <v>0</v>
      </c>
      <c r="AP23" s="66">
        <f>IF('Wtr-Gas'!AJ25&lt;0,"0",('Wtr-Gas'!AJ25)*0.0038)</f>
        <v>0</v>
      </c>
      <c r="AQ23" s="66">
        <f>IF('Wtr-Gas'!AL25&lt;0,"0",('Wtr-Gas'!AL25)*0.0038)</f>
        <v>0</v>
      </c>
      <c r="AR23" s="66">
        <f>IF('Wtr-Gas'!AN25&lt;0,"0",('Wtr-Gas'!AN25)*0.0038)</f>
        <v>0</v>
      </c>
      <c r="AS23" s="66">
        <f>IF('Wtr-Gas'!AP25&lt;0,"0",('Wtr-Gas'!AP25)*0.0038)</f>
        <v>0</v>
      </c>
      <c r="AT23" s="66">
        <f>IF('Wtr-Gas'!AR25&lt;0,"0",('Wtr-Gas'!AR25)*0.0038)</f>
        <v>0</v>
      </c>
      <c r="AU23" s="72">
        <f>IF('Wtr-Gas'!AV25&lt;0,"0",('Wtr-Gas'!AV25)*0.0038)</f>
        <v>0</v>
      </c>
      <c r="AV23" s="66">
        <f>IF('Wtr-Gas'!AY25&lt;0,"0",('Wtr-Gas'!AY25)*0.0038)</f>
        <v>0</v>
      </c>
      <c r="AW23" s="66">
        <f>IF('Wtr-Gas'!BA25&lt;0,"0",('Wtr-Gas'!BA25)*0.0038)</f>
        <v>0</v>
      </c>
      <c r="AX23" s="66">
        <f>IF('Wtr-Gas'!BB25&lt;0,"0",('Wtr-Gas'!BB25)*0.0038)</f>
        <v>0</v>
      </c>
      <c r="AY23" s="66">
        <f>IF('Wtr-Gas'!BD25&lt;0,"0",('Wtr-Gas'!BD25)*0.0038)</f>
        <v>0</v>
      </c>
      <c r="AZ23" s="66">
        <f>IF('Wtr-Gas'!BF25&lt;0,"0",('Wtr-Gas'!BF25)*0.0038)</f>
        <v>0</v>
      </c>
      <c r="BA23" s="66">
        <f>IF('Wtr-Gas'!BH25&lt;0,"0",('Wtr-Gas'!BH25)*0.0038)</f>
        <v>0</v>
      </c>
    </row>
    <row r="24" spans="1:53" x14ac:dyDescent="0.25">
      <c r="A24" s="3" t="s">
        <v>11</v>
      </c>
      <c r="B24" s="1">
        <v>1</v>
      </c>
      <c r="C24" s="2">
        <v>5</v>
      </c>
      <c r="D24" s="2">
        <v>2023</v>
      </c>
      <c r="E24" s="33">
        <f>IF(Elect!AM26&lt;0,"0",Elect!AM26)</f>
        <v>0</v>
      </c>
      <c r="F24" s="33">
        <f>IF(Elect!I26&lt;0,"0",Elect!I26)</f>
        <v>0</v>
      </c>
      <c r="G24" s="33">
        <f>Elect!H26</f>
        <v>0</v>
      </c>
      <c r="H24" s="33">
        <f>IF(Elect!F26&lt;0,"0",Elect!F26)</f>
        <v>0</v>
      </c>
      <c r="I24" s="33">
        <f>Elect!E26</f>
        <v>0</v>
      </c>
      <c r="J24" s="33">
        <f>IF(Elect!U26&lt;0,"0",Elect!U26)</f>
        <v>0</v>
      </c>
      <c r="K24" s="33">
        <f>Elect!T26</f>
        <v>0</v>
      </c>
      <c r="L24" s="33">
        <f>IF(Elect!AJ26&lt;0,"0",Elect!AJ26)</f>
        <v>0</v>
      </c>
      <c r="M24" s="33">
        <f>Elect!AI26</f>
        <v>0</v>
      </c>
      <c r="N24" s="33">
        <f>IF(Elect!X26&lt;0,"0",Elect!X26)</f>
        <v>0</v>
      </c>
      <c r="O24" s="33">
        <f>Elect!W26</f>
        <v>0</v>
      </c>
      <c r="P24" s="33">
        <f>IF(Elect!O26&lt;0,"0",Elect!O26)</f>
        <v>0</v>
      </c>
      <c r="Q24" s="33">
        <f>Elect!N26</f>
        <v>0</v>
      </c>
      <c r="R24" s="33">
        <f>IF(Elect!L26&lt;0,"0",Elect!L26)</f>
        <v>0</v>
      </c>
      <c r="S24" s="33">
        <f>Elect!K26</f>
        <v>0</v>
      </c>
      <c r="T24" s="33">
        <f>IF(Elect!R26&lt;0,"0",Elect!R26)</f>
        <v>0</v>
      </c>
      <c r="U24" s="33">
        <f>Elect!Q26</f>
        <v>0</v>
      </c>
      <c r="V24" s="33">
        <f>IF(Elect!AA26&lt;0,"0",Elect!AA26)</f>
        <v>0</v>
      </c>
      <c r="W24" s="33">
        <f>Elect!Z26</f>
        <v>0</v>
      </c>
      <c r="X24" s="33">
        <f>IF(Elect!AD26&lt;0,"0",Elect!AD26)</f>
        <v>0</v>
      </c>
      <c r="Y24" s="33">
        <f>Elect!AC26</f>
        <v>0</v>
      </c>
      <c r="Z24" s="33">
        <f>IF(Elect!AG26&lt;0,"0",Elect!AG26)</f>
        <v>0</v>
      </c>
      <c r="AA24" s="33">
        <f>Elect!AF26</f>
        <v>0</v>
      </c>
      <c r="AB24" s="33">
        <f>IF(Elect!AX26&lt;0,"0",Elect!AX26)</f>
        <v>0</v>
      </c>
      <c r="AC24" s="33">
        <f>IF(Elect!AV26&lt;0,"0",Elect!AV26)</f>
        <v>0</v>
      </c>
      <c r="AD24" s="33">
        <f>IF(Elect!AZ26&lt;0,"0",Elect!AZ26)</f>
        <v>0</v>
      </c>
      <c r="AE24" s="33">
        <f>IF(Elect!BB26&lt;0,"0",Elect!BB26)</f>
        <v>0</v>
      </c>
      <c r="AF24" s="66">
        <f>IF('Wtr-Gas'!E26&lt;0,"0",('Wtr-Gas'!E26)*0.0038)</f>
        <v>0</v>
      </c>
      <c r="AG24" s="66">
        <f>IF('Wtr-Gas'!H26&lt;0,"0",('Wtr-Gas'!H26)*0.0038)</f>
        <v>0</v>
      </c>
      <c r="AH24" s="66">
        <f>IF('Wtr-Gas'!K26&lt;0,"0",('Wtr-Gas'!K26)*0.0038)</f>
        <v>0</v>
      </c>
      <c r="AI24" s="66">
        <f>IF('Wtr-Gas'!N26&lt;0,"0",('Wtr-Gas'!N26)*0.0038)</f>
        <v>0</v>
      </c>
      <c r="AJ24" s="66">
        <f>IF('Wtr-Gas'!Q26&lt;0,"0",('Wtr-Gas'!Q26)*0.0038)</f>
        <v>0</v>
      </c>
      <c r="AK24" s="67">
        <f>IF('Wtr-Gas'!U26&lt;0,"0",('Wtr-Gas'!U26)*0.0038)</f>
        <v>0</v>
      </c>
      <c r="AL24" s="67">
        <f>IF('Wtr-Gas'!X26&lt;0,"0",('Wtr-Gas'!X26)*0.0038)</f>
        <v>0</v>
      </c>
      <c r="AM24" s="66">
        <f>IF('Wtr-Gas'!AB26&lt;0,"0",('Wtr-Gas'!AB26)*0.0038)</f>
        <v>0</v>
      </c>
      <c r="AN24" s="66">
        <f>IF('Wtr-Gas'!AD26&lt;0,"0",('Wtr-Gas'!AD26)*0.0038)</f>
        <v>0</v>
      </c>
      <c r="AO24" s="66">
        <f>IF('Wtr-Gas'!AH26&lt;0,"0",('Wtr-Gas'!AH26)*0.0038)</f>
        <v>0</v>
      </c>
      <c r="AP24" s="66">
        <f>IF('Wtr-Gas'!AJ26&lt;0,"0",('Wtr-Gas'!AJ26)*0.0038)</f>
        <v>0</v>
      </c>
      <c r="AQ24" s="66">
        <f>IF('Wtr-Gas'!AL26&lt;0,"0",('Wtr-Gas'!AL26)*0.0038)</f>
        <v>0</v>
      </c>
      <c r="AR24" s="66">
        <f>IF('Wtr-Gas'!AN26&lt;0,"0",('Wtr-Gas'!AN26)*0.0038)</f>
        <v>0</v>
      </c>
      <c r="AS24" s="66">
        <f>IF('Wtr-Gas'!AP26&lt;0,"0",('Wtr-Gas'!AP26)*0.0038)</f>
        <v>0</v>
      </c>
      <c r="AT24" s="66">
        <f>IF('Wtr-Gas'!AR26&lt;0,"0",('Wtr-Gas'!AR26)*0.0038)</f>
        <v>0</v>
      </c>
      <c r="AU24" s="72">
        <f>IF('Wtr-Gas'!AV26&lt;0,"0",('Wtr-Gas'!AV26)*0.0038)</f>
        <v>0</v>
      </c>
      <c r="AV24" s="66">
        <f>IF('Wtr-Gas'!AY26&lt;0,"0",('Wtr-Gas'!AY26)*0.0038)</f>
        <v>0</v>
      </c>
      <c r="AW24" s="66">
        <f>IF('Wtr-Gas'!BA26&lt;0,"0",('Wtr-Gas'!BA26)*0.0038)</f>
        <v>0</v>
      </c>
      <c r="AX24" s="66">
        <f>IF('Wtr-Gas'!BB26&lt;0,"0",('Wtr-Gas'!BB26)*0.0038)</f>
        <v>0</v>
      </c>
      <c r="AY24" s="66">
        <f>IF('Wtr-Gas'!BD26&lt;0,"0",('Wtr-Gas'!BD26)*0.0038)</f>
        <v>0</v>
      </c>
      <c r="AZ24" s="66">
        <f>IF('Wtr-Gas'!BF26&lt;0,"0",('Wtr-Gas'!BF26)*0.0038)</f>
        <v>0</v>
      </c>
      <c r="BA24" s="66">
        <f>IF('Wtr-Gas'!BH26&lt;0,"0",('Wtr-Gas'!BH26)*0.0038)</f>
        <v>0</v>
      </c>
    </row>
    <row r="25" spans="1:53" x14ac:dyDescent="0.25">
      <c r="A25" s="3" t="s">
        <v>11</v>
      </c>
      <c r="B25" s="1">
        <v>8</v>
      </c>
      <c r="C25" s="2">
        <v>5</v>
      </c>
      <c r="D25" s="2">
        <v>2023</v>
      </c>
      <c r="E25" s="33">
        <f>IF(Elect!AM27&lt;0,"0",Elect!AM27)</f>
        <v>0</v>
      </c>
      <c r="F25" s="33">
        <f>IF(Elect!I27&lt;0,"0",Elect!I27)</f>
        <v>0</v>
      </c>
      <c r="G25" s="33">
        <f>Elect!H27</f>
        <v>0</v>
      </c>
      <c r="H25" s="33">
        <f>IF(Elect!F27&lt;0,"0",Elect!F27)</f>
        <v>0</v>
      </c>
      <c r="I25" s="33">
        <f>Elect!E27</f>
        <v>0</v>
      </c>
      <c r="J25" s="33">
        <f>IF(Elect!U27&lt;0,"0",Elect!U27)</f>
        <v>0</v>
      </c>
      <c r="K25" s="33">
        <f>Elect!T27</f>
        <v>0</v>
      </c>
      <c r="L25" s="33">
        <f>IF(Elect!AJ27&lt;0,"0",Elect!AJ27)</f>
        <v>0</v>
      </c>
      <c r="M25" s="33">
        <f>Elect!AI27</f>
        <v>0</v>
      </c>
      <c r="N25" s="33">
        <f>IF(Elect!X27&lt;0,"0",Elect!X27)</f>
        <v>0</v>
      </c>
      <c r="O25" s="33">
        <f>Elect!W27</f>
        <v>0</v>
      </c>
      <c r="P25" s="33">
        <f>IF(Elect!O27&lt;0,"0",Elect!O27)</f>
        <v>0</v>
      </c>
      <c r="Q25" s="33">
        <f>Elect!N27</f>
        <v>0</v>
      </c>
      <c r="R25" s="33">
        <f>IF(Elect!L27&lt;0,"0",Elect!L27)</f>
        <v>0</v>
      </c>
      <c r="S25" s="33">
        <f>Elect!K27</f>
        <v>0</v>
      </c>
      <c r="T25" s="33">
        <f>IF(Elect!R27&lt;0,"0",Elect!R27)</f>
        <v>0</v>
      </c>
      <c r="U25" s="33">
        <f>Elect!Q27</f>
        <v>0</v>
      </c>
      <c r="V25" s="33">
        <f>IF(Elect!AA27&lt;0,"0",Elect!AA27)</f>
        <v>0</v>
      </c>
      <c r="W25" s="33">
        <f>Elect!Z27</f>
        <v>0</v>
      </c>
      <c r="X25" s="33">
        <f>IF(Elect!AD27&lt;0,"0",Elect!AD27)</f>
        <v>0</v>
      </c>
      <c r="Y25" s="33">
        <f>Elect!AC27</f>
        <v>0</v>
      </c>
      <c r="Z25" s="33">
        <f>IF(Elect!AG27&lt;0,"0",Elect!AG27)</f>
        <v>0</v>
      </c>
      <c r="AA25" s="33">
        <f>Elect!AF27</f>
        <v>0</v>
      </c>
      <c r="AB25" s="33">
        <f>IF(Elect!AX27&lt;0,"0",Elect!AX27)</f>
        <v>0</v>
      </c>
      <c r="AC25" s="33">
        <f>IF(Elect!AV27&lt;0,"0",Elect!AV27)</f>
        <v>0</v>
      </c>
      <c r="AD25" s="33">
        <f>IF(Elect!AZ27&lt;0,"0",Elect!AZ27)</f>
        <v>0</v>
      </c>
      <c r="AE25" s="33">
        <f>IF(Elect!BB27&lt;0,"0",Elect!BB27)</f>
        <v>0</v>
      </c>
      <c r="AF25" s="66">
        <f>IF('Wtr-Gas'!E27&lt;0,"0",('Wtr-Gas'!E27)*0.0038)</f>
        <v>0</v>
      </c>
      <c r="AG25" s="66">
        <f>IF('Wtr-Gas'!H27&lt;0,"0",('Wtr-Gas'!H27)*0.0038)</f>
        <v>0</v>
      </c>
      <c r="AH25" s="66">
        <f>IF('Wtr-Gas'!K27&lt;0,"0",('Wtr-Gas'!K27)*0.0038)</f>
        <v>0</v>
      </c>
      <c r="AI25" s="66">
        <f>IF('Wtr-Gas'!N27&lt;0,"0",('Wtr-Gas'!N27)*0.0038)</f>
        <v>0</v>
      </c>
      <c r="AJ25" s="66">
        <f>IF('Wtr-Gas'!Q27&lt;0,"0",('Wtr-Gas'!Q27)*0.0038)</f>
        <v>0</v>
      </c>
      <c r="AK25" s="67">
        <f>IF('Wtr-Gas'!U27&lt;0,"0",('Wtr-Gas'!U27)*0.0038)</f>
        <v>0</v>
      </c>
      <c r="AL25" s="67">
        <f>IF('Wtr-Gas'!X27&lt;0,"0",('Wtr-Gas'!X27)*0.0038)</f>
        <v>0</v>
      </c>
      <c r="AM25" s="66">
        <f>IF('Wtr-Gas'!AB27&lt;0,"0",('Wtr-Gas'!AB27)*0.0038)</f>
        <v>0</v>
      </c>
      <c r="AN25" s="66">
        <f>IF('Wtr-Gas'!AD27&lt;0,"0",('Wtr-Gas'!AD27)*0.0038)</f>
        <v>0</v>
      </c>
      <c r="AO25" s="66">
        <f>IF('Wtr-Gas'!AH27&lt;0,"0",('Wtr-Gas'!AH27)*0.0038)</f>
        <v>0</v>
      </c>
      <c r="AP25" s="66">
        <f>IF('Wtr-Gas'!AJ27&lt;0,"0",('Wtr-Gas'!AJ27)*0.0038)</f>
        <v>0</v>
      </c>
      <c r="AQ25" s="66">
        <f>IF('Wtr-Gas'!AL27&lt;0,"0",('Wtr-Gas'!AL27)*0.0038)</f>
        <v>0</v>
      </c>
      <c r="AR25" s="66">
        <f>IF('Wtr-Gas'!AN27&lt;0,"0",('Wtr-Gas'!AN27)*0.0038)</f>
        <v>0</v>
      </c>
      <c r="AS25" s="66">
        <f>IF('Wtr-Gas'!AP27&lt;0,"0",('Wtr-Gas'!AP27)*0.0038)</f>
        <v>0</v>
      </c>
      <c r="AT25" s="66">
        <f>IF('Wtr-Gas'!AR27&lt;0,"0",('Wtr-Gas'!AR27)*0.0038)</f>
        <v>0</v>
      </c>
      <c r="AU25" s="72">
        <f>IF('Wtr-Gas'!AV27&lt;0,"0",('Wtr-Gas'!AV27)*0.0038)</f>
        <v>0</v>
      </c>
      <c r="AV25" s="66">
        <f>IF('Wtr-Gas'!AY27&lt;0,"0",('Wtr-Gas'!AY27)*0.0038)</f>
        <v>0</v>
      </c>
      <c r="AW25" s="66">
        <f>IF('Wtr-Gas'!BA27&lt;0,"0",('Wtr-Gas'!BA27)*0.0038)</f>
        <v>0</v>
      </c>
      <c r="AX25" s="66">
        <f>IF('Wtr-Gas'!BB27&lt;0,"0",('Wtr-Gas'!BB27)*0.0038)</f>
        <v>0</v>
      </c>
      <c r="AY25" s="66">
        <f>IF('Wtr-Gas'!BD27&lt;0,"0",('Wtr-Gas'!BD27)*0.0038)</f>
        <v>0</v>
      </c>
      <c r="AZ25" s="66">
        <f>IF('Wtr-Gas'!BF27&lt;0,"0",('Wtr-Gas'!BF27)*0.0038)</f>
        <v>0</v>
      </c>
      <c r="BA25" s="66">
        <f>IF('Wtr-Gas'!BH27&lt;0,"0",('Wtr-Gas'!BH27)*0.0038)</f>
        <v>0</v>
      </c>
    </row>
    <row r="26" spans="1:53" x14ac:dyDescent="0.25">
      <c r="A26" s="3" t="s">
        <v>11</v>
      </c>
      <c r="B26" s="1">
        <v>15</v>
      </c>
      <c r="C26" s="2">
        <v>5</v>
      </c>
      <c r="D26" s="2">
        <v>2023</v>
      </c>
      <c r="E26" s="33">
        <f>IF(Elect!AM28&lt;0,"0",Elect!AM28)</f>
        <v>0</v>
      </c>
      <c r="F26" s="33">
        <f>IF(Elect!I28&lt;0,"0",Elect!I28)</f>
        <v>0</v>
      </c>
      <c r="G26" s="33">
        <f>Elect!H28</f>
        <v>0</v>
      </c>
      <c r="H26" s="33">
        <f>IF(Elect!F28&lt;0,"0",Elect!F28)</f>
        <v>0</v>
      </c>
      <c r="I26" s="33">
        <f>Elect!E28</f>
        <v>0</v>
      </c>
      <c r="J26" s="33">
        <f>IF(Elect!U28&lt;0,"0",Elect!U28)</f>
        <v>0</v>
      </c>
      <c r="K26" s="33">
        <f>Elect!T28</f>
        <v>0</v>
      </c>
      <c r="L26" s="33">
        <f>IF(Elect!AJ28&lt;0,"0",Elect!AJ28)</f>
        <v>0</v>
      </c>
      <c r="M26" s="33">
        <f>Elect!AI28</f>
        <v>0</v>
      </c>
      <c r="N26" s="33">
        <f>IF(Elect!X28&lt;0,"0",Elect!X28)</f>
        <v>0</v>
      </c>
      <c r="O26" s="33">
        <f>Elect!W28</f>
        <v>0</v>
      </c>
      <c r="P26" s="33">
        <f>IF(Elect!O28&lt;0,"0",Elect!O28)</f>
        <v>0</v>
      </c>
      <c r="Q26" s="33">
        <f>Elect!N28</f>
        <v>0</v>
      </c>
      <c r="R26" s="33">
        <f>IF(Elect!L28&lt;0,"0",Elect!L28)</f>
        <v>0</v>
      </c>
      <c r="S26" s="33">
        <f>Elect!K28</f>
        <v>0</v>
      </c>
      <c r="T26" s="33">
        <f>IF(Elect!R28&lt;0,"0",Elect!R28)</f>
        <v>0</v>
      </c>
      <c r="U26" s="33">
        <f>Elect!Q28</f>
        <v>0</v>
      </c>
      <c r="V26" s="33">
        <f>IF(Elect!AA28&lt;0,"0",Elect!AA28)</f>
        <v>0</v>
      </c>
      <c r="W26" s="33">
        <f>Elect!Z28</f>
        <v>0</v>
      </c>
      <c r="X26" s="33">
        <f>IF(Elect!AD28&lt;0,"0",Elect!AD28)</f>
        <v>0</v>
      </c>
      <c r="Y26" s="33">
        <f>Elect!AC28</f>
        <v>0</v>
      </c>
      <c r="Z26" s="33">
        <f>IF(Elect!AG28&lt;0,"0",Elect!AG28)</f>
        <v>0</v>
      </c>
      <c r="AA26" s="33">
        <f>Elect!AF28</f>
        <v>0</v>
      </c>
      <c r="AB26" s="33">
        <f>IF(Elect!AX28&lt;0,"0",Elect!AX28)</f>
        <v>0</v>
      </c>
      <c r="AC26" s="33">
        <f>IF(Elect!AV28&lt;0,"0",Elect!AV28)</f>
        <v>0</v>
      </c>
      <c r="AD26" s="33">
        <f>IF(Elect!AZ28&lt;0,"0",Elect!AZ28)</f>
        <v>0</v>
      </c>
      <c r="AE26" s="33">
        <f>IF(Elect!BB28&lt;0,"0",Elect!BB28)</f>
        <v>0</v>
      </c>
      <c r="AF26" s="66">
        <f>IF('Wtr-Gas'!E28&lt;0,"0",('Wtr-Gas'!E28)*0.0038)</f>
        <v>0</v>
      </c>
      <c r="AG26" s="66">
        <f>IF('Wtr-Gas'!H28&lt;0,"0",('Wtr-Gas'!H28)*0.0038)</f>
        <v>0</v>
      </c>
      <c r="AH26" s="66">
        <f>IF('Wtr-Gas'!K28&lt;0,"0",('Wtr-Gas'!K28)*0.0038)</f>
        <v>0</v>
      </c>
      <c r="AI26" s="66">
        <f>IF('Wtr-Gas'!N28&lt;0,"0",('Wtr-Gas'!N28)*0.0038)</f>
        <v>0</v>
      </c>
      <c r="AJ26" s="66">
        <f>IF('Wtr-Gas'!Q28&lt;0,"0",('Wtr-Gas'!Q28)*0.0038)</f>
        <v>0</v>
      </c>
      <c r="AK26" s="67">
        <f>IF('Wtr-Gas'!U28&lt;0,"0",('Wtr-Gas'!U28)*0.0038)</f>
        <v>0</v>
      </c>
      <c r="AL26" s="67">
        <f>IF('Wtr-Gas'!X28&lt;0,"0",('Wtr-Gas'!X28)*0.0038)</f>
        <v>0</v>
      </c>
      <c r="AM26" s="66">
        <f>IF('Wtr-Gas'!AB28&lt;0,"0",('Wtr-Gas'!AB28)*0.0038)</f>
        <v>0</v>
      </c>
      <c r="AN26" s="66">
        <f>IF('Wtr-Gas'!AD28&lt;0,"0",('Wtr-Gas'!AD28)*0.0038)</f>
        <v>0</v>
      </c>
      <c r="AO26" s="66">
        <f>IF('Wtr-Gas'!AH28&lt;0,"0",('Wtr-Gas'!AH28)*0.0038)</f>
        <v>0</v>
      </c>
      <c r="AP26" s="66">
        <f>IF('Wtr-Gas'!AJ28&lt;0,"0",('Wtr-Gas'!AJ28)*0.0038)</f>
        <v>0</v>
      </c>
      <c r="AQ26" s="66">
        <f>IF('Wtr-Gas'!AL28&lt;0,"0",('Wtr-Gas'!AL28)*0.0038)</f>
        <v>0</v>
      </c>
      <c r="AR26" s="66">
        <f>IF('Wtr-Gas'!AN28&lt;0,"0",('Wtr-Gas'!AN28)*0.0038)</f>
        <v>0</v>
      </c>
      <c r="AS26" s="66">
        <f>IF('Wtr-Gas'!AP28&lt;0,"0",('Wtr-Gas'!AP28)*0.0038)</f>
        <v>0</v>
      </c>
      <c r="AT26" s="66">
        <f>IF('Wtr-Gas'!AR28&lt;0,"0",('Wtr-Gas'!AR28)*0.0038)</f>
        <v>0</v>
      </c>
      <c r="AU26" s="72">
        <f>IF('Wtr-Gas'!AV28&lt;0,"0",('Wtr-Gas'!AV28)*0.0038)</f>
        <v>0</v>
      </c>
      <c r="AV26" s="66">
        <f>IF('Wtr-Gas'!AY28&lt;0,"0",('Wtr-Gas'!AY28)*0.0038)</f>
        <v>0</v>
      </c>
      <c r="AW26" s="66">
        <f>IF('Wtr-Gas'!BA28&lt;0,"0",('Wtr-Gas'!BA28)*0.0038)</f>
        <v>0</v>
      </c>
      <c r="AX26" s="66">
        <f>IF('Wtr-Gas'!BB28&lt;0,"0",('Wtr-Gas'!BB28)*0.0038)</f>
        <v>0</v>
      </c>
      <c r="AY26" s="66">
        <f>IF('Wtr-Gas'!BD28&lt;0,"0",('Wtr-Gas'!BD28)*0.0038)</f>
        <v>0</v>
      </c>
      <c r="AZ26" s="66">
        <f>IF('Wtr-Gas'!BF28&lt;0,"0",('Wtr-Gas'!BF28)*0.0038)</f>
        <v>0</v>
      </c>
      <c r="BA26" s="66">
        <f>IF('Wtr-Gas'!BH28&lt;0,"0",('Wtr-Gas'!BH28)*0.0038)</f>
        <v>0</v>
      </c>
    </row>
    <row r="27" spans="1:53" x14ac:dyDescent="0.25">
      <c r="A27" s="3" t="s">
        <v>11</v>
      </c>
      <c r="B27" s="1">
        <v>22</v>
      </c>
      <c r="C27" s="2">
        <v>5</v>
      </c>
      <c r="D27" s="2">
        <v>2023</v>
      </c>
      <c r="E27" s="33">
        <f>IF(Elect!AM29&lt;0,"0",Elect!AM29)</f>
        <v>0</v>
      </c>
      <c r="F27" s="33">
        <f>IF(Elect!I29&lt;0,"0",Elect!I29)</f>
        <v>0</v>
      </c>
      <c r="G27" s="33">
        <f>Elect!H29</f>
        <v>0</v>
      </c>
      <c r="H27" s="33">
        <f>IF(Elect!F29&lt;0,"0",Elect!F29)</f>
        <v>0</v>
      </c>
      <c r="I27" s="33">
        <f>Elect!E29</f>
        <v>0</v>
      </c>
      <c r="J27" s="33">
        <f>IF(Elect!U29&lt;0,"0",Elect!U29)</f>
        <v>0</v>
      </c>
      <c r="K27" s="33">
        <f>Elect!T29</f>
        <v>0</v>
      </c>
      <c r="L27" s="33">
        <f>IF(Elect!AJ29&lt;0,"0",Elect!AJ29)</f>
        <v>0</v>
      </c>
      <c r="M27" s="33">
        <f>Elect!AI29</f>
        <v>0</v>
      </c>
      <c r="N27" s="33">
        <f>IF(Elect!X29&lt;0,"0",Elect!X29)</f>
        <v>0</v>
      </c>
      <c r="O27" s="33">
        <f>Elect!W29</f>
        <v>0</v>
      </c>
      <c r="P27" s="33">
        <f>IF(Elect!O29&lt;0,"0",Elect!O29)</f>
        <v>0</v>
      </c>
      <c r="Q27" s="33">
        <f>Elect!N29</f>
        <v>0</v>
      </c>
      <c r="R27" s="33">
        <f>IF(Elect!L29&lt;0,"0",Elect!L29)</f>
        <v>0</v>
      </c>
      <c r="S27" s="33">
        <f>Elect!K29</f>
        <v>0</v>
      </c>
      <c r="T27" s="33">
        <f>IF(Elect!R29&lt;0,"0",Elect!R29)</f>
        <v>0</v>
      </c>
      <c r="U27" s="33">
        <f>Elect!Q29</f>
        <v>0</v>
      </c>
      <c r="V27" s="33">
        <f>IF(Elect!AA29&lt;0,"0",Elect!AA29)</f>
        <v>0</v>
      </c>
      <c r="W27" s="33">
        <f>Elect!Z29</f>
        <v>0</v>
      </c>
      <c r="X27" s="33">
        <f>IF(Elect!AD29&lt;0,"0",Elect!AD29)</f>
        <v>0</v>
      </c>
      <c r="Y27" s="33">
        <f>Elect!AC29</f>
        <v>0</v>
      </c>
      <c r="Z27" s="33">
        <f>IF(Elect!AG29&lt;0,"0",Elect!AG29)</f>
        <v>0</v>
      </c>
      <c r="AA27" s="33">
        <f>Elect!AF29</f>
        <v>0</v>
      </c>
      <c r="AB27" s="33">
        <f>IF(Elect!AX29&lt;0,"0",Elect!AX29)</f>
        <v>0</v>
      </c>
      <c r="AC27" s="33">
        <f>IF(Elect!AV29&lt;0,"0",Elect!AV29)</f>
        <v>0</v>
      </c>
      <c r="AD27" s="33">
        <f>IF(Elect!AZ29&lt;0,"0",Elect!AZ29)</f>
        <v>0</v>
      </c>
      <c r="AE27" s="33">
        <f>IF(Elect!BB29&lt;0,"0",Elect!BB29)</f>
        <v>0</v>
      </c>
      <c r="AF27" s="66">
        <f>IF('Wtr-Gas'!E29&lt;0,"0",('Wtr-Gas'!E29)*0.0038)</f>
        <v>0</v>
      </c>
      <c r="AG27" s="66">
        <f>IF('Wtr-Gas'!H29&lt;0,"0",('Wtr-Gas'!H29)*0.0038)</f>
        <v>0</v>
      </c>
      <c r="AH27" s="66">
        <f>IF('Wtr-Gas'!K29&lt;0,"0",('Wtr-Gas'!K29)*0.0038)</f>
        <v>0</v>
      </c>
      <c r="AI27" s="66">
        <f>IF('Wtr-Gas'!N29&lt;0,"0",('Wtr-Gas'!N29)*0.0038)</f>
        <v>0</v>
      </c>
      <c r="AJ27" s="66">
        <f>IF('Wtr-Gas'!Q29&lt;0,"0",('Wtr-Gas'!Q29)*0.0038)</f>
        <v>0</v>
      </c>
      <c r="AK27" s="67">
        <f>IF('Wtr-Gas'!U29&lt;0,"0",('Wtr-Gas'!U29)*0.0038)</f>
        <v>0</v>
      </c>
      <c r="AL27" s="67">
        <f>IF('Wtr-Gas'!X29&lt;0,"0",('Wtr-Gas'!X29)*0.0038)</f>
        <v>0</v>
      </c>
      <c r="AM27" s="66">
        <f>IF('Wtr-Gas'!AB29&lt;0,"0",('Wtr-Gas'!AB29)*0.0038)</f>
        <v>0</v>
      </c>
      <c r="AN27" s="66">
        <f>IF('Wtr-Gas'!AD29&lt;0,"0",('Wtr-Gas'!AD29)*0.0038)</f>
        <v>0</v>
      </c>
      <c r="AO27" s="66">
        <f>IF('Wtr-Gas'!AH29&lt;0,"0",('Wtr-Gas'!AH29)*0.0038)</f>
        <v>0</v>
      </c>
      <c r="AP27" s="66">
        <f>IF('Wtr-Gas'!AJ29&lt;0,"0",('Wtr-Gas'!AJ29)*0.0038)</f>
        <v>0</v>
      </c>
      <c r="AQ27" s="66">
        <f>IF('Wtr-Gas'!AL29&lt;0,"0",('Wtr-Gas'!AL29)*0.0038)</f>
        <v>0</v>
      </c>
      <c r="AR27" s="66">
        <f>IF('Wtr-Gas'!AN29&lt;0,"0",('Wtr-Gas'!AN29)*0.0038)</f>
        <v>0</v>
      </c>
      <c r="AS27" s="66">
        <f>IF('Wtr-Gas'!AP29&lt;0,"0",('Wtr-Gas'!AP29)*0.0038)</f>
        <v>0</v>
      </c>
      <c r="AT27" s="66">
        <f>IF('Wtr-Gas'!AR29&lt;0,"0",('Wtr-Gas'!AR29)*0.0038)</f>
        <v>0</v>
      </c>
      <c r="AU27" s="72">
        <f>IF('Wtr-Gas'!AV29&lt;0,"0",('Wtr-Gas'!AV29)*0.0038)</f>
        <v>0</v>
      </c>
      <c r="AV27" s="66">
        <f>IF('Wtr-Gas'!AY29&lt;0,"0",('Wtr-Gas'!AY29)*0.0038)</f>
        <v>0</v>
      </c>
      <c r="AW27" s="66">
        <f>IF('Wtr-Gas'!BA29&lt;0,"0",('Wtr-Gas'!BA29)*0.0038)</f>
        <v>0</v>
      </c>
      <c r="AX27" s="66">
        <f>IF('Wtr-Gas'!BB29&lt;0,"0",('Wtr-Gas'!BB29)*0.0038)</f>
        <v>0</v>
      </c>
      <c r="AY27" s="66">
        <f>IF('Wtr-Gas'!BD29&lt;0,"0",('Wtr-Gas'!BD29)*0.0038)</f>
        <v>0</v>
      </c>
      <c r="AZ27" s="66">
        <f>IF('Wtr-Gas'!BF29&lt;0,"0",('Wtr-Gas'!BF29)*0.0038)</f>
        <v>0</v>
      </c>
      <c r="BA27" s="66">
        <f>IF('Wtr-Gas'!BH29&lt;0,"0",('Wtr-Gas'!BH29)*0.0038)</f>
        <v>0</v>
      </c>
    </row>
    <row r="28" spans="1:53" x14ac:dyDescent="0.25">
      <c r="A28" s="3" t="s">
        <v>11</v>
      </c>
      <c r="B28" s="1">
        <v>29</v>
      </c>
      <c r="C28" s="2">
        <v>5</v>
      </c>
      <c r="D28" s="2">
        <v>2023</v>
      </c>
      <c r="E28" s="33">
        <f>IF(Elect!AM30&lt;0,"0",Elect!AM30)</f>
        <v>0</v>
      </c>
      <c r="F28" s="33">
        <f>IF(Elect!I30&lt;0,"0",Elect!I30)</f>
        <v>0</v>
      </c>
      <c r="G28" s="33">
        <f>Elect!H30</f>
        <v>0</v>
      </c>
      <c r="H28" s="33">
        <f>IF(Elect!F30&lt;0,"0",Elect!F30)</f>
        <v>0</v>
      </c>
      <c r="I28" s="33">
        <f>Elect!E30</f>
        <v>0</v>
      </c>
      <c r="J28" s="33">
        <f>IF(Elect!U30&lt;0,"0",Elect!U30)</f>
        <v>0</v>
      </c>
      <c r="K28" s="33">
        <f>Elect!T30</f>
        <v>0</v>
      </c>
      <c r="L28" s="33">
        <f>IF(Elect!AJ30&lt;0,"0",Elect!AJ30)</f>
        <v>0</v>
      </c>
      <c r="M28" s="33">
        <f>Elect!AI30</f>
        <v>0</v>
      </c>
      <c r="N28" s="33">
        <f>IF(Elect!X30&lt;0,"0",Elect!X30)</f>
        <v>0</v>
      </c>
      <c r="O28" s="33">
        <f>Elect!W30</f>
        <v>0</v>
      </c>
      <c r="P28" s="33">
        <f>IF(Elect!O30&lt;0,"0",Elect!O30)</f>
        <v>0</v>
      </c>
      <c r="Q28" s="33">
        <f>Elect!N30</f>
        <v>0</v>
      </c>
      <c r="R28" s="33">
        <f>IF(Elect!L30&lt;0,"0",Elect!L30)</f>
        <v>0</v>
      </c>
      <c r="S28" s="33">
        <f>Elect!K30</f>
        <v>0</v>
      </c>
      <c r="T28" s="33">
        <f>IF(Elect!R30&lt;0,"0",Elect!R30)</f>
        <v>0</v>
      </c>
      <c r="U28" s="33">
        <f>Elect!Q30</f>
        <v>0</v>
      </c>
      <c r="V28" s="33">
        <f>IF(Elect!AA30&lt;0,"0",Elect!AA30)</f>
        <v>0</v>
      </c>
      <c r="W28" s="33">
        <f>Elect!Z30</f>
        <v>0</v>
      </c>
      <c r="X28" s="33">
        <f>IF(Elect!AD30&lt;0,"0",Elect!AD30)</f>
        <v>0</v>
      </c>
      <c r="Y28" s="33">
        <f>Elect!AC30</f>
        <v>0</v>
      </c>
      <c r="Z28" s="33">
        <f>IF(Elect!AG30&lt;0,"0",Elect!AG30)</f>
        <v>0</v>
      </c>
      <c r="AA28" s="33">
        <f>Elect!AF30</f>
        <v>0</v>
      </c>
      <c r="AB28" s="33">
        <f>IF(Elect!AX30&lt;0,"0",Elect!AX30)</f>
        <v>0</v>
      </c>
      <c r="AC28" s="33">
        <f>IF(Elect!AV30&lt;0,"0",Elect!AV30)</f>
        <v>0</v>
      </c>
      <c r="AD28" s="33">
        <f>IF(Elect!AZ30&lt;0,"0",Elect!AZ30)</f>
        <v>0</v>
      </c>
      <c r="AE28" s="33">
        <f>IF(Elect!BB30&lt;0,"0",Elect!BB30)</f>
        <v>0</v>
      </c>
      <c r="AF28" s="66">
        <f>IF('Wtr-Gas'!E30&lt;0,"0",('Wtr-Gas'!E30)*0.0038)</f>
        <v>0</v>
      </c>
      <c r="AG28" s="66">
        <f>IF('Wtr-Gas'!H30&lt;0,"0",('Wtr-Gas'!H30)*0.0038)</f>
        <v>0</v>
      </c>
      <c r="AH28" s="66">
        <f>IF('Wtr-Gas'!K30&lt;0,"0",('Wtr-Gas'!K30)*0.0038)</f>
        <v>0</v>
      </c>
      <c r="AI28" s="66">
        <f>IF('Wtr-Gas'!N30&lt;0,"0",('Wtr-Gas'!N30)*0.0038)</f>
        <v>0</v>
      </c>
      <c r="AJ28" s="66">
        <f>IF('Wtr-Gas'!Q30&lt;0,"0",('Wtr-Gas'!Q30)*0.0038)</f>
        <v>0</v>
      </c>
      <c r="AK28" s="67">
        <f>IF('Wtr-Gas'!U30&lt;0,"0",('Wtr-Gas'!U30)*0.0038)</f>
        <v>0</v>
      </c>
      <c r="AL28" s="67">
        <f>IF('Wtr-Gas'!X30&lt;0,"0",('Wtr-Gas'!X30)*0.0038)</f>
        <v>0</v>
      </c>
      <c r="AM28" s="66">
        <f>IF('Wtr-Gas'!AB30&lt;0,"0",('Wtr-Gas'!AB30)*0.0038)</f>
        <v>0</v>
      </c>
      <c r="AN28" s="66">
        <f>IF('Wtr-Gas'!AD30&lt;0,"0",('Wtr-Gas'!AD30)*0.0038)</f>
        <v>0</v>
      </c>
      <c r="AO28" s="66">
        <f>IF('Wtr-Gas'!AH30&lt;0,"0",('Wtr-Gas'!AH30)*0.0038)</f>
        <v>0</v>
      </c>
      <c r="AP28" s="66">
        <f>IF('Wtr-Gas'!AJ30&lt;0,"0",('Wtr-Gas'!AJ30)*0.0038)</f>
        <v>0</v>
      </c>
      <c r="AQ28" s="66">
        <f>IF('Wtr-Gas'!AL30&lt;0,"0",('Wtr-Gas'!AL30)*0.0038)</f>
        <v>0</v>
      </c>
      <c r="AR28" s="66">
        <f>IF('Wtr-Gas'!AN30&lt;0,"0",('Wtr-Gas'!AN30)*0.0038)</f>
        <v>0</v>
      </c>
      <c r="AS28" s="66">
        <f>IF('Wtr-Gas'!AP30&lt;0,"0",('Wtr-Gas'!AP30)*0.0038)</f>
        <v>0</v>
      </c>
      <c r="AT28" s="66">
        <f>IF('Wtr-Gas'!AR30&lt;0,"0",('Wtr-Gas'!AR30)*0.0038)</f>
        <v>0</v>
      </c>
      <c r="AU28" s="72">
        <f>IF('Wtr-Gas'!AV30&lt;0,"0",('Wtr-Gas'!AV30)*0.0038)</f>
        <v>0</v>
      </c>
      <c r="AV28" s="66">
        <f>IF('Wtr-Gas'!AY30&lt;0,"0",('Wtr-Gas'!AY30)*0.0038)</f>
        <v>0</v>
      </c>
      <c r="AW28" s="66">
        <f>IF('Wtr-Gas'!BA30&lt;0,"0",('Wtr-Gas'!BA30)*0.0038)</f>
        <v>0</v>
      </c>
      <c r="AX28" s="66">
        <f>IF('Wtr-Gas'!BB30&lt;0,"0",('Wtr-Gas'!BB30)*0.0038)</f>
        <v>0</v>
      </c>
      <c r="AY28" s="66">
        <f>IF('Wtr-Gas'!BD30&lt;0,"0",('Wtr-Gas'!BD30)*0.0038)</f>
        <v>0</v>
      </c>
      <c r="AZ28" s="66">
        <f>IF('Wtr-Gas'!BF30&lt;0,"0",('Wtr-Gas'!BF30)*0.0038)</f>
        <v>0</v>
      </c>
      <c r="BA28" s="66">
        <f>IF('Wtr-Gas'!BH30&lt;0,"0",('Wtr-Gas'!BH30)*0.0038)</f>
        <v>0</v>
      </c>
    </row>
    <row r="29" spans="1:53" x14ac:dyDescent="0.25">
      <c r="A29" s="3" t="s">
        <v>11</v>
      </c>
      <c r="B29" s="1">
        <v>31</v>
      </c>
      <c r="C29" s="2">
        <v>5</v>
      </c>
      <c r="D29" s="2">
        <v>2023</v>
      </c>
      <c r="E29" s="33">
        <f>IF(Elect!AM31&lt;0,"0",Elect!AM31)</f>
        <v>0</v>
      </c>
      <c r="F29" s="33">
        <f>IF(Elect!I31&lt;0,"0",Elect!I31)</f>
        <v>0</v>
      </c>
      <c r="G29" s="33">
        <f>Elect!H31</f>
        <v>0</v>
      </c>
      <c r="H29" s="33">
        <f>IF(Elect!F31&lt;0,"0",Elect!F31)</f>
        <v>0</v>
      </c>
      <c r="I29" s="33">
        <f>Elect!E31</f>
        <v>0</v>
      </c>
      <c r="J29" s="33">
        <f>IF(Elect!U31&lt;0,"0",Elect!U31)</f>
        <v>0</v>
      </c>
      <c r="K29" s="33">
        <f>Elect!T31</f>
        <v>0</v>
      </c>
      <c r="L29" s="33">
        <f>IF(Elect!AJ31&lt;0,"0",Elect!AJ31)</f>
        <v>0</v>
      </c>
      <c r="M29" s="33">
        <f>Elect!AI31</f>
        <v>0</v>
      </c>
      <c r="N29" s="33">
        <f>IF(Elect!X31&lt;0,"0",Elect!X31)</f>
        <v>0</v>
      </c>
      <c r="O29" s="33">
        <f>Elect!W31</f>
        <v>0</v>
      </c>
      <c r="P29" s="33">
        <f>IF(Elect!O31&lt;0,"0",Elect!O31)</f>
        <v>0</v>
      </c>
      <c r="Q29" s="33">
        <f>Elect!N31</f>
        <v>0</v>
      </c>
      <c r="R29" s="33">
        <f>IF(Elect!L31&lt;0,"0",Elect!L31)</f>
        <v>0</v>
      </c>
      <c r="S29" s="33">
        <f>Elect!K31</f>
        <v>0</v>
      </c>
      <c r="T29" s="33">
        <f>IF(Elect!R31&lt;0,"0",Elect!R31)</f>
        <v>0</v>
      </c>
      <c r="U29" s="33">
        <f>Elect!Q31</f>
        <v>0</v>
      </c>
      <c r="V29" s="33">
        <f>IF(Elect!AA31&lt;0,"0",Elect!AA31)</f>
        <v>0</v>
      </c>
      <c r="W29" s="33">
        <f>Elect!Z31</f>
        <v>0</v>
      </c>
      <c r="X29" s="33">
        <f>IF(Elect!AD31&lt;0,"0",Elect!AD31)</f>
        <v>0</v>
      </c>
      <c r="Y29" s="33">
        <f>Elect!AC31</f>
        <v>0</v>
      </c>
      <c r="Z29" s="33">
        <f>IF(Elect!AG31&lt;0,"0",Elect!AG31)</f>
        <v>0</v>
      </c>
      <c r="AA29" s="33">
        <f>Elect!AF31</f>
        <v>0</v>
      </c>
      <c r="AB29" s="33">
        <f>IF(Elect!AX31&lt;0,"0",Elect!AX31)</f>
        <v>0</v>
      </c>
      <c r="AC29" s="33">
        <f>IF(Elect!AV31&lt;0,"0",Elect!AV31)</f>
        <v>0</v>
      </c>
      <c r="AD29" s="33">
        <f>IF(Elect!AZ31&lt;0,"0",Elect!AZ31)</f>
        <v>0</v>
      </c>
      <c r="AE29" s="33">
        <f>IF(Elect!BB31&lt;0,"0",Elect!BB31)</f>
        <v>0</v>
      </c>
      <c r="AF29" s="66">
        <f>IF('Wtr-Gas'!E31&lt;0,"0",('Wtr-Gas'!E31)*0.0038)</f>
        <v>0</v>
      </c>
      <c r="AG29" s="66">
        <f>IF('Wtr-Gas'!H31&lt;0,"0",('Wtr-Gas'!H31)*0.0038)</f>
        <v>0</v>
      </c>
      <c r="AH29" s="66">
        <f>IF('Wtr-Gas'!K31&lt;0,"0",('Wtr-Gas'!K31)*0.0038)</f>
        <v>0</v>
      </c>
      <c r="AI29" s="66">
        <f>IF('Wtr-Gas'!N31&lt;0,"0",('Wtr-Gas'!N31)*0.0038)</f>
        <v>0</v>
      </c>
      <c r="AJ29" s="66">
        <f>IF('Wtr-Gas'!Q31&lt;0,"0",('Wtr-Gas'!Q31)*0.0038)</f>
        <v>0</v>
      </c>
      <c r="AK29" s="67">
        <f>IF('Wtr-Gas'!U31&lt;0,"0",('Wtr-Gas'!U31)*0.0038)</f>
        <v>0</v>
      </c>
      <c r="AL29" s="67">
        <f>IF('Wtr-Gas'!X31&lt;0,"0",('Wtr-Gas'!X31)*0.0038)</f>
        <v>0</v>
      </c>
      <c r="AM29" s="66">
        <f>IF('Wtr-Gas'!AB31&lt;0,"0",('Wtr-Gas'!AB31)*0.0038)</f>
        <v>0</v>
      </c>
      <c r="AN29" s="66">
        <f>IF('Wtr-Gas'!AD31&lt;0,"0",('Wtr-Gas'!AD31)*0.0038)</f>
        <v>0</v>
      </c>
      <c r="AO29" s="66">
        <f>IF('Wtr-Gas'!AH31&lt;0,"0",('Wtr-Gas'!AH31)*0.0038)</f>
        <v>0</v>
      </c>
      <c r="AP29" s="66">
        <f>IF('Wtr-Gas'!AJ31&lt;0,"0",('Wtr-Gas'!AJ31)*0.0038)</f>
        <v>0</v>
      </c>
      <c r="AQ29" s="66">
        <f>IF('Wtr-Gas'!AL31&lt;0,"0",('Wtr-Gas'!AL31)*0.0038)</f>
        <v>0</v>
      </c>
      <c r="AR29" s="66">
        <f>IF('Wtr-Gas'!AN31&lt;0,"0",('Wtr-Gas'!AN31)*0.0038)</f>
        <v>0</v>
      </c>
      <c r="AS29" s="66">
        <f>IF('Wtr-Gas'!AP31&lt;0,"0",('Wtr-Gas'!AP31)*0.0038)</f>
        <v>0</v>
      </c>
      <c r="AT29" s="66">
        <f>IF('Wtr-Gas'!AR31&lt;0,"0",('Wtr-Gas'!AR31)*0.0038)</f>
        <v>0</v>
      </c>
      <c r="AU29" s="72">
        <f>IF('Wtr-Gas'!AV31&lt;0,"0",('Wtr-Gas'!AV31)*0.0038)</f>
        <v>0</v>
      </c>
      <c r="AV29" s="66">
        <f>IF('Wtr-Gas'!AY31&lt;0,"0",('Wtr-Gas'!AY31)*0.0038)</f>
        <v>0</v>
      </c>
      <c r="AW29" s="66">
        <f>IF('Wtr-Gas'!BA31&lt;0,"0",('Wtr-Gas'!BA31)*0.0038)</f>
        <v>0</v>
      </c>
      <c r="AX29" s="66">
        <f>IF('Wtr-Gas'!BB31&lt;0,"0",('Wtr-Gas'!BB31)*0.0038)</f>
        <v>0</v>
      </c>
      <c r="AY29" s="66">
        <f>IF('Wtr-Gas'!BD31&lt;0,"0",('Wtr-Gas'!BD31)*0.0038)</f>
        <v>0</v>
      </c>
      <c r="AZ29" s="66">
        <f>IF('Wtr-Gas'!BF31&lt;0,"0",('Wtr-Gas'!BF31)*0.0038)</f>
        <v>0</v>
      </c>
      <c r="BA29" s="66">
        <f>IF('Wtr-Gas'!BH31&lt;0,"0",('Wtr-Gas'!BH31)*0.0038)</f>
        <v>0</v>
      </c>
    </row>
    <row r="30" spans="1:53" x14ac:dyDescent="0.25">
      <c r="A30" s="3" t="s">
        <v>11</v>
      </c>
      <c r="B30" s="1">
        <v>5</v>
      </c>
      <c r="C30" s="2">
        <v>6</v>
      </c>
      <c r="D30" s="2">
        <v>2023</v>
      </c>
      <c r="E30" s="33">
        <f>IF(Elect!AM32&lt;0,"0",Elect!AM32)</f>
        <v>0</v>
      </c>
      <c r="F30" s="33">
        <f>IF(Elect!I32&lt;0,"0",Elect!I32)</f>
        <v>0</v>
      </c>
      <c r="G30" s="33">
        <f>Elect!H32</f>
        <v>0</v>
      </c>
      <c r="H30" s="33">
        <f>IF(Elect!F32&lt;0,"0",Elect!F32)</f>
        <v>0</v>
      </c>
      <c r="I30" s="33">
        <f>Elect!E32</f>
        <v>0</v>
      </c>
      <c r="J30" s="33">
        <f>IF(Elect!U32&lt;0,"0",Elect!U32)</f>
        <v>0</v>
      </c>
      <c r="K30" s="33">
        <f>Elect!T32</f>
        <v>0</v>
      </c>
      <c r="L30" s="33">
        <f>IF(Elect!AJ32&lt;0,"0",Elect!AJ32)</f>
        <v>0</v>
      </c>
      <c r="M30" s="33">
        <f>Elect!AI32</f>
        <v>0</v>
      </c>
      <c r="N30" s="33">
        <f>IF(Elect!X32&lt;0,"0",Elect!X32)</f>
        <v>0</v>
      </c>
      <c r="O30" s="33">
        <f>Elect!W32</f>
        <v>0</v>
      </c>
      <c r="P30" s="33">
        <f>IF(Elect!O32&lt;0,"0",Elect!O32)</f>
        <v>0</v>
      </c>
      <c r="Q30" s="33">
        <f>Elect!N32</f>
        <v>0</v>
      </c>
      <c r="R30" s="33">
        <f>IF(Elect!L32&lt;0,"0",Elect!L32)</f>
        <v>0</v>
      </c>
      <c r="S30" s="33">
        <f>Elect!K32</f>
        <v>0</v>
      </c>
      <c r="T30" s="33">
        <f>IF(Elect!R32&lt;0,"0",Elect!R32)</f>
        <v>0</v>
      </c>
      <c r="U30" s="33">
        <f>Elect!Q32</f>
        <v>0</v>
      </c>
      <c r="V30" s="33">
        <f>IF(Elect!AA32&lt;0,"0",Elect!AA32)</f>
        <v>0</v>
      </c>
      <c r="W30" s="33">
        <f>Elect!Z32</f>
        <v>0</v>
      </c>
      <c r="X30" s="33">
        <f>IF(Elect!AD32&lt;0,"0",Elect!AD32)</f>
        <v>0</v>
      </c>
      <c r="Y30" s="33">
        <f>Elect!AC32</f>
        <v>0</v>
      </c>
      <c r="Z30" s="33">
        <f>IF(Elect!AG32&lt;0,"0",Elect!AG32)</f>
        <v>0</v>
      </c>
      <c r="AA30" s="33">
        <f>Elect!AF32</f>
        <v>0</v>
      </c>
      <c r="AB30" s="33">
        <f>IF(Elect!AX32&lt;0,"0",Elect!AX32)</f>
        <v>0</v>
      </c>
      <c r="AC30" s="33">
        <f>IF(Elect!AV32&lt;0,"0",Elect!AV32)</f>
        <v>0</v>
      </c>
      <c r="AD30" s="33">
        <f>IF(Elect!AZ32&lt;0,"0",Elect!AZ32)</f>
        <v>0</v>
      </c>
      <c r="AE30" s="33">
        <f>IF(Elect!BB32&lt;0,"0",Elect!BB32)</f>
        <v>0</v>
      </c>
      <c r="AF30" s="66">
        <f>IF('Wtr-Gas'!E32&lt;0,"0",('Wtr-Gas'!E32)*0.0038)</f>
        <v>0</v>
      </c>
      <c r="AG30" s="66">
        <f>IF('Wtr-Gas'!H32&lt;0,"0",('Wtr-Gas'!H32)*0.0038)</f>
        <v>0</v>
      </c>
      <c r="AH30" s="66">
        <f>IF('Wtr-Gas'!K32&lt;0,"0",('Wtr-Gas'!K32)*0.0038)</f>
        <v>0</v>
      </c>
      <c r="AI30" s="66">
        <f>IF('Wtr-Gas'!N32&lt;0,"0",('Wtr-Gas'!N32)*0.0038)</f>
        <v>0</v>
      </c>
      <c r="AJ30" s="66">
        <f>IF('Wtr-Gas'!Q32&lt;0,"0",('Wtr-Gas'!Q32)*0.0038)</f>
        <v>0</v>
      </c>
      <c r="AK30" s="67">
        <f>IF('Wtr-Gas'!U32&lt;0,"0",('Wtr-Gas'!U32)*0.0038)</f>
        <v>0</v>
      </c>
      <c r="AL30" s="67">
        <f>IF('Wtr-Gas'!X32&lt;0,"0",('Wtr-Gas'!X32)*0.0038)</f>
        <v>0</v>
      </c>
      <c r="AM30" s="66">
        <f>IF('Wtr-Gas'!AB32&lt;0,"0",('Wtr-Gas'!AB32)*0.0038)</f>
        <v>0</v>
      </c>
      <c r="AN30" s="66">
        <f>IF('Wtr-Gas'!AD32&lt;0,"0",('Wtr-Gas'!AD32)*0.0038)</f>
        <v>0</v>
      </c>
      <c r="AO30" s="66">
        <f>IF('Wtr-Gas'!AH32&lt;0,"0",('Wtr-Gas'!AH32)*0.0038)</f>
        <v>0</v>
      </c>
      <c r="AP30" s="66">
        <f>IF('Wtr-Gas'!AJ32&lt;0,"0",('Wtr-Gas'!AJ32)*0.0038)</f>
        <v>0</v>
      </c>
      <c r="AQ30" s="66">
        <f>IF('Wtr-Gas'!AL32&lt;0,"0",('Wtr-Gas'!AL32)*0.0038)</f>
        <v>0</v>
      </c>
      <c r="AR30" s="66">
        <f>IF('Wtr-Gas'!AN32&lt;0,"0",('Wtr-Gas'!AN32)*0.0038)</f>
        <v>0</v>
      </c>
      <c r="AS30" s="66">
        <f>IF('Wtr-Gas'!AP32&lt;0,"0",('Wtr-Gas'!AP32)*0.0038)</f>
        <v>0</v>
      </c>
      <c r="AT30" s="66">
        <f>IF('Wtr-Gas'!AR32&lt;0,"0",('Wtr-Gas'!AR32)*0.0038)</f>
        <v>0</v>
      </c>
      <c r="AU30" s="72">
        <f>IF('Wtr-Gas'!AV32&lt;0,"0",('Wtr-Gas'!AV32)*0.0038)</f>
        <v>0</v>
      </c>
      <c r="AV30" s="66">
        <f>IF('Wtr-Gas'!AY32&lt;0,"0",('Wtr-Gas'!AY32)*0.0038)</f>
        <v>0</v>
      </c>
      <c r="AW30" s="66">
        <f>IF('Wtr-Gas'!BA32&lt;0,"0",('Wtr-Gas'!BA32)*0.0038)</f>
        <v>0</v>
      </c>
      <c r="AX30" s="66">
        <f>IF('Wtr-Gas'!BB32&lt;0,"0",('Wtr-Gas'!BB32)*0.0038)</f>
        <v>0</v>
      </c>
      <c r="AY30" s="66">
        <f>IF('Wtr-Gas'!BD32&lt;0,"0",('Wtr-Gas'!BD32)*0.0038)</f>
        <v>0</v>
      </c>
      <c r="AZ30" s="66">
        <f>IF('Wtr-Gas'!BF32&lt;0,"0",('Wtr-Gas'!BF32)*0.0038)</f>
        <v>0</v>
      </c>
      <c r="BA30" s="66">
        <f>IF('Wtr-Gas'!BH32&lt;0,"0",('Wtr-Gas'!BH32)*0.0038)</f>
        <v>0</v>
      </c>
    </row>
    <row r="31" spans="1:53" x14ac:dyDescent="0.25">
      <c r="A31" s="3" t="s">
        <v>11</v>
      </c>
      <c r="B31" s="1">
        <v>12</v>
      </c>
      <c r="C31" s="2">
        <v>6</v>
      </c>
      <c r="D31" s="2">
        <v>2023</v>
      </c>
      <c r="E31" s="33">
        <f>IF(Elect!AM33&lt;0,"0",Elect!AM33)</f>
        <v>0</v>
      </c>
      <c r="F31" s="33">
        <f>IF(Elect!I33&lt;0,"0",Elect!I33)</f>
        <v>0</v>
      </c>
      <c r="G31" s="33">
        <f>Elect!H33</f>
        <v>0</v>
      </c>
      <c r="H31" s="33">
        <f>IF(Elect!F33&lt;0,"0",Elect!F33)</f>
        <v>0</v>
      </c>
      <c r="I31" s="33">
        <f>Elect!E33</f>
        <v>0</v>
      </c>
      <c r="J31" s="33">
        <f>IF(Elect!U33&lt;0,"0",Elect!U33)</f>
        <v>0</v>
      </c>
      <c r="K31" s="33">
        <f>Elect!T33</f>
        <v>0</v>
      </c>
      <c r="L31" s="33">
        <f>IF(Elect!AJ33&lt;0,"0",Elect!AJ33)</f>
        <v>0</v>
      </c>
      <c r="M31" s="33">
        <f>Elect!AI33</f>
        <v>0</v>
      </c>
      <c r="N31" s="33">
        <f>IF(Elect!X33&lt;0,"0",Elect!X33)</f>
        <v>0</v>
      </c>
      <c r="O31" s="33">
        <f>Elect!W33</f>
        <v>0</v>
      </c>
      <c r="P31" s="33">
        <f>IF(Elect!O33&lt;0,"0",Elect!O33)</f>
        <v>0</v>
      </c>
      <c r="Q31" s="33">
        <f>Elect!N33</f>
        <v>0</v>
      </c>
      <c r="R31" s="33">
        <f>IF(Elect!L33&lt;0,"0",Elect!L33)</f>
        <v>0</v>
      </c>
      <c r="S31" s="33">
        <f>Elect!K33</f>
        <v>0</v>
      </c>
      <c r="T31" s="33">
        <f>IF(Elect!R33&lt;0,"0",Elect!R33)</f>
        <v>0</v>
      </c>
      <c r="U31" s="33">
        <f>Elect!Q33</f>
        <v>0</v>
      </c>
      <c r="V31" s="33">
        <f>IF(Elect!AA33&lt;0,"0",Elect!AA33)</f>
        <v>0</v>
      </c>
      <c r="W31" s="33">
        <f>Elect!Z33</f>
        <v>0</v>
      </c>
      <c r="X31" s="33">
        <f>IF(Elect!AD33&lt;0,"0",Elect!AD33)</f>
        <v>0</v>
      </c>
      <c r="Y31" s="33">
        <f>Elect!AC33</f>
        <v>0</v>
      </c>
      <c r="Z31" s="33">
        <f>IF(Elect!AG33&lt;0,"0",Elect!AG33)</f>
        <v>0</v>
      </c>
      <c r="AA31" s="33">
        <f>Elect!AF33</f>
        <v>0</v>
      </c>
      <c r="AB31" s="33">
        <f>IF(Elect!AX33&lt;0,"0",Elect!AX33)</f>
        <v>0</v>
      </c>
      <c r="AC31" s="33">
        <f>IF(Elect!AV33&lt;0,"0",Elect!AV33)</f>
        <v>0</v>
      </c>
      <c r="AD31" s="33">
        <f>IF(Elect!AZ33&lt;0,"0",Elect!AZ33)</f>
        <v>0</v>
      </c>
      <c r="AE31" s="33">
        <f>IF(Elect!BB33&lt;0,"0",Elect!BB33)</f>
        <v>0</v>
      </c>
      <c r="AF31" s="66">
        <f>IF('Wtr-Gas'!E33&lt;0,"0",('Wtr-Gas'!E33)*0.0038)</f>
        <v>0</v>
      </c>
      <c r="AG31" s="66">
        <f>IF('Wtr-Gas'!H33&lt;0,"0",('Wtr-Gas'!H33)*0.0038)</f>
        <v>0</v>
      </c>
      <c r="AH31" s="66">
        <f>IF('Wtr-Gas'!K33&lt;0,"0",('Wtr-Gas'!K33)*0.0038)</f>
        <v>0</v>
      </c>
      <c r="AI31" s="66">
        <f>IF('Wtr-Gas'!N33&lt;0,"0",('Wtr-Gas'!N33)*0.0038)</f>
        <v>0</v>
      </c>
      <c r="AJ31" s="66">
        <f>IF('Wtr-Gas'!Q33&lt;0,"0",('Wtr-Gas'!Q33)*0.0038)</f>
        <v>0</v>
      </c>
      <c r="AK31" s="67">
        <f>IF('Wtr-Gas'!U33&lt;0,"0",('Wtr-Gas'!U33)*0.0038)</f>
        <v>0</v>
      </c>
      <c r="AL31" s="67">
        <f>IF('Wtr-Gas'!X33&lt;0,"0",('Wtr-Gas'!X33)*0.0038)</f>
        <v>0</v>
      </c>
      <c r="AM31" s="66">
        <f>IF('Wtr-Gas'!AB33&lt;0,"0",('Wtr-Gas'!AB33)*0.0038)</f>
        <v>0</v>
      </c>
      <c r="AN31" s="66">
        <f>IF('Wtr-Gas'!AD33&lt;0,"0",('Wtr-Gas'!AD33)*0.0038)</f>
        <v>0</v>
      </c>
      <c r="AO31" s="66">
        <f>IF('Wtr-Gas'!AH33&lt;0,"0",('Wtr-Gas'!AH33)*0.0038)</f>
        <v>0</v>
      </c>
      <c r="AP31" s="66">
        <f>IF('Wtr-Gas'!AJ33&lt;0,"0",('Wtr-Gas'!AJ33)*0.0038)</f>
        <v>0</v>
      </c>
      <c r="AQ31" s="66">
        <f>IF('Wtr-Gas'!AL33&lt;0,"0",('Wtr-Gas'!AL33)*0.0038)</f>
        <v>0</v>
      </c>
      <c r="AR31" s="66">
        <f>IF('Wtr-Gas'!AN33&lt;0,"0",('Wtr-Gas'!AN33)*0.0038)</f>
        <v>0</v>
      </c>
      <c r="AS31" s="66">
        <f>IF('Wtr-Gas'!AP33&lt;0,"0",('Wtr-Gas'!AP33)*0.0038)</f>
        <v>0</v>
      </c>
      <c r="AT31" s="66">
        <f>IF('Wtr-Gas'!AR33&lt;0,"0",('Wtr-Gas'!AR33)*0.0038)</f>
        <v>0</v>
      </c>
      <c r="AU31" s="72">
        <f>IF('Wtr-Gas'!AV33&lt;0,"0",('Wtr-Gas'!AV33)*0.0038)</f>
        <v>0</v>
      </c>
      <c r="AV31" s="66">
        <f>IF('Wtr-Gas'!AY33&lt;0,"0",('Wtr-Gas'!AY33)*0.0038)</f>
        <v>0</v>
      </c>
      <c r="AW31" s="66">
        <f>IF('Wtr-Gas'!BA33&lt;0,"0",('Wtr-Gas'!BA33)*0.0038)</f>
        <v>0</v>
      </c>
      <c r="AX31" s="66">
        <f>IF('Wtr-Gas'!BB33&lt;0,"0",('Wtr-Gas'!BB33)*0.0038)</f>
        <v>0</v>
      </c>
      <c r="AY31" s="66">
        <f>IF('Wtr-Gas'!BD33&lt;0,"0",('Wtr-Gas'!BD33)*0.0038)</f>
        <v>0</v>
      </c>
      <c r="AZ31" s="66">
        <f>IF('Wtr-Gas'!BF33&lt;0,"0",('Wtr-Gas'!BF33)*0.0038)</f>
        <v>0</v>
      </c>
      <c r="BA31" s="66">
        <f>IF('Wtr-Gas'!BH33&lt;0,"0",('Wtr-Gas'!BH33)*0.0038)</f>
        <v>0</v>
      </c>
    </row>
    <row r="32" spans="1:53" x14ac:dyDescent="0.25">
      <c r="A32" s="3" t="s">
        <v>11</v>
      </c>
      <c r="B32" s="1">
        <v>19</v>
      </c>
      <c r="C32" s="2">
        <v>6</v>
      </c>
      <c r="D32" s="2">
        <v>2023</v>
      </c>
      <c r="E32" s="33">
        <f>IF(Elect!AM34&lt;0,"0",Elect!AM34)</f>
        <v>0</v>
      </c>
      <c r="F32" s="33">
        <f>IF(Elect!I34&lt;0,"0",Elect!I34)</f>
        <v>0</v>
      </c>
      <c r="G32" s="33">
        <f>Elect!H34</f>
        <v>0</v>
      </c>
      <c r="H32" s="33">
        <f>IF(Elect!F34&lt;0,"0",Elect!F34)</f>
        <v>0</v>
      </c>
      <c r="I32" s="33">
        <f>Elect!E34</f>
        <v>0</v>
      </c>
      <c r="J32" s="33">
        <f>IF(Elect!U34&lt;0,"0",Elect!U34)</f>
        <v>0</v>
      </c>
      <c r="K32" s="33">
        <f>Elect!T34</f>
        <v>0</v>
      </c>
      <c r="L32" s="33">
        <f>IF(Elect!AJ34&lt;0,"0",Elect!AJ34)</f>
        <v>0</v>
      </c>
      <c r="M32" s="33">
        <f>Elect!AI34</f>
        <v>0</v>
      </c>
      <c r="N32" s="33">
        <f>IF(Elect!X34&lt;0,"0",Elect!X34)</f>
        <v>0</v>
      </c>
      <c r="O32" s="33">
        <f>Elect!W34</f>
        <v>0</v>
      </c>
      <c r="P32" s="33">
        <f>IF(Elect!O34&lt;0,"0",Elect!O34)</f>
        <v>0</v>
      </c>
      <c r="Q32" s="33">
        <f>Elect!N34</f>
        <v>0</v>
      </c>
      <c r="R32" s="33">
        <f>IF(Elect!L34&lt;0,"0",Elect!L34)</f>
        <v>0</v>
      </c>
      <c r="S32" s="33">
        <f>Elect!K34</f>
        <v>0</v>
      </c>
      <c r="T32" s="33">
        <f>IF(Elect!R34&lt;0,"0",Elect!R34)</f>
        <v>0</v>
      </c>
      <c r="U32" s="33">
        <f>Elect!Q34</f>
        <v>0</v>
      </c>
      <c r="V32" s="33">
        <f>IF(Elect!AA34&lt;0,"0",Elect!AA34)</f>
        <v>0</v>
      </c>
      <c r="W32" s="33">
        <f>Elect!Z34</f>
        <v>0</v>
      </c>
      <c r="X32" s="33">
        <f>IF(Elect!AD34&lt;0,"0",Elect!AD34)</f>
        <v>0</v>
      </c>
      <c r="Y32" s="33">
        <f>Elect!AC34</f>
        <v>0</v>
      </c>
      <c r="Z32" s="33">
        <f>IF(Elect!AG34&lt;0,"0",Elect!AG34)</f>
        <v>0</v>
      </c>
      <c r="AA32" s="33">
        <f>Elect!AF34</f>
        <v>0</v>
      </c>
      <c r="AB32" s="33">
        <f>IF(Elect!AX34&lt;0,"0",Elect!AX34)</f>
        <v>0</v>
      </c>
      <c r="AC32" s="33">
        <f>IF(Elect!AV34&lt;0,"0",Elect!AV34)</f>
        <v>0</v>
      </c>
      <c r="AD32" s="33">
        <f>IF(Elect!AZ34&lt;0,"0",Elect!AZ34)</f>
        <v>0</v>
      </c>
      <c r="AE32" s="33">
        <f>IF(Elect!BB34&lt;0,"0",Elect!BB34)</f>
        <v>0</v>
      </c>
      <c r="AF32" s="66">
        <f>IF('Wtr-Gas'!E34&lt;0,"0",('Wtr-Gas'!E34)*0.0038)</f>
        <v>0</v>
      </c>
      <c r="AG32" s="66">
        <f>IF('Wtr-Gas'!H34&lt;0,"0",('Wtr-Gas'!H34)*0.0038)</f>
        <v>0</v>
      </c>
      <c r="AH32" s="66">
        <f>IF('Wtr-Gas'!K34&lt;0,"0",('Wtr-Gas'!K34)*0.0038)</f>
        <v>0</v>
      </c>
      <c r="AI32" s="66">
        <f>IF('Wtr-Gas'!N34&lt;0,"0",('Wtr-Gas'!N34)*0.0038)</f>
        <v>0</v>
      </c>
      <c r="AJ32" s="66">
        <f>IF('Wtr-Gas'!Q34&lt;0,"0",('Wtr-Gas'!Q34)*0.0038)</f>
        <v>0</v>
      </c>
      <c r="AK32" s="67">
        <f>IF('Wtr-Gas'!U34&lt;0,"0",('Wtr-Gas'!U34)*0.0038)</f>
        <v>0</v>
      </c>
      <c r="AL32" s="67">
        <f>IF('Wtr-Gas'!X34&lt;0,"0",('Wtr-Gas'!X34)*0.0038)</f>
        <v>0</v>
      </c>
      <c r="AM32" s="66">
        <f>IF('Wtr-Gas'!AB34&lt;0,"0",('Wtr-Gas'!AB34)*0.0038)</f>
        <v>0</v>
      </c>
      <c r="AN32" s="66">
        <f>IF('Wtr-Gas'!AD34&lt;0,"0",('Wtr-Gas'!AD34)*0.0038)</f>
        <v>0</v>
      </c>
      <c r="AO32" s="66">
        <f>IF('Wtr-Gas'!AH34&lt;0,"0",('Wtr-Gas'!AH34)*0.0038)</f>
        <v>0</v>
      </c>
      <c r="AP32" s="66">
        <f>IF('Wtr-Gas'!AJ34&lt;0,"0",('Wtr-Gas'!AJ34)*0.0038)</f>
        <v>0</v>
      </c>
      <c r="AQ32" s="66">
        <f>IF('Wtr-Gas'!AL34&lt;0,"0",('Wtr-Gas'!AL34)*0.0038)</f>
        <v>0</v>
      </c>
      <c r="AR32" s="66">
        <f>IF('Wtr-Gas'!AN34&lt;0,"0",('Wtr-Gas'!AN34)*0.0038)</f>
        <v>0</v>
      </c>
      <c r="AS32" s="66">
        <f>IF('Wtr-Gas'!AP34&lt;0,"0",('Wtr-Gas'!AP34)*0.0038)</f>
        <v>0</v>
      </c>
      <c r="AT32" s="66">
        <f>IF('Wtr-Gas'!AR34&lt;0,"0",('Wtr-Gas'!AR34)*0.0038)</f>
        <v>0</v>
      </c>
      <c r="AU32" s="72">
        <f>IF('Wtr-Gas'!AV34&lt;0,"0",('Wtr-Gas'!AV34)*0.0038)</f>
        <v>0</v>
      </c>
      <c r="AV32" s="66">
        <f>IF('Wtr-Gas'!AY34&lt;0,"0",('Wtr-Gas'!AY34)*0.0038)</f>
        <v>0</v>
      </c>
      <c r="AW32" s="66">
        <f>IF('Wtr-Gas'!BA34&lt;0,"0",('Wtr-Gas'!BA34)*0.0038)</f>
        <v>0</v>
      </c>
      <c r="AX32" s="66">
        <f>IF('Wtr-Gas'!BB34&lt;0,"0",('Wtr-Gas'!BB34)*0.0038)</f>
        <v>0</v>
      </c>
      <c r="AY32" s="66">
        <f>IF('Wtr-Gas'!BD34&lt;0,"0",('Wtr-Gas'!BD34)*0.0038)</f>
        <v>0</v>
      </c>
      <c r="AZ32" s="66">
        <f>IF('Wtr-Gas'!BF34&lt;0,"0",('Wtr-Gas'!BF34)*0.0038)</f>
        <v>0</v>
      </c>
      <c r="BA32" s="66">
        <f>IF('Wtr-Gas'!BH34&lt;0,"0",('Wtr-Gas'!BH34)*0.0038)</f>
        <v>0</v>
      </c>
    </row>
    <row r="33" spans="1:53" x14ac:dyDescent="0.25">
      <c r="A33" s="3" t="s">
        <v>11</v>
      </c>
      <c r="B33" s="1">
        <v>26</v>
      </c>
      <c r="C33" s="2">
        <v>6</v>
      </c>
      <c r="D33" s="2">
        <v>2023</v>
      </c>
      <c r="E33" s="33">
        <f>IF(Elect!AM35&lt;0,"0",Elect!AM35)</f>
        <v>0</v>
      </c>
      <c r="F33" s="33">
        <f>IF(Elect!I35&lt;0,"0",Elect!I35)</f>
        <v>0</v>
      </c>
      <c r="G33" s="33">
        <f>Elect!H35</f>
        <v>0</v>
      </c>
      <c r="H33" s="33">
        <f>IF(Elect!F35&lt;0,"0",Elect!F35)</f>
        <v>0</v>
      </c>
      <c r="I33" s="33">
        <f>Elect!E35</f>
        <v>0</v>
      </c>
      <c r="J33" s="33">
        <f>IF(Elect!U35&lt;0,"0",Elect!U35)</f>
        <v>0</v>
      </c>
      <c r="K33" s="33">
        <f>Elect!T35</f>
        <v>0</v>
      </c>
      <c r="L33" s="33">
        <f>IF(Elect!AJ35&lt;0,"0",Elect!AJ35)</f>
        <v>0</v>
      </c>
      <c r="M33" s="33">
        <f>Elect!AI35</f>
        <v>0</v>
      </c>
      <c r="N33" s="33">
        <f>IF(Elect!X35&lt;0,"0",Elect!X35)</f>
        <v>0</v>
      </c>
      <c r="O33" s="33">
        <f>Elect!W35</f>
        <v>0</v>
      </c>
      <c r="P33" s="33">
        <f>IF(Elect!O35&lt;0,"0",Elect!O35)</f>
        <v>0</v>
      </c>
      <c r="Q33" s="33">
        <f>Elect!N35</f>
        <v>0</v>
      </c>
      <c r="R33" s="33">
        <f>IF(Elect!L35&lt;0,"0",Elect!L35)</f>
        <v>0</v>
      </c>
      <c r="S33" s="33">
        <f>Elect!K35</f>
        <v>0</v>
      </c>
      <c r="T33" s="33">
        <f>IF(Elect!R35&lt;0,"0",Elect!R35)</f>
        <v>0</v>
      </c>
      <c r="U33" s="33">
        <f>Elect!Q35</f>
        <v>0</v>
      </c>
      <c r="V33" s="33">
        <f>IF(Elect!AA35&lt;0,"0",Elect!AA35)</f>
        <v>0</v>
      </c>
      <c r="W33" s="33">
        <f>Elect!Z35</f>
        <v>0</v>
      </c>
      <c r="X33" s="33">
        <f>IF(Elect!AD35&lt;0,"0",Elect!AD35)</f>
        <v>0</v>
      </c>
      <c r="Y33" s="33">
        <f>Elect!AC35</f>
        <v>0</v>
      </c>
      <c r="Z33" s="33">
        <f>IF(Elect!AG35&lt;0,"0",Elect!AG35)</f>
        <v>0</v>
      </c>
      <c r="AA33" s="33">
        <f>Elect!AF35</f>
        <v>0</v>
      </c>
      <c r="AB33" s="33">
        <f>IF(Elect!AX35&lt;0,"0",Elect!AX35)</f>
        <v>0</v>
      </c>
      <c r="AC33" s="33">
        <f>IF(Elect!AV35&lt;0,"0",Elect!AV35)</f>
        <v>0</v>
      </c>
      <c r="AD33" s="33">
        <f>IF(Elect!AZ35&lt;0,"0",Elect!AZ35)</f>
        <v>0</v>
      </c>
      <c r="AE33" s="33">
        <f>IF(Elect!BB35&lt;0,"0",Elect!BB35)</f>
        <v>0</v>
      </c>
      <c r="AF33" s="66">
        <f>IF('Wtr-Gas'!E35&lt;0,"0",('Wtr-Gas'!E35)*0.0038)</f>
        <v>0</v>
      </c>
      <c r="AG33" s="66">
        <f>IF('Wtr-Gas'!H35&lt;0,"0",('Wtr-Gas'!H35)*0.0038)</f>
        <v>0</v>
      </c>
      <c r="AH33" s="66">
        <f>IF('Wtr-Gas'!K35&lt;0,"0",('Wtr-Gas'!K35)*0.0038)</f>
        <v>0</v>
      </c>
      <c r="AI33" s="66">
        <f>IF('Wtr-Gas'!N35&lt;0,"0",('Wtr-Gas'!N35)*0.0038)</f>
        <v>0</v>
      </c>
      <c r="AJ33" s="66">
        <f>IF('Wtr-Gas'!Q35&lt;0,"0",('Wtr-Gas'!Q35)*0.0038)</f>
        <v>0</v>
      </c>
      <c r="AK33" s="67">
        <f>IF('Wtr-Gas'!U35&lt;0,"0",('Wtr-Gas'!U35)*0.0038)</f>
        <v>0</v>
      </c>
      <c r="AL33" s="67">
        <f>IF('Wtr-Gas'!X35&lt;0,"0",('Wtr-Gas'!X35)*0.0038)</f>
        <v>0</v>
      </c>
      <c r="AM33" s="66">
        <f>IF('Wtr-Gas'!AB35&lt;0,"0",('Wtr-Gas'!AB35)*0.0038)</f>
        <v>0</v>
      </c>
      <c r="AN33" s="66">
        <f>IF('Wtr-Gas'!AD35&lt;0,"0",('Wtr-Gas'!AD35)*0.0038)</f>
        <v>0</v>
      </c>
      <c r="AO33" s="66">
        <f>IF('Wtr-Gas'!AH35&lt;0,"0",('Wtr-Gas'!AH35)*0.0038)</f>
        <v>0</v>
      </c>
      <c r="AP33" s="66">
        <f>IF('Wtr-Gas'!AJ35&lt;0,"0",('Wtr-Gas'!AJ35)*0.0038)</f>
        <v>0</v>
      </c>
      <c r="AQ33" s="66">
        <f>IF('Wtr-Gas'!AL35&lt;0,"0",('Wtr-Gas'!AL35)*0.0038)</f>
        <v>0</v>
      </c>
      <c r="AR33" s="66">
        <f>IF('Wtr-Gas'!AN35&lt;0,"0",('Wtr-Gas'!AN35)*0.0038)</f>
        <v>0</v>
      </c>
      <c r="AS33" s="66">
        <f>IF('Wtr-Gas'!AP35&lt;0,"0",('Wtr-Gas'!AP35)*0.0038)</f>
        <v>0</v>
      </c>
      <c r="AT33" s="66">
        <f>IF('Wtr-Gas'!AR35&lt;0,"0",('Wtr-Gas'!AR35)*0.0038)</f>
        <v>0</v>
      </c>
      <c r="AU33" s="72">
        <f>IF('Wtr-Gas'!AV35&lt;0,"0",('Wtr-Gas'!AV35)*0.0038)</f>
        <v>0</v>
      </c>
      <c r="AV33" s="66">
        <f>IF('Wtr-Gas'!AY35&lt;0,"0",('Wtr-Gas'!AY35)*0.0038)</f>
        <v>0</v>
      </c>
      <c r="AW33" s="66">
        <f>IF('Wtr-Gas'!BA35&lt;0,"0",('Wtr-Gas'!BA35)*0.0038)</f>
        <v>0</v>
      </c>
      <c r="AX33" s="66">
        <f>IF('Wtr-Gas'!BB35&lt;0,"0",('Wtr-Gas'!BB35)*0.0038)</f>
        <v>0</v>
      </c>
      <c r="AY33" s="66">
        <f>IF('Wtr-Gas'!BD35&lt;0,"0",('Wtr-Gas'!BD35)*0.0038)</f>
        <v>0</v>
      </c>
      <c r="AZ33" s="66">
        <f>IF('Wtr-Gas'!BF35&lt;0,"0",('Wtr-Gas'!BF35)*0.0038)</f>
        <v>0</v>
      </c>
      <c r="BA33" s="66">
        <f>IF('Wtr-Gas'!BH35&lt;0,"0",('Wtr-Gas'!BH35)*0.0038)</f>
        <v>0</v>
      </c>
    </row>
    <row r="34" spans="1:53" x14ac:dyDescent="0.25">
      <c r="A34" s="3" t="s">
        <v>11</v>
      </c>
      <c r="B34" s="1">
        <v>30</v>
      </c>
      <c r="C34" s="2">
        <v>6</v>
      </c>
      <c r="D34" s="2">
        <v>2023</v>
      </c>
      <c r="E34" s="33">
        <f>IF(Elect!AM36&lt;0,"0",Elect!AM36)</f>
        <v>0</v>
      </c>
      <c r="F34" s="33">
        <f>IF(Elect!I36&lt;0,"0",Elect!I36)</f>
        <v>0</v>
      </c>
      <c r="G34" s="33">
        <f>Elect!H36</f>
        <v>0</v>
      </c>
      <c r="H34" s="33">
        <f>IF(Elect!F36&lt;0,"0",Elect!F36)</f>
        <v>0</v>
      </c>
      <c r="I34" s="33">
        <f>Elect!E36</f>
        <v>0</v>
      </c>
      <c r="J34" s="33">
        <f>IF(Elect!U36&lt;0,"0",Elect!U36)</f>
        <v>0</v>
      </c>
      <c r="K34" s="33">
        <f>Elect!T36</f>
        <v>0</v>
      </c>
      <c r="L34" s="33">
        <f>IF(Elect!AJ36&lt;0,"0",Elect!AJ36)</f>
        <v>0</v>
      </c>
      <c r="M34" s="33">
        <f>Elect!AI36</f>
        <v>0</v>
      </c>
      <c r="N34" s="33">
        <f>IF(Elect!X36&lt;0,"0",Elect!X36)</f>
        <v>0</v>
      </c>
      <c r="O34" s="33">
        <f>Elect!W36</f>
        <v>0</v>
      </c>
      <c r="P34" s="33">
        <f>IF(Elect!O36&lt;0,"0",Elect!O36)</f>
        <v>0</v>
      </c>
      <c r="Q34" s="33">
        <f>Elect!N36</f>
        <v>0</v>
      </c>
      <c r="R34" s="33">
        <f>IF(Elect!L36&lt;0,"0",Elect!L36)</f>
        <v>0</v>
      </c>
      <c r="S34" s="33">
        <f>Elect!K36</f>
        <v>0</v>
      </c>
      <c r="T34" s="33">
        <f>IF(Elect!R36&lt;0,"0",Elect!R36)</f>
        <v>0</v>
      </c>
      <c r="U34" s="33">
        <f>Elect!Q36</f>
        <v>0</v>
      </c>
      <c r="V34" s="33">
        <f>IF(Elect!AA36&lt;0,"0",Elect!AA36)</f>
        <v>0</v>
      </c>
      <c r="W34" s="33">
        <f>Elect!Z36</f>
        <v>0</v>
      </c>
      <c r="X34" s="33">
        <f>IF(Elect!AD36&lt;0,"0",Elect!AD36)</f>
        <v>0</v>
      </c>
      <c r="Y34" s="33">
        <f>Elect!AC36</f>
        <v>0</v>
      </c>
      <c r="Z34" s="33">
        <f>IF(Elect!AG36&lt;0,"0",Elect!AG36)</f>
        <v>0</v>
      </c>
      <c r="AA34" s="33">
        <f>Elect!AF36</f>
        <v>0</v>
      </c>
      <c r="AB34" s="33">
        <f>IF(Elect!AX36&lt;0,"0",Elect!AX36)</f>
        <v>0</v>
      </c>
      <c r="AC34" s="33">
        <f>IF(Elect!AV36&lt;0,"0",Elect!AV36)</f>
        <v>0</v>
      </c>
      <c r="AD34" s="33">
        <f>IF(Elect!AZ36&lt;0,"0",Elect!AZ36)</f>
        <v>0</v>
      </c>
      <c r="AE34" s="33">
        <f>IF(Elect!BB36&lt;0,"0",Elect!BB36)</f>
        <v>0</v>
      </c>
      <c r="AF34" s="66">
        <f>IF('Wtr-Gas'!E36&lt;0,"0",('Wtr-Gas'!E36)*0.0038)</f>
        <v>0</v>
      </c>
      <c r="AG34" s="66">
        <f>IF('Wtr-Gas'!H36&lt;0,"0",('Wtr-Gas'!H36)*0.0038)</f>
        <v>0</v>
      </c>
      <c r="AH34" s="66">
        <f>IF('Wtr-Gas'!K36&lt;0,"0",('Wtr-Gas'!K36)*0.0038)</f>
        <v>0</v>
      </c>
      <c r="AI34" s="66">
        <f>IF('Wtr-Gas'!N36&lt;0,"0",('Wtr-Gas'!N36)*0.0038)</f>
        <v>0</v>
      </c>
      <c r="AJ34" s="66">
        <f>IF('Wtr-Gas'!Q36&lt;0,"0",('Wtr-Gas'!Q36)*0.0038)</f>
        <v>0</v>
      </c>
      <c r="AK34" s="67">
        <f>IF('Wtr-Gas'!U36&lt;0,"0",('Wtr-Gas'!U36)*0.0038)</f>
        <v>0</v>
      </c>
      <c r="AL34" s="67">
        <f>IF('Wtr-Gas'!X36&lt;0,"0",('Wtr-Gas'!X36)*0.0038)</f>
        <v>0</v>
      </c>
      <c r="AM34" s="66">
        <f>IF('Wtr-Gas'!AB36&lt;0,"0",('Wtr-Gas'!AB36)*0.0038)</f>
        <v>0</v>
      </c>
      <c r="AN34" s="66">
        <f>IF('Wtr-Gas'!AD36&lt;0,"0",('Wtr-Gas'!AD36)*0.0038)</f>
        <v>0</v>
      </c>
      <c r="AO34" s="66">
        <f>IF('Wtr-Gas'!AH36&lt;0,"0",('Wtr-Gas'!AH36)*0.0038)</f>
        <v>0</v>
      </c>
      <c r="AP34" s="66">
        <f>IF('Wtr-Gas'!AJ36&lt;0,"0",('Wtr-Gas'!AJ36)*0.0038)</f>
        <v>0</v>
      </c>
      <c r="AQ34" s="66">
        <f>IF('Wtr-Gas'!AL36&lt;0,"0",('Wtr-Gas'!AL36)*0.0038)</f>
        <v>0</v>
      </c>
      <c r="AR34" s="66">
        <f>IF('Wtr-Gas'!AN36&lt;0,"0",('Wtr-Gas'!AN36)*0.0038)</f>
        <v>0</v>
      </c>
      <c r="AS34" s="66">
        <f>IF('Wtr-Gas'!AP36&lt;0,"0",('Wtr-Gas'!AP36)*0.0038)</f>
        <v>0</v>
      </c>
      <c r="AT34" s="66">
        <f>IF('Wtr-Gas'!AR36&lt;0,"0",('Wtr-Gas'!AR36)*0.0038)</f>
        <v>0</v>
      </c>
      <c r="AU34" s="72">
        <f>IF('Wtr-Gas'!AV36&lt;0,"0",('Wtr-Gas'!AV36)*0.0038)</f>
        <v>0</v>
      </c>
      <c r="AV34" s="66">
        <f>IF('Wtr-Gas'!AY36&lt;0,"0",('Wtr-Gas'!AY36)*0.0038)</f>
        <v>0</v>
      </c>
      <c r="AW34" s="66">
        <f>IF('Wtr-Gas'!BA36&lt;0,"0",('Wtr-Gas'!BA36)*0.0038)</f>
        <v>0</v>
      </c>
      <c r="AX34" s="66">
        <f>IF('Wtr-Gas'!BB36&lt;0,"0",('Wtr-Gas'!BB36)*0.0038)</f>
        <v>0</v>
      </c>
      <c r="AY34" s="66">
        <f>IF('Wtr-Gas'!BD36&lt;0,"0",('Wtr-Gas'!BD36)*0.0038)</f>
        <v>0</v>
      </c>
      <c r="AZ34" s="66">
        <f>IF('Wtr-Gas'!BF36&lt;0,"0",('Wtr-Gas'!BF36)*0.0038)</f>
        <v>0</v>
      </c>
      <c r="BA34" s="66">
        <f>IF('Wtr-Gas'!BH36&lt;0,"0",('Wtr-Gas'!BH36)*0.0038)</f>
        <v>0</v>
      </c>
    </row>
    <row r="35" spans="1:53" x14ac:dyDescent="0.25">
      <c r="A35" s="3" t="s">
        <v>11</v>
      </c>
      <c r="B35" s="1">
        <v>3</v>
      </c>
      <c r="C35" s="2">
        <v>7</v>
      </c>
      <c r="D35" s="2">
        <v>2023</v>
      </c>
      <c r="E35" s="33">
        <f>IF(Elect!AM37&lt;0,"0",Elect!AM37)</f>
        <v>0</v>
      </c>
      <c r="F35" s="33">
        <f>IF(Elect!I37&lt;0,"0",Elect!I37)</f>
        <v>0</v>
      </c>
      <c r="G35" s="33">
        <f>Elect!H37</f>
        <v>0</v>
      </c>
      <c r="H35" s="33">
        <f>IF(Elect!F37&lt;0,"0",Elect!F37)</f>
        <v>0</v>
      </c>
      <c r="I35" s="33">
        <f>Elect!E37</f>
        <v>0</v>
      </c>
      <c r="J35" s="33">
        <f>IF(Elect!U37&lt;0,"0",Elect!U37)</f>
        <v>0</v>
      </c>
      <c r="K35" s="33">
        <f>Elect!T37</f>
        <v>0</v>
      </c>
      <c r="L35" s="33">
        <f>IF(Elect!AJ37&lt;0,"0",Elect!AJ37)</f>
        <v>0</v>
      </c>
      <c r="M35" s="33">
        <f>Elect!AI37</f>
        <v>0</v>
      </c>
      <c r="N35" s="33">
        <f>IF(Elect!X37&lt;0,"0",Elect!X37)</f>
        <v>0</v>
      </c>
      <c r="O35" s="33">
        <f>Elect!W37</f>
        <v>0</v>
      </c>
      <c r="P35" s="33">
        <f>IF(Elect!O37&lt;0,"0",Elect!O37)</f>
        <v>0</v>
      </c>
      <c r="Q35" s="33">
        <f>Elect!N37</f>
        <v>0</v>
      </c>
      <c r="R35" s="33">
        <f>IF(Elect!L37&lt;0,"0",Elect!L37)</f>
        <v>0</v>
      </c>
      <c r="S35" s="33">
        <f>Elect!K37</f>
        <v>0</v>
      </c>
      <c r="T35" s="33">
        <f>IF(Elect!R37&lt;0,"0",Elect!R37)</f>
        <v>0</v>
      </c>
      <c r="U35" s="33">
        <f>Elect!Q37</f>
        <v>0</v>
      </c>
      <c r="V35" s="33">
        <f>IF(Elect!AA37&lt;0,"0",Elect!AA37)</f>
        <v>0</v>
      </c>
      <c r="W35" s="33">
        <f>Elect!Z37</f>
        <v>0</v>
      </c>
      <c r="X35" s="33">
        <f>IF(Elect!AD37&lt;0,"0",Elect!AD37)</f>
        <v>0</v>
      </c>
      <c r="Y35" s="33">
        <f>Elect!AC37</f>
        <v>0</v>
      </c>
      <c r="Z35" s="33">
        <f>IF(Elect!AG37&lt;0,"0",Elect!AG37)</f>
        <v>0</v>
      </c>
      <c r="AA35" s="33">
        <f>Elect!AF37</f>
        <v>0</v>
      </c>
      <c r="AB35" s="33">
        <f>IF(Elect!AX37&lt;0,"0",Elect!AX37)</f>
        <v>0</v>
      </c>
      <c r="AC35" s="33">
        <f>IF(Elect!AV37&lt;0,"0",Elect!AV37)</f>
        <v>0</v>
      </c>
      <c r="AD35" s="33">
        <f>IF(Elect!AZ37&lt;0,"0",Elect!AZ37)</f>
        <v>0</v>
      </c>
      <c r="AE35" s="33">
        <f>IF(Elect!BB37&lt;0,"0",Elect!BB37)</f>
        <v>0</v>
      </c>
      <c r="AF35" s="66">
        <f>IF('Wtr-Gas'!E37&lt;0,"0",('Wtr-Gas'!E37)*0.0038)</f>
        <v>0</v>
      </c>
      <c r="AG35" s="66">
        <f>IF('Wtr-Gas'!H37&lt;0,"0",('Wtr-Gas'!H37)*0.0038)</f>
        <v>0</v>
      </c>
      <c r="AH35" s="66">
        <f>IF('Wtr-Gas'!K37&lt;0,"0",('Wtr-Gas'!K37)*0.0038)</f>
        <v>0</v>
      </c>
      <c r="AI35" s="66">
        <f>IF('Wtr-Gas'!N37&lt;0,"0",('Wtr-Gas'!N37)*0.0038)</f>
        <v>0</v>
      </c>
      <c r="AJ35" s="66">
        <f>IF('Wtr-Gas'!Q37&lt;0,"0",('Wtr-Gas'!Q37)*0.0038)</f>
        <v>0</v>
      </c>
      <c r="AK35" s="67">
        <f>IF('Wtr-Gas'!U37&lt;0,"0",('Wtr-Gas'!U37)*0.0038)</f>
        <v>0</v>
      </c>
      <c r="AL35" s="67">
        <f>IF('Wtr-Gas'!X37&lt;0,"0",('Wtr-Gas'!X37)*0.0038)</f>
        <v>0</v>
      </c>
      <c r="AM35" s="66">
        <f>IF('Wtr-Gas'!AB37&lt;0,"0",('Wtr-Gas'!AB37)*0.0038)</f>
        <v>0</v>
      </c>
      <c r="AN35" s="66">
        <f>IF('Wtr-Gas'!AD37&lt;0,"0",('Wtr-Gas'!AD37)*0.0038)</f>
        <v>0</v>
      </c>
      <c r="AO35" s="66">
        <f>IF('Wtr-Gas'!AH37&lt;0,"0",('Wtr-Gas'!AH37)*0.0038)</f>
        <v>0</v>
      </c>
      <c r="AP35" s="66">
        <f>IF('Wtr-Gas'!AJ37&lt;0,"0",('Wtr-Gas'!AJ37)*0.0038)</f>
        <v>0</v>
      </c>
      <c r="AQ35" s="66">
        <f>IF('Wtr-Gas'!AL37&lt;0,"0",('Wtr-Gas'!AL37)*0.0038)</f>
        <v>0</v>
      </c>
      <c r="AR35" s="66">
        <f>IF('Wtr-Gas'!AN37&lt;0,"0",('Wtr-Gas'!AN37)*0.0038)</f>
        <v>0</v>
      </c>
      <c r="AS35" s="66">
        <f>IF('Wtr-Gas'!AP37&lt;0,"0",('Wtr-Gas'!AP37)*0.0038)</f>
        <v>0</v>
      </c>
      <c r="AT35" s="66">
        <f>IF('Wtr-Gas'!AR37&lt;0,"0",('Wtr-Gas'!AR37)*0.0038)</f>
        <v>0</v>
      </c>
      <c r="AU35" s="72">
        <f>IF('Wtr-Gas'!AV37&lt;0,"0",('Wtr-Gas'!AV37)*0.0038)</f>
        <v>0</v>
      </c>
      <c r="AV35" s="66">
        <f>IF('Wtr-Gas'!AY37&lt;0,"0",('Wtr-Gas'!AY37)*0.0038)</f>
        <v>0</v>
      </c>
      <c r="AW35" s="66">
        <f>IF('Wtr-Gas'!BA37&lt;0,"0",('Wtr-Gas'!BA37)*0.0038)</f>
        <v>0</v>
      </c>
      <c r="AX35" s="66">
        <f>IF('Wtr-Gas'!BB37&lt;0,"0",('Wtr-Gas'!BB37)*0.0038)</f>
        <v>0</v>
      </c>
      <c r="AY35" s="66">
        <f>IF('Wtr-Gas'!BD37&lt;0,"0",('Wtr-Gas'!BD37)*0.0038)</f>
        <v>0</v>
      </c>
      <c r="AZ35" s="66">
        <f>IF('Wtr-Gas'!BF37&lt;0,"0",('Wtr-Gas'!BF37)*0.0038)</f>
        <v>0</v>
      </c>
      <c r="BA35" s="66">
        <f>IF('Wtr-Gas'!BH37&lt;0,"0",('Wtr-Gas'!BH37)*0.0038)</f>
        <v>0</v>
      </c>
    </row>
    <row r="36" spans="1:53" x14ac:dyDescent="0.25">
      <c r="A36" s="3" t="s">
        <v>11</v>
      </c>
      <c r="B36" s="1">
        <v>10</v>
      </c>
      <c r="C36" s="2">
        <v>7</v>
      </c>
      <c r="D36" s="2">
        <v>2023</v>
      </c>
      <c r="E36" s="33">
        <f>IF(Elect!AM38&lt;0,"0",Elect!AM38)</f>
        <v>0</v>
      </c>
      <c r="F36" s="33">
        <f>IF(Elect!I38&lt;0,"0",Elect!I38)</f>
        <v>0</v>
      </c>
      <c r="G36" s="33">
        <f>Elect!H38</f>
        <v>0</v>
      </c>
      <c r="H36" s="33">
        <f>IF(Elect!F38&lt;0,"0",Elect!F38)</f>
        <v>0</v>
      </c>
      <c r="I36" s="33">
        <f>Elect!E38</f>
        <v>0</v>
      </c>
      <c r="J36" s="33">
        <f>IF(Elect!U38&lt;0,"0",Elect!U38)</f>
        <v>0</v>
      </c>
      <c r="K36" s="33">
        <f>Elect!T38</f>
        <v>0</v>
      </c>
      <c r="L36" s="33">
        <f>IF(Elect!AJ38&lt;0,"0",Elect!AJ38)</f>
        <v>0</v>
      </c>
      <c r="M36" s="33">
        <f>Elect!AI38</f>
        <v>0</v>
      </c>
      <c r="N36" s="33">
        <f>IF(Elect!X38&lt;0,"0",Elect!X38)</f>
        <v>0</v>
      </c>
      <c r="O36" s="33">
        <f>Elect!W38</f>
        <v>0</v>
      </c>
      <c r="P36" s="33">
        <f>IF(Elect!O38&lt;0,"0",Elect!O38)</f>
        <v>0</v>
      </c>
      <c r="Q36" s="33">
        <f>Elect!N38</f>
        <v>0</v>
      </c>
      <c r="R36" s="33">
        <f>IF(Elect!L38&lt;0,"0",Elect!L38)</f>
        <v>0</v>
      </c>
      <c r="S36" s="33">
        <f>Elect!K38</f>
        <v>0</v>
      </c>
      <c r="T36" s="33">
        <f>IF(Elect!R38&lt;0,"0",Elect!R38)</f>
        <v>0</v>
      </c>
      <c r="U36" s="33">
        <f>Elect!Q38</f>
        <v>0</v>
      </c>
      <c r="V36" s="33">
        <f>IF(Elect!AA38&lt;0,"0",Elect!AA38)</f>
        <v>0</v>
      </c>
      <c r="W36" s="33">
        <f>Elect!Z38</f>
        <v>0</v>
      </c>
      <c r="X36" s="33">
        <f>IF(Elect!AD38&lt;0,"0",Elect!AD38)</f>
        <v>0</v>
      </c>
      <c r="Y36" s="33">
        <f>Elect!AC38</f>
        <v>0</v>
      </c>
      <c r="Z36" s="33">
        <f>IF(Elect!AG38&lt;0,"0",Elect!AG38)</f>
        <v>0</v>
      </c>
      <c r="AA36" s="33">
        <f>Elect!AF38</f>
        <v>0</v>
      </c>
      <c r="AB36" s="33">
        <f>IF(Elect!AX38&lt;0,"0",Elect!AX38)</f>
        <v>0</v>
      </c>
      <c r="AC36" s="33">
        <f>IF(Elect!AV38&lt;0,"0",Elect!AV38)</f>
        <v>0</v>
      </c>
      <c r="AD36" s="33">
        <f>IF(Elect!AZ38&lt;0,"0",Elect!AZ38)</f>
        <v>0</v>
      </c>
      <c r="AE36" s="33">
        <f>IF(Elect!BB38&lt;0,"0",Elect!BB38)</f>
        <v>0</v>
      </c>
      <c r="AF36" s="66">
        <f>IF('Wtr-Gas'!E38&lt;0,"0",('Wtr-Gas'!E38)*0.0038)</f>
        <v>0</v>
      </c>
      <c r="AG36" s="66">
        <f>IF('Wtr-Gas'!H38&lt;0,"0",('Wtr-Gas'!H38)*0.0038)</f>
        <v>0</v>
      </c>
      <c r="AH36" s="66">
        <f>IF('Wtr-Gas'!K38&lt;0,"0",('Wtr-Gas'!K38)*0.0038)</f>
        <v>0</v>
      </c>
      <c r="AI36" s="66">
        <f>IF('Wtr-Gas'!N38&lt;0,"0",('Wtr-Gas'!N38)*0.0038)</f>
        <v>0</v>
      </c>
      <c r="AJ36" s="66">
        <f>IF('Wtr-Gas'!Q38&lt;0,"0",('Wtr-Gas'!Q38)*0.0038)</f>
        <v>0</v>
      </c>
      <c r="AK36" s="67">
        <f>IF('Wtr-Gas'!U38&lt;0,"0",('Wtr-Gas'!U38)*0.0038)</f>
        <v>0</v>
      </c>
      <c r="AL36" s="67">
        <f>IF('Wtr-Gas'!X38&lt;0,"0",('Wtr-Gas'!X38)*0.0038)</f>
        <v>0</v>
      </c>
      <c r="AM36" s="66">
        <f>IF('Wtr-Gas'!AB38&lt;0,"0",('Wtr-Gas'!AB38)*0.0038)</f>
        <v>0</v>
      </c>
      <c r="AN36" s="66">
        <f>IF('Wtr-Gas'!AD38&lt;0,"0",('Wtr-Gas'!AD38)*0.0038)</f>
        <v>0</v>
      </c>
      <c r="AO36" s="66">
        <f>IF('Wtr-Gas'!AH38&lt;0,"0",('Wtr-Gas'!AH38)*0.0038)</f>
        <v>0</v>
      </c>
      <c r="AP36" s="66">
        <f>IF('Wtr-Gas'!AJ38&lt;0,"0",('Wtr-Gas'!AJ38)*0.0038)</f>
        <v>0</v>
      </c>
      <c r="AQ36" s="66">
        <f>IF('Wtr-Gas'!AL38&lt;0,"0",('Wtr-Gas'!AL38)*0.0038)</f>
        <v>0</v>
      </c>
      <c r="AR36" s="66">
        <f>IF('Wtr-Gas'!AN38&lt;0,"0",('Wtr-Gas'!AN38)*0.0038)</f>
        <v>0</v>
      </c>
      <c r="AS36" s="66">
        <f>IF('Wtr-Gas'!AP38&lt;0,"0",('Wtr-Gas'!AP38)*0.0038)</f>
        <v>0</v>
      </c>
      <c r="AT36" s="66">
        <f>IF('Wtr-Gas'!AR38&lt;0,"0",('Wtr-Gas'!AR38)*0.0038)</f>
        <v>0</v>
      </c>
      <c r="AU36" s="72">
        <f>IF('Wtr-Gas'!AV38&lt;0,"0",('Wtr-Gas'!AV38)*0.0038)</f>
        <v>0</v>
      </c>
      <c r="AV36" s="66">
        <f>IF('Wtr-Gas'!AY38&lt;0,"0",('Wtr-Gas'!AY38)*0.0038)</f>
        <v>0</v>
      </c>
      <c r="AW36" s="66">
        <f>IF('Wtr-Gas'!BA38&lt;0,"0",('Wtr-Gas'!BA38)*0.0038)</f>
        <v>0</v>
      </c>
      <c r="AX36" s="66">
        <f>IF('Wtr-Gas'!BB38&lt;0,"0",('Wtr-Gas'!BB38)*0.0038)</f>
        <v>0</v>
      </c>
      <c r="AY36" s="66">
        <f>IF('Wtr-Gas'!BD38&lt;0,"0",('Wtr-Gas'!BD38)*0.0038)</f>
        <v>0</v>
      </c>
      <c r="AZ36" s="66">
        <f>IF('Wtr-Gas'!BF38&lt;0,"0",('Wtr-Gas'!BF38)*0.0038)</f>
        <v>0</v>
      </c>
      <c r="BA36" s="66">
        <f>IF('Wtr-Gas'!BH38&lt;0,"0",('Wtr-Gas'!BH38)*0.0038)</f>
        <v>0</v>
      </c>
    </row>
    <row r="37" spans="1:53" x14ac:dyDescent="0.25">
      <c r="A37" s="3" t="s">
        <v>11</v>
      </c>
      <c r="B37" s="1">
        <v>17</v>
      </c>
      <c r="C37" s="2">
        <v>7</v>
      </c>
      <c r="D37" s="2">
        <v>2023</v>
      </c>
      <c r="E37" s="33">
        <f>IF(Elect!AM39&lt;0,"0",Elect!AM39)</f>
        <v>0</v>
      </c>
      <c r="F37" s="33">
        <f>IF(Elect!I39&lt;0,"0",Elect!I39)</f>
        <v>0</v>
      </c>
      <c r="G37" s="33">
        <f>Elect!H39</f>
        <v>0</v>
      </c>
      <c r="H37" s="33">
        <f>IF(Elect!F39&lt;0,"0",Elect!F39)</f>
        <v>0</v>
      </c>
      <c r="I37" s="33">
        <f>Elect!E39</f>
        <v>0</v>
      </c>
      <c r="J37" s="33">
        <f>IF(Elect!U39&lt;0,"0",Elect!U39)</f>
        <v>0</v>
      </c>
      <c r="K37" s="33">
        <f>Elect!T39</f>
        <v>0</v>
      </c>
      <c r="L37" s="33">
        <f>IF(Elect!AJ39&lt;0,"0",Elect!AJ39)</f>
        <v>0</v>
      </c>
      <c r="M37" s="33">
        <f>Elect!AI39</f>
        <v>0</v>
      </c>
      <c r="N37" s="33">
        <f>IF(Elect!X39&lt;0,"0",Elect!X39)</f>
        <v>0</v>
      </c>
      <c r="O37" s="33">
        <f>Elect!W39</f>
        <v>0</v>
      </c>
      <c r="P37" s="33">
        <f>IF(Elect!O39&lt;0,"0",Elect!O39)</f>
        <v>0</v>
      </c>
      <c r="Q37" s="33">
        <f>Elect!N39</f>
        <v>0</v>
      </c>
      <c r="R37" s="33">
        <f>IF(Elect!L39&lt;0,"0",Elect!L39)</f>
        <v>0</v>
      </c>
      <c r="S37" s="33">
        <f>Elect!K39</f>
        <v>0</v>
      </c>
      <c r="T37" s="33">
        <f>IF(Elect!R39&lt;0,"0",Elect!R39)</f>
        <v>0</v>
      </c>
      <c r="U37" s="33">
        <f>Elect!Q39</f>
        <v>0</v>
      </c>
      <c r="V37" s="33">
        <f>IF(Elect!AA39&lt;0,"0",Elect!AA39)</f>
        <v>0</v>
      </c>
      <c r="W37" s="33">
        <f>Elect!Z39</f>
        <v>0</v>
      </c>
      <c r="X37" s="33">
        <f>IF(Elect!AD39&lt;0,"0",Elect!AD39)</f>
        <v>0</v>
      </c>
      <c r="Y37" s="33">
        <f>Elect!AC39</f>
        <v>0</v>
      </c>
      <c r="Z37" s="33">
        <f>IF(Elect!AG39&lt;0,"0",Elect!AG39)</f>
        <v>0</v>
      </c>
      <c r="AA37" s="33">
        <f>Elect!AF39</f>
        <v>0</v>
      </c>
      <c r="AB37" s="33">
        <f>IF(Elect!AX39&lt;0,"0",Elect!AX39)</f>
        <v>0</v>
      </c>
      <c r="AC37" s="33">
        <f>IF(Elect!AV39&lt;0,"0",Elect!AV39)</f>
        <v>0</v>
      </c>
      <c r="AD37" s="33">
        <f>IF(Elect!AZ39&lt;0,"0",Elect!AZ39)</f>
        <v>0</v>
      </c>
      <c r="AE37" s="33">
        <f>IF(Elect!BB39&lt;0,"0",Elect!BB39)</f>
        <v>0</v>
      </c>
      <c r="AF37" s="66">
        <f>IF('Wtr-Gas'!E39&lt;0,"0",('Wtr-Gas'!E39)*0.0038)</f>
        <v>0</v>
      </c>
      <c r="AG37" s="66">
        <f>IF('Wtr-Gas'!H39&lt;0,"0",('Wtr-Gas'!H39)*0.0038)</f>
        <v>0</v>
      </c>
      <c r="AH37" s="66">
        <f>IF('Wtr-Gas'!K39&lt;0,"0",('Wtr-Gas'!K39)*0.0038)</f>
        <v>0</v>
      </c>
      <c r="AI37" s="66">
        <f>IF('Wtr-Gas'!N39&lt;0,"0",('Wtr-Gas'!N39)*0.0038)</f>
        <v>0</v>
      </c>
      <c r="AJ37" s="66">
        <f>IF('Wtr-Gas'!Q39&lt;0,"0",('Wtr-Gas'!Q39)*0.0038)</f>
        <v>0</v>
      </c>
      <c r="AK37" s="67">
        <f>IF('Wtr-Gas'!U39&lt;0,"0",('Wtr-Gas'!U39)*0.0038)</f>
        <v>0</v>
      </c>
      <c r="AL37" s="67">
        <f>IF('Wtr-Gas'!X39&lt;0,"0",('Wtr-Gas'!X39)*0.0038)</f>
        <v>0</v>
      </c>
      <c r="AM37" s="66">
        <f>IF('Wtr-Gas'!AB39&lt;0,"0",('Wtr-Gas'!AB39)*0.0038)</f>
        <v>0</v>
      </c>
      <c r="AN37" s="66">
        <f>IF('Wtr-Gas'!AD39&lt;0,"0",('Wtr-Gas'!AD39)*0.0038)</f>
        <v>0</v>
      </c>
      <c r="AO37" s="66">
        <f>IF('Wtr-Gas'!AH39&lt;0,"0",('Wtr-Gas'!AH39)*0.0038)</f>
        <v>0</v>
      </c>
      <c r="AP37" s="66">
        <f>IF('Wtr-Gas'!AJ39&lt;0,"0",('Wtr-Gas'!AJ39)*0.0038)</f>
        <v>0</v>
      </c>
      <c r="AQ37" s="66">
        <f>IF('Wtr-Gas'!AL39&lt;0,"0",('Wtr-Gas'!AL39)*0.0038)</f>
        <v>0</v>
      </c>
      <c r="AR37" s="66">
        <f>IF('Wtr-Gas'!AN39&lt;0,"0",('Wtr-Gas'!AN39)*0.0038)</f>
        <v>0</v>
      </c>
      <c r="AS37" s="66">
        <f>IF('Wtr-Gas'!AP39&lt;0,"0",('Wtr-Gas'!AP39)*0.0038)</f>
        <v>0</v>
      </c>
      <c r="AT37" s="66">
        <f>IF('Wtr-Gas'!AR39&lt;0,"0",('Wtr-Gas'!AR39)*0.0038)</f>
        <v>0</v>
      </c>
      <c r="AU37" s="72">
        <f>IF('Wtr-Gas'!AV39&lt;0,"0",('Wtr-Gas'!AV39)*0.0038)</f>
        <v>0</v>
      </c>
      <c r="AV37" s="66">
        <f>IF('Wtr-Gas'!AY39&lt;0,"0",('Wtr-Gas'!AY39)*0.0038)</f>
        <v>0</v>
      </c>
      <c r="AW37" s="66">
        <f>IF('Wtr-Gas'!BA39&lt;0,"0",('Wtr-Gas'!BA39)*0.0038)</f>
        <v>0</v>
      </c>
      <c r="AX37" s="66">
        <f>IF('Wtr-Gas'!BB39&lt;0,"0",('Wtr-Gas'!BB39)*0.0038)</f>
        <v>0</v>
      </c>
      <c r="AY37" s="66">
        <f>IF('Wtr-Gas'!BD39&lt;0,"0",('Wtr-Gas'!BD39)*0.0038)</f>
        <v>0</v>
      </c>
      <c r="AZ37" s="66">
        <f>IF('Wtr-Gas'!BF39&lt;0,"0",('Wtr-Gas'!BF39)*0.0038)</f>
        <v>0</v>
      </c>
      <c r="BA37" s="66">
        <f>IF('Wtr-Gas'!BH39&lt;0,"0",('Wtr-Gas'!BH39)*0.0038)</f>
        <v>0</v>
      </c>
    </row>
    <row r="38" spans="1:53" x14ac:dyDescent="0.25">
      <c r="A38" s="3" t="s">
        <v>11</v>
      </c>
      <c r="B38" s="1">
        <v>24</v>
      </c>
      <c r="C38" s="2">
        <v>7</v>
      </c>
      <c r="D38" s="2">
        <v>2023</v>
      </c>
      <c r="E38" s="33">
        <f>IF(Elect!AM40&lt;0,"0",Elect!AM40)</f>
        <v>0</v>
      </c>
      <c r="F38" s="33">
        <f>IF(Elect!I40&lt;0,"0",Elect!I40)</f>
        <v>0</v>
      </c>
      <c r="G38" s="33">
        <f>Elect!H40</f>
        <v>0</v>
      </c>
      <c r="H38" s="33">
        <f>IF(Elect!F40&lt;0,"0",Elect!F40)</f>
        <v>0</v>
      </c>
      <c r="I38" s="33">
        <f>Elect!E40</f>
        <v>0</v>
      </c>
      <c r="J38" s="33">
        <f>IF(Elect!U40&lt;0,"0",Elect!U40)</f>
        <v>0</v>
      </c>
      <c r="K38" s="33">
        <f>Elect!T40</f>
        <v>0</v>
      </c>
      <c r="L38" s="33">
        <f>IF(Elect!AJ40&lt;0,"0",Elect!AJ40)</f>
        <v>0</v>
      </c>
      <c r="M38" s="33">
        <f>Elect!AI40</f>
        <v>0</v>
      </c>
      <c r="N38" s="33">
        <f>IF(Elect!X40&lt;0,"0",Elect!X40)</f>
        <v>0</v>
      </c>
      <c r="O38" s="33">
        <f>Elect!W40</f>
        <v>0</v>
      </c>
      <c r="P38" s="33">
        <f>IF(Elect!O40&lt;0,"0",Elect!O40)</f>
        <v>0</v>
      </c>
      <c r="Q38" s="33">
        <f>Elect!N40</f>
        <v>0</v>
      </c>
      <c r="R38" s="33">
        <f>IF(Elect!L40&lt;0,"0",Elect!L40)</f>
        <v>0</v>
      </c>
      <c r="S38" s="33">
        <f>Elect!K40</f>
        <v>0</v>
      </c>
      <c r="T38" s="33">
        <f>IF(Elect!R40&lt;0,"0",Elect!R40)</f>
        <v>0</v>
      </c>
      <c r="U38" s="33">
        <f>Elect!Q40</f>
        <v>0</v>
      </c>
      <c r="V38" s="33">
        <f>IF(Elect!AA40&lt;0,"0",Elect!AA40)</f>
        <v>0</v>
      </c>
      <c r="W38" s="33">
        <f>Elect!Z40</f>
        <v>0</v>
      </c>
      <c r="X38" s="33">
        <f>IF(Elect!AD40&lt;0,"0",Elect!AD40)</f>
        <v>0</v>
      </c>
      <c r="Y38" s="33">
        <f>Elect!AC40</f>
        <v>0</v>
      </c>
      <c r="Z38" s="33">
        <f>IF(Elect!AG40&lt;0,"0",Elect!AG40)</f>
        <v>0</v>
      </c>
      <c r="AA38" s="33">
        <f>Elect!AF40</f>
        <v>0</v>
      </c>
      <c r="AB38" s="33">
        <f>IF(Elect!AX40&lt;0,"0",Elect!AX40)</f>
        <v>0</v>
      </c>
      <c r="AC38" s="33">
        <f>IF(Elect!AV40&lt;0,"0",Elect!AV40)</f>
        <v>0</v>
      </c>
      <c r="AD38" s="33">
        <f>IF(Elect!AZ40&lt;0,"0",Elect!AZ40)</f>
        <v>0</v>
      </c>
      <c r="AE38" s="33">
        <f>IF(Elect!BB40&lt;0,"0",Elect!BB40)</f>
        <v>0</v>
      </c>
      <c r="AF38" s="66">
        <f>IF('Wtr-Gas'!E40&lt;0,"0",('Wtr-Gas'!E40)*0.0038)</f>
        <v>0</v>
      </c>
      <c r="AG38" s="66">
        <f>IF('Wtr-Gas'!H40&lt;0,"0",('Wtr-Gas'!H40)*0.0038)</f>
        <v>0</v>
      </c>
      <c r="AH38" s="66">
        <f>IF('Wtr-Gas'!K40&lt;0,"0",('Wtr-Gas'!K40)*0.0038)</f>
        <v>0</v>
      </c>
      <c r="AI38" s="66">
        <f>IF('Wtr-Gas'!N40&lt;0,"0",('Wtr-Gas'!N40)*0.0038)</f>
        <v>0</v>
      </c>
      <c r="AJ38" s="66">
        <f>IF('Wtr-Gas'!Q40&lt;0,"0",('Wtr-Gas'!Q40)*0.0038)</f>
        <v>0</v>
      </c>
      <c r="AK38" s="67">
        <f>IF('Wtr-Gas'!U40&lt;0,"0",('Wtr-Gas'!U40)*0.0038)</f>
        <v>0</v>
      </c>
      <c r="AL38" s="67">
        <f>IF('Wtr-Gas'!X40&lt;0,"0",('Wtr-Gas'!X40)*0.0038)</f>
        <v>0</v>
      </c>
      <c r="AM38" s="66">
        <f>IF('Wtr-Gas'!AB40&lt;0,"0",('Wtr-Gas'!AB40)*0.0038)</f>
        <v>0</v>
      </c>
      <c r="AN38" s="66">
        <f>IF('Wtr-Gas'!AD40&lt;0,"0",('Wtr-Gas'!AD40)*0.0038)</f>
        <v>0</v>
      </c>
      <c r="AO38" s="66">
        <f>IF('Wtr-Gas'!AH40&lt;0,"0",('Wtr-Gas'!AH40)*0.0038)</f>
        <v>0</v>
      </c>
      <c r="AP38" s="66">
        <f>IF('Wtr-Gas'!AJ40&lt;0,"0",('Wtr-Gas'!AJ40)*0.0038)</f>
        <v>0</v>
      </c>
      <c r="AQ38" s="66">
        <f>IF('Wtr-Gas'!AL40&lt;0,"0",('Wtr-Gas'!AL40)*0.0038)</f>
        <v>0</v>
      </c>
      <c r="AR38" s="66">
        <f>IF('Wtr-Gas'!AN40&lt;0,"0",('Wtr-Gas'!AN40)*0.0038)</f>
        <v>0</v>
      </c>
      <c r="AS38" s="66">
        <f>IF('Wtr-Gas'!AP40&lt;0,"0",('Wtr-Gas'!AP40)*0.0038)</f>
        <v>0</v>
      </c>
      <c r="AT38" s="66">
        <f>IF('Wtr-Gas'!AR40&lt;0,"0",('Wtr-Gas'!AR40)*0.0038)</f>
        <v>0</v>
      </c>
      <c r="AU38" s="72">
        <f>IF('Wtr-Gas'!AV40&lt;0,"0",('Wtr-Gas'!AV40)*0.0038)</f>
        <v>0</v>
      </c>
      <c r="AV38" s="66">
        <f>IF('Wtr-Gas'!AY40&lt;0,"0",('Wtr-Gas'!AY40)*0.0038)</f>
        <v>0</v>
      </c>
      <c r="AW38" s="66">
        <f>IF('Wtr-Gas'!BA40&lt;0,"0",('Wtr-Gas'!BA40)*0.0038)</f>
        <v>0</v>
      </c>
      <c r="AX38" s="66">
        <f>IF('Wtr-Gas'!BB40&lt;0,"0",('Wtr-Gas'!BB40)*0.0038)</f>
        <v>0</v>
      </c>
      <c r="AY38" s="66">
        <f>IF('Wtr-Gas'!BD40&lt;0,"0",('Wtr-Gas'!BD40)*0.0038)</f>
        <v>0</v>
      </c>
      <c r="AZ38" s="66">
        <f>IF('Wtr-Gas'!BF40&lt;0,"0",('Wtr-Gas'!BF40)*0.0038)</f>
        <v>0</v>
      </c>
      <c r="BA38" s="66">
        <f>IF('Wtr-Gas'!BH40&lt;0,"0",('Wtr-Gas'!BH40)*0.0038)</f>
        <v>0</v>
      </c>
    </row>
    <row r="39" spans="1:53" x14ac:dyDescent="0.25">
      <c r="A39" s="3" t="s">
        <v>11</v>
      </c>
      <c r="B39" s="1">
        <v>31</v>
      </c>
      <c r="C39" s="2">
        <v>7</v>
      </c>
      <c r="D39" s="2">
        <v>2023</v>
      </c>
      <c r="E39" s="33">
        <f>IF(Elect!AM41&lt;0,"0",Elect!AM41)</f>
        <v>0</v>
      </c>
      <c r="F39" s="33">
        <f>IF(Elect!I41&lt;0,"0",Elect!I41)</f>
        <v>0</v>
      </c>
      <c r="G39" s="33">
        <f>Elect!H41</f>
        <v>0</v>
      </c>
      <c r="H39" s="33">
        <f>IF(Elect!F41&lt;0,"0",Elect!F41)</f>
        <v>0</v>
      </c>
      <c r="I39" s="33">
        <f>Elect!E41</f>
        <v>0</v>
      </c>
      <c r="J39" s="33">
        <f>IF(Elect!U41&lt;0,"0",Elect!U41)</f>
        <v>0</v>
      </c>
      <c r="K39" s="33">
        <f>Elect!T41</f>
        <v>0</v>
      </c>
      <c r="L39" s="33">
        <f>IF(Elect!AJ41&lt;0,"0",Elect!AJ41)</f>
        <v>0</v>
      </c>
      <c r="M39" s="33">
        <f>Elect!AI41</f>
        <v>0</v>
      </c>
      <c r="N39" s="33">
        <f>IF(Elect!X41&lt;0,"0",Elect!X41)</f>
        <v>0</v>
      </c>
      <c r="O39" s="33">
        <f>Elect!W41</f>
        <v>0</v>
      </c>
      <c r="P39" s="33">
        <f>IF(Elect!O41&lt;0,"0",Elect!O41)</f>
        <v>0</v>
      </c>
      <c r="Q39" s="33">
        <f>Elect!N41</f>
        <v>0</v>
      </c>
      <c r="R39" s="33">
        <f>IF(Elect!L41&lt;0,"0",Elect!L41)</f>
        <v>0</v>
      </c>
      <c r="S39" s="33">
        <f>Elect!K41</f>
        <v>0</v>
      </c>
      <c r="T39" s="33">
        <f>IF(Elect!R41&lt;0,"0",Elect!R41)</f>
        <v>0</v>
      </c>
      <c r="U39" s="33">
        <f>Elect!Q41</f>
        <v>0</v>
      </c>
      <c r="V39" s="33">
        <f>IF(Elect!AA41&lt;0,"0",Elect!AA41)</f>
        <v>0</v>
      </c>
      <c r="W39" s="33">
        <f>Elect!Z41</f>
        <v>0</v>
      </c>
      <c r="X39" s="33">
        <f>IF(Elect!AD41&lt;0,"0",Elect!AD41)</f>
        <v>0</v>
      </c>
      <c r="Y39" s="33">
        <f>Elect!AC41</f>
        <v>0</v>
      </c>
      <c r="Z39" s="33">
        <f>IF(Elect!AG41&lt;0,"0",Elect!AG41)</f>
        <v>0</v>
      </c>
      <c r="AA39" s="33">
        <f>Elect!AF41</f>
        <v>0</v>
      </c>
      <c r="AB39" s="33">
        <f>IF(Elect!AX41&lt;0,"0",Elect!AX41)</f>
        <v>0</v>
      </c>
      <c r="AC39" s="33">
        <f>IF(Elect!AV41&lt;0,"0",Elect!AV41)</f>
        <v>0</v>
      </c>
      <c r="AD39" s="33">
        <f>IF(Elect!AZ41&lt;0,"0",Elect!AZ41)</f>
        <v>0</v>
      </c>
      <c r="AE39" s="33">
        <f>IF(Elect!BB41&lt;0,"0",Elect!BB41)</f>
        <v>0</v>
      </c>
      <c r="AF39" s="66">
        <f>IF('Wtr-Gas'!E41&lt;0,"0",('Wtr-Gas'!E41)*0.0038)</f>
        <v>0</v>
      </c>
      <c r="AG39" s="66">
        <f>IF('Wtr-Gas'!H41&lt;0,"0",('Wtr-Gas'!H41)*0.0038)</f>
        <v>0</v>
      </c>
      <c r="AH39" s="66">
        <f>IF('Wtr-Gas'!K41&lt;0,"0",('Wtr-Gas'!K41)*0.0038)</f>
        <v>0</v>
      </c>
      <c r="AI39" s="66">
        <f>IF('Wtr-Gas'!N41&lt;0,"0",('Wtr-Gas'!N41)*0.0038)</f>
        <v>0</v>
      </c>
      <c r="AJ39" s="66">
        <f>IF('Wtr-Gas'!Q41&lt;0,"0",('Wtr-Gas'!Q41)*0.0038)</f>
        <v>0</v>
      </c>
      <c r="AK39" s="67">
        <f>IF('Wtr-Gas'!U41&lt;0,"0",('Wtr-Gas'!U41)*0.0038)</f>
        <v>0</v>
      </c>
      <c r="AL39" s="67">
        <f>IF('Wtr-Gas'!X41&lt;0,"0",('Wtr-Gas'!X41)*0.0038)</f>
        <v>0</v>
      </c>
      <c r="AM39" s="66">
        <f>IF('Wtr-Gas'!AB41&lt;0,"0",('Wtr-Gas'!AB41)*0.0038)</f>
        <v>0</v>
      </c>
      <c r="AN39" s="66">
        <f>IF('Wtr-Gas'!AD41&lt;0,"0",('Wtr-Gas'!AD41)*0.0038)</f>
        <v>0</v>
      </c>
      <c r="AO39" s="66">
        <f>IF('Wtr-Gas'!AH41&lt;0,"0",('Wtr-Gas'!AH41)*0.0038)</f>
        <v>0</v>
      </c>
      <c r="AP39" s="66">
        <f>IF('Wtr-Gas'!AJ41&lt;0,"0",('Wtr-Gas'!AJ41)*0.0038)</f>
        <v>0</v>
      </c>
      <c r="AQ39" s="66">
        <f>IF('Wtr-Gas'!AL41&lt;0,"0",('Wtr-Gas'!AL41)*0.0038)</f>
        <v>0</v>
      </c>
      <c r="AR39" s="66">
        <f>IF('Wtr-Gas'!AN41&lt;0,"0",('Wtr-Gas'!AN41)*0.0038)</f>
        <v>0</v>
      </c>
      <c r="AS39" s="66">
        <f>IF('Wtr-Gas'!AP41&lt;0,"0",('Wtr-Gas'!AP41)*0.0038)</f>
        <v>0</v>
      </c>
      <c r="AT39" s="66">
        <f>IF('Wtr-Gas'!AR41&lt;0,"0",('Wtr-Gas'!AR41)*0.0038)</f>
        <v>0</v>
      </c>
      <c r="AU39" s="72">
        <f>IF('Wtr-Gas'!AV41&lt;0,"0",('Wtr-Gas'!AV41)*0.0038)</f>
        <v>0</v>
      </c>
      <c r="AV39" s="66">
        <f>IF('Wtr-Gas'!AY41&lt;0,"0",('Wtr-Gas'!AY41)*0.0038)</f>
        <v>0</v>
      </c>
      <c r="AW39" s="66">
        <f>IF('Wtr-Gas'!BA41&lt;0,"0",('Wtr-Gas'!BA41)*0.0038)</f>
        <v>0</v>
      </c>
      <c r="AX39" s="66">
        <f>IF('Wtr-Gas'!BB41&lt;0,"0",('Wtr-Gas'!BB41)*0.0038)</f>
        <v>0</v>
      </c>
      <c r="AY39" s="66">
        <f>IF('Wtr-Gas'!BD41&lt;0,"0",('Wtr-Gas'!BD41)*0.0038)</f>
        <v>0</v>
      </c>
      <c r="AZ39" s="66">
        <f>IF('Wtr-Gas'!BF41&lt;0,"0",('Wtr-Gas'!BF41)*0.0038)</f>
        <v>0</v>
      </c>
      <c r="BA39" s="66">
        <f>IF('Wtr-Gas'!BH41&lt;0,"0",('Wtr-Gas'!BH41)*0.0038)</f>
        <v>0</v>
      </c>
    </row>
    <row r="40" spans="1:53" x14ac:dyDescent="0.25">
      <c r="A40" s="3" t="s">
        <v>11</v>
      </c>
      <c r="B40" s="1">
        <v>7</v>
      </c>
      <c r="C40" s="2">
        <v>8</v>
      </c>
      <c r="D40" s="2">
        <v>2023</v>
      </c>
      <c r="E40" s="33">
        <f>IF(Elect!AM42&lt;0,"0",Elect!AM42)</f>
        <v>0</v>
      </c>
      <c r="F40" s="33">
        <f>IF(Elect!I42&lt;0,"0",Elect!I42)</f>
        <v>0</v>
      </c>
      <c r="G40" s="33">
        <f>Elect!H42</f>
        <v>0</v>
      </c>
      <c r="H40" s="33">
        <f>IF(Elect!F42&lt;0,"0",Elect!F42)</f>
        <v>0</v>
      </c>
      <c r="I40" s="33">
        <f>Elect!E42</f>
        <v>0</v>
      </c>
      <c r="J40" s="33">
        <f>IF(Elect!U42&lt;0,"0",Elect!U42)</f>
        <v>0</v>
      </c>
      <c r="K40" s="33">
        <f>Elect!T42</f>
        <v>0</v>
      </c>
      <c r="L40" s="33">
        <f>IF(Elect!AJ42&lt;0,"0",Elect!AJ42)</f>
        <v>0</v>
      </c>
      <c r="M40" s="33">
        <f>Elect!AI42</f>
        <v>0</v>
      </c>
      <c r="N40" s="33">
        <f>IF(Elect!X42&lt;0,"0",Elect!X42)</f>
        <v>0</v>
      </c>
      <c r="O40" s="33">
        <f>Elect!W42</f>
        <v>0</v>
      </c>
      <c r="P40" s="33">
        <f>IF(Elect!O42&lt;0,"0",Elect!O42)</f>
        <v>0</v>
      </c>
      <c r="Q40" s="33">
        <f>Elect!N42</f>
        <v>0</v>
      </c>
      <c r="R40" s="33">
        <f>IF(Elect!L42&lt;0,"0",Elect!L42)</f>
        <v>0</v>
      </c>
      <c r="S40" s="33">
        <f>Elect!K42</f>
        <v>0</v>
      </c>
      <c r="T40" s="33">
        <f>IF(Elect!R42&lt;0,"0",Elect!R42)</f>
        <v>0</v>
      </c>
      <c r="U40" s="33">
        <f>Elect!Q42</f>
        <v>0</v>
      </c>
      <c r="V40" s="33">
        <f>IF(Elect!AA42&lt;0,"0",Elect!AA42)</f>
        <v>0</v>
      </c>
      <c r="W40" s="33">
        <f>Elect!Z42</f>
        <v>0</v>
      </c>
      <c r="X40" s="33">
        <f>IF(Elect!AD42&lt;0,"0",Elect!AD42)</f>
        <v>0</v>
      </c>
      <c r="Y40" s="33">
        <f>Elect!AC42</f>
        <v>0</v>
      </c>
      <c r="Z40" s="33">
        <f>IF(Elect!AG42&lt;0,"0",Elect!AG42)</f>
        <v>0</v>
      </c>
      <c r="AA40" s="33">
        <f>Elect!AF42</f>
        <v>0</v>
      </c>
      <c r="AB40" s="33">
        <f>IF(Elect!AX42&lt;0,"0",Elect!AX42)</f>
        <v>0</v>
      </c>
      <c r="AC40" s="33">
        <f>IF(Elect!AV42&lt;0,"0",Elect!AV42)</f>
        <v>0</v>
      </c>
      <c r="AD40" s="33">
        <f>IF(Elect!AZ42&lt;0,"0",Elect!AZ42)</f>
        <v>0</v>
      </c>
      <c r="AE40" s="33">
        <f>IF(Elect!BB42&lt;0,"0",Elect!BB42)</f>
        <v>0</v>
      </c>
      <c r="AF40" s="66">
        <f>IF('Wtr-Gas'!E42&lt;0,"0",('Wtr-Gas'!E42)*0.0038)</f>
        <v>0</v>
      </c>
      <c r="AG40" s="66">
        <f>IF('Wtr-Gas'!H42&lt;0,"0",('Wtr-Gas'!H42)*0.0038)</f>
        <v>0</v>
      </c>
      <c r="AH40" s="66">
        <f>IF('Wtr-Gas'!K42&lt;0,"0",('Wtr-Gas'!K42)*0.0038)</f>
        <v>0</v>
      </c>
      <c r="AI40" s="66">
        <f>IF('Wtr-Gas'!N42&lt;0,"0",('Wtr-Gas'!N42)*0.0038)</f>
        <v>0</v>
      </c>
      <c r="AJ40" s="66">
        <f>IF('Wtr-Gas'!Q42&lt;0,"0",('Wtr-Gas'!Q42)*0.0038)</f>
        <v>0</v>
      </c>
      <c r="AK40" s="67">
        <f>IF('Wtr-Gas'!U42&lt;0,"0",('Wtr-Gas'!U42)*0.0038)</f>
        <v>0</v>
      </c>
      <c r="AL40" s="67">
        <f>IF('Wtr-Gas'!X42&lt;0,"0",('Wtr-Gas'!X42)*0.0038)</f>
        <v>0</v>
      </c>
      <c r="AM40" s="66">
        <f>IF('Wtr-Gas'!AB42&lt;0,"0",('Wtr-Gas'!AB42)*0.0038)</f>
        <v>0</v>
      </c>
      <c r="AN40" s="66">
        <f>IF('Wtr-Gas'!AD42&lt;0,"0",('Wtr-Gas'!AD42)*0.0038)</f>
        <v>0</v>
      </c>
      <c r="AO40" s="66">
        <f>IF('Wtr-Gas'!AH42&lt;0,"0",('Wtr-Gas'!AH42)*0.0038)</f>
        <v>0</v>
      </c>
      <c r="AP40" s="66">
        <f>IF('Wtr-Gas'!AJ42&lt;0,"0",('Wtr-Gas'!AJ42)*0.0038)</f>
        <v>0</v>
      </c>
      <c r="AQ40" s="66">
        <f>IF('Wtr-Gas'!AL42&lt;0,"0",('Wtr-Gas'!AL42)*0.0038)</f>
        <v>0</v>
      </c>
      <c r="AR40" s="66">
        <f>IF('Wtr-Gas'!AN42&lt;0,"0",('Wtr-Gas'!AN42)*0.0038)</f>
        <v>0</v>
      </c>
      <c r="AS40" s="66">
        <f>IF('Wtr-Gas'!AP42&lt;0,"0",('Wtr-Gas'!AP42)*0.0038)</f>
        <v>0</v>
      </c>
      <c r="AT40" s="66">
        <f>IF('Wtr-Gas'!AR42&lt;0,"0",('Wtr-Gas'!AR42)*0.0038)</f>
        <v>0</v>
      </c>
      <c r="AU40" s="72">
        <f>IF('Wtr-Gas'!AV42&lt;0,"0",('Wtr-Gas'!AV42)*0.0038)</f>
        <v>0</v>
      </c>
      <c r="AV40" s="66">
        <f>IF('Wtr-Gas'!AY42&lt;0,"0",('Wtr-Gas'!AY42)*0.0038)</f>
        <v>0</v>
      </c>
      <c r="AW40" s="66">
        <f>IF('Wtr-Gas'!BA42&lt;0,"0",('Wtr-Gas'!BA42)*0.0038)</f>
        <v>0</v>
      </c>
      <c r="AX40" s="66">
        <f>IF('Wtr-Gas'!BB42&lt;0,"0",('Wtr-Gas'!BB42)*0.0038)</f>
        <v>0</v>
      </c>
      <c r="AY40" s="66">
        <f>IF('Wtr-Gas'!BD42&lt;0,"0",('Wtr-Gas'!BD42)*0.0038)</f>
        <v>0</v>
      </c>
      <c r="AZ40" s="66">
        <f>IF('Wtr-Gas'!BF42&lt;0,"0",('Wtr-Gas'!BF42)*0.0038)</f>
        <v>0</v>
      </c>
      <c r="BA40" s="66">
        <f>IF('Wtr-Gas'!BH42&lt;0,"0",('Wtr-Gas'!BH42)*0.0038)</f>
        <v>0</v>
      </c>
    </row>
    <row r="41" spans="1:53" x14ac:dyDescent="0.25">
      <c r="A41" s="3" t="s">
        <v>11</v>
      </c>
      <c r="B41" s="1">
        <v>14</v>
      </c>
      <c r="C41" s="2">
        <v>8</v>
      </c>
      <c r="D41" s="2">
        <v>2023</v>
      </c>
      <c r="E41" s="33">
        <f>IF(Elect!AM43&lt;0,"0",Elect!AM43)</f>
        <v>0</v>
      </c>
      <c r="F41" s="33">
        <f>IF(Elect!I43&lt;0,"0",Elect!I43)</f>
        <v>0</v>
      </c>
      <c r="G41" s="33">
        <f>Elect!H43</f>
        <v>0</v>
      </c>
      <c r="H41" s="33">
        <f>IF(Elect!F43&lt;0,"0",Elect!F43)</f>
        <v>0</v>
      </c>
      <c r="I41" s="33">
        <f>Elect!E43</f>
        <v>0</v>
      </c>
      <c r="J41" s="33">
        <f>IF(Elect!U43&lt;0,"0",Elect!U43)</f>
        <v>0</v>
      </c>
      <c r="K41" s="33">
        <f>Elect!T43</f>
        <v>0</v>
      </c>
      <c r="L41" s="33">
        <f>IF(Elect!AJ43&lt;0,"0",Elect!AJ43)</f>
        <v>0</v>
      </c>
      <c r="M41" s="33">
        <f>Elect!AI43</f>
        <v>0</v>
      </c>
      <c r="N41" s="33">
        <f>IF(Elect!X43&lt;0,"0",Elect!X43)</f>
        <v>0</v>
      </c>
      <c r="O41" s="33">
        <f>Elect!W43</f>
        <v>0</v>
      </c>
      <c r="P41" s="33">
        <f>IF(Elect!O43&lt;0,"0",Elect!O43)</f>
        <v>0</v>
      </c>
      <c r="Q41" s="33">
        <f>Elect!N43</f>
        <v>0</v>
      </c>
      <c r="R41" s="33">
        <f>IF(Elect!L43&lt;0,"0",Elect!L43)</f>
        <v>0</v>
      </c>
      <c r="S41" s="33">
        <f>Elect!K43</f>
        <v>0</v>
      </c>
      <c r="T41" s="33">
        <f>IF(Elect!R43&lt;0,"0",Elect!R43)</f>
        <v>0</v>
      </c>
      <c r="U41" s="33">
        <f>Elect!Q43</f>
        <v>0</v>
      </c>
      <c r="V41" s="33">
        <f>IF(Elect!AA43&lt;0,"0",Elect!AA43)</f>
        <v>0</v>
      </c>
      <c r="W41" s="33">
        <f>Elect!Z43</f>
        <v>0</v>
      </c>
      <c r="X41" s="33">
        <f>IF(Elect!AD43&lt;0,"0",Elect!AD43)</f>
        <v>0</v>
      </c>
      <c r="Y41" s="33">
        <f>Elect!AC43</f>
        <v>0</v>
      </c>
      <c r="Z41" s="33">
        <f>IF(Elect!AG43&lt;0,"0",Elect!AG43)</f>
        <v>0</v>
      </c>
      <c r="AA41" s="33">
        <f>Elect!AF43</f>
        <v>0</v>
      </c>
      <c r="AB41" s="33">
        <f>IF(Elect!AX43&lt;0,"0",Elect!AX43)</f>
        <v>0</v>
      </c>
      <c r="AC41" s="33">
        <f>IF(Elect!AV43&lt;0,"0",Elect!AV43)</f>
        <v>0</v>
      </c>
      <c r="AD41" s="33">
        <f>IF(Elect!AZ43&lt;0,"0",Elect!AZ43)</f>
        <v>0</v>
      </c>
      <c r="AE41" s="33">
        <f>IF(Elect!BB43&lt;0,"0",Elect!BB43)</f>
        <v>0</v>
      </c>
      <c r="AF41" s="66">
        <f>IF('Wtr-Gas'!E43&lt;0,"0",('Wtr-Gas'!E43)*0.0038)</f>
        <v>0</v>
      </c>
      <c r="AG41" s="66">
        <f>IF('Wtr-Gas'!H43&lt;0,"0",('Wtr-Gas'!H43)*0.0038)</f>
        <v>0</v>
      </c>
      <c r="AH41" s="66">
        <f>IF('Wtr-Gas'!K43&lt;0,"0",('Wtr-Gas'!K43)*0.0038)</f>
        <v>0</v>
      </c>
      <c r="AI41" s="66">
        <f>IF('Wtr-Gas'!N43&lt;0,"0",('Wtr-Gas'!N43)*0.0038)</f>
        <v>0</v>
      </c>
      <c r="AJ41" s="66">
        <f>IF('Wtr-Gas'!Q43&lt;0,"0",('Wtr-Gas'!Q43)*0.0038)</f>
        <v>0</v>
      </c>
      <c r="AK41" s="67">
        <f>IF('Wtr-Gas'!U43&lt;0,"0",('Wtr-Gas'!U43)*0.0038)</f>
        <v>0</v>
      </c>
      <c r="AL41" s="67">
        <f>IF('Wtr-Gas'!X43&lt;0,"0",('Wtr-Gas'!X43)*0.0038)</f>
        <v>0</v>
      </c>
      <c r="AM41" s="66">
        <f>IF('Wtr-Gas'!AB43&lt;0,"0",('Wtr-Gas'!AB43)*0.0038)</f>
        <v>0</v>
      </c>
      <c r="AN41" s="66">
        <f>IF('Wtr-Gas'!AD43&lt;0,"0",('Wtr-Gas'!AD43)*0.0038)</f>
        <v>0</v>
      </c>
      <c r="AO41" s="66">
        <f>IF('Wtr-Gas'!AH43&lt;0,"0",('Wtr-Gas'!AH43)*0.0038)</f>
        <v>0</v>
      </c>
      <c r="AP41" s="66">
        <f>IF('Wtr-Gas'!AJ43&lt;0,"0",('Wtr-Gas'!AJ43)*0.0038)</f>
        <v>0</v>
      </c>
      <c r="AQ41" s="66">
        <f>IF('Wtr-Gas'!AL43&lt;0,"0",('Wtr-Gas'!AL43)*0.0038)</f>
        <v>0</v>
      </c>
      <c r="AR41" s="66">
        <f>IF('Wtr-Gas'!AN43&lt;0,"0",('Wtr-Gas'!AN43)*0.0038)</f>
        <v>0</v>
      </c>
      <c r="AS41" s="66">
        <f>IF('Wtr-Gas'!AP43&lt;0,"0",('Wtr-Gas'!AP43)*0.0038)</f>
        <v>0</v>
      </c>
      <c r="AT41" s="66">
        <f>IF('Wtr-Gas'!AR43&lt;0,"0",('Wtr-Gas'!AR43)*0.0038)</f>
        <v>0</v>
      </c>
      <c r="AU41" s="72">
        <f>IF('Wtr-Gas'!AV43&lt;0,"0",('Wtr-Gas'!AV43)*0.0038)</f>
        <v>0</v>
      </c>
      <c r="AV41" s="66">
        <f>IF('Wtr-Gas'!AY43&lt;0,"0",('Wtr-Gas'!AY43)*0.0038)</f>
        <v>0</v>
      </c>
      <c r="AW41" s="66">
        <f>IF('Wtr-Gas'!BA43&lt;0,"0",('Wtr-Gas'!BA43)*0.0038)</f>
        <v>0</v>
      </c>
      <c r="AX41" s="66">
        <f>IF('Wtr-Gas'!BB43&lt;0,"0",('Wtr-Gas'!BB43)*0.0038)</f>
        <v>0</v>
      </c>
      <c r="AY41" s="66">
        <f>IF('Wtr-Gas'!BD43&lt;0,"0",('Wtr-Gas'!BD43)*0.0038)</f>
        <v>0</v>
      </c>
      <c r="AZ41" s="66">
        <f>IF('Wtr-Gas'!BF43&lt;0,"0",('Wtr-Gas'!BF43)*0.0038)</f>
        <v>0</v>
      </c>
      <c r="BA41" s="66">
        <f>IF('Wtr-Gas'!BH43&lt;0,"0",('Wtr-Gas'!BH43)*0.0038)</f>
        <v>0</v>
      </c>
    </row>
    <row r="42" spans="1:53" x14ac:dyDescent="0.25">
      <c r="A42" s="3" t="s">
        <v>11</v>
      </c>
      <c r="B42" s="1">
        <v>21</v>
      </c>
      <c r="C42" s="2">
        <v>8</v>
      </c>
      <c r="D42" s="2">
        <v>2023</v>
      </c>
      <c r="E42" s="33">
        <f>IF(Elect!AM44&lt;0,"0",Elect!AM44)</f>
        <v>0</v>
      </c>
      <c r="F42" s="33">
        <f>IF(Elect!I44&lt;0,"0",Elect!I44)</f>
        <v>0</v>
      </c>
      <c r="G42" s="33">
        <f>Elect!H44</f>
        <v>0</v>
      </c>
      <c r="H42" s="33">
        <f>IF(Elect!F44&lt;0,"0",Elect!F44)</f>
        <v>0</v>
      </c>
      <c r="I42" s="33">
        <f>Elect!E44</f>
        <v>0</v>
      </c>
      <c r="J42" s="33">
        <f>IF(Elect!U44&lt;0,"0",Elect!U44)</f>
        <v>0</v>
      </c>
      <c r="K42" s="33">
        <f>Elect!T44</f>
        <v>0</v>
      </c>
      <c r="L42" s="33">
        <f>IF(Elect!AJ44&lt;0,"0",Elect!AJ44)</f>
        <v>0</v>
      </c>
      <c r="M42" s="33">
        <f>Elect!AI44</f>
        <v>0</v>
      </c>
      <c r="N42" s="33">
        <f>IF(Elect!X44&lt;0,"0",Elect!X44)</f>
        <v>0</v>
      </c>
      <c r="O42" s="33">
        <f>Elect!W44</f>
        <v>0</v>
      </c>
      <c r="P42" s="33">
        <f>IF(Elect!O44&lt;0,"0",Elect!O44)</f>
        <v>0</v>
      </c>
      <c r="Q42" s="33">
        <f>Elect!N44</f>
        <v>0</v>
      </c>
      <c r="R42" s="33">
        <f>IF(Elect!L44&lt;0,"0",Elect!L44)</f>
        <v>0</v>
      </c>
      <c r="S42" s="33">
        <f>Elect!K44</f>
        <v>0</v>
      </c>
      <c r="T42" s="33">
        <f>IF(Elect!R44&lt;0,"0",Elect!R44)</f>
        <v>0</v>
      </c>
      <c r="U42" s="33">
        <f>Elect!Q44</f>
        <v>0</v>
      </c>
      <c r="V42" s="33">
        <f>IF(Elect!AA44&lt;0,"0",Elect!AA44)</f>
        <v>0</v>
      </c>
      <c r="W42" s="33">
        <f>Elect!Z44</f>
        <v>0</v>
      </c>
      <c r="X42" s="33">
        <f>IF(Elect!AD44&lt;0,"0",Elect!AD44)</f>
        <v>0</v>
      </c>
      <c r="Y42" s="33">
        <f>Elect!AC44</f>
        <v>0</v>
      </c>
      <c r="Z42" s="33">
        <f>IF(Elect!AG44&lt;0,"0",Elect!AG44)</f>
        <v>0</v>
      </c>
      <c r="AA42" s="33">
        <f>Elect!AF44</f>
        <v>0</v>
      </c>
      <c r="AB42" s="33">
        <f>IF(Elect!AX44&lt;0,"0",Elect!AX44)</f>
        <v>0</v>
      </c>
      <c r="AC42" s="33">
        <f>IF(Elect!AV44&lt;0,"0",Elect!AV44)</f>
        <v>0</v>
      </c>
      <c r="AD42" s="33">
        <f>IF(Elect!AZ44&lt;0,"0",Elect!AZ44)</f>
        <v>0</v>
      </c>
      <c r="AE42" s="33">
        <f>IF(Elect!BB44&lt;0,"0",Elect!BB44)</f>
        <v>0</v>
      </c>
      <c r="AF42" s="66">
        <f>IF('Wtr-Gas'!E44&lt;0,"0",('Wtr-Gas'!E44)*0.0038)</f>
        <v>0</v>
      </c>
      <c r="AG42" s="66">
        <f>IF('Wtr-Gas'!H44&lt;0,"0",('Wtr-Gas'!H44)*0.0038)</f>
        <v>0</v>
      </c>
      <c r="AH42" s="66">
        <f>IF('Wtr-Gas'!K44&lt;0,"0",('Wtr-Gas'!K44)*0.0038)</f>
        <v>0</v>
      </c>
      <c r="AI42" s="66">
        <f>IF('Wtr-Gas'!N44&lt;0,"0",('Wtr-Gas'!N44)*0.0038)</f>
        <v>0</v>
      </c>
      <c r="AJ42" s="66">
        <f>IF('Wtr-Gas'!Q44&lt;0,"0",('Wtr-Gas'!Q44)*0.0038)</f>
        <v>0</v>
      </c>
      <c r="AK42" s="67">
        <f>IF('Wtr-Gas'!U44&lt;0,"0",('Wtr-Gas'!U44)*0.0038)</f>
        <v>0</v>
      </c>
      <c r="AL42" s="67">
        <f>IF('Wtr-Gas'!X44&lt;0,"0",('Wtr-Gas'!X44)*0.0038)</f>
        <v>0</v>
      </c>
      <c r="AM42" s="66">
        <f>IF('Wtr-Gas'!AB44&lt;0,"0",('Wtr-Gas'!AB44)*0.0038)</f>
        <v>0</v>
      </c>
      <c r="AN42" s="66">
        <f>IF('Wtr-Gas'!AD44&lt;0,"0",('Wtr-Gas'!AD44)*0.0038)</f>
        <v>0</v>
      </c>
      <c r="AO42" s="66">
        <f>IF('Wtr-Gas'!AH44&lt;0,"0",('Wtr-Gas'!AH44)*0.0038)</f>
        <v>0</v>
      </c>
      <c r="AP42" s="66">
        <f>IF('Wtr-Gas'!AJ44&lt;0,"0",('Wtr-Gas'!AJ44)*0.0038)</f>
        <v>0</v>
      </c>
      <c r="AQ42" s="66">
        <f>IF('Wtr-Gas'!AL44&lt;0,"0",('Wtr-Gas'!AL44)*0.0038)</f>
        <v>0</v>
      </c>
      <c r="AR42" s="66">
        <f>IF('Wtr-Gas'!AN44&lt;0,"0",('Wtr-Gas'!AN44)*0.0038)</f>
        <v>0</v>
      </c>
      <c r="AS42" s="66">
        <f>IF('Wtr-Gas'!AP44&lt;0,"0",('Wtr-Gas'!AP44)*0.0038)</f>
        <v>0</v>
      </c>
      <c r="AT42" s="66">
        <f>IF('Wtr-Gas'!AR44&lt;0,"0",('Wtr-Gas'!AR44)*0.0038)</f>
        <v>0</v>
      </c>
      <c r="AU42" s="72">
        <f>IF('Wtr-Gas'!AV44&lt;0,"0",('Wtr-Gas'!AV44)*0.0038)</f>
        <v>0</v>
      </c>
      <c r="AV42" s="66">
        <f>IF('Wtr-Gas'!AY44&lt;0,"0",('Wtr-Gas'!AY44)*0.0038)</f>
        <v>0</v>
      </c>
      <c r="AW42" s="66">
        <f>IF('Wtr-Gas'!BA44&lt;0,"0",('Wtr-Gas'!BA44)*0.0038)</f>
        <v>0</v>
      </c>
      <c r="AX42" s="66">
        <f>IF('Wtr-Gas'!BB44&lt;0,"0",('Wtr-Gas'!BB44)*0.0038)</f>
        <v>0</v>
      </c>
      <c r="AY42" s="66">
        <f>IF('Wtr-Gas'!BD44&lt;0,"0",('Wtr-Gas'!BD44)*0.0038)</f>
        <v>0</v>
      </c>
      <c r="AZ42" s="66">
        <f>IF('Wtr-Gas'!BF44&lt;0,"0",('Wtr-Gas'!BF44)*0.0038)</f>
        <v>0</v>
      </c>
      <c r="BA42" s="66">
        <f>IF('Wtr-Gas'!BH44&lt;0,"0",('Wtr-Gas'!BH44)*0.0038)</f>
        <v>0</v>
      </c>
    </row>
    <row r="43" spans="1:53" x14ac:dyDescent="0.25">
      <c r="A43" s="3" t="s">
        <v>11</v>
      </c>
      <c r="B43" s="1">
        <v>28</v>
      </c>
      <c r="C43" s="2">
        <v>9</v>
      </c>
      <c r="D43" s="2">
        <v>2023</v>
      </c>
      <c r="E43" s="33">
        <f>IF(Elect!AM45&lt;0,"0",Elect!AM45)</f>
        <v>0</v>
      </c>
      <c r="F43" s="33">
        <f>IF(Elect!I45&lt;0,"0",Elect!I45)</f>
        <v>0</v>
      </c>
      <c r="G43" s="33">
        <f>Elect!H45</f>
        <v>0</v>
      </c>
      <c r="H43" s="33">
        <f>IF(Elect!F45&lt;0,"0",Elect!F45)</f>
        <v>0</v>
      </c>
      <c r="I43" s="33">
        <f>Elect!E45</f>
        <v>0</v>
      </c>
      <c r="J43" s="33">
        <f>IF(Elect!U45&lt;0,"0",Elect!U45)</f>
        <v>0</v>
      </c>
      <c r="K43" s="33">
        <f>Elect!T45</f>
        <v>0</v>
      </c>
      <c r="L43" s="33">
        <f>IF(Elect!AJ45&lt;0,"0",Elect!AJ45)</f>
        <v>0</v>
      </c>
      <c r="M43" s="33">
        <f>Elect!AI45</f>
        <v>0</v>
      </c>
      <c r="N43" s="33">
        <f>IF(Elect!X45&lt;0,"0",Elect!X45)</f>
        <v>0</v>
      </c>
      <c r="O43" s="33">
        <f>Elect!W45</f>
        <v>0</v>
      </c>
      <c r="P43" s="33">
        <f>IF(Elect!O45&lt;0,"0",Elect!O45)</f>
        <v>0</v>
      </c>
      <c r="Q43" s="33">
        <f>Elect!N45</f>
        <v>0</v>
      </c>
      <c r="R43" s="33">
        <f>IF(Elect!L45&lt;0,"0",Elect!L45)</f>
        <v>0</v>
      </c>
      <c r="S43" s="33">
        <f>Elect!K45</f>
        <v>0</v>
      </c>
      <c r="T43" s="33">
        <f>IF(Elect!R45&lt;0,"0",Elect!R45)</f>
        <v>0</v>
      </c>
      <c r="U43" s="33">
        <f>Elect!Q45</f>
        <v>0</v>
      </c>
      <c r="V43" s="33">
        <f>IF(Elect!AA45&lt;0,"0",Elect!AA45)</f>
        <v>0</v>
      </c>
      <c r="W43" s="33">
        <f>Elect!Z45</f>
        <v>0</v>
      </c>
      <c r="X43" s="33">
        <f>IF(Elect!AD45&lt;0,"0",Elect!AD45)</f>
        <v>0</v>
      </c>
      <c r="Y43" s="33">
        <f>Elect!AC45</f>
        <v>0</v>
      </c>
      <c r="Z43" s="33">
        <f>IF(Elect!AG45&lt;0,"0",Elect!AG45)</f>
        <v>0</v>
      </c>
      <c r="AA43" s="33">
        <f>Elect!AF45</f>
        <v>0</v>
      </c>
      <c r="AB43" s="33">
        <f>IF(Elect!AX45&lt;0,"0",Elect!AX45)</f>
        <v>0</v>
      </c>
      <c r="AC43" s="33">
        <f>IF(Elect!AV45&lt;0,"0",Elect!AV45)</f>
        <v>0</v>
      </c>
      <c r="AD43" s="33">
        <f>IF(Elect!AZ45&lt;0,"0",Elect!AZ45)</f>
        <v>0</v>
      </c>
      <c r="AE43" s="33">
        <f>IF(Elect!BB45&lt;0,"0",Elect!BB45)</f>
        <v>0</v>
      </c>
      <c r="AF43" s="66">
        <f>IF('Wtr-Gas'!E45&lt;0,"0",('Wtr-Gas'!E45)*0.0038)</f>
        <v>0</v>
      </c>
      <c r="AG43" s="66">
        <f>IF('Wtr-Gas'!H45&lt;0,"0",('Wtr-Gas'!H45)*0.0038)</f>
        <v>0</v>
      </c>
      <c r="AH43" s="66">
        <f>IF('Wtr-Gas'!K45&lt;0,"0",('Wtr-Gas'!K45)*0.0038)</f>
        <v>0</v>
      </c>
      <c r="AI43" s="66">
        <f>IF('Wtr-Gas'!N45&lt;0,"0",('Wtr-Gas'!N45)*0.0038)</f>
        <v>0</v>
      </c>
      <c r="AJ43" s="66">
        <f>IF('Wtr-Gas'!Q45&lt;0,"0",('Wtr-Gas'!Q45)*0.0038)</f>
        <v>0</v>
      </c>
      <c r="AK43" s="67">
        <f>IF('Wtr-Gas'!U45&lt;0,"0",('Wtr-Gas'!U45)*0.0038)</f>
        <v>0</v>
      </c>
      <c r="AL43" s="67">
        <f>IF('Wtr-Gas'!X45&lt;0,"0",('Wtr-Gas'!X45)*0.0038)</f>
        <v>0</v>
      </c>
      <c r="AM43" s="66">
        <f>IF('Wtr-Gas'!AB45&lt;0,"0",('Wtr-Gas'!AB45)*0.0038)</f>
        <v>0</v>
      </c>
      <c r="AN43" s="66">
        <f>IF('Wtr-Gas'!AD45&lt;0,"0",('Wtr-Gas'!AD45)*0.0038)</f>
        <v>0</v>
      </c>
      <c r="AO43" s="66">
        <f>IF('Wtr-Gas'!AH45&lt;0,"0",('Wtr-Gas'!AH45)*0.0038)</f>
        <v>0</v>
      </c>
      <c r="AP43" s="66">
        <f>IF('Wtr-Gas'!AJ45&lt;0,"0",('Wtr-Gas'!AJ45)*0.0038)</f>
        <v>0</v>
      </c>
      <c r="AQ43" s="66">
        <f>IF('Wtr-Gas'!AL45&lt;0,"0",('Wtr-Gas'!AL45)*0.0038)</f>
        <v>0</v>
      </c>
      <c r="AR43" s="66">
        <f>IF('Wtr-Gas'!AN45&lt;0,"0",('Wtr-Gas'!AN45)*0.0038)</f>
        <v>0</v>
      </c>
      <c r="AS43" s="66">
        <f>IF('Wtr-Gas'!AP45&lt;0,"0",('Wtr-Gas'!AP45)*0.0038)</f>
        <v>0</v>
      </c>
      <c r="AT43" s="66">
        <f>IF('Wtr-Gas'!AR45&lt;0,"0",('Wtr-Gas'!AR45)*0.0038)</f>
        <v>0</v>
      </c>
      <c r="AU43" s="72">
        <f>IF('Wtr-Gas'!AV45&lt;0,"0",('Wtr-Gas'!AV45)*0.0038)</f>
        <v>0</v>
      </c>
      <c r="AV43" s="66">
        <f>IF('Wtr-Gas'!AY45&lt;0,"0",('Wtr-Gas'!AY45)*0.0038)</f>
        <v>0</v>
      </c>
      <c r="AW43" s="66">
        <f>IF('Wtr-Gas'!BA45&lt;0,"0",('Wtr-Gas'!BA45)*0.0038)</f>
        <v>0</v>
      </c>
      <c r="AX43" s="66">
        <f>IF('Wtr-Gas'!BB45&lt;0,"0",('Wtr-Gas'!BB45)*0.0038)</f>
        <v>0</v>
      </c>
      <c r="AY43" s="66">
        <f>IF('Wtr-Gas'!BD45&lt;0,"0",('Wtr-Gas'!BD45)*0.0038)</f>
        <v>0</v>
      </c>
      <c r="AZ43" s="66">
        <f>IF('Wtr-Gas'!BF45&lt;0,"0",('Wtr-Gas'!BF45)*0.0038)</f>
        <v>0</v>
      </c>
      <c r="BA43" s="66">
        <f>IF('Wtr-Gas'!BH45&lt;0,"0",('Wtr-Gas'!BH45)*0.0038)</f>
        <v>0</v>
      </c>
    </row>
    <row r="44" spans="1:53" x14ac:dyDescent="0.25">
      <c r="A44" s="3" t="s">
        <v>11</v>
      </c>
      <c r="B44" s="1">
        <v>31</v>
      </c>
      <c r="C44" s="2">
        <v>8</v>
      </c>
      <c r="D44" s="2">
        <v>2023</v>
      </c>
      <c r="E44" s="33">
        <f>IF(Elect!AM46&lt;0,"0",Elect!AM46)</f>
        <v>0</v>
      </c>
      <c r="F44" s="33">
        <f>IF(Elect!I46&lt;0,"0",Elect!I46)</f>
        <v>0</v>
      </c>
      <c r="G44" s="33">
        <f>Elect!H46</f>
        <v>0</v>
      </c>
      <c r="H44" s="33">
        <f>IF(Elect!F46&lt;0,"0",Elect!F46)</f>
        <v>0</v>
      </c>
      <c r="I44" s="33">
        <f>Elect!E46</f>
        <v>0</v>
      </c>
      <c r="J44" s="33">
        <f>IF(Elect!U46&lt;0,"0",Elect!U46)</f>
        <v>0</v>
      </c>
      <c r="K44" s="33">
        <f>Elect!T46</f>
        <v>0</v>
      </c>
      <c r="L44" s="33">
        <f>IF(Elect!AJ46&lt;0,"0",Elect!AJ46)</f>
        <v>0</v>
      </c>
      <c r="M44" s="33">
        <f>Elect!AI46</f>
        <v>0</v>
      </c>
      <c r="N44" s="33">
        <f>IF(Elect!X46&lt;0,"0",Elect!X46)</f>
        <v>0</v>
      </c>
      <c r="O44" s="33">
        <f>Elect!W46</f>
        <v>0</v>
      </c>
      <c r="P44" s="33">
        <f>IF(Elect!O46&lt;0,"0",Elect!O46)</f>
        <v>0</v>
      </c>
      <c r="Q44" s="33">
        <f>Elect!N46</f>
        <v>0</v>
      </c>
      <c r="R44" s="33">
        <f>IF(Elect!L46&lt;0,"0",Elect!L46)</f>
        <v>0</v>
      </c>
      <c r="S44" s="33">
        <f>Elect!K46</f>
        <v>0</v>
      </c>
      <c r="T44" s="33">
        <f>IF(Elect!R46&lt;0,"0",Elect!R46)</f>
        <v>0</v>
      </c>
      <c r="U44" s="33">
        <f>Elect!Q46</f>
        <v>0</v>
      </c>
      <c r="V44" s="33">
        <f>IF(Elect!AA46&lt;0,"0",Elect!AA46)</f>
        <v>0</v>
      </c>
      <c r="W44" s="33">
        <f>Elect!Z46</f>
        <v>0</v>
      </c>
      <c r="X44" s="33">
        <f>IF(Elect!AD46&lt;0,"0",Elect!AD46)</f>
        <v>0</v>
      </c>
      <c r="Y44" s="33">
        <f>Elect!AC46</f>
        <v>0</v>
      </c>
      <c r="Z44" s="33">
        <f>IF(Elect!AG46&lt;0,"0",Elect!AG46)</f>
        <v>0</v>
      </c>
      <c r="AA44" s="33">
        <f>Elect!AF46</f>
        <v>0</v>
      </c>
      <c r="AB44" s="33">
        <f>IF(Elect!AX46&lt;0,"0",Elect!AX46)</f>
        <v>0</v>
      </c>
      <c r="AC44" s="33">
        <f>IF(Elect!AV46&lt;0,"0",Elect!AV46)</f>
        <v>0</v>
      </c>
      <c r="AD44" s="33">
        <f>IF(Elect!AZ46&lt;0,"0",Elect!AZ46)</f>
        <v>0</v>
      </c>
      <c r="AE44" s="33">
        <f>IF(Elect!BB46&lt;0,"0",Elect!BB46)</f>
        <v>0</v>
      </c>
      <c r="AF44" s="66">
        <f>IF('Wtr-Gas'!E46&lt;0,"0",('Wtr-Gas'!E46)*0.0038)</f>
        <v>0</v>
      </c>
      <c r="AG44" s="66">
        <f>IF('Wtr-Gas'!H46&lt;0,"0",('Wtr-Gas'!H46)*0.0038)</f>
        <v>0</v>
      </c>
      <c r="AH44" s="66">
        <f>IF('Wtr-Gas'!K46&lt;0,"0",('Wtr-Gas'!K46)*0.0038)</f>
        <v>0</v>
      </c>
      <c r="AI44" s="66">
        <f>IF('Wtr-Gas'!N46&lt;0,"0",('Wtr-Gas'!N46)*0.0038)</f>
        <v>0</v>
      </c>
      <c r="AJ44" s="66">
        <f>IF('Wtr-Gas'!Q46&lt;0,"0",('Wtr-Gas'!Q46)*0.0038)</f>
        <v>0</v>
      </c>
      <c r="AK44" s="67">
        <f>IF('Wtr-Gas'!U46&lt;0,"0",('Wtr-Gas'!U46)*0.0038)</f>
        <v>0</v>
      </c>
      <c r="AL44" s="67">
        <f>IF('Wtr-Gas'!X46&lt;0,"0",('Wtr-Gas'!X46)*0.0038)</f>
        <v>0</v>
      </c>
      <c r="AM44" s="66">
        <f>IF('Wtr-Gas'!AB46&lt;0,"0",('Wtr-Gas'!AB46)*0.0038)</f>
        <v>0</v>
      </c>
      <c r="AN44" s="66">
        <f>IF('Wtr-Gas'!AD46&lt;0,"0",('Wtr-Gas'!AD46)*0.0038)</f>
        <v>0</v>
      </c>
      <c r="AO44" s="66">
        <f>IF('Wtr-Gas'!AH46&lt;0,"0",('Wtr-Gas'!AH46)*0.0038)</f>
        <v>0</v>
      </c>
      <c r="AP44" s="66">
        <f>IF('Wtr-Gas'!AJ46&lt;0,"0",('Wtr-Gas'!AJ46)*0.0038)</f>
        <v>0</v>
      </c>
      <c r="AQ44" s="66">
        <f>IF('Wtr-Gas'!AL46&lt;0,"0",('Wtr-Gas'!AL46)*0.0038)</f>
        <v>0</v>
      </c>
      <c r="AR44" s="66">
        <f>IF('Wtr-Gas'!AN46&lt;0,"0",('Wtr-Gas'!AN46)*0.0038)</f>
        <v>0</v>
      </c>
      <c r="AS44" s="66">
        <f>IF('Wtr-Gas'!AP46&lt;0,"0",('Wtr-Gas'!AP46)*0.0038)</f>
        <v>0</v>
      </c>
      <c r="AT44" s="66">
        <f>IF('Wtr-Gas'!AR46&lt;0,"0",('Wtr-Gas'!AR46)*0.0038)</f>
        <v>0</v>
      </c>
      <c r="AU44" s="72">
        <f>IF('Wtr-Gas'!AV46&lt;0,"0",('Wtr-Gas'!AV46)*0.0038)</f>
        <v>0</v>
      </c>
      <c r="AV44" s="66">
        <f>IF('Wtr-Gas'!AY46&lt;0,"0",('Wtr-Gas'!AY46)*0.0038)</f>
        <v>0</v>
      </c>
      <c r="AW44" s="66">
        <f>IF('Wtr-Gas'!BA46&lt;0,"0",('Wtr-Gas'!BA46)*0.0038)</f>
        <v>0</v>
      </c>
      <c r="AX44" s="66">
        <f>IF('Wtr-Gas'!BB46&lt;0,"0",('Wtr-Gas'!BB46)*0.0038)</f>
        <v>0</v>
      </c>
      <c r="AY44" s="66">
        <f>IF('Wtr-Gas'!BD46&lt;0,"0",('Wtr-Gas'!BD46)*0.0038)</f>
        <v>0</v>
      </c>
      <c r="AZ44" s="66">
        <f>IF('Wtr-Gas'!BF46&lt;0,"0",('Wtr-Gas'!BF46)*0.0038)</f>
        <v>0</v>
      </c>
      <c r="BA44" s="66">
        <f>IF('Wtr-Gas'!BH46&lt;0,"0",('Wtr-Gas'!BH46)*0.0038)</f>
        <v>0</v>
      </c>
    </row>
    <row r="45" spans="1:53" x14ac:dyDescent="0.25">
      <c r="A45" s="3" t="s">
        <v>11</v>
      </c>
      <c r="B45" s="1">
        <v>4</v>
      </c>
      <c r="C45" s="2">
        <v>9</v>
      </c>
      <c r="D45" s="2">
        <v>2023</v>
      </c>
      <c r="E45" s="33">
        <f>IF(Elect!AM47&lt;0,"0",Elect!AM47)</f>
        <v>0</v>
      </c>
      <c r="F45" s="33">
        <f>IF(Elect!I47&lt;0,"0",Elect!I47)</f>
        <v>0</v>
      </c>
      <c r="G45" s="33">
        <f>Elect!H47</f>
        <v>0</v>
      </c>
      <c r="H45" s="33">
        <f>IF(Elect!F47&lt;0,"0",Elect!F47)</f>
        <v>0</v>
      </c>
      <c r="I45" s="33">
        <f>Elect!E47</f>
        <v>0</v>
      </c>
      <c r="J45" s="33">
        <f>IF(Elect!U47&lt;0,"0",Elect!U47)</f>
        <v>0</v>
      </c>
      <c r="K45" s="33">
        <f>Elect!T47</f>
        <v>0</v>
      </c>
      <c r="L45" s="33">
        <f>IF(Elect!AJ47&lt;0,"0",Elect!AJ47)</f>
        <v>0</v>
      </c>
      <c r="M45" s="33">
        <f>Elect!AI47</f>
        <v>0</v>
      </c>
      <c r="N45" s="33">
        <f>IF(Elect!X47&lt;0,"0",Elect!X47)</f>
        <v>0</v>
      </c>
      <c r="O45" s="33">
        <f>Elect!W47</f>
        <v>0</v>
      </c>
      <c r="P45" s="33">
        <f>IF(Elect!O47&lt;0,"0",Elect!O47)</f>
        <v>0</v>
      </c>
      <c r="Q45" s="33">
        <f>Elect!N47</f>
        <v>0</v>
      </c>
      <c r="R45" s="33">
        <f>IF(Elect!L47&lt;0,"0",Elect!L47)</f>
        <v>0</v>
      </c>
      <c r="S45" s="33">
        <f>Elect!K47</f>
        <v>0</v>
      </c>
      <c r="T45" s="33">
        <f>IF(Elect!R47&lt;0,"0",Elect!R47)</f>
        <v>0</v>
      </c>
      <c r="U45" s="33">
        <f>Elect!Q47</f>
        <v>0</v>
      </c>
      <c r="V45" s="33">
        <f>IF(Elect!AA47&lt;0,"0",Elect!AA47)</f>
        <v>0</v>
      </c>
      <c r="W45" s="33">
        <f>Elect!Z47</f>
        <v>0</v>
      </c>
      <c r="X45" s="33">
        <f>IF(Elect!AD47&lt;0,"0",Elect!AD47)</f>
        <v>0</v>
      </c>
      <c r="Y45" s="33">
        <f>Elect!AC47</f>
        <v>0</v>
      </c>
      <c r="Z45" s="33">
        <f>IF(Elect!AG47&lt;0,"0",Elect!AG47)</f>
        <v>0</v>
      </c>
      <c r="AA45" s="33">
        <f>Elect!AF47</f>
        <v>0</v>
      </c>
      <c r="AB45" s="33">
        <f>IF(Elect!AX47&lt;0,"0",Elect!AX47)</f>
        <v>0</v>
      </c>
      <c r="AC45" s="33">
        <f>IF(Elect!AV47&lt;0,"0",Elect!AV47)</f>
        <v>0</v>
      </c>
      <c r="AD45" s="33">
        <f>IF(Elect!AZ47&lt;0,"0",Elect!AZ47)</f>
        <v>0</v>
      </c>
      <c r="AE45" s="33">
        <f>IF(Elect!BB47&lt;0,"0",Elect!BB47)</f>
        <v>0</v>
      </c>
      <c r="AF45" s="66">
        <f>IF('Wtr-Gas'!E47&lt;0,"0",('Wtr-Gas'!E47)*0.0038)</f>
        <v>0</v>
      </c>
      <c r="AG45" s="66">
        <f>IF('Wtr-Gas'!H47&lt;0,"0",('Wtr-Gas'!H47)*0.0038)</f>
        <v>0</v>
      </c>
      <c r="AH45" s="66">
        <f>IF('Wtr-Gas'!K47&lt;0,"0",('Wtr-Gas'!K47)*0.0038)</f>
        <v>0</v>
      </c>
      <c r="AI45" s="66">
        <f>IF('Wtr-Gas'!N47&lt;0,"0",('Wtr-Gas'!N47)*0.0038)</f>
        <v>0</v>
      </c>
      <c r="AJ45" s="66">
        <f>IF('Wtr-Gas'!Q47&lt;0,"0",('Wtr-Gas'!Q47)*0.0038)</f>
        <v>0</v>
      </c>
      <c r="AK45" s="67">
        <f>IF('Wtr-Gas'!U47&lt;0,"0",('Wtr-Gas'!U47)*0.0038)</f>
        <v>0</v>
      </c>
      <c r="AL45" s="67">
        <f>IF('Wtr-Gas'!X47&lt;0,"0",('Wtr-Gas'!X47)*0.0038)</f>
        <v>0</v>
      </c>
      <c r="AM45" s="66">
        <f>IF('Wtr-Gas'!AB47&lt;0,"0",('Wtr-Gas'!AB47)*0.0038)</f>
        <v>0</v>
      </c>
      <c r="AN45" s="66">
        <f>IF('Wtr-Gas'!AD47&lt;0,"0",('Wtr-Gas'!AD47)*0.0038)</f>
        <v>0</v>
      </c>
      <c r="AO45" s="66">
        <f>IF('Wtr-Gas'!AH47&lt;0,"0",('Wtr-Gas'!AH47)*0.0038)</f>
        <v>0</v>
      </c>
      <c r="AP45" s="66">
        <f>IF('Wtr-Gas'!AJ47&lt;0,"0",('Wtr-Gas'!AJ47)*0.0038)</f>
        <v>0</v>
      </c>
      <c r="AQ45" s="66">
        <f>IF('Wtr-Gas'!AL47&lt;0,"0",('Wtr-Gas'!AL47)*0.0038)</f>
        <v>0</v>
      </c>
      <c r="AR45" s="66">
        <f>IF('Wtr-Gas'!AN47&lt;0,"0",('Wtr-Gas'!AN47)*0.0038)</f>
        <v>0</v>
      </c>
      <c r="AS45" s="66">
        <f>IF('Wtr-Gas'!AP47&lt;0,"0",('Wtr-Gas'!AP47)*0.0038)</f>
        <v>0</v>
      </c>
      <c r="AT45" s="66">
        <f>IF('Wtr-Gas'!AR47&lt;0,"0",('Wtr-Gas'!AR47)*0.0038)</f>
        <v>0</v>
      </c>
      <c r="AU45" s="72">
        <f>IF('Wtr-Gas'!AV47&lt;0,"0",('Wtr-Gas'!AV47)*0.0038)</f>
        <v>0</v>
      </c>
      <c r="AV45" s="66">
        <f>IF('Wtr-Gas'!AY47&lt;0,"0",('Wtr-Gas'!AY47)*0.0038)</f>
        <v>0</v>
      </c>
      <c r="AW45" s="66">
        <f>IF('Wtr-Gas'!BA47&lt;0,"0",('Wtr-Gas'!BA47)*0.0038)</f>
        <v>0</v>
      </c>
      <c r="AX45" s="66">
        <f>IF('Wtr-Gas'!BB47&lt;0,"0",('Wtr-Gas'!BB47)*0.0038)</f>
        <v>0</v>
      </c>
      <c r="AY45" s="66">
        <f>IF('Wtr-Gas'!BD47&lt;0,"0",('Wtr-Gas'!BD47)*0.0038)</f>
        <v>0</v>
      </c>
      <c r="AZ45" s="66">
        <f>IF('Wtr-Gas'!BF47&lt;0,"0",('Wtr-Gas'!BF47)*0.0038)</f>
        <v>0</v>
      </c>
      <c r="BA45" s="66">
        <f>IF('Wtr-Gas'!BH47&lt;0,"0",('Wtr-Gas'!BH47)*0.0038)</f>
        <v>0</v>
      </c>
    </row>
    <row r="46" spans="1:53" x14ac:dyDescent="0.25">
      <c r="A46" s="3" t="s">
        <v>11</v>
      </c>
      <c r="B46" s="1">
        <v>11</v>
      </c>
      <c r="C46" s="2">
        <v>9</v>
      </c>
      <c r="D46" s="2">
        <v>2023</v>
      </c>
      <c r="E46" s="33">
        <f>IF(Elect!AM48&lt;0,"0",Elect!AM48)</f>
        <v>0</v>
      </c>
      <c r="F46" s="33">
        <f>IF(Elect!I48&lt;0,"0",Elect!I48)</f>
        <v>0</v>
      </c>
      <c r="G46" s="33">
        <f>Elect!H48</f>
        <v>0</v>
      </c>
      <c r="H46" s="33">
        <f>IF(Elect!F48&lt;0,"0",Elect!F48)</f>
        <v>0</v>
      </c>
      <c r="I46" s="33">
        <f>Elect!E48</f>
        <v>0</v>
      </c>
      <c r="J46" s="33">
        <f>IF(Elect!U48&lt;0,"0",Elect!U48)</f>
        <v>0</v>
      </c>
      <c r="K46" s="33">
        <f>Elect!T48</f>
        <v>0</v>
      </c>
      <c r="L46" s="33">
        <f>IF(Elect!AJ48&lt;0,"0",Elect!AJ48)</f>
        <v>0</v>
      </c>
      <c r="M46" s="33">
        <f>Elect!AI48</f>
        <v>0</v>
      </c>
      <c r="N46" s="33">
        <f>IF(Elect!X48&lt;0,"0",Elect!X48)</f>
        <v>0</v>
      </c>
      <c r="O46" s="33">
        <f>Elect!W48</f>
        <v>0</v>
      </c>
      <c r="P46" s="33">
        <f>IF(Elect!O48&lt;0,"0",Elect!O48)</f>
        <v>0</v>
      </c>
      <c r="Q46" s="33">
        <f>Elect!N48</f>
        <v>0</v>
      </c>
      <c r="R46" s="33">
        <f>IF(Elect!L48&lt;0,"0",Elect!L48)</f>
        <v>0</v>
      </c>
      <c r="S46" s="33">
        <f>Elect!K48</f>
        <v>0</v>
      </c>
      <c r="T46" s="33">
        <f>IF(Elect!R48&lt;0,"0",Elect!R48)</f>
        <v>0</v>
      </c>
      <c r="U46" s="33">
        <f>Elect!Q48</f>
        <v>0</v>
      </c>
      <c r="V46" s="33">
        <f>IF(Elect!AA48&lt;0,"0",Elect!AA48)</f>
        <v>0</v>
      </c>
      <c r="W46" s="33">
        <f>Elect!Z48</f>
        <v>0</v>
      </c>
      <c r="X46" s="33">
        <f>IF(Elect!AD48&lt;0,"0",Elect!AD48)</f>
        <v>0</v>
      </c>
      <c r="Y46" s="33">
        <f>Elect!AC48</f>
        <v>0</v>
      </c>
      <c r="Z46" s="33">
        <f>IF(Elect!AG48&lt;0,"0",Elect!AG48)</f>
        <v>0</v>
      </c>
      <c r="AA46" s="33">
        <f>Elect!AF48</f>
        <v>0</v>
      </c>
      <c r="AB46" s="33">
        <f>IF(Elect!AX48&lt;0,"0",Elect!AX48)</f>
        <v>0</v>
      </c>
      <c r="AC46" s="33">
        <f>IF(Elect!AV48&lt;0,"0",Elect!AV48)</f>
        <v>0</v>
      </c>
      <c r="AD46" s="33">
        <f>IF(Elect!AZ48&lt;0,"0",Elect!AZ48)</f>
        <v>0</v>
      </c>
      <c r="AE46" s="33">
        <f>IF(Elect!BB48&lt;0,"0",Elect!BB48)</f>
        <v>0</v>
      </c>
      <c r="AF46" s="66">
        <f>IF('Wtr-Gas'!E48&lt;0,"0",('Wtr-Gas'!E48)*0.0038)</f>
        <v>0</v>
      </c>
      <c r="AG46" s="66">
        <f>IF('Wtr-Gas'!H48&lt;0,"0",('Wtr-Gas'!H48)*0.0038)</f>
        <v>0</v>
      </c>
      <c r="AH46" s="66">
        <f>IF('Wtr-Gas'!K48&lt;0,"0",('Wtr-Gas'!K48)*0.0038)</f>
        <v>0</v>
      </c>
      <c r="AI46" s="66">
        <f>IF('Wtr-Gas'!N48&lt;0,"0",('Wtr-Gas'!N48)*0.0038)</f>
        <v>0</v>
      </c>
      <c r="AJ46" s="66">
        <f>IF('Wtr-Gas'!Q48&lt;0,"0",('Wtr-Gas'!Q48)*0.0038)</f>
        <v>0</v>
      </c>
      <c r="AK46" s="67">
        <f>IF('Wtr-Gas'!U48&lt;0,"0",('Wtr-Gas'!U48)*0.0038)</f>
        <v>0</v>
      </c>
      <c r="AL46" s="67">
        <f>IF('Wtr-Gas'!X48&lt;0,"0",('Wtr-Gas'!X48)*0.0038)</f>
        <v>0</v>
      </c>
      <c r="AM46" s="66">
        <f>IF('Wtr-Gas'!AB48&lt;0,"0",('Wtr-Gas'!AB48)*0.0038)</f>
        <v>0</v>
      </c>
      <c r="AN46" s="66">
        <f>IF('Wtr-Gas'!AD48&lt;0,"0",('Wtr-Gas'!AD48)*0.0038)</f>
        <v>0</v>
      </c>
      <c r="AO46" s="66">
        <f>IF('Wtr-Gas'!AH48&lt;0,"0",('Wtr-Gas'!AH48)*0.0038)</f>
        <v>0</v>
      </c>
      <c r="AP46" s="66">
        <f>IF('Wtr-Gas'!AJ48&lt;0,"0",('Wtr-Gas'!AJ48)*0.0038)</f>
        <v>0</v>
      </c>
      <c r="AQ46" s="66">
        <f>IF('Wtr-Gas'!AL48&lt;0,"0",('Wtr-Gas'!AL48)*0.0038)</f>
        <v>0</v>
      </c>
      <c r="AR46" s="66">
        <f>IF('Wtr-Gas'!AN48&lt;0,"0",('Wtr-Gas'!AN48)*0.0038)</f>
        <v>0</v>
      </c>
      <c r="AS46" s="66">
        <f>IF('Wtr-Gas'!AP48&lt;0,"0",('Wtr-Gas'!AP48)*0.0038)</f>
        <v>0</v>
      </c>
      <c r="AT46" s="66">
        <f>IF('Wtr-Gas'!AR48&lt;0,"0",('Wtr-Gas'!AR48)*0.0038)</f>
        <v>0</v>
      </c>
      <c r="AU46" s="72">
        <f>IF('Wtr-Gas'!AV48&lt;0,"0",('Wtr-Gas'!AV48)*0.0038)</f>
        <v>0</v>
      </c>
      <c r="AV46" s="66">
        <f>IF('Wtr-Gas'!AY48&lt;0,"0",('Wtr-Gas'!AY48)*0.0038)</f>
        <v>0</v>
      </c>
      <c r="AW46" s="66">
        <f>IF('Wtr-Gas'!BA48&lt;0,"0",('Wtr-Gas'!BA48)*0.0038)</f>
        <v>0</v>
      </c>
      <c r="AX46" s="66">
        <f>IF('Wtr-Gas'!BB48&lt;0,"0",('Wtr-Gas'!BB48)*0.0038)</f>
        <v>0</v>
      </c>
      <c r="AY46" s="66">
        <f>IF('Wtr-Gas'!BD48&lt;0,"0",('Wtr-Gas'!BD48)*0.0038)</f>
        <v>0</v>
      </c>
      <c r="AZ46" s="66">
        <f>IF('Wtr-Gas'!BF48&lt;0,"0",('Wtr-Gas'!BF48)*0.0038)</f>
        <v>0</v>
      </c>
      <c r="BA46" s="66">
        <f>IF('Wtr-Gas'!BH48&lt;0,"0",('Wtr-Gas'!BH48)*0.0038)</f>
        <v>0</v>
      </c>
    </row>
    <row r="47" spans="1:53" x14ac:dyDescent="0.25">
      <c r="A47" s="3" t="s">
        <v>11</v>
      </c>
      <c r="B47" s="1">
        <v>18</v>
      </c>
      <c r="C47" s="2">
        <v>9</v>
      </c>
      <c r="D47" s="2">
        <v>2023</v>
      </c>
      <c r="E47" s="33">
        <f>IF(Elect!AM49&lt;0,"0",Elect!AM49)</f>
        <v>0</v>
      </c>
      <c r="F47" s="33">
        <f>IF(Elect!I49&lt;0,"0",Elect!I49)</f>
        <v>0</v>
      </c>
      <c r="G47" s="33">
        <f>Elect!H49</f>
        <v>0</v>
      </c>
      <c r="H47" s="33">
        <f>IF(Elect!F49&lt;0,"0",Elect!F49)</f>
        <v>0</v>
      </c>
      <c r="I47" s="33">
        <f>Elect!E49</f>
        <v>0</v>
      </c>
      <c r="J47" s="33">
        <f>IF(Elect!U49&lt;0,"0",Elect!U49)</f>
        <v>0</v>
      </c>
      <c r="K47" s="33">
        <f>Elect!T49</f>
        <v>0</v>
      </c>
      <c r="L47" s="33">
        <f>IF(Elect!AJ49&lt;0,"0",Elect!AJ49)</f>
        <v>0</v>
      </c>
      <c r="M47" s="33">
        <f>Elect!AI49</f>
        <v>0</v>
      </c>
      <c r="N47" s="33">
        <f>IF(Elect!X49&lt;0,"0",Elect!X49)</f>
        <v>0</v>
      </c>
      <c r="O47" s="33">
        <f>Elect!W49</f>
        <v>0</v>
      </c>
      <c r="P47" s="33">
        <f>IF(Elect!O49&lt;0,"0",Elect!O49)</f>
        <v>0</v>
      </c>
      <c r="Q47" s="33">
        <f>Elect!N49</f>
        <v>0</v>
      </c>
      <c r="R47" s="33">
        <f>IF(Elect!L49&lt;0,"0",Elect!L49)</f>
        <v>0</v>
      </c>
      <c r="S47" s="33">
        <f>Elect!K49</f>
        <v>0</v>
      </c>
      <c r="T47" s="33">
        <f>IF(Elect!R49&lt;0,"0",Elect!R49)</f>
        <v>0</v>
      </c>
      <c r="U47" s="33">
        <f>Elect!Q49</f>
        <v>0</v>
      </c>
      <c r="V47" s="33">
        <f>IF(Elect!AA49&lt;0,"0",Elect!AA49)</f>
        <v>0</v>
      </c>
      <c r="W47" s="33">
        <f>Elect!Z49</f>
        <v>0</v>
      </c>
      <c r="X47" s="33">
        <f>IF(Elect!AD49&lt;0,"0",Elect!AD49)</f>
        <v>0</v>
      </c>
      <c r="Y47" s="33">
        <f>Elect!AC49</f>
        <v>0</v>
      </c>
      <c r="Z47" s="33">
        <f>IF(Elect!AG49&lt;0,"0",Elect!AG49)</f>
        <v>0</v>
      </c>
      <c r="AA47" s="33">
        <f>Elect!AF49</f>
        <v>0</v>
      </c>
      <c r="AB47" s="33">
        <f>IF(Elect!AX49&lt;0,"0",Elect!AX49)</f>
        <v>0</v>
      </c>
      <c r="AC47" s="33">
        <f>IF(Elect!AV49&lt;0,"0",Elect!AV49)</f>
        <v>0</v>
      </c>
      <c r="AD47" s="33">
        <f>IF(Elect!AZ49&lt;0,"0",Elect!AZ49)</f>
        <v>0</v>
      </c>
      <c r="AE47" s="33">
        <f>IF(Elect!BB49&lt;0,"0",Elect!BB49)</f>
        <v>0</v>
      </c>
      <c r="AF47" s="66">
        <f>IF('Wtr-Gas'!E49&lt;0,"0",('Wtr-Gas'!E49)*0.0038)</f>
        <v>0</v>
      </c>
      <c r="AG47" s="66">
        <f>IF('Wtr-Gas'!H49&lt;0,"0",('Wtr-Gas'!H49)*0.0038)</f>
        <v>0</v>
      </c>
      <c r="AH47" s="66">
        <f>IF('Wtr-Gas'!K49&lt;0,"0",('Wtr-Gas'!K49)*0.0038)</f>
        <v>0</v>
      </c>
      <c r="AI47" s="66">
        <f>IF('Wtr-Gas'!N49&lt;0,"0",('Wtr-Gas'!N49)*0.0038)</f>
        <v>0</v>
      </c>
      <c r="AJ47" s="66">
        <f>IF('Wtr-Gas'!Q49&lt;0,"0",('Wtr-Gas'!Q49)*0.0038)</f>
        <v>0</v>
      </c>
      <c r="AK47" s="67">
        <f>IF('Wtr-Gas'!U49&lt;0,"0",('Wtr-Gas'!U49)*0.0038)</f>
        <v>0</v>
      </c>
      <c r="AL47" s="67">
        <f>IF('Wtr-Gas'!X49&lt;0,"0",('Wtr-Gas'!X49)*0.0038)</f>
        <v>0</v>
      </c>
      <c r="AM47" s="66">
        <f>IF('Wtr-Gas'!AB49&lt;0,"0",('Wtr-Gas'!AB49)*0.0038)</f>
        <v>0</v>
      </c>
      <c r="AN47" s="66">
        <f>IF('Wtr-Gas'!AD49&lt;0,"0",('Wtr-Gas'!AD49)*0.0038)</f>
        <v>0</v>
      </c>
      <c r="AO47" s="66">
        <f>IF('Wtr-Gas'!AH49&lt;0,"0",('Wtr-Gas'!AH49)*0.0038)</f>
        <v>0</v>
      </c>
      <c r="AP47" s="66">
        <f>IF('Wtr-Gas'!AJ49&lt;0,"0",('Wtr-Gas'!AJ49)*0.0038)</f>
        <v>0</v>
      </c>
      <c r="AQ47" s="66">
        <f>IF('Wtr-Gas'!AL49&lt;0,"0",('Wtr-Gas'!AL49)*0.0038)</f>
        <v>0</v>
      </c>
      <c r="AR47" s="66">
        <f>IF('Wtr-Gas'!AN49&lt;0,"0",('Wtr-Gas'!AN49)*0.0038)</f>
        <v>0</v>
      </c>
      <c r="AS47" s="66">
        <f>IF('Wtr-Gas'!AP49&lt;0,"0",('Wtr-Gas'!AP49)*0.0038)</f>
        <v>0</v>
      </c>
      <c r="AT47" s="66">
        <f>IF('Wtr-Gas'!AR49&lt;0,"0",('Wtr-Gas'!AR49)*0.0038)</f>
        <v>0</v>
      </c>
      <c r="AU47" s="72">
        <f>IF('Wtr-Gas'!AV49&lt;0,"0",('Wtr-Gas'!AV49)*0.0038)</f>
        <v>0</v>
      </c>
      <c r="AV47" s="66">
        <f>IF('Wtr-Gas'!AY49&lt;0,"0",('Wtr-Gas'!AY49)*0.0038)</f>
        <v>0</v>
      </c>
      <c r="AW47" s="66">
        <f>IF('Wtr-Gas'!BA49&lt;0,"0",('Wtr-Gas'!BA49)*0.0038)</f>
        <v>0</v>
      </c>
      <c r="AX47" s="66">
        <f>IF('Wtr-Gas'!BB49&lt;0,"0",('Wtr-Gas'!BB49)*0.0038)</f>
        <v>0</v>
      </c>
      <c r="AY47" s="66">
        <f>IF('Wtr-Gas'!BD49&lt;0,"0",('Wtr-Gas'!BD49)*0.0038)</f>
        <v>0</v>
      </c>
      <c r="AZ47" s="66">
        <f>IF('Wtr-Gas'!BF49&lt;0,"0",('Wtr-Gas'!BF49)*0.0038)</f>
        <v>0</v>
      </c>
      <c r="BA47" s="66">
        <f>IF('Wtr-Gas'!BH49&lt;0,"0",('Wtr-Gas'!BH49)*0.0038)</f>
        <v>0</v>
      </c>
    </row>
    <row r="48" spans="1:53" x14ac:dyDescent="0.25">
      <c r="A48" s="3" t="s">
        <v>11</v>
      </c>
      <c r="B48" s="1">
        <v>25</v>
      </c>
      <c r="C48" s="2">
        <v>9</v>
      </c>
      <c r="D48" s="2">
        <v>2023</v>
      </c>
      <c r="E48" s="33">
        <f>IF(Elect!AM50&lt;0,"0",Elect!AM50)</f>
        <v>0</v>
      </c>
      <c r="F48" s="33">
        <f>IF(Elect!I50&lt;0,"0",Elect!I50)</f>
        <v>0</v>
      </c>
      <c r="G48" s="33">
        <f>Elect!H50</f>
        <v>0</v>
      </c>
      <c r="H48" s="33">
        <f>IF(Elect!F50&lt;0,"0",Elect!F50)</f>
        <v>0</v>
      </c>
      <c r="I48" s="33">
        <f>Elect!E50</f>
        <v>0</v>
      </c>
      <c r="J48" s="33">
        <f>IF(Elect!U50&lt;0,"0",Elect!U50)</f>
        <v>0</v>
      </c>
      <c r="K48" s="33">
        <f>Elect!T50</f>
        <v>0</v>
      </c>
      <c r="L48" s="33">
        <f>IF(Elect!AJ50&lt;0,"0",Elect!AJ50)</f>
        <v>0</v>
      </c>
      <c r="M48" s="33">
        <f>Elect!AI50</f>
        <v>0</v>
      </c>
      <c r="N48" s="33">
        <f>IF(Elect!X50&lt;0,"0",Elect!X50)</f>
        <v>0</v>
      </c>
      <c r="O48" s="33">
        <f>Elect!W50</f>
        <v>0</v>
      </c>
      <c r="P48" s="33">
        <f>IF(Elect!O50&lt;0,"0",Elect!O50)</f>
        <v>0</v>
      </c>
      <c r="Q48" s="33">
        <f>Elect!N50</f>
        <v>0</v>
      </c>
      <c r="R48" s="33">
        <f>IF(Elect!L50&lt;0,"0",Elect!L50)</f>
        <v>0</v>
      </c>
      <c r="S48" s="33">
        <f>Elect!K50</f>
        <v>0</v>
      </c>
      <c r="T48" s="33">
        <f>IF(Elect!R50&lt;0,"0",Elect!R50)</f>
        <v>0</v>
      </c>
      <c r="U48" s="33">
        <f>Elect!Q50</f>
        <v>0</v>
      </c>
      <c r="V48" s="33">
        <f>IF(Elect!AA50&lt;0,"0",Elect!AA50)</f>
        <v>0</v>
      </c>
      <c r="W48" s="33">
        <f>Elect!Z50</f>
        <v>0</v>
      </c>
      <c r="X48" s="33">
        <f>IF(Elect!AD50&lt;0,"0",Elect!AD50)</f>
        <v>0</v>
      </c>
      <c r="Y48" s="33">
        <f>Elect!AC50</f>
        <v>0</v>
      </c>
      <c r="Z48" s="33">
        <f>IF(Elect!AG50&lt;0,"0",Elect!AG50)</f>
        <v>0</v>
      </c>
      <c r="AA48" s="33">
        <f>Elect!AF50</f>
        <v>0</v>
      </c>
      <c r="AB48" s="33">
        <f>IF(Elect!AX50&lt;0,"0",Elect!AX50)</f>
        <v>0</v>
      </c>
      <c r="AC48" s="33">
        <f>IF(Elect!AV50&lt;0,"0",Elect!AV50)</f>
        <v>0</v>
      </c>
      <c r="AD48" s="33">
        <f>IF(Elect!AZ50&lt;0,"0",Elect!AZ50)</f>
        <v>0</v>
      </c>
      <c r="AE48" s="33">
        <f>IF(Elect!BB50&lt;0,"0",Elect!BB50)</f>
        <v>0</v>
      </c>
      <c r="AF48" s="66">
        <f>IF('Wtr-Gas'!E50&lt;0,"0",('Wtr-Gas'!E50)*0.0038)</f>
        <v>0</v>
      </c>
      <c r="AG48" s="66">
        <f>IF('Wtr-Gas'!H50&lt;0,"0",('Wtr-Gas'!H50)*0.0038)</f>
        <v>0</v>
      </c>
      <c r="AH48" s="66">
        <f>IF('Wtr-Gas'!K50&lt;0,"0",('Wtr-Gas'!K50)*0.0038)</f>
        <v>0</v>
      </c>
      <c r="AI48" s="66">
        <f>IF('Wtr-Gas'!N50&lt;0,"0",('Wtr-Gas'!N50)*0.0038)</f>
        <v>0</v>
      </c>
      <c r="AJ48" s="66">
        <f>IF('Wtr-Gas'!Q50&lt;0,"0",('Wtr-Gas'!Q50)*0.0038)</f>
        <v>0</v>
      </c>
      <c r="AK48" s="67">
        <f>IF('Wtr-Gas'!U50&lt;0,"0",('Wtr-Gas'!U50)*0.0038)</f>
        <v>0</v>
      </c>
      <c r="AL48" s="67">
        <f>IF('Wtr-Gas'!X50&lt;0,"0",('Wtr-Gas'!X50)*0.0038)</f>
        <v>0</v>
      </c>
      <c r="AM48" s="66">
        <f>IF('Wtr-Gas'!AB50&lt;0,"0",('Wtr-Gas'!AB50)*0.0038)</f>
        <v>0</v>
      </c>
      <c r="AN48" s="66">
        <f>IF('Wtr-Gas'!AD50&lt;0,"0",('Wtr-Gas'!AD50)*0.0038)</f>
        <v>0</v>
      </c>
      <c r="AO48" s="66">
        <f>IF('Wtr-Gas'!AH50&lt;0,"0",('Wtr-Gas'!AH50)*0.0038)</f>
        <v>0</v>
      </c>
      <c r="AP48" s="66">
        <f>IF('Wtr-Gas'!AJ50&lt;0,"0",('Wtr-Gas'!AJ50)*0.0038)</f>
        <v>0</v>
      </c>
      <c r="AQ48" s="66">
        <f>IF('Wtr-Gas'!AL50&lt;0,"0",('Wtr-Gas'!AL50)*0.0038)</f>
        <v>0</v>
      </c>
      <c r="AR48" s="66">
        <f>IF('Wtr-Gas'!AN50&lt;0,"0",('Wtr-Gas'!AN50)*0.0038)</f>
        <v>0</v>
      </c>
      <c r="AS48" s="66">
        <f>IF('Wtr-Gas'!AP50&lt;0,"0",('Wtr-Gas'!AP50)*0.0038)</f>
        <v>0</v>
      </c>
      <c r="AT48" s="66">
        <f>IF('Wtr-Gas'!AR50&lt;0,"0",('Wtr-Gas'!AR50)*0.0038)</f>
        <v>0</v>
      </c>
      <c r="AU48" s="72">
        <f>IF('Wtr-Gas'!AV50&lt;0,"0",('Wtr-Gas'!AV50)*0.0038)</f>
        <v>0</v>
      </c>
      <c r="AV48" s="66">
        <f>IF('Wtr-Gas'!AY50&lt;0,"0",('Wtr-Gas'!AY50)*0.0038)</f>
        <v>0</v>
      </c>
      <c r="AW48" s="66">
        <f>IF('Wtr-Gas'!BA50&lt;0,"0",('Wtr-Gas'!BA50)*0.0038)</f>
        <v>0</v>
      </c>
      <c r="AX48" s="66">
        <f>IF('Wtr-Gas'!BB50&lt;0,"0",('Wtr-Gas'!BB50)*0.0038)</f>
        <v>0</v>
      </c>
      <c r="AY48" s="66">
        <f>IF('Wtr-Gas'!BD50&lt;0,"0",('Wtr-Gas'!BD50)*0.0038)</f>
        <v>0</v>
      </c>
      <c r="AZ48" s="66">
        <f>IF('Wtr-Gas'!BF50&lt;0,"0",('Wtr-Gas'!BF50)*0.0038)</f>
        <v>0</v>
      </c>
      <c r="BA48" s="66">
        <f>IF('Wtr-Gas'!BH50&lt;0,"0",('Wtr-Gas'!BH50)*0.0038)</f>
        <v>0</v>
      </c>
    </row>
    <row r="49" spans="1:53" x14ac:dyDescent="0.25">
      <c r="A49" s="3" t="s">
        <v>11</v>
      </c>
      <c r="B49" s="1">
        <v>30</v>
      </c>
      <c r="C49" s="2">
        <v>9</v>
      </c>
      <c r="D49" s="2">
        <v>2023</v>
      </c>
      <c r="E49" s="33">
        <f>IF(Elect!AM51&lt;0,"0",Elect!AM51)</f>
        <v>0</v>
      </c>
      <c r="F49" s="33">
        <f>IF(Elect!I51&lt;0,"0",Elect!I51)</f>
        <v>0</v>
      </c>
      <c r="G49" s="33">
        <f>Elect!H51</f>
        <v>0</v>
      </c>
      <c r="H49" s="33">
        <f>IF(Elect!F51&lt;0,"0",Elect!F51)</f>
        <v>0</v>
      </c>
      <c r="I49" s="33">
        <f>Elect!E51</f>
        <v>0</v>
      </c>
      <c r="J49" s="33">
        <f>IF(Elect!U51&lt;0,"0",Elect!U51)</f>
        <v>0</v>
      </c>
      <c r="K49" s="33">
        <f>Elect!T51</f>
        <v>0</v>
      </c>
      <c r="L49" s="33">
        <f>IF(Elect!AJ51&lt;0,"0",Elect!AJ51)</f>
        <v>0</v>
      </c>
      <c r="M49" s="33">
        <f>Elect!AI51</f>
        <v>0</v>
      </c>
      <c r="N49" s="33">
        <f>IF(Elect!X51&lt;0,"0",Elect!X51)</f>
        <v>0</v>
      </c>
      <c r="O49" s="33">
        <f>Elect!W51</f>
        <v>0</v>
      </c>
      <c r="P49" s="33">
        <f>IF(Elect!O51&lt;0,"0",Elect!O51)</f>
        <v>0</v>
      </c>
      <c r="Q49" s="33">
        <f>Elect!N51</f>
        <v>0</v>
      </c>
      <c r="R49" s="33">
        <f>IF(Elect!L51&lt;0,"0",Elect!L51)</f>
        <v>0</v>
      </c>
      <c r="S49" s="33">
        <f>Elect!K51</f>
        <v>0</v>
      </c>
      <c r="T49" s="33">
        <f>IF(Elect!R51&lt;0,"0",Elect!R51)</f>
        <v>0</v>
      </c>
      <c r="U49" s="33">
        <f>Elect!Q51</f>
        <v>0</v>
      </c>
      <c r="V49" s="33">
        <f>IF(Elect!AA51&lt;0,"0",Elect!AA51)</f>
        <v>0</v>
      </c>
      <c r="W49" s="33">
        <f>Elect!Z51</f>
        <v>0</v>
      </c>
      <c r="X49" s="33">
        <f>IF(Elect!AD51&lt;0,"0",Elect!AD51)</f>
        <v>0</v>
      </c>
      <c r="Y49" s="33">
        <f>Elect!AC51</f>
        <v>0</v>
      </c>
      <c r="Z49" s="33">
        <f>IF(Elect!AG51&lt;0,"0",Elect!AG51)</f>
        <v>0</v>
      </c>
      <c r="AA49" s="33">
        <f>Elect!AF51</f>
        <v>0</v>
      </c>
      <c r="AB49" s="33">
        <f>IF(Elect!AX51&lt;0,"0",Elect!AX51)</f>
        <v>0</v>
      </c>
      <c r="AC49" s="33">
        <f>IF(Elect!AV51&lt;0,"0",Elect!AV51)</f>
        <v>0</v>
      </c>
      <c r="AD49" s="33">
        <f>IF(Elect!AZ51&lt;0,"0",Elect!AZ51)</f>
        <v>0</v>
      </c>
      <c r="AE49" s="33">
        <f>IF(Elect!BB51&lt;0,"0",Elect!BB51)</f>
        <v>0</v>
      </c>
      <c r="AF49" s="66">
        <f>IF('Wtr-Gas'!E51&lt;0,"0",('Wtr-Gas'!E51)*0.0038)</f>
        <v>0</v>
      </c>
      <c r="AG49" s="66">
        <f>IF('Wtr-Gas'!H51&lt;0,"0",('Wtr-Gas'!H51)*0.0038)</f>
        <v>0</v>
      </c>
      <c r="AH49" s="66">
        <f>IF('Wtr-Gas'!K51&lt;0,"0",('Wtr-Gas'!K51)*0.0038)</f>
        <v>0</v>
      </c>
      <c r="AI49" s="66">
        <f>IF('Wtr-Gas'!N51&lt;0,"0",('Wtr-Gas'!N51)*0.0038)</f>
        <v>0</v>
      </c>
      <c r="AJ49" s="66">
        <f>IF('Wtr-Gas'!Q51&lt;0,"0",('Wtr-Gas'!Q51)*0.0038)</f>
        <v>0</v>
      </c>
      <c r="AK49" s="67">
        <f>IF('Wtr-Gas'!U51&lt;0,"0",('Wtr-Gas'!U51)*0.0038)</f>
        <v>0</v>
      </c>
      <c r="AL49" s="67">
        <f>IF('Wtr-Gas'!X51&lt;0,"0",('Wtr-Gas'!X51)*0.0038)</f>
        <v>0</v>
      </c>
      <c r="AM49" s="66">
        <f>IF('Wtr-Gas'!AB51&lt;0,"0",('Wtr-Gas'!AB51)*0.0038)</f>
        <v>0</v>
      </c>
      <c r="AN49" s="66">
        <f>IF('Wtr-Gas'!AD51&lt;0,"0",('Wtr-Gas'!AD51)*0.0038)</f>
        <v>0</v>
      </c>
      <c r="AO49" s="66">
        <f>IF('Wtr-Gas'!AH51&lt;0,"0",('Wtr-Gas'!AH51)*0.0038)</f>
        <v>0</v>
      </c>
      <c r="AP49" s="66">
        <f>IF('Wtr-Gas'!AJ51&lt;0,"0",('Wtr-Gas'!AJ51)*0.0038)</f>
        <v>0</v>
      </c>
      <c r="AQ49" s="66">
        <f>IF('Wtr-Gas'!AL51&lt;0,"0",('Wtr-Gas'!AL51)*0.0038)</f>
        <v>0</v>
      </c>
      <c r="AR49" s="66">
        <f>IF('Wtr-Gas'!AN51&lt;0,"0",('Wtr-Gas'!AN51)*0.0038)</f>
        <v>0</v>
      </c>
      <c r="AS49" s="66">
        <f>IF('Wtr-Gas'!AP51&lt;0,"0",('Wtr-Gas'!AP51)*0.0038)</f>
        <v>0</v>
      </c>
      <c r="AT49" s="66">
        <f>IF('Wtr-Gas'!AR51&lt;0,"0",('Wtr-Gas'!AR51)*0.0038)</f>
        <v>0</v>
      </c>
      <c r="AU49" s="72">
        <f>IF('Wtr-Gas'!AV51&lt;0,"0",('Wtr-Gas'!AV51)*0.0038)</f>
        <v>0</v>
      </c>
      <c r="AV49" s="66">
        <f>IF('Wtr-Gas'!AY51&lt;0,"0",('Wtr-Gas'!AY51)*0.0038)</f>
        <v>0</v>
      </c>
      <c r="AW49" s="66">
        <f>IF('Wtr-Gas'!BA51&lt;0,"0",('Wtr-Gas'!BA51)*0.0038)</f>
        <v>0</v>
      </c>
      <c r="AX49" s="66">
        <f>IF('Wtr-Gas'!BB51&lt;0,"0",('Wtr-Gas'!BB51)*0.0038)</f>
        <v>0</v>
      </c>
      <c r="AY49" s="66">
        <f>IF('Wtr-Gas'!BD51&lt;0,"0",('Wtr-Gas'!BD51)*0.0038)</f>
        <v>0</v>
      </c>
      <c r="AZ49" s="66">
        <f>IF('Wtr-Gas'!BF51&lt;0,"0",('Wtr-Gas'!BF51)*0.0038)</f>
        <v>0</v>
      </c>
      <c r="BA49" s="66">
        <f>IF('Wtr-Gas'!BH51&lt;0,"0",('Wtr-Gas'!BH51)*0.0038)</f>
        <v>0</v>
      </c>
    </row>
    <row r="50" spans="1:53" x14ac:dyDescent="0.25">
      <c r="A50" s="3" t="s">
        <v>11</v>
      </c>
      <c r="B50" s="1">
        <v>2</v>
      </c>
      <c r="C50" s="2">
        <v>10</v>
      </c>
      <c r="D50" s="2">
        <v>2023</v>
      </c>
      <c r="E50" s="33">
        <f>IF(Elect!AM52&lt;0,"0",Elect!AM52)</f>
        <v>0</v>
      </c>
      <c r="F50" s="33">
        <f>IF(Elect!I52&lt;0,"0",Elect!I52)</f>
        <v>0</v>
      </c>
      <c r="G50" s="33">
        <f>Elect!H52</f>
        <v>0</v>
      </c>
      <c r="H50" s="33">
        <f>IF(Elect!F52&lt;0,"0",Elect!F52)</f>
        <v>0</v>
      </c>
      <c r="I50" s="33">
        <f>Elect!E52</f>
        <v>0</v>
      </c>
      <c r="J50" s="33">
        <f>IF(Elect!U52&lt;0,"0",Elect!U52)</f>
        <v>0</v>
      </c>
      <c r="K50" s="33">
        <f>Elect!T52</f>
        <v>0</v>
      </c>
      <c r="L50" s="33">
        <f>IF(Elect!AJ52&lt;0,"0",Elect!AJ52)</f>
        <v>0</v>
      </c>
      <c r="M50" s="33">
        <f>Elect!AI52</f>
        <v>0</v>
      </c>
      <c r="N50" s="33">
        <f>IF(Elect!X52&lt;0,"0",Elect!X52)</f>
        <v>0</v>
      </c>
      <c r="O50" s="33">
        <f>Elect!W52</f>
        <v>0</v>
      </c>
      <c r="P50" s="33">
        <f>IF(Elect!O52&lt;0,"0",Elect!O52)</f>
        <v>0</v>
      </c>
      <c r="Q50" s="33">
        <f>Elect!N52</f>
        <v>0</v>
      </c>
      <c r="R50" s="33">
        <f>IF(Elect!L52&lt;0,"0",Elect!L52)</f>
        <v>0</v>
      </c>
      <c r="S50" s="33">
        <f>Elect!K52</f>
        <v>0</v>
      </c>
      <c r="T50" s="33">
        <f>IF(Elect!R52&lt;0,"0",Elect!R52)</f>
        <v>0</v>
      </c>
      <c r="U50" s="33">
        <f>Elect!Q52</f>
        <v>0</v>
      </c>
      <c r="V50" s="33">
        <f>IF(Elect!AA52&lt;0,"0",Elect!AA52)</f>
        <v>0</v>
      </c>
      <c r="W50" s="33">
        <f>Elect!Z52</f>
        <v>0</v>
      </c>
      <c r="X50" s="33">
        <f>IF(Elect!AD52&lt;0,"0",Elect!AD52)</f>
        <v>0</v>
      </c>
      <c r="Y50" s="33">
        <f>Elect!AC52</f>
        <v>0</v>
      </c>
      <c r="Z50" s="33">
        <f>IF(Elect!AG52&lt;0,"0",Elect!AG52)</f>
        <v>0</v>
      </c>
      <c r="AA50" s="33">
        <f>Elect!AF52</f>
        <v>0</v>
      </c>
      <c r="AB50" s="33">
        <f>IF(Elect!AX52&lt;0,"0",Elect!AX52)</f>
        <v>0</v>
      </c>
      <c r="AC50" s="33">
        <f>IF(Elect!AV52&lt;0,"0",Elect!AV52)</f>
        <v>0</v>
      </c>
      <c r="AD50" s="33">
        <f>IF(Elect!AZ52&lt;0,"0",Elect!AZ52)</f>
        <v>0</v>
      </c>
      <c r="AE50" s="33">
        <f>IF(Elect!BB52&lt;0,"0",Elect!BB52)</f>
        <v>0</v>
      </c>
      <c r="AF50" s="66">
        <f>IF('Wtr-Gas'!E52&lt;0,"0",('Wtr-Gas'!E52)*0.0038)</f>
        <v>0</v>
      </c>
      <c r="AG50" s="66">
        <f>IF('Wtr-Gas'!H52&lt;0,"0",('Wtr-Gas'!H52)*0.0038)</f>
        <v>0</v>
      </c>
      <c r="AH50" s="66">
        <f>IF('Wtr-Gas'!K52&lt;0,"0",('Wtr-Gas'!K52)*0.0038)</f>
        <v>0</v>
      </c>
      <c r="AI50" s="66">
        <f>IF('Wtr-Gas'!N52&lt;0,"0",('Wtr-Gas'!N52)*0.0038)</f>
        <v>0</v>
      </c>
      <c r="AJ50" s="66">
        <f>IF('Wtr-Gas'!Q52&lt;0,"0",('Wtr-Gas'!Q52)*0.0038)</f>
        <v>0</v>
      </c>
      <c r="AK50" s="67">
        <f>IF('Wtr-Gas'!U52&lt;0,"0",('Wtr-Gas'!U52)*0.0038)</f>
        <v>0</v>
      </c>
      <c r="AL50" s="67">
        <f>IF('Wtr-Gas'!X52&lt;0,"0",('Wtr-Gas'!X52)*0.0038)</f>
        <v>0</v>
      </c>
      <c r="AM50" s="66">
        <f>IF('Wtr-Gas'!AB52&lt;0,"0",('Wtr-Gas'!AB52)*0.0038)</f>
        <v>0</v>
      </c>
      <c r="AN50" s="66">
        <f>IF('Wtr-Gas'!AD52&lt;0,"0",('Wtr-Gas'!AD52)*0.0038)</f>
        <v>0</v>
      </c>
      <c r="AO50" s="66">
        <f>IF('Wtr-Gas'!AH52&lt;0,"0",('Wtr-Gas'!AH52)*0.0038)</f>
        <v>0</v>
      </c>
      <c r="AP50" s="66">
        <f>IF('Wtr-Gas'!AJ52&lt;0,"0",('Wtr-Gas'!AJ52)*0.0038)</f>
        <v>0</v>
      </c>
      <c r="AQ50" s="66">
        <f>IF('Wtr-Gas'!AL52&lt;0,"0",('Wtr-Gas'!AL52)*0.0038)</f>
        <v>0</v>
      </c>
      <c r="AR50" s="66">
        <f>IF('Wtr-Gas'!AN52&lt;0,"0",('Wtr-Gas'!AN52)*0.0038)</f>
        <v>0</v>
      </c>
      <c r="AS50" s="66">
        <f>IF('Wtr-Gas'!AP52&lt;0,"0",('Wtr-Gas'!AP52)*0.0038)</f>
        <v>0</v>
      </c>
      <c r="AT50" s="66">
        <f>IF('Wtr-Gas'!AR52&lt;0,"0",('Wtr-Gas'!AR52)*0.0038)</f>
        <v>0</v>
      </c>
      <c r="AU50" s="72">
        <f>IF('Wtr-Gas'!AV52&lt;0,"0",('Wtr-Gas'!AV52)*0.0038)</f>
        <v>0</v>
      </c>
      <c r="AV50" s="66">
        <f>IF('Wtr-Gas'!AY52&lt;0,"0",('Wtr-Gas'!AY52)*0.0038)</f>
        <v>0</v>
      </c>
      <c r="AW50" s="66">
        <f>IF('Wtr-Gas'!BA52&lt;0,"0",('Wtr-Gas'!BA52)*0.0038)</f>
        <v>0</v>
      </c>
      <c r="AX50" s="66">
        <f>IF('Wtr-Gas'!BB52&lt;0,"0",('Wtr-Gas'!BB52)*0.0038)</f>
        <v>0</v>
      </c>
      <c r="AY50" s="66">
        <f>IF('Wtr-Gas'!BD52&lt;0,"0",('Wtr-Gas'!BD52)*0.0038)</f>
        <v>0</v>
      </c>
      <c r="AZ50" s="66">
        <f>IF('Wtr-Gas'!BF52&lt;0,"0",('Wtr-Gas'!BF52)*0.0038)</f>
        <v>0</v>
      </c>
      <c r="BA50" s="66">
        <f>IF('Wtr-Gas'!BH52&lt;0,"0",('Wtr-Gas'!BH52)*0.0038)</f>
        <v>0</v>
      </c>
    </row>
    <row r="51" spans="1:53" x14ac:dyDescent="0.25">
      <c r="A51" s="3" t="s">
        <v>11</v>
      </c>
      <c r="B51" s="1">
        <v>9</v>
      </c>
      <c r="C51" s="2">
        <v>10</v>
      </c>
      <c r="D51" s="2">
        <v>2023</v>
      </c>
      <c r="E51" s="33">
        <f>IF(Elect!AM53&lt;0,"0",Elect!AM53)</f>
        <v>0</v>
      </c>
      <c r="F51" s="33">
        <f>IF(Elect!I53&lt;0,"0",Elect!I53)</f>
        <v>0</v>
      </c>
      <c r="G51" s="33">
        <f>Elect!H53</f>
        <v>0</v>
      </c>
      <c r="H51" s="33">
        <f>IF(Elect!F53&lt;0,"0",Elect!F53)</f>
        <v>0</v>
      </c>
      <c r="I51" s="33">
        <f>Elect!E53</f>
        <v>0</v>
      </c>
      <c r="J51" s="33">
        <f>IF(Elect!U53&lt;0,"0",Elect!U53)</f>
        <v>0</v>
      </c>
      <c r="K51" s="33">
        <f>Elect!T53</f>
        <v>0</v>
      </c>
      <c r="L51" s="33">
        <f>IF(Elect!AJ53&lt;0,"0",Elect!AJ53)</f>
        <v>0</v>
      </c>
      <c r="M51" s="33">
        <f>Elect!AI53</f>
        <v>0</v>
      </c>
      <c r="N51" s="33">
        <f>IF(Elect!X53&lt;0,"0",Elect!X53)</f>
        <v>0</v>
      </c>
      <c r="O51" s="33">
        <f>Elect!W53</f>
        <v>0</v>
      </c>
      <c r="P51" s="33">
        <f>IF(Elect!O53&lt;0,"0",Elect!O53)</f>
        <v>0</v>
      </c>
      <c r="Q51" s="33">
        <f>Elect!N53</f>
        <v>0</v>
      </c>
      <c r="R51" s="33">
        <f>IF(Elect!L53&lt;0,"0",Elect!L53)</f>
        <v>0</v>
      </c>
      <c r="S51" s="33">
        <f>Elect!K53</f>
        <v>0</v>
      </c>
      <c r="T51" s="33">
        <f>IF(Elect!R53&lt;0,"0",Elect!R53)</f>
        <v>0</v>
      </c>
      <c r="U51" s="33">
        <f>Elect!Q53</f>
        <v>0</v>
      </c>
      <c r="V51" s="33">
        <f>IF(Elect!AA53&lt;0,"0",Elect!AA53)</f>
        <v>0</v>
      </c>
      <c r="W51" s="33">
        <f>Elect!Z53</f>
        <v>0</v>
      </c>
      <c r="X51" s="33">
        <f>IF(Elect!AD53&lt;0,"0",Elect!AD53)</f>
        <v>0</v>
      </c>
      <c r="Y51" s="33">
        <f>Elect!AC53</f>
        <v>0</v>
      </c>
      <c r="Z51" s="33">
        <f>IF(Elect!AG53&lt;0,"0",Elect!AG53)</f>
        <v>0</v>
      </c>
      <c r="AA51" s="33">
        <f>Elect!AF53</f>
        <v>0</v>
      </c>
      <c r="AB51" s="33">
        <f>IF(Elect!AX53&lt;0,"0",Elect!AX53)</f>
        <v>0</v>
      </c>
      <c r="AC51" s="33">
        <f>IF(Elect!AV53&lt;0,"0",Elect!AV53)</f>
        <v>0</v>
      </c>
      <c r="AD51" s="33">
        <f>IF(Elect!AZ53&lt;0,"0",Elect!AZ53)</f>
        <v>0</v>
      </c>
      <c r="AE51" s="33">
        <f>IF(Elect!BB53&lt;0,"0",Elect!BB53)</f>
        <v>0</v>
      </c>
      <c r="AF51" s="66">
        <f>IF('Wtr-Gas'!E53&lt;0,"0",('Wtr-Gas'!E53)*0.0038)</f>
        <v>0</v>
      </c>
      <c r="AG51" s="66">
        <f>IF('Wtr-Gas'!H53&lt;0,"0",('Wtr-Gas'!H53)*0.0038)</f>
        <v>0</v>
      </c>
      <c r="AH51" s="66">
        <f>IF('Wtr-Gas'!K53&lt;0,"0",('Wtr-Gas'!K53)*0.0038)</f>
        <v>0</v>
      </c>
      <c r="AI51" s="66">
        <f>IF('Wtr-Gas'!N53&lt;0,"0",('Wtr-Gas'!N53)*0.0038)</f>
        <v>0</v>
      </c>
      <c r="AJ51" s="66">
        <f>IF('Wtr-Gas'!Q53&lt;0,"0",('Wtr-Gas'!Q53)*0.0038)</f>
        <v>0</v>
      </c>
      <c r="AK51" s="67">
        <f>IF('Wtr-Gas'!U53&lt;0,"0",('Wtr-Gas'!U53)*0.0038)</f>
        <v>0</v>
      </c>
      <c r="AL51" s="67">
        <f>IF('Wtr-Gas'!X53&lt;0,"0",('Wtr-Gas'!X53)*0.0038)</f>
        <v>0</v>
      </c>
      <c r="AM51" s="66">
        <f>IF('Wtr-Gas'!AB53&lt;0,"0",('Wtr-Gas'!AB53)*0.0038)</f>
        <v>0</v>
      </c>
      <c r="AN51" s="66">
        <f>IF('Wtr-Gas'!AD53&lt;0,"0",('Wtr-Gas'!AD53)*0.0038)</f>
        <v>0</v>
      </c>
      <c r="AO51" s="66">
        <f>IF('Wtr-Gas'!AH53&lt;0,"0",('Wtr-Gas'!AH53)*0.0038)</f>
        <v>0</v>
      </c>
      <c r="AP51" s="66">
        <f>IF('Wtr-Gas'!AJ53&lt;0,"0",('Wtr-Gas'!AJ53)*0.0038)</f>
        <v>0</v>
      </c>
      <c r="AQ51" s="66">
        <f>IF('Wtr-Gas'!AL53&lt;0,"0",('Wtr-Gas'!AL53)*0.0038)</f>
        <v>0</v>
      </c>
      <c r="AR51" s="66">
        <f>IF('Wtr-Gas'!AN53&lt;0,"0",('Wtr-Gas'!AN53)*0.0038)</f>
        <v>0</v>
      </c>
      <c r="AS51" s="66">
        <f>IF('Wtr-Gas'!AP53&lt;0,"0",('Wtr-Gas'!AP53)*0.0038)</f>
        <v>0</v>
      </c>
      <c r="AT51" s="66">
        <f>IF('Wtr-Gas'!AR53&lt;0,"0",('Wtr-Gas'!AR53)*0.0038)</f>
        <v>0</v>
      </c>
      <c r="AU51" s="72">
        <f>IF('Wtr-Gas'!AV53&lt;0,"0",('Wtr-Gas'!AV53)*0.0038)</f>
        <v>0</v>
      </c>
      <c r="AV51" s="66">
        <f>IF('Wtr-Gas'!AY53&lt;0,"0",('Wtr-Gas'!AY53)*0.0038)</f>
        <v>0</v>
      </c>
      <c r="AW51" s="66">
        <f>IF('Wtr-Gas'!BA53&lt;0,"0",('Wtr-Gas'!BA53)*0.0038)</f>
        <v>0</v>
      </c>
      <c r="AX51" s="66">
        <f>IF('Wtr-Gas'!BB53&lt;0,"0",('Wtr-Gas'!BB53)*0.0038)</f>
        <v>0</v>
      </c>
      <c r="AY51" s="66">
        <f>IF('Wtr-Gas'!BD53&lt;0,"0",('Wtr-Gas'!BD53)*0.0038)</f>
        <v>0</v>
      </c>
      <c r="AZ51" s="66">
        <f>IF('Wtr-Gas'!BF53&lt;0,"0",('Wtr-Gas'!BF53)*0.0038)</f>
        <v>0</v>
      </c>
      <c r="BA51" s="66">
        <f>IF('Wtr-Gas'!BH53&lt;0,"0",('Wtr-Gas'!BH53)*0.0038)</f>
        <v>0</v>
      </c>
    </row>
    <row r="52" spans="1:53" x14ac:dyDescent="0.25">
      <c r="A52" s="3" t="s">
        <v>11</v>
      </c>
      <c r="B52" s="1">
        <v>16</v>
      </c>
      <c r="C52" s="2">
        <v>10</v>
      </c>
      <c r="D52" s="2">
        <v>2023</v>
      </c>
      <c r="E52" s="33">
        <f>IF(Elect!AM54&lt;0,"0",Elect!AM54)</f>
        <v>0</v>
      </c>
      <c r="F52" s="33">
        <f>IF(Elect!I54&lt;0,"0",Elect!I54)</f>
        <v>0</v>
      </c>
      <c r="G52" s="33">
        <f>Elect!H54</f>
        <v>0</v>
      </c>
      <c r="H52" s="33">
        <f>IF(Elect!F54&lt;0,"0",Elect!F54)</f>
        <v>0</v>
      </c>
      <c r="I52" s="33">
        <f>Elect!E54</f>
        <v>0</v>
      </c>
      <c r="J52" s="33">
        <f>IF(Elect!U54&lt;0,"0",Elect!U54)</f>
        <v>0</v>
      </c>
      <c r="K52" s="33">
        <f>Elect!T54</f>
        <v>0</v>
      </c>
      <c r="L52" s="33">
        <f>IF(Elect!AJ54&lt;0,"0",Elect!AJ54)</f>
        <v>0</v>
      </c>
      <c r="M52" s="33">
        <f>Elect!AI54</f>
        <v>0</v>
      </c>
      <c r="N52" s="33">
        <f>IF(Elect!X54&lt;0,"0",Elect!X54)</f>
        <v>0</v>
      </c>
      <c r="O52" s="33">
        <f>Elect!W54</f>
        <v>0</v>
      </c>
      <c r="P52" s="33">
        <f>IF(Elect!O54&lt;0,"0",Elect!O54)</f>
        <v>0</v>
      </c>
      <c r="Q52" s="33">
        <f>Elect!N54</f>
        <v>0</v>
      </c>
      <c r="R52" s="33">
        <f>IF(Elect!L54&lt;0,"0",Elect!L54)</f>
        <v>0</v>
      </c>
      <c r="S52" s="33">
        <f>Elect!K54</f>
        <v>0</v>
      </c>
      <c r="T52" s="33">
        <f>IF(Elect!R54&lt;0,"0",Elect!R54)</f>
        <v>0</v>
      </c>
      <c r="U52" s="33">
        <f>Elect!Q54</f>
        <v>0</v>
      </c>
      <c r="V52" s="33">
        <f>IF(Elect!AA54&lt;0,"0",Elect!AA54)</f>
        <v>0</v>
      </c>
      <c r="W52" s="33">
        <f>Elect!Z54</f>
        <v>0</v>
      </c>
      <c r="X52" s="33">
        <f>IF(Elect!AD54&lt;0,"0",Elect!AD54)</f>
        <v>0</v>
      </c>
      <c r="Y52" s="33">
        <f>Elect!AC54</f>
        <v>0</v>
      </c>
      <c r="Z52" s="33">
        <f>IF(Elect!AG54&lt;0,"0",Elect!AG54)</f>
        <v>0</v>
      </c>
      <c r="AA52" s="33">
        <f>Elect!AF54</f>
        <v>0</v>
      </c>
      <c r="AB52" s="33">
        <f>IF(Elect!AX54&lt;0,"0",Elect!AX54)</f>
        <v>0</v>
      </c>
      <c r="AC52" s="33">
        <f>IF(Elect!AV54&lt;0,"0",Elect!AV54)</f>
        <v>0</v>
      </c>
      <c r="AD52" s="33">
        <f>IF(Elect!AZ54&lt;0,"0",Elect!AZ54)</f>
        <v>0</v>
      </c>
      <c r="AE52" s="33">
        <f>IF(Elect!BB54&lt;0,"0",Elect!BB54)</f>
        <v>0</v>
      </c>
      <c r="AF52" s="66">
        <f>IF('Wtr-Gas'!E54&lt;0,"0",('Wtr-Gas'!E54)*0.0038)</f>
        <v>0</v>
      </c>
      <c r="AG52" s="66">
        <f>IF('Wtr-Gas'!H54&lt;0,"0",('Wtr-Gas'!H54)*0.0038)</f>
        <v>0</v>
      </c>
      <c r="AH52" s="66">
        <f>IF('Wtr-Gas'!K54&lt;0,"0",('Wtr-Gas'!K54)*0.0038)</f>
        <v>0</v>
      </c>
      <c r="AI52" s="66">
        <f>IF('Wtr-Gas'!N54&lt;0,"0",('Wtr-Gas'!N54)*0.0038)</f>
        <v>0</v>
      </c>
      <c r="AJ52" s="66">
        <f>IF('Wtr-Gas'!Q54&lt;0,"0",('Wtr-Gas'!Q54)*0.0038)</f>
        <v>0</v>
      </c>
      <c r="AK52" s="67">
        <f>IF('Wtr-Gas'!U54&lt;0,"0",('Wtr-Gas'!U54)*0.0038)</f>
        <v>0</v>
      </c>
      <c r="AL52" s="67">
        <f>IF('Wtr-Gas'!X54&lt;0,"0",('Wtr-Gas'!X54)*0.0038)</f>
        <v>0</v>
      </c>
      <c r="AM52" s="66">
        <f>IF('Wtr-Gas'!AB54&lt;0,"0",('Wtr-Gas'!AB54)*0.0038)</f>
        <v>0</v>
      </c>
      <c r="AN52" s="66">
        <f>IF('Wtr-Gas'!AD54&lt;0,"0",('Wtr-Gas'!AD54)*0.0038)</f>
        <v>0</v>
      </c>
      <c r="AO52" s="66">
        <f>IF('Wtr-Gas'!AH54&lt;0,"0",('Wtr-Gas'!AH54)*0.0038)</f>
        <v>0</v>
      </c>
      <c r="AP52" s="66">
        <f>IF('Wtr-Gas'!AJ54&lt;0,"0",('Wtr-Gas'!AJ54)*0.0038)</f>
        <v>0</v>
      </c>
      <c r="AQ52" s="66">
        <f>IF('Wtr-Gas'!AL54&lt;0,"0",('Wtr-Gas'!AL54)*0.0038)</f>
        <v>0</v>
      </c>
      <c r="AR52" s="66">
        <f>IF('Wtr-Gas'!AN54&lt;0,"0",('Wtr-Gas'!AN54)*0.0038)</f>
        <v>0</v>
      </c>
      <c r="AS52" s="66">
        <f>IF('Wtr-Gas'!AP54&lt;0,"0",('Wtr-Gas'!AP54)*0.0038)</f>
        <v>0</v>
      </c>
      <c r="AT52" s="66">
        <f>IF('Wtr-Gas'!AR54&lt;0,"0",('Wtr-Gas'!AR54)*0.0038)</f>
        <v>0</v>
      </c>
      <c r="AU52" s="72">
        <f>IF('Wtr-Gas'!AV54&lt;0,"0",('Wtr-Gas'!AV54)*0.0038)</f>
        <v>0</v>
      </c>
      <c r="AV52" s="66">
        <f>IF('Wtr-Gas'!AY54&lt;0,"0",('Wtr-Gas'!AY54)*0.0038)</f>
        <v>0</v>
      </c>
      <c r="AW52" s="66">
        <f>IF('Wtr-Gas'!BA54&lt;0,"0",('Wtr-Gas'!BA54)*0.0038)</f>
        <v>0</v>
      </c>
      <c r="AX52" s="66">
        <f>IF('Wtr-Gas'!BB54&lt;0,"0",('Wtr-Gas'!BB54)*0.0038)</f>
        <v>0</v>
      </c>
      <c r="AY52" s="66">
        <f>IF('Wtr-Gas'!BD54&lt;0,"0",('Wtr-Gas'!BD54)*0.0038)</f>
        <v>0</v>
      </c>
      <c r="AZ52" s="66">
        <f>IF('Wtr-Gas'!BF54&lt;0,"0",('Wtr-Gas'!BF54)*0.0038)</f>
        <v>0</v>
      </c>
      <c r="BA52" s="66">
        <f>IF('Wtr-Gas'!BH54&lt;0,"0",('Wtr-Gas'!BH54)*0.0038)</f>
        <v>0</v>
      </c>
    </row>
    <row r="53" spans="1:53" x14ac:dyDescent="0.25">
      <c r="A53" s="3" t="s">
        <v>11</v>
      </c>
      <c r="B53" s="1">
        <v>23</v>
      </c>
      <c r="C53" s="2">
        <v>10</v>
      </c>
      <c r="D53" s="2">
        <v>2023</v>
      </c>
      <c r="E53" s="33">
        <f>IF(Elect!AM55&lt;0,"0",Elect!AM55)</f>
        <v>0</v>
      </c>
      <c r="F53" s="33">
        <f>IF(Elect!I55&lt;0,"0",Elect!I55)</f>
        <v>0</v>
      </c>
      <c r="G53" s="33">
        <f>Elect!H55</f>
        <v>0</v>
      </c>
      <c r="H53" s="33">
        <f>IF(Elect!F55&lt;0,"0",Elect!F55)</f>
        <v>0</v>
      </c>
      <c r="I53" s="33">
        <f>Elect!E55</f>
        <v>0</v>
      </c>
      <c r="J53" s="33">
        <f>IF(Elect!U55&lt;0,"0",Elect!U55)</f>
        <v>0</v>
      </c>
      <c r="K53" s="33">
        <f>Elect!T55</f>
        <v>0</v>
      </c>
      <c r="L53" s="33">
        <f>IF(Elect!AJ55&lt;0,"0",Elect!AJ55)</f>
        <v>0</v>
      </c>
      <c r="M53" s="33">
        <f>Elect!AI55</f>
        <v>0</v>
      </c>
      <c r="N53" s="33">
        <f>IF(Elect!X55&lt;0,"0",Elect!X55)</f>
        <v>0</v>
      </c>
      <c r="O53" s="33">
        <f>Elect!W55</f>
        <v>0</v>
      </c>
      <c r="P53" s="33">
        <f>IF(Elect!O55&lt;0,"0",Elect!O55)</f>
        <v>0</v>
      </c>
      <c r="Q53" s="33">
        <f>Elect!N55</f>
        <v>0</v>
      </c>
      <c r="R53" s="33">
        <f>IF(Elect!L55&lt;0,"0",Elect!L55)</f>
        <v>0</v>
      </c>
      <c r="S53" s="33">
        <f>Elect!K55</f>
        <v>0</v>
      </c>
      <c r="T53" s="33">
        <f>IF(Elect!R55&lt;0,"0",Elect!R55)</f>
        <v>0</v>
      </c>
      <c r="U53" s="33">
        <f>Elect!Q55</f>
        <v>0</v>
      </c>
      <c r="V53" s="33">
        <f>IF(Elect!AA55&lt;0,"0",Elect!AA55)</f>
        <v>0</v>
      </c>
      <c r="W53" s="33">
        <f>Elect!Z55</f>
        <v>0</v>
      </c>
      <c r="X53" s="33">
        <f>IF(Elect!AD55&lt;0,"0",Elect!AD55)</f>
        <v>0</v>
      </c>
      <c r="Y53" s="33">
        <f>Elect!AC55</f>
        <v>0</v>
      </c>
      <c r="Z53" s="33">
        <f>IF(Elect!AG55&lt;0,"0",Elect!AG55)</f>
        <v>0</v>
      </c>
      <c r="AA53" s="33">
        <f>Elect!AF55</f>
        <v>0</v>
      </c>
      <c r="AB53" s="33">
        <f>IF(Elect!AX55&lt;0,"0",Elect!AX55)</f>
        <v>0</v>
      </c>
      <c r="AC53" s="33">
        <f>IF(Elect!AV55&lt;0,"0",Elect!AV55)</f>
        <v>0</v>
      </c>
      <c r="AD53" s="33">
        <f>IF(Elect!AZ55&lt;0,"0",Elect!AZ55)</f>
        <v>0</v>
      </c>
      <c r="AE53" s="33">
        <f>IF(Elect!BB55&lt;0,"0",Elect!BB55)</f>
        <v>0</v>
      </c>
      <c r="AF53" s="66">
        <f>IF('Wtr-Gas'!E55&lt;0,"0",('Wtr-Gas'!E55)*0.0038)</f>
        <v>0</v>
      </c>
      <c r="AG53" s="66">
        <f>IF('Wtr-Gas'!H55&lt;0,"0",('Wtr-Gas'!H55)*0.0038)</f>
        <v>0</v>
      </c>
      <c r="AH53" s="66">
        <f>IF('Wtr-Gas'!K55&lt;0,"0",('Wtr-Gas'!K55)*0.0038)</f>
        <v>0</v>
      </c>
      <c r="AI53" s="66">
        <f>IF('Wtr-Gas'!N55&lt;0,"0",('Wtr-Gas'!N55)*0.0038)</f>
        <v>0</v>
      </c>
      <c r="AJ53" s="66">
        <f>IF('Wtr-Gas'!Q55&lt;0,"0",('Wtr-Gas'!Q55)*0.0038)</f>
        <v>0</v>
      </c>
      <c r="AK53" s="67">
        <f>IF('Wtr-Gas'!U55&lt;0,"0",('Wtr-Gas'!U55)*0.0038)</f>
        <v>0</v>
      </c>
      <c r="AL53" s="67">
        <f>IF('Wtr-Gas'!X55&lt;0,"0",('Wtr-Gas'!X55)*0.0038)</f>
        <v>0</v>
      </c>
      <c r="AM53" s="66">
        <f>IF('Wtr-Gas'!AB55&lt;0,"0",('Wtr-Gas'!AB55)*0.0038)</f>
        <v>0</v>
      </c>
      <c r="AN53" s="66">
        <f>IF('Wtr-Gas'!AD55&lt;0,"0",('Wtr-Gas'!AD55)*0.0038)</f>
        <v>0</v>
      </c>
      <c r="AO53" s="66">
        <f>IF('Wtr-Gas'!AH55&lt;0,"0",('Wtr-Gas'!AH55)*0.0038)</f>
        <v>0</v>
      </c>
      <c r="AP53" s="66">
        <f>IF('Wtr-Gas'!AJ55&lt;0,"0",('Wtr-Gas'!AJ55)*0.0038)</f>
        <v>0</v>
      </c>
      <c r="AQ53" s="66">
        <f>IF('Wtr-Gas'!AL55&lt;0,"0",('Wtr-Gas'!AL55)*0.0038)</f>
        <v>0</v>
      </c>
      <c r="AR53" s="66">
        <f>IF('Wtr-Gas'!AN55&lt;0,"0",('Wtr-Gas'!AN55)*0.0038)</f>
        <v>0</v>
      </c>
      <c r="AS53" s="66">
        <f>IF('Wtr-Gas'!AP55&lt;0,"0",('Wtr-Gas'!AP55)*0.0038)</f>
        <v>0</v>
      </c>
      <c r="AT53" s="66">
        <f>IF('Wtr-Gas'!AR55&lt;0,"0",('Wtr-Gas'!AR55)*0.0038)</f>
        <v>0</v>
      </c>
      <c r="AU53" s="72">
        <f>IF('Wtr-Gas'!AV55&lt;0,"0",('Wtr-Gas'!AV55)*0.0038)</f>
        <v>0</v>
      </c>
      <c r="AV53" s="66">
        <f>IF('Wtr-Gas'!AY55&lt;0,"0",('Wtr-Gas'!AY55)*0.0038)</f>
        <v>0</v>
      </c>
      <c r="AW53" s="66">
        <f>IF('Wtr-Gas'!BA55&lt;0,"0",('Wtr-Gas'!BA55)*0.0038)</f>
        <v>0</v>
      </c>
      <c r="AX53" s="66">
        <f>IF('Wtr-Gas'!BB55&lt;0,"0",('Wtr-Gas'!BB55)*0.0038)</f>
        <v>0</v>
      </c>
      <c r="AY53" s="66">
        <f>IF('Wtr-Gas'!BD55&lt;0,"0",('Wtr-Gas'!BD55)*0.0038)</f>
        <v>0</v>
      </c>
      <c r="AZ53" s="66">
        <f>IF('Wtr-Gas'!BF55&lt;0,"0",('Wtr-Gas'!BF55)*0.0038)</f>
        <v>0</v>
      </c>
      <c r="BA53" s="66">
        <f>IF('Wtr-Gas'!BH55&lt;0,"0",('Wtr-Gas'!BH55)*0.0038)</f>
        <v>0</v>
      </c>
    </row>
    <row r="54" spans="1:53" x14ac:dyDescent="0.25">
      <c r="A54" s="3" t="s">
        <v>11</v>
      </c>
      <c r="B54" s="1">
        <v>30</v>
      </c>
      <c r="C54" s="2">
        <v>10</v>
      </c>
      <c r="D54" s="2">
        <v>2023</v>
      </c>
      <c r="E54" s="33">
        <f>IF(Elect!AM56&lt;0,"0",Elect!AM56)</f>
        <v>0</v>
      </c>
      <c r="F54" s="33">
        <f>IF(Elect!I56&lt;0,"0",Elect!I56)</f>
        <v>0</v>
      </c>
      <c r="G54" s="33">
        <f>Elect!H56</f>
        <v>0</v>
      </c>
      <c r="H54" s="33">
        <f>IF(Elect!F56&lt;0,"0",Elect!F56)</f>
        <v>0</v>
      </c>
      <c r="I54" s="33">
        <f>Elect!E56</f>
        <v>0</v>
      </c>
      <c r="J54" s="33">
        <f>IF(Elect!U56&lt;0,"0",Elect!U56)</f>
        <v>0</v>
      </c>
      <c r="K54" s="33">
        <f>Elect!T56</f>
        <v>0</v>
      </c>
      <c r="L54" s="33">
        <f>IF(Elect!AJ56&lt;0,"0",Elect!AJ56)</f>
        <v>0</v>
      </c>
      <c r="M54" s="33">
        <f>Elect!AI56</f>
        <v>0</v>
      </c>
      <c r="N54" s="33">
        <f>IF(Elect!X56&lt;0,"0",Elect!X56)</f>
        <v>0</v>
      </c>
      <c r="O54" s="33">
        <f>Elect!W56</f>
        <v>0</v>
      </c>
      <c r="P54" s="33">
        <f>IF(Elect!O56&lt;0,"0",Elect!O56)</f>
        <v>0</v>
      </c>
      <c r="Q54" s="33">
        <f>Elect!N56</f>
        <v>0</v>
      </c>
      <c r="R54" s="33">
        <f>IF(Elect!L56&lt;0,"0",Elect!L56)</f>
        <v>0</v>
      </c>
      <c r="S54" s="33">
        <f>Elect!K56</f>
        <v>0</v>
      </c>
      <c r="T54" s="33">
        <f>IF(Elect!R56&lt;0,"0",Elect!R56)</f>
        <v>0</v>
      </c>
      <c r="U54" s="33">
        <f>Elect!Q56</f>
        <v>0</v>
      </c>
      <c r="V54" s="33">
        <f>IF(Elect!AA56&lt;0,"0",Elect!AA56)</f>
        <v>0</v>
      </c>
      <c r="W54" s="33">
        <f>Elect!Z56</f>
        <v>0</v>
      </c>
      <c r="X54" s="33">
        <f>IF(Elect!AD56&lt;0,"0",Elect!AD56)</f>
        <v>0</v>
      </c>
      <c r="Y54" s="33">
        <f>Elect!AC56</f>
        <v>0</v>
      </c>
      <c r="Z54" s="33">
        <f>IF(Elect!AG56&lt;0,"0",Elect!AG56)</f>
        <v>0</v>
      </c>
      <c r="AA54" s="33">
        <f>Elect!AF56</f>
        <v>0</v>
      </c>
      <c r="AB54" s="33">
        <f>IF(Elect!AX56&lt;0,"0",Elect!AX56)</f>
        <v>0</v>
      </c>
      <c r="AC54" s="33">
        <f>IF(Elect!AV56&lt;0,"0",Elect!AV56)</f>
        <v>0</v>
      </c>
      <c r="AD54" s="33">
        <f>IF(Elect!AZ56&lt;0,"0",Elect!AZ56)</f>
        <v>0</v>
      </c>
      <c r="AE54" s="33">
        <f>IF(Elect!BB56&lt;0,"0",Elect!BB56)</f>
        <v>0</v>
      </c>
      <c r="AF54" s="66">
        <f>IF('Wtr-Gas'!E56&lt;0,"0",('Wtr-Gas'!E56)*0.0038)</f>
        <v>0</v>
      </c>
      <c r="AG54" s="66">
        <f>IF('Wtr-Gas'!H56&lt;0,"0",('Wtr-Gas'!H56)*0.0038)</f>
        <v>0</v>
      </c>
      <c r="AH54" s="66">
        <f>IF('Wtr-Gas'!K56&lt;0,"0",('Wtr-Gas'!K56)*0.0038)</f>
        <v>0</v>
      </c>
      <c r="AI54" s="66">
        <f>IF('Wtr-Gas'!N56&lt;0,"0",('Wtr-Gas'!N56)*0.0038)</f>
        <v>0</v>
      </c>
      <c r="AJ54" s="66">
        <f>IF('Wtr-Gas'!Q56&lt;0,"0",('Wtr-Gas'!Q56)*0.0038)</f>
        <v>0</v>
      </c>
      <c r="AK54" s="67">
        <f>IF('Wtr-Gas'!U56&lt;0,"0",('Wtr-Gas'!U56)*0.0038)</f>
        <v>0</v>
      </c>
      <c r="AL54" s="67">
        <f>IF('Wtr-Gas'!X56&lt;0,"0",('Wtr-Gas'!X56)*0.0038)</f>
        <v>0</v>
      </c>
      <c r="AM54" s="66">
        <f>IF('Wtr-Gas'!AB56&lt;0,"0",('Wtr-Gas'!AB56)*0.0038)</f>
        <v>0</v>
      </c>
      <c r="AN54" s="66">
        <f>IF('Wtr-Gas'!AD56&lt;0,"0",('Wtr-Gas'!AD56)*0.0038)</f>
        <v>0</v>
      </c>
      <c r="AO54" s="66">
        <f>IF('Wtr-Gas'!AH56&lt;0,"0",('Wtr-Gas'!AH56)*0.0038)</f>
        <v>0</v>
      </c>
      <c r="AP54" s="66">
        <f>IF('Wtr-Gas'!AJ56&lt;0,"0",('Wtr-Gas'!AJ56)*0.0038)</f>
        <v>0</v>
      </c>
      <c r="AQ54" s="66">
        <f>IF('Wtr-Gas'!AL56&lt;0,"0",('Wtr-Gas'!AL56)*0.0038)</f>
        <v>0</v>
      </c>
      <c r="AR54" s="66">
        <f>IF('Wtr-Gas'!AN56&lt;0,"0",('Wtr-Gas'!AN56)*0.0038)</f>
        <v>0</v>
      </c>
      <c r="AS54" s="66">
        <f>IF('Wtr-Gas'!AP56&lt;0,"0",('Wtr-Gas'!AP56)*0.0038)</f>
        <v>0</v>
      </c>
      <c r="AT54" s="66">
        <f>IF('Wtr-Gas'!AR56&lt;0,"0",('Wtr-Gas'!AR56)*0.0038)</f>
        <v>0</v>
      </c>
      <c r="AU54" s="72">
        <f>IF('Wtr-Gas'!AV56&lt;0,"0",('Wtr-Gas'!AV56)*0.0038)</f>
        <v>0</v>
      </c>
      <c r="AV54" s="66">
        <f>IF('Wtr-Gas'!AY56&lt;0,"0",('Wtr-Gas'!AY56)*0.0038)</f>
        <v>0</v>
      </c>
      <c r="AW54" s="66">
        <f>IF('Wtr-Gas'!BA56&lt;0,"0",('Wtr-Gas'!BA56)*0.0038)</f>
        <v>0</v>
      </c>
      <c r="AX54" s="66">
        <f>IF('Wtr-Gas'!BB56&lt;0,"0",('Wtr-Gas'!BB56)*0.0038)</f>
        <v>0</v>
      </c>
      <c r="AY54" s="66">
        <f>IF('Wtr-Gas'!BD56&lt;0,"0",('Wtr-Gas'!BD56)*0.0038)</f>
        <v>0</v>
      </c>
      <c r="AZ54" s="66">
        <f>IF('Wtr-Gas'!BF56&lt;0,"0",('Wtr-Gas'!BF56)*0.0038)</f>
        <v>0</v>
      </c>
      <c r="BA54" s="66">
        <f>IF('Wtr-Gas'!BH56&lt;0,"0",('Wtr-Gas'!BH56)*0.0038)</f>
        <v>0</v>
      </c>
    </row>
    <row r="55" spans="1:53" x14ac:dyDescent="0.25">
      <c r="A55" s="3" t="s">
        <v>11</v>
      </c>
      <c r="B55" s="1">
        <v>31</v>
      </c>
      <c r="C55" s="2">
        <v>10</v>
      </c>
      <c r="D55" s="2">
        <v>2023</v>
      </c>
      <c r="E55" s="33">
        <f>IF(Elect!AM57&lt;0,"0",Elect!AM57)</f>
        <v>0</v>
      </c>
      <c r="F55" s="33">
        <f>IF(Elect!I57&lt;0,"0",Elect!I57)</f>
        <v>0</v>
      </c>
      <c r="G55" s="33">
        <f>Elect!H57</f>
        <v>0</v>
      </c>
      <c r="H55" s="33">
        <f>IF(Elect!F57&lt;0,"0",Elect!F57)</f>
        <v>0</v>
      </c>
      <c r="I55" s="33">
        <f>Elect!E57</f>
        <v>0</v>
      </c>
      <c r="J55" s="33">
        <f>IF(Elect!U57&lt;0,"0",Elect!U57)</f>
        <v>0</v>
      </c>
      <c r="K55" s="33">
        <f>Elect!T57</f>
        <v>0</v>
      </c>
      <c r="L55" s="33">
        <f>IF(Elect!AJ57&lt;0,"0",Elect!AJ57)</f>
        <v>0</v>
      </c>
      <c r="M55" s="33">
        <f>Elect!AI57</f>
        <v>0</v>
      </c>
      <c r="N55" s="33">
        <f>IF(Elect!X57&lt;0,"0",Elect!X57)</f>
        <v>0</v>
      </c>
      <c r="O55" s="33">
        <f>Elect!W57</f>
        <v>0</v>
      </c>
      <c r="P55" s="33">
        <f>IF(Elect!O57&lt;0,"0",Elect!O57)</f>
        <v>0</v>
      </c>
      <c r="Q55" s="33">
        <f>Elect!N57</f>
        <v>0</v>
      </c>
      <c r="R55" s="33">
        <f>IF(Elect!L57&lt;0,"0",Elect!L57)</f>
        <v>0</v>
      </c>
      <c r="S55" s="33">
        <f>Elect!K57</f>
        <v>0</v>
      </c>
      <c r="T55" s="33">
        <f>IF(Elect!R57&lt;0,"0",Elect!R57)</f>
        <v>0</v>
      </c>
      <c r="U55" s="33">
        <f>Elect!Q57</f>
        <v>0</v>
      </c>
      <c r="V55" s="33">
        <f>IF(Elect!AA57&lt;0,"0",Elect!AA57)</f>
        <v>0</v>
      </c>
      <c r="W55" s="33">
        <f>Elect!Z57</f>
        <v>0</v>
      </c>
      <c r="X55" s="33">
        <f>IF(Elect!AD57&lt;0,"0",Elect!AD57)</f>
        <v>0</v>
      </c>
      <c r="Y55" s="33">
        <f>Elect!AC57</f>
        <v>0</v>
      </c>
      <c r="Z55" s="33">
        <f>IF(Elect!AG57&lt;0,"0",Elect!AG57)</f>
        <v>0</v>
      </c>
      <c r="AA55" s="33">
        <f>Elect!AF57</f>
        <v>0</v>
      </c>
      <c r="AB55" s="33">
        <f>IF(Elect!AX57&lt;0,"0",Elect!AX57)</f>
        <v>0</v>
      </c>
      <c r="AC55" s="33">
        <f>IF(Elect!AV57&lt;0,"0",Elect!AV57)</f>
        <v>0</v>
      </c>
      <c r="AD55" s="33">
        <f>IF(Elect!AZ57&lt;0,"0",Elect!AZ57)</f>
        <v>0</v>
      </c>
      <c r="AE55" s="33">
        <f>IF(Elect!BB57&lt;0,"0",Elect!BB57)</f>
        <v>0</v>
      </c>
      <c r="AF55" s="66">
        <f>IF('Wtr-Gas'!E57&lt;0,"0",('Wtr-Gas'!E57)*0.0038)</f>
        <v>0</v>
      </c>
      <c r="AG55" s="66">
        <f>IF('Wtr-Gas'!H57&lt;0,"0",('Wtr-Gas'!H57)*0.0038)</f>
        <v>0</v>
      </c>
      <c r="AH55" s="66">
        <f>IF('Wtr-Gas'!K57&lt;0,"0",('Wtr-Gas'!K57)*0.0038)</f>
        <v>0</v>
      </c>
      <c r="AI55" s="66">
        <f>IF('Wtr-Gas'!N57&lt;0,"0",('Wtr-Gas'!N57)*0.0038)</f>
        <v>0</v>
      </c>
      <c r="AJ55" s="66">
        <f>IF('Wtr-Gas'!Q57&lt;0,"0",('Wtr-Gas'!Q57)*0.0038)</f>
        <v>0</v>
      </c>
      <c r="AK55" s="67">
        <f>IF('Wtr-Gas'!U57&lt;0,"0",('Wtr-Gas'!U57)*0.0038)</f>
        <v>0</v>
      </c>
      <c r="AL55" s="67">
        <f>IF('Wtr-Gas'!X57&lt;0,"0",('Wtr-Gas'!X57)*0.0038)</f>
        <v>0</v>
      </c>
      <c r="AM55" s="66">
        <f>IF('Wtr-Gas'!AB57&lt;0,"0",('Wtr-Gas'!AB57)*0.0038)</f>
        <v>0</v>
      </c>
      <c r="AN55" s="66">
        <f>IF('Wtr-Gas'!AD57&lt;0,"0",('Wtr-Gas'!AD57)*0.0038)</f>
        <v>0</v>
      </c>
      <c r="AO55" s="66">
        <f>IF('Wtr-Gas'!AH57&lt;0,"0",('Wtr-Gas'!AH57)*0.0038)</f>
        <v>0</v>
      </c>
      <c r="AP55" s="66">
        <f>IF('Wtr-Gas'!AJ57&lt;0,"0",('Wtr-Gas'!AJ57)*0.0038)</f>
        <v>0</v>
      </c>
      <c r="AQ55" s="66">
        <f>IF('Wtr-Gas'!AL57&lt;0,"0",('Wtr-Gas'!AL57)*0.0038)</f>
        <v>0</v>
      </c>
      <c r="AR55" s="66">
        <f>IF('Wtr-Gas'!AN57&lt;0,"0",('Wtr-Gas'!AN57)*0.0038)</f>
        <v>0</v>
      </c>
      <c r="AS55" s="66">
        <f>IF('Wtr-Gas'!AP57&lt;0,"0",('Wtr-Gas'!AP57)*0.0038)</f>
        <v>0</v>
      </c>
      <c r="AT55" s="66">
        <f>IF('Wtr-Gas'!AR57&lt;0,"0",('Wtr-Gas'!AR57)*0.0038)</f>
        <v>0</v>
      </c>
      <c r="AU55" s="72">
        <f>IF('Wtr-Gas'!AV57&lt;0,"0",('Wtr-Gas'!AV57)*0.0038)</f>
        <v>0</v>
      </c>
      <c r="AV55" s="66">
        <f>IF('Wtr-Gas'!AY57&lt;0,"0",('Wtr-Gas'!AY57)*0.0038)</f>
        <v>0</v>
      </c>
      <c r="AW55" s="66">
        <f>IF('Wtr-Gas'!BA57&lt;0,"0",('Wtr-Gas'!BA57)*0.0038)</f>
        <v>0</v>
      </c>
      <c r="AX55" s="66">
        <f>IF('Wtr-Gas'!BB57&lt;0,"0",('Wtr-Gas'!BB57)*0.0038)</f>
        <v>0</v>
      </c>
      <c r="AY55" s="66">
        <f>IF('Wtr-Gas'!BD57&lt;0,"0",('Wtr-Gas'!BD57)*0.0038)</f>
        <v>0</v>
      </c>
      <c r="AZ55" s="66">
        <f>IF('Wtr-Gas'!BF57&lt;0,"0",('Wtr-Gas'!BF57)*0.0038)</f>
        <v>0</v>
      </c>
      <c r="BA55" s="66">
        <f>IF('Wtr-Gas'!BH57&lt;0,"0",('Wtr-Gas'!BH57)*0.0038)</f>
        <v>0</v>
      </c>
    </row>
    <row r="56" spans="1:53" x14ac:dyDescent="0.25">
      <c r="A56" s="3" t="s">
        <v>11</v>
      </c>
      <c r="B56" s="1">
        <v>6</v>
      </c>
      <c r="C56" s="2">
        <v>11</v>
      </c>
      <c r="D56" s="2">
        <v>2023</v>
      </c>
      <c r="E56" s="33">
        <f>IF(Elect!AM58&lt;0,"0",Elect!AM58)</f>
        <v>0</v>
      </c>
      <c r="F56" s="33">
        <f>IF(Elect!I58&lt;0,"0",Elect!I58)</f>
        <v>0</v>
      </c>
      <c r="G56" s="33">
        <f>Elect!H58</f>
        <v>0</v>
      </c>
      <c r="H56" s="33">
        <f>IF(Elect!F58&lt;0,"0",Elect!F58)</f>
        <v>0</v>
      </c>
      <c r="I56" s="33">
        <f>Elect!E58</f>
        <v>0</v>
      </c>
      <c r="J56" s="33">
        <f>IF(Elect!U58&lt;0,"0",Elect!U58)</f>
        <v>0</v>
      </c>
      <c r="K56" s="33">
        <f>Elect!T58</f>
        <v>0</v>
      </c>
      <c r="L56" s="33">
        <f>IF(Elect!AJ58&lt;0,"0",Elect!AJ58)</f>
        <v>0</v>
      </c>
      <c r="M56" s="33">
        <f>Elect!AI58</f>
        <v>0</v>
      </c>
      <c r="N56" s="33">
        <f>IF(Elect!X58&lt;0,"0",Elect!X58)</f>
        <v>0</v>
      </c>
      <c r="O56" s="33">
        <f>Elect!W58</f>
        <v>0</v>
      </c>
      <c r="P56" s="33">
        <f>IF(Elect!O58&lt;0,"0",Elect!O58)</f>
        <v>0</v>
      </c>
      <c r="Q56" s="33">
        <f>Elect!N58</f>
        <v>0</v>
      </c>
      <c r="R56" s="33">
        <f>IF(Elect!L58&lt;0,"0",Elect!L58)</f>
        <v>0</v>
      </c>
      <c r="S56" s="33">
        <f>Elect!K58</f>
        <v>0</v>
      </c>
      <c r="T56" s="33">
        <f>IF(Elect!R58&lt;0,"0",Elect!R58)</f>
        <v>0</v>
      </c>
      <c r="U56" s="33">
        <f>Elect!Q58</f>
        <v>0</v>
      </c>
      <c r="V56" s="33">
        <f>IF(Elect!AA58&lt;0,"0",Elect!AA58)</f>
        <v>0</v>
      </c>
      <c r="W56" s="33">
        <f>Elect!Z58</f>
        <v>0</v>
      </c>
      <c r="X56" s="33">
        <f>IF(Elect!AD58&lt;0,"0",Elect!AD58)</f>
        <v>0</v>
      </c>
      <c r="Y56" s="33">
        <f>Elect!AC58</f>
        <v>0</v>
      </c>
      <c r="Z56" s="33">
        <f>IF(Elect!AG58&lt;0,"0",Elect!AG58)</f>
        <v>0</v>
      </c>
      <c r="AA56" s="33">
        <f>Elect!AF58</f>
        <v>0</v>
      </c>
      <c r="AB56" s="33">
        <f>IF(Elect!AX58&lt;0,"0",Elect!AX58)</f>
        <v>0</v>
      </c>
      <c r="AC56" s="33">
        <f>IF(Elect!AV58&lt;0,"0",Elect!AV58)</f>
        <v>0</v>
      </c>
      <c r="AD56" s="33">
        <f>IF(Elect!AZ58&lt;0,"0",Elect!AZ58)</f>
        <v>0</v>
      </c>
      <c r="AE56" s="33">
        <f>IF(Elect!BB58&lt;0,"0",Elect!BB58)</f>
        <v>0</v>
      </c>
      <c r="AF56" s="66">
        <f>IF('Wtr-Gas'!E58&lt;0,"0",('Wtr-Gas'!E58)*0.0038)</f>
        <v>0</v>
      </c>
      <c r="AG56" s="66">
        <f>IF('Wtr-Gas'!H58&lt;0,"0",('Wtr-Gas'!H58)*0.0038)</f>
        <v>0</v>
      </c>
      <c r="AH56" s="66">
        <f>IF('Wtr-Gas'!K58&lt;0,"0",('Wtr-Gas'!K58)*0.0038)</f>
        <v>0</v>
      </c>
      <c r="AI56" s="66">
        <f>IF('Wtr-Gas'!N58&lt;0,"0",('Wtr-Gas'!N58)*0.0038)</f>
        <v>0</v>
      </c>
      <c r="AJ56" s="66">
        <f>IF('Wtr-Gas'!Q58&lt;0,"0",('Wtr-Gas'!Q58)*0.0038)</f>
        <v>0</v>
      </c>
      <c r="AK56" s="67">
        <f>IF('Wtr-Gas'!U58&lt;0,"0",('Wtr-Gas'!U58)*0.0038)</f>
        <v>0</v>
      </c>
      <c r="AL56" s="67">
        <f>IF('Wtr-Gas'!X58&lt;0,"0",('Wtr-Gas'!X58)*0.0038)</f>
        <v>0</v>
      </c>
      <c r="AM56" s="66">
        <f>IF('Wtr-Gas'!AB58&lt;0,"0",('Wtr-Gas'!AB58)*0.0038)</f>
        <v>0</v>
      </c>
      <c r="AN56" s="66">
        <f>IF('Wtr-Gas'!AD58&lt;0,"0",('Wtr-Gas'!AD58)*0.0038)</f>
        <v>0</v>
      </c>
      <c r="AO56" s="66">
        <f>IF('Wtr-Gas'!AH58&lt;0,"0",('Wtr-Gas'!AH58)*0.0038)</f>
        <v>0</v>
      </c>
      <c r="AP56" s="66">
        <f>IF('Wtr-Gas'!AJ58&lt;0,"0",('Wtr-Gas'!AJ58)*0.0038)</f>
        <v>0</v>
      </c>
      <c r="AQ56" s="66">
        <f>IF('Wtr-Gas'!AL58&lt;0,"0",('Wtr-Gas'!AL58)*0.0038)</f>
        <v>0</v>
      </c>
      <c r="AR56" s="66">
        <f>IF('Wtr-Gas'!AN58&lt;0,"0",('Wtr-Gas'!AN58)*0.0038)</f>
        <v>0</v>
      </c>
      <c r="AS56" s="66">
        <f>IF('Wtr-Gas'!AP58&lt;0,"0",('Wtr-Gas'!AP58)*0.0038)</f>
        <v>0</v>
      </c>
      <c r="AT56" s="66">
        <f>IF('Wtr-Gas'!AR58&lt;0,"0",('Wtr-Gas'!AR58)*0.0038)</f>
        <v>0</v>
      </c>
      <c r="AU56" s="72">
        <f>IF('Wtr-Gas'!AV58&lt;0,"0",('Wtr-Gas'!AV58)*0.0038)</f>
        <v>0</v>
      </c>
      <c r="AV56" s="66">
        <f>IF('Wtr-Gas'!AY58&lt;0,"0",('Wtr-Gas'!AY58)*0.0038)</f>
        <v>0</v>
      </c>
      <c r="AW56" s="66">
        <f>IF('Wtr-Gas'!BA58&lt;0,"0",('Wtr-Gas'!BA58)*0.0038)</f>
        <v>0</v>
      </c>
      <c r="AX56" s="66">
        <f>IF('Wtr-Gas'!BB58&lt;0,"0",('Wtr-Gas'!BB58)*0.0038)</f>
        <v>0</v>
      </c>
      <c r="AY56" s="66">
        <f>IF('Wtr-Gas'!BD58&lt;0,"0",('Wtr-Gas'!BD58)*0.0038)</f>
        <v>0</v>
      </c>
      <c r="AZ56" s="66">
        <f>IF('Wtr-Gas'!BF58&lt;0,"0",('Wtr-Gas'!BF58)*0.0038)</f>
        <v>0</v>
      </c>
      <c r="BA56" s="66">
        <f>IF('Wtr-Gas'!BH58&lt;0,"0",('Wtr-Gas'!BH58)*0.0038)</f>
        <v>0</v>
      </c>
    </row>
    <row r="57" spans="1:53" x14ac:dyDescent="0.25">
      <c r="A57" s="3" t="s">
        <v>11</v>
      </c>
      <c r="B57" s="1">
        <v>13</v>
      </c>
      <c r="C57" s="2">
        <v>11</v>
      </c>
      <c r="D57" s="2">
        <v>2023</v>
      </c>
      <c r="E57" s="33">
        <f>IF(Elect!AM59&lt;0,"0",Elect!AM59)</f>
        <v>0</v>
      </c>
      <c r="F57" s="33">
        <f>IF(Elect!I59&lt;0,"0",Elect!I59)</f>
        <v>0</v>
      </c>
      <c r="G57" s="33">
        <f>Elect!H59</f>
        <v>0</v>
      </c>
      <c r="H57" s="33">
        <f>IF(Elect!F59&lt;0,"0",Elect!F59)</f>
        <v>0</v>
      </c>
      <c r="I57" s="33">
        <f>Elect!E59</f>
        <v>0</v>
      </c>
      <c r="J57" s="33">
        <f>IF(Elect!U59&lt;0,"0",Elect!U59)</f>
        <v>0</v>
      </c>
      <c r="K57" s="33">
        <f>Elect!T59</f>
        <v>0</v>
      </c>
      <c r="L57" s="33">
        <f>IF(Elect!AJ59&lt;0,"0",Elect!AJ59)</f>
        <v>0</v>
      </c>
      <c r="M57" s="33">
        <f>Elect!AI59</f>
        <v>0</v>
      </c>
      <c r="N57" s="33">
        <f>IF(Elect!X59&lt;0,"0",Elect!X59)</f>
        <v>0</v>
      </c>
      <c r="O57" s="33">
        <f>Elect!W59</f>
        <v>0</v>
      </c>
      <c r="P57" s="33">
        <f>IF(Elect!O59&lt;0,"0",Elect!O59)</f>
        <v>0</v>
      </c>
      <c r="Q57" s="33">
        <f>Elect!N59</f>
        <v>0</v>
      </c>
      <c r="R57" s="33">
        <f>IF(Elect!L59&lt;0,"0",Elect!L59)</f>
        <v>0</v>
      </c>
      <c r="S57" s="33">
        <f>Elect!K59</f>
        <v>0</v>
      </c>
      <c r="T57" s="33">
        <f>IF(Elect!R59&lt;0,"0",Elect!R59)</f>
        <v>0</v>
      </c>
      <c r="U57" s="33">
        <f>Elect!Q59</f>
        <v>0</v>
      </c>
      <c r="V57" s="33">
        <f>IF(Elect!AA59&lt;0,"0",Elect!AA59)</f>
        <v>0</v>
      </c>
      <c r="W57" s="33">
        <f>Elect!Z59</f>
        <v>0</v>
      </c>
      <c r="X57" s="33">
        <f>IF(Elect!AD59&lt;0,"0",Elect!AD59)</f>
        <v>0</v>
      </c>
      <c r="Y57" s="33">
        <f>Elect!AC59</f>
        <v>0</v>
      </c>
      <c r="Z57" s="33">
        <f>IF(Elect!AG59&lt;0,"0",Elect!AG59)</f>
        <v>0</v>
      </c>
      <c r="AA57" s="33">
        <f>Elect!AF59</f>
        <v>0</v>
      </c>
      <c r="AB57" s="33">
        <f>IF(Elect!AX59&lt;0,"0",Elect!AX59)</f>
        <v>0</v>
      </c>
      <c r="AC57" s="33">
        <f>IF(Elect!AV59&lt;0,"0",Elect!AV59)</f>
        <v>0</v>
      </c>
      <c r="AD57" s="33">
        <f>IF(Elect!AZ59&lt;0,"0",Elect!AZ59)</f>
        <v>0</v>
      </c>
      <c r="AE57" s="33">
        <f>IF(Elect!BB59&lt;0,"0",Elect!BB59)</f>
        <v>0</v>
      </c>
      <c r="AF57" s="66">
        <f>IF('Wtr-Gas'!E59&lt;0,"0",('Wtr-Gas'!E59)*0.0038)</f>
        <v>0</v>
      </c>
      <c r="AG57" s="66">
        <f>IF('Wtr-Gas'!H59&lt;0,"0",('Wtr-Gas'!H59)*0.0038)</f>
        <v>0</v>
      </c>
      <c r="AH57" s="66">
        <f>IF('Wtr-Gas'!K59&lt;0,"0",('Wtr-Gas'!K59)*0.0038)</f>
        <v>0</v>
      </c>
      <c r="AI57" s="66">
        <f>IF('Wtr-Gas'!N59&lt;0,"0",('Wtr-Gas'!N59)*0.0038)</f>
        <v>0</v>
      </c>
      <c r="AJ57" s="66">
        <f>IF('Wtr-Gas'!Q59&lt;0,"0",('Wtr-Gas'!Q59)*0.0038)</f>
        <v>0</v>
      </c>
      <c r="AK57" s="67">
        <f>IF('Wtr-Gas'!U59&lt;0,"0",('Wtr-Gas'!U59)*0.0038)</f>
        <v>0</v>
      </c>
      <c r="AL57" s="67">
        <f>IF('Wtr-Gas'!X59&lt;0,"0",('Wtr-Gas'!X59)*0.0038)</f>
        <v>0</v>
      </c>
      <c r="AM57" s="66">
        <f>IF('Wtr-Gas'!AB59&lt;0,"0",('Wtr-Gas'!AB59)*0.0038)</f>
        <v>0</v>
      </c>
      <c r="AN57" s="66">
        <f>IF('Wtr-Gas'!AD59&lt;0,"0",('Wtr-Gas'!AD59)*0.0038)</f>
        <v>0</v>
      </c>
      <c r="AO57" s="66">
        <f>IF('Wtr-Gas'!AH59&lt;0,"0",('Wtr-Gas'!AH59)*0.0038)</f>
        <v>0</v>
      </c>
      <c r="AP57" s="66">
        <f>IF('Wtr-Gas'!AJ59&lt;0,"0",('Wtr-Gas'!AJ59)*0.0038)</f>
        <v>0</v>
      </c>
      <c r="AQ57" s="66">
        <f>IF('Wtr-Gas'!AL59&lt;0,"0",('Wtr-Gas'!AL59)*0.0038)</f>
        <v>0</v>
      </c>
      <c r="AR57" s="66">
        <f>IF('Wtr-Gas'!AN59&lt;0,"0",('Wtr-Gas'!AN59)*0.0038)</f>
        <v>0</v>
      </c>
      <c r="AS57" s="66">
        <f>IF('Wtr-Gas'!AP59&lt;0,"0",('Wtr-Gas'!AP59)*0.0038)</f>
        <v>0</v>
      </c>
      <c r="AT57" s="66">
        <f>IF('Wtr-Gas'!AR59&lt;0,"0",('Wtr-Gas'!AR59)*0.0038)</f>
        <v>0</v>
      </c>
      <c r="AU57" s="72">
        <f>IF('Wtr-Gas'!AV59&lt;0,"0",('Wtr-Gas'!AV59)*0.0038)</f>
        <v>0</v>
      </c>
      <c r="AV57" s="66">
        <f>IF('Wtr-Gas'!AY59&lt;0,"0",('Wtr-Gas'!AY59)*0.0038)</f>
        <v>0</v>
      </c>
      <c r="AW57" s="66">
        <f>IF('Wtr-Gas'!BA59&lt;0,"0",('Wtr-Gas'!BA59)*0.0038)</f>
        <v>0</v>
      </c>
      <c r="AX57" s="66">
        <f>IF('Wtr-Gas'!BB59&lt;0,"0",('Wtr-Gas'!BB59)*0.0038)</f>
        <v>0</v>
      </c>
      <c r="AY57" s="66">
        <f>IF('Wtr-Gas'!BD59&lt;0,"0",('Wtr-Gas'!BD59)*0.0038)</f>
        <v>0</v>
      </c>
      <c r="AZ57" s="66">
        <f>IF('Wtr-Gas'!BF59&lt;0,"0",('Wtr-Gas'!BF59)*0.0038)</f>
        <v>0</v>
      </c>
      <c r="BA57" s="66">
        <f>IF('Wtr-Gas'!BH59&lt;0,"0",('Wtr-Gas'!BH59)*0.0038)</f>
        <v>0</v>
      </c>
    </row>
    <row r="58" spans="1:53" x14ac:dyDescent="0.25">
      <c r="A58" s="3" t="s">
        <v>11</v>
      </c>
      <c r="B58" s="1">
        <v>20</v>
      </c>
      <c r="C58" s="2">
        <v>11</v>
      </c>
      <c r="D58" s="2">
        <v>2023</v>
      </c>
      <c r="E58" s="33">
        <f>IF(Elect!AM60&lt;0,"0",Elect!AM60)</f>
        <v>0</v>
      </c>
      <c r="F58" s="33">
        <f>IF(Elect!I60&lt;0,"0",Elect!I60)</f>
        <v>0</v>
      </c>
      <c r="G58" s="33">
        <f>Elect!H60</f>
        <v>0</v>
      </c>
      <c r="H58" s="33">
        <f>IF(Elect!F60&lt;0,"0",Elect!F60)</f>
        <v>0</v>
      </c>
      <c r="I58" s="33">
        <f>Elect!E60</f>
        <v>0</v>
      </c>
      <c r="J58" s="33">
        <f>IF(Elect!U60&lt;0,"0",Elect!U60)</f>
        <v>0</v>
      </c>
      <c r="K58" s="33">
        <f>Elect!T60</f>
        <v>0</v>
      </c>
      <c r="L58" s="33">
        <f>IF(Elect!AJ60&lt;0,"0",Elect!AJ60)</f>
        <v>0</v>
      </c>
      <c r="M58" s="33">
        <f>Elect!AI60</f>
        <v>0</v>
      </c>
      <c r="N58" s="33">
        <f>IF(Elect!X60&lt;0,"0",Elect!X60)</f>
        <v>0</v>
      </c>
      <c r="O58" s="33">
        <f>Elect!W60</f>
        <v>0</v>
      </c>
      <c r="P58" s="33">
        <f>IF(Elect!O60&lt;0,"0",Elect!O60)</f>
        <v>0</v>
      </c>
      <c r="Q58" s="33">
        <f>Elect!N60</f>
        <v>0</v>
      </c>
      <c r="R58" s="33">
        <f>IF(Elect!L60&lt;0,"0",Elect!L60)</f>
        <v>0</v>
      </c>
      <c r="S58" s="33">
        <f>Elect!K60</f>
        <v>0</v>
      </c>
      <c r="T58" s="33">
        <f>IF(Elect!R60&lt;0,"0",Elect!R60)</f>
        <v>0</v>
      </c>
      <c r="U58" s="33">
        <f>Elect!Q60</f>
        <v>0</v>
      </c>
      <c r="V58" s="33">
        <f>IF(Elect!AA60&lt;0,"0",Elect!AA60)</f>
        <v>0</v>
      </c>
      <c r="W58" s="33">
        <f>Elect!Z60</f>
        <v>0</v>
      </c>
      <c r="X58" s="33">
        <f>IF(Elect!AD60&lt;0,"0",Elect!AD60)</f>
        <v>0</v>
      </c>
      <c r="Y58" s="33">
        <f>Elect!AC60</f>
        <v>0</v>
      </c>
      <c r="Z58" s="33">
        <f>IF(Elect!AG60&lt;0,"0",Elect!AG60)</f>
        <v>0</v>
      </c>
      <c r="AA58" s="33">
        <f>Elect!AF60</f>
        <v>0</v>
      </c>
      <c r="AB58" s="33">
        <f>IF(Elect!AX60&lt;0,"0",Elect!AX60)</f>
        <v>0</v>
      </c>
      <c r="AC58" s="33">
        <f>IF(Elect!AV60&lt;0,"0",Elect!AV60)</f>
        <v>0</v>
      </c>
      <c r="AD58" s="33">
        <f>IF(Elect!AZ60&lt;0,"0",Elect!AZ60)</f>
        <v>0</v>
      </c>
      <c r="AE58" s="33">
        <f>IF(Elect!BB60&lt;0,"0",Elect!BB60)</f>
        <v>0</v>
      </c>
      <c r="AF58" s="66">
        <f>IF('Wtr-Gas'!E60&lt;0,"0",('Wtr-Gas'!E60)*0.0038)</f>
        <v>0</v>
      </c>
      <c r="AG58" s="66">
        <f>IF('Wtr-Gas'!H60&lt;0,"0",('Wtr-Gas'!H60)*0.0038)</f>
        <v>0</v>
      </c>
      <c r="AH58" s="66">
        <f>IF('Wtr-Gas'!K60&lt;0,"0",('Wtr-Gas'!K60)*0.0038)</f>
        <v>0</v>
      </c>
      <c r="AI58" s="66">
        <f>IF('Wtr-Gas'!N60&lt;0,"0",('Wtr-Gas'!N60)*0.0038)</f>
        <v>0</v>
      </c>
      <c r="AJ58" s="66">
        <f>IF('Wtr-Gas'!Q60&lt;0,"0",('Wtr-Gas'!Q60)*0.0038)</f>
        <v>0</v>
      </c>
      <c r="AK58" s="67">
        <f>IF('Wtr-Gas'!U60&lt;0,"0",('Wtr-Gas'!U60)*0.0038)</f>
        <v>0</v>
      </c>
      <c r="AL58" s="67">
        <f>IF('Wtr-Gas'!X60&lt;0,"0",('Wtr-Gas'!X60)*0.0038)</f>
        <v>0</v>
      </c>
      <c r="AM58" s="66">
        <f>IF('Wtr-Gas'!AB60&lt;0,"0",('Wtr-Gas'!AB60)*0.0038)</f>
        <v>0</v>
      </c>
      <c r="AN58" s="66">
        <f>IF('Wtr-Gas'!AD60&lt;0,"0",('Wtr-Gas'!AD60)*0.0038)</f>
        <v>0</v>
      </c>
      <c r="AO58" s="66">
        <f>IF('Wtr-Gas'!AH60&lt;0,"0",('Wtr-Gas'!AH60)*0.0038)</f>
        <v>0</v>
      </c>
      <c r="AP58" s="66">
        <f>IF('Wtr-Gas'!AJ60&lt;0,"0",('Wtr-Gas'!AJ60)*0.0038)</f>
        <v>0</v>
      </c>
      <c r="AQ58" s="66">
        <f>IF('Wtr-Gas'!AL60&lt;0,"0",('Wtr-Gas'!AL60)*0.0038)</f>
        <v>0</v>
      </c>
      <c r="AR58" s="66">
        <f>IF('Wtr-Gas'!AN60&lt;0,"0",('Wtr-Gas'!AN60)*0.0038)</f>
        <v>0</v>
      </c>
      <c r="AS58" s="66">
        <f>IF('Wtr-Gas'!AP60&lt;0,"0",('Wtr-Gas'!AP60)*0.0038)</f>
        <v>0</v>
      </c>
      <c r="AT58" s="66">
        <f>IF('Wtr-Gas'!AR60&lt;0,"0",('Wtr-Gas'!AR60)*0.0038)</f>
        <v>0</v>
      </c>
      <c r="AU58" s="72">
        <f>IF('Wtr-Gas'!AV60&lt;0,"0",('Wtr-Gas'!AV60)*0.0038)</f>
        <v>0</v>
      </c>
      <c r="AV58" s="66">
        <f>IF('Wtr-Gas'!AY60&lt;0,"0",('Wtr-Gas'!AY60)*0.0038)</f>
        <v>0</v>
      </c>
      <c r="AW58" s="66">
        <f>IF('Wtr-Gas'!BA60&lt;0,"0",('Wtr-Gas'!BA60)*0.0038)</f>
        <v>0</v>
      </c>
      <c r="AX58" s="66">
        <f>IF('Wtr-Gas'!BB60&lt;0,"0",('Wtr-Gas'!BB60)*0.0038)</f>
        <v>0</v>
      </c>
      <c r="AY58" s="66">
        <f>IF('Wtr-Gas'!BD60&lt;0,"0",('Wtr-Gas'!BD60)*0.0038)</f>
        <v>0</v>
      </c>
      <c r="AZ58" s="66">
        <f>IF('Wtr-Gas'!BF60&lt;0,"0",('Wtr-Gas'!BF60)*0.0038)</f>
        <v>0</v>
      </c>
      <c r="BA58" s="66">
        <f>IF('Wtr-Gas'!BH60&lt;0,"0",('Wtr-Gas'!BH60)*0.0038)</f>
        <v>0</v>
      </c>
    </row>
    <row r="59" spans="1:53" x14ac:dyDescent="0.25">
      <c r="A59" s="3" t="s">
        <v>11</v>
      </c>
      <c r="B59" s="1">
        <v>27</v>
      </c>
      <c r="C59" s="2">
        <v>11</v>
      </c>
      <c r="D59" s="2">
        <v>2023</v>
      </c>
      <c r="E59" s="33">
        <f>IF(Elect!AM61&lt;0,"0",Elect!AM61)</f>
        <v>0</v>
      </c>
      <c r="F59" s="33">
        <f>IF(Elect!I61&lt;0,"0",Elect!I61)</f>
        <v>0</v>
      </c>
      <c r="G59" s="33">
        <f>Elect!H61</f>
        <v>0</v>
      </c>
      <c r="H59" s="33">
        <f>IF(Elect!F61&lt;0,"0",Elect!F61)</f>
        <v>0</v>
      </c>
      <c r="I59" s="33">
        <f>Elect!E61</f>
        <v>0</v>
      </c>
      <c r="J59" s="33">
        <f>IF(Elect!U61&lt;0,"0",Elect!U61)</f>
        <v>0</v>
      </c>
      <c r="K59" s="33">
        <f>Elect!T61</f>
        <v>0</v>
      </c>
      <c r="L59" s="33">
        <f>IF(Elect!AJ61&lt;0,"0",Elect!AJ61)</f>
        <v>0</v>
      </c>
      <c r="M59" s="33">
        <f>Elect!AI61</f>
        <v>0</v>
      </c>
      <c r="N59" s="33">
        <f>IF(Elect!X61&lt;0,"0",Elect!X61)</f>
        <v>0</v>
      </c>
      <c r="O59" s="33">
        <f>Elect!W61</f>
        <v>0</v>
      </c>
      <c r="P59" s="33">
        <f>IF(Elect!O61&lt;0,"0",Elect!O61)</f>
        <v>0</v>
      </c>
      <c r="Q59" s="33">
        <f>Elect!N61</f>
        <v>0</v>
      </c>
      <c r="R59" s="33">
        <f>IF(Elect!L61&lt;0,"0",Elect!L61)</f>
        <v>0</v>
      </c>
      <c r="S59" s="33">
        <f>Elect!K61</f>
        <v>0</v>
      </c>
      <c r="T59" s="33">
        <f>IF(Elect!R61&lt;0,"0",Elect!R61)</f>
        <v>0</v>
      </c>
      <c r="U59" s="33">
        <f>Elect!Q61</f>
        <v>0</v>
      </c>
      <c r="V59" s="33">
        <f>IF(Elect!AA61&lt;0,"0",Elect!AA61)</f>
        <v>0</v>
      </c>
      <c r="W59" s="33">
        <f>Elect!Z61</f>
        <v>0</v>
      </c>
      <c r="X59" s="33">
        <f>IF(Elect!AD61&lt;0,"0",Elect!AD61)</f>
        <v>0</v>
      </c>
      <c r="Y59" s="33">
        <f>Elect!AC61</f>
        <v>0</v>
      </c>
      <c r="Z59" s="33">
        <f>IF(Elect!AG61&lt;0,"0",Elect!AG61)</f>
        <v>0</v>
      </c>
      <c r="AA59" s="33">
        <f>Elect!AF61</f>
        <v>0</v>
      </c>
      <c r="AB59" s="33">
        <f>IF(Elect!AX61&lt;0,"0",Elect!AX61)</f>
        <v>0</v>
      </c>
      <c r="AC59" s="33">
        <f>IF(Elect!AV61&lt;0,"0",Elect!AV61)</f>
        <v>0</v>
      </c>
      <c r="AD59" s="33">
        <f>IF(Elect!AZ61&lt;0,"0",Elect!AZ61)</f>
        <v>0</v>
      </c>
      <c r="AE59" s="33">
        <f>IF(Elect!BB61&lt;0,"0",Elect!BB61)</f>
        <v>0</v>
      </c>
      <c r="AF59" s="66">
        <f>IF('Wtr-Gas'!E61&lt;0,"0",('Wtr-Gas'!E61)*0.0038)</f>
        <v>0</v>
      </c>
      <c r="AG59" s="66">
        <f>IF('Wtr-Gas'!H61&lt;0,"0",('Wtr-Gas'!H61)*0.0038)</f>
        <v>0</v>
      </c>
      <c r="AH59" s="66">
        <f>IF('Wtr-Gas'!K61&lt;0,"0",('Wtr-Gas'!K61)*0.0038)</f>
        <v>0</v>
      </c>
      <c r="AI59" s="66">
        <f>IF('Wtr-Gas'!N61&lt;0,"0",('Wtr-Gas'!N61)*0.0038)</f>
        <v>0</v>
      </c>
      <c r="AJ59" s="66">
        <f>IF('Wtr-Gas'!Q61&lt;0,"0",('Wtr-Gas'!Q61)*0.0038)</f>
        <v>0</v>
      </c>
      <c r="AK59" s="67">
        <f>IF('Wtr-Gas'!U61&lt;0,"0",('Wtr-Gas'!U61)*0.0038)</f>
        <v>0</v>
      </c>
      <c r="AL59" s="67">
        <f>IF('Wtr-Gas'!X61&lt;0,"0",('Wtr-Gas'!X61)*0.0038)</f>
        <v>0</v>
      </c>
      <c r="AM59" s="66">
        <f>IF('Wtr-Gas'!AB61&lt;0,"0",('Wtr-Gas'!AB61)*0.0038)</f>
        <v>0</v>
      </c>
      <c r="AN59" s="66">
        <f>IF('Wtr-Gas'!AD61&lt;0,"0",('Wtr-Gas'!AD61)*0.0038)</f>
        <v>0</v>
      </c>
      <c r="AO59" s="66">
        <f>IF('Wtr-Gas'!AH61&lt;0,"0",('Wtr-Gas'!AH61)*0.0038)</f>
        <v>0</v>
      </c>
      <c r="AP59" s="66">
        <f>IF('Wtr-Gas'!AJ61&lt;0,"0",('Wtr-Gas'!AJ61)*0.0038)</f>
        <v>0</v>
      </c>
      <c r="AQ59" s="66">
        <f>IF('Wtr-Gas'!AL61&lt;0,"0",('Wtr-Gas'!AL61)*0.0038)</f>
        <v>0</v>
      </c>
      <c r="AR59" s="66">
        <f>IF('Wtr-Gas'!AN61&lt;0,"0",('Wtr-Gas'!AN61)*0.0038)</f>
        <v>0</v>
      </c>
      <c r="AS59" s="66">
        <f>IF('Wtr-Gas'!AP61&lt;0,"0",('Wtr-Gas'!AP61)*0.0038)</f>
        <v>0</v>
      </c>
      <c r="AT59" s="66">
        <f>IF('Wtr-Gas'!AR61&lt;0,"0",('Wtr-Gas'!AR61)*0.0038)</f>
        <v>0</v>
      </c>
      <c r="AU59" s="72">
        <f>IF('Wtr-Gas'!AV61&lt;0,"0",('Wtr-Gas'!AV61)*0.0038)</f>
        <v>0</v>
      </c>
      <c r="AV59" s="66">
        <f>IF('Wtr-Gas'!AY61&lt;0,"0",('Wtr-Gas'!AY61)*0.0038)</f>
        <v>0</v>
      </c>
      <c r="AW59" s="66">
        <f>IF('Wtr-Gas'!BA61&lt;0,"0",('Wtr-Gas'!BA61)*0.0038)</f>
        <v>0</v>
      </c>
      <c r="AX59" s="66">
        <f>IF('Wtr-Gas'!BB61&lt;0,"0",('Wtr-Gas'!BB61)*0.0038)</f>
        <v>0</v>
      </c>
      <c r="AY59" s="66">
        <f>IF('Wtr-Gas'!BD61&lt;0,"0",('Wtr-Gas'!BD61)*0.0038)</f>
        <v>0</v>
      </c>
      <c r="AZ59" s="66">
        <f>IF('Wtr-Gas'!BF61&lt;0,"0",('Wtr-Gas'!BF61)*0.0038)</f>
        <v>0</v>
      </c>
      <c r="BA59" s="66">
        <f>IF('Wtr-Gas'!BH61&lt;0,"0",('Wtr-Gas'!BH61)*0.0038)</f>
        <v>0</v>
      </c>
    </row>
    <row r="60" spans="1:53" x14ac:dyDescent="0.25">
      <c r="A60" s="3" t="s">
        <v>11</v>
      </c>
      <c r="B60" s="1">
        <v>30</v>
      </c>
      <c r="C60" s="2">
        <v>11</v>
      </c>
      <c r="D60" s="2">
        <v>2023</v>
      </c>
      <c r="E60" s="33">
        <f>IF(Elect!AM62&lt;0,"0",Elect!AM62)</f>
        <v>0</v>
      </c>
      <c r="F60" s="33">
        <f>IF(Elect!I62&lt;0,"0",Elect!I62)</f>
        <v>0</v>
      </c>
      <c r="G60" s="33">
        <f>Elect!H62</f>
        <v>0</v>
      </c>
      <c r="H60" s="33">
        <f>IF(Elect!F62&lt;0,"0",Elect!F62)</f>
        <v>0</v>
      </c>
      <c r="I60" s="33">
        <f>Elect!E62</f>
        <v>0</v>
      </c>
      <c r="J60" s="33">
        <f>IF(Elect!U62&lt;0,"0",Elect!U62)</f>
        <v>0</v>
      </c>
      <c r="K60" s="33">
        <f>Elect!T62</f>
        <v>0</v>
      </c>
      <c r="L60" s="33">
        <f>IF(Elect!AJ62&lt;0,"0",Elect!AJ62)</f>
        <v>0</v>
      </c>
      <c r="M60" s="33">
        <f>Elect!AI62</f>
        <v>0</v>
      </c>
      <c r="N60" s="33">
        <f>IF(Elect!X62&lt;0,"0",Elect!X62)</f>
        <v>0</v>
      </c>
      <c r="O60" s="33">
        <f>Elect!W62</f>
        <v>0</v>
      </c>
      <c r="P60" s="33">
        <f>IF(Elect!O62&lt;0,"0",Elect!O62)</f>
        <v>0</v>
      </c>
      <c r="Q60" s="33">
        <f>Elect!N62</f>
        <v>0</v>
      </c>
      <c r="R60" s="33">
        <f>IF(Elect!L62&lt;0,"0",Elect!L62)</f>
        <v>0</v>
      </c>
      <c r="S60" s="33">
        <f>Elect!K62</f>
        <v>0</v>
      </c>
      <c r="T60" s="33">
        <f>IF(Elect!R62&lt;0,"0",Elect!R62)</f>
        <v>0</v>
      </c>
      <c r="U60" s="33">
        <f>Elect!Q62</f>
        <v>0</v>
      </c>
      <c r="V60" s="33">
        <f>IF(Elect!AA62&lt;0,"0",Elect!AA62)</f>
        <v>0</v>
      </c>
      <c r="W60" s="33">
        <f>Elect!Z62</f>
        <v>0</v>
      </c>
      <c r="X60" s="33">
        <f>IF(Elect!AD62&lt;0,"0",Elect!AD62)</f>
        <v>0</v>
      </c>
      <c r="Y60" s="33">
        <f>Elect!AC62</f>
        <v>0</v>
      </c>
      <c r="Z60" s="33">
        <f>IF(Elect!AG62&lt;0,"0",Elect!AG62)</f>
        <v>0</v>
      </c>
      <c r="AA60" s="33">
        <f>Elect!AF62</f>
        <v>0</v>
      </c>
      <c r="AB60" s="33">
        <f>IF(Elect!AX62&lt;0,"0",Elect!AX62)</f>
        <v>0</v>
      </c>
      <c r="AC60" s="33">
        <f>IF(Elect!AV62&lt;0,"0",Elect!AV62)</f>
        <v>0</v>
      </c>
      <c r="AD60" s="33">
        <f>IF(Elect!AZ62&lt;0,"0",Elect!AZ62)</f>
        <v>0</v>
      </c>
      <c r="AE60" s="33">
        <f>IF(Elect!BB62&lt;0,"0",Elect!BB62)</f>
        <v>0</v>
      </c>
      <c r="AF60" s="66">
        <f>IF('Wtr-Gas'!E62&lt;0,"0",('Wtr-Gas'!E62)*0.0038)</f>
        <v>0</v>
      </c>
      <c r="AG60" s="66">
        <f>IF('Wtr-Gas'!H62&lt;0,"0",('Wtr-Gas'!H62)*0.0038)</f>
        <v>0</v>
      </c>
      <c r="AH60" s="66">
        <f>IF('Wtr-Gas'!K62&lt;0,"0",('Wtr-Gas'!K62)*0.0038)</f>
        <v>0</v>
      </c>
      <c r="AI60" s="66">
        <f>IF('Wtr-Gas'!N62&lt;0,"0",('Wtr-Gas'!N62)*0.0038)</f>
        <v>0</v>
      </c>
      <c r="AJ60" s="66">
        <f>IF('Wtr-Gas'!Q62&lt;0,"0",('Wtr-Gas'!Q62)*0.0038)</f>
        <v>0</v>
      </c>
      <c r="AK60" s="67">
        <f>IF('Wtr-Gas'!U62&lt;0,"0",('Wtr-Gas'!U62)*0.0038)</f>
        <v>0</v>
      </c>
      <c r="AL60" s="67">
        <f>IF('Wtr-Gas'!X62&lt;0,"0",('Wtr-Gas'!X62)*0.0038)</f>
        <v>0</v>
      </c>
      <c r="AM60" s="66">
        <f>IF('Wtr-Gas'!AB62&lt;0,"0",('Wtr-Gas'!AB62)*0.0038)</f>
        <v>0</v>
      </c>
      <c r="AN60" s="66">
        <f>IF('Wtr-Gas'!AD62&lt;0,"0",('Wtr-Gas'!AD62)*0.0038)</f>
        <v>0</v>
      </c>
      <c r="AO60" s="66">
        <f>IF('Wtr-Gas'!AH62&lt;0,"0",('Wtr-Gas'!AH62)*0.0038)</f>
        <v>0</v>
      </c>
      <c r="AP60" s="66">
        <f>IF('Wtr-Gas'!AJ62&lt;0,"0",('Wtr-Gas'!AJ62)*0.0038)</f>
        <v>0</v>
      </c>
      <c r="AQ60" s="66">
        <f>IF('Wtr-Gas'!AL62&lt;0,"0",('Wtr-Gas'!AL62)*0.0038)</f>
        <v>0</v>
      </c>
      <c r="AR60" s="66">
        <f>IF('Wtr-Gas'!AN62&lt;0,"0",('Wtr-Gas'!AN62)*0.0038)</f>
        <v>0</v>
      </c>
      <c r="AS60" s="66">
        <f>IF('Wtr-Gas'!AP62&lt;0,"0",('Wtr-Gas'!AP62)*0.0038)</f>
        <v>0</v>
      </c>
      <c r="AT60" s="66">
        <f>IF('Wtr-Gas'!AR62&lt;0,"0",('Wtr-Gas'!AR62)*0.0038)</f>
        <v>0</v>
      </c>
      <c r="AU60" s="72">
        <f>IF('Wtr-Gas'!AV62&lt;0,"0",('Wtr-Gas'!AV62)*0.0038)</f>
        <v>0</v>
      </c>
      <c r="AV60" s="66">
        <f>IF('Wtr-Gas'!AY62&lt;0,"0",('Wtr-Gas'!AY62)*0.0038)</f>
        <v>0</v>
      </c>
      <c r="AW60" s="66">
        <f>IF('Wtr-Gas'!BA62&lt;0,"0",('Wtr-Gas'!BA62)*0.0038)</f>
        <v>0</v>
      </c>
      <c r="AX60" s="66">
        <f>IF('Wtr-Gas'!BB62&lt;0,"0",('Wtr-Gas'!BB62)*0.0038)</f>
        <v>0</v>
      </c>
      <c r="AY60" s="66">
        <f>IF('Wtr-Gas'!BD62&lt;0,"0",('Wtr-Gas'!BD62)*0.0038)</f>
        <v>0</v>
      </c>
      <c r="AZ60" s="66">
        <f>IF('Wtr-Gas'!BF62&lt;0,"0",('Wtr-Gas'!BF62)*0.0038)</f>
        <v>0</v>
      </c>
      <c r="BA60" s="66">
        <f>IF('Wtr-Gas'!BH62&lt;0,"0",('Wtr-Gas'!BH62)*0.0038)</f>
        <v>0</v>
      </c>
    </row>
    <row r="61" spans="1:53" x14ac:dyDescent="0.25">
      <c r="A61" s="3" t="s">
        <v>11</v>
      </c>
      <c r="B61" s="1">
        <v>4</v>
      </c>
      <c r="C61" s="2">
        <v>12</v>
      </c>
      <c r="D61" s="2">
        <v>2023</v>
      </c>
      <c r="E61" s="33">
        <f>IF(Elect!AM63&lt;0,"0",Elect!AM63)</f>
        <v>0</v>
      </c>
      <c r="F61" s="33">
        <f>IF(Elect!I63&lt;0,"0",Elect!I63)</f>
        <v>0</v>
      </c>
      <c r="G61" s="33">
        <f>Elect!H63</f>
        <v>0</v>
      </c>
      <c r="H61" s="33">
        <f>IF(Elect!F63&lt;0,"0",Elect!F63)</f>
        <v>0</v>
      </c>
      <c r="I61" s="33">
        <f>Elect!E63</f>
        <v>0</v>
      </c>
      <c r="J61" s="33">
        <f>IF(Elect!U63&lt;0,"0",Elect!U63)</f>
        <v>0</v>
      </c>
      <c r="K61" s="33">
        <f>Elect!T63</f>
        <v>0</v>
      </c>
      <c r="L61" s="33">
        <f>IF(Elect!AJ63&lt;0,"0",Elect!AJ63)</f>
        <v>0</v>
      </c>
      <c r="M61" s="33">
        <f>Elect!AI63</f>
        <v>0</v>
      </c>
      <c r="N61" s="33">
        <f>IF(Elect!X63&lt;0,"0",Elect!X63)</f>
        <v>0</v>
      </c>
      <c r="O61" s="33">
        <f>Elect!W63</f>
        <v>0</v>
      </c>
      <c r="P61" s="33">
        <f>IF(Elect!O63&lt;0,"0",Elect!O63)</f>
        <v>0</v>
      </c>
      <c r="Q61" s="33">
        <f>Elect!N63</f>
        <v>0</v>
      </c>
      <c r="R61" s="33">
        <f>IF(Elect!L63&lt;0,"0",Elect!L63)</f>
        <v>0</v>
      </c>
      <c r="S61" s="33">
        <f>Elect!K63</f>
        <v>0</v>
      </c>
      <c r="T61" s="33">
        <f>IF(Elect!R63&lt;0,"0",Elect!R63)</f>
        <v>0</v>
      </c>
      <c r="U61" s="33">
        <f>Elect!Q63</f>
        <v>0</v>
      </c>
      <c r="V61" s="33">
        <f>IF(Elect!AA63&lt;0,"0",Elect!AA63)</f>
        <v>0</v>
      </c>
      <c r="W61" s="33">
        <f>Elect!Z63</f>
        <v>0</v>
      </c>
      <c r="X61" s="33">
        <f>IF(Elect!AD63&lt;0,"0",Elect!AD63)</f>
        <v>0</v>
      </c>
      <c r="Y61" s="33">
        <f>Elect!AC63</f>
        <v>0</v>
      </c>
      <c r="Z61" s="33">
        <f>IF(Elect!AG63&lt;0,"0",Elect!AG63)</f>
        <v>0</v>
      </c>
      <c r="AA61" s="33">
        <f>Elect!AF63</f>
        <v>0</v>
      </c>
      <c r="AB61" s="33">
        <f>IF(Elect!AX63&lt;0,"0",Elect!AX63)</f>
        <v>0</v>
      </c>
      <c r="AC61" s="33">
        <f>IF(Elect!AV63&lt;0,"0",Elect!AV63)</f>
        <v>0</v>
      </c>
      <c r="AD61" s="33">
        <f>IF(Elect!AZ63&lt;0,"0",Elect!AZ63)</f>
        <v>0</v>
      </c>
      <c r="AE61" s="33">
        <f>IF(Elect!BB63&lt;0,"0",Elect!BB63)</f>
        <v>0</v>
      </c>
      <c r="AF61" s="66">
        <f>IF('Wtr-Gas'!E63&lt;0,"0",('Wtr-Gas'!E63)*0.0038)</f>
        <v>0</v>
      </c>
      <c r="AG61" s="66">
        <f>IF('Wtr-Gas'!H63&lt;0,"0",('Wtr-Gas'!H63)*0.0038)</f>
        <v>0</v>
      </c>
      <c r="AH61" s="66">
        <f>IF('Wtr-Gas'!K63&lt;0,"0",('Wtr-Gas'!K63)*0.0038)</f>
        <v>0</v>
      </c>
      <c r="AI61" s="66">
        <f>IF('Wtr-Gas'!N63&lt;0,"0",('Wtr-Gas'!N63)*0.0038)</f>
        <v>0</v>
      </c>
      <c r="AJ61" s="66">
        <f>IF('Wtr-Gas'!Q63&lt;0,"0",('Wtr-Gas'!Q63)*0.0038)</f>
        <v>0</v>
      </c>
      <c r="AK61" s="67">
        <f>IF('Wtr-Gas'!U63&lt;0,"0",('Wtr-Gas'!U63)*0.0038)</f>
        <v>0</v>
      </c>
      <c r="AL61" s="67">
        <f>IF('Wtr-Gas'!X63&lt;0,"0",('Wtr-Gas'!X63)*0.0038)</f>
        <v>0</v>
      </c>
      <c r="AM61" s="66">
        <f>IF('Wtr-Gas'!AB63&lt;0,"0",('Wtr-Gas'!AB63)*0.0038)</f>
        <v>0</v>
      </c>
      <c r="AN61" s="66">
        <f>IF('Wtr-Gas'!AD63&lt;0,"0",('Wtr-Gas'!AD63)*0.0038)</f>
        <v>0</v>
      </c>
      <c r="AO61" s="66">
        <f>IF('Wtr-Gas'!AH63&lt;0,"0",('Wtr-Gas'!AH63)*0.0038)</f>
        <v>0</v>
      </c>
      <c r="AP61" s="66">
        <f>IF('Wtr-Gas'!AJ63&lt;0,"0",('Wtr-Gas'!AJ63)*0.0038)</f>
        <v>0</v>
      </c>
      <c r="AQ61" s="66">
        <f>IF('Wtr-Gas'!AL63&lt;0,"0",('Wtr-Gas'!AL63)*0.0038)</f>
        <v>0</v>
      </c>
      <c r="AR61" s="66">
        <f>IF('Wtr-Gas'!AN63&lt;0,"0",('Wtr-Gas'!AN63)*0.0038)</f>
        <v>0</v>
      </c>
      <c r="AS61" s="66">
        <f>IF('Wtr-Gas'!AP63&lt;0,"0",('Wtr-Gas'!AP63)*0.0038)</f>
        <v>0</v>
      </c>
      <c r="AT61" s="66">
        <f>IF('Wtr-Gas'!AR63&lt;0,"0",('Wtr-Gas'!AR63)*0.0038)</f>
        <v>0</v>
      </c>
      <c r="AU61" s="72">
        <f>IF('Wtr-Gas'!AV63&lt;0,"0",('Wtr-Gas'!AV63)*0.0038)</f>
        <v>0</v>
      </c>
      <c r="AV61" s="66">
        <f>IF('Wtr-Gas'!AY63&lt;0,"0",('Wtr-Gas'!AY63)*0.0038)</f>
        <v>0</v>
      </c>
      <c r="AW61" s="66">
        <f>IF('Wtr-Gas'!BA63&lt;0,"0",('Wtr-Gas'!BA63)*0.0038)</f>
        <v>0</v>
      </c>
      <c r="AX61" s="66">
        <f>IF('Wtr-Gas'!BB63&lt;0,"0",('Wtr-Gas'!BB63)*0.0038)</f>
        <v>0</v>
      </c>
      <c r="AY61" s="66">
        <f>IF('Wtr-Gas'!BD63&lt;0,"0",('Wtr-Gas'!BD63)*0.0038)</f>
        <v>0</v>
      </c>
      <c r="AZ61" s="66">
        <f>IF('Wtr-Gas'!BF63&lt;0,"0",('Wtr-Gas'!BF63)*0.0038)</f>
        <v>0</v>
      </c>
      <c r="BA61" s="66">
        <f>IF('Wtr-Gas'!BH63&lt;0,"0",('Wtr-Gas'!BH63)*0.0038)</f>
        <v>0</v>
      </c>
    </row>
    <row r="62" spans="1:53" x14ac:dyDescent="0.25">
      <c r="A62" s="3" t="s">
        <v>11</v>
      </c>
      <c r="B62" s="1">
        <v>11</v>
      </c>
      <c r="C62" s="2">
        <v>12</v>
      </c>
      <c r="D62" s="2">
        <v>2023</v>
      </c>
      <c r="E62" s="33">
        <f>IF(Elect!AM64&lt;0,"0",Elect!AM64)</f>
        <v>0</v>
      </c>
      <c r="F62" s="33">
        <f>IF(Elect!I64&lt;0,"0",Elect!I64)</f>
        <v>0</v>
      </c>
      <c r="G62" s="33">
        <f>Elect!H64</f>
        <v>0</v>
      </c>
      <c r="H62" s="33">
        <f>IF(Elect!F64&lt;0,"0",Elect!F64)</f>
        <v>0</v>
      </c>
      <c r="I62" s="33">
        <f>Elect!E64</f>
        <v>0</v>
      </c>
      <c r="J62" s="33">
        <f>IF(Elect!U64&lt;0,"0",Elect!U64)</f>
        <v>0</v>
      </c>
      <c r="K62" s="33">
        <f>Elect!T64</f>
        <v>0</v>
      </c>
      <c r="L62" s="33">
        <f>IF(Elect!AJ64&lt;0,"0",Elect!AJ64)</f>
        <v>0</v>
      </c>
      <c r="M62" s="33">
        <f>Elect!AI64</f>
        <v>0</v>
      </c>
      <c r="N62" s="33">
        <f>IF(Elect!X64&lt;0,"0",Elect!X64)</f>
        <v>0</v>
      </c>
      <c r="O62" s="33">
        <f>Elect!W64</f>
        <v>0</v>
      </c>
      <c r="P62" s="33">
        <f>IF(Elect!O64&lt;0,"0",Elect!O64)</f>
        <v>0</v>
      </c>
      <c r="Q62" s="33">
        <f>Elect!N64</f>
        <v>0</v>
      </c>
      <c r="R62" s="33">
        <f>IF(Elect!L64&lt;0,"0",Elect!L64)</f>
        <v>0</v>
      </c>
      <c r="S62" s="33">
        <f>Elect!K64</f>
        <v>0</v>
      </c>
      <c r="T62" s="33">
        <f>IF(Elect!R64&lt;0,"0",Elect!R64)</f>
        <v>0</v>
      </c>
      <c r="U62" s="33">
        <f>Elect!Q64</f>
        <v>0</v>
      </c>
      <c r="V62" s="33">
        <f>IF(Elect!AA64&lt;0,"0",Elect!AA64)</f>
        <v>0</v>
      </c>
      <c r="W62" s="33">
        <f>Elect!Z64</f>
        <v>0</v>
      </c>
      <c r="X62" s="33">
        <f>IF(Elect!AD64&lt;0,"0",Elect!AD64)</f>
        <v>0</v>
      </c>
      <c r="Y62" s="33">
        <f>Elect!AC64</f>
        <v>0</v>
      </c>
      <c r="Z62" s="33">
        <f>IF(Elect!AG64&lt;0,"0",Elect!AG64)</f>
        <v>0</v>
      </c>
      <c r="AA62" s="33">
        <f>Elect!AF64</f>
        <v>0</v>
      </c>
      <c r="AB62" s="33">
        <f>IF(Elect!AX64&lt;0,"0",Elect!AX64)</f>
        <v>0</v>
      </c>
      <c r="AC62" s="33">
        <f>IF(Elect!AV64&lt;0,"0",Elect!AV64)</f>
        <v>0</v>
      </c>
      <c r="AD62" s="33">
        <f>IF(Elect!AZ64&lt;0,"0",Elect!AZ64)</f>
        <v>0</v>
      </c>
      <c r="AE62" s="33">
        <f>IF(Elect!BB64&lt;0,"0",Elect!BB64)</f>
        <v>0</v>
      </c>
      <c r="AF62" s="66">
        <f>IF('Wtr-Gas'!E64&lt;0,"0",('Wtr-Gas'!E64)*0.0038)</f>
        <v>0</v>
      </c>
      <c r="AG62" s="66">
        <f>IF('Wtr-Gas'!H64&lt;0,"0",('Wtr-Gas'!H64)*0.0038)</f>
        <v>0</v>
      </c>
      <c r="AH62" s="66">
        <f>IF('Wtr-Gas'!K64&lt;0,"0",('Wtr-Gas'!K64)*0.0038)</f>
        <v>0</v>
      </c>
      <c r="AI62" s="66">
        <f>IF('Wtr-Gas'!N64&lt;0,"0",('Wtr-Gas'!N64)*0.0038)</f>
        <v>0</v>
      </c>
      <c r="AJ62" s="66">
        <f>IF('Wtr-Gas'!Q64&lt;0,"0",('Wtr-Gas'!Q64)*0.0038)</f>
        <v>0</v>
      </c>
      <c r="AK62" s="67">
        <f>IF('Wtr-Gas'!U64&lt;0,"0",('Wtr-Gas'!U64)*0.0038)</f>
        <v>0</v>
      </c>
      <c r="AL62" s="67">
        <f>IF('Wtr-Gas'!X64&lt;0,"0",('Wtr-Gas'!X64)*0.0038)</f>
        <v>0</v>
      </c>
      <c r="AM62" s="66">
        <f>IF('Wtr-Gas'!AB64&lt;0,"0",('Wtr-Gas'!AB64)*0.0038)</f>
        <v>0</v>
      </c>
      <c r="AN62" s="66">
        <f>IF('Wtr-Gas'!AD64&lt;0,"0",('Wtr-Gas'!AD64)*0.0038)</f>
        <v>0</v>
      </c>
      <c r="AO62" s="66">
        <f>IF('Wtr-Gas'!AH64&lt;0,"0",('Wtr-Gas'!AH64)*0.0038)</f>
        <v>0</v>
      </c>
      <c r="AP62" s="66">
        <f>IF('Wtr-Gas'!AJ64&lt;0,"0",('Wtr-Gas'!AJ64)*0.0038)</f>
        <v>0</v>
      </c>
      <c r="AQ62" s="66">
        <f>IF('Wtr-Gas'!AL64&lt;0,"0",('Wtr-Gas'!AL64)*0.0038)</f>
        <v>0</v>
      </c>
      <c r="AR62" s="66">
        <f>IF('Wtr-Gas'!AN64&lt;0,"0",('Wtr-Gas'!AN64)*0.0038)</f>
        <v>0</v>
      </c>
      <c r="AS62" s="66">
        <f>IF('Wtr-Gas'!AP64&lt;0,"0",('Wtr-Gas'!AP64)*0.0038)</f>
        <v>0</v>
      </c>
      <c r="AT62" s="66">
        <f>IF('Wtr-Gas'!AR64&lt;0,"0",('Wtr-Gas'!AR64)*0.0038)</f>
        <v>0</v>
      </c>
      <c r="AU62" s="72">
        <f>IF('Wtr-Gas'!AV64&lt;0,"0",('Wtr-Gas'!AV64)*0.0038)</f>
        <v>0</v>
      </c>
      <c r="AV62" s="66">
        <f>IF('Wtr-Gas'!AY64&lt;0,"0",('Wtr-Gas'!AY64)*0.0038)</f>
        <v>0</v>
      </c>
      <c r="AW62" s="66">
        <f>IF('Wtr-Gas'!BA64&lt;0,"0",('Wtr-Gas'!BA64)*0.0038)</f>
        <v>0</v>
      </c>
      <c r="AX62" s="66">
        <f>IF('Wtr-Gas'!BB64&lt;0,"0",('Wtr-Gas'!BB64)*0.0038)</f>
        <v>0</v>
      </c>
      <c r="AY62" s="66">
        <f>IF('Wtr-Gas'!BD64&lt;0,"0",('Wtr-Gas'!BD64)*0.0038)</f>
        <v>0</v>
      </c>
      <c r="AZ62" s="66">
        <f>IF('Wtr-Gas'!BF64&lt;0,"0",('Wtr-Gas'!BF64)*0.0038)</f>
        <v>0</v>
      </c>
      <c r="BA62" s="66">
        <f>IF('Wtr-Gas'!BH64&lt;0,"0",('Wtr-Gas'!BH64)*0.0038)</f>
        <v>0</v>
      </c>
    </row>
    <row r="63" spans="1:53" x14ac:dyDescent="0.25">
      <c r="A63" s="3" t="s">
        <v>11</v>
      </c>
      <c r="B63" s="1">
        <v>18</v>
      </c>
      <c r="C63" s="2">
        <v>12</v>
      </c>
      <c r="D63" s="2">
        <v>2023</v>
      </c>
      <c r="E63" s="33">
        <f>IF(Elect!AM65&lt;0,"0",Elect!AM65)</f>
        <v>0</v>
      </c>
      <c r="F63" s="33">
        <f>IF(Elect!I65&lt;0,"0",Elect!I65)</f>
        <v>0</v>
      </c>
      <c r="G63" s="33">
        <f>Elect!H65</f>
        <v>0</v>
      </c>
      <c r="H63" s="33">
        <f>IF(Elect!F65&lt;0,"0",Elect!F65)</f>
        <v>0</v>
      </c>
      <c r="I63" s="33">
        <f>Elect!E65</f>
        <v>0</v>
      </c>
      <c r="J63" s="33">
        <f>IF(Elect!U65&lt;0,"0",Elect!U65)</f>
        <v>0</v>
      </c>
      <c r="K63" s="33">
        <f>Elect!T65</f>
        <v>0</v>
      </c>
      <c r="L63" s="33">
        <f>IF(Elect!AJ65&lt;0,"0",Elect!AJ65)</f>
        <v>0</v>
      </c>
      <c r="M63" s="33">
        <f>Elect!AI65</f>
        <v>0</v>
      </c>
      <c r="N63" s="33">
        <f>IF(Elect!X65&lt;0,"0",Elect!X65)</f>
        <v>0</v>
      </c>
      <c r="O63" s="33">
        <f>Elect!W65</f>
        <v>0</v>
      </c>
      <c r="P63" s="33">
        <f>IF(Elect!O65&lt;0,"0",Elect!O65)</f>
        <v>0</v>
      </c>
      <c r="Q63" s="33">
        <f>Elect!N65</f>
        <v>0</v>
      </c>
      <c r="R63" s="33">
        <f>IF(Elect!L65&lt;0,"0",Elect!L65)</f>
        <v>0</v>
      </c>
      <c r="S63" s="33">
        <f>Elect!K65</f>
        <v>0</v>
      </c>
      <c r="T63" s="33">
        <f>IF(Elect!R65&lt;0,"0",Elect!R65)</f>
        <v>0</v>
      </c>
      <c r="U63" s="33">
        <f>Elect!Q65</f>
        <v>0</v>
      </c>
      <c r="V63" s="33">
        <f>IF(Elect!AA65&lt;0,"0",Elect!AA65)</f>
        <v>0</v>
      </c>
      <c r="W63" s="33">
        <f>Elect!Z65</f>
        <v>0</v>
      </c>
      <c r="X63" s="33">
        <f>IF(Elect!AD65&lt;0,"0",Elect!AD65)</f>
        <v>0</v>
      </c>
      <c r="Y63" s="33">
        <f>Elect!AC65</f>
        <v>0</v>
      </c>
      <c r="Z63" s="33">
        <f>IF(Elect!AG65&lt;0,"0",Elect!AG65)</f>
        <v>0</v>
      </c>
      <c r="AA63" s="33">
        <f>Elect!AF65</f>
        <v>0</v>
      </c>
      <c r="AB63" s="33">
        <f>IF(Elect!AX65&lt;0,"0",Elect!AX65)</f>
        <v>0</v>
      </c>
      <c r="AC63" s="33">
        <f>IF(Elect!AV65&lt;0,"0",Elect!AV65)</f>
        <v>0</v>
      </c>
      <c r="AD63" s="33">
        <f>IF(Elect!AZ65&lt;0,"0",Elect!AZ65)</f>
        <v>0</v>
      </c>
      <c r="AE63" s="33">
        <f>IF(Elect!BB65&lt;0,"0",Elect!BB65)</f>
        <v>0</v>
      </c>
      <c r="AF63" s="66">
        <f>IF('Wtr-Gas'!E65&lt;0,"0",('Wtr-Gas'!E65)*0.0038)</f>
        <v>0</v>
      </c>
      <c r="AG63" s="66">
        <f>IF('Wtr-Gas'!H65&lt;0,"0",('Wtr-Gas'!H65)*0.0038)</f>
        <v>0</v>
      </c>
      <c r="AH63" s="66">
        <f>IF('Wtr-Gas'!K65&lt;0,"0",('Wtr-Gas'!K65)*0.0038)</f>
        <v>0</v>
      </c>
      <c r="AI63" s="66">
        <f>IF('Wtr-Gas'!N65&lt;0,"0",('Wtr-Gas'!N65)*0.0038)</f>
        <v>0</v>
      </c>
      <c r="AJ63" s="66">
        <f>IF('Wtr-Gas'!Q65&lt;0,"0",('Wtr-Gas'!Q65)*0.0038)</f>
        <v>0</v>
      </c>
      <c r="AK63" s="67">
        <f>IF('Wtr-Gas'!U65&lt;0,"0",('Wtr-Gas'!U65)*0.0038)</f>
        <v>0</v>
      </c>
      <c r="AL63" s="67">
        <f>IF('Wtr-Gas'!X65&lt;0,"0",('Wtr-Gas'!X65)*0.0038)</f>
        <v>0</v>
      </c>
      <c r="AM63" s="66">
        <f>IF('Wtr-Gas'!AB65&lt;0,"0",('Wtr-Gas'!AB65)*0.0038)</f>
        <v>0</v>
      </c>
      <c r="AN63" s="66">
        <f>IF('Wtr-Gas'!AD65&lt;0,"0",('Wtr-Gas'!AD65)*0.0038)</f>
        <v>0</v>
      </c>
      <c r="AO63" s="66">
        <f>IF('Wtr-Gas'!AH65&lt;0,"0",('Wtr-Gas'!AH65)*0.0038)</f>
        <v>0</v>
      </c>
      <c r="AP63" s="66">
        <f>IF('Wtr-Gas'!AJ65&lt;0,"0",('Wtr-Gas'!AJ65)*0.0038)</f>
        <v>0</v>
      </c>
      <c r="AQ63" s="66">
        <f>IF('Wtr-Gas'!AL65&lt;0,"0",('Wtr-Gas'!AL65)*0.0038)</f>
        <v>0</v>
      </c>
      <c r="AR63" s="66">
        <f>IF('Wtr-Gas'!AN65&lt;0,"0",('Wtr-Gas'!AN65)*0.0038)</f>
        <v>0</v>
      </c>
      <c r="AS63" s="66">
        <f>IF('Wtr-Gas'!AP65&lt;0,"0",('Wtr-Gas'!AP65)*0.0038)</f>
        <v>0</v>
      </c>
      <c r="AT63" s="66">
        <f>IF('Wtr-Gas'!AR65&lt;0,"0",('Wtr-Gas'!AR65)*0.0038)</f>
        <v>0</v>
      </c>
      <c r="AU63" s="72">
        <f>IF('Wtr-Gas'!AV65&lt;0,"0",('Wtr-Gas'!AV65)*0.0038)</f>
        <v>0</v>
      </c>
      <c r="AV63" s="66">
        <f>IF('Wtr-Gas'!AY65&lt;0,"0",('Wtr-Gas'!AY65)*0.0038)</f>
        <v>0</v>
      </c>
      <c r="AW63" s="66">
        <f>IF('Wtr-Gas'!BA65&lt;0,"0",('Wtr-Gas'!BA65)*0.0038)</f>
        <v>0</v>
      </c>
      <c r="AX63" s="66">
        <f>IF('Wtr-Gas'!BB65&lt;0,"0",('Wtr-Gas'!BB65)*0.0038)</f>
        <v>0</v>
      </c>
      <c r="AY63" s="66">
        <f>IF('Wtr-Gas'!BD65&lt;0,"0",('Wtr-Gas'!BD65)*0.0038)</f>
        <v>0</v>
      </c>
      <c r="AZ63" s="66">
        <f>IF('Wtr-Gas'!BF65&lt;0,"0",('Wtr-Gas'!BF65)*0.0038)</f>
        <v>0</v>
      </c>
      <c r="BA63" s="66">
        <f>IF('Wtr-Gas'!BH65&lt;0,"0",('Wtr-Gas'!BH65)*0.0038)</f>
        <v>0</v>
      </c>
    </row>
    <row r="64" spans="1:53" x14ac:dyDescent="0.25">
      <c r="A64" s="3" t="s">
        <v>11</v>
      </c>
      <c r="B64" s="1">
        <v>25</v>
      </c>
      <c r="C64" s="2">
        <v>12</v>
      </c>
      <c r="D64" s="2">
        <v>2023</v>
      </c>
      <c r="E64" s="33">
        <f>IF(Elect!AM66&lt;0,"0",Elect!AM66)</f>
        <v>0</v>
      </c>
      <c r="F64" s="33">
        <f>IF(Elect!I66&lt;0,"0",Elect!I66)</f>
        <v>0</v>
      </c>
      <c r="G64" s="33">
        <f>Elect!H66</f>
        <v>0</v>
      </c>
      <c r="H64" s="33">
        <f>IF(Elect!F66&lt;0,"0",Elect!F66)</f>
        <v>0</v>
      </c>
      <c r="I64" s="33">
        <f>Elect!E66</f>
        <v>0</v>
      </c>
      <c r="J64" s="33">
        <f>IF(Elect!U66&lt;0,"0",Elect!U66)</f>
        <v>0</v>
      </c>
      <c r="K64" s="33">
        <f>Elect!T66</f>
        <v>0</v>
      </c>
      <c r="L64" s="33">
        <f>IF(Elect!AJ66&lt;0,"0",Elect!AJ66)</f>
        <v>0</v>
      </c>
      <c r="M64" s="33">
        <f>Elect!AI66</f>
        <v>0</v>
      </c>
      <c r="N64" s="33">
        <f>IF(Elect!X66&lt;0,"0",Elect!X66)</f>
        <v>0</v>
      </c>
      <c r="O64" s="33">
        <f>Elect!W66</f>
        <v>0</v>
      </c>
      <c r="P64" s="33">
        <f>IF(Elect!O66&lt;0,"0",Elect!O66)</f>
        <v>0</v>
      </c>
      <c r="Q64" s="33">
        <f>Elect!N66</f>
        <v>0</v>
      </c>
      <c r="R64" s="33">
        <f>IF(Elect!L66&lt;0,"0",Elect!L66)</f>
        <v>0</v>
      </c>
      <c r="S64" s="33">
        <f>Elect!K66</f>
        <v>0</v>
      </c>
      <c r="T64" s="33">
        <f>IF(Elect!R66&lt;0,"0",Elect!R66)</f>
        <v>0</v>
      </c>
      <c r="U64" s="33">
        <f>Elect!Q66</f>
        <v>0</v>
      </c>
      <c r="V64" s="33">
        <f>IF(Elect!AA66&lt;0,"0",Elect!AA66)</f>
        <v>0</v>
      </c>
      <c r="W64" s="33">
        <f>Elect!Z66</f>
        <v>0</v>
      </c>
      <c r="X64" s="33">
        <f>IF(Elect!AD66&lt;0,"0",Elect!AD66)</f>
        <v>0</v>
      </c>
      <c r="Y64" s="33">
        <f>Elect!AC66</f>
        <v>0</v>
      </c>
      <c r="Z64" s="33">
        <f>IF(Elect!AG66&lt;0,"0",Elect!AG66)</f>
        <v>0</v>
      </c>
      <c r="AA64" s="33">
        <f>Elect!AF66</f>
        <v>0</v>
      </c>
      <c r="AB64" s="33">
        <f>IF(Elect!AX66&lt;0,"0",Elect!AX66)</f>
        <v>0</v>
      </c>
      <c r="AC64" s="33">
        <f>IF(Elect!AV66&lt;0,"0",Elect!AV66)</f>
        <v>0</v>
      </c>
      <c r="AD64" s="33">
        <f>IF(Elect!AZ66&lt;0,"0",Elect!AZ66)</f>
        <v>0</v>
      </c>
      <c r="AE64" s="33">
        <f>IF(Elect!BB66&lt;0,"0",Elect!BB66)</f>
        <v>0</v>
      </c>
      <c r="AF64" s="66">
        <f>IF('Wtr-Gas'!E66&lt;0,"0",('Wtr-Gas'!E66)*0.0038)</f>
        <v>0</v>
      </c>
      <c r="AG64" s="66">
        <f>IF('Wtr-Gas'!H66&lt;0,"0",('Wtr-Gas'!H66)*0.0038)</f>
        <v>0</v>
      </c>
      <c r="AH64" s="66">
        <f>IF('Wtr-Gas'!K66&lt;0,"0",('Wtr-Gas'!K66)*0.0038)</f>
        <v>0</v>
      </c>
      <c r="AI64" s="66">
        <f>IF('Wtr-Gas'!N66&lt;0,"0",('Wtr-Gas'!N66)*0.0038)</f>
        <v>0</v>
      </c>
      <c r="AJ64" s="66">
        <f>IF('Wtr-Gas'!Q66&lt;0,"0",('Wtr-Gas'!Q66)*0.0038)</f>
        <v>0</v>
      </c>
      <c r="AK64" s="67">
        <f>IF('Wtr-Gas'!U66&lt;0,"0",('Wtr-Gas'!U66)*0.0038)</f>
        <v>0</v>
      </c>
      <c r="AL64" s="67">
        <f>IF('Wtr-Gas'!X66&lt;0,"0",('Wtr-Gas'!X66)*0.0038)</f>
        <v>0</v>
      </c>
      <c r="AM64" s="66">
        <f>IF('Wtr-Gas'!AB66&lt;0,"0",('Wtr-Gas'!AB66)*0.0038)</f>
        <v>0</v>
      </c>
      <c r="AN64" s="66">
        <f>IF('Wtr-Gas'!AD66&lt;0,"0",('Wtr-Gas'!AD66)*0.0038)</f>
        <v>0</v>
      </c>
      <c r="AO64" s="66">
        <f>IF('Wtr-Gas'!AH66&lt;0,"0",('Wtr-Gas'!AH66)*0.0038)</f>
        <v>0</v>
      </c>
      <c r="AP64" s="66">
        <f>IF('Wtr-Gas'!AJ66&lt;0,"0",('Wtr-Gas'!AJ66)*0.0038)</f>
        <v>0</v>
      </c>
      <c r="AQ64" s="66">
        <f>IF('Wtr-Gas'!AL66&lt;0,"0",('Wtr-Gas'!AL66)*0.0038)</f>
        <v>0</v>
      </c>
      <c r="AR64" s="66">
        <f>IF('Wtr-Gas'!AN66&lt;0,"0",('Wtr-Gas'!AN66)*0.0038)</f>
        <v>0</v>
      </c>
      <c r="AS64" s="66">
        <f>IF('Wtr-Gas'!AP66&lt;0,"0",('Wtr-Gas'!AP66)*0.0038)</f>
        <v>0</v>
      </c>
      <c r="AT64" s="66">
        <f>IF('Wtr-Gas'!AR66&lt;0,"0",('Wtr-Gas'!AR66)*0.0038)</f>
        <v>0</v>
      </c>
      <c r="AU64" s="72">
        <f>IF('Wtr-Gas'!AV66&lt;0,"0",('Wtr-Gas'!AV66)*0.0038)</f>
        <v>0</v>
      </c>
      <c r="AV64" s="66">
        <f>IF('Wtr-Gas'!AY66&lt;0,"0",('Wtr-Gas'!AY66)*0.0038)</f>
        <v>0</v>
      </c>
      <c r="AW64" s="66">
        <f>IF('Wtr-Gas'!BA66&lt;0,"0",('Wtr-Gas'!BA66)*0.0038)</f>
        <v>0</v>
      </c>
      <c r="AX64" s="66">
        <f>IF('Wtr-Gas'!BB66&lt;0,"0",('Wtr-Gas'!BB66)*0.0038)</f>
        <v>0</v>
      </c>
      <c r="AY64" s="66">
        <f>IF('Wtr-Gas'!BD66&lt;0,"0",('Wtr-Gas'!BD66)*0.0038)</f>
        <v>0</v>
      </c>
      <c r="AZ64" s="66">
        <f>IF('Wtr-Gas'!BF66&lt;0,"0",('Wtr-Gas'!BF66)*0.0038)</f>
        <v>0</v>
      </c>
      <c r="BA64" s="66">
        <f>IF('Wtr-Gas'!BH66&lt;0,"0",('Wtr-Gas'!BH66)*0.0038)</f>
        <v>0</v>
      </c>
    </row>
    <row r="65" spans="1:53" x14ac:dyDescent="0.25">
      <c r="A65" s="3" t="s">
        <v>11</v>
      </c>
      <c r="B65" s="1">
        <v>31</v>
      </c>
      <c r="C65" s="2">
        <v>12</v>
      </c>
      <c r="D65" s="2">
        <v>2023</v>
      </c>
      <c r="E65" s="33">
        <f>IF(Elect!AM67&lt;0,"0",Elect!AM67)</f>
        <v>0</v>
      </c>
      <c r="F65" s="33">
        <f>IF(Elect!I67&lt;0,"0",Elect!I67)</f>
        <v>0</v>
      </c>
      <c r="G65" s="33">
        <f>Elect!H67</f>
        <v>0</v>
      </c>
      <c r="H65" s="33">
        <f>IF(Elect!F67&lt;0,"0",Elect!F67)</f>
        <v>0</v>
      </c>
      <c r="I65" s="33">
        <f>Elect!E67</f>
        <v>0</v>
      </c>
      <c r="J65" s="33">
        <f>IF(Elect!U67&lt;0,"0",Elect!U67)</f>
        <v>0</v>
      </c>
      <c r="K65" s="33">
        <f>Elect!T67</f>
        <v>0</v>
      </c>
      <c r="L65" s="33">
        <f>IF(Elect!AJ67&lt;0,"0",Elect!AJ67)</f>
        <v>0</v>
      </c>
      <c r="M65" s="33">
        <f>Elect!AI67</f>
        <v>0</v>
      </c>
      <c r="N65" s="33">
        <f>IF(Elect!X67&lt;0,"0",Elect!X67)</f>
        <v>0</v>
      </c>
      <c r="O65" s="33">
        <f>Elect!W67</f>
        <v>0</v>
      </c>
      <c r="P65" s="33">
        <f>IF(Elect!O67&lt;0,"0",Elect!O67)</f>
        <v>0</v>
      </c>
      <c r="Q65" s="33">
        <f>Elect!N67</f>
        <v>0</v>
      </c>
      <c r="R65" s="33">
        <f>IF(Elect!L67&lt;0,"0",Elect!L67)</f>
        <v>0</v>
      </c>
      <c r="S65" s="33">
        <f>Elect!K67</f>
        <v>0</v>
      </c>
      <c r="T65" s="33">
        <f>IF(Elect!R67&lt;0,"0",Elect!R67)</f>
        <v>0</v>
      </c>
      <c r="U65" s="33">
        <f>Elect!Q67</f>
        <v>0</v>
      </c>
      <c r="V65" s="33">
        <f>IF(Elect!AA67&lt;0,"0",Elect!AA67)</f>
        <v>0</v>
      </c>
      <c r="W65" s="33">
        <f>Elect!Z67</f>
        <v>0</v>
      </c>
      <c r="X65" s="33">
        <f>IF(Elect!AD67&lt;0,"0",Elect!AD67)</f>
        <v>0</v>
      </c>
      <c r="Y65" s="33">
        <f>Elect!AC67</f>
        <v>0</v>
      </c>
      <c r="Z65" s="33">
        <f>IF(Elect!AG67&lt;0,"0",Elect!AG67)</f>
        <v>0</v>
      </c>
      <c r="AA65" s="33">
        <f>Elect!AF67</f>
        <v>0</v>
      </c>
      <c r="AB65" s="33">
        <f>IF(Elect!AX67&lt;0,"0",Elect!AX67)</f>
        <v>0</v>
      </c>
      <c r="AC65" s="33">
        <f>IF(Elect!AV67&lt;0,"0",Elect!AV67)</f>
        <v>0</v>
      </c>
      <c r="AD65" s="33">
        <f>IF(Elect!AZ67&lt;0,"0",Elect!AZ67)</f>
        <v>0</v>
      </c>
      <c r="AE65" s="33">
        <f>IF(Elect!BB67&lt;0,"0",Elect!BB67)</f>
        <v>0</v>
      </c>
      <c r="AF65" s="66">
        <f>IF('Wtr-Gas'!E67&lt;0,"0",('Wtr-Gas'!E67)*0.0038)</f>
        <v>0</v>
      </c>
      <c r="AG65" s="66">
        <f>IF('Wtr-Gas'!H67&lt;0,"0",('Wtr-Gas'!H67)*0.0038)</f>
        <v>0</v>
      </c>
      <c r="AH65" s="66">
        <f>IF('Wtr-Gas'!K67&lt;0,"0",('Wtr-Gas'!K67)*0.0038)</f>
        <v>0</v>
      </c>
      <c r="AI65" s="66">
        <f>IF('Wtr-Gas'!N67&lt;0,"0",('Wtr-Gas'!N67)*0.0038)</f>
        <v>0</v>
      </c>
      <c r="AJ65" s="66">
        <f>IF('Wtr-Gas'!Q67&lt;0,"0",('Wtr-Gas'!Q67)*0.0038)</f>
        <v>0</v>
      </c>
      <c r="AK65" s="67">
        <f>IF('Wtr-Gas'!U67&lt;0,"0",('Wtr-Gas'!U67)*0.0038)</f>
        <v>0</v>
      </c>
      <c r="AL65" s="67">
        <f>IF('Wtr-Gas'!X67&lt;0,"0",('Wtr-Gas'!X67)*0.0038)</f>
        <v>0</v>
      </c>
      <c r="AM65" s="66">
        <f>IF('Wtr-Gas'!AB67&lt;0,"0",('Wtr-Gas'!AB67)*0.0038)</f>
        <v>0</v>
      </c>
      <c r="AN65" s="66">
        <f>IF('Wtr-Gas'!AD67&lt;0,"0",('Wtr-Gas'!AD67)*0.0038)</f>
        <v>0</v>
      </c>
      <c r="AO65" s="66">
        <f>IF('Wtr-Gas'!AH67&lt;0,"0",('Wtr-Gas'!AH67)*0.0038)</f>
        <v>0</v>
      </c>
      <c r="AP65" s="66">
        <f>IF('Wtr-Gas'!AJ67&lt;0,"0",('Wtr-Gas'!AJ67)*0.0038)</f>
        <v>0</v>
      </c>
      <c r="AQ65" s="66">
        <f>IF('Wtr-Gas'!AL67&lt;0,"0",('Wtr-Gas'!AL67)*0.0038)</f>
        <v>0</v>
      </c>
      <c r="AR65" s="66">
        <f>IF('Wtr-Gas'!AN67&lt;0,"0",('Wtr-Gas'!AN67)*0.0038)</f>
        <v>0</v>
      </c>
      <c r="AS65" s="66">
        <f>IF('Wtr-Gas'!AP67&lt;0,"0",('Wtr-Gas'!AP67)*0.0038)</f>
        <v>0</v>
      </c>
      <c r="AT65" s="66">
        <f>IF('Wtr-Gas'!AR67&lt;0,"0",('Wtr-Gas'!AR67)*0.0038)</f>
        <v>0</v>
      </c>
      <c r="AU65" s="72">
        <f>IF('Wtr-Gas'!AV67&lt;0,"0",('Wtr-Gas'!AV67)*0.0038)</f>
        <v>0</v>
      </c>
      <c r="AV65" s="66">
        <f>IF('Wtr-Gas'!AY67&lt;0,"0",('Wtr-Gas'!AY67)*0.0038)</f>
        <v>0</v>
      </c>
      <c r="AW65" s="66">
        <f>IF('Wtr-Gas'!BA67&lt;0,"0",('Wtr-Gas'!BA67)*0.0038)</f>
        <v>0</v>
      </c>
      <c r="AX65" s="66">
        <f>IF('Wtr-Gas'!BB67&lt;0,"0",('Wtr-Gas'!BB67)*0.0038)</f>
        <v>0</v>
      </c>
      <c r="AY65" s="66">
        <f>IF('Wtr-Gas'!BD67&lt;0,"0",('Wtr-Gas'!BD67)*0.0038)</f>
        <v>0</v>
      </c>
      <c r="AZ65" s="66">
        <f>IF('Wtr-Gas'!BF67&lt;0,"0",('Wtr-Gas'!BF67)*0.0038)</f>
        <v>0</v>
      </c>
      <c r="BA65" s="66">
        <f>IF('Wtr-Gas'!BH67&lt;0,"0",('Wtr-Gas'!BH67)*0.0038)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7"/>
  <sheetViews>
    <sheetView tabSelected="1" topLeftCell="AQ1" zoomScale="115" zoomScaleNormal="115" workbookViewId="0">
      <selection activeCell="AX24" sqref="AX24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3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9.4257812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customWidth="1"/>
    <col min="56" max="58" width="10.7109375" customWidth="1"/>
  </cols>
  <sheetData>
    <row r="1" spans="2:59" s="40" customFormat="1" ht="26.25" x14ac:dyDescent="0.4">
      <c r="B1" s="41">
        <v>2023</v>
      </c>
      <c r="C1" s="55"/>
      <c r="D1" s="91" t="s">
        <v>61</v>
      </c>
      <c r="E1" s="92"/>
      <c r="F1" s="92"/>
      <c r="G1" s="91" t="s">
        <v>62</v>
      </c>
      <c r="H1" s="92"/>
      <c r="I1" s="92"/>
      <c r="J1" s="91" t="s">
        <v>63</v>
      </c>
      <c r="K1" s="92"/>
      <c r="L1" s="92"/>
      <c r="M1" s="91" t="s">
        <v>64</v>
      </c>
      <c r="N1" s="92"/>
      <c r="O1" s="92"/>
      <c r="P1" s="91" t="s">
        <v>65</v>
      </c>
      <c r="Q1" s="92"/>
      <c r="R1" s="92"/>
      <c r="S1" s="91" t="s">
        <v>66</v>
      </c>
      <c r="T1" s="92"/>
      <c r="U1" s="92"/>
      <c r="V1" s="91" t="s">
        <v>67</v>
      </c>
      <c r="W1" s="92"/>
      <c r="X1" s="92"/>
      <c r="Y1" s="91" t="s">
        <v>68</v>
      </c>
      <c r="Z1" s="92"/>
      <c r="AA1" s="92"/>
      <c r="AB1" s="91" t="s">
        <v>69</v>
      </c>
      <c r="AC1" s="92"/>
      <c r="AD1" s="92"/>
      <c r="AE1" s="91" t="s">
        <v>70</v>
      </c>
      <c r="AF1" s="92"/>
      <c r="AG1" s="92"/>
      <c r="AH1" s="91" t="s">
        <v>71</v>
      </c>
      <c r="AI1" s="92"/>
      <c r="AJ1" s="92"/>
      <c r="AK1" s="91" t="s">
        <v>72</v>
      </c>
      <c r="AL1" s="92"/>
      <c r="AM1" s="92"/>
      <c r="AN1" s="42"/>
      <c r="AO1" s="42"/>
      <c r="AP1" s="43" t="s">
        <v>73</v>
      </c>
      <c r="AQ1" s="43" t="s">
        <v>74</v>
      </c>
      <c r="AR1" s="43"/>
      <c r="AS1" s="42"/>
      <c r="AT1" s="42"/>
      <c r="AU1" s="91" t="s">
        <v>75</v>
      </c>
      <c r="AV1" s="92"/>
      <c r="AW1" s="91" t="s">
        <v>76</v>
      </c>
      <c r="AX1" s="92"/>
      <c r="AY1" s="91" t="s">
        <v>77</v>
      </c>
      <c r="AZ1" s="92"/>
      <c r="BA1" s="91" t="s">
        <v>78</v>
      </c>
      <c r="BB1" s="92"/>
      <c r="BC1" s="38"/>
      <c r="BD1" s="38"/>
      <c r="BE1" s="38"/>
      <c r="BF1" s="15" t="s">
        <v>79</v>
      </c>
      <c r="BG1" s="38"/>
    </row>
    <row r="2" spans="2:59" x14ac:dyDescent="0.25">
      <c r="B2" s="24" t="s">
        <v>80</v>
      </c>
      <c r="C2" s="56" t="s">
        <v>81</v>
      </c>
      <c r="D2" s="18" t="s">
        <v>82</v>
      </c>
      <c r="E2" s="82" t="s">
        <v>83</v>
      </c>
      <c r="F2" s="15" t="s">
        <v>84</v>
      </c>
      <c r="G2" s="84" t="s">
        <v>85</v>
      </c>
      <c r="H2" s="82" t="s">
        <v>86</v>
      </c>
      <c r="I2" s="15" t="s">
        <v>84</v>
      </c>
      <c r="J2" s="82" t="s">
        <v>87</v>
      </c>
      <c r="K2" s="82" t="s">
        <v>88</v>
      </c>
      <c r="L2" s="15" t="s">
        <v>84</v>
      </c>
      <c r="M2" s="82" t="s">
        <v>89</v>
      </c>
      <c r="N2" s="82" t="s">
        <v>90</v>
      </c>
      <c r="O2" s="15" t="s">
        <v>84</v>
      </c>
      <c r="P2" s="82" t="s">
        <v>91</v>
      </c>
      <c r="Q2" s="82" t="s">
        <v>92</v>
      </c>
      <c r="R2" s="15" t="s">
        <v>84</v>
      </c>
      <c r="S2" s="82" t="s">
        <v>93</v>
      </c>
      <c r="T2" s="82" t="s">
        <v>94</v>
      </c>
      <c r="U2" s="15" t="s">
        <v>84</v>
      </c>
      <c r="V2" s="82" t="s">
        <v>95</v>
      </c>
      <c r="W2" s="82" t="s">
        <v>96</v>
      </c>
      <c r="X2" s="15" t="s">
        <v>84</v>
      </c>
      <c r="Y2" s="82" t="s">
        <v>97</v>
      </c>
      <c r="Z2" s="82" t="s">
        <v>98</v>
      </c>
      <c r="AA2" s="15" t="s">
        <v>84</v>
      </c>
      <c r="AB2" s="82" t="s">
        <v>99</v>
      </c>
      <c r="AC2" s="82" t="s">
        <v>100</v>
      </c>
      <c r="AD2" s="15" t="s">
        <v>84</v>
      </c>
      <c r="AE2" s="82" t="s">
        <v>101</v>
      </c>
      <c r="AF2" s="82" t="s">
        <v>102</v>
      </c>
      <c r="AG2" s="15" t="s">
        <v>84</v>
      </c>
      <c r="AH2" s="82" t="s">
        <v>103</v>
      </c>
      <c r="AI2" s="82" t="s">
        <v>104</v>
      </c>
      <c r="AJ2" s="15" t="s">
        <v>84</v>
      </c>
      <c r="AK2" s="93" t="s">
        <v>105</v>
      </c>
      <c r="AL2" s="94"/>
      <c r="AM2" s="15" t="s">
        <v>84</v>
      </c>
      <c r="AO2" s="36" t="s">
        <v>106</v>
      </c>
      <c r="AP2" s="36" t="s">
        <v>79</v>
      </c>
      <c r="AQ2" s="1"/>
      <c r="AR2" t="s">
        <v>107</v>
      </c>
      <c r="AS2" s="16"/>
      <c r="AT2" s="1"/>
      <c r="AU2" s="83" t="s">
        <v>108</v>
      </c>
      <c r="AV2" s="15" t="s">
        <v>84</v>
      </c>
      <c r="AW2" s="83" t="s">
        <v>109</v>
      </c>
      <c r="AX2" s="15" t="s">
        <v>84</v>
      </c>
      <c r="AY2" s="83" t="s">
        <v>110</v>
      </c>
      <c r="AZ2" s="15" t="s">
        <v>84</v>
      </c>
      <c r="BA2" s="83" t="s">
        <v>111</v>
      </c>
      <c r="BB2" s="15" t="s">
        <v>84</v>
      </c>
      <c r="BC2" s="16"/>
      <c r="BD2" s="15" t="s">
        <v>106</v>
      </c>
      <c r="BE2" s="15" t="s">
        <v>107</v>
      </c>
      <c r="BF2" s="24" t="s">
        <v>112</v>
      </c>
      <c r="BG2" s="1"/>
    </row>
    <row r="3" spans="2:59" x14ac:dyDescent="0.25">
      <c r="B3" s="19"/>
      <c r="C3" s="57" t="s">
        <v>10</v>
      </c>
      <c r="D3" s="82" t="s">
        <v>79</v>
      </c>
      <c r="E3" s="83" t="s">
        <v>113</v>
      </c>
      <c r="F3" s="18" t="s">
        <v>114</v>
      </c>
      <c r="G3" s="84" t="s">
        <v>79</v>
      </c>
      <c r="H3" s="82" t="s">
        <v>113</v>
      </c>
      <c r="I3" s="18" t="s">
        <v>114</v>
      </c>
      <c r="J3" s="82" t="s">
        <v>79</v>
      </c>
      <c r="K3" s="82" t="s">
        <v>113</v>
      </c>
      <c r="L3" s="18" t="s">
        <v>115</v>
      </c>
      <c r="M3" s="82" t="s">
        <v>79</v>
      </c>
      <c r="N3" s="82" t="s">
        <v>113</v>
      </c>
      <c r="O3" s="18" t="s">
        <v>115</v>
      </c>
      <c r="P3" s="82" t="s">
        <v>79</v>
      </c>
      <c r="Q3" s="82" t="s">
        <v>113</v>
      </c>
      <c r="R3" s="18" t="s">
        <v>115</v>
      </c>
      <c r="S3" s="82" t="s">
        <v>79</v>
      </c>
      <c r="T3" s="82" t="s">
        <v>113</v>
      </c>
      <c r="U3" s="18" t="s">
        <v>116</v>
      </c>
      <c r="V3" s="82" t="s">
        <v>79</v>
      </c>
      <c r="W3" s="82" t="s">
        <v>113</v>
      </c>
      <c r="X3" s="18" t="s">
        <v>116</v>
      </c>
      <c r="Y3" s="82" t="s">
        <v>79</v>
      </c>
      <c r="Z3" s="82" t="s">
        <v>113</v>
      </c>
      <c r="AA3" s="18" t="s">
        <v>114</v>
      </c>
      <c r="AB3" s="82" t="s">
        <v>79</v>
      </c>
      <c r="AC3" s="82" t="s">
        <v>113</v>
      </c>
      <c r="AD3" s="18" t="s">
        <v>114</v>
      </c>
      <c r="AE3" s="82" t="s">
        <v>79</v>
      </c>
      <c r="AF3" s="82" t="s">
        <v>113</v>
      </c>
      <c r="AG3" s="18" t="s">
        <v>117</v>
      </c>
      <c r="AH3" s="82" t="s">
        <v>79</v>
      </c>
      <c r="AI3" s="82" t="s">
        <v>113</v>
      </c>
      <c r="AJ3" s="18" t="s">
        <v>118</v>
      </c>
      <c r="AK3" s="93" t="s">
        <v>79</v>
      </c>
      <c r="AL3" s="94"/>
      <c r="AM3" s="18" t="s">
        <v>119</v>
      </c>
      <c r="AR3" s="1" t="s">
        <v>79</v>
      </c>
      <c r="AS3" s="14"/>
      <c r="AU3" s="83" t="s">
        <v>79</v>
      </c>
      <c r="AV3" s="18" t="s">
        <v>120</v>
      </c>
      <c r="AW3" s="83" t="s">
        <v>79</v>
      </c>
      <c r="AX3" s="18" t="s">
        <v>120</v>
      </c>
      <c r="AY3" s="83" t="s">
        <v>79</v>
      </c>
      <c r="AZ3" s="18" t="s">
        <v>119</v>
      </c>
      <c r="BA3" s="83" t="s">
        <v>79</v>
      </c>
      <c r="BB3" s="18" t="s">
        <v>118</v>
      </c>
      <c r="BC3" s="16"/>
      <c r="BD3" s="18" t="s">
        <v>121</v>
      </c>
      <c r="BE3" s="18" t="s">
        <v>121</v>
      </c>
      <c r="BF3" s="18" t="s">
        <v>122</v>
      </c>
      <c r="BG3" s="1"/>
    </row>
    <row r="4" spans="2:59" x14ac:dyDescent="0.25">
      <c r="B4" s="37">
        <v>44927</v>
      </c>
      <c r="C4" s="58">
        <f>(Occupancy!K8)</f>
        <v>377</v>
      </c>
      <c r="D4" s="17">
        <v>25218</v>
      </c>
      <c r="E4" s="17">
        <v>2.085</v>
      </c>
      <c r="F4" s="28" t="s">
        <v>216</v>
      </c>
      <c r="G4" s="17">
        <v>26434</v>
      </c>
      <c r="H4" s="17">
        <v>2.4689999999999999</v>
      </c>
      <c r="I4" s="28" t="s">
        <v>216</v>
      </c>
      <c r="J4" s="17">
        <v>14104</v>
      </c>
      <c r="K4" s="17">
        <v>4.16</v>
      </c>
      <c r="L4" s="28" t="s">
        <v>216</v>
      </c>
      <c r="M4" s="17">
        <v>13667</v>
      </c>
      <c r="N4" s="17">
        <v>3.68</v>
      </c>
      <c r="O4" s="28" t="s">
        <v>216</v>
      </c>
      <c r="P4" s="17">
        <v>14287</v>
      </c>
      <c r="Q4" s="17">
        <v>3.76</v>
      </c>
      <c r="R4" s="28" t="s">
        <v>216</v>
      </c>
      <c r="S4" s="17">
        <v>98693</v>
      </c>
      <c r="T4" s="17">
        <v>2.0720000000000001</v>
      </c>
      <c r="U4" s="28" t="s">
        <v>216</v>
      </c>
      <c r="V4" s="17">
        <v>95337</v>
      </c>
      <c r="W4" s="17">
        <v>1.756</v>
      </c>
      <c r="X4" s="28" t="s">
        <v>216</v>
      </c>
      <c r="Y4" s="17">
        <v>21867</v>
      </c>
      <c r="Z4" s="17">
        <v>3</v>
      </c>
      <c r="AA4" s="28" t="s">
        <v>216</v>
      </c>
      <c r="AB4" s="17">
        <v>14164</v>
      </c>
      <c r="AC4" s="17">
        <v>2.25</v>
      </c>
      <c r="AD4" s="28" t="s">
        <v>216</v>
      </c>
      <c r="AE4" s="17">
        <v>21139</v>
      </c>
      <c r="AF4" s="17">
        <v>2.1989999999999998</v>
      </c>
      <c r="AG4" s="28" t="s">
        <v>216</v>
      </c>
      <c r="AH4" s="17">
        <v>21357</v>
      </c>
      <c r="AI4" s="17">
        <v>0.40500000000000003</v>
      </c>
      <c r="AJ4" s="28" t="s">
        <v>216</v>
      </c>
      <c r="AK4" s="89">
        <v>26321</v>
      </c>
      <c r="AL4" s="28" t="s">
        <v>216</v>
      </c>
      <c r="AM4" s="28"/>
      <c r="AO4" s="28"/>
      <c r="AP4" s="17"/>
      <c r="AQ4" s="17"/>
      <c r="AR4" s="17"/>
      <c r="AS4" s="14"/>
      <c r="AT4" s="39">
        <f>B4</f>
        <v>44927</v>
      </c>
      <c r="AU4" s="17">
        <v>78443</v>
      </c>
      <c r="AV4" s="28" t="s">
        <v>216</v>
      </c>
      <c r="AW4" s="17">
        <v>9958</v>
      </c>
      <c r="AX4" s="28" t="s">
        <v>216</v>
      </c>
      <c r="AY4" s="44">
        <v>15883</v>
      </c>
      <c r="AZ4" s="45" t="s">
        <v>216</v>
      </c>
      <c r="BA4" s="17">
        <v>6876</v>
      </c>
      <c r="BB4" s="28" t="s">
        <v>216</v>
      </c>
      <c r="BC4" s="14"/>
      <c r="BD4" s="28"/>
      <c r="BE4" s="17"/>
      <c r="BF4" s="17"/>
    </row>
    <row r="5" spans="2:59" x14ac:dyDescent="0.25">
      <c r="B5" s="37">
        <v>44928</v>
      </c>
      <c r="C5" s="58">
        <f>(Occupancy!K9)</f>
        <v>330</v>
      </c>
      <c r="D5" s="17">
        <v>25218</v>
      </c>
      <c r="E5" s="17">
        <v>2.085</v>
      </c>
      <c r="F5" s="28">
        <f t="shared" ref="F5" si="0">SUM(D5-D4)*160</f>
        <v>0</v>
      </c>
      <c r="G5" s="17">
        <v>26434</v>
      </c>
      <c r="H5" s="17">
        <v>2.4689999999999999</v>
      </c>
      <c r="I5" s="28">
        <f t="shared" ref="I5:I13" si="1">SUM(G5-G4)*160</f>
        <v>0</v>
      </c>
      <c r="J5" s="17">
        <v>14104</v>
      </c>
      <c r="K5" s="17">
        <v>4.16</v>
      </c>
      <c r="L5" s="28">
        <f t="shared" ref="L5:L13" si="2">SUM(J5-J4)*400</f>
        <v>0</v>
      </c>
      <c r="M5" s="17">
        <v>13667</v>
      </c>
      <c r="N5" s="17">
        <v>3.68</v>
      </c>
      <c r="O5" s="28">
        <f t="shared" ref="O5:O13" si="3">SUM(M5-M4)*400</f>
        <v>0</v>
      </c>
      <c r="P5" s="17">
        <v>14287</v>
      </c>
      <c r="Q5" s="17">
        <v>3.76</v>
      </c>
      <c r="R5" s="28">
        <f t="shared" ref="R5:R13" si="4">SUM(P5-P4)*400</f>
        <v>0</v>
      </c>
      <c r="S5" s="17">
        <v>98693</v>
      </c>
      <c r="T5" s="17">
        <v>2.0720000000000001</v>
      </c>
      <c r="U5" s="28">
        <f t="shared" ref="U5:U13" si="5">SUM(S5-S4)*300</f>
        <v>0</v>
      </c>
      <c r="V5" s="17">
        <v>95337</v>
      </c>
      <c r="W5" s="17">
        <v>1.756</v>
      </c>
      <c r="X5" s="28">
        <f t="shared" ref="X5:X13" si="6">SUM(V5-V4)*300</f>
        <v>0</v>
      </c>
      <c r="Y5" s="17">
        <v>21867</v>
      </c>
      <c r="Z5" s="17">
        <v>3</v>
      </c>
      <c r="AA5" s="28">
        <f t="shared" ref="AA5:AA13" si="7">SUM(Y5-Y4)*160</f>
        <v>0</v>
      </c>
      <c r="AB5" s="17">
        <v>14164</v>
      </c>
      <c r="AC5" s="17">
        <v>2.25</v>
      </c>
      <c r="AD5" s="28">
        <f t="shared" ref="AD5:AD13" si="8">SUM(AB5-AB4)*160</f>
        <v>0</v>
      </c>
      <c r="AE5" s="17">
        <v>21139</v>
      </c>
      <c r="AF5" s="17">
        <v>2.1989999999999998</v>
      </c>
      <c r="AG5" s="28">
        <f t="shared" ref="AG5:AG13" si="9">SUM(AE5-AE4)*200</f>
        <v>0</v>
      </c>
      <c r="AH5" s="17">
        <v>21357</v>
      </c>
      <c r="AI5" s="17">
        <v>0.40500000000000003</v>
      </c>
      <c r="AJ5" s="28">
        <f t="shared" ref="AJ5:AJ9" si="10">SUM(AH5-AH4)*40</f>
        <v>0</v>
      </c>
      <c r="AK5" s="89">
        <v>26321</v>
      </c>
      <c r="AL5" s="28">
        <f t="shared" ref="AL5:AL13" si="11">SUM(AK5-AK4)</f>
        <v>0</v>
      </c>
      <c r="AM5" s="28"/>
      <c r="AO5" s="28">
        <f t="shared" ref="AO5" si="12">SUM(AG5+AD5+AA5+X5+U5+R5+O5+L5+I5+F5+AJ5+AL5)</f>
        <v>0</v>
      </c>
      <c r="AP5" s="90">
        <f t="shared" ref="AP5" si="13">SUM(AG5+AJ5)</f>
        <v>0</v>
      </c>
      <c r="AQ5" s="44" t="e">
        <f t="shared" ref="AQ5" si="14">SUM(AP5/AO5)</f>
        <v>#DIV/0!</v>
      </c>
      <c r="AR5" s="17">
        <f>SUM(AO1:AO5)</f>
        <v>0</v>
      </c>
      <c r="AS5" s="14"/>
      <c r="AT5" s="39">
        <f t="shared" ref="AT5:AT64" si="15">B5</f>
        <v>44928</v>
      </c>
      <c r="AU5" s="17">
        <v>78443</v>
      </c>
      <c r="AV5" s="28">
        <f t="shared" ref="AV5:AV13" si="16">SUM(AU5-AU4)*100</f>
        <v>0</v>
      </c>
      <c r="AW5" s="17">
        <v>9958</v>
      </c>
      <c r="AX5" s="28">
        <f t="shared" ref="AX5:AX13" si="17">SUM(AW5-AW4)*100</f>
        <v>0</v>
      </c>
      <c r="AY5" s="44">
        <v>15883</v>
      </c>
      <c r="AZ5" s="45">
        <f t="shared" ref="AZ5:AZ13" si="18">SUM(AY5-AY4)</f>
        <v>0</v>
      </c>
      <c r="BA5" s="17">
        <v>6876</v>
      </c>
      <c r="BB5" s="28">
        <f t="shared" ref="BB5:BB13" si="19">SUM(BA5-BA4)*40</f>
        <v>0</v>
      </c>
      <c r="BC5" s="14"/>
      <c r="BD5" s="17"/>
      <c r="BE5" s="17"/>
      <c r="BF5" s="17"/>
    </row>
    <row r="6" spans="2:59" x14ac:dyDescent="0.25">
      <c r="B6" s="37">
        <v>44935</v>
      </c>
      <c r="C6" s="58">
        <f>SUM(Occupancy!K10:K16)</f>
        <v>2418</v>
      </c>
      <c r="D6" s="17">
        <v>25523</v>
      </c>
      <c r="E6" s="17">
        <v>2.085</v>
      </c>
      <c r="F6" s="28">
        <f t="shared" ref="F6" si="20">SUM(D6-D5)*160</f>
        <v>48800</v>
      </c>
      <c r="G6" s="17">
        <v>26785</v>
      </c>
      <c r="H6" s="17">
        <v>2.4689999999999999</v>
      </c>
      <c r="I6" s="28">
        <f t="shared" si="1"/>
        <v>56160</v>
      </c>
      <c r="J6" s="17">
        <v>14147</v>
      </c>
      <c r="K6" s="17">
        <v>4.16</v>
      </c>
      <c r="L6" s="28">
        <f t="shared" si="2"/>
        <v>17200</v>
      </c>
      <c r="M6" s="17">
        <v>13705</v>
      </c>
      <c r="N6" s="17">
        <v>3.68</v>
      </c>
      <c r="O6" s="28">
        <f t="shared" si="3"/>
        <v>15200</v>
      </c>
      <c r="P6" s="17">
        <v>14323</v>
      </c>
      <c r="Q6" s="17">
        <v>3.76</v>
      </c>
      <c r="R6" s="28">
        <f t="shared" si="4"/>
        <v>14400</v>
      </c>
      <c r="S6" s="17">
        <v>98891</v>
      </c>
      <c r="T6" s="17">
        <v>2.0720000000000001</v>
      </c>
      <c r="U6" s="28">
        <f t="shared" si="5"/>
        <v>59400</v>
      </c>
      <c r="V6" s="17">
        <v>95528</v>
      </c>
      <c r="W6" s="17">
        <v>1.958</v>
      </c>
      <c r="X6" s="28">
        <f t="shared" si="6"/>
        <v>57300</v>
      </c>
      <c r="Y6" s="17">
        <v>21921</v>
      </c>
      <c r="Z6" s="17">
        <v>4.9400000000000004</v>
      </c>
      <c r="AA6" s="28">
        <f t="shared" si="7"/>
        <v>8640</v>
      </c>
      <c r="AB6" s="17">
        <v>14190</v>
      </c>
      <c r="AC6" s="17">
        <v>2.83</v>
      </c>
      <c r="AD6" s="28">
        <f t="shared" si="8"/>
        <v>4160</v>
      </c>
      <c r="AE6" s="17">
        <v>21432</v>
      </c>
      <c r="AF6" s="17">
        <v>2.1989999999999998</v>
      </c>
      <c r="AG6" s="28">
        <f t="shared" si="9"/>
        <v>58600</v>
      </c>
      <c r="AH6" s="17">
        <v>21397</v>
      </c>
      <c r="AI6" s="17">
        <v>0.40500000000000003</v>
      </c>
      <c r="AJ6" s="28">
        <f t="shared" si="10"/>
        <v>1600</v>
      </c>
      <c r="AK6" s="89">
        <v>26889</v>
      </c>
      <c r="AL6" s="28">
        <f t="shared" si="11"/>
        <v>568</v>
      </c>
      <c r="AM6" s="28"/>
      <c r="AO6" s="28"/>
      <c r="AP6" s="17"/>
      <c r="AQ6" s="17"/>
      <c r="AR6" s="17"/>
      <c r="AS6" s="14"/>
      <c r="AT6" s="39">
        <f t="shared" si="15"/>
        <v>44935</v>
      </c>
      <c r="AU6" s="17">
        <v>78575</v>
      </c>
      <c r="AV6" s="28">
        <f t="shared" si="16"/>
        <v>13200</v>
      </c>
      <c r="AW6" s="17">
        <v>9972</v>
      </c>
      <c r="AX6" s="28">
        <f t="shared" si="17"/>
        <v>1400</v>
      </c>
      <c r="AY6" s="44">
        <v>16637</v>
      </c>
      <c r="AZ6" s="45">
        <f t="shared" si="18"/>
        <v>754</v>
      </c>
      <c r="BA6" s="17">
        <v>6915</v>
      </c>
      <c r="BB6" s="28">
        <f t="shared" si="19"/>
        <v>1560</v>
      </c>
      <c r="BC6" s="14"/>
      <c r="BD6" s="17"/>
      <c r="BE6" s="17"/>
      <c r="BF6" s="17"/>
    </row>
    <row r="7" spans="2:59" x14ac:dyDescent="0.25">
      <c r="B7" s="37">
        <v>44942</v>
      </c>
      <c r="C7" s="58">
        <f>SUM(Occupancy!K17:K23)</f>
        <v>1995</v>
      </c>
      <c r="D7" s="17">
        <v>25801</v>
      </c>
      <c r="E7" s="17">
        <v>2.085</v>
      </c>
      <c r="F7" s="28">
        <f t="shared" ref="F7" si="21">SUM(D7-D6)*160</f>
        <v>44480</v>
      </c>
      <c r="G7" s="17">
        <v>27107</v>
      </c>
      <c r="H7" s="17">
        <v>2.4689999999999999</v>
      </c>
      <c r="I7" s="28">
        <f t="shared" si="1"/>
        <v>51520</v>
      </c>
      <c r="J7" s="17">
        <v>14187</v>
      </c>
      <c r="K7" s="17">
        <v>4.16</v>
      </c>
      <c r="L7" s="28">
        <f t="shared" si="2"/>
        <v>16000</v>
      </c>
      <c r="M7" s="17">
        <v>13739</v>
      </c>
      <c r="N7" s="17">
        <v>3.68</v>
      </c>
      <c r="O7" s="28">
        <f t="shared" si="3"/>
        <v>13600</v>
      </c>
      <c r="P7" s="17">
        <v>14358</v>
      </c>
      <c r="Q7" s="17">
        <v>3.76</v>
      </c>
      <c r="R7" s="28">
        <f t="shared" si="4"/>
        <v>14000</v>
      </c>
      <c r="S7" s="17">
        <v>99004</v>
      </c>
      <c r="T7" s="17">
        <v>2.0720000000000001</v>
      </c>
      <c r="U7" s="28">
        <f t="shared" si="5"/>
        <v>33900</v>
      </c>
      <c r="V7" s="17">
        <v>95646</v>
      </c>
      <c r="W7" s="17">
        <v>1.958</v>
      </c>
      <c r="X7" s="28">
        <f t="shared" si="6"/>
        <v>35400</v>
      </c>
      <c r="Y7" s="17">
        <v>21968</v>
      </c>
      <c r="Z7" s="17">
        <v>4.9400000000000004</v>
      </c>
      <c r="AA7" s="28">
        <f t="shared" si="7"/>
        <v>7520</v>
      </c>
      <c r="AB7" s="17">
        <v>14217</v>
      </c>
      <c r="AC7" s="17">
        <v>2.1989999999999998</v>
      </c>
      <c r="AD7" s="28">
        <f t="shared" si="8"/>
        <v>4320</v>
      </c>
      <c r="AE7" s="17">
        <v>21679</v>
      </c>
      <c r="AF7" s="17">
        <v>2.1989999999999998</v>
      </c>
      <c r="AG7" s="28">
        <f t="shared" si="9"/>
        <v>49400</v>
      </c>
      <c r="AH7" s="17">
        <v>21431</v>
      </c>
      <c r="AI7" s="17">
        <v>0.40500000000000003</v>
      </c>
      <c r="AJ7" s="28">
        <f t="shared" si="10"/>
        <v>1360</v>
      </c>
      <c r="AK7" s="89">
        <v>27487</v>
      </c>
      <c r="AL7" s="28">
        <f t="shared" si="11"/>
        <v>598</v>
      </c>
      <c r="AM7" s="28"/>
      <c r="AO7" s="28"/>
      <c r="AP7" s="17"/>
      <c r="AQ7" s="17"/>
      <c r="AR7" s="17"/>
      <c r="AS7" s="14"/>
      <c r="AT7" s="39">
        <f t="shared" si="15"/>
        <v>44942</v>
      </c>
      <c r="AU7" s="17">
        <v>78692</v>
      </c>
      <c r="AV7" s="28">
        <f t="shared" si="16"/>
        <v>11700</v>
      </c>
      <c r="AW7" s="17">
        <v>9991</v>
      </c>
      <c r="AX7" s="28">
        <f t="shared" si="17"/>
        <v>1900</v>
      </c>
      <c r="AY7" s="44">
        <v>17390</v>
      </c>
      <c r="AZ7" s="45">
        <f t="shared" si="18"/>
        <v>753</v>
      </c>
      <c r="BA7" s="17">
        <v>6957</v>
      </c>
      <c r="BB7" s="28">
        <f t="shared" si="19"/>
        <v>1680</v>
      </c>
      <c r="BC7" s="14"/>
      <c r="BD7" s="17"/>
      <c r="BE7" s="17"/>
      <c r="BF7" s="17"/>
    </row>
    <row r="8" spans="2:59" x14ac:dyDescent="0.25">
      <c r="B8" s="37">
        <v>44949</v>
      </c>
      <c r="C8" s="58">
        <f>SUM(Occupancy!K24:K30)</f>
        <v>2324</v>
      </c>
      <c r="D8" s="17">
        <v>26075</v>
      </c>
      <c r="E8" s="17">
        <v>1.883</v>
      </c>
      <c r="F8" s="28">
        <f t="shared" ref="F8" si="22">SUM(D8-D7)*160</f>
        <v>43840</v>
      </c>
      <c r="G8" s="17">
        <v>27432</v>
      </c>
      <c r="H8" s="17">
        <v>2.3119999999999998</v>
      </c>
      <c r="I8" s="28">
        <f t="shared" si="1"/>
        <v>52000</v>
      </c>
      <c r="J8" s="17">
        <v>14226</v>
      </c>
      <c r="K8" s="17">
        <v>2.96</v>
      </c>
      <c r="L8" s="28">
        <f t="shared" si="2"/>
        <v>15600</v>
      </c>
      <c r="M8" s="17">
        <v>13771</v>
      </c>
      <c r="N8" s="17">
        <v>2.27</v>
      </c>
      <c r="O8" s="28">
        <f t="shared" si="3"/>
        <v>12800</v>
      </c>
      <c r="P8" s="17">
        <v>14392</v>
      </c>
      <c r="Q8" s="17">
        <v>2.39</v>
      </c>
      <c r="R8" s="28">
        <f t="shared" si="4"/>
        <v>13600</v>
      </c>
      <c r="S8" s="17">
        <v>99158</v>
      </c>
      <c r="T8" s="17">
        <v>1.522</v>
      </c>
      <c r="U8" s="28">
        <f t="shared" si="5"/>
        <v>46200</v>
      </c>
      <c r="V8" s="17">
        <v>95800</v>
      </c>
      <c r="W8" s="17">
        <v>1.744</v>
      </c>
      <c r="X8" s="28">
        <f t="shared" si="6"/>
        <v>46200</v>
      </c>
      <c r="Y8" s="17">
        <v>22011</v>
      </c>
      <c r="Z8" s="17">
        <v>3.11</v>
      </c>
      <c r="AA8" s="28">
        <f t="shared" si="7"/>
        <v>6880</v>
      </c>
      <c r="AB8" s="17">
        <v>14244</v>
      </c>
      <c r="AC8" s="17">
        <v>2.31</v>
      </c>
      <c r="AD8" s="28">
        <f t="shared" si="8"/>
        <v>4320</v>
      </c>
      <c r="AE8" s="17">
        <v>21937</v>
      </c>
      <c r="AF8" s="17">
        <v>1.9410000000000001</v>
      </c>
      <c r="AG8" s="28">
        <f t="shared" si="9"/>
        <v>51600</v>
      </c>
      <c r="AH8" s="17">
        <v>21468</v>
      </c>
      <c r="AI8" s="17">
        <v>0.25900000000000001</v>
      </c>
      <c r="AJ8" s="28">
        <f t="shared" si="10"/>
        <v>1480</v>
      </c>
      <c r="AK8" s="89">
        <v>28047</v>
      </c>
      <c r="AL8" s="28">
        <f t="shared" si="11"/>
        <v>560</v>
      </c>
      <c r="AM8" s="28"/>
      <c r="AO8" s="28"/>
      <c r="AP8" s="17"/>
      <c r="AQ8" s="17"/>
      <c r="AR8" s="17"/>
      <c r="AS8" s="14"/>
      <c r="AT8" s="39">
        <f t="shared" si="15"/>
        <v>44949</v>
      </c>
      <c r="AU8" s="17">
        <v>78822</v>
      </c>
      <c r="AV8" s="28">
        <f t="shared" si="16"/>
        <v>13000</v>
      </c>
      <c r="AW8" s="17">
        <v>10008</v>
      </c>
      <c r="AX8" s="28">
        <f t="shared" si="17"/>
        <v>1700</v>
      </c>
      <c r="AY8" s="44">
        <v>18154</v>
      </c>
      <c r="AZ8" s="45">
        <f t="shared" si="18"/>
        <v>764</v>
      </c>
      <c r="BA8" s="17">
        <v>7004</v>
      </c>
      <c r="BB8" s="28">
        <f t="shared" si="19"/>
        <v>1880</v>
      </c>
      <c r="BC8" s="14"/>
      <c r="BD8" s="17"/>
      <c r="BE8" s="17"/>
      <c r="BF8" s="17"/>
    </row>
    <row r="9" spans="2:59" x14ac:dyDescent="0.25">
      <c r="B9" s="37">
        <v>44956</v>
      </c>
      <c r="C9" s="58">
        <f>SUM(Occupancy!K31:K37)</f>
        <v>2633</v>
      </c>
      <c r="D9" s="17">
        <v>26350</v>
      </c>
      <c r="E9" s="17">
        <v>2.0830000000000002</v>
      </c>
      <c r="F9" s="28">
        <f t="shared" ref="F9" si="23">SUM(D9-D8)*160</f>
        <v>44000</v>
      </c>
      <c r="G9" s="17">
        <v>27747</v>
      </c>
      <c r="H9" s="17">
        <v>2.4129999999999998</v>
      </c>
      <c r="I9" s="28">
        <f t="shared" si="1"/>
        <v>50400</v>
      </c>
      <c r="J9" s="17">
        <v>14264</v>
      </c>
      <c r="K9" s="17">
        <v>3.29</v>
      </c>
      <c r="L9" s="28">
        <f t="shared" si="2"/>
        <v>15200</v>
      </c>
      <c r="M9" s="17">
        <v>13804</v>
      </c>
      <c r="N9" s="17">
        <v>2.76</v>
      </c>
      <c r="O9" s="28">
        <f t="shared" si="3"/>
        <v>13200</v>
      </c>
      <c r="P9" s="17">
        <v>14426</v>
      </c>
      <c r="Q9" s="17">
        <v>3.07</v>
      </c>
      <c r="R9" s="28">
        <f t="shared" si="4"/>
        <v>13600</v>
      </c>
      <c r="S9" s="17">
        <v>99325</v>
      </c>
      <c r="T9" s="17">
        <v>2.2530000000000001</v>
      </c>
      <c r="U9" s="28">
        <f t="shared" si="5"/>
        <v>50100</v>
      </c>
      <c r="V9" s="17">
        <v>95919</v>
      </c>
      <c r="W9" s="17">
        <v>1.744</v>
      </c>
      <c r="X9" s="28">
        <f t="shared" si="6"/>
        <v>35700</v>
      </c>
      <c r="Y9" s="17">
        <v>22062</v>
      </c>
      <c r="Z9" s="17">
        <v>4.71</v>
      </c>
      <c r="AA9" s="28">
        <f t="shared" si="7"/>
        <v>8160</v>
      </c>
      <c r="AB9" s="17">
        <v>14271</v>
      </c>
      <c r="AC9" s="17">
        <v>3.32</v>
      </c>
      <c r="AD9" s="28">
        <f t="shared" si="8"/>
        <v>4320</v>
      </c>
      <c r="AE9" s="17">
        <v>22187</v>
      </c>
      <c r="AF9" s="17">
        <v>1.9410000000000001</v>
      </c>
      <c r="AG9" s="28">
        <f t="shared" si="9"/>
        <v>50000</v>
      </c>
      <c r="AH9" s="17">
        <v>21504</v>
      </c>
      <c r="AI9" s="17">
        <v>0.32400000000000001</v>
      </c>
      <c r="AJ9" s="28">
        <f t="shared" si="10"/>
        <v>1440</v>
      </c>
      <c r="AK9" s="89">
        <v>28603</v>
      </c>
      <c r="AL9" s="28">
        <f t="shared" si="11"/>
        <v>556</v>
      </c>
      <c r="AM9" s="28"/>
      <c r="AO9" s="28"/>
      <c r="AP9" s="17"/>
      <c r="AQ9" s="17"/>
      <c r="AR9" s="17"/>
      <c r="AS9" s="14"/>
      <c r="AT9" s="39">
        <f t="shared" si="15"/>
        <v>44956</v>
      </c>
      <c r="AU9" s="17">
        <v>78955</v>
      </c>
      <c r="AV9" s="28">
        <f t="shared" si="16"/>
        <v>13300</v>
      </c>
      <c r="AW9" s="17">
        <v>10026</v>
      </c>
      <c r="AX9" s="28">
        <f t="shared" si="17"/>
        <v>1800</v>
      </c>
      <c r="AY9" s="44">
        <v>18911</v>
      </c>
      <c r="AZ9" s="45">
        <f t="shared" si="18"/>
        <v>757</v>
      </c>
      <c r="BA9" s="17">
        <v>7058</v>
      </c>
      <c r="BB9" s="28">
        <f t="shared" si="19"/>
        <v>2160</v>
      </c>
      <c r="BC9" s="14"/>
      <c r="BD9" s="17"/>
      <c r="BE9" s="17"/>
      <c r="BF9" s="17"/>
    </row>
    <row r="10" spans="2:59" x14ac:dyDescent="0.25">
      <c r="B10" s="37">
        <v>44957</v>
      </c>
      <c r="C10" s="58">
        <f>SUM(Occupancy!K38:K38)</f>
        <v>398</v>
      </c>
      <c r="D10" s="17">
        <v>26394</v>
      </c>
      <c r="E10" s="17">
        <v>2.0830000000000002</v>
      </c>
      <c r="F10" s="28">
        <f t="shared" ref="F10" si="24">SUM(D10-D9)*160</f>
        <v>7040</v>
      </c>
      <c r="G10" s="17">
        <v>27795</v>
      </c>
      <c r="H10" s="17">
        <v>2.4129999999999998</v>
      </c>
      <c r="I10" s="28">
        <f t="shared" si="1"/>
        <v>7680</v>
      </c>
      <c r="J10" s="17">
        <v>14269</v>
      </c>
      <c r="K10" s="17">
        <v>3.29</v>
      </c>
      <c r="L10" s="28">
        <f t="shared" si="2"/>
        <v>2000</v>
      </c>
      <c r="M10" s="17">
        <v>13809</v>
      </c>
      <c r="N10" s="17">
        <v>2.76</v>
      </c>
      <c r="O10" s="28">
        <f t="shared" si="3"/>
        <v>2000</v>
      </c>
      <c r="P10" s="17">
        <v>14430</v>
      </c>
      <c r="Q10" s="17">
        <v>3.07</v>
      </c>
      <c r="R10" s="28">
        <f t="shared" si="4"/>
        <v>1600</v>
      </c>
      <c r="S10" s="17">
        <v>99354</v>
      </c>
      <c r="T10" s="17">
        <v>2.2530000000000001</v>
      </c>
      <c r="U10" s="28">
        <f t="shared" si="5"/>
        <v>8700</v>
      </c>
      <c r="V10" s="17">
        <v>95956</v>
      </c>
      <c r="W10" s="17">
        <v>1.8280000000000001</v>
      </c>
      <c r="X10" s="28">
        <f t="shared" si="6"/>
        <v>11100</v>
      </c>
      <c r="Y10" s="17">
        <v>22068</v>
      </c>
      <c r="Z10" s="17">
        <v>4.71</v>
      </c>
      <c r="AA10" s="28">
        <f t="shared" si="7"/>
        <v>960</v>
      </c>
      <c r="AB10" s="17">
        <v>14274</v>
      </c>
      <c r="AC10" s="17">
        <v>3.32</v>
      </c>
      <c r="AD10" s="28">
        <f t="shared" si="8"/>
        <v>480</v>
      </c>
      <c r="AE10" s="17">
        <v>22228</v>
      </c>
      <c r="AF10" s="17">
        <v>1.9410000000000001</v>
      </c>
      <c r="AG10" s="28">
        <f t="shared" si="9"/>
        <v>8200</v>
      </c>
      <c r="AH10" s="17">
        <v>21509</v>
      </c>
      <c r="AI10" s="17">
        <v>0.32400000000000001</v>
      </c>
      <c r="AJ10" s="28">
        <f>SUM(AH10-AH9)*40</f>
        <v>200</v>
      </c>
      <c r="AK10" s="89">
        <v>28650</v>
      </c>
      <c r="AL10" s="28">
        <f t="shared" si="11"/>
        <v>47</v>
      </c>
      <c r="AM10" s="28"/>
      <c r="AO10" s="28"/>
      <c r="AP10" s="17"/>
      <c r="AQ10" s="17"/>
      <c r="AR10" s="17"/>
      <c r="AS10" s="14"/>
      <c r="AT10" s="39">
        <f t="shared" si="15"/>
        <v>44957</v>
      </c>
      <c r="AU10" s="17">
        <v>78981</v>
      </c>
      <c r="AV10" s="28">
        <f t="shared" si="16"/>
        <v>2600</v>
      </c>
      <c r="AW10" s="17">
        <v>10029</v>
      </c>
      <c r="AX10" s="28">
        <f t="shared" si="17"/>
        <v>300</v>
      </c>
      <c r="AY10" s="44">
        <v>19039</v>
      </c>
      <c r="AZ10" s="45">
        <f t="shared" si="18"/>
        <v>128</v>
      </c>
      <c r="BA10" s="17">
        <v>7072</v>
      </c>
      <c r="BB10" s="28">
        <f t="shared" si="19"/>
        <v>560</v>
      </c>
      <c r="BC10" s="14"/>
      <c r="BD10" s="17"/>
      <c r="BE10" s="17"/>
      <c r="BF10" s="17"/>
    </row>
    <row r="11" spans="2:59" x14ac:dyDescent="0.25">
      <c r="B11" s="37">
        <v>44963</v>
      </c>
      <c r="C11" s="58">
        <f>SUM(Occupancy!K39:K44)</f>
        <v>1646</v>
      </c>
      <c r="D11" s="17">
        <v>26616</v>
      </c>
      <c r="E11" s="17">
        <v>2.0830000000000002</v>
      </c>
      <c r="F11" s="28">
        <f t="shared" ref="F11" si="25">SUM(D11-D10)*160</f>
        <v>35520</v>
      </c>
      <c r="G11" s="17">
        <v>28054</v>
      </c>
      <c r="H11" s="17">
        <v>2.4129999999999998</v>
      </c>
      <c r="I11" s="28">
        <f t="shared" si="1"/>
        <v>41440</v>
      </c>
      <c r="J11" s="17">
        <v>14299</v>
      </c>
      <c r="K11" s="17">
        <v>3.29</v>
      </c>
      <c r="L11" s="28">
        <f t="shared" si="2"/>
        <v>12000</v>
      </c>
      <c r="M11" s="17">
        <v>13833</v>
      </c>
      <c r="N11" s="17">
        <v>2.76</v>
      </c>
      <c r="O11" s="28">
        <f t="shared" si="3"/>
        <v>9600</v>
      </c>
      <c r="P11" s="17">
        <v>14456</v>
      </c>
      <c r="Q11" s="17">
        <v>3.07</v>
      </c>
      <c r="R11" s="28">
        <f t="shared" si="4"/>
        <v>10400</v>
      </c>
      <c r="S11" s="17">
        <v>99484</v>
      </c>
      <c r="T11" s="17">
        <v>2.2530000000000001</v>
      </c>
      <c r="U11" s="28">
        <f t="shared" si="5"/>
        <v>39000</v>
      </c>
      <c r="V11" s="17">
        <v>96103</v>
      </c>
      <c r="W11" s="17">
        <v>1.8280000000000001</v>
      </c>
      <c r="X11" s="28">
        <f t="shared" si="6"/>
        <v>44100</v>
      </c>
      <c r="Y11" s="17">
        <v>22103</v>
      </c>
      <c r="Z11" s="17">
        <v>4.71</v>
      </c>
      <c r="AA11" s="28">
        <f t="shared" si="7"/>
        <v>5600</v>
      </c>
      <c r="AB11" s="17">
        <v>14297</v>
      </c>
      <c r="AC11" s="17">
        <v>3.32</v>
      </c>
      <c r="AD11" s="28">
        <f t="shared" si="8"/>
        <v>3680</v>
      </c>
      <c r="AE11" s="17">
        <v>22443</v>
      </c>
      <c r="AF11" s="17">
        <v>1.9410000000000001</v>
      </c>
      <c r="AG11" s="28">
        <f t="shared" si="9"/>
        <v>43000</v>
      </c>
      <c r="AH11" s="17">
        <v>21537</v>
      </c>
      <c r="AI11" s="17">
        <v>0.32400000000000001</v>
      </c>
      <c r="AJ11" s="28">
        <f>SUM(AH11-AH10)*40</f>
        <v>1120</v>
      </c>
      <c r="AK11" s="89">
        <v>29147</v>
      </c>
      <c r="AL11" s="28">
        <f t="shared" si="11"/>
        <v>497</v>
      </c>
      <c r="AM11" s="28"/>
      <c r="AO11" s="28"/>
      <c r="AP11" s="17"/>
      <c r="AQ11" s="17"/>
      <c r="AR11" s="17"/>
      <c r="AS11" s="14"/>
      <c r="AT11" s="39">
        <f t="shared" si="15"/>
        <v>44963</v>
      </c>
      <c r="AU11" s="17">
        <v>79097</v>
      </c>
      <c r="AV11" s="28">
        <f t="shared" si="16"/>
        <v>11600</v>
      </c>
      <c r="AW11" s="17">
        <v>10044</v>
      </c>
      <c r="AX11" s="28">
        <f t="shared" si="17"/>
        <v>1500</v>
      </c>
      <c r="AY11" s="44">
        <v>19670</v>
      </c>
      <c r="AZ11" s="45">
        <f t="shared" si="18"/>
        <v>631</v>
      </c>
      <c r="BA11" s="17">
        <v>7099</v>
      </c>
      <c r="BB11" s="28">
        <f t="shared" si="19"/>
        <v>1080</v>
      </c>
      <c r="BC11" s="14"/>
      <c r="BD11" s="17"/>
      <c r="BE11" s="17"/>
      <c r="BF11" s="17"/>
    </row>
    <row r="12" spans="2:59" x14ac:dyDescent="0.25">
      <c r="B12" s="37">
        <v>44970</v>
      </c>
      <c r="C12" s="58">
        <f>SUM(Occupancy!K45:K51)</f>
        <v>2108</v>
      </c>
      <c r="D12" s="17">
        <v>26896</v>
      </c>
      <c r="E12" s="17">
        <v>2.0830000000000002</v>
      </c>
      <c r="F12" s="28">
        <f t="shared" ref="F12" si="26">SUM(D12-D11)*160</f>
        <v>44800</v>
      </c>
      <c r="G12" s="17">
        <v>28347</v>
      </c>
      <c r="H12" s="17">
        <v>2.4129999999999998</v>
      </c>
      <c r="I12" s="28">
        <f t="shared" si="1"/>
        <v>46880</v>
      </c>
      <c r="J12" s="17">
        <v>14336</v>
      </c>
      <c r="K12" s="17">
        <v>3.63</v>
      </c>
      <c r="L12" s="28">
        <f t="shared" si="2"/>
        <v>14800</v>
      </c>
      <c r="M12" s="17">
        <v>13864</v>
      </c>
      <c r="N12" s="17">
        <v>3.06</v>
      </c>
      <c r="O12" s="28">
        <f t="shared" si="3"/>
        <v>12400</v>
      </c>
      <c r="P12" s="17">
        <v>14488</v>
      </c>
      <c r="Q12" s="17">
        <v>3.07</v>
      </c>
      <c r="R12" s="28">
        <f t="shared" si="4"/>
        <v>12800</v>
      </c>
      <c r="S12" s="17">
        <v>99647</v>
      </c>
      <c r="T12" s="17">
        <v>2.2530000000000001</v>
      </c>
      <c r="U12" s="28">
        <f t="shared" si="5"/>
        <v>48900</v>
      </c>
      <c r="V12" s="17">
        <v>96300</v>
      </c>
      <c r="W12" s="17">
        <v>2.1619999999999999</v>
      </c>
      <c r="X12" s="28">
        <f t="shared" si="6"/>
        <v>59100</v>
      </c>
      <c r="Y12" s="17">
        <v>22154</v>
      </c>
      <c r="Z12" s="17">
        <v>4.7699999999999996</v>
      </c>
      <c r="AA12" s="28">
        <f t="shared" si="7"/>
        <v>8160</v>
      </c>
      <c r="AB12" s="17">
        <v>14327</v>
      </c>
      <c r="AC12" s="17">
        <v>3.32</v>
      </c>
      <c r="AD12" s="28">
        <f t="shared" si="8"/>
        <v>4800</v>
      </c>
      <c r="AE12" s="17">
        <v>22702</v>
      </c>
      <c r="AF12" s="17">
        <v>1.9410000000000001</v>
      </c>
      <c r="AG12" s="28">
        <f t="shared" si="9"/>
        <v>51800</v>
      </c>
      <c r="AH12" s="17">
        <v>21569</v>
      </c>
      <c r="AI12" s="17">
        <v>0.32400000000000001</v>
      </c>
      <c r="AJ12" s="28">
        <f>SUM(AH12-AH11)*40</f>
        <v>1280</v>
      </c>
      <c r="AK12" s="89">
        <v>29692</v>
      </c>
      <c r="AL12" s="28">
        <f t="shared" si="11"/>
        <v>545</v>
      </c>
      <c r="AM12" s="28"/>
      <c r="AO12" s="28"/>
      <c r="AP12" s="17"/>
      <c r="AQ12" s="17"/>
      <c r="AR12" s="17"/>
      <c r="AS12" s="14"/>
      <c r="AT12" s="39">
        <f t="shared" si="15"/>
        <v>44970</v>
      </c>
      <c r="AU12" s="17">
        <v>79242</v>
      </c>
      <c r="AV12" s="28">
        <f t="shared" si="16"/>
        <v>14500</v>
      </c>
      <c r="AW12" s="17">
        <v>10062</v>
      </c>
      <c r="AX12" s="28">
        <f t="shared" si="17"/>
        <v>1800</v>
      </c>
      <c r="AY12" s="44">
        <v>20424</v>
      </c>
      <c r="AZ12" s="45">
        <f t="shared" si="18"/>
        <v>754</v>
      </c>
      <c r="BA12" s="17">
        <v>7155</v>
      </c>
      <c r="BB12" s="28">
        <f t="shared" si="19"/>
        <v>2240</v>
      </c>
      <c r="BC12" s="14"/>
      <c r="BD12" s="17"/>
      <c r="BE12" s="17"/>
      <c r="BF12" s="17"/>
    </row>
    <row r="13" spans="2:59" x14ac:dyDescent="0.25">
      <c r="B13" s="37">
        <v>44977</v>
      </c>
      <c r="C13" s="58">
        <f>SUM(Occupancy!K52:K58)</f>
        <v>2834</v>
      </c>
      <c r="D13" s="17">
        <v>27173</v>
      </c>
      <c r="E13" s="17">
        <v>2.0830000000000002</v>
      </c>
      <c r="F13" s="28">
        <f t="shared" ref="F13" si="27">SUM(D13-D12)*160</f>
        <v>44320</v>
      </c>
      <c r="G13" s="17">
        <v>28676</v>
      </c>
      <c r="H13" s="17">
        <v>2.4129999999999998</v>
      </c>
      <c r="I13" s="28">
        <f t="shared" si="1"/>
        <v>52640</v>
      </c>
      <c r="J13" s="17">
        <v>14374</v>
      </c>
      <c r="K13" s="17">
        <v>3.63</v>
      </c>
      <c r="L13" s="28">
        <f t="shared" si="2"/>
        <v>15200</v>
      </c>
      <c r="M13" s="17">
        <v>13896</v>
      </c>
      <c r="N13" s="17">
        <v>3.06</v>
      </c>
      <c r="O13" s="28">
        <f t="shared" si="3"/>
        <v>12800</v>
      </c>
      <c r="P13" s="17">
        <v>14519</v>
      </c>
      <c r="Q13" s="17">
        <v>3.07</v>
      </c>
      <c r="R13" s="28">
        <f t="shared" si="4"/>
        <v>12400</v>
      </c>
      <c r="S13" s="17">
        <v>99806</v>
      </c>
      <c r="T13" s="17">
        <v>2.2530000000000001</v>
      </c>
      <c r="U13" s="28">
        <f t="shared" si="5"/>
        <v>47700</v>
      </c>
      <c r="V13" s="17">
        <v>96458</v>
      </c>
      <c r="W13" s="17">
        <v>2.1619999999999999</v>
      </c>
      <c r="X13" s="28">
        <f t="shared" si="6"/>
        <v>47400</v>
      </c>
      <c r="Y13" s="17">
        <v>22199</v>
      </c>
      <c r="Z13" s="17">
        <v>4.7699999999999996</v>
      </c>
      <c r="AA13" s="28">
        <f t="shared" si="7"/>
        <v>7200</v>
      </c>
      <c r="AB13" s="17">
        <v>14354</v>
      </c>
      <c r="AC13" s="17">
        <v>3.32</v>
      </c>
      <c r="AD13" s="28">
        <f t="shared" si="8"/>
        <v>4320</v>
      </c>
      <c r="AE13" s="17">
        <v>22957</v>
      </c>
      <c r="AF13" s="17">
        <v>1.972</v>
      </c>
      <c r="AG13" s="28">
        <f t="shared" si="9"/>
        <v>51000</v>
      </c>
      <c r="AH13" s="17">
        <v>21603</v>
      </c>
      <c r="AI13" s="17">
        <v>0.32400000000000001</v>
      </c>
      <c r="AJ13" s="28">
        <f>SUM(AH13-AH12)*40</f>
        <v>1360</v>
      </c>
      <c r="AK13" s="89">
        <v>30222</v>
      </c>
      <c r="AL13" s="28">
        <f t="shared" si="11"/>
        <v>530</v>
      </c>
      <c r="AM13" s="28"/>
      <c r="AO13" s="28"/>
      <c r="AP13" s="17"/>
      <c r="AQ13" s="17"/>
      <c r="AR13" s="17"/>
      <c r="AS13" s="14"/>
      <c r="AT13" s="39">
        <f t="shared" si="15"/>
        <v>44977</v>
      </c>
      <c r="AU13" s="17">
        <v>79379</v>
      </c>
      <c r="AV13" s="28">
        <f t="shared" si="16"/>
        <v>13700</v>
      </c>
      <c r="AW13" s="17">
        <v>10079</v>
      </c>
      <c r="AX13" s="28">
        <f t="shared" si="17"/>
        <v>1700</v>
      </c>
      <c r="AY13" s="44">
        <v>21176</v>
      </c>
      <c r="AZ13" s="45">
        <f t="shared" si="18"/>
        <v>752</v>
      </c>
      <c r="BA13" s="17">
        <v>7228</v>
      </c>
      <c r="BB13" s="28">
        <f t="shared" si="19"/>
        <v>2920</v>
      </c>
      <c r="BC13" s="14"/>
      <c r="BD13" s="17"/>
      <c r="BE13" s="17"/>
      <c r="BF13" s="17"/>
    </row>
    <row r="14" spans="2:59" x14ac:dyDescent="0.25">
      <c r="B14" s="37">
        <v>44984</v>
      </c>
      <c r="C14" s="58">
        <f>SUM(Occupancy!K59:K65)</f>
        <v>2314</v>
      </c>
      <c r="D14" s="59"/>
      <c r="E14" s="59"/>
      <c r="F14" s="60"/>
      <c r="G14" s="59"/>
      <c r="H14" s="59"/>
      <c r="I14" s="60"/>
      <c r="J14" s="59"/>
      <c r="K14" s="59"/>
      <c r="L14" s="60"/>
      <c r="M14" s="59"/>
      <c r="N14" s="59"/>
      <c r="O14" s="60"/>
      <c r="P14" s="59"/>
      <c r="Q14" s="59"/>
      <c r="R14" s="60"/>
      <c r="S14" s="59"/>
      <c r="T14" s="59"/>
      <c r="U14" s="60"/>
      <c r="V14" s="59"/>
      <c r="W14" s="59"/>
      <c r="X14" s="60"/>
      <c r="Y14" s="59"/>
      <c r="Z14" s="59"/>
      <c r="AA14" s="60"/>
      <c r="AB14" s="59"/>
      <c r="AC14" s="59"/>
      <c r="AD14" s="60"/>
      <c r="AE14" s="59"/>
      <c r="AF14" s="59"/>
      <c r="AG14" s="60"/>
      <c r="AH14" s="59"/>
      <c r="AI14" s="59"/>
      <c r="AJ14" s="60"/>
      <c r="AK14" s="59"/>
      <c r="AL14" s="60"/>
      <c r="AM14" s="28"/>
      <c r="AO14" s="28"/>
      <c r="AP14" s="17"/>
      <c r="AQ14" s="17"/>
      <c r="AR14" s="17"/>
      <c r="AS14" s="14"/>
      <c r="AT14" s="39">
        <f t="shared" si="15"/>
        <v>44984</v>
      </c>
      <c r="AU14" s="59"/>
      <c r="AV14" s="60"/>
      <c r="AW14" s="59"/>
      <c r="AX14" s="60"/>
      <c r="AY14" s="61"/>
      <c r="AZ14" s="62"/>
      <c r="BA14" s="59"/>
      <c r="BB14" s="60"/>
      <c r="BC14" s="14"/>
      <c r="BD14" s="17"/>
      <c r="BE14" s="17"/>
      <c r="BF14" s="17"/>
    </row>
    <row r="15" spans="2:59" x14ac:dyDescent="0.25">
      <c r="B15" s="37">
        <v>44985</v>
      </c>
      <c r="C15" s="58">
        <f>SUM(Occupancy!K66:K66)</f>
        <v>413</v>
      </c>
      <c r="D15" s="47"/>
      <c r="E15" s="47"/>
      <c r="F15" s="49"/>
      <c r="G15" s="47"/>
      <c r="H15" s="47"/>
      <c r="I15" s="49"/>
      <c r="J15" s="47"/>
      <c r="K15" s="47"/>
      <c r="L15" s="49"/>
      <c r="M15" s="47"/>
      <c r="N15" s="47"/>
      <c r="O15" s="49"/>
      <c r="P15" s="47"/>
      <c r="Q15" s="47"/>
      <c r="R15" s="49"/>
      <c r="S15" s="47"/>
      <c r="T15" s="47"/>
      <c r="U15" s="49"/>
      <c r="V15" s="47"/>
      <c r="W15" s="47"/>
      <c r="X15" s="49"/>
      <c r="Y15" s="47"/>
      <c r="Z15" s="47"/>
      <c r="AA15" s="49"/>
      <c r="AB15" s="47"/>
      <c r="AC15" s="47"/>
      <c r="AD15" s="49"/>
      <c r="AE15" s="47"/>
      <c r="AF15" s="47"/>
      <c r="AG15" s="49"/>
      <c r="AH15" s="47"/>
      <c r="AI15" s="47"/>
      <c r="AJ15" s="49"/>
      <c r="AK15" s="53"/>
      <c r="AL15" s="49"/>
      <c r="AM15" s="28"/>
      <c r="AO15" s="28"/>
      <c r="AP15" s="17"/>
      <c r="AQ15" s="17"/>
      <c r="AR15" s="17"/>
      <c r="AS15" s="14"/>
      <c r="AT15" s="39">
        <f t="shared" si="15"/>
        <v>44985</v>
      </c>
      <c r="AU15" s="47"/>
      <c r="AV15" s="49"/>
      <c r="AW15" s="47"/>
      <c r="AX15" s="49"/>
      <c r="AY15" s="48"/>
      <c r="AZ15" s="52"/>
      <c r="BA15" s="47"/>
      <c r="BB15" s="49"/>
      <c r="BC15" s="14"/>
      <c r="BD15" s="17"/>
      <c r="BE15" s="17"/>
      <c r="BF15" s="17"/>
    </row>
    <row r="16" spans="2:59" x14ac:dyDescent="0.25">
      <c r="B16" s="37">
        <v>44991</v>
      </c>
      <c r="C16" s="58"/>
      <c r="D16" s="47"/>
      <c r="E16" s="47"/>
      <c r="F16" s="49"/>
      <c r="G16" s="47"/>
      <c r="H16" s="47"/>
      <c r="I16" s="49"/>
      <c r="J16" s="47"/>
      <c r="K16" s="47"/>
      <c r="L16" s="49"/>
      <c r="M16" s="47"/>
      <c r="N16" s="47"/>
      <c r="O16" s="49"/>
      <c r="P16" s="47"/>
      <c r="Q16" s="47"/>
      <c r="R16" s="49"/>
      <c r="S16" s="47"/>
      <c r="T16" s="47"/>
      <c r="U16" s="49"/>
      <c r="V16" s="47"/>
      <c r="W16" s="47"/>
      <c r="X16" s="49"/>
      <c r="Y16" s="47"/>
      <c r="Z16" s="47"/>
      <c r="AA16" s="49"/>
      <c r="AB16" s="47"/>
      <c r="AC16" s="47"/>
      <c r="AD16" s="49"/>
      <c r="AE16" s="47"/>
      <c r="AF16" s="47"/>
      <c r="AG16" s="49"/>
      <c r="AH16" s="47"/>
      <c r="AI16" s="47"/>
      <c r="AJ16" s="49"/>
      <c r="AK16" s="53"/>
      <c r="AL16" s="49"/>
      <c r="AM16" s="28"/>
      <c r="AO16" s="28"/>
      <c r="AP16" s="17"/>
      <c r="AQ16" s="17"/>
      <c r="AR16" s="17"/>
      <c r="AS16" s="14"/>
      <c r="AT16" s="39">
        <f t="shared" si="15"/>
        <v>44991</v>
      </c>
      <c r="AU16" s="47"/>
      <c r="AV16" s="49"/>
      <c r="AW16" s="47"/>
      <c r="AX16" s="49"/>
      <c r="AY16" s="48"/>
      <c r="AZ16" s="52"/>
      <c r="BA16" s="47"/>
      <c r="BB16" s="49"/>
      <c r="BC16" s="14"/>
      <c r="BD16" s="17"/>
      <c r="BE16" s="17"/>
      <c r="BF16" s="17"/>
    </row>
    <row r="17" spans="2:58" x14ac:dyDescent="0.25">
      <c r="B17" s="37">
        <v>44998</v>
      </c>
      <c r="C17" s="58"/>
      <c r="D17" s="47"/>
      <c r="E17" s="47"/>
      <c r="F17" s="49"/>
      <c r="G17" s="47"/>
      <c r="H17" s="47"/>
      <c r="I17" s="49"/>
      <c r="J17" s="47"/>
      <c r="K17" s="47"/>
      <c r="L17" s="49"/>
      <c r="M17" s="47"/>
      <c r="N17" s="47"/>
      <c r="O17" s="49"/>
      <c r="P17" s="47"/>
      <c r="Q17" s="47"/>
      <c r="R17" s="49"/>
      <c r="S17" s="47"/>
      <c r="T17" s="47"/>
      <c r="U17" s="49"/>
      <c r="V17" s="47"/>
      <c r="W17" s="47"/>
      <c r="X17" s="49"/>
      <c r="Y17" s="47"/>
      <c r="Z17" s="47"/>
      <c r="AA17" s="49"/>
      <c r="AB17" s="47"/>
      <c r="AC17" s="47"/>
      <c r="AD17" s="49"/>
      <c r="AE17" s="47"/>
      <c r="AF17" s="47"/>
      <c r="AG17" s="49"/>
      <c r="AH17" s="47"/>
      <c r="AI17" s="47"/>
      <c r="AJ17" s="49"/>
      <c r="AK17" s="53"/>
      <c r="AL17" s="49"/>
      <c r="AM17" s="28"/>
      <c r="AO17" s="28"/>
      <c r="AP17" s="17"/>
      <c r="AQ17" s="17"/>
      <c r="AR17" s="17"/>
      <c r="AS17" s="14"/>
      <c r="AT17" s="39">
        <f t="shared" si="15"/>
        <v>44998</v>
      </c>
      <c r="AU17" s="47"/>
      <c r="AV17" s="49"/>
      <c r="AW17" s="47"/>
      <c r="AX17" s="49"/>
      <c r="AY17" s="48"/>
      <c r="AZ17" s="52"/>
      <c r="BA17" s="47"/>
      <c r="BB17" s="49"/>
      <c r="BC17" s="14"/>
      <c r="BD17" s="17"/>
      <c r="BE17" s="17"/>
      <c r="BF17" s="17"/>
    </row>
    <row r="18" spans="2:58" x14ac:dyDescent="0.25">
      <c r="B18" s="37">
        <v>45005</v>
      </c>
      <c r="C18" s="58"/>
      <c r="D18" s="47"/>
      <c r="E18" s="47"/>
      <c r="F18" s="49"/>
      <c r="G18" s="47"/>
      <c r="H18" s="47"/>
      <c r="I18" s="49"/>
      <c r="J18" s="47"/>
      <c r="K18" s="47"/>
      <c r="L18" s="49"/>
      <c r="M18" s="47"/>
      <c r="N18" s="47"/>
      <c r="O18" s="49"/>
      <c r="P18" s="47"/>
      <c r="Q18" s="47"/>
      <c r="R18" s="49"/>
      <c r="S18" s="47"/>
      <c r="T18" s="47"/>
      <c r="U18" s="49"/>
      <c r="V18" s="47"/>
      <c r="W18" s="47"/>
      <c r="X18" s="49"/>
      <c r="Y18" s="47"/>
      <c r="Z18" s="47"/>
      <c r="AA18" s="49"/>
      <c r="AB18" s="47"/>
      <c r="AC18" s="47"/>
      <c r="AD18" s="49"/>
      <c r="AE18" s="47"/>
      <c r="AF18" s="47"/>
      <c r="AG18" s="49"/>
      <c r="AH18" s="47"/>
      <c r="AI18" s="47"/>
      <c r="AJ18" s="49"/>
      <c r="AK18" s="53"/>
      <c r="AL18" s="49"/>
      <c r="AM18" s="28"/>
      <c r="AO18" s="28"/>
      <c r="AP18" s="17"/>
      <c r="AQ18" s="17"/>
      <c r="AR18" s="17"/>
      <c r="AS18" s="14"/>
      <c r="AT18" s="39">
        <f t="shared" si="15"/>
        <v>45005</v>
      </c>
      <c r="AU18" s="47"/>
      <c r="AV18" s="49"/>
      <c r="AW18" s="47"/>
      <c r="AX18" s="49"/>
      <c r="AY18" s="48"/>
      <c r="AZ18" s="52"/>
      <c r="BA18" s="47"/>
      <c r="BB18" s="49"/>
      <c r="BC18" s="14"/>
      <c r="BD18" s="17"/>
      <c r="BE18" s="17"/>
      <c r="BF18" s="17"/>
    </row>
    <row r="19" spans="2:58" x14ac:dyDescent="0.25">
      <c r="B19" s="37">
        <v>45012</v>
      </c>
      <c r="C19" s="58"/>
      <c r="D19" s="47"/>
      <c r="E19" s="47"/>
      <c r="F19" s="49"/>
      <c r="G19" s="47"/>
      <c r="H19" s="47"/>
      <c r="I19" s="49"/>
      <c r="J19" s="47"/>
      <c r="K19" s="47"/>
      <c r="L19" s="49"/>
      <c r="M19" s="47"/>
      <c r="N19" s="47"/>
      <c r="O19" s="49"/>
      <c r="P19" s="47"/>
      <c r="Q19" s="47"/>
      <c r="R19" s="49"/>
      <c r="S19" s="47"/>
      <c r="T19" s="47"/>
      <c r="U19" s="49"/>
      <c r="V19" s="47"/>
      <c r="W19" s="47"/>
      <c r="X19" s="49"/>
      <c r="Y19" s="47"/>
      <c r="Z19" s="47"/>
      <c r="AA19" s="49"/>
      <c r="AB19" s="47"/>
      <c r="AC19" s="47"/>
      <c r="AD19" s="49"/>
      <c r="AE19" s="47"/>
      <c r="AF19" s="47"/>
      <c r="AG19" s="49"/>
      <c r="AH19" s="47"/>
      <c r="AI19" s="47"/>
      <c r="AJ19" s="49"/>
      <c r="AK19" s="53"/>
      <c r="AL19" s="49"/>
      <c r="AM19" s="28"/>
      <c r="AO19" s="28"/>
      <c r="AP19" s="17"/>
      <c r="AQ19" s="17"/>
      <c r="AR19" s="17"/>
      <c r="AS19" s="14"/>
      <c r="AT19" s="39">
        <f t="shared" si="15"/>
        <v>45012</v>
      </c>
      <c r="AU19" s="47"/>
      <c r="AV19" s="49"/>
      <c r="AW19" s="47"/>
      <c r="AX19" s="49"/>
      <c r="AY19" s="48"/>
      <c r="AZ19" s="52"/>
      <c r="BA19" s="47"/>
      <c r="BB19" s="49"/>
      <c r="BC19" s="14"/>
      <c r="BD19" s="17"/>
      <c r="BE19" s="17"/>
      <c r="BF19" s="17"/>
    </row>
    <row r="20" spans="2:58" x14ac:dyDescent="0.25">
      <c r="B20" s="37">
        <v>45016</v>
      </c>
      <c r="C20" s="58"/>
      <c r="D20" s="47"/>
      <c r="E20" s="47"/>
      <c r="F20" s="49"/>
      <c r="G20" s="47"/>
      <c r="H20" s="47"/>
      <c r="I20" s="49"/>
      <c r="J20" s="47"/>
      <c r="K20" s="47"/>
      <c r="L20" s="49"/>
      <c r="M20" s="47"/>
      <c r="N20" s="47"/>
      <c r="O20" s="49"/>
      <c r="P20" s="47"/>
      <c r="Q20" s="47"/>
      <c r="R20" s="49"/>
      <c r="S20" s="47"/>
      <c r="T20" s="47"/>
      <c r="U20" s="49"/>
      <c r="V20" s="47"/>
      <c r="W20" s="47"/>
      <c r="X20" s="49"/>
      <c r="Y20" s="47"/>
      <c r="Z20" s="47"/>
      <c r="AA20" s="49"/>
      <c r="AB20" s="47"/>
      <c r="AC20" s="47"/>
      <c r="AD20" s="49"/>
      <c r="AE20" s="47"/>
      <c r="AF20" s="47"/>
      <c r="AG20" s="49"/>
      <c r="AH20" s="47"/>
      <c r="AI20" s="47"/>
      <c r="AJ20" s="49"/>
      <c r="AK20" s="53"/>
      <c r="AL20" s="49"/>
      <c r="AM20" s="28"/>
      <c r="AO20" s="28"/>
      <c r="AP20" s="17"/>
      <c r="AQ20" s="17"/>
      <c r="AR20" s="17"/>
      <c r="AS20" s="14"/>
      <c r="AT20" s="39">
        <f t="shared" si="15"/>
        <v>45016</v>
      </c>
      <c r="AU20" s="47"/>
      <c r="AV20" s="49"/>
      <c r="AW20" s="47"/>
      <c r="AX20" s="49"/>
      <c r="AY20" s="48"/>
      <c r="AZ20" s="52"/>
      <c r="BA20" s="47"/>
      <c r="BB20" s="49"/>
      <c r="BC20" s="14"/>
      <c r="BD20" s="17"/>
      <c r="BE20" s="17"/>
      <c r="BF20" s="17"/>
    </row>
    <row r="21" spans="2:58" x14ac:dyDescent="0.25">
      <c r="B21" s="37">
        <v>45019</v>
      </c>
      <c r="C21" s="58"/>
      <c r="D21" s="47"/>
      <c r="E21" s="47"/>
      <c r="F21" s="49"/>
      <c r="G21" s="47"/>
      <c r="H21" s="47"/>
      <c r="I21" s="49"/>
      <c r="J21" s="47"/>
      <c r="K21" s="47"/>
      <c r="L21" s="49"/>
      <c r="M21" s="47"/>
      <c r="N21" s="47"/>
      <c r="O21" s="49"/>
      <c r="P21" s="47"/>
      <c r="Q21" s="47"/>
      <c r="R21" s="49"/>
      <c r="S21" s="47"/>
      <c r="T21" s="47"/>
      <c r="U21" s="49"/>
      <c r="V21" s="47"/>
      <c r="W21" s="47"/>
      <c r="X21" s="49"/>
      <c r="Y21" s="47"/>
      <c r="Z21" s="47"/>
      <c r="AA21" s="49"/>
      <c r="AB21" s="47"/>
      <c r="AC21" s="47"/>
      <c r="AD21" s="49"/>
      <c r="AE21" s="47"/>
      <c r="AF21" s="47"/>
      <c r="AG21" s="49"/>
      <c r="AH21" s="47"/>
      <c r="AI21" s="47"/>
      <c r="AJ21" s="49"/>
      <c r="AK21" s="53"/>
      <c r="AL21" s="49"/>
      <c r="AM21" s="28"/>
      <c r="AO21" s="28"/>
      <c r="AP21" s="17"/>
      <c r="AQ21" s="17"/>
      <c r="AR21" s="17"/>
      <c r="AS21" s="14"/>
      <c r="AT21" s="39">
        <f t="shared" si="15"/>
        <v>45019</v>
      </c>
      <c r="AU21" s="47"/>
      <c r="AV21" s="49"/>
      <c r="AW21" s="47"/>
      <c r="AX21" s="49"/>
      <c r="AY21" s="48"/>
      <c r="AZ21" s="52"/>
      <c r="BA21" s="47"/>
      <c r="BB21" s="49"/>
      <c r="BC21" s="14"/>
      <c r="BD21" s="17"/>
      <c r="BE21" s="17"/>
      <c r="BF21" s="17"/>
    </row>
    <row r="22" spans="2:58" x14ac:dyDescent="0.25">
      <c r="B22" s="37">
        <v>45026</v>
      </c>
      <c r="C22" s="58"/>
      <c r="D22" s="47"/>
      <c r="E22" s="47"/>
      <c r="F22" s="49"/>
      <c r="G22" s="47"/>
      <c r="H22" s="47"/>
      <c r="I22" s="49"/>
      <c r="J22" s="47"/>
      <c r="K22" s="47"/>
      <c r="L22" s="49"/>
      <c r="M22" s="47"/>
      <c r="N22" s="47"/>
      <c r="O22" s="49"/>
      <c r="P22" s="47"/>
      <c r="Q22" s="47"/>
      <c r="R22" s="49"/>
      <c r="S22" s="47"/>
      <c r="T22" s="47"/>
      <c r="U22" s="49"/>
      <c r="V22" s="47"/>
      <c r="W22" s="47"/>
      <c r="X22" s="49"/>
      <c r="Y22" s="47"/>
      <c r="Z22" s="47"/>
      <c r="AA22" s="49"/>
      <c r="AB22" s="47"/>
      <c r="AC22" s="47"/>
      <c r="AD22" s="49"/>
      <c r="AE22" s="47"/>
      <c r="AF22" s="47"/>
      <c r="AG22" s="49"/>
      <c r="AH22" s="47"/>
      <c r="AI22" s="47"/>
      <c r="AJ22" s="49"/>
      <c r="AK22" s="53"/>
      <c r="AL22" s="49"/>
      <c r="AM22" s="28"/>
      <c r="AO22" s="28"/>
      <c r="AP22" s="17"/>
      <c r="AQ22" s="17"/>
      <c r="AR22" s="17"/>
      <c r="AS22" s="14"/>
      <c r="AT22" s="39">
        <f t="shared" si="15"/>
        <v>45026</v>
      </c>
      <c r="AU22" s="47"/>
      <c r="AV22" s="49"/>
      <c r="AW22" s="47"/>
      <c r="AX22" s="49"/>
      <c r="AY22" s="48"/>
      <c r="AZ22" s="52"/>
      <c r="BA22" s="47"/>
      <c r="BB22" s="49"/>
      <c r="BC22" s="14"/>
      <c r="BD22" s="17"/>
      <c r="BE22" s="17"/>
      <c r="BF22" s="17"/>
    </row>
    <row r="23" spans="2:58" x14ac:dyDescent="0.25">
      <c r="B23" s="37">
        <v>45033</v>
      </c>
      <c r="C23" s="58"/>
      <c r="D23" s="47"/>
      <c r="E23" s="47"/>
      <c r="F23" s="49"/>
      <c r="G23" s="47"/>
      <c r="H23" s="47"/>
      <c r="I23" s="49"/>
      <c r="J23" s="47"/>
      <c r="K23" s="47"/>
      <c r="L23" s="49"/>
      <c r="M23" s="47"/>
      <c r="N23" s="47"/>
      <c r="O23" s="49"/>
      <c r="P23" s="47"/>
      <c r="Q23" s="47"/>
      <c r="R23" s="49"/>
      <c r="S23" s="47"/>
      <c r="T23" s="47"/>
      <c r="U23" s="49"/>
      <c r="V23" s="47"/>
      <c r="W23" s="47"/>
      <c r="X23" s="49"/>
      <c r="Y23" s="47"/>
      <c r="Z23" s="47"/>
      <c r="AA23" s="49"/>
      <c r="AB23" s="47"/>
      <c r="AC23" s="47"/>
      <c r="AD23" s="49"/>
      <c r="AE23" s="47"/>
      <c r="AF23" s="47"/>
      <c r="AG23" s="49"/>
      <c r="AH23" s="47"/>
      <c r="AI23" s="47"/>
      <c r="AJ23" s="49"/>
      <c r="AK23" s="53"/>
      <c r="AL23" s="49"/>
      <c r="AM23" s="28"/>
      <c r="AO23" s="28"/>
      <c r="AP23" s="17"/>
      <c r="AQ23" s="17"/>
      <c r="AR23" s="17"/>
      <c r="AS23" s="14"/>
      <c r="AT23" s="39">
        <f t="shared" si="15"/>
        <v>45033</v>
      </c>
      <c r="AU23" s="47"/>
      <c r="AV23" s="49"/>
      <c r="AW23" s="47"/>
      <c r="AX23" s="49"/>
      <c r="AY23" s="48"/>
      <c r="AZ23" s="52"/>
      <c r="BA23" s="47"/>
      <c r="BB23" s="49"/>
      <c r="BC23" s="14"/>
      <c r="BD23" s="17"/>
      <c r="BE23" s="17"/>
      <c r="BF23" s="17"/>
    </row>
    <row r="24" spans="2:58" x14ac:dyDescent="0.25">
      <c r="B24" s="37">
        <v>45040</v>
      </c>
      <c r="C24" s="58"/>
      <c r="D24" s="47"/>
      <c r="E24" s="47"/>
      <c r="F24" s="49"/>
      <c r="G24" s="47"/>
      <c r="H24" s="47"/>
      <c r="I24" s="49"/>
      <c r="J24" s="47"/>
      <c r="K24" s="47"/>
      <c r="L24" s="49"/>
      <c r="M24" s="47"/>
      <c r="N24" s="47"/>
      <c r="O24" s="49"/>
      <c r="P24" s="47"/>
      <c r="Q24" s="47"/>
      <c r="R24" s="49"/>
      <c r="S24" s="47"/>
      <c r="T24" s="47"/>
      <c r="U24" s="49"/>
      <c r="V24" s="47"/>
      <c r="W24" s="47"/>
      <c r="X24" s="49"/>
      <c r="Y24" s="47"/>
      <c r="Z24" s="47"/>
      <c r="AA24" s="49"/>
      <c r="AB24" s="47"/>
      <c r="AC24" s="47"/>
      <c r="AD24" s="49"/>
      <c r="AE24" s="47"/>
      <c r="AF24" s="47"/>
      <c r="AG24" s="49"/>
      <c r="AH24" s="47"/>
      <c r="AI24" s="47"/>
      <c r="AJ24" s="49"/>
      <c r="AK24" s="53"/>
      <c r="AL24" s="49"/>
      <c r="AM24" s="28"/>
      <c r="AO24" s="28"/>
      <c r="AP24" s="17"/>
      <c r="AQ24" s="17"/>
      <c r="AR24" s="17"/>
      <c r="AS24" s="14"/>
      <c r="AT24" s="39">
        <f t="shared" si="15"/>
        <v>45040</v>
      </c>
      <c r="AU24" s="47"/>
      <c r="AV24" s="49"/>
      <c r="AW24" s="47"/>
      <c r="AX24" s="49"/>
      <c r="AY24" s="48"/>
      <c r="AZ24" s="52"/>
      <c r="BA24" s="47"/>
      <c r="BB24" s="49"/>
      <c r="BC24" s="14"/>
      <c r="BD24" s="17"/>
      <c r="BE24" s="17"/>
      <c r="BF24" s="17"/>
    </row>
    <row r="25" spans="2:58" x14ac:dyDescent="0.25">
      <c r="B25" s="37">
        <v>45046</v>
      </c>
      <c r="C25" s="58"/>
      <c r="D25" s="47"/>
      <c r="E25" s="47"/>
      <c r="F25" s="49"/>
      <c r="G25" s="47"/>
      <c r="H25" s="47"/>
      <c r="I25" s="49"/>
      <c r="J25" s="47"/>
      <c r="K25" s="47"/>
      <c r="L25" s="49"/>
      <c r="M25" s="47"/>
      <c r="N25" s="47"/>
      <c r="O25" s="49"/>
      <c r="P25" s="47"/>
      <c r="Q25" s="47"/>
      <c r="R25" s="49"/>
      <c r="S25" s="47"/>
      <c r="T25" s="47"/>
      <c r="U25" s="49"/>
      <c r="V25" s="47"/>
      <c r="W25" s="47"/>
      <c r="X25" s="49"/>
      <c r="Y25" s="47"/>
      <c r="Z25" s="47"/>
      <c r="AA25" s="49"/>
      <c r="AB25" s="47"/>
      <c r="AC25" s="47"/>
      <c r="AD25" s="49"/>
      <c r="AE25" s="47"/>
      <c r="AF25" s="47"/>
      <c r="AG25" s="49"/>
      <c r="AH25" s="47"/>
      <c r="AI25" s="47"/>
      <c r="AJ25" s="49"/>
      <c r="AK25" s="53"/>
      <c r="AL25" s="49"/>
      <c r="AM25" s="28"/>
      <c r="AO25" s="28"/>
      <c r="AP25" s="17"/>
      <c r="AQ25" s="17"/>
      <c r="AR25" s="17"/>
      <c r="AS25" s="14"/>
      <c r="AT25" s="39">
        <f t="shared" si="15"/>
        <v>45046</v>
      </c>
      <c r="AU25" s="47"/>
      <c r="AV25" s="49"/>
      <c r="AW25" s="47"/>
      <c r="AX25" s="49"/>
      <c r="AY25" s="48"/>
      <c r="AZ25" s="52"/>
      <c r="BA25" s="47"/>
      <c r="BB25" s="49"/>
      <c r="BC25" s="14"/>
      <c r="BD25" s="17"/>
      <c r="BE25" s="17"/>
      <c r="BF25" s="17"/>
    </row>
    <row r="26" spans="2:58" x14ac:dyDescent="0.25">
      <c r="B26" s="37">
        <v>45047</v>
      </c>
      <c r="C26" s="58"/>
      <c r="D26" s="47"/>
      <c r="E26" s="47"/>
      <c r="F26" s="49"/>
      <c r="G26" s="47"/>
      <c r="H26" s="47"/>
      <c r="I26" s="49"/>
      <c r="J26" s="47"/>
      <c r="K26" s="47"/>
      <c r="L26" s="49"/>
      <c r="M26" s="47"/>
      <c r="N26" s="47"/>
      <c r="O26" s="49"/>
      <c r="P26" s="47"/>
      <c r="Q26" s="47"/>
      <c r="R26" s="49"/>
      <c r="S26" s="47"/>
      <c r="T26" s="47"/>
      <c r="U26" s="49"/>
      <c r="V26" s="47"/>
      <c r="W26" s="47"/>
      <c r="X26" s="49"/>
      <c r="Y26" s="47"/>
      <c r="Z26" s="47"/>
      <c r="AA26" s="49"/>
      <c r="AB26" s="47"/>
      <c r="AC26" s="47"/>
      <c r="AD26" s="49"/>
      <c r="AE26" s="47"/>
      <c r="AF26" s="47"/>
      <c r="AG26" s="49"/>
      <c r="AH26" s="47"/>
      <c r="AI26" s="47"/>
      <c r="AJ26" s="49"/>
      <c r="AK26" s="53"/>
      <c r="AL26" s="49"/>
      <c r="AM26" s="28"/>
      <c r="AO26" s="28"/>
      <c r="AP26" s="17"/>
      <c r="AQ26" s="17"/>
      <c r="AR26" s="17"/>
      <c r="AS26" s="14"/>
      <c r="AT26" s="39">
        <f t="shared" si="15"/>
        <v>45047</v>
      </c>
      <c r="AU26" s="47"/>
      <c r="AV26" s="49"/>
      <c r="AW26" s="47"/>
      <c r="AX26" s="49"/>
      <c r="AY26" s="48"/>
      <c r="AZ26" s="52"/>
      <c r="BA26" s="47"/>
      <c r="BB26" s="49"/>
      <c r="BC26" s="14"/>
      <c r="BD26" s="17"/>
      <c r="BE26" s="17"/>
      <c r="BF26" s="17"/>
    </row>
    <row r="27" spans="2:58" x14ac:dyDescent="0.25">
      <c r="B27" s="37">
        <v>45054</v>
      </c>
      <c r="C27" s="58"/>
      <c r="D27" s="47"/>
      <c r="E27" s="47"/>
      <c r="F27" s="49"/>
      <c r="G27" s="47"/>
      <c r="H27" s="47"/>
      <c r="I27" s="49"/>
      <c r="J27" s="47"/>
      <c r="K27" s="47"/>
      <c r="L27" s="49"/>
      <c r="M27" s="47"/>
      <c r="N27" s="47"/>
      <c r="O27" s="49"/>
      <c r="P27" s="47"/>
      <c r="Q27" s="47"/>
      <c r="R27" s="49"/>
      <c r="S27" s="47"/>
      <c r="T27" s="47"/>
      <c r="U27" s="49"/>
      <c r="V27" s="47"/>
      <c r="W27" s="47"/>
      <c r="X27" s="49"/>
      <c r="Y27" s="47"/>
      <c r="Z27" s="47"/>
      <c r="AA27" s="49"/>
      <c r="AB27" s="47"/>
      <c r="AC27" s="47"/>
      <c r="AD27" s="49"/>
      <c r="AE27" s="47"/>
      <c r="AF27" s="47"/>
      <c r="AG27" s="49"/>
      <c r="AH27" s="47"/>
      <c r="AI27" s="47"/>
      <c r="AJ27" s="49"/>
      <c r="AK27" s="53"/>
      <c r="AL27" s="49"/>
      <c r="AM27" s="28"/>
      <c r="AO27" s="28"/>
      <c r="AP27" s="17"/>
      <c r="AQ27" s="17"/>
      <c r="AR27" s="17"/>
      <c r="AS27" s="14"/>
      <c r="AT27" s="39">
        <f t="shared" si="15"/>
        <v>45054</v>
      </c>
      <c r="AU27" s="47"/>
      <c r="AV27" s="49"/>
      <c r="AW27" s="47"/>
      <c r="AX27" s="49"/>
      <c r="AY27" s="48"/>
      <c r="AZ27" s="52"/>
      <c r="BA27" s="47"/>
      <c r="BB27" s="49"/>
      <c r="BC27" s="14"/>
      <c r="BD27" s="17"/>
      <c r="BE27" s="17"/>
      <c r="BF27" s="17"/>
    </row>
    <row r="28" spans="2:58" x14ac:dyDescent="0.25">
      <c r="B28" s="37">
        <v>45061</v>
      </c>
      <c r="C28" s="58"/>
      <c r="D28" s="47"/>
      <c r="E28" s="47"/>
      <c r="F28" s="49"/>
      <c r="G28" s="47"/>
      <c r="H28" s="47"/>
      <c r="I28" s="49"/>
      <c r="J28" s="47"/>
      <c r="K28" s="47"/>
      <c r="L28" s="49"/>
      <c r="M28" s="47"/>
      <c r="N28" s="47"/>
      <c r="O28" s="49"/>
      <c r="P28" s="47"/>
      <c r="Q28" s="47"/>
      <c r="R28" s="49"/>
      <c r="S28" s="47"/>
      <c r="T28" s="47"/>
      <c r="U28" s="49"/>
      <c r="V28" s="47"/>
      <c r="W28" s="47"/>
      <c r="X28" s="49"/>
      <c r="Y28" s="47"/>
      <c r="Z28" s="47"/>
      <c r="AA28" s="49"/>
      <c r="AB28" s="47"/>
      <c r="AC28" s="47"/>
      <c r="AD28" s="49"/>
      <c r="AE28" s="47"/>
      <c r="AF28" s="47"/>
      <c r="AG28" s="49"/>
      <c r="AH28" s="47"/>
      <c r="AI28" s="47"/>
      <c r="AJ28" s="49"/>
      <c r="AK28" s="53"/>
      <c r="AL28" s="49"/>
      <c r="AM28" s="28"/>
      <c r="AO28" s="28"/>
      <c r="AP28" s="17"/>
      <c r="AQ28" s="17"/>
      <c r="AR28" s="17"/>
      <c r="AS28" s="14"/>
      <c r="AT28" s="39">
        <f t="shared" si="15"/>
        <v>45061</v>
      </c>
      <c r="AU28" s="47"/>
      <c r="AV28" s="49"/>
      <c r="AW28" s="47"/>
      <c r="AX28" s="49"/>
      <c r="AY28" s="48"/>
      <c r="AZ28" s="52"/>
      <c r="BA28" s="47"/>
      <c r="BB28" s="49"/>
      <c r="BC28" s="14"/>
      <c r="BD28" s="17"/>
      <c r="BE28" s="17"/>
      <c r="BF28" s="17"/>
    </row>
    <row r="29" spans="2:58" x14ac:dyDescent="0.25">
      <c r="B29" s="37">
        <v>45068</v>
      </c>
      <c r="C29" s="58"/>
      <c r="D29" s="47"/>
      <c r="E29" s="47"/>
      <c r="F29" s="49"/>
      <c r="G29" s="47"/>
      <c r="H29" s="47"/>
      <c r="I29" s="49"/>
      <c r="J29" s="47"/>
      <c r="K29" s="47"/>
      <c r="L29" s="49"/>
      <c r="M29" s="47"/>
      <c r="N29" s="47"/>
      <c r="O29" s="49"/>
      <c r="P29" s="47"/>
      <c r="Q29" s="47"/>
      <c r="R29" s="49"/>
      <c r="S29" s="47"/>
      <c r="T29" s="47"/>
      <c r="U29" s="49"/>
      <c r="V29" s="47"/>
      <c r="W29" s="47"/>
      <c r="X29" s="49"/>
      <c r="Y29" s="47"/>
      <c r="Z29" s="47"/>
      <c r="AA29" s="49"/>
      <c r="AB29" s="47"/>
      <c r="AC29" s="47"/>
      <c r="AD29" s="49"/>
      <c r="AE29" s="47"/>
      <c r="AF29" s="47"/>
      <c r="AG29" s="49"/>
      <c r="AH29" s="47"/>
      <c r="AI29" s="47"/>
      <c r="AJ29" s="49"/>
      <c r="AK29" s="53"/>
      <c r="AL29" s="49"/>
      <c r="AM29" s="28"/>
      <c r="AO29" s="28"/>
      <c r="AP29" s="17"/>
      <c r="AQ29" s="17"/>
      <c r="AR29" s="17"/>
      <c r="AS29" s="14"/>
      <c r="AT29" s="39">
        <f t="shared" si="15"/>
        <v>45068</v>
      </c>
      <c r="AU29" s="47"/>
      <c r="AV29" s="49"/>
      <c r="AW29" s="47"/>
      <c r="AX29" s="49"/>
      <c r="AY29" s="48"/>
      <c r="AZ29" s="52"/>
      <c r="BA29" s="47"/>
      <c r="BB29" s="49"/>
      <c r="BC29" s="14"/>
      <c r="BD29" s="17"/>
      <c r="BE29" s="17"/>
      <c r="BF29" s="17"/>
    </row>
    <row r="30" spans="2:58" x14ac:dyDescent="0.25">
      <c r="B30" s="37">
        <v>45075</v>
      </c>
      <c r="C30" s="58"/>
      <c r="D30" s="47"/>
      <c r="E30" s="47"/>
      <c r="F30" s="49"/>
      <c r="G30" s="47"/>
      <c r="H30" s="47"/>
      <c r="I30" s="49"/>
      <c r="J30" s="47"/>
      <c r="K30" s="47"/>
      <c r="L30" s="49"/>
      <c r="M30" s="47"/>
      <c r="N30" s="47"/>
      <c r="O30" s="49"/>
      <c r="P30" s="47"/>
      <c r="Q30" s="47"/>
      <c r="R30" s="49"/>
      <c r="S30" s="47"/>
      <c r="T30" s="47"/>
      <c r="U30" s="49"/>
      <c r="V30" s="47"/>
      <c r="W30" s="47"/>
      <c r="X30" s="49"/>
      <c r="Y30" s="47"/>
      <c r="Z30" s="47"/>
      <c r="AA30" s="49"/>
      <c r="AB30" s="47"/>
      <c r="AC30" s="47"/>
      <c r="AD30" s="49"/>
      <c r="AE30" s="47"/>
      <c r="AF30" s="47"/>
      <c r="AG30" s="49"/>
      <c r="AH30" s="47"/>
      <c r="AI30" s="47"/>
      <c r="AJ30" s="49"/>
      <c r="AK30" s="53"/>
      <c r="AL30" s="49"/>
      <c r="AM30" s="28"/>
      <c r="AO30" s="28"/>
      <c r="AP30" s="17"/>
      <c r="AQ30" s="17"/>
      <c r="AR30" s="17"/>
      <c r="AS30" s="14"/>
      <c r="AT30" s="39">
        <f t="shared" si="15"/>
        <v>45075</v>
      </c>
      <c r="AU30" s="47"/>
      <c r="AV30" s="49"/>
      <c r="AW30" s="47"/>
      <c r="AX30" s="49"/>
      <c r="AY30" s="48"/>
      <c r="AZ30" s="52"/>
      <c r="BA30" s="47"/>
      <c r="BB30" s="49"/>
      <c r="BC30" s="14"/>
      <c r="BD30" s="17"/>
      <c r="BE30" s="17"/>
      <c r="BF30" s="17"/>
    </row>
    <row r="31" spans="2:58" x14ac:dyDescent="0.25">
      <c r="B31" s="37">
        <v>45077</v>
      </c>
      <c r="C31" s="58"/>
      <c r="D31" s="47"/>
      <c r="E31" s="47"/>
      <c r="F31" s="49"/>
      <c r="G31" s="47"/>
      <c r="H31" s="47"/>
      <c r="I31" s="49"/>
      <c r="J31" s="47"/>
      <c r="K31" s="47"/>
      <c r="L31" s="49"/>
      <c r="M31" s="47"/>
      <c r="N31" s="47"/>
      <c r="O31" s="49"/>
      <c r="P31" s="47"/>
      <c r="Q31" s="47"/>
      <c r="R31" s="49"/>
      <c r="S31" s="47"/>
      <c r="T31" s="47"/>
      <c r="U31" s="49"/>
      <c r="V31" s="47"/>
      <c r="W31" s="47"/>
      <c r="X31" s="49"/>
      <c r="Y31" s="47"/>
      <c r="Z31" s="47"/>
      <c r="AA31" s="49"/>
      <c r="AB31" s="47"/>
      <c r="AC31" s="47"/>
      <c r="AD31" s="49"/>
      <c r="AE31" s="47"/>
      <c r="AF31" s="47"/>
      <c r="AG31" s="49"/>
      <c r="AH31" s="47"/>
      <c r="AI31" s="47"/>
      <c r="AJ31" s="49"/>
      <c r="AK31" s="53"/>
      <c r="AL31" s="49"/>
      <c r="AM31" s="28"/>
      <c r="AO31" s="28"/>
      <c r="AP31" s="17"/>
      <c r="AQ31" s="17"/>
      <c r="AR31" s="17"/>
      <c r="AS31" s="14"/>
      <c r="AT31" s="39">
        <f t="shared" si="15"/>
        <v>45077</v>
      </c>
      <c r="AU31" s="47"/>
      <c r="AV31" s="49"/>
      <c r="AW31" s="47"/>
      <c r="AX31" s="49"/>
      <c r="AY31" s="48"/>
      <c r="AZ31" s="52"/>
      <c r="BA31" s="47"/>
      <c r="BB31" s="49"/>
      <c r="BC31" s="14"/>
      <c r="BD31" s="17"/>
      <c r="BE31" s="17"/>
      <c r="BF31" s="17"/>
    </row>
    <row r="32" spans="2:58" x14ac:dyDescent="0.25">
      <c r="B32" s="37">
        <v>45082</v>
      </c>
      <c r="C32" s="58"/>
      <c r="D32" s="47"/>
      <c r="E32" s="47"/>
      <c r="F32" s="49"/>
      <c r="G32" s="47"/>
      <c r="H32" s="47"/>
      <c r="I32" s="49"/>
      <c r="J32" s="47"/>
      <c r="K32" s="47"/>
      <c r="L32" s="49"/>
      <c r="M32" s="47"/>
      <c r="N32" s="47"/>
      <c r="O32" s="49"/>
      <c r="P32" s="47"/>
      <c r="Q32" s="47"/>
      <c r="R32" s="49"/>
      <c r="S32" s="47"/>
      <c r="T32" s="47"/>
      <c r="U32" s="49"/>
      <c r="V32" s="47"/>
      <c r="W32" s="47"/>
      <c r="X32" s="49"/>
      <c r="Y32" s="47"/>
      <c r="Z32" s="47"/>
      <c r="AA32" s="49"/>
      <c r="AB32" s="47"/>
      <c r="AC32" s="47"/>
      <c r="AD32" s="49"/>
      <c r="AE32" s="47"/>
      <c r="AF32" s="47"/>
      <c r="AG32" s="49"/>
      <c r="AH32" s="47"/>
      <c r="AI32" s="47"/>
      <c r="AJ32" s="49"/>
      <c r="AK32" s="53"/>
      <c r="AL32" s="49"/>
      <c r="AM32" s="28"/>
      <c r="AO32" s="28"/>
      <c r="AP32" s="17"/>
      <c r="AQ32" s="17"/>
      <c r="AR32" s="17"/>
      <c r="AS32" s="14"/>
      <c r="AT32" s="39">
        <f t="shared" si="15"/>
        <v>45082</v>
      </c>
      <c r="AU32" s="47"/>
      <c r="AV32" s="49"/>
      <c r="AW32" s="47"/>
      <c r="AX32" s="49"/>
      <c r="AY32" s="48"/>
      <c r="AZ32" s="52"/>
      <c r="BA32" s="47"/>
      <c r="BB32" s="49"/>
      <c r="BC32" s="14"/>
      <c r="BD32" s="17"/>
      <c r="BE32" s="17"/>
      <c r="BF32" s="17"/>
    </row>
    <row r="33" spans="2:58" x14ac:dyDescent="0.25">
      <c r="B33" s="37">
        <v>45089</v>
      </c>
      <c r="C33" s="58"/>
      <c r="D33" s="47"/>
      <c r="E33" s="47"/>
      <c r="F33" s="49"/>
      <c r="G33" s="47"/>
      <c r="H33" s="47"/>
      <c r="I33" s="49"/>
      <c r="J33" s="47"/>
      <c r="K33" s="47"/>
      <c r="L33" s="49"/>
      <c r="M33" s="47"/>
      <c r="N33" s="47"/>
      <c r="O33" s="49"/>
      <c r="P33" s="47"/>
      <c r="Q33" s="47"/>
      <c r="R33" s="49"/>
      <c r="S33" s="47"/>
      <c r="T33" s="47"/>
      <c r="U33" s="49"/>
      <c r="V33" s="47"/>
      <c r="W33" s="47"/>
      <c r="X33" s="49"/>
      <c r="Y33" s="47"/>
      <c r="Z33" s="47"/>
      <c r="AA33" s="49"/>
      <c r="AB33" s="47"/>
      <c r="AC33" s="47"/>
      <c r="AD33" s="49"/>
      <c r="AE33" s="47"/>
      <c r="AF33" s="47"/>
      <c r="AG33" s="49"/>
      <c r="AH33" s="47"/>
      <c r="AI33" s="47"/>
      <c r="AJ33" s="49"/>
      <c r="AK33" s="53"/>
      <c r="AL33" s="49"/>
      <c r="AM33" s="28"/>
      <c r="AO33" s="28"/>
      <c r="AP33" s="17"/>
      <c r="AQ33" s="17"/>
      <c r="AR33" s="17"/>
      <c r="AS33" s="14"/>
      <c r="AT33" s="39">
        <f t="shared" si="15"/>
        <v>45089</v>
      </c>
      <c r="AU33" s="47"/>
      <c r="AV33" s="49"/>
      <c r="AW33" s="47"/>
      <c r="AX33" s="49"/>
      <c r="AY33" s="48"/>
      <c r="AZ33" s="52"/>
      <c r="BA33" s="47"/>
      <c r="BB33" s="49"/>
      <c r="BC33" s="14"/>
      <c r="BD33" s="17"/>
      <c r="BE33" s="17"/>
      <c r="BF33" s="17"/>
    </row>
    <row r="34" spans="2:58" x14ac:dyDescent="0.25">
      <c r="B34" s="37">
        <v>45096</v>
      </c>
      <c r="C34" s="58"/>
      <c r="D34" s="47"/>
      <c r="E34" s="47"/>
      <c r="F34" s="49"/>
      <c r="G34" s="47"/>
      <c r="H34" s="47"/>
      <c r="I34" s="49"/>
      <c r="J34" s="47"/>
      <c r="K34" s="47"/>
      <c r="L34" s="49"/>
      <c r="M34" s="47"/>
      <c r="N34" s="47"/>
      <c r="O34" s="49"/>
      <c r="P34" s="47"/>
      <c r="Q34" s="47"/>
      <c r="R34" s="49"/>
      <c r="S34" s="47"/>
      <c r="T34" s="47"/>
      <c r="U34" s="49"/>
      <c r="V34" s="47"/>
      <c r="W34" s="47"/>
      <c r="X34" s="49"/>
      <c r="Y34" s="47"/>
      <c r="Z34" s="47"/>
      <c r="AA34" s="49"/>
      <c r="AB34" s="47"/>
      <c r="AC34" s="47"/>
      <c r="AD34" s="49"/>
      <c r="AE34" s="47"/>
      <c r="AF34" s="47"/>
      <c r="AG34" s="49"/>
      <c r="AH34" s="47"/>
      <c r="AI34" s="47"/>
      <c r="AJ34" s="49"/>
      <c r="AK34" s="53"/>
      <c r="AL34" s="49"/>
      <c r="AM34" s="28"/>
      <c r="AO34" s="28"/>
      <c r="AP34" s="17"/>
      <c r="AQ34" s="17"/>
      <c r="AR34" s="17"/>
      <c r="AS34" s="14"/>
      <c r="AT34" s="39">
        <f t="shared" si="15"/>
        <v>45096</v>
      </c>
      <c r="AU34" s="47"/>
      <c r="AV34" s="49"/>
      <c r="AW34" s="47"/>
      <c r="AX34" s="49"/>
      <c r="AY34" s="48"/>
      <c r="AZ34" s="52"/>
      <c r="BA34" s="47"/>
      <c r="BB34" s="49"/>
      <c r="BC34" s="14"/>
      <c r="BD34" s="17"/>
      <c r="BE34" s="17"/>
      <c r="BF34" s="17"/>
    </row>
    <row r="35" spans="2:58" x14ac:dyDescent="0.25">
      <c r="B35" s="37">
        <v>45103</v>
      </c>
      <c r="C35" s="58"/>
      <c r="D35" s="47"/>
      <c r="E35" s="47"/>
      <c r="F35" s="49"/>
      <c r="G35" s="47"/>
      <c r="H35" s="47"/>
      <c r="I35" s="49"/>
      <c r="J35" s="47"/>
      <c r="K35" s="47"/>
      <c r="L35" s="49"/>
      <c r="M35" s="47"/>
      <c r="N35" s="47"/>
      <c r="O35" s="49"/>
      <c r="P35" s="47"/>
      <c r="Q35" s="47"/>
      <c r="R35" s="49"/>
      <c r="S35" s="47"/>
      <c r="T35" s="47"/>
      <c r="U35" s="49"/>
      <c r="V35" s="47"/>
      <c r="W35" s="47"/>
      <c r="X35" s="49"/>
      <c r="Y35" s="47"/>
      <c r="Z35" s="47"/>
      <c r="AA35" s="49"/>
      <c r="AB35" s="47"/>
      <c r="AC35" s="47"/>
      <c r="AD35" s="49"/>
      <c r="AE35" s="47"/>
      <c r="AF35" s="47"/>
      <c r="AG35" s="49"/>
      <c r="AH35" s="47"/>
      <c r="AI35" s="47"/>
      <c r="AJ35" s="49"/>
      <c r="AK35" s="53"/>
      <c r="AL35" s="49"/>
      <c r="AM35" s="28"/>
      <c r="AO35" s="28"/>
      <c r="AP35" s="17"/>
      <c r="AQ35" s="17"/>
      <c r="AR35" s="17"/>
      <c r="AS35" s="14"/>
      <c r="AT35" s="39">
        <f t="shared" si="15"/>
        <v>45103</v>
      </c>
      <c r="AU35" s="47"/>
      <c r="AV35" s="49"/>
      <c r="AW35" s="47"/>
      <c r="AX35" s="49"/>
      <c r="AY35" s="48"/>
      <c r="AZ35" s="52"/>
      <c r="BA35" s="47"/>
      <c r="BB35" s="49"/>
      <c r="BC35" s="14"/>
      <c r="BD35" s="17"/>
      <c r="BE35" s="17"/>
      <c r="BF35" s="17"/>
    </row>
    <row r="36" spans="2:58" x14ac:dyDescent="0.25">
      <c r="B36" s="37">
        <v>45107</v>
      </c>
      <c r="C36" s="58"/>
      <c r="D36" s="47"/>
      <c r="E36" s="47"/>
      <c r="F36" s="49"/>
      <c r="G36" s="47"/>
      <c r="H36" s="47"/>
      <c r="I36" s="49"/>
      <c r="J36" s="47"/>
      <c r="K36" s="47"/>
      <c r="L36" s="49"/>
      <c r="M36" s="47"/>
      <c r="N36" s="47"/>
      <c r="O36" s="49"/>
      <c r="P36" s="47"/>
      <c r="Q36" s="47"/>
      <c r="R36" s="49"/>
      <c r="S36" s="47"/>
      <c r="T36" s="47"/>
      <c r="U36" s="49"/>
      <c r="V36" s="47"/>
      <c r="W36" s="47"/>
      <c r="X36" s="49"/>
      <c r="Y36" s="47"/>
      <c r="Z36" s="47"/>
      <c r="AA36" s="49"/>
      <c r="AB36" s="47"/>
      <c r="AC36" s="47"/>
      <c r="AD36" s="49"/>
      <c r="AE36" s="47"/>
      <c r="AF36" s="47"/>
      <c r="AG36" s="49"/>
      <c r="AH36" s="47"/>
      <c r="AI36" s="47"/>
      <c r="AJ36" s="49"/>
      <c r="AK36" s="53"/>
      <c r="AL36" s="49"/>
      <c r="AM36" s="28"/>
      <c r="AO36" s="28"/>
      <c r="AP36" s="17"/>
      <c r="AQ36" s="17"/>
      <c r="AR36" s="17"/>
      <c r="AS36" s="14"/>
      <c r="AT36" s="39">
        <f t="shared" si="15"/>
        <v>45107</v>
      </c>
      <c r="AU36" s="47"/>
      <c r="AV36" s="49"/>
      <c r="AW36" s="47"/>
      <c r="AX36" s="49"/>
      <c r="AY36" s="48"/>
      <c r="AZ36" s="52"/>
      <c r="BA36" s="47"/>
      <c r="BB36" s="49"/>
      <c r="BC36" s="14"/>
      <c r="BD36" s="17"/>
      <c r="BE36" s="17"/>
      <c r="BF36" s="17"/>
    </row>
    <row r="37" spans="2:58" x14ac:dyDescent="0.25">
      <c r="B37" s="37">
        <v>45110</v>
      </c>
      <c r="C37" s="58"/>
      <c r="D37" s="47"/>
      <c r="E37" s="47"/>
      <c r="F37" s="49"/>
      <c r="G37" s="47"/>
      <c r="H37" s="47"/>
      <c r="I37" s="49"/>
      <c r="J37" s="47"/>
      <c r="K37" s="47"/>
      <c r="L37" s="49"/>
      <c r="M37" s="47"/>
      <c r="N37" s="47"/>
      <c r="O37" s="49"/>
      <c r="P37" s="47"/>
      <c r="Q37" s="47"/>
      <c r="R37" s="49"/>
      <c r="S37" s="47"/>
      <c r="T37" s="47"/>
      <c r="U37" s="49"/>
      <c r="V37" s="47"/>
      <c r="W37" s="47"/>
      <c r="X37" s="49"/>
      <c r="Y37" s="47"/>
      <c r="Z37" s="47"/>
      <c r="AA37" s="49"/>
      <c r="AB37" s="47"/>
      <c r="AC37" s="47"/>
      <c r="AD37" s="49"/>
      <c r="AE37" s="47"/>
      <c r="AF37" s="47"/>
      <c r="AG37" s="49"/>
      <c r="AH37" s="47"/>
      <c r="AI37" s="47"/>
      <c r="AJ37" s="49"/>
      <c r="AK37" s="53"/>
      <c r="AL37" s="49"/>
      <c r="AM37" s="28"/>
      <c r="AO37" s="28"/>
      <c r="AP37" s="17"/>
      <c r="AQ37" s="17"/>
      <c r="AR37" s="17"/>
      <c r="AS37" s="14"/>
      <c r="AT37" s="39">
        <f t="shared" si="15"/>
        <v>45110</v>
      </c>
      <c r="AU37" s="47"/>
      <c r="AV37" s="49"/>
      <c r="AW37" s="47"/>
      <c r="AX37" s="49"/>
      <c r="AY37" s="48"/>
      <c r="AZ37" s="52"/>
      <c r="BA37" s="47"/>
      <c r="BB37" s="49"/>
      <c r="BC37" s="14"/>
      <c r="BD37" s="17"/>
      <c r="BE37" s="17"/>
      <c r="BF37" s="17"/>
    </row>
    <row r="38" spans="2:58" x14ac:dyDescent="0.25">
      <c r="B38" s="37">
        <v>45117</v>
      </c>
      <c r="C38" s="58"/>
      <c r="D38" s="47"/>
      <c r="E38" s="47"/>
      <c r="F38" s="49"/>
      <c r="G38" s="47"/>
      <c r="H38" s="47"/>
      <c r="I38" s="49"/>
      <c r="J38" s="47"/>
      <c r="K38" s="47"/>
      <c r="L38" s="49"/>
      <c r="M38" s="47"/>
      <c r="N38" s="47"/>
      <c r="O38" s="49"/>
      <c r="P38" s="47"/>
      <c r="Q38" s="47"/>
      <c r="R38" s="49"/>
      <c r="S38" s="47"/>
      <c r="T38" s="47"/>
      <c r="U38" s="49"/>
      <c r="V38" s="47"/>
      <c r="W38" s="47"/>
      <c r="X38" s="49"/>
      <c r="Y38" s="47"/>
      <c r="Z38" s="47"/>
      <c r="AA38" s="49"/>
      <c r="AB38" s="47"/>
      <c r="AC38" s="47"/>
      <c r="AD38" s="49"/>
      <c r="AE38" s="47"/>
      <c r="AF38" s="47"/>
      <c r="AG38" s="49"/>
      <c r="AH38" s="47"/>
      <c r="AI38" s="47"/>
      <c r="AJ38" s="49"/>
      <c r="AK38" s="53"/>
      <c r="AL38" s="49"/>
      <c r="AM38" s="28"/>
      <c r="AO38" s="28"/>
      <c r="AP38" s="17"/>
      <c r="AQ38" s="17"/>
      <c r="AR38" s="17"/>
      <c r="AS38" s="14"/>
      <c r="AT38" s="39">
        <f t="shared" si="15"/>
        <v>45117</v>
      </c>
      <c r="AU38" s="47"/>
      <c r="AV38" s="49"/>
      <c r="AW38" s="47"/>
      <c r="AX38" s="49"/>
      <c r="AY38" s="48"/>
      <c r="AZ38" s="52"/>
      <c r="BA38" s="47"/>
      <c r="BB38" s="49"/>
      <c r="BC38" s="14"/>
      <c r="BD38" s="17"/>
      <c r="BE38" s="17"/>
      <c r="BF38" s="17"/>
    </row>
    <row r="39" spans="2:58" x14ac:dyDescent="0.25">
      <c r="B39" s="37">
        <v>45124</v>
      </c>
      <c r="C39" s="58"/>
      <c r="D39" s="47"/>
      <c r="E39" s="47"/>
      <c r="F39" s="49"/>
      <c r="G39" s="47"/>
      <c r="H39" s="47"/>
      <c r="I39" s="49"/>
      <c r="J39" s="47"/>
      <c r="K39" s="47"/>
      <c r="L39" s="49"/>
      <c r="M39" s="47"/>
      <c r="N39" s="47"/>
      <c r="O39" s="49"/>
      <c r="P39" s="47"/>
      <c r="Q39" s="47"/>
      <c r="R39" s="49"/>
      <c r="S39" s="47"/>
      <c r="T39" s="47"/>
      <c r="U39" s="49"/>
      <c r="V39" s="47"/>
      <c r="W39" s="47"/>
      <c r="X39" s="49"/>
      <c r="Y39" s="47"/>
      <c r="Z39" s="47"/>
      <c r="AA39" s="49"/>
      <c r="AB39" s="47"/>
      <c r="AC39" s="47"/>
      <c r="AD39" s="49"/>
      <c r="AE39" s="47"/>
      <c r="AF39" s="47"/>
      <c r="AG39" s="49"/>
      <c r="AH39" s="47"/>
      <c r="AI39" s="47"/>
      <c r="AJ39" s="49"/>
      <c r="AK39" s="53"/>
      <c r="AL39" s="49"/>
      <c r="AM39" s="28"/>
      <c r="AO39" s="28"/>
      <c r="AP39" s="17"/>
      <c r="AQ39" s="17"/>
      <c r="AR39" s="17"/>
      <c r="AS39" s="14"/>
      <c r="AT39" s="39">
        <f t="shared" si="15"/>
        <v>45124</v>
      </c>
      <c r="AU39" s="47"/>
      <c r="AV39" s="49"/>
      <c r="AW39" s="47"/>
      <c r="AX39" s="49"/>
      <c r="AY39" s="48"/>
      <c r="AZ39" s="52"/>
      <c r="BA39" s="47"/>
      <c r="BB39" s="49"/>
      <c r="BC39" s="14"/>
      <c r="BD39" s="17"/>
      <c r="BE39" s="17"/>
      <c r="BF39" s="17"/>
    </row>
    <row r="40" spans="2:58" x14ac:dyDescent="0.25">
      <c r="B40" s="37">
        <v>45131</v>
      </c>
      <c r="C40" s="58"/>
      <c r="D40" s="47"/>
      <c r="E40" s="47"/>
      <c r="F40" s="49"/>
      <c r="G40" s="47"/>
      <c r="H40" s="47"/>
      <c r="I40" s="49"/>
      <c r="J40" s="47"/>
      <c r="K40" s="47"/>
      <c r="L40" s="49"/>
      <c r="M40" s="47"/>
      <c r="N40" s="47"/>
      <c r="O40" s="49"/>
      <c r="P40" s="47"/>
      <c r="Q40" s="47"/>
      <c r="R40" s="49"/>
      <c r="S40" s="47"/>
      <c r="T40" s="47"/>
      <c r="U40" s="49"/>
      <c r="V40" s="47"/>
      <c r="W40" s="47"/>
      <c r="X40" s="49"/>
      <c r="Y40" s="47"/>
      <c r="Z40" s="47"/>
      <c r="AA40" s="49"/>
      <c r="AB40" s="47"/>
      <c r="AC40" s="47"/>
      <c r="AD40" s="49"/>
      <c r="AE40" s="47"/>
      <c r="AF40" s="47"/>
      <c r="AG40" s="49"/>
      <c r="AH40" s="47"/>
      <c r="AI40" s="47"/>
      <c r="AJ40" s="49"/>
      <c r="AK40" s="53"/>
      <c r="AL40" s="49"/>
      <c r="AM40" s="28"/>
      <c r="AO40" s="28"/>
      <c r="AP40" s="17"/>
      <c r="AQ40" s="17"/>
      <c r="AR40" s="17"/>
      <c r="AS40" s="14"/>
      <c r="AT40" s="39">
        <f t="shared" si="15"/>
        <v>45131</v>
      </c>
      <c r="AU40" s="47"/>
      <c r="AV40" s="49"/>
      <c r="AW40" s="47"/>
      <c r="AX40" s="49"/>
      <c r="AY40" s="48"/>
      <c r="AZ40" s="52"/>
      <c r="BA40" s="47"/>
      <c r="BB40" s="49"/>
      <c r="BC40" s="14"/>
      <c r="BD40" s="17"/>
      <c r="BE40" s="17"/>
      <c r="BF40" s="17"/>
    </row>
    <row r="41" spans="2:58" x14ac:dyDescent="0.25">
      <c r="B41" s="37">
        <v>45138</v>
      </c>
      <c r="C41" s="58"/>
      <c r="D41" s="47"/>
      <c r="E41" s="47"/>
      <c r="F41" s="49"/>
      <c r="G41" s="47"/>
      <c r="H41" s="47"/>
      <c r="I41" s="49"/>
      <c r="J41" s="47"/>
      <c r="K41" s="47"/>
      <c r="L41" s="49"/>
      <c r="M41" s="47"/>
      <c r="N41" s="47"/>
      <c r="O41" s="49"/>
      <c r="P41" s="47"/>
      <c r="Q41" s="47"/>
      <c r="R41" s="49"/>
      <c r="S41" s="47"/>
      <c r="T41" s="47"/>
      <c r="U41" s="49"/>
      <c r="V41" s="47"/>
      <c r="W41" s="47"/>
      <c r="X41" s="49"/>
      <c r="Y41" s="47"/>
      <c r="Z41" s="47"/>
      <c r="AA41" s="49"/>
      <c r="AB41" s="47"/>
      <c r="AC41" s="47"/>
      <c r="AD41" s="49"/>
      <c r="AE41" s="47"/>
      <c r="AF41" s="47"/>
      <c r="AG41" s="49"/>
      <c r="AH41" s="47"/>
      <c r="AI41" s="47"/>
      <c r="AJ41" s="49"/>
      <c r="AK41" s="53"/>
      <c r="AL41" s="49"/>
      <c r="AM41" s="28"/>
      <c r="AO41" s="28"/>
      <c r="AP41" s="17"/>
      <c r="AQ41" s="17"/>
      <c r="AR41" s="17"/>
      <c r="AS41" s="14"/>
      <c r="AT41" s="39">
        <f t="shared" si="15"/>
        <v>45138</v>
      </c>
      <c r="AU41" s="47"/>
      <c r="AV41" s="49"/>
      <c r="AW41" s="47"/>
      <c r="AX41" s="49"/>
      <c r="AY41" s="48"/>
      <c r="AZ41" s="52"/>
      <c r="BA41" s="47"/>
      <c r="BB41" s="49"/>
      <c r="BC41" s="14"/>
      <c r="BD41" s="17"/>
      <c r="BE41" s="17"/>
      <c r="BF41" s="17"/>
    </row>
    <row r="42" spans="2:58" x14ac:dyDescent="0.25">
      <c r="B42" s="37">
        <v>45145</v>
      </c>
      <c r="C42" s="58"/>
      <c r="D42" s="47"/>
      <c r="E42" s="47"/>
      <c r="F42" s="49"/>
      <c r="G42" s="47"/>
      <c r="H42" s="47"/>
      <c r="I42" s="49"/>
      <c r="J42" s="47"/>
      <c r="K42" s="47"/>
      <c r="L42" s="49"/>
      <c r="M42" s="47"/>
      <c r="N42" s="47"/>
      <c r="O42" s="49"/>
      <c r="P42" s="47"/>
      <c r="Q42" s="47"/>
      <c r="R42" s="49"/>
      <c r="S42" s="47"/>
      <c r="T42" s="47"/>
      <c r="U42" s="49"/>
      <c r="V42" s="47"/>
      <c r="W42" s="47"/>
      <c r="X42" s="49"/>
      <c r="Y42" s="47"/>
      <c r="Z42" s="47"/>
      <c r="AA42" s="49"/>
      <c r="AB42" s="47"/>
      <c r="AC42" s="47"/>
      <c r="AD42" s="49"/>
      <c r="AE42" s="47"/>
      <c r="AF42" s="47"/>
      <c r="AG42" s="49"/>
      <c r="AH42" s="47"/>
      <c r="AI42" s="47"/>
      <c r="AJ42" s="49"/>
      <c r="AK42" s="53"/>
      <c r="AL42" s="49"/>
      <c r="AM42" s="28"/>
      <c r="AO42" s="28"/>
      <c r="AP42" s="17"/>
      <c r="AQ42" s="17"/>
      <c r="AR42" s="17"/>
      <c r="AS42" s="14"/>
      <c r="AT42" s="39">
        <f t="shared" si="15"/>
        <v>45145</v>
      </c>
      <c r="AU42" s="47"/>
      <c r="AV42" s="49"/>
      <c r="AW42" s="47"/>
      <c r="AX42" s="49"/>
      <c r="AY42" s="48"/>
      <c r="AZ42" s="52"/>
      <c r="BA42" s="47"/>
      <c r="BB42" s="49"/>
      <c r="BC42" s="14"/>
      <c r="BD42" s="17"/>
      <c r="BE42" s="17"/>
      <c r="BF42" s="17"/>
    </row>
    <row r="43" spans="2:58" x14ac:dyDescent="0.25">
      <c r="B43" s="37">
        <v>45152</v>
      </c>
      <c r="C43" s="58"/>
      <c r="D43" s="17"/>
      <c r="E43" s="17"/>
      <c r="F43" s="28"/>
      <c r="G43" s="17"/>
      <c r="H43" s="17"/>
      <c r="I43" s="28"/>
      <c r="J43" s="17"/>
      <c r="K43" s="17"/>
      <c r="L43" s="28"/>
      <c r="M43" s="17"/>
      <c r="N43" s="17"/>
      <c r="O43" s="28"/>
      <c r="P43" s="17"/>
      <c r="Q43" s="17"/>
      <c r="R43" s="28"/>
      <c r="S43" s="17"/>
      <c r="T43" s="17"/>
      <c r="U43" s="28"/>
      <c r="V43" s="17"/>
      <c r="W43" s="17"/>
      <c r="X43" s="28"/>
      <c r="Y43" s="17"/>
      <c r="Z43" s="17"/>
      <c r="AA43" s="28"/>
      <c r="AB43" s="17"/>
      <c r="AC43" s="17"/>
      <c r="AD43" s="28"/>
      <c r="AE43" s="17"/>
      <c r="AF43" s="17"/>
      <c r="AG43" s="28"/>
      <c r="AH43" s="17"/>
      <c r="AI43" s="17"/>
      <c r="AJ43" s="28"/>
      <c r="AK43" s="82"/>
      <c r="AL43" s="28"/>
      <c r="AM43" s="28"/>
      <c r="AO43" s="28"/>
      <c r="AP43" s="17"/>
      <c r="AQ43" s="17"/>
      <c r="AR43" s="17"/>
      <c r="AS43" s="14"/>
      <c r="AT43" s="39">
        <f t="shared" si="15"/>
        <v>45152</v>
      </c>
      <c r="AU43" s="17"/>
      <c r="AV43" s="28"/>
      <c r="AW43" s="17"/>
      <c r="AX43" s="28"/>
      <c r="AY43" s="44"/>
      <c r="AZ43" s="45"/>
      <c r="BA43" s="17"/>
      <c r="BB43" s="28"/>
      <c r="BC43" s="14"/>
      <c r="BD43" s="17"/>
      <c r="BE43" s="17"/>
      <c r="BF43" s="17"/>
    </row>
    <row r="44" spans="2:58" x14ac:dyDescent="0.25">
      <c r="B44" s="37">
        <v>45159</v>
      </c>
      <c r="C44" s="58"/>
      <c r="D44" s="17"/>
      <c r="E44" s="17"/>
      <c r="F44" s="28"/>
      <c r="G44" s="17"/>
      <c r="H44" s="17"/>
      <c r="I44" s="28"/>
      <c r="J44" s="17"/>
      <c r="K44" s="17"/>
      <c r="L44" s="28"/>
      <c r="M44" s="17"/>
      <c r="N44" s="17"/>
      <c r="O44" s="28"/>
      <c r="P44" s="17"/>
      <c r="Q44" s="17"/>
      <c r="R44" s="28"/>
      <c r="S44" s="17"/>
      <c r="T44" s="17"/>
      <c r="U44" s="28"/>
      <c r="V44" s="17"/>
      <c r="W44" s="17"/>
      <c r="X44" s="28"/>
      <c r="Y44" s="17"/>
      <c r="Z44" s="17"/>
      <c r="AA44" s="28"/>
      <c r="AB44" s="17"/>
      <c r="AC44" s="17"/>
      <c r="AD44" s="28"/>
      <c r="AE44" s="17"/>
      <c r="AF44" s="17"/>
      <c r="AG44" s="28"/>
      <c r="AH44" s="17"/>
      <c r="AI44" s="17"/>
      <c r="AJ44" s="28"/>
      <c r="AK44" s="82"/>
      <c r="AL44" s="28"/>
      <c r="AM44" s="28"/>
      <c r="AO44" s="28"/>
      <c r="AP44" s="17"/>
      <c r="AQ44" s="17"/>
      <c r="AR44" s="17"/>
      <c r="AS44" s="14"/>
      <c r="AT44" s="39">
        <f t="shared" si="15"/>
        <v>45159</v>
      </c>
      <c r="AU44" s="17"/>
      <c r="AV44" s="28"/>
      <c r="AW44" s="17"/>
      <c r="AX44" s="28"/>
      <c r="AY44" s="44"/>
      <c r="AZ44" s="28"/>
      <c r="BA44" s="17"/>
      <c r="BB44" s="28"/>
      <c r="BC44" s="14"/>
      <c r="BD44" s="17"/>
      <c r="BE44" s="17"/>
      <c r="BF44" s="17"/>
    </row>
    <row r="45" spans="2:58" x14ac:dyDescent="0.25">
      <c r="B45" s="37">
        <v>45166</v>
      </c>
      <c r="C45" s="58"/>
      <c r="D45" s="47"/>
      <c r="E45" s="47"/>
      <c r="F45" s="49"/>
      <c r="G45" s="47"/>
      <c r="H45" s="47"/>
      <c r="I45" s="49"/>
      <c r="J45" s="47"/>
      <c r="K45" s="47"/>
      <c r="L45" s="49"/>
      <c r="M45" s="47"/>
      <c r="N45" s="47"/>
      <c r="O45" s="49"/>
      <c r="P45" s="47"/>
      <c r="Q45" s="47"/>
      <c r="R45" s="49"/>
      <c r="S45" s="47"/>
      <c r="T45" s="47"/>
      <c r="U45" s="49"/>
      <c r="V45" s="47"/>
      <c r="W45" s="47"/>
      <c r="X45" s="49"/>
      <c r="Y45" s="47"/>
      <c r="Z45" s="47"/>
      <c r="AA45" s="49"/>
      <c r="AB45" s="47"/>
      <c r="AC45" s="47"/>
      <c r="AD45" s="49"/>
      <c r="AE45" s="47"/>
      <c r="AF45" s="47"/>
      <c r="AG45" s="49"/>
      <c r="AH45" s="47"/>
      <c r="AI45" s="47"/>
      <c r="AJ45" s="49"/>
      <c r="AK45" s="53"/>
      <c r="AL45" s="49"/>
      <c r="AM45" s="28"/>
      <c r="AO45" s="28"/>
      <c r="AP45" s="17"/>
      <c r="AQ45" s="17"/>
      <c r="AR45" s="17"/>
      <c r="AS45" s="14"/>
      <c r="AT45" s="39">
        <f t="shared" si="15"/>
        <v>45166</v>
      </c>
      <c r="AU45" s="47"/>
      <c r="AV45" s="49"/>
      <c r="AW45" s="47"/>
      <c r="AX45" s="49"/>
      <c r="AY45" s="48"/>
      <c r="AZ45" s="52"/>
      <c r="BA45" s="47"/>
      <c r="BB45" s="49"/>
      <c r="BC45" s="14"/>
      <c r="BD45" s="17"/>
      <c r="BE45" s="17"/>
      <c r="BF45" s="17"/>
    </row>
    <row r="46" spans="2:58" x14ac:dyDescent="0.25">
      <c r="B46" s="37">
        <v>45169</v>
      </c>
      <c r="C46" s="58"/>
      <c r="D46" s="17"/>
      <c r="E46" s="17"/>
      <c r="F46" s="28"/>
      <c r="G46" s="17"/>
      <c r="H46" s="17"/>
      <c r="I46" s="28"/>
      <c r="J46" s="17"/>
      <c r="K46" s="17"/>
      <c r="L46" s="28"/>
      <c r="M46" s="17"/>
      <c r="N46" s="17"/>
      <c r="O46" s="28"/>
      <c r="P46" s="17"/>
      <c r="Q46" s="17"/>
      <c r="R46" s="28"/>
      <c r="S46" s="17"/>
      <c r="T46" s="17"/>
      <c r="U46" s="28"/>
      <c r="V46" s="17"/>
      <c r="W46" s="17"/>
      <c r="X46" s="28"/>
      <c r="Y46" s="17"/>
      <c r="Z46" s="17"/>
      <c r="AA46" s="28"/>
      <c r="AB46" s="17"/>
      <c r="AC46" s="17"/>
      <c r="AD46" s="28"/>
      <c r="AE46" s="17"/>
      <c r="AF46" s="17"/>
      <c r="AG46" s="28"/>
      <c r="AH46" s="17"/>
      <c r="AI46" s="17"/>
      <c r="AJ46" s="28"/>
      <c r="AK46" s="82"/>
      <c r="AL46" s="28"/>
      <c r="AM46" s="28"/>
      <c r="AO46" s="28"/>
      <c r="AP46" s="17"/>
      <c r="AQ46" s="17"/>
      <c r="AR46" s="17"/>
      <c r="AS46" s="14"/>
      <c r="AT46" s="39">
        <f t="shared" si="15"/>
        <v>45169</v>
      </c>
      <c r="AU46" s="17"/>
      <c r="AV46" s="28"/>
      <c r="AW46" s="17"/>
      <c r="AX46" s="28"/>
      <c r="AY46" s="44"/>
      <c r="AZ46" s="45"/>
      <c r="BA46" s="17"/>
      <c r="BB46" s="28"/>
      <c r="BC46" s="14"/>
      <c r="BD46" s="17"/>
      <c r="BE46" s="17"/>
      <c r="BF46" s="17"/>
    </row>
    <row r="47" spans="2:58" x14ac:dyDescent="0.25">
      <c r="B47" s="37">
        <v>45173</v>
      </c>
      <c r="C47" s="58"/>
      <c r="D47" s="47"/>
      <c r="E47" s="47"/>
      <c r="F47" s="49"/>
      <c r="G47" s="47"/>
      <c r="H47" s="47"/>
      <c r="I47" s="49"/>
      <c r="J47" s="47"/>
      <c r="K47" s="47"/>
      <c r="L47" s="49"/>
      <c r="M47" s="47"/>
      <c r="N47" s="47"/>
      <c r="O47" s="49"/>
      <c r="P47" s="47"/>
      <c r="Q47" s="47"/>
      <c r="R47" s="49"/>
      <c r="S47" s="47"/>
      <c r="T47" s="47"/>
      <c r="U47" s="49"/>
      <c r="V47" s="47"/>
      <c r="W47" s="47"/>
      <c r="X47" s="49"/>
      <c r="Y47" s="47"/>
      <c r="Z47" s="47"/>
      <c r="AA47" s="49"/>
      <c r="AB47" s="47"/>
      <c r="AC47" s="47"/>
      <c r="AD47" s="49"/>
      <c r="AE47" s="47"/>
      <c r="AF47" s="47"/>
      <c r="AG47" s="49"/>
      <c r="AH47" s="47"/>
      <c r="AI47" s="47"/>
      <c r="AJ47" s="49"/>
      <c r="AK47" s="53"/>
      <c r="AL47" s="49"/>
      <c r="AM47" s="28"/>
      <c r="AO47" s="28"/>
      <c r="AP47" s="17"/>
      <c r="AQ47" s="17"/>
      <c r="AR47" s="17"/>
      <c r="AS47" s="14"/>
      <c r="AT47" s="39">
        <f t="shared" si="15"/>
        <v>45173</v>
      </c>
      <c r="AU47" s="47"/>
      <c r="AV47" s="49"/>
      <c r="AW47" s="47"/>
      <c r="AX47" s="49"/>
      <c r="AY47" s="48"/>
      <c r="AZ47" s="52"/>
      <c r="BA47" s="47"/>
      <c r="BB47" s="49"/>
      <c r="BC47" s="14"/>
      <c r="BD47" s="17"/>
      <c r="BE47" s="17"/>
      <c r="BF47" s="17"/>
    </row>
    <row r="48" spans="2:58" x14ac:dyDescent="0.25">
      <c r="B48" s="37">
        <v>45180</v>
      </c>
      <c r="C48" s="58"/>
      <c r="D48" s="47"/>
      <c r="E48" s="47"/>
      <c r="F48" s="49"/>
      <c r="G48" s="47"/>
      <c r="H48" s="47"/>
      <c r="I48" s="49"/>
      <c r="J48" s="47"/>
      <c r="K48" s="47"/>
      <c r="L48" s="49"/>
      <c r="M48" s="47"/>
      <c r="N48" s="47"/>
      <c r="O48" s="49"/>
      <c r="P48" s="47"/>
      <c r="Q48" s="47"/>
      <c r="R48" s="49"/>
      <c r="S48" s="47"/>
      <c r="T48" s="47"/>
      <c r="U48" s="49"/>
      <c r="V48" s="47"/>
      <c r="W48" s="47"/>
      <c r="X48" s="49"/>
      <c r="Y48" s="47"/>
      <c r="Z48" s="47"/>
      <c r="AA48" s="49"/>
      <c r="AB48" s="47"/>
      <c r="AC48" s="47"/>
      <c r="AD48" s="49"/>
      <c r="AE48" s="47"/>
      <c r="AF48" s="47"/>
      <c r="AG48" s="49"/>
      <c r="AH48" s="47"/>
      <c r="AI48" s="47"/>
      <c r="AJ48" s="49"/>
      <c r="AK48" s="53"/>
      <c r="AL48" s="49"/>
      <c r="AM48" s="28"/>
      <c r="AO48" s="28"/>
      <c r="AP48" s="17"/>
      <c r="AQ48" s="17"/>
      <c r="AR48" s="17"/>
      <c r="AS48" s="14"/>
      <c r="AT48" s="39">
        <f t="shared" si="15"/>
        <v>45180</v>
      </c>
      <c r="AU48" s="47"/>
      <c r="AV48" s="49"/>
      <c r="AW48" s="47"/>
      <c r="AX48" s="49"/>
      <c r="AY48" s="48"/>
      <c r="AZ48" s="52"/>
      <c r="BA48" s="47"/>
      <c r="BB48" s="49"/>
      <c r="BC48" s="14"/>
      <c r="BD48" s="17"/>
      <c r="BE48" s="17"/>
      <c r="BF48" s="17"/>
    </row>
    <row r="49" spans="2:58" x14ac:dyDescent="0.25">
      <c r="B49" s="37">
        <v>45187</v>
      </c>
      <c r="C49" s="58"/>
      <c r="D49" s="47"/>
      <c r="E49" s="47"/>
      <c r="F49" s="49"/>
      <c r="G49" s="47"/>
      <c r="H49" s="47"/>
      <c r="I49" s="49"/>
      <c r="J49" s="47"/>
      <c r="K49" s="47"/>
      <c r="L49" s="49"/>
      <c r="M49" s="47"/>
      <c r="N49" s="47"/>
      <c r="O49" s="49"/>
      <c r="P49" s="47"/>
      <c r="Q49" s="47"/>
      <c r="R49" s="49"/>
      <c r="S49" s="47"/>
      <c r="T49" s="47"/>
      <c r="U49" s="49"/>
      <c r="V49" s="47"/>
      <c r="W49" s="47"/>
      <c r="X49" s="49"/>
      <c r="Y49" s="47"/>
      <c r="Z49" s="47"/>
      <c r="AA49" s="49"/>
      <c r="AB49" s="47"/>
      <c r="AC49" s="47"/>
      <c r="AD49" s="49"/>
      <c r="AE49" s="47"/>
      <c r="AF49" s="47"/>
      <c r="AG49" s="49"/>
      <c r="AH49" s="47"/>
      <c r="AI49" s="47"/>
      <c r="AJ49" s="49"/>
      <c r="AK49" s="53"/>
      <c r="AL49" s="49"/>
      <c r="AM49" s="28"/>
      <c r="AO49" s="28"/>
      <c r="AP49" s="17"/>
      <c r="AQ49" s="17"/>
      <c r="AR49" s="17"/>
      <c r="AS49" s="14"/>
      <c r="AT49" s="39">
        <f t="shared" si="15"/>
        <v>45187</v>
      </c>
      <c r="AU49" s="47"/>
      <c r="AV49" s="49"/>
      <c r="AW49" s="47"/>
      <c r="AX49" s="49"/>
      <c r="AY49" s="48"/>
      <c r="AZ49" s="52"/>
      <c r="BA49" s="47"/>
      <c r="BB49" s="49"/>
      <c r="BC49" s="14"/>
      <c r="BD49" s="17"/>
      <c r="BE49" s="17"/>
      <c r="BF49" s="17"/>
    </row>
    <row r="50" spans="2:58" x14ac:dyDescent="0.25">
      <c r="B50" s="37">
        <v>45194</v>
      </c>
      <c r="C50" s="58"/>
      <c r="D50" s="17"/>
      <c r="E50" s="17"/>
      <c r="F50" s="28"/>
      <c r="G50" s="17"/>
      <c r="H50" s="17"/>
      <c r="I50" s="28"/>
      <c r="J50" s="17"/>
      <c r="K50" s="17"/>
      <c r="L50" s="28"/>
      <c r="M50" s="17"/>
      <c r="N50" s="17"/>
      <c r="O50" s="28"/>
      <c r="P50" s="17"/>
      <c r="Q50" s="17"/>
      <c r="R50" s="28"/>
      <c r="S50" s="17"/>
      <c r="T50" s="17"/>
      <c r="U50" s="28"/>
      <c r="V50" s="17"/>
      <c r="W50" s="17"/>
      <c r="X50" s="28"/>
      <c r="Y50" s="17"/>
      <c r="Z50" s="17"/>
      <c r="AA50" s="28"/>
      <c r="AB50" s="17"/>
      <c r="AC50" s="17"/>
      <c r="AD50" s="28"/>
      <c r="AE50" s="17"/>
      <c r="AF50" s="17"/>
      <c r="AG50" s="28"/>
      <c r="AH50" s="17"/>
      <c r="AI50" s="17"/>
      <c r="AJ50" s="28"/>
      <c r="AK50" s="82"/>
      <c r="AL50" s="28"/>
      <c r="AM50" s="28"/>
      <c r="AO50" s="28"/>
      <c r="AP50" s="17"/>
      <c r="AQ50" s="17"/>
      <c r="AR50" s="17"/>
      <c r="AS50" s="14"/>
      <c r="AT50" s="39">
        <f t="shared" si="15"/>
        <v>45194</v>
      </c>
      <c r="AU50" s="17"/>
      <c r="AV50" s="28"/>
      <c r="AW50" s="17"/>
      <c r="AX50" s="28"/>
      <c r="AY50" s="44"/>
      <c r="AZ50" s="45"/>
      <c r="BA50" s="17"/>
      <c r="BB50" s="28"/>
      <c r="BC50" s="14"/>
      <c r="BD50" s="17"/>
      <c r="BE50" s="17"/>
      <c r="BF50" s="17"/>
    </row>
    <row r="51" spans="2:58" x14ac:dyDescent="0.25">
      <c r="B51" s="37">
        <v>45199</v>
      </c>
      <c r="C51" s="58"/>
      <c r="D51" s="17"/>
      <c r="E51" s="17"/>
      <c r="F51" s="28"/>
      <c r="G51" s="17"/>
      <c r="H51" s="17"/>
      <c r="I51" s="28"/>
      <c r="J51" s="17"/>
      <c r="K51" s="17"/>
      <c r="L51" s="28"/>
      <c r="M51" s="17"/>
      <c r="N51" s="17"/>
      <c r="O51" s="28"/>
      <c r="P51" s="17"/>
      <c r="Q51" s="17"/>
      <c r="R51" s="28"/>
      <c r="S51" s="17"/>
      <c r="T51" s="17"/>
      <c r="U51" s="28"/>
      <c r="V51" s="17"/>
      <c r="W51" s="17"/>
      <c r="X51" s="28"/>
      <c r="Y51" s="17"/>
      <c r="Z51" s="17"/>
      <c r="AA51" s="28"/>
      <c r="AB51" s="17"/>
      <c r="AC51" s="17"/>
      <c r="AD51" s="28"/>
      <c r="AE51" s="17"/>
      <c r="AF51" s="17"/>
      <c r="AG51" s="28"/>
      <c r="AH51" s="17"/>
      <c r="AI51" s="17"/>
      <c r="AJ51" s="28"/>
      <c r="AK51" s="82"/>
      <c r="AL51" s="28"/>
      <c r="AM51" s="28"/>
      <c r="AO51" s="28"/>
      <c r="AP51" s="17"/>
      <c r="AQ51" s="17"/>
      <c r="AR51" s="17"/>
      <c r="AS51" s="14"/>
      <c r="AT51" s="39">
        <f t="shared" si="15"/>
        <v>45199</v>
      </c>
      <c r="AU51" s="17"/>
      <c r="AV51" s="28"/>
      <c r="AW51" s="17"/>
      <c r="AX51" s="28"/>
      <c r="AY51" s="44"/>
      <c r="AZ51" s="45"/>
      <c r="BA51" s="17"/>
      <c r="BB51" s="28"/>
      <c r="BC51" s="14"/>
      <c r="BD51" s="17"/>
      <c r="BE51" s="17"/>
      <c r="BF51" s="17"/>
    </row>
    <row r="52" spans="2:58" x14ac:dyDescent="0.25">
      <c r="B52" s="37">
        <v>45201</v>
      </c>
      <c r="C52" s="58"/>
      <c r="D52" s="17"/>
      <c r="E52" s="17"/>
      <c r="F52" s="28"/>
      <c r="G52" s="17"/>
      <c r="H52" s="17"/>
      <c r="I52" s="28"/>
      <c r="J52" s="17"/>
      <c r="K52" s="17"/>
      <c r="L52" s="28"/>
      <c r="M52" s="17"/>
      <c r="N52" s="17"/>
      <c r="O52" s="28"/>
      <c r="P52" s="17"/>
      <c r="Q52" s="17"/>
      <c r="R52" s="28"/>
      <c r="S52" s="17"/>
      <c r="T52" s="17"/>
      <c r="U52" s="28"/>
      <c r="V52" s="17"/>
      <c r="W52" s="17"/>
      <c r="X52" s="28"/>
      <c r="Y52" s="17"/>
      <c r="Z52" s="17"/>
      <c r="AA52" s="28"/>
      <c r="AB52" s="17"/>
      <c r="AC52" s="17"/>
      <c r="AD52" s="28"/>
      <c r="AE52" s="17"/>
      <c r="AF52" s="17"/>
      <c r="AG52" s="28"/>
      <c r="AH52" s="17"/>
      <c r="AI52" s="17"/>
      <c r="AJ52" s="28"/>
      <c r="AK52" s="82"/>
      <c r="AL52" s="28"/>
      <c r="AM52" s="28"/>
      <c r="AO52" s="28"/>
      <c r="AP52" s="17"/>
      <c r="AQ52" s="17"/>
      <c r="AR52" s="17"/>
      <c r="AS52" s="14"/>
      <c r="AT52" s="39">
        <f t="shared" si="15"/>
        <v>45201</v>
      </c>
      <c r="AU52" s="17"/>
      <c r="AV52" s="28"/>
      <c r="AW52" s="17"/>
      <c r="AX52" s="28"/>
      <c r="AY52" s="44"/>
      <c r="AZ52" s="45"/>
      <c r="BA52" s="17"/>
      <c r="BB52" s="28"/>
      <c r="BC52" s="14"/>
      <c r="BD52" s="17"/>
      <c r="BE52" s="17"/>
      <c r="BF52" s="17"/>
    </row>
    <row r="53" spans="2:58" x14ac:dyDescent="0.25">
      <c r="B53" s="37">
        <v>45208</v>
      </c>
      <c r="C53" s="58"/>
      <c r="D53" s="17"/>
      <c r="E53" s="17"/>
      <c r="F53" s="28"/>
      <c r="G53" s="17"/>
      <c r="H53" s="17"/>
      <c r="I53" s="28"/>
      <c r="J53" s="17"/>
      <c r="K53" s="17"/>
      <c r="L53" s="28"/>
      <c r="M53" s="17"/>
      <c r="N53" s="17"/>
      <c r="O53" s="28"/>
      <c r="P53" s="17"/>
      <c r="Q53" s="17"/>
      <c r="R53" s="28"/>
      <c r="S53" s="17"/>
      <c r="T53" s="17"/>
      <c r="U53" s="28"/>
      <c r="V53" s="17"/>
      <c r="W53" s="17"/>
      <c r="X53" s="28"/>
      <c r="Y53" s="17"/>
      <c r="Z53" s="17"/>
      <c r="AA53" s="28"/>
      <c r="AB53" s="17"/>
      <c r="AC53" s="17"/>
      <c r="AD53" s="28"/>
      <c r="AE53" s="17"/>
      <c r="AF53" s="17"/>
      <c r="AG53" s="28"/>
      <c r="AH53" s="17"/>
      <c r="AI53" s="17"/>
      <c r="AJ53" s="28"/>
      <c r="AK53" s="82"/>
      <c r="AL53" s="28"/>
      <c r="AM53" s="28"/>
      <c r="AO53" s="28"/>
      <c r="AP53" s="17"/>
      <c r="AQ53" s="17"/>
      <c r="AR53" s="17"/>
      <c r="AS53" s="14"/>
      <c r="AT53" s="39">
        <f t="shared" si="15"/>
        <v>45208</v>
      </c>
      <c r="AU53" s="17"/>
      <c r="AV53" s="28"/>
      <c r="AW53" s="17"/>
      <c r="AX53" s="28"/>
      <c r="AY53" s="44"/>
      <c r="AZ53" s="45"/>
      <c r="BA53" s="17"/>
      <c r="BB53" s="28"/>
      <c r="BC53" s="14"/>
      <c r="BD53" s="17"/>
      <c r="BE53" s="17"/>
      <c r="BF53" s="17"/>
    </row>
    <row r="54" spans="2:58" x14ac:dyDescent="0.25">
      <c r="B54" s="37">
        <v>45215</v>
      </c>
      <c r="C54" s="58"/>
      <c r="D54" s="17"/>
      <c r="E54" s="17"/>
      <c r="F54" s="28"/>
      <c r="G54" s="17"/>
      <c r="H54" s="17"/>
      <c r="I54" s="28"/>
      <c r="J54" s="17"/>
      <c r="K54" s="17"/>
      <c r="L54" s="28"/>
      <c r="M54" s="17"/>
      <c r="N54" s="17"/>
      <c r="O54" s="28"/>
      <c r="P54" s="17"/>
      <c r="Q54" s="17"/>
      <c r="R54" s="28"/>
      <c r="S54" s="17"/>
      <c r="T54" s="17"/>
      <c r="U54" s="28"/>
      <c r="V54" s="17"/>
      <c r="W54" s="17"/>
      <c r="X54" s="28"/>
      <c r="Y54" s="17"/>
      <c r="Z54" s="17"/>
      <c r="AA54" s="28"/>
      <c r="AB54" s="17"/>
      <c r="AC54" s="17"/>
      <c r="AD54" s="28"/>
      <c r="AE54" s="17"/>
      <c r="AF54" s="17"/>
      <c r="AG54" s="28"/>
      <c r="AH54" s="17"/>
      <c r="AI54" s="17"/>
      <c r="AJ54" s="28"/>
      <c r="AK54" s="82"/>
      <c r="AL54" s="28"/>
      <c r="AM54" s="28"/>
      <c r="AO54" s="28"/>
      <c r="AP54" s="17"/>
      <c r="AQ54" s="17"/>
      <c r="AR54" s="17"/>
      <c r="AS54" s="14"/>
      <c r="AT54" s="39">
        <f t="shared" si="15"/>
        <v>45215</v>
      </c>
      <c r="AU54" s="17"/>
      <c r="AV54" s="28"/>
      <c r="AW54" s="17"/>
      <c r="AX54" s="28"/>
      <c r="AY54" s="44"/>
      <c r="AZ54" s="45"/>
      <c r="BA54" s="17"/>
      <c r="BB54" s="28"/>
      <c r="BC54" s="14"/>
      <c r="BD54" s="17"/>
      <c r="BE54" s="17"/>
      <c r="BF54" s="17"/>
    </row>
    <row r="55" spans="2:58" x14ac:dyDescent="0.25">
      <c r="B55" s="37">
        <v>45222</v>
      </c>
      <c r="C55" s="58"/>
      <c r="D55" s="17"/>
      <c r="E55" s="17"/>
      <c r="F55" s="28"/>
      <c r="G55" s="17"/>
      <c r="H55" s="17"/>
      <c r="I55" s="28"/>
      <c r="J55" s="17"/>
      <c r="K55" s="17"/>
      <c r="L55" s="28"/>
      <c r="M55" s="17"/>
      <c r="N55" s="17"/>
      <c r="O55" s="28"/>
      <c r="P55" s="17"/>
      <c r="Q55" s="17"/>
      <c r="R55" s="28"/>
      <c r="S55" s="17"/>
      <c r="T55" s="17"/>
      <c r="U55" s="28"/>
      <c r="V55" s="17"/>
      <c r="W55" s="17"/>
      <c r="X55" s="28"/>
      <c r="Y55" s="17"/>
      <c r="Z55" s="17"/>
      <c r="AA55" s="28"/>
      <c r="AB55" s="17"/>
      <c r="AC55" s="17"/>
      <c r="AD55" s="28"/>
      <c r="AE55" s="17"/>
      <c r="AF55" s="17"/>
      <c r="AG55" s="28"/>
      <c r="AH55" s="17"/>
      <c r="AI55" s="17"/>
      <c r="AJ55" s="28"/>
      <c r="AK55" s="82"/>
      <c r="AL55" s="28"/>
      <c r="AM55" s="28"/>
      <c r="AO55" s="28"/>
      <c r="AP55" s="17"/>
      <c r="AQ55" s="17"/>
      <c r="AR55" s="17"/>
      <c r="AS55" s="14"/>
      <c r="AT55" s="39">
        <f t="shared" si="15"/>
        <v>45222</v>
      </c>
      <c r="AU55" s="17"/>
      <c r="AV55" s="28"/>
      <c r="AW55" s="17"/>
      <c r="AX55" s="28"/>
      <c r="AY55" s="44"/>
      <c r="AZ55" s="45"/>
      <c r="BA55" s="17"/>
      <c r="BB55" s="28"/>
      <c r="BC55" s="14"/>
      <c r="BD55" s="17"/>
      <c r="BE55" s="17"/>
      <c r="BF55" s="17"/>
    </row>
    <row r="56" spans="2:58" x14ac:dyDescent="0.25">
      <c r="B56" s="37">
        <v>45229</v>
      </c>
      <c r="C56" s="58"/>
      <c r="D56" s="17"/>
      <c r="E56" s="17"/>
      <c r="F56" s="28"/>
      <c r="G56" s="17"/>
      <c r="H56" s="17"/>
      <c r="I56" s="28"/>
      <c r="J56" s="17"/>
      <c r="K56" s="17"/>
      <c r="L56" s="28"/>
      <c r="M56" s="17"/>
      <c r="N56" s="17"/>
      <c r="O56" s="28"/>
      <c r="P56" s="17"/>
      <c r="Q56" s="17"/>
      <c r="R56" s="28"/>
      <c r="S56" s="17"/>
      <c r="T56" s="17"/>
      <c r="U56" s="28"/>
      <c r="V56" s="17"/>
      <c r="W56" s="17"/>
      <c r="X56" s="28"/>
      <c r="Y56" s="17"/>
      <c r="Z56" s="17"/>
      <c r="AA56" s="28"/>
      <c r="AB56" s="17"/>
      <c r="AC56" s="17"/>
      <c r="AD56" s="28"/>
      <c r="AE56" s="17"/>
      <c r="AF56" s="17"/>
      <c r="AG56" s="28"/>
      <c r="AH56" s="17"/>
      <c r="AI56" s="17"/>
      <c r="AJ56" s="28"/>
      <c r="AK56" s="82"/>
      <c r="AL56" s="28"/>
      <c r="AM56" s="28"/>
      <c r="AO56" s="28"/>
      <c r="AP56" s="17"/>
      <c r="AQ56" s="17"/>
      <c r="AR56" s="17"/>
      <c r="AS56" s="14"/>
      <c r="AT56" s="39">
        <f t="shared" si="15"/>
        <v>45229</v>
      </c>
      <c r="AU56" s="17"/>
      <c r="AV56" s="28"/>
      <c r="AW56" s="17"/>
      <c r="AX56" s="28"/>
      <c r="AY56" s="44"/>
      <c r="AZ56" s="45"/>
      <c r="BA56" s="17"/>
      <c r="BB56" s="28"/>
      <c r="BC56" s="14"/>
      <c r="BD56" s="17"/>
      <c r="BE56" s="17"/>
      <c r="BF56" s="17"/>
    </row>
    <row r="57" spans="2:58" x14ac:dyDescent="0.25">
      <c r="B57" s="37">
        <v>45230</v>
      </c>
      <c r="C57" s="58"/>
      <c r="D57" s="17"/>
      <c r="E57" s="17"/>
      <c r="F57" s="28"/>
      <c r="G57" s="17"/>
      <c r="H57" s="17"/>
      <c r="I57" s="28"/>
      <c r="J57" s="17"/>
      <c r="K57" s="17"/>
      <c r="L57" s="28"/>
      <c r="M57" s="17"/>
      <c r="N57" s="17"/>
      <c r="O57" s="28"/>
      <c r="P57" s="17"/>
      <c r="Q57" s="17"/>
      <c r="R57" s="28"/>
      <c r="S57" s="17"/>
      <c r="T57" s="17"/>
      <c r="U57" s="28"/>
      <c r="V57" s="17"/>
      <c r="W57" s="17"/>
      <c r="X57" s="28"/>
      <c r="Y57" s="17"/>
      <c r="Z57" s="17"/>
      <c r="AA57" s="28"/>
      <c r="AB57" s="17"/>
      <c r="AC57" s="17"/>
      <c r="AD57" s="28"/>
      <c r="AE57" s="17"/>
      <c r="AF57" s="17"/>
      <c r="AG57" s="28"/>
      <c r="AH57" s="17"/>
      <c r="AI57" s="17"/>
      <c r="AJ57" s="28"/>
      <c r="AK57" s="82"/>
      <c r="AL57" s="28"/>
      <c r="AM57" s="28"/>
      <c r="AO57" s="28"/>
      <c r="AP57" s="17"/>
      <c r="AQ57" s="17"/>
      <c r="AR57" s="17"/>
      <c r="AS57" s="14"/>
      <c r="AT57" s="39">
        <f t="shared" si="15"/>
        <v>45230</v>
      </c>
      <c r="AU57" s="17"/>
      <c r="AV57" s="28"/>
      <c r="AW57" s="17"/>
      <c r="AX57" s="28"/>
      <c r="AY57" s="44"/>
      <c r="AZ57" s="45"/>
      <c r="BA57" s="17"/>
      <c r="BB57" s="28"/>
      <c r="BC57" s="14"/>
      <c r="BD57" s="17"/>
      <c r="BE57" s="17"/>
      <c r="BF57" s="17"/>
    </row>
    <row r="58" spans="2:58" x14ac:dyDescent="0.25">
      <c r="B58" s="37">
        <v>45236</v>
      </c>
      <c r="C58" s="58"/>
      <c r="D58" s="17"/>
      <c r="E58" s="17"/>
      <c r="F58" s="28"/>
      <c r="G58" s="17"/>
      <c r="H58" s="17"/>
      <c r="I58" s="28"/>
      <c r="J58" s="17"/>
      <c r="K58" s="17"/>
      <c r="L58" s="28"/>
      <c r="M58" s="17"/>
      <c r="N58" s="17"/>
      <c r="O58" s="28"/>
      <c r="P58" s="17"/>
      <c r="Q58" s="17"/>
      <c r="R58" s="28"/>
      <c r="S58" s="17"/>
      <c r="T58" s="17"/>
      <c r="U58" s="28"/>
      <c r="V58" s="17"/>
      <c r="W58" s="17"/>
      <c r="X58" s="28"/>
      <c r="Y58" s="17"/>
      <c r="Z58" s="17"/>
      <c r="AA58" s="28"/>
      <c r="AB58" s="17"/>
      <c r="AC58" s="17"/>
      <c r="AD58" s="28"/>
      <c r="AE58" s="17"/>
      <c r="AF58" s="17"/>
      <c r="AG58" s="28"/>
      <c r="AH58" s="17"/>
      <c r="AI58" s="17"/>
      <c r="AJ58" s="28"/>
      <c r="AK58" s="82"/>
      <c r="AL58" s="28"/>
      <c r="AM58" s="28"/>
      <c r="AO58" s="28"/>
      <c r="AP58" s="17"/>
      <c r="AQ58" s="17"/>
      <c r="AR58" s="17"/>
      <c r="AS58" s="14"/>
      <c r="AT58" s="39">
        <f t="shared" si="15"/>
        <v>45236</v>
      </c>
      <c r="AU58" s="17"/>
      <c r="AV58" s="28"/>
      <c r="AW58" s="17"/>
      <c r="AX58" s="28"/>
      <c r="AY58" s="44"/>
      <c r="AZ58" s="45"/>
      <c r="BA58" s="17"/>
      <c r="BB58" s="28"/>
      <c r="BC58" s="14"/>
      <c r="BD58" s="17"/>
      <c r="BE58" s="17"/>
      <c r="BF58" s="17"/>
    </row>
    <row r="59" spans="2:58" x14ac:dyDescent="0.25">
      <c r="B59" s="37">
        <v>45243</v>
      </c>
      <c r="C59" s="58"/>
      <c r="D59" s="17"/>
      <c r="E59" s="17"/>
      <c r="F59" s="28"/>
      <c r="G59" s="17"/>
      <c r="H59" s="17"/>
      <c r="I59" s="28"/>
      <c r="J59" s="17"/>
      <c r="K59" s="17"/>
      <c r="L59" s="28"/>
      <c r="M59" s="17"/>
      <c r="N59" s="17"/>
      <c r="O59" s="28"/>
      <c r="P59" s="17"/>
      <c r="Q59" s="17"/>
      <c r="R59" s="28"/>
      <c r="S59" s="17"/>
      <c r="T59" s="17"/>
      <c r="U59" s="28"/>
      <c r="V59" s="17"/>
      <c r="W59" s="17"/>
      <c r="X59" s="28"/>
      <c r="Y59" s="17"/>
      <c r="Z59" s="17"/>
      <c r="AA59" s="28"/>
      <c r="AB59" s="17"/>
      <c r="AC59" s="17"/>
      <c r="AD59" s="28"/>
      <c r="AE59" s="17"/>
      <c r="AF59" s="17"/>
      <c r="AG59" s="28"/>
      <c r="AH59" s="17"/>
      <c r="AI59" s="17"/>
      <c r="AJ59" s="28"/>
      <c r="AK59" s="82"/>
      <c r="AL59" s="28"/>
      <c r="AM59" s="28"/>
      <c r="AO59" s="28"/>
      <c r="AP59" s="17"/>
      <c r="AQ59" s="17"/>
      <c r="AR59" s="17"/>
      <c r="AS59" s="14"/>
      <c r="AT59" s="39">
        <f t="shared" si="15"/>
        <v>45243</v>
      </c>
      <c r="AU59" s="17"/>
      <c r="AV59" s="28"/>
      <c r="AW59" s="17"/>
      <c r="AX59" s="28"/>
      <c r="AY59" s="44"/>
      <c r="AZ59" s="45"/>
      <c r="BA59" s="17"/>
      <c r="BB59" s="28"/>
      <c r="BC59" s="14"/>
      <c r="BD59" s="17"/>
      <c r="BE59" s="17"/>
      <c r="BF59" s="17"/>
    </row>
    <row r="60" spans="2:58" x14ac:dyDescent="0.25">
      <c r="B60" s="37">
        <v>45250</v>
      </c>
      <c r="C60" s="58"/>
      <c r="D60" s="17"/>
      <c r="E60" s="17"/>
      <c r="F60" s="28"/>
      <c r="G60" s="17"/>
      <c r="H60" s="17"/>
      <c r="I60" s="28"/>
      <c r="J60" s="17"/>
      <c r="K60" s="17"/>
      <c r="L60" s="28"/>
      <c r="M60" s="17"/>
      <c r="N60" s="17"/>
      <c r="O60" s="28"/>
      <c r="P60" s="17"/>
      <c r="Q60" s="17"/>
      <c r="R60" s="28"/>
      <c r="S60" s="17"/>
      <c r="T60" s="17"/>
      <c r="U60" s="28"/>
      <c r="V60" s="17"/>
      <c r="W60" s="17"/>
      <c r="X60" s="28"/>
      <c r="Y60" s="17"/>
      <c r="Z60" s="17"/>
      <c r="AA60" s="28"/>
      <c r="AB60" s="17"/>
      <c r="AC60" s="17"/>
      <c r="AD60" s="28"/>
      <c r="AE60" s="17"/>
      <c r="AF60" s="17"/>
      <c r="AG60" s="28"/>
      <c r="AH60" s="17"/>
      <c r="AI60" s="17"/>
      <c r="AJ60" s="28"/>
      <c r="AK60" s="82"/>
      <c r="AL60" s="28"/>
      <c r="AM60" s="28"/>
      <c r="AO60" s="28"/>
      <c r="AP60" s="17"/>
      <c r="AQ60" s="17"/>
      <c r="AR60" s="17"/>
      <c r="AS60" s="14"/>
      <c r="AT60" s="39">
        <f t="shared" si="15"/>
        <v>45250</v>
      </c>
      <c r="AU60" s="17"/>
      <c r="AV60" s="28"/>
      <c r="AW60" s="17"/>
      <c r="AX60" s="28"/>
      <c r="AY60" s="44"/>
      <c r="AZ60" s="45"/>
      <c r="BA60" s="17"/>
      <c r="BB60" s="28"/>
      <c r="BC60" s="14"/>
      <c r="BD60" s="17"/>
      <c r="BE60" s="17"/>
      <c r="BF60" s="17"/>
    </row>
    <row r="61" spans="2:58" x14ac:dyDescent="0.25">
      <c r="B61" s="37">
        <v>45257</v>
      </c>
      <c r="C61" s="58"/>
      <c r="D61" s="17"/>
      <c r="E61" s="17"/>
      <c r="F61" s="28"/>
      <c r="G61" s="17"/>
      <c r="H61" s="17"/>
      <c r="I61" s="28"/>
      <c r="J61" s="17"/>
      <c r="K61" s="17"/>
      <c r="L61" s="28"/>
      <c r="M61" s="17"/>
      <c r="N61" s="17"/>
      <c r="O61" s="28"/>
      <c r="P61" s="17"/>
      <c r="Q61" s="17"/>
      <c r="R61" s="28"/>
      <c r="S61" s="17"/>
      <c r="T61" s="17"/>
      <c r="U61" s="28"/>
      <c r="V61" s="17"/>
      <c r="W61" s="17"/>
      <c r="X61" s="28"/>
      <c r="Y61" s="17"/>
      <c r="Z61" s="17"/>
      <c r="AA61" s="28"/>
      <c r="AB61" s="17"/>
      <c r="AC61" s="17"/>
      <c r="AD61" s="28"/>
      <c r="AE61" s="17"/>
      <c r="AF61" s="17"/>
      <c r="AG61" s="28"/>
      <c r="AH61" s="17"/>
      <c r="AI61" s="17"/>
      <c r="AJ61" s="28"/>
      <c r="AK61" s="82"/>
      <c r="AL61" s="28"/>
      <c r="AM61" s="28"/>
      <c r="AO61" s="28"/>
      <c r="AP61" s="17"/>
      <c r="AQ61" s="17"/>
      <c r="AR61" s="17"/>
      <c r="AS61" s="14"/>
      <c r="AT61" s="39">
        <f t="shared" si="15"/>
        <v>45257</v>
      </c>
      <c r="AU61" s="17"/>
      <c r="AV61" s="28"/>
      <c r="AW61" s="17"/>
      <c r="AX61" s="28"/>
      <c r="AY61" s="44"/>
      <c r="AZ61" s="45"/>
      <c r="BA61" s="17"/>
      <c r="BB61" s="28"/>
      <c r="BC61" s="14"/>
      <c r="BD61" s="17"/>
      <c r="BE61" s="17"/>
      <c r="BF61" s="17"/>
    </row>
    <row r="62" spans="2:58" x14ac:dyDescent="0.25">
      <c r="B62" s="37">
        <v>45260</v>
      </c>
      <c r="C62" s="58"/>
      <c r="D62" s="17"/>
      <c r="E62" s="17"/>
      <c r="F62" s="28"/>
      <c r="G62" s="17"/>
      <c r="H62" s="17"/>
      <c r="I62" s="28"/>
      <c r="J62" s="17"/>
      <c r="K62" s="17"/>
      <c r="L62" s="28"/>
      <c r="M62" s="17"/>
      <c r="N62" s="17"/>
      <c r="O62" s="28"/>
      <c r="P62" s="17"/>
      <c r="Q62" s="17"/>
      <c r="R62" s="28"/>
      <c r="S62" s="17"/>
      <c r="T62" s="17"/>
      <c r="U62" s="28"/>
      <c r="V62" s="17"/>
      <c r="W62" s="17"/>
      <c r="X62" s="28"/>
      <c r="Y62" s="17"/>
      <c r="Z62" s="17"/>
      <c r="AA62" s="28"/>
      <c r="AB62" s="17"/>
      <c r="AC62" s="17"/>
      <c r="AD62" s="28"/>
      <c r="AE62" s="17"/>
      <c r="AF62" s="17"/>
      <c r="AG62" s="28"/>
      <c r="AH62" s="17"/>
      <c r="AI62" s="17"/>
      <c r="AJ62" s="28"/>
      <c r="AK62" s="82"/>
      <c r="AL62" s="28"/>
      <c r="AM62" s="28"/>
      <c r="AO62" s="28"/>
      <c r="AP62" s="17"/>
      <c r="AQ62" s="17"/>
      <c r="AR62" s="17"/>
      <c r="AS62" s="14"/>
      <c r="AT62" s="39">
        <f t="shared" si="15"/>
        <v>45260</v>
      </c>
      <c r="AU62" s="17"/>
      <c r="AV62" s="28"/>
      <c r="AW62" s="17"/>
      <c r="AX62" s="28"/>
      <c r="AY62" s="44"/>
      <c r="AZ62" s="45"/>
      <c r="BA62" s="17"/>
      <c r="BB62" s="28"/>
      <c r="BC62" s="14"/>
      <c r="BD62" s="17"/>
      <c r="BE62" s="17"/>
      <c r="BF62" s="17"/>
    </row>
    <row r="63" spans="2:58" x14ac:dyDescent="0.25">
      <c r="B63" s="37">
        <v>45264</v>
      </c>
      <c r="C63" s="58"/>
      <c r="D63" s="17"/>
      <c r="E63" s="17"/>
      <c r="F63" s="28"/>
      <c r="G63" s="17"/>
      <c r="H63" s="17"/>
      <c r="I63" s="28"/>
      <c r="J63" s="17"/>
      <c r="K63" s="17"/>
      <c r="L63" s="28"/>
      <c r="M63" s="17"/>
      <c r="N63" s="17"/>
      <c r="O63" s="28"/>
      <c r="P63" s="17"/>
      <c r="Q63" s="17"/>
      <c r="R63" s="28"/>
      <c r="S63" s="17"/>
      <c r="T63" s="17"/>
      <c r="U63" s="28"/>
      <c r="V63" s="17"/>
      <c r="W63" s="17"/>
      <c r="X63" s="28"/>
      <c r="Y63" s="17"/>
      <c r="Z63" s="17"/>
      <c r="AA63" s="28"/>
      <c r="AB63" s="17"/>
      <c r="AC63" s="17"/>
      <c r="AD63" s="28"/>
      <c r="AE63" s="17"/>
      <c r="AF63" s="17"/>
      <c r="AG63" s="28"/>
      <c r="AH63" s="17"/>
      <c r="AI63" s="17"/>
      <c r="AJ63" s="28"/>
      <c r="AK63" s="82"/>
      <c r="AL63" s="28"/>
      <c r="AM63" s="28"/>
      <c r="AO63" s="28"/>
      <c r="AP63" s="17"/>
      <c r="AQ63" s="17"/>
      <c r="AR63" s="17"/>
      <c r="AS63" s="14"/>
      <c r="AT63" s="39">
        <f t="shared" si="15"/>
        <v>45264</v>
      </c>
      <c r="AU63" s="17"/>
      <c r="AV63" s="28"/>
      <c r="AW63" s="17"/>
      <c r="AX63" s="28"/>
      <c r="AY63" s="44"/>
      <c r="AZ63" s="45"/>
      <c r="BA63" s="17"/>
      <c r="BB63" s="28"/>
      <c r="BC63" s="14"/>
      <c r="BD63" s="17"/>
      <c r="BE63" s="17"/>
      <c r="BF63" s="17"/>
    </row>
    <row r="64" spans="2:58" x14ac:dyDescent="0.25">
      <c r="B64" s="37">
        <v>45271</v>
      </c>
      <c r="C64" s="58"/>
      <c r="D64" s="17"/>
      <c r="E64" s="17"/>
      <c r="F64" s="28"/>
      <c r="G64" s="17"/>
      <c r="H64" s="17"/>
      <c r="I64" s="28"/>
      <c r="J64" s="17"/>
      <c r="K64" s="17"/>
      <c r="L64" s="28"/>
      <c r="M64" s="17"/>
      <c r="N64" s="17"/>
      <c r="O64" s="28"/>
      <c r="P64" s="17"/>
      <c r="Q64" s="17"/>
      <c r="R64" s="28"/>
      <c r="S64" s="17"/>
      <c r="T64" s="17"/>
      <c r="U64" s="28"/>
      <c r="V64" s="17"/>
      <c r="W64" s="17"/>
      <c r="X64" s="28"/>
      <c r="Y64" s="17"/>
      <c r="Z64" s="17"/>
      <c r="AA64" s="28"/>
      <c r="AB64" s="17"/>
      <c r="AC64" s="17"/>
      <c r="AD64" s="28"/>
      <c r="AE64" s="17"/>
      <c r="AF64" s="17"/>
      <c r="AG64" s="28"/>
      <c r="AH64" s="17"/>
      <c r="AI64" s="17"/>
      <c r="AJ64" s="28"/>
      <c r="AK64" s="93"/>
      <c r="AL64" s="94"/>
      <c r="AM64" s="28"/>
      <c r="AO64" s="28"/>
      <c r="AP64" s="17"/>
      <c r="AQ64" s="17"/>
      <c r="AR64" s="17"/>
      <c r="AS64" s="14"/>
      <c r="AT64" s="39">
        <f t="shared" si="15"/>
        <v>45271</v>
      </c>
      <c r="AU64" s="17"/>
      <c r="AV64" s="28"/>
      <c r="AW64" s="17"/>
      <c r="AX64" s="28"/>
      <c r="AY64" s="44"/>
      <c r="AZ64" s="45"/>
      <c r="BA64" s="17"/>
      <c r="BB64" s="28"/>
      <c r="BC64" s="14"/>
      <c r="BD64" s="17"/>
      <c r="BE64" s="17"/>
      <c r="BF64" s="17"/>
    </row>
    <row r="65" spans="2:58" x14ac:dyDescent="0.25">
      <c r="B65" s="37">
        <v>45278</v>
      </c>
      <c r="C65" s="58"/>
      <c r="D65" s="17"/>
      <c r="E65" s="17"/>
      <c r="F65" s="28"/>
      <c r="G65" s="17"/>
      <c r="H65" s="17"/>
      <c r="I65" s="28"/>
      <c r="J65" s="17"/>
      <c r="K65" s="17"/>
      <c r="L65" s="28"/>
      <c r="M65" s="17"/>
      <c r="N65" s="17"/>
      <c r="O65" s="28"/>
      <c r="P65" s="17"/>
      <c r="Q65" s="17"/>
      <c r="R65" s="28"/>
      <c r="S65" s="17"/>
      <c r="T65" s="17"/>
      <c r="U65" s="28"/>
      <c r="V65" s="17"/>
      <c r="W65" s="17"/>
      <c r="X65" s="28"/>
      <c r="Y65" s="17"/>
      <c r="Z65" s="17"/>
      <c r="AA65" s="28"/>
      <c r="AB65" s="17"/>
      <c r="AC65" s="17"/>
      <c r="AD65" s="28"/>
      <c r="AE65" s="17"/>
      <c r="AF65" s="17"/>
      <c r="AG65" s="28"/>
      <c r="AH65" s="17"/>
      <c r="AI65" s="17"/>
      <c r="AJ65" s="28"/>
      <c r="AK65" s="93"/>
      <c r="AL65" s="94"/>
      <c r="AM65" s="28"/>
      <c r="AO65" s="28"/>
      <c r="AP65" s="17"/>
      <c r="AQ65" s="17"/>
      <c r="AR65" s="17"/>
      <c r="AS65" s="14"/>
      <c r="AT65" s="39">
        <f t="shared" ref="AT65:AT67" si="28">B65</f>
        <v>45278</v>
      </c>
      <c r="AU65" s="17"/>
      <c r="AV65" s="28"/>
      <c r="AW65" s="17"/>
      <c r="AX65" s="28"/>
      <c r="AY65" s="44"/>
      <c r="AZ65" s="45"/>
      <c r="BA65" s="17"/>
      <c r="BB65" s="28"/>
      <c r="BC65" s="14"/>
      <c r="BD65" s="17"/>
      <c r="BE65" s="17"/>
      <c r="BF65" s="17"/>
    </row>
    <row r="66" spans="2:58" x14ac:dyDescent="0.25">
      <c r="B66" s="37">
        <v>45285</v>
      </c>
      <c r="C66" s="58"/>
      <c r="D66" s="17"/>
      <c r="E66" s="17"/>
      <c r="F66" s="28"/>
      <c r="G66" s="17"/>
      <c r="H66" s="17"/>
      <c r="I66" s="28"/>
      <c r="J66" s="17"/>
      <c r="K66" s="17"/>
      <c r="L66" s="28"/>
      <c r="M66" s="17"/>
      <c r="N66" s="17"/>
      <c r="O66" s="28"/>
      <c r="P66" s="17"/>
      <c r="Q66" s="17"/>
      <c r="R66" s="28"/>
      <c r="S66" s="17"/>
      <c r="T66" s="17"/>
      <c r="U66" s="28"/>
      <c r="V66" s="17"/>
      <c r="W66" s="17"/>
      <c r="X66" s="28"/>
      <c r="Y66" s="17"/>
      <c r="Z66" s="17"/>
      <c r="AA66" s="28"/>
      <c r="AB66" s="17"/>
      <c r="AC66" s="17"/>
      <c r="AD66" s="28"/>
      <c r="AE66" s="17"/>
      <c r="AF66" s="17"/>
      <c r="AG66" s="28"/>
      <c r="AH66" s="17"/>
      <c r="AI66" s="17"/>
      <c r="AJ66" s="28"/>
      <c r="AK66" s="93"/>
      <c r="AL66" s="94"/>
      <c r="AM66" s="28"/>
      <c r="AO66" s="28"/>
      <c r="AP66" s="17"/>
      <c r="AQ66" s="17"/>
      <c r="AR66" s="17"/>
      <c r="AS66" s="14"/>
      <c r="AT66" s="39">
        <f t="shared" si="28"/>
        <v>45285</v>
      </c>
      <c r="AU66" s="17"/>
      <c r="AV66" s="28"/>
      <c r="AW66" s="17"/>
      <c r="AX66" s="28"/>
      <c r="AY66" s="44"/>
      <c r="AZ66" s="45"/>
      <c r="BA66" s="17"/>
      <c r="BB66" s="28"/>
      <c r="BC66" s="14"/>
      <c r="BD66" s="17"/>
      <c r="BE66" s="17"/>
      <c r="BF66" s="17"/>
    </row>
    <row r="67" spans="2:58" x14ac:dyDescent="0.25">
      <c r="B67" s="37">
        <v>45291</v>
      </c>
      <c r="C67" s="58"/>
      <c r="D67" s="17"/>
      <c r="E67" s="17"/>
      <c r="F67" s="28"/>
      <c r="G67" s="17"/>
      <c r="H67" s="17"/>
      <c r="I67" s="28"/>
      <c r="J67" s="17"/>
      <c r="K67" s="17"/>
      <c r="L67" s="28"/>
      <c r="M67" s="17"/>
      <c r="N67" s="17"/>
      <c r="O67" s="28"/>
      <c r="P67" s="17"/>
      <c r="Q67" s="17"/>
      <c r="R67" s="28"/>
      <c r="S67" s="17"/>
      <c r="T67" s="17"/>
      <c r="U67" s="28"/>
      <c r="V67" s="17"/>
      <c r="W67" s="17"/>
      <c r="X67" s="28"/>
      <c r="Y67" s="17"/>
      <c r="Z67" s="17"/>
      <c r="AA67" s="28"/>
      <c r="AB67" s="17"/>
      <c r="AC67" s="17"/>
      <c r="AD67" s="28"/>
      <c r="AE67" s="17"/>
      <c r="AF67" s="17"/>
      <c r="AG67" s="28"/>
      <c r="AH67" s="17"/>
      <c r="AI67" s="17"/>
      <c r="AJ67" s="28"/>
      <c r="AK67" s="93"/>
      <c r="AL67" s="94"/>
      <c r="AM67" s="28"/>
      <c r="AO67" s="28"/>
      <c r="AP67" s="17"/>
      <c r="AQ67" s="17"/>
      <c r="AR67" s="17"/>
      <c r="AS67" s="14"/>
      <c r="AT67" s="39">
        <f t="shared" si="28"/>
        <v>45291</v>
      </c>
      <c r="AU67" s="17"/>
      <c r="AV67" s="28"/>
      <c r="AW67" s="17"/>
      <c r="AX67" s="28"/>
      <c r="AY67" s="44"/>
      <c r="AZ67" s="45"/>
      <c r="BA67" s="17"/>
      <c r="BB67" s="28"/>
      <c r="BC67" s="14"/>
      <c r="BD67" s="17"/>
      <c r="BE67" s="17"/>
      <c r="BF67" s="17"/>
    </row>
  </sheetData>
  <mergeCells count="22">
    <mergeCell ref="AK65:AL65"/>
    <mergeCell ref="AK66:AL66"/>
    <mergeCell ref="AK67:AL67"/>
    <mergeCell ref="AK64:AL64"/>
    <mergeCell ref="AH1:AJ1"/>
    <mergeCell ref="AK3:AL3"/>
    <mergeCell ref="AK1:AM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U1:AV1"/>
    <mergeCell ref="AW1:AX1"/>
    <mergeCell ref="AY1:AZ1"/>
    <mergeCell ref="BA1:BB1"/>
    <mergeCell ref="AK2:AL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7"/>
  <sheetViews>
    <sheetView topLeftCell="AQ1" zoomScale="85" zoomScaleNormal="85" workbookViewId="0">
      <selection activeCell="AU13" sqref="AU13:BH13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customWidth="1"/>
    <col min="25" max="25" width="9.7109375" style="26" customWidth="1"/>
    <col min="26" max="26" width="2.7109375" customWidth="1"/>
    <col min="27" max="44" width="11.7109375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0" customFormat="1" ht="31.5" x14ac:dyDescent="0.35">
      <c r="B1" s="46">
        <v>2022</v>
      </c>
      <c r="C1" s="104">
        <v>74860172</v>
      </c>
      <c r="D1" s="106"/>
      <c r="E1" s="105"/>
      <c r="F1" s="104">
        <v>74860173</v>
      </c>
      <c r="G1" s="106"/>
      <c r="H1" s="105"/>
      <c r="I1" s="104">
        <v>44553004</v>
      </c>
      <c r="J1" s="106"/>
      <c r="K1" s="105"/>
      <c r="L1" s="104">
        <v>70275191</v>
      </c>
      <c r="M1" s="106"/>
      <c r="N1" s="105"/>
      <c r="O1" s="104">
        <v>2130521</v>
      </c>
      <c r="P1" s="106"/>
      <c r="Q1" s="105"/>
      <c r="R1" s="16"/>
      <c r="S1" s="107" t="s">
        <v>123</v>
      </c>
      <c r="T1" s="106"/>
      <c r="U1" s="105"/>
      <c r="V1" s="93">
        <v>93477704</v>
      </c>
      <c r="W1" s="108"/>
      <c r="X1" s="94"/>
      <c r="Y1" s="20" t="s">
        <v>124</v>
      </c>
      <c r="Z1" s="16"/>
      <c r="AA1" s="109">
        <v>79177804</v>
      </c>
      <c r="AB1" s="110"/>
      <c r="AC1" s="109">
        <v>79305675</v>
      </c>
      <c r="AD1" s="110"/>
      <c r="AE1" s="109">
        <v>19000406</v>
      </c>
      <c r="AF1" s="110"/>
      <c r="AG1" s="109">
        <v>79190041</v>
      </c>
      <c r="AH1" s="110"/>
      <c r="AI1" s="109" t="s">
        <v>49</v>
      </c>
      <c r="AJ1" s="110"/>
      <c r="AK1" s="109">
        <v>79190039</v>
      </c>
      <c r="AL1" s="110"/>
      <c r="AM1" s="109">
        <v>79324776</v>
      </c>
      <c r="AN1" s="110"/>
      <c r="AO1" s="109" t="s">
        <v>125</v>
      </c>
      <c r="AP1" s="110"/>
      <c r="AQ1" s="109" t="s">
        <v>126</v>
      </c>
      <c r="AR1" s="110"/>
      <c r="AS1" s="14"/>
      <c r="AU1" s="104" t="s">
        <v>127</v>
      </c>
      <c r="AV1" s="105"/>
      <c r="AW1" s="14"/>
      <c r="AX1" s="104" t="s">
        <v>55</v>
      </c>
      <c r="AY1" s="105"/>
      <c r="AZ1" s="104">
        <v>65956268</v>
      </c>
      <c r="BA1" s="105"/>
      <c r="BB1" s="21" t="s">
        <v>57</v>
      </c>
      <c r="BC1" s="104">
        <v>1334021</v>
      </c>
      <c r="BD1" s="105"/>
      <c r="BE1" s="104">
        <v>63265094</v>
      </c>
      <c r="BF1" s="105"/>
      <c r="BG1" s="104" t="s">
        <v>128</v>
      </c>
      <c r="BH1" s="105"/>
    </row>
    <row r="2" spans="2:60" x14ac:dyDescent="0.25">
      <c r="B2" s="24" t="s">
        <v>80</v>
      </c>
      <c r="C2" s="22" t="s">
        <v>129</v>
      </c>
      <c r="D2" s="23"/>
      <c r="E2" s="24" t="s">
        <v>112</v>
      </c>
      <c r="F2" s="22" t="s">
        <v>130</v>
      </c>
      <c r="G2" s="23"/>
      <c r="H2" s="24" t="s">
        <v>112</v>
      </c>
      <c r="I2" s="22"/>
      <c r="J2" s="23"/>
      <c r="K2" s="25"/>
      <c r="L2" s="22" t="s">
        <v>131</v>
      </c>
      <c r="M2" s="23"/>
      <c r="N2" s="25"/>
      <c r="O2" s="102" t="s">
        <v>132</v>
      </c>
      <c r="P2" s="103"/>
      <c r="Q2" s="24" t="s">
        <v>112</v>
      </c>
      <c r="R2" s="16"/>
      <c r="S2" s="22" t="s">
        <v>132</v>
      </c>
      <c r="T2" s="23" t="s">
        <v>133</v>
      </c>
      <c r="U2" s="25"/>
      <c r="V2" s="22" t="s">
        <v>132</v>
      </c>
      <c r="W2" s="23" t="s">
        <v>133</v>
      </c>
      <c r="X2" s="25"/>
      <c r="Z2" s="14"/>
      <c r="AA2" s="100" t="s">
        <v>134</v>
      </c>
      <c r="AB2" s="101"/>
      <c r="AC2" s="100" t="s">
        <v>135</v>
      </c>
      <c r="AD2" s="101"/>
      <c r="AE2" s="100" t="s">
        <v>217</v>
      </c>
      <c r="AF2" s="101"/>
      <c r="AG2" s="100" t="s">
        <v>136</v>
      </c>
      <c r="AH2" s="101"/>
      <c r="AI2" s="100" t="s">
        <v>137</v>
      </c>
      <c r="AJ2" s="101"/>
      <c r="AK2" s="100" t="s">
        <v>138</v>
      </c>
      <c r="AL2" s="101"/>
      <c r="AM2" s="100" t="s">
        <v>139</v>
      </c>
      <c r="AN2" s="101"/>
      <c r="AO2" s="100" t="s">
        <v>140</v>
      </c>
      <c r="AP2" s="101"/>
      <c r="AQ2" s="100" t="s">
        <v>141</v>
      </c>
      <c r="AR2" s="101"/>
      <c r="AS2" s="14"/>
      <c r="AU2" s="22">
        <v>46801014</v>
      </c>
      <c r="AV2" s="25"/>
      <c r="AW2" s="14"/>
      <c r="AX2" s="22"/>
      <c r="AY2" s="24" t="s">
        <v>112</v>
      </c>
      <c r="AZ2" s="22" t="s">
        <v>142</v>
      </c>
      <c r="BA2" s="24" t="s">
        <v>112</v>
      </c>
      <c r="BB2" s="24" t="s">
        <v>112</v>
      </c>
      <c r="BC2" s="22"/>
      <c r="BD2" s="24" t="s">
        <v>112</v>
      </c>
      <c r="BE2" s="22"/>
      <c r="BF2" s="24" t="s">
        <v>112</v>
      </c>
      <c r="BG2" s="22"/>
      <c r="BH2" s="24" t="s">
        <v>112</v>
      </c>
    </row>
    <row r="3" spans="2:60" x14ac:dyDescent="0.25">
      <c r="B3" s="19"/>
      <c r="C3" s="100" t="s">
        <v>143</v>
      </c>
      <c r="D3" s="101"/>
      <c r="E3" s="18" t="s">
        <v>144</v>
      </c>
      <c r="F3" s="100" t="s">
        <v>145</v>
      </c>
      <c r="G3" s="101"/>
      <c r="H3" s="18" t="s">
        <v>144</v>
      </c>
      <c r="I3" s="100" t="s">
        <v>146</v>
      </c>
      <c r="J3" s="101"/>
      <c r="K3" s="18"/>
      <c r="L3" s="100" t="s">
        <v>147</v>
      </c>
      <c r="M3" s="101"/>
      <c r="N3" s="18"/>
      <c r="O3" s="100" t="s">
        <v>148</v>
      </c>
      <c r="P3" s="101"/>
      <c r="Q3" s="18" t="s">
        <v>144</v>
      </c>
      <c r="R3" s="27"/>
      <c r="S3" s="100" t="s">
        <v>149</v>
      </c>
      <c r="T3" s="101"/>
      <c r="U3" s="19"/>
      <c r="V3" s="100" t="s">
        <v>149</v>
      </c>
      <c r="W3" s="101"/>
      <c r="X3" s="19"/>
      <c r="Z3" s="14"/>
      <c r="AA3" s="82" t="s">
        <v>150</v>
      </c>
      <c r="AB3" s="82" t="s">
        <v>151</v>
      </c>
      <c r="AC3" s="82" t="s">
        <v>150</v>
      </c>
      <c r="AD3" s="82" t="s">
        <v>151</v>
      </c>
      <c r="AE3" s="82" t="s">
        <v>150</v>
      </c>
      <c r="AF3" s="82" t="s">
        <v>151</v>
      </c>
      <c r="AG3" s="82" t="s">
        <v>150</v>
      </c>
      <c r="AH3" s="82" t="s">
        <v>151</v>
      </c>
      <c r="AI3" s="82" t="s">
        <v>150</v>
      </c>
      <c r="AJ3" s="82" t="s">
        <v>151</v>
      </c>
      <c r="AK3" s="82" t="s">
        <v>150</v>
      </c>
      <c r="AL3" s="82" t="s">
        <v>151</v>
      </c>
      <c r="AM3" s="82" t="s">
        <v>150</v>
      </c>
      <c r="AN3" s="82" t="s">
        <v>151</v>
      </c>
      <c r="AO3" s="82" t="s">
        <v>150</v>
      </c>
      <c r="AP3" s="82" t="s">
        <v>151</v>
      </c>
      <c r="AQ3" s="82" t="s">
        <v>150</v>
      </c>
      <c r="AR3" s="82" t="s">
        <v>151</v>
      </c>
      <c r="AS3" s="14"/>
      <c r="AU3" s="81" t="s">
        <v>152</v>
      </c>
      <c r="AV3" s="19"/>
      <c r="AW3" s="14"/>
      <c r="AX3" s="81" t="s">
        <v>153</v>
      </c>
      <c r="AY3" s="18" t="s">
        <v>144</v>
      </c>
      <c r="AZ3" s="81" t="s">
        <v>153</v>
      </c>
      <c r="BA3" s="18" t="s">
        <v>144</v>
      </c>
      <c r="BB3" s="18" t="s">
        <v>144</v>
      </c>
      <c r="BC3" s="81" t="s">
        <v>153</v>
      </c>
      <c r="BD3" s="18" t="s">
        <v>144</v>
      </c>
      <c r="BE3" s="81" t="s">
        <v>153</v>
      </c>
      <c r="BF3" s="18" t="s">
        <v>144</v>
      </c>
      <c r="BG3" s="81" t="s">
        <v>153</v>
      </c>
      <c r="BH3" s="18" t="s">
        <v>144</v>
      </c>
    </row>
    <row r="4" spans="2:60" s="71" customFormat="1" x14ac:dyDescent="0.25">
      <c r="B4" s="37">
        <v>44927</v>
      </c>
      <c r="C4" s="95">
        <v>53887013</v>
      </c>
      <c r="D4" s="95"/>
      <c r="E4" s="28" t="s">
        <v>216</v>
      </c>
      <c r="F4" s="95">
        <v>6375105</v>
      </c>
      <c r="G4" s="95"/>
      <c r="H4" s="28" t="s">
        <v>216</v>
      </c>
      <c r="I4" s="95">
        <v>20002</v>
      </c>
      <c r="J4" s="95"/>
      <c r="K4" s="28" t="s">
        <v>216</v>
      </c>
      <c r="L4" s="95">
        <v>395179</v>
      </c>
      <c r="M4" s="95"/>
      <c r="N4" s="28" t="s">
        <v>216</v>
      </c>
      <c r="O4" s="93">
        <v>732</v>
      </c>
      <c r="P4" s="94"/>
      <c r="Q4" s="28" t="s">
        <v>216</v>
      </c>
      <c r="R4" s="29"/>
      <c r="S4" s="93">
        <v>887631</v>
      </c>
      <c r="T4" s="94"/>
      <c r="U4" s="28" t="s">
        <v>216</v>
      </c>
      <c r="V4" s="95">
        <v>25984</v>
      </c>
      <c r="W4" s="95"/>
      <c r="X4" s="28" t="s">
        <v>216</v>
      </c>
      <c r="Y4" s="30" t="s">
        <v>216</v>
      </c>
      <c r="Z4" s="69"/>
      <c r="AA4" s="17">
        <v>38119</v>
      </c>
      <c r="AB4" s="28" t="s">
        <v>216</v>
      </c>
      <c r="AC4" s="17">
        <v>3299656</v>
      </c>
      <c r="AD4" s="28" t="s">
        <v>216</v>
      </c>
      <c r="AE4" s="17">
        <v>2088</v>
      </c>
      <c r="AF4" s="28" t="s">
        <v>216</v>
      </c>
      <c r="AG4" s="17">
        <v>136964</v>
      </c>
      <c r="AH4" s="28" t="s">
        <v>216</v>
      </c>
      <c r="AI4" s="17">
        <v>4060566</v>
      </c>
      <c r="AJ4" s="28" t="s">
        <v>216</v>
      </c>
      <c r="AK4" s="17">
        <v>5165274</v>
      </c>
      <c r="AL4" s="28" t="s">
        <v>216</v>
      </c>
      <c r="AM4" s="17">
        <v>29960</v>
      </c>
      <c r="AN4" s="28" t="s">
        <v>216</v>
      </c>
      <c r="AO4" s="17">
        <v>2107</v>
      </c>
      <c r="AP4" s="28" t="s">
        <v>216</v>
      </c>
      <c r="AQ4" s="17">
        <v>14270</v>
      </c>
      <c r="AR4" s="28" t="s">
        <v>216</v>
      </c>
      <c r="AS4" s="70"/>
      <c r="AT4" s="37">
        <f>B4</f>
        <v>44927</v>
      </c>
      <c r="AU4" s="17">
        <v>9759</v>
      </c>
      <c r="AV4" s="28" t="s">
        <v>216</v>
      </c>
      <c r="AW4" s="14"/>
      <c r="AX4" s="17">
        <v>4984149</v>
      </c>
      <c r="AY4" s="28" t="s">
        <v>216</v>
      </c>
      <c r="AZ4" s="17">
        <v>864883509</v>
      </c>
      <c r="BA4" s="31" t="s">
        <v>216</v>
      </c>
      <c r="BB4" s="28" t="s">
        <v>216</v>
      </c>
      <c r="BC4" s="17">
        <v>7351500</v>
      </c>
      <c r="BD4" s="80" t="s">
        <v>216</v>
      </c>
      <c r="BE4" s="44">
        <v>3809900</v>
      </c>
      <c r="BF4" s="45" t="s">
        <v>216</v>
      </c>
      <c r="BG4" s="17">
        <v>1133605</v>
      </c>
      <c r="BH4" s="28" t="s">
        <v>216</v>
      </c>
    </row>
    <row r="5" spans="2:60" x14ac:dyDescent="0.25">
      <c r="B5" s="37">
        <v>44928</v>
      </c>
      <c r="C5" s="95">
        <v>53887013</v>
      </c>
      <c r="D5" s="95"/>
      <c r="E5" s="28">
        <f t="shared" ref="E5:E13" si="0">SUM(C5-C4)*10</f>
        <v>0</v>
      </c>
      <c r="F5" s="95">
        <v>6375105</v>
      </c>
      <c r="G5" s="95"/>
      <c r="H5" s="28">
        <f t="shared" ref="H5:H13" si="1">SUM(F5-F4)*10</f>
        <v>0</v>
      </c>
      <c r="I5" s="95">
        <v>20002</v>
      </c>
      <c r="J5" s="95"/>
      <c r="K5" s="28">
        <f t="shared" ref="K5:K13" si="2">SUM(I5-I4)*10</f>
        <v>0</v>
      </c>
      <c r="L5" s="95">
        <v>395179</v>
      </c>
      <c r="M5" s="95"/>
      <c r="N5" s="28">
        <f t="shared" ref="N5:N13" si="3">SUM(L5-L4)*1000</f>
        <v>0</v>
      </c>
      <c r="O5" s="93">
        <v>732</v>
      </c>
      <c r="P5" s="94"/>
      <c r="Q5" s="28">
        <f t="shared" ref="Q5:Q13" si="4">SUM(O5-O4)*100</f>
        <v>0</v>
      </c>
      <c r="R5" s="29"/>
      <c r="S5" s="93">
        <v>887631</v>
      </c>
      <c r="T5" s="94"/>
      <c r="U5" s="28">
        <f t="shared" ref="U5:U13" si="5">SUM(S5-S4)*100</f>
        <v>0</v>
      </c>
      <c r="V5" s="95">
        <v>25984</v>
      </c>
      <c r="W5" s="95"/>
      <c r="X5" s="28">
        <f t="shared" ref="X5:X13" si="6">SUM(V5-V4)*100</f>
        <v>0</v>
      </c>
      <c r="Y5" s="30">
        <f t="shared" ref="Y5:Y13" si="7">SUM(U5+X5)</f>
        <v>0</v>
      </c>
      <c r="Z5" s="16"/>
      <c r="AA5" s="17">
        <v>38119</v>
      </c>
      <c r="AB5" s="28">
        <f t="shared" ref="AB5:AB13" si="8">SUM(AA5-AA4)*10000</f>
        <v>0</v>
      </c>
      <c r="AC5" s="17">
        <v>3299656</v>
      </c>
      <c r="AD5" s="28">
        <f t="shared" ref="AD5:AD13" si="9">SUM(AC5-AC4)*0.1</f>
        <v>0</v>
      </c>
      <c r="AE5" s="17">
        <v>2088</v>
      </c>
      <c r="AF5" s="28">
        <f t="shared" ref="AF5:AF13" si="10">SUM(AE5-AE4)*100</f>
        <v>0</v>
      </c>
      <c r="AG5" s="17">
        <v>136964</v>
      </c>
      <c r="AH5" s="28">
        <f t="shared" ref="AH5:AH13" si="11">SUM(AG5-AG4)*10</f>
        <v>0</v>
      </c>
      <c r="AI5" s="17">
        <v>4060566</v>
      </c>
      <c r="AJ5" s="28">
        <f t="shared" ref="AJ5:AJ13" si="12">SUM(AI5-AI4)*10</f>
        <v>0</v>
      </c>
      <c r="AK5" s="17">
        <v>5165274</v>
      </c>
      <c r="AL5" s="28">
        <f t="shared" ref="AL5:AL13" si="13">SUM(AK5-AK4)</f>
        <v>0</v>
      </c>
      <c r="AM5" s="17">
        <v>29960</v>
      </c>
      <c r="AN5" s="28">
        <f t="shared" ref="AN5:AN13" si="14">SUM(AM5-AM4)*1000</f>
        <v>0</v>
      </c>
      <c r="AO5" s="17">
        <v>2107</v>
      </c>
      <c r="AP5" s="28">
        <f t="shared" ref="AP5:AP13" si="15">SUM(AO5-AO4)</f>
        <v>0</v>
      </c>
      <c r="AQ5" s="17">
        <v>14270</v>
      </c>
      <c r="AR5" s="28">
        <f t="shared" ref="AR5:AR13" si="16">SUM(AQ5-AQ4)*100</f>
        <v>0</v>
      </c>
      <c r="AS5" s="14"/>
      <c r="AT5" s="37">
        <f>B5</f>
        <v>44928</v>
      </c>
      <c r="AU5" s="17">
        <v>9759</v>
      </c>
      <c r="AV5" s="28">
        <f t="shared" ref="AV5:AV13" si="17">SUM(AU5-AU4)</f>
        <v>0</v>
      </c>
      <c r="AW5" s="14"/>
      <c r="AX5" s="17">
        <v>4984149</v>
      </c>
      <c r="AY5" s="28">
        <f t="shared" ref="AY5:AY13" si="18">SUM(AX5-AX4)</f>
        <v>0</v>
      </c>
      <c r="AZ5" s="17">
        <v>864883509</v>
      </c>
      <c r="BA5" s="31">
        <f t="shared" ref="BA5:BA13" si="19">SUM(AZ5-AZ4)/100</f>
        <v>0</v>
      </c>
      <c r="BB5" s="28">
        <f t="shared" ref="BB5:BB13" si="20">SUM(AY5-BA5)</f>
        <v>0</v>
      </c>
      <c r="BC5" s="17">
        <v>7351500</v>
      </c>
      <c r="BD5" s="80">
        <f t="shared" ref="BD5:BD13" si="21">SUM(BC5-BC4)</f>
        <v>0</v>
      </c>
      <c r="BE5" s="44">
        <v>3809900</v>
      </c>
      <c r="BF5" s="45">
        <f t="shared" ref="BF5:BF13" si="22">SUM(BE5-BE4)</f>
        <v>0</v>
      </c>
      <c r="BG5" s="17">
        <v>1133605</v>
      </c>
      <c r="BH5" s="28">
        <f t="shared" ref="BH5:BH10" si="23">SUM(BG5-BG4)</f>
        <v>0</v>
      </c>
    </row>
    <row r="6" spans="2:60" x14ac:dyDescent="0.25">
      <c r="B6" s="37">
        <v>44935</v>
      </c>
      <c r="C6" s="95">
        <v>54026129</v>
      </c>
      <c r="D6" s="95"/>
      <c r="E6" s="28">
        <f t="shared" si="0"/>
        <v>1391160</v>
      </c>
      <c r="F6" s="95">
        <v>6385774</v>
      </c>
      <c r="G6" s="95"/>
      <c r="H6" s="28">
        <f t="shared" si="1"/>
        <v>106690</v>
      </c>
      <c r="I6" s="95">
        <v>20047</v>
      </c>
      <c r="J6" s="95"/>
      <c r="K6" s="28">
        <f t="shared" si="2"/>
        <v>450</v>
      </c>
      <c r="L6" s="95">
        <v>396261</v>
      </c>
      <c r="M6" s="95"/>
      <c r="N6" s="28">
        <f t="shared" si="3"/>
        <v>1082000</v>
      </c>
      <c r="O6" s="93">
        <v>1034</v>
      </c>
      <c r="P6" s="94"/>
      <c r="Q6" s="28">
        <f t="shared" si="4"/>
        <v>30200</v>
      </c>
      <c r="R6" s="29"/>
      <c r="S6" s="93">
        <v>887631</v>
      </c>
      <c r="T6" s="94"/>
      <c r="U6" s="28">
        <f t="shared" si="5"/>
        <v>0</v>
      </c>
      <c r="V6" s="95">
        <v>27419</v>
      </c>
      <c r="W6" s="95"/>
      <c r="X6" s="28">
        <f t="shared" si="6"/>
        <v>143500</v>
      </c>
      <c r="Y6" s="30">
        <f t="shared" si="7"/>
        <v>143500</v>
      </c>
      <c r="Z6" s="16"/>
      <c r="AA6" s="17">
        <v>38301</v>
      </c>
      <c r="AB6" s="28">
        <f t="shared" si="8"/>
        <v>1820000</v>
      </c>
      <c r="AC6" s="17">
        <v>7830473</v>
      </c>
      <c r="AD6" s="28">
        <f t="shared" si="9"/>
        <v>453081.7</v>
      </c>
      <c r="AE6" s="17">
        <v>2104</v>
      </c>
      <c r="AF6" s="28">
        <f t="shared" si="10"/>
        <v>1600</v>
      </c>
      <c r="AG6" s="17">
        <v>137504</v>
      </c>
      <c r="AH6" s="28">
        <f t="shared" si="11"/>
        <v>5400</v>
      </c>
      <c r="AI6" s="17">
        <v>4067326</v>
      </c>
      <c r="AJ6" s="28">
        <f t="shared" si="12"/>
        <v>67600</v>
      </c>
      <c r="AK6" s="17">
        <v>5184262</v>
      </c>
      <c r="AL6" s="28">
        <f t="shared" si="13"/>
        <v>18988</v>
      </c>
      <c r="AM6" s="17">
        <v>30098</v>
      </c>
      <c r="AN6" s="28">
        <f t="shared" si="14"/>
        <v>138000</v>
      </c>
      <c r="AO6" s="17">
        <v>2125</v>
      </c>
      <c r="AP6" s="28">
        <f t="shared" si="15"/>
        <v>18</v>
      </c>
      <c r="AQ6" s="17">
        <v>14293</v>
      </c>
      <c r="AR6" s="28">
        <f t="shared" si="16"/>
        <v>2300</v>
      </c>
      <c r="AS6" s="14"/>
      <c r="AT6" s="37">
        <f t="shared" ref="AT6:AT64" si="24">B6</f>
        <v>44935</v>
      </c>
      <c r="AU6" s="17">
        <v>9886</v>
      </c>
      <c r="AV6" s="28">
        <f t="shared" si="17"/>
        <v>127</v>
      </c>
      <c r="AW6" s="14"/>
      <c r="AX6" s="17">
        <v>5045094</v>
      </c>
      <c r="AY6" s="28">
        <f t="shared" si="18"/>
        <v>60945</v>
      </c>
      <c r="AZ6" s="17">
        <v>869160158</v>
      </c>
      <c r="BA6" s="31">
        <f t="shared" si="19"/>
        <v>42766.49</v>
      </c>
      <c r="BB6" s="28">
        <f t="shared" si="20"/>
        <v>18178.510000000002</v>
      </c>
      <c r="BC6" s="17">
        <v>7355300</v>
      </c>
      <c r="BD6" s="80">
        <f t="shared" si="21"/>
        <v>3800</v>
      </c>
      <c r="BE6" s="44">
        <v>3810100</v>
      </c>
      <c r="BF6" s="45">
        <f t="shared" si="22"/>
        <v>200</v>
      </c>
      <c r="BG6" s="17">
        <v>0</v>
      </c>
      <c r="BH6" s="28">
        <v>0</v>
      </c>
    </row>
    <row r="7" spans="2:60" x14ac:dyDescent="0.25">
      <c r="B7" s="37">
        <v>44942</v>
      </c>
      <c r="C7" s="95">
        <v>54145691</v>
      </c>
      <c r="D7" s="95"/>
      <c r="E7" s="28">
        <f t="shared" si="0"/>
        <v>1195620</v>
      </c>
      <c r="F7" s="95">
        <v>6386860</v>
      </c>
      <c r="G7" s="95"/>
      <c r="H7" s="28">
        <f t="shared" si="1"/>
        <v>10860</v>
      </c>
      <c r="I7" s="95">
        <v>20085</v>
      </c>
      <c r="J7" s="95"/>
      <c r="K7" s="28">
        <f t="shared" si="2"/>
        <v>380</v>
      </c>
      <c r="L7" s="95">
        <v>397159</v>
      </c>
      <c r="M7" s="95"/>
      <c r="N7" s="28">
        <f t="shared" si="3"/>
        <v>898000</v>
      </c>
      <c r="O7" s="93">
        <v>1299</v>
      </c>
      <c r="P7" s="94"/>
      <c r="Q7" s="28">
        <f t="shared" si="4"/>
        <v>26500</v>
      </c>
      <c r="R7" s="29"/>
      <c r="S7" s="93">
        <v>887631</v>
      </c>
      <c r="T7" s="94"/>
      <c r="U7" s="28">
        <f t="shared" si="5"/>
        <v>0</v>
      </c>
      <c r="V7" s="95">
        <v>29378</v>
      </c>
      <c r="W7" s="95"/>
      <c r="X7" s="28">
        <f t="shared" si="6"/>
        <v>195900</v>
      </c>
      <c r="Y7" s="30">
        <f t="shared" si="7"/>
        <v>195900</v>
      </c>
      <c r="Z7" s="16"/>
      <c r="AA7" s="17">
        <v>38386</v>
      </c>
      <c r="AB7" s="28">
        <f t="shared" si="8"/>
        <v>850000</v>
      </c>
      <c r="AC7" s="17">
        <v>9991102</v>
      </c>
      <c r="AD7" s="28">
        <f t="shared" si="9"/>
        <v>216062.90000000002</v>
      </c>
      <c r="AE7" s="17">
        <v>2118</v>
      </c>
      <c r="AF7" s="28">
        <f t="shared" si="10"/>
        <v>1400</v>
      </c>
      <c r="AG7" s="17">
        <v>137595</v>
      </c>
      <c r="AH7" s="28">
        <f t="shared" si="11"/>
        <v>910</v>
      </c>
      <c r="AI7" s="17">
        <v>4073707</v>
      </c>
      <c r="AJ7" s="28">
        <f t="shared" si="12"/>
        <v>63810</v>
      </c>
      <c r="AK7" s="17">
        <v>5201211</v>
      </c>
      <c r="AL7" s="28">
        <f t="shared" si="13"/>
        <v>16949</v>
      </c>
      <c r="AM7" s="17">
        <v>30224</v>
      </c>
      <c r="AN7" s="28">
        <f t="shared" si="14"/>
        <v>126000</v>
      </c>
      <c r="AO7" s="17">
        <v>2142</v>
      </c>
      <c r="AP7" s="28">
        <f t="shared" si="15"/>
        <v>17</v>
      </c>
      <c r="AQ7" s="17">
        <v>14316</v>
      </c>
      <c r="AR7" s="28">
        <f t="shared" si="16"/>
        <v>2300</v>
      </c>
      <c r="AS7" s="14"/>
      <c r="AT7" s="37">
        <f t="shared" si="24"/>
        <v>44942</v>
      </c>
      <c r="AU7" s="17">
        <v>19</v>
      </c>
      <c r="AV7" s="28">
        <v>133</v>
      </c>
      <c r="AW7" s="14"/>
      <c r="AX7" s="17">
        <v>5116217</v>
      </c>
      <c r="AY7" s="28">
        <f t="shared" si="18"/>
        <v>71123</v>
      </c>
      <c r="AZ7" s="17">
        <v>874742733</v>
      </c>
      <c r="BA7" s="31">
        <f t="shared" si="19"/>
        <v>55825.75</v>
      </c>
      <c r="BB7" s="28">
        <f t="shared" si="20"/>
        <v>15297.25</v>
      </c>
      <c r="BC7" s="17">
        <v>7359500</v>
      </c>
      <c r="BD7" s="80">
        <f t="shared" si="21"/>
        <v>4200</v>
      </c>
      <c r="BE7" s="44">
        <v>3810400</v>
      </c>
      <c r="BF7" s="45">
        <f t="shared" si="22"/>
        <v>300</v>
      </c>
      <c r="BG7" s="17">
        <v>199467</v>
      </c>
      <c r="BH7" s="28">
        <f t="shared" si="23"/>
        <v>199467</v>
      </c>
    </row>
    <row r="8" spans="2:60" x14ac:dyDescent="0.25">
      <c r="B8" s="37">
        <v>44949</v>
      </c>
      <c r="C8" s="95">
        <v>54276249</v>
      </c>
      <c r="D8" s="95"/>
      <c r="E8" s="28">
        <f t="shared" si="0"/>
        <v>1305580</v>
      </c>
      <c r="F8" s="95">
        <v>6396530</v>
      </c>
      <c r="G8" s="95"/>
      <c r="H8" s="28">
        <f t="shared" si="1"/>
        <v>96700</v>
      </c>
      <c r="I8" s="95">
        <v>20141</v>
      </c>
      <c r="J8" s="95"/>
      <c r="K8" s="28">
        <f t="shared" si="2"/>
        <v>560</v>
      </c>
      <c r="L8" s="95">
        <v>398188</v>
      </c>
      <c r="M8" s="95"/>
      <c r="N8" s="28">
        <f t="shared" si="3"/>
        <v>1029000</v>
      </c>
      <c r="O8" s="93">
        <v>1627</v>
      </c>
      <c r="P8" s="94"/>
      <c r="Q8" s="28">
        <f t="shared" si="4"/>
        <v>32800</v>
      </c>
      <c r="R8" s="29"/>
      <c r="S8" s="93">
        <v>887631</v>
      </c>
      <c r="T8" s="94"/>
      <c r="U8" s="28">
        <f t="shared" si="5"/>
        <v>0</v>
      </c>
      <c r="V8" s="95">
        <v>30952</v>
      </c>
      <c r="W8" s="95"/>
      <c r="X8" s="28">
        <f t="shared" si="6"/>
        <v>157400</v>
      </c>
      <c r="Y8" s="30">
        <f t="shared" si="7"/>
        <v>157400</v>
      </c>
      <c r="Z8" s="16"/>
      <c r="AA8" s="17">
        <v>38525</v>
      </c>
      <c r="AB8" s="28">
        <f t="shared" si="8"/>
        <v>1390000</v>
      </c>
      <c r="AC8" s="17">
        <v>13549800</v>
      </c>
      <c r="AD8" s="28">
        <f t="shared" si="9"/>
        <v>355869.80000000005</v>
      </c>
      <c r="AE8" s="17">
        <v>2125</v>
      </c>
      <c r="AF8" s="28">
        <f t="shared" si="10"/>
        <v>700</v>
      </c>
      <c r="AG8" s="17">
        <v>137615</v>
      </c>
      <c r="AH8" s="28">
        <f t="shared" si="11"/>
        <v>200</v>
      </c>
      <c r="AI8" s="17">
        <v>4077473</v>
      </c>
      <c r="AJ8" s="28">
        <f t="shared" si="12"/>
        <v>37660</v>
      </c>
      <c r="AK8" s="17">
        <v>5221909</v>
      </c>
      <c r="AL8" s="28">
        <f t="shared" si="13"/>
        <v>20698</v>
      </c>
      <c r="AM8" s="17">
        <v>30359</v>
      </c>
      <c r="AN8" s="28">
        <f t="shared" si="14"/>
        <v>135000</v>
      </c>
      <c r="AO8" s="17">
        <v>2157</v>
      </c>
      <c r="AP8" s="28">
        <f t="shared" si="15"/>
        <v>15</v>
      </c>
      <c r="AQ8" s="17">
        <v>14357</v>
      </c>
      <c r="AR8" s="28">
        <f t="shared" si="16"/>
        <v>4100</v>
      </c>
      <c r="AS8" s="14"/>
      <c r="AT8" s="37">
        <f t="shared" si="24"/>
        <v>44949</v>
      </c>
      <c r="AU8" s="17">
        <v>160</v>
      </c>
      <c r="AV8" s="28">
        <f t="shared" si="17"/>
        <v>141</v>
      </c>
      <c r="AW8" s="14"/>
      <c r="AX8" s="17">
        <v>5171717</v>
      </c>
      <c r="AY8" s="28">
        <f t="shared" si="18"/>
        <v>55500</v>
      </c>
      <c r="AZ8" s="17">
        <v>878729900</v>
      </c>
      <c r="BA8" s="31">
        <f t="shared" si="19"/>
        <v>39871.67</v>
      </c>
      <c r="BB8" s="28">
        <f t="shared" si="20"/>
        <v>15628.330000000002</v>
      </c>
      <c r="BC8" s="17">
        <v>7363600</v>
      </c>
      <c r="BD8" s="80">
        <f t="shared" si="21"/>
        <v>4100</v>
      </c>
      <c r="BE8" s="44">
        <v>3811000</v>
      </c>
      <c r="BF8" s="45">
        <f t="shared" si="22"/>
        <v>600</v>
      </c>
      <c r="BG8" s="17">
        <v>1639315</v>
      </c>
      <c r="BH8" s="28">
        <f t="shared" si="23"/>
        <v>1439848</v>
      </c>
    </row>
    <row r="9" spans="2:60" x14ac:dyDescent="0.25">
      <c r="B9" s="37">
        <v>44956</v>
      </c>
      <c r="C9" s="95">
        <v>54395506</v>
      </c>
      <c r="D9" s="95"/>
      <c r="E9" s="28">
        <f t="shared" si="0"/>
        <v>1192570</v>
      </c>
      <c r="F9" s="95">
        <v>6406780</v>
      </c>
      <c r="G9" s="95"/>
      <c r="H9" s="28">
        <f t="shared" si="1"/>
        <v>102500</v>
      </c>
      <c r="I9" s="95">
        <v>20164</v>
      </c>
      <c r="J9" s="95"/>
      <c r="K9" s="28">
        <f t="shared" si="2"/>
        <v>230</v>
      </c>
      <c r="L9" s="95">
        <v>399098</v>
      </c>
      <c r="M9" s="95"/>
      <c r="N9" s="28">
        <f t="shared" si="3"/>
        <v>910000</v>
      </c>
      <c r="O9" s="93">
        <v>1897</v>
      </c>
      <c r="P9" s="94"/>
      <c r="Q9" s="28">
        <f t="shared" si="4"/>
        <v>27000</v>
      </c>
      <c r="R9" s="29"/>
      <c r="S9" s="93">
        <v>887631</v>
      </c>
      <c r="T9" s="94"/>
      <c r="U9" s="28">
        <f t="shared" si="5"/>
        <v>0</v>
      </c>
      <c r="V9" s="95">
        <v>32644</v>
      </c>
      <c r="W9" s="95"/>
      <c r="X9" s="28">
        <f t="shared" si="6"/>
        <v>169200</v>
      </c>
      <c r="Y9" s="30">
        <f t="shared" si="7"/>
        <v>169200</v>
      </c>
      <c r="Z9" s="16"/>
      <c r="AA9" s="17">
        <v>38656</v>
      </c>
      <c r="AB9" s="28">
        <f t="shared" si="8"/>
        <v>1310000</v>
      </c>
      <c r="AC9" s="17">
        <v>16892300</v>
      </c>
      <c r="AD9" s="28">
        <f t="shared" si="9"/>
        <v>334250</v>
      </c>
      <c r="AE9" s="17">
        <v>2129</v>
      </c>
      <c r="AF9" s="28">
        <f t="shared" si="10"/>
        <v>400</v>
      </c>
      <c r="AG9" s="17">
        <v>137656</v>
      </c>
      <c r="AH9" s="28">
        <f t="shared" si="11"/>
        <v>410</v>
      </c>
      <c r="AI9" s="17">
        <v>4081792</v>
      </c>
      <c r="AJ9" s="28">
        <f t="shared" si="12"/>
        <v>43190</v>
      </c>
      <c r="AK9" s="17">
        <v>5236324</v>
      </c>
      <c r="AL9" s="28">
        <f t="shared" si="13"/>
        <v>14415</v>
      </c>
      <c r="AM9" s="17">
        <v>30495</v>
      </c>
      <c r="AN9" s="28">
        <f t="shared" si="14"/>
        <v>136000</v>
      </c>
      <c r="AO9" s="17">
        <v>2170</v>
      </c>
      <c r="AP9" s="28">
        <f t="shared" si="15"/>
        <v>13</v>
      </c>
      <c r="AQ9" s="17">
        <v>14406</v>
      </c>
      <c r="AR9" s="28">
        <f t="shared" si="16"/>
        <v>4900</v>
      </c>
      <c r="AS9" s="14"/>
      <c r="AT9" s="37">
        <f t="shared" si="24"/>
        <v>44956</v>
      </c>
      <c r="AU9" s="17">
        <v>303</v>
      </c>
      <c r="AV9" s="28">
        <f t="shared" si="17"/>
        <v>143</v>
      </c>
      <c r="AW9" s="14"/>
      <c r="AX9" s="17">
        <v>5229042</v>
      </c>
      <c r="AY9" s="28">
        <f t="shared" si="18"/>
        <v>57325</v>
      </c>
      <c r="AZ9" s="17">
        <v>882722030</v>
      </c>
      <c r="BA9" s="31">
        <f t="shared" si="19"/>
        <v>39921.300000000003</v>
      </c>
      <c r="BB9" s="28">
        <f t="shared" si="20"/>
        <v>17403.699999999997</v>
      </c>
      <c r="BC9" s="17">
        <v>7366000</v>
      </c>
      <c r="BD9" s="80">
        <f t="shared" si="21"/>
        <v>2400</v>
      </c>
      <c r="BE9" s="44">
        <v>3811400</v>
      </c>
      <c r="BF9" s="45">
        <f t="shared" si="22"/>
        <v>400</v>
      </c>
      <c r="BG9" s="17">
        <v>3220681</v>
      </c>
      <c r="BH9" s="28">
        <f t="shared" si="23"/>
        <v>1581366</v>
      </c>
    </row>
    <row r="10" spans="2:60" x14ac:dyDescent="0.25">
      <c r="B10" s="37">
        <v>44957</v>
      </c>
      <c r="C10" s="95">
        <v>54411507</v>
      </c>
      <c r="D10" s="95"/>
      <c r="E10" s="28">
        <f t="shared" si="0"/>
        <v>160010</v>
      </c>
      <c r="F10" s="95">
        <v>6406813</v>
      </c>
      <c r="G10" s="95"/>
      <c r="H10" s="28">
        <f t="shared" si="1"/>
        <v>330</v>
      </c>
      <c r="I10" s="95">
        <v>20187</v>
      </c>
      <c r="J10" s="95"/>
      <c r="K10" s="28">
        <f t="shared" si="2"/>
        <v>230</v>
      </c>
      <c r="L10" s="95">
        <v>399218</v>
      </c>
      <c r="M10" s="95"/>
      <c r="N10" s="28">
        <f t="shared" si="3"/>
        <v>120000</v>
      </c>
      <c r="O10" s="93">
        <v>1934</v>
      </c>
      <c r="P10" s="94"/>
      <c r="Q10" s="28">
        <f t="shared" si="4"/>
        <v>3700</v>
      </c>
      <c r="R10" s="29"/>
      <c r="S10" s="93">
        <v>887631</v>
      </c>
      <c r="T10" s="94"/>
      <c r="U10" s="28">
        <f t="shared" si="5"/>
        <v>0</v>
      </c>
      <c r="V10" s="95">
        <v>32761</v>
      </c>
      <c r="W10" s="95"/>
      <c r="X10" s="28">
        <f t="shared" si="6"/>
        <v>11700</v>
      </c>
      <c r="Y10" s="30">
        <f t="shared" si="7"/>
        <v>11700</v>
      </c>
      <c r="Z10" s="16"/>
      <c r="AA10" s="17">
        <v>38692</v>
      </c>
      <c r="AB10" s="28">
        <f t="shared" si="8"/>
        <v>360000</v>
      </c>
      <c r="AC10" s="17">
        <v>17790600</v>
      </c>
      <c r="AD10" s="28">
        <f t="shared" si="9"/>
        <v>89830</v>
      </c>
      <c r="AE10" s="17">
        <v>2130</v>
      </c>
      <c r="AF10" s="28">
        <f t="shared" si="10"/>
        <v>100</v>
      </c>
      <c r="AG10" s="17">
        <v>137665</v>
      </c>
      <c r="AH10" s="28">
        <f t="shared" si="11"/>
        <v>90</v>
      </c>
      <c r="AI10" s="17">
        <v>4082365</v>
      </c>
      <c r="AJ10" s="28">
        <f t="shared" si="12"/>
        <v>5730</v>
      </c>
      <c r="AK10" s="17">
        <v>5236324</v>
      </c>
      <c r="AL10" s="28">
        <f t="shared" si="13"/>
        <v>0</v>
      </c>
      <c r="AM10" s="17">
        <v>30508</v>
      </c>
      <c r="AN10" s="28">
        <f t="shared" si="14"/>
        <v>13000</v>
      </c>
      <c r="AO10" s="17">
        <v>2170</v>
      </c>
      <c r="AP10" s="28">
        <f t="shared" si="15"/>
        <v>0</v>
      </c>
      <c r="AQ10" s="17">
        <v>14410</v>
      </c>
      <c r="AR10" s="28">
        <f t="shared" si="16"/>
        <v>400</v>
      </c>
      <c r="AS10" s="14"/>
      <c r="AT10" s="37">
        <f t="shared" si="24"/>
        <v>44957</v>
      </c>
      <c r="AU10" s="17">
        <v>327</v>
      </c>
      <c r="AV10" s="28">
        <f t="shared" si="17"/>
        <v>24</v>
      </c>
      <c r="AW10" s="14"/>
      <c r="AX10" s="17">
        <v>5237134</v>
      </c>
      <c r="AY10" s="28">
        <f t="shared" si="18"/>
        <v>8092</v>
      </c>
      <c r="AZ10" s="17">
        <v>883292321</v>
      </c>
      <c r="BA10" s="31">
        <f t="shared" si="19"/>
        <v>5702.91</v>
      </c>
      <c r="BB10" s="28">
        <f t="shared" si="20"/>
        <v>2389.09</v>
      </c>
      <c r="BC10" s="17">
        <v>7367700</v>
      </c>
      <c r="BD10" s="80">
        <f t="shared" si="21"/>
        <v>1700</v>
      </c>
      <c r="BE10" s="44">
        <v>3811700</v>
      </c>
      <c r="BF10" s="45">
        <f t="shared" si="22"/>
        <v>300</v>
      </c>
      <c r="BG10" s="17">
        <v>3641389</v>
      </c>
      <c r="BH10" s="28">
        <f t="shared" si="23"/>
        <v>420708</v>
      </c>
    </row>
    <row r="11" spans="2:60" x14ac:dyDescent="0.25">
      <c r="B11" s="37">
        <v>44963</v>
      </c>
      <c r="C11" s="95">
        <v>54510011</v>
      </c>
      <c r="D11" s="95"/>
      <c r="E11" s="28">
        <f t="shared" si="0"/>
        <v>985040</v>
      </c>
      <c r="F11" s="95">
        <v>6416552</v>
      </c>
      <c r="G11" s="95"/>
      <c r="H11" s="28">
        <f t="shared" si="1"/>
        <v>97390</v>
      </c>
      <c r="I11" s="95">
        <v>20228</v>
      </c>
      <c r="J11" s="95"/>
      <c r="K11" s="28">
        <f t="shared" si="2"/>
        <v>410</v>
      </c>
      <c r="L11" s="95">
        <v>399987</v>
      </c>
      <c r="M11" s="95"/>
      <c r="N11" s="28">
        <f t="shared" si="3"/>
        <v>769000</v>
      </c>
      <c r="O11" s="93">
        <v>2152</v>
      </c>
      <c r="P11" s="94"/>
      <c r="Q11" s="28">
        <f t="shared" si="4"/>
        <v>21800</v>
      </c>
      <c r="R11" s="29"/>
      <c r="S11" s="93">
        <v>887631</v>
      </c>
      <c r="T11" s="94"/>
      <c r="U11" s="28">
        <f t="shared" si="5"/>
        <v>0</v>
      </c>
      <c r="V11" s="95">
        <v>33777</v>
      </c>
      <c r="W11" s="95"/>
      <c r="X11" s="28">
        <f t="shared" si="6"/>
        <v>101600</v>
      </c>
      <c r="Y11" s="30">
        <f t="shared" si="7"/>
        <v>101600</v>
      </c>
      <c r="Z11" s="16"/>
      <c r="AA11" s="17">
        <v>38883</v>
      </c>
      <c r="AB11" s="28">
        <f t="shared" si="8"/>
        <v>1910000</v>
      </c>
      <c r="AC11" s="17">
        <v>21500200</v>
      </c>
      <c r="AD11" s="28">
        <f t="shared" si="9"/>
        <v>370960</v>
      </c>
      <c r="AE11" s="17">
        <v>2137</v>
      </c>
      <c r="AF11" s="28">
        <f t="shared" si="10"/>
        <v>700</v>
      </c>
      <c r="AG11" s="17">
        <v>137680</v>
      </c>
      <c r="AH11" s="28">
        <f t="shared" si="11"/>
        <v>150</v>
      </c>
      <c r="AI11" s="17">
        <v>4084734</v>
      </c>
      <c r="AJ11" s="28">
        <f t="shared" si="12"/>
        <v>23690</v>
      </c>
      <c r="AK11" s="17">
        <v>5247133</v>
      </c>
      <c r="AL11" s="28">
        <f t="shared" si="13"/>
        <v>10809</v>
      </c>
      <c r="AM11" s="17">
        <v>30623</v>
      </c>
      <c r="AN11" s="28">
        <f t="shared" si="14"/>
        <v>115000</v>
      </c>
      <c r="AO11" s="17">
        <v>2183</v>
      </c>
      <c r="AP11" s="28">
        <f t="shared" si="15"/>
        <v>13</v>
      </c>
      <c r="AQ11" s="17">
        <v>14440</v>
      </c>
      <c r="AR11" s="28">
        <f t="shared" si="16"/>
        <v>3000</v>
      </c>
      <c r="AS11" s="14"/>
      <c r="AT11" s="37">
        <f t="shared" si="24"/>
        <v>44963</v>
      </c>
      <c r="AU11" s="17">
        <v>439</v>
      </c>
      <c r="AV11" s="28">
        <f t="shared" si="17"/>
        <v>112</v>
      </c>
      <c r="AW11" s="14"/>
      <c r="AX11" s="17">
        <v>5284451</v>
      </c>
      <c r="AY11" s="28">
        <f t="shared" si="18"/>
        <v>47317</v>
      </c>
      <c r="AZ11" s="17">
        <v>886734675</v>
      </c>
      <c r="BA11" s="31">
        <f t="shared" si="19"/>
        <v>34423.54</v>
      </c>
      <c r="BB11" s="28">
        <f t="shared" si="20"/>
        <v>12893.46</v>
      </c>
      <c r="BC11" s="17">
        <v>7369800</v>
      </c>
      <c r="BD11" s="80">
        <f t="shared" si="21"/>
        <v>2100</v>
      </c>
      <c r="BE11" s="44">
        <v>3812000</v>
      </c>
      <c r="BF11" s="45">
        <f t="shared" si="22"/>
        <v>300</v>
      </c>
      <c r="BG11" s="17">
        <v>4281163</v>
      </c>
      <c r="BH11" s="28">
        <f>SUM(BG11-BG10)</f>
        <v>639774</v>
      </c>
    </row>
    <row r="12" spans="2:60" x14ac:dyDescent="0.25">
      <c r="B12" s="37">
        <v>44970</v>
      </c>
      <c r="C12" s="95">
        <v>54643815</v>
      </c>
      <c r="D12" s="95"/>
      <c r="E12" s="28">
        <f t="shared" si="0"/>
        <v>1338040</v>
      </c>
      <c r="F12" s="95">
        <v>6425866</v>
      </c>
      <c r="G12" s="95"/>
      <c r="H12" s="28">
        <f t="shared" si="1"/>
        <v>93140</v>
      </c>
      <c r="I12" s="95">
        <v>20313</v>
      </c>
      <c r="J12" s="95"/>
      <c r="K12" s="28">
        <f t="shared" si="2"/>
        <v>850</v>
      </c>
      <c r="L12" s="95">
        <v>401072</v>
      </c>
      <c r="M12" s="95"/>
      <c r="N12" s="28">
        <f t="shared" si="3"/>
        <v>1085000</v>
      </c>
      <c r="O12" s="93">
        <v>2438</v>
      </c>
      <c r="P12" s="94"/>
      <c r="Q12" s="28">
        <f t="shared" si="4"/>
        <v>28600</v>
      </c>
      <c r="R12" s="29"/>
      <c r="S12" s="93">
        <v>887631</v>
      </c>
      <c r="T12" s="94"/>
      <c r="U12" s="28">
        <f t="shared" si="5"/>
        <v>0</v>
      </c>
      <c r="V12" s="95">
        <v>35109</v>
      </c>
      <c r="W12" s="95"/>
      <c r="X12" s="28">
        <f t="shared" si="6"/>
        <v>133200</v>
      </c>
      <c r="Y12" s="30">
        <f t="shared" si="7"/>
        <v>133200</v>
      </c>
      <c r="Z12" s="16"/>
      <c r="AA12" s="17">
        <v>39015</v>
      </c>
      <c r="AB12" s="28">
        <f t="shared" si="8"/>
        <v>1320000</v>
      </c>
      <c r="AC12" s="17">
        <v>25909400</v>
      </c>
      <c r="AD12" s="28">
        <f t="shared" si="9"/>
        <v>440920</v>
      </c>
      <c r="AE12" s="17">
        <v>2139</v>
      </c>
      <c r="AF12" s="28">
        <f t="shared" si="10"/>
        <v>200</v>
      </c>
      <c r="AG12" s="17">
        <v>137699</v>
      </c>
      <c r="AH12" s="28">
        <f t="shared" si="11"/>
        <v>190</v>
      </c>
      <c r="AI12" s="17">
        <v>4086774</v>
      </c>
      <c r="AJ12" s="28">
        <f t="shared" si="12"/>
        <v>20400</v>
      </c>
      <c r="AK12" s="17">
        <v>5320974</v>
      </c>
      <c r="AL12" s="28">
        <f t="shared" si="13"/>
        <v>73841</v>
      </c>
      <c r="AM12" s="17">
        <v>30745</v>
      </c>
      <c r="AN12" s="28">
        <f t="shared" si="14"/>
        <v>122000</v>
      </c>
      <c r="AO12" s="17">
        <v>2266</v>
      </c>
      <c r="AP12" s="28">
        <f t="shared" si="15"/>
        <v>83</v>
      </c>
      <c r="AQ12" s="17">
        <v>14470</v>
      </c>
      <c r="AR12" s="28">
        <f t="shared" si="16"/>
        <v>3000</v>
      </c>
      <c r="AS12" s="14"/>
      <c r="AT12" s="37">
        <f t="shared" si="24"/>
        <v>44970</v>
      </c>
      <c r="AU12" s="17">
        <v>573</v>
      </c>
      <c r="AV12" s="28">
        <f t="shared" si="17"/>
        <v>134</v>
      </c>
      <c r="AW12" s="14"/>
      <c r="AX12" s="17">
        <v>5340645</v>
      </c>
      <c r="AY12" s="28">
        <f t="shared" si="18"/>
        <v>56194</v>
      </c>
      <c r="AZ12" s="17">
        <v>890730806</v>
      </c>
      <c r="BA12" s="31">
        <f t="shared" si="19"/>
        <v>39961.31</v>
      </c>
      <c r="BB12" s="28">
        <f t="shared" si="20"/>
        <v>16232.690000000002</v>
      </c>
      <c r="BC12" s="17">
        <v>7372400</v>
      </c>
      <c r="BD12" s="80">
        <f t="shared" si="21"/>
        <v>2600</v>
      </c>
      <c r="BE12" s="44">
        <v>3812500</v>
      </c>
      <c r="BF12" s="45">
        <f t="shared" si="22"/>
        <v>500</v>
      </c>
      <c r="BG12" s="17">
        <v>5796164</v>
      </c>
      <c r="BH12" s="28">
        <f t="shared" ref="BH12:BH13" si="25">SUM(BG12-BG11)</f>
        <v>1515001</v>
      </c>
    </row>
    <row r="13" spans="2:60" x14ac:dyDescent="0.25">
      <c r="B13" s="37">
        <v>44977</v>
      </c>
      <c r="C13" s="95">
        <v>54775153</v>
      </c>
      <c r="D13" s="95"/>
      <c r="E13" s="28">
        <f t="shared" si="0"/>
        <v>1313380</v>
      </c>
      <c r="F13" s="95">
        <v>6439194</v>
      </c>
      <c r="G13" s="95"/>
      <c r="H13" s="28">
        <f t="shared" si="1"/>
        <v>133280</v>
      </c>
      <c r="I13" s="95">
        <v>20358</v>
      </c>
      <c r="J13" s="95"/>
      <c r="K13" s="28">
        <f t="shared" si="2"/>
        <v>450</v>
      </c>
      <c r="L13" s="95">
        <v>402110</v>
      </c>
      <c r="M13" s="95"/>
      <c r="N13" s="28">
        <f t="shared" si="3"/>
        <v>1038000</v>
      </c>
      <c r="O13" s="93">
        <v>2717</v>
      </c>
      <c r="P13" s="94"/>
      <c r="Q13" s="28">
        <f t="shared" si="4"/>
        <v>27900</v>
      </c>
      <c r="R13" s="29"/>
      <c r="S13" s="93">
        <v>887631</v>
      </c>
      <c r="T13" s="94"/>
      <c r="U13" s="28">
        <f t="shared" si="5"/>
        <v>0</v>
      </c>
      <c r="V13" s="95">
        <v>36472</v>
      </c>
      <c r="W13" s="95"/>
      <c r="X13" s="28">
        <f t="shared" si="6"/>
        <v>136300</v>
      </c>
      <c r="Y13" s="30">
        <f t="shared" si="7"/>
        <v>136300</v>
      </c>
      <c r="Z13" s="16"/>
      <c r="AA13" s="17">
        <v>39174</v>
      </c>
      <c r="AB13" s="28">
        <f t="shared" si="8"/>
        <v>1590000</v>
      </c>
      <c r="AC13" s="17">
        <v>29667800</v>
      </c>
      <c r="AD13" s="28">
        <f t="shared" si="9"/>
        <v>375840</v>
      </c>
      <c r="AE13" s="17">
        <v>2139</v>
      </c>
      <c r="AF13" s="28">
        <f t="shared" si="10"/>
        <v>0</v>
      </c>
      <c r="AG13" s="17">
        <v>137722</v>
      </c>
      <c r="AH13" s="28">
        <f t="shared" si="11"/>
        <v>230</v>
      </c>
      <c r="AI13" s="17">
        <v>4089869</v>
      </c>
      <c r="AJ13" s="28">
        <f t="shared" si="12"/>
        <v>30950</v>
      </c>
      <c r="AK13" s="17">
        <v>5339743</v>
      </c>
      <c r="AL13" s="28">
        <f t="shared" si="13"/>
        <v>18769</v>
      </c>
      <c r="AM13" s="17">
        <v>30869</v>
      </c>
      <c r="AN13" s="28">
        <f t="shared" si="14"/>
        <v>124000</v>
      </c>
      <c r="AO13" s="17">
        <v>2283</v>
      </c>
      <c r="AP13" s="28">
        <f t="shared" si="15"/>
        <v>17</v>
      </c>
      <c r="AQ13" s="17">
        <v>14527</v>
      </c>
      <c r="AR13" s="28">
        <f t="shared" si="16"/>
        <v>5700</v>
      </c>
      <c r="AS13" s="14"/>
      <c r="AT13" s="37">
        <f t="shared" si="24"/>
        <v>44977</v>
      </c>
      <c r="AU13" s="17">
        <v>700</v>
      </c>
      <c r="AV13" s="28">
        <f t="shared" si="17"/>
        <v>127</v>
      </c>
      <c r="AW13" s="14"/>
      <c r="AX13" s="17">
        <v>5395473</v>
      </c>
      <c r="AY13" s="28">
        <f t="shared" si="18"/>
        <v>54828</v>
      </c>
      <c r="AZ13" s="17">
        <v>894715740</v>
      </c>
      <c r="BA13" s="31">
        <f t="shared" si="19"/>
        <v>39849.339999999997</v>
      </c>
      <c r="BB13" s="28">
        <f t="shared" si="20"/>
        <v>14978.660000000003</v>
      </c>
      <c r="BC13" s="17">
        <v>7375800</v>
      </c>
      <c r="BD13" s="80">
        <f t="shared" si="21"/>
        <v>3400</v>
      </c>
      <c r="BE13" s="44">
        <v>3813000</v>
      </c>
      <c r="BF13" s="45">
        <f t="shared" si="22"/>
        <v>500</v>
      </c>
      <c r="BG13" s="17">
        <v>7984411</v>
      </c>
      <c r="BH13" s="28">
        <f t="shared" si="25"/>
        <v>2188247</v>
      </c>
    </row>
    <row r="14" spans="2:60" s="1" customFormat="1" x14ac:dyDescent="0.25">
      <c r="B14" s="37">
        <v>44984</v>
      </c>
      <c r="C14" s="98"/>
      <c r="D14" s="99"/>
      <c r="E14" s="65"/>
      <c r="F14" s="98"/>
      <c r="G14" s="99"/>
      <c r="H14" s="65"/>
      <c r="I14" s="98"/>
      <c r="J14" s="99"/>
      <c r="K14" s="65"/>
      <c r="L14" s="98"/>
      <c r="M14" s="99"/>
      <c r="N14" s="65"/>
      <c r="O14" s="98"/>
      <c r="P14" s="99"/>
      <c r="Q14" s="65"/>
      <c r="R14" s="29"/>
      <c r="S14" s="98"/>
      <c r="T14" s="99"/>
      <c r="U14" s="63"/>
      <c r="V14" s="98"/>
      <c r="W14" s="99"/>
      <c r="X14" s="63"/>
      <c r="Y14" s="64"/>
      <c r="Z14" s="16"/>
      <c r="AA14" s="73"/>
      <c r="AB14" s="74"/>
      <c r="AC14" s="73"/>
      <c r="AD14" s="74"/>
      <c r="AE14" s="73"/>
      <c r="AF14" s="74"/>
      <c r="AG14" s="73"/>
      <c r="AH14" s="74"/>
      <c r="AI14" s="73"/>
      <c r="AJ14" s="74"/>
      <c r="AK14" s="73"/>
      <c r="AL14" s="74"/>
      <c r="AM14" s="73"/>
      <c r="AN14" s="74"/>
      <c r="AO14" s="73"/>
      <c r="AP14" s="74"/>
      <c r="AQ14" s="73"/>
      <c r="AR14" s="74"/>
      <c r="AS14" s="75"/>
      <c r="AT14" s="37">
        <f t="shared" si="24"/>
        <v>44984</v>
      </c>
      <c r="AU14" s="73"/>
      <c r="AV14" s="74"/>
      <c r="AW14" s="76"/>
      <c r="AX14" s="73"/>
      <c r="AY14" s="74"/>
      <c r="AZ14" s="73"/>
      <c r="BA14" s="74"/>
      <c r="BB14" s="74"/>
      <c r="BC14" s="73"/>
      <c r="BD14" s="77"/>
      <c r="BE14" s="78"/>
      <c r="BF14" s="79"/>
      <c r="BG14" s="73"/>
      <c r="BH14" s="74"/>
    </row>
    <row r="15" spans="2:60" x14ac:dyDescent="0.25">
      <c r="B15" s="37">
        <v>44985</v>
      </c>
      <c r="C15" s="96"/>
      <c r="D15" s="97"/>
      <c r="E15" s="28"/>
      <c r="F15" s="96"/>
      <c r="G15" s="97"/>
      <c r="H15" s="28"/>
      <c r="I15" s="96"/>
      <c r="J15" s="97"/>
      <c r="K15" s="28"/>
      <c r="L15" s="96"/>
      <c r="M15" s="97"/>
      <c r="N15" s="28"/>
      <c r="O15" s="96"/>
      <c r="P15" s="97"/>
      <c r="Q15" s="28"/>
      <c r="R15" s="29"/>
      <c r="S15" s="96"/>
      <c r="T15" s="97"/>
      <c r="U15" s="28"/>
      <c r="V15" s="96"/>
      <c r="W15" s="97"/>
      <c r="X15" s="28"/>
      <c r="Y15" s="30"/>
      <c r="Z15" s="16"/>
      <c r="AA15" s="47"/>
      <c r="AB15" s="49"/>
      <c r="AC15" s="47"/>
      <c r="AD15" s="49"/>
      <c r="AE15" s="47"/>
      <c r="AF15" s="49"/>
      <c r="AG15" s="47"/>
      <c r="AH15" s="49"/>
      <c r="AI15" s="47"/>
      <c r="AJ15" s="49"/>
      <c r="AK15" s="47"/>
      <c r="AL15" s="49"/>
      <c r="AM15" s="47"/>
      <c r="AN15" s="49"/>
      <c r="AO15" s="47"/>
      <c r="AP15" s="49"/>
      <c r="AQ15" s="47"/>
      <c r="AR15" s="49"/>
      <c r="AS15" s="14"/>
      <c r="AT15" s="37">
        <f t="shared" si="24"/>
        <v>44985</v>
      </c>
      <c r="AU15" s="47"/>
      <c r="AV15" s="49"/>
      <c r="AW15" s="50"/>
      <c r="AX15" s="47"/>
      <c r="AY15" s="49"/>
      <c r="AZ15" s="47"/>
      <c r="BA15" s="49"/>
      <c r="BB15" s="49"/>
      <c r="BC15" s="47"/>
      <c r="BD15" s="51"/>
      <c r="BE15" s="48"/>
      <c r="BF15" s="52"/>
      <c r="BG15" s="47"/>
      <c r="BH15" s="49"/>
    </row>
    <row r="16" spans="2:60" x14ac:dyDescent="0.25">
      <c r="B16" s="37">
        <v>44991</v>
      </c>
      <c r="C16" s="96"/>
      <c r="D16" s="97"/>
      <c r="E16" s="28"/>
      <c r="F16" s="96"/>
      <c r="G16" s="97"/>
      <c r="H16" s="28"/>
      <c r="I16" s="96"/>
      <c r="J16" s="97"/>
      <c r="K16" s="28"/>
      <c r="L16" s="96"/>
      <c r="M16" s="97"/>
      <c r="N16" s="28"/>
      <c r="O16" s="96"/>
      <c r="P16" s="97"/>
      <c r="Q16" s="28"/>
      <c r="R16" s="29"/>
      <c r="S16" s="96"/>
      <c r="T16" s="97"/>
      <c r="U16" s="28"/>
      <c r="V16" s="96"/>
      <c r="W16" s="97"/>
      <c r="X16" s="28"/>
      <c r="Y16" s="30"/>
      <c r="Z16" s="16"/>
      <c r="AA16" s="47"/>
      <c r="AB16" s="49"/>
      <c r="AC16" s="47"/>
      <c r="AD16" s="49"/>
      <c r="AE16" s="47"/>
      <c r="AF16" s="49"/>
      <c r="AG16" s="47"/>
      <c r="AH16" s="49"/>
      <c r="AI16" s="47"/>
      <c r="AJ16" s="49"/>
      <c r="AK16" s="47"/>
      <c r="AL16" s="49"/>
      <c r="AM16" s="47"/>
      <c r="AN16" s="49"/>
      <c r="AO16" s="47"/>
      <c r="AP16" s="49"/>
      <c r="AQ16" s="47"/>
      <c r="AR16" s="49"/>
      <c r="AS16" s="14"/>
      <c r="AT16" s="37">
        <f t="shared" si="24"/>
        <v>44991</v>
      </c>
      <c r="AU16" s="47"/>
      <c r="AV16" s="49"/>
      <c r="AW16" s="50"/>
      <c r="AX16" s="47"/>
      <c r="AY16" s="49"/>
      <c r="AZ16" s="47"/>
      <c r="BA16" s="49"/>
      <c r="BB16" s="49"/>
      <c r="BC16" s="47"/>
      <c r="BD16" s="51"/>
      <c r="BE16" s="48"/>
      <c r="BF16" s="52"/>
      <c r="BG16" s="47"/>
      <c r="BH16" s="49"/>
    </row>
    <row r="17" spans="2:60" x14ac:dyDescent="0.25">
      <c r="B17" s="37">
        <v>44998</v>
      </c>
      <c r="C17" s="96"/>
      <c r="D17" s="97"/>
      <c r="E17" s="28"/>
      <c r="F17" s="96"/>
      <c r="G17" s="97"/>
      <c r="H17" s="28"/>
      <c r="I17" s="96"/>
      <c r="J17" s="97"/>
      <c r="K17" s="28"/>
      <c r="L17" s="96"/>
      <c r="M17" s="97"/>
      <c r="N17" s="28"/>
      <c r="O17" s="96"/>
      <c r="P17" s="97"/>
      <c r="Q17" s="28"/>
      <c r="R17" s="29"/>
      <c r="S17" s="96"/>
      <c r="T17" s="97"/>
      <c r="U17" s="28"/>
      <c r="V17" s="96"/>
      <c r="W17" s="97"/>
      <c r="X17" s="28"/>
      <c r="Y17" s="30"/>
      <c r="Z17" s="16"/>
      <c r="AA17" s="47"/>
      <c r="AB17" s="49"/>
      <c r="AC17" s="47"/>
      <c r="AD17" s="49"/>
      <c r="AE17" s="47"/>
      <c r="AF17" s="49"/>
      <c r="AG17" s="47"/>
      <c r="AH17" s="49"/>
      <c r="AI17" s="47"/>
      <c r="AJ17" s="49"/>
      <c r="AK17" s="47"/>
      <c r="AL17" s="49"/>
      <c r="AM17" s="47"/>
      <c r="AN17" s="49"/>
      <c r="AO17" s="47"/>
      <c r="AP17" s="49"/>
      <c r="AQ17" s="47"/>
      <c r="AR17" s="49"/>
      <c r="AS17" s="14"/>
      <c r="AT17" s="37">
        <f t="shared" si="24"/>
        <v>44998</v>
      </c>
      <c r="AU17" s="47"/>
      <c r="AV17" s="49"/>
      <c r="AW17" s="50"/>
      <c r="AX17" s="47"/>
      <c r="AY17" s="49"/>
      <c r="AZ17" s="47"/>
      <c r="BA17" s="49"/>
      <c r="BB17" s="49"/>
      <c r="BC17" s="47"/>
      <c r="BD17" s="51"/>
      <c r="BE17" s="48"/>
      <c r="BF17" s="52"/>
      <c r="BG17" s="47"/>
      <c r="BH17" s="49"/>
    </row>
    <row r="18" spans="2:60" x14ac:dyDescent="0.25">
      <c r="B18" s="37">
        <v>45005</v>
      </c>
      <c r="C18" s="96"/>
      <c r="D18" s="97"/>
      <c r="E18" s="28"/>
      <c r="F18" s="96"/>
      <c r="G18" s="97"/>
      <c r="H18" s="28"/>
      <c r="I18" s="96"/>
      <c r="J18" s="97"/>
      <c r="K18" s="28"/>
      <c r="L18" s="96"/>
      <c r="M18" s="97"/>
      <c r="N18" s="28"/>
      <c r="O18" s="96"/>
      <c r="P18" s="97"/>
      <c r="Q18" s="28"/>
      <c r="R18" s="29"/>
      <c r="S18" s="96"/>
      <c r="T18" s="97"/>
      <c r="U18" s="28"/>
      <c r="V18" s="96"/>
      <c r="W18" s="97"/>
      <c r="X18" s="28"/>
      <c r="Y18" s="30"/>
      <c r="Z18" s="16"/>
      <c r="AA18" s="47"/>
      <c r="AB18" s="49"/>
      <c r="AC18" s="47"/>
      <c r="AD18" s="49"/>
      <c r="AE18" s="47"/>
      <c r="AF18" s="49"/>
      <c r="AG18" s="47"/>
      <c r="AH18" s="49"/>
      <c r="AI18" s="47"/>
      <c r="AJ18" s="49"/>
      <c r="AK18" s="47"/>
      <c r="AL18" s="49"/>
      <c r="AM18" s="47"/>
      <c r="AN18" s="49"/>
      <c r="AO18" s="47"/>
      <c r="AP18" s="49"/>
      <c r="AQ18" s="47"/>
      <c r="AR18" s="49"/>
      <c r="AS18" s="14"/>
      <c r="AT18" s="37">
        <f t="shared" si="24"/>
        <v>45005</v>
      </c>
      <c r="AU18" s="47"/>
      <c r="AV18" s="49"/>
      <c r="AW18" s="50"/>
      <c r="AX18" s="47"/>
      <c r="AY18" s="49"/>
      <c r="AZ18" s="47"/>
      <c r="BA18" s="49"/>
      <c r="BB18" s="49"/>
      <c r="BC18" s="47"/>
      <c r="BD18" s="51"/>
      <c r="BE18" s="48"/>
      <c r="BF18" s="52"/>
      <c r="BG18" s="47"/>
      <c r="BH18" s="49"/>
    </row>
    <row r="19" spans="2:60" x14ac:dyDescent="0.25">
      <c r="B19" s="37">
        <v>45012</v>
      </c>
      <c r="C19" s="96"/>
      <c r="D19" s="97"/>
      <c r="E19" s="28"/>
      <c r="F19" s="96"/>
      <c r="G19" s="97"/>
      <c r="H19" s="28"/>
      <c r="I19" s="96"/>
      <c r="J19" s="97"/>
      <c r="K19" s="28"/>
      <c r="L19" s="96"/>
      <c r="M19" s="97"/>
      <c r="N19" s="28"/>
      <c r="O19" s="96"/>
      <c r="P19" s="97"/>
      <c r="Q19" s="28"/>
      <c r="R19" s="29"/>
      <c r="S19" s="96"/>
      <c r="T19" s="97"/>
      <c r="U19" s="28"/>
      <c r="V19" s="96"/>
      <c r="W19" s="97"/>
      <c r="X19" s="28"/>
      <c r="Y19" s="30"/>
      <c r="Z19" s="16"/>
      <c r="AA19" s="47"/>
      <c r="AB19" s="49"/>
      <c r="AC19" s="47"/>
      <c r="AD19" s="49"/>
      <c r="AE19" s="47"/>
      <c r="AF19" s="49"/>
      <c r="AG19" s="47"/>
      <c r="AH19" s="49"/>
      <c r="AI19" s="47"/>
      <c r="AJ19" s="49"/>
      <c r="AK19" s="47"/>
      <c r="AL19" s="49"/>
      <c r="AM19" s="47"/>
      <c r="AN19" s="49"/>
      <c r="AO19" s="47"/>
      <c r="AP19" s="49"/>
      <c r="AQ19" s="47"/>
      <c r="AR19" s="49"/>
      <c r="AS19" s="14"/>
      <c r="AT19" s="37">
        <f t="shared" si="24"/>
        <v>45012</v>
      </c>
      <c r="AU19" s="47"/>
      <c r="AV19" s="49"/>
      <c r="AW19" s="50"/>
      <c r="AX19" s="47"/>
      <c r="AY19" s="49"/>
      <c r="AZ19" s="47"/>
      <c r="BA19" s="49"/>
      <c r="BB19" s="49"/>
      <c r="BC19" s="47"/>
      <c r="BD19" s="51"/>
      <c r="BE19" s="48"/>
      <c r="BF19" s="52"/>
      <c r="BG19" s="47"/>
      <c r="BH19" s="49"/>
    </row>
    <row r="20" spans="2:60" x14ac:dyDescent="0.25">
      <c r="B20" s="37">
        <v>45016</v>
      </c>
      <c r="C20" s="96"/>
      <c r="D20" s="97"/>
      <c r="E20" s="28"/>
      <c r="F20" s="96"/>
      <c r="G20" s="97"/>
      <c r="H20" s="28"/>
      <c r="I20" s="96"/>
      <c r="J20" s="97"/>
      <c r="K20" s="28"/>
      <c r="L20" s="96"/>
      <c r="M20" s="97"/>
      <c r="N20" s="28"/>
      <c r="O20" s="96"/>
      <c r="P20" s="97"/>
      <c r="Q20" s="28"/>
      <c r="R20" s="29"/>
      <c r="S20" s="96"/>
      <c r="T20" s="97"/>
      <c r="U20" s="28"/>
      <c r="V20" s="96"/>
      <c r="W20" s="97"/>
      <c r="X20" s="28"/>
      <c r="Y20" s="30"/>
      <c r="Z20" s="16"/>
      <c r="AA20" s="47"/>
      <c r="AB20" s="49"/>
      <c r="AC20" s="47"/>
      <c r="AD20" s="49"/>
      <c r="AE20" s="47"/>
      <c r="AF20" s="49"/>
      <c r="AG20" s="47"/>
      <c r="AH20" s="49"/>
      <c r="AI20" s="47"/>
      <c r="AJ20" s="49"/>
      <c r="AK20" s="47"/>
      <c r="AL20" s="49"/>
      <c r="AM20" s="47"/>
      <c r="AN20" s="49"/>
      <c r="AO20" s="47"/>
      <c r="AP20" s="49"/>
      <c r="AQ20" s="47"/>
      <c r="AR20" s="49"/>
      <c r="AS20" s="14"/>
      <c r="AT20" s="37">
        <f t="shared" si="24"/>
        <v>45016</v>
      </c>
      <c r="AU20" s="47"/>
      <c r="AV20" s="49"/>
      <c r="AW20" s="50"/>
      <c r="AX20" s="47"/>
      <c r="AY20" s="49"/>
      <c r="AZ20" s="47"/>
      <c r="BA20" s="49"/>
      <c r="BB20" s="49"/>
      <c r="BC20" s="47"/>
      <c r="BD20" s="51"/>
      <c r="BE20" s="48"/>
      <c r="BF20" s="52"/>
      <c r="BG20" s="47"/>
      <c r="BH20" s="49"/>
    </row>
    <row r="21" spans="2:60" x14ac:dyDescent="0.25">
      <c r="B21" s="37">
        <v>45019</v>
      </c>
      <c r="C21" s="96"/>
      <c r="D21" s="97"/>
      <c r="E21" s="28"/>
      <c r="F21" s="96"/>
      <c r="G21" s="97"/>
      <c r="H21" s="28"/>
      <c r="I21" s="96"/>
      <c r="J21" s="97"/>
      <c r="K21" s="28"/>
      <c r="L21" s="96"/>
      <c r="M21" s="97"/>
      <c r="N21" s="28"/>
      <c r="O21" s="96"/>
      <c r="P21" s="97"/>
      <c r="Q21" s="28"/>
      <c r="R21" s="29"/>
      <c r="S21" s="96"/>
      <c r="T21" s="97"/>
      <c r="U21" s="28"/>
      <c r="V21" s="96"/>
      <c r="W21" s="97"/>
      <c r="X21" s="28"/>
      <c r="Y21" s="30"/>
      <c r="Z21" s="16"/>
      <c r="AA21" s="47"/>
      <c r="AB21" s="49"/>
      <c r="AC21" s="47"/>
      <c r="AD21" s="49"/>
      <c r="AE21" s="47"/>
      <c r="AF21" s="49"/>
      <c r="AG21" s="47"/>
      <c r="AH21" s="49"/>
      <c r="AI21" s="47"/>
      <c r="AJ21" s="49"/>
      <c r="AK21" s="47"/>
      <c r="AL21" s="49"/>
      <c r="AM21" s="47"/>
      <c r="AN21" s="49"/>
      <c r="AO21" s="47"/>
      <c r="AP21" s="49"/>
      <c r="AQ21" s="47"/>
      <c r="AR21" s="49"/>
      <c r="AS21" s="14"/>
      <c r="AT21" s="37">
        <f t="shared" si="24"/>
        <v>45019</v>
      </c>
      <c r="AU21" s="47"/>
      <c r="AV21" s="49"/>
      <c r="AW21" s="50"/>
      <c r="AX21" s="47"/>
      <c r="AY21" s="49"/>
      <c r="AZ21" s="47"/>
      <c r="BA21" s="49"/>
      <c r="BB21" s="49"/>
      <c r="BC21" s="47"/>
      <c r="BD21" s="51"/>
      <c r="BE21" s="48"/>
      <c r="BF21" s="52"/>
      <c r="BG21" s="47"/>
      <c r="BH21" s="49"/>
    </row>
    <row r="22" spans="2:60" x14ac:dyDescent="0.25">
      <c r="B22" s="37">
        <v>45026</v>
      </c>
      <c r="C22" s="96"/>
      <c r="D22" s="97"/>
      <c r="E22" s="28"/>
      <c r="F22" s="96"/>
      <c r="G22" s="97"/>
      <c r="H22" s="28"/>
      <c r="I22" s="96"/>
      <c r="J22" s="97"/>
      <c r="K22" s="28"/>
      <c r="L22" s="96"/>
      <c r="M22" s="97"/>
      <c r="N22" s="28"/>
      <c r="O22" s="96"/>
      <c r="P22" s="97"/>
      <c r="Q22" s="28"/>
      <c r="R22" s="29"/>
      <c r="S22" s="96"/>
      <c r="T22" s="97"/>
      <c r="U22" s="28"/>
      <c r="V22" s="96"/>
      <c r="W22" s="97"/>
      <c r="X22" s="28"/>
      <c r="Y22" s="30"/>
      <c r="Z22" s="16"/>
      <c r="AA22" s="47"/>
      <c r="AB22" s="49"/>
      <c r="AC22" s="47"/>
      <c r="AD22" s="49"/>
      <c r="AE22" s="47"/>
      <c r="AF22" s="49"/>
      <c r="AG22" s="47"/>
      <c r="AH22" s="49"/>
      <c r="AI22" s="47"/>
      <c r="AJ22" s="49"/>
      <c r="AK22" s="47"/>
      <c r="AL22" s="49"/>
      <c r="AM22" s="47"/>
      <c r="AN22" s="49"/>
      <c r="AO22" s="47"/>
      <c r="AP22" s="49"/>
      <c r="AQ22" s="47"/>
      <c r="AR22" s="49"/>
      <c r="AS22" s="14"/>
      <c r="AT22" s="37">
        <f t="shared" si="24"/>
        <v>45026</v>
      </c>
      <c r="AU22" s="47"/>
      <c r="AV22" s="49"/>
      <c r="AW22" s="50"/>
      <c r="AX22" s="47"/>
      <c r="AY22" s="49"/>
      <c r="AZ22" s="47"/>
      <c r="BA22" s="49"/>
      <c r="BB22" s="49"/>
      <c r="BC22" s="47"/>
      <c r="BD22" s="51"/>
      <c r="BE22" s="48"/>
      <c r="BF22" s="52"/>
      <c r="BG22" s="47"/>
      <c r="BH22" s="49"/>
    </row>
    <row r="23" spans="2:60" x14ac:dyDescent="0.25">
      <c r="B23" s="37">
        <v>45033</v>
      </c>
      <c r="C23" s="96"/>
      <c r="D23" s="97"/>
      <c r="E23" s="28"/>
      <c r="F23" s="96"/>
      <c r="G23" s="97"/>
      <c r="H23" s="28"/>
      <c r="I23" s="96"/>
      <c r="J23" s="97"/>
      <c r="K23" s="28"/>
      <c r="L23" s="96"/>
      <c r="M23" s="97"/>
      <c r="N23" s="28"/>
      <c r="O23" s="96"/>
      <c r="P23" s="97"/>
      <c r="Q23" s="28"/>
      <c r="R23" s="29"/>
      <c r="S23" s="96"/>
      <c r="T23" s="97"/>
      <c r="U23" s="28"/>
      <c r="V23" s="96"/>
      <c r="W23" s="97"/>
      <c r="X23" s="28"/>
      <c r="Y23" s="30"/>
      <c r="Z23" s="16"/>
      <c r="AA23" s="47"/>
      <c r="AB23" s="49"/>
      <c r="AC23" s="47"/>
      <c r="AD23" s="49"/>
      <c r="AE23" s="47"/>
      <c r="AF23" s="49"/>
      <c r="AG23" s="47"/>
      <c r="AH23" s="49"/>
      <c r="AI23" s="47"/>
      <c r="AJ23" s="49"/>
      <c r="AK23" s="47"/>
      <c r="AL23" s="49"/>
      <c r="AM23" s="47"/>
      <c r="AN23" s="49"/>
      <c r="AO23" s="47"/>
      <c r="AP23" s="49"/>
      <c r="AQ23" s="47"/>
      <c r="AR23" s="49"/>
      <c r="AS23" s="14"/>
      <c r="AT23" s="37">
        <f t="shared" si="24"/>
        <v>45033</v>
      </c>
      <c r="AU23" s="47"/>
      <c r="AV23" s="49"/>
      <c r="AW23" s="50"/>
      <c r="AX23" s="47"/>
      <c r="AY23" s="49"/>
      <c r="AZ23" s="47"/>
      <c r="BA23" s="49"/>
      <c r="BB23" s="49"/>
      <c r="BC23" s="47"/>
      <c r="BD23" s="51"/>
      <c r="BE23" s="48"/>
      <c r="BF23" s="52"/>
      <c r="BG23" s="47"/>
      <c r="BH23" s="49"/>
    </row>
    <row r="24" spans="2:60" x14ac:dyDescent="0.25">
      <c r="B24" s="37">
        <v>45040</v>
      </c>
      <c r="C24" s="96"/>
      <c r="D24" s="97"/>
      <c r="E24" s="28"/>
      <c r="F24" s="96"/>
      <c r="G24" s="97"/>
      <c r="H24" s="28"/>
      <c r="I24" s="96"/>
      <c r="J24" s="97"/>
      <c r="K24" s="28"/>
      <c r="L24" s="96"/>
      <c r="M24" s="97"/>
      <c r="N24" s="28"/>
      <c r="O24" s="96"/>
      <c r="P24" s="97"/>
      <c r="Q24" s="28"/>
      <c r="R24" s="29"/>
      <c r="S24" s="96"/>
      <c r="T24" s="97"/>
      <c r="U24" s="28"/>
      <c r="V24" s="96"/>
      <c r="W24" s="97"/>
      <c r="X24" s="28"/>
      <c r="Y24" s="30"/>
      <c r="Z24" s="16"/>
      <c r="AA24" s="47"/>
      <c r="AB24" s="49"/>
      <c r="AC24" s="47"/>
      <c r="AD24" s="49"/>
      <c r="AE24" s="47"/>
      <c r="AF24" s="49"/>
      <c r="AG24" s="47"/>
      <c r="AH24" s="49"/>
      <c r="AI24" s="47"/>
      <c r="AJ24" s="49"/>
      <c r="AK24" s="47"/>
      <c r="AL24" s="49"/>
      <c r="AM24" s="47"/>
      <c r="AN24" s="49"/>
      <c r="AO24" s="47"/>
      <c r="AP24" s="49"/>
      <c r="AQ24" s="47"/>
      <c r="AR24" s="49"/>
      <c r="AS24" s="14"/>
      <c r="AT24" s="37">
        <f t="shared" si="24"/>
        <v>45040</v>
      </c>
      <c r="AU24" s="47"/>
      <c r="AV24" s="49"/>
      <c r="AW24" s="50"/>
      <c r="AX24" s="47"/>
      <c r="AY24" s="49"/>
      <c r="AZ24" s="47"/>
      <c r="BA24" s="49"/>
      <c r="BB24" s="49"/>
      <c r="BC24" s="47"/>
      <c r="BD24" s="51"/>
      <c r="BE24" s="48"/>
      <c r="BF24" s="52"/>
      <c r="BG24" s="47"/>
      <c r="BH24" s="49"/>
    </row>
    <row r="25" spans="2:60" x14ac:dyDescent="0.25">
      <c r="B25" s="37">
        <v>45046</v>
      </c>
      <c r="C25" s="96"/>
      <c r="D25" s="97"/>
      <c r="E25" s="28"/>
      <c r="F25" s="96"/>
      <c r="G25" s="97"/>
      <c r="H25" s="28"/>
      <c r="I25" s="96"/>
      <c r="J25" s="97"/>
      <c r="K25" s="28"/>
      <c r="L25" s="96"/>
      <c r="M25" s="97"/>
      <c r="N25" s="28"/>
      <c r="O25" s="96"/>
      <c r="P25" s="97"/>
      <c r="Q25" s="28"/>
      <c r="R25" s="29"/>
      <c r="S25" s="96"/>
      <c r="T25" s="97"/>
      <c r="U25" s="28"/>
      <c r="V25" s="96"/>
      <c r="W25" s="97"/>
      <c r="X25" s="28"/>
      <c r="Y25" s="30"/>
      <c r="Z25" s="16"/>
      <c r="AA25" s="47"/>
      <c r="AB25" s="49"/>
      <c r="AC25" s="47"/>
      <c r="AD25" s="49"/>
      <c r="AE25" s="47"/>
      <c r="AF25" s="49"/>
      <c r="AG25" s="47"/>
      <c r="AH25" s="49"/>
      <c r="AI25" s="47"/>
      <c r="AJ25" s="49"/>
      <c r="AK25" s="47"/>
      <c r="AL25" s="49"/>
      <c r="AM25" s="47"/>
      <c r="AN25" s="49"/>
      <c r="AO25" s="47"/>
      <c r="AP25" s="49"/>
      <c r="AQ25" s="47"/>
      <c r="AR25" s="49"/>
      <c r="AS25" s="14"/>
      <c r="AT25" s="37">
        <f t="shared" si="24"/>
        <v>45046</v>
      </c>
      <c r="AU25" s="47"/>
      <c r="AV25" s="49"/>
      <c r="AW25" s="50"/>
      <c r="AX25" s="47"/>
      <c r="AY25" s="49"/>
      <c r="AZ25" s="47"/>
      <c r="BA25" s="49"/>
      <c r="BB25" s="49"/>
      <c r="BC25" s="47"/>
      <c r="BD25" s="51"/>
      <c r="BE25" s="48"/>
      <c r="BF25" s="52"/>
      <c r="BG25" s="47"/>
      <c r="BH25" s="49"/>
    </row>
    <row r="26" spans="2:60" x14ac:dyDescent="0.25">
      <c r="B26" s="37">
        <v>45047</v>
      </c>
      <c r="C26" s="96"/>
      <c r="D26" s="97"/>
      <c r="E26" s="28"/>
      <c r="F26" s="96"/>
      <c r="G26" s="97"/>
      <c r="H26" s="28"/>
      <c r="I26" s="96"/>
      <c r="J26" s="97"/>
      <c r="K26" s="28"/>
      <c r="L26" s="96"/>
      <c r="M26" s="97"/>
      <c r="N26" s="28"/>
      <c r="O26" s="96"/>
      <c r="P26" s="97"/>
      <c r="Q26" s="28"/>
      <c r="R26" s="29"/>
      <c r="S26" s="96"/>
      <c r="T26" s="97"/>
      <c r="U26" s="28"/>
      <c r="V26" s="96"/>
      <c r="W26" s="97"/>
      <c r="X26" s="28"/>
      <c r="Y26" s="30"/>
      <c r="Z26" s="16"/>
      <c r="AA26" s="47"/>
      <c r="AB26" s="49"/>
      <c r="AC26" s="47"/>
      <c r="AD26" s="49"/>
      <c r="AE26" s="47"/>
      <c r="AF26" s="49"/>
      <c r="AG26" s="47"/>
      <c r="AH26" s="49"/>
      <c r="AI26" s="47"/>
      <c r="AJ26" s="49"/>
      <c r="AK26" s="47"/>
      <c r="AL26" s="49"/>
      <c r="AM26" s="47"/>
      <c r="AN26" s="49"/>
      <c r="AO26" s="47"/>
      <c r="AP26" s="49"/>
      <c r="AQ26" s="47"/>
      <c r="AR26" s="49"/>
      <c r="AS26" s="14"/>
      <c r="AT26" s="37">
        <f t="shared" si="24"/>
        <v>45047</v>
      </c>
      <c r="AU26" s="47"/>
      <c r="AV26" s="49"/>
      <c r="AW26" s="50"/>
      <c r="AX26" s="47"/>
      <c r="AY26" s="49"/>
      <c r="AZ26" s="47"/>
      <c r="BA26" s="49"/>
      <c r="BB26" s="49"/>
      <c r="BC26" s="47"/>
      <c r="BD26" s="51"/>
      <c r="BE26" s="48"/>
      <c r="BF26" s="52"/>
      <c r="BG26" s="47"/>
      <c r="BH26" s="49"/>
    </row>
    <row r="27" spans="2:60" x14ac:dyDescent="0.25">
      <c r="B27" s="37">
        <v>45054</v>
      </c>
      <c r="C27" s="96"/>
      <c r="D27" s="97"/>
      <c r="E27" s="28"/>
      <c r="F27" s="96"/>
      <c r="G27" s="97"/>
      <c r="H27" s="28"/>
      <c r="I27" s="96"/>
      <c r="J27" s="97"/>
      <c r="K27" s="28"/>
      <c r="L27" s="96"/>
      <c r="M27" s="97"/>
      <c r="N27" s="28"/>
      <c r="O27" s="96"/>
      <c r="P27" s="97"/>
      <c r="Q27" s="28"/>
      <c r="R27" s="29"/>
      <c r="S27" s="96"/>
      <c r="T27" s="97"/>
      <c r="U27" s="28"/>
      <c r="V27" s="96"/>
      <c r="W27" s="97"/>
      <c r="X27" s="28"/>
      <c r="Y27" s="30"/>
      <c r="Z27" s="16"/>
      <c r="AA27" s="47"/>
      <c r="AB27" s="49"/>
      <c r="AC27" s="47"/>
      <c r="AD27" s="49"/>
      <c r="AE27" s="47"/>
      <c r="AF27" s="49"/>
      <c r="AG27" s="47"/>
      <c r="AH27" s="49"/>
      <c r="AI27" s="47"/>
      <c r="AJ27" s="49"/>
      <c r="AK27" s="47"/>
      <c r="AL27" s="49"/>
      <c r="AM27" s="47"/>
      <c r="AN27" s="49"/>
      <c r="AO27" s="47"/>
      <c r="AP27" s="49"/>
      <c r="AQ27" s="47"/>
      <c r="AR27" s="49"/>
      <c r="AS27" s="14"/>
      <c r="AT27" s="37">
        <f t="shared" si="24"/>
        <v>45054</v>
      </c>
      <c r="AU27" s="47"/>
      <c r="AV27" s="49"/>
      <c r="AW27" s="50"/>
      <c r="AX27" s="47"/>
      <c r="AY27" s="49"/>
      <c r="AZ27" s="47"/>
      <c r="BA27" s="49"/>
      <c r="BB27" s="49"/>
      <c r="BC27" s="47"/>
      <c r="BD27" s="51"/>
      <c r="BE27" s="48"/>
      <c r="BF27" s="52"/>
      <c r="BG27" s="47"/>
      <c r="BH27" s="49"/>
    </row>
    <row r="28" spans="2:60" x14ac:dyDescent="0.25">
      <c r="B28" s="37">
        <v>45061</v>
      </c>
      <c r="C28" s="96"/>
      <c r="D28" s="97"/>
      <c r="E28" s="28"/>
      <c r="F28" s="96"/>
      <c r="G28" s="97"/>
      <c r="H28" s="28"/>
      <c r="I28" s="96"/>
      <c r="J28" s="97"/>
      <c r="K28" s="28"/>
      <c r="L28" s="96"/>
      <c r="M28" s="97"/>
      <c r="N28" s="28"/>
      <c r="O28" s="96"/>
      <c r="P28" s="97"/>
      <c r="Q28" s="28"/>
      <c r="R28" s="29"/>
      <c r="S28" s="96"/>
      <c r="T28" s="97"/>
      <c r="U28" s="28"/>
      <c r="V28" s="96"/>
      <c r="W28" s="97"/>
      <c r="X28" s="28"/>
      <c r="Y28" s="30"/>
      <c r="Z28" s="16"/>
      <c r="AA28" s="47"/>
      <c r="AB28" s="49"/>
      <c r="AC28" s="47"/>
      <c r="AD28" s="49"/>
      <c r="AE28" s="47"/>
      <c r="AF28" s="49"/>
      <c r="AG28" s="47"/>
      <c r="AH28" s="49"/>
      <c r="AI28" s="47"/>
      <c r="AJ28" s="49"/>
      <c r="AK28" s="47"/>
      <c r="AL28" s="49"/>
      <c r="AM28" s="47"/>
      <c r="AN28" s="49"/>
      <c r="AO28" s="47"/>
      <c r="AP28" s="49"/>
      <c r="AQ28" s="47"/>
      <c r="AR28" s="49"/>
      <c r="AS28" s="14"/>
      <c r="AT28" s="37">
        <f t="shared" si="24"/>
        <v>45061</v>
      </c>
      <c r="AU28" s="47"/>
      <c r="AV28" s="49"/>
      <c r="AW28" s="50"/>
      <c r="AX28" s="47"/>
      <c r="AY28" s="49"/>
      <c r="AZ28" s="47"/>
      <c r="BA28" s="49"/>
      <c r="BB28" s="49"/>
      <c r="BC28" s="47"/>
      <c r="BD28" s="51"/>
      <c r="BE28" s="48"/>
      <c r="BF28" s="52"/>
      <c r="BG28" s="47"/>
      <c r="BH28" s="49"/>
    </row>
    <row r="29" spans="2:60" x14ac:dyDescent="0.25">
      <c r="B29" s="37">
        <v>45068</v>
      </c>
      <c r="C29" s="96"/>
      <c r="D29" s="97"/>
      <c r="E29" s="28"/>
      <c r="F29" s="96"/>
      <c r="G29" s="97"/>
      <c r="H29" s="28"/>
      <c r="I29" s="96"/>
      <c r="J29" s="97"/>
      <c r="K29" s="28"/>
      <c r="L29" s="96"/>
      <c r="M29" s="97"/>
      <c r="N29" s="28"/>
      <c r="O29" s="96"/>
      <c r="P29" s="97"/>
      <c r="Q29" s="28"/>
      <c r="R29" s="29"/>
      <c r="S29" s="96"/>
      <c r="T29" s="97"/>
      <c r="U29" s="28"/>
      <c r="V29" s="96"/>
      <c r="W29" s="97"/>
      <c r="X29" s="28"/>
      <c r="Y29" s="30"/>
      <c r="Z29" s="16"/>
      <c r="AA29" s="47"/>
      <c r="AB29" s="49"/>
      <c r="AC29" s="47"/>
      <c r="AD29" s="49"/>
      <c r="AE29" s="47"/>
      <c r="AF29" s="49"/>
      <c r="AG29" s="47"/>
      <c r="AH29" s="49"/>
      <c r="AI29" s="47"/>
      <c r="AJ29" s="49"/>
      <c r="AK29" s="47"/>
      <c r="AL29" s="49"/>
      <c r="AM29" s="47"/>
      <c r="AN29" s="49"/>
      <c r="AO29" s="47"/>
      <c r="AP29" s="49"/>
      <c r="AQ29" s="47"/>
      <c r="AR29" s="49"/>
      <c r="AS29" s="14"/>
      <c r="AT29" s="37">
        <f t="shared" si="24"/>
        <v>45068</v>
      </c>
      <c r="AU29" s="47"/>
      <c r="AV29" s="49"/>
      <c r="AW29" s="50"/>
      <c r="AX29" s="47"/>
      <c r="AY29" s="49"/>
      <c r="AZ29" s="47"/>
      <c r="BA29" s="49"/>
      <c r="BB29" s="49"/>
      <c r="BC29" s="47"/>
      <c r="BD29" s="51"/>
      <c r="BE29" s="48"/>
      <c r="BF29" s="52"/>
      <c r="BG29" s="47"/>
      <c r="BH29" s="49"/>
    </row>
    <row r="30" spans="2:60" x14ac:dyDescent="0.25">
      <c r="B30" s="37">
        <v>45075</v>
      </c>
      <c r="C30" s="96"/>
      <c r="D30" s="97"/>
      <c r="E30" s="28"/>
      <c r="F30" s="96"/>
      <c r="G30" s="97"/>
      <c r="H30" s="28"/>
      <c r="I30" s="96"/>
      <c r="J30" s="97"/>
      <c r="K30" s="28"/>
      <c r="L30" s="96"/>
      <c r="M30" s="97"/>
      <c r="N30" s="28"/>
      <c r="O30" s="96"/>
      <c r="P30" s="97"/>
      <c r="Q30" s="28"/>
      <c r="R30" s="29"/>
      <c r="S30" s="96"/>
      <c r="T30" s="97"/>
      <c r="U30" s="28"/>
      <c r="V30" s="96"/>
      <c r="W30" s="97"/>
      <c r="X30" s="28"/>
      <c r="Y30" s="30"/>
      <c r="Z30" s="16"/>
      <c r="AA30" s="47"/>
      <c r="AB30" s="49"/>
      <c r="AC30" s="47"/>
      <c r="AD30" s="49"/>
      <c r="AE30" s="47"/>
      <c r="AF30" s="49"/>
      <c r="AG30" s="47"/>
      <c r="AH30" s="49"/>
      <c r="AI30" s="47"/>
      <c r="AJ30" s="49"/>
      <c r="AK30" s="47"/>
      <c r="AL30" s="49"/>
      <c r="AM30" s="47"/>
      <c r="AN30" s="49"/>
      <c r="AO30" s="47"/>
      <c r="AP30" s="49"/>
      <c r="AQ30" s="47"/>
      <c r="AR30" s="49"/>
      <c r="AS30" s="14"/>
      <c r="AT30" s="37">
        <f t="shared" si="24"/>
        <v>45075</v>
      </c>
      <c r="AU30" s="47"/>
      <c r="AV30" s="49"/>
      <c r="AW30" s="50"/>
      <c r="AX30" s="47"/>
      <c r="AY30" s="49"/>
      <c r="AZ30" s="47"/>
      <c r="BA30" s="49"/>
      <c r="BB30" s="49"/>
      <c r="BC30" s="47"/>
      <c r="BD30" s="51"/>
      <c r="BE30" s="48"/>
      <c r="BF30" s="52"/>
      <c r="BG30" s="47"/>
      <c r="BH30" s="49"/>
    </row>
    <row r="31" spans="2:60" x14ac:dyDescent="0.25">
      <c r="B31" s="37">
        <v>45077</v>
      </c>
      <c r="C31" s="96"/>
      <c r="D31" s="97"/>
      <c r="E31" s="28"/>
      <c r="F31" s="96"/>
      <c r="G31" s="97"/>
      <c r="H31" s="28"/>
      <c r="I31" s="96"/>
      <c r="J31" s="97"/>
      <c r="K31" s="28"/>
      <c r="L31" s="96"/>
      <c r="M31" s="97"/>
      <c r="N31" s="28"/>
      <c r="O31" s="96"/>
      <c r="P31" s="97"/>
      <c r="Q31" s="28"/>
      <c r="R31" s="29"/>
      <c r="S31" s="96"/>
      <c r="T31" s="97"/>
      <c r="U31" s="28"/>
      <c r="V31" s="96"/>
      <c r="W31" s="97"/>
      <c r="X31" s="28"/>
      <c r="Y31" s="30"/>
      <c r="Z31" s="16"/>
      <c r="AA31" s="47"/>
      <c r="AB31" s="49"/>
      <c r="AC31" s="47"/>
      <c r="AD31" s="49"/>
      <c r="AE31" s="47"/>
      <c r="AF31" s="49"/>
      <c r="AG31" s="47"/>
      <c r="AH31" s="49"/>
      <c r="AI31" s="47"/>
      <c r="AJ31" s="49"/>
      <c r="AK31" s="47"/>
      <c r="AL31" s="49"/>
      <c r="AM31" s="47"/>
      <c r="AN31" s="49"/>
      <c r="AO31" s="47"/>
      <c r="AP31" s="49"/>
      <c r="AQ31" s="47"/>
      <c r="AR31" s="49"/>
      <c r="AS31" s="14"/>
      <c r="AT31" s="37">
        <f t="shared" si="24"/>
        <v>45077</v>
      </c>
      <c r="AU31" s="47"/>
      <c r="AV31" s="49"/>
      <c r="AW31" s="50"/>
      <c r="AX31" s="47"/>
      <c r="AY31" s="49"/>
      <c r="AZ31" s="47"/>
      <c r="BA31" s="49"/>
      <c r="BB31" s="49"/>
      <c r="BC31" s="47"/>
      <c r="BD31" s="51"/>
      <c r="BE31" s="48"/>
      <c r="BF31" s="52"/>
      <c r="BG31" s="47"/>
      <c r="BH31" s="49"/>
    </row>
    <row r="32" spans="2:60" x14ac:dyDescent="0.25">
      <c r="B32" s="37">
        <v>45082</v>
      </c>
      <c r="C32" s="96"/>
      <c r="D32" s="97"/>
      <c r="E32" s="28"/>
      <c r="F32" s="96"/>
      <c r="G32" s="97"/>
      <c r="H32" s="28"/>
      <c r="I32" s="96"/>
      <c r="J32" s="97"/>
      <c r="K32" s="28"/>
      <c r="L32" s="96"/>
      <c r="M32" s="97"/>
      <c r="N32" s="28"/>
      <c r="O32" s="96"/>
      <c r="P32" s="97"/>
      <c r="Q32" s="28"/>
      <c r="R32" s="29"/>
      <c r="S32" s="96"/>
      <c r="T32" s="97"/>
      <c r="U32" s="28"/>
      <c r="V32" s="96"/>
      <c r="W32" s="97"/>
      <c r="X32" s="28"/>
      <c r="Y32" s="30"/>
      <c r="Z32" s="16"/>
      <c r="AA32" s="47"/>
      <c r="AB32" s="49"/>
      <c r="AC32" s="47"/>
      <c r="AD32" s="49"/>
      <c r="AE32" s="47"/>
      <c r="AF32" s="49"/>
      <c r="AG32" s="47"/>
      <c r="AH32" s="49"/>
      <c r="AI32" s="47"/>
      <c r="AJ32" s="49"/>
      <c r="AK32" s="47"/>
      <c r="AL32" s="49"/>
      <c r="AM32" s="47"/>
      <c r="AN32" s="49"/>
      <c r="AO32" s="47"/>
      <c r="AP32" s="49"/>
      <c r="AQ32" s="47"/>
      <c r="AR32" s="49"/>
      <c r="AS32" s="14"/>
      <c r="AT32" s="37">
        <f t="shared" si="24"/>
        <v>45082</v>
      </c>
      <c r="AU32" s="47"/>
      <c r="AV32" s="49"/>
      <c r="AW32" s="50"/>
      <c r="AX32" s="47"/>
      <c r="AY32" s="49"/>
      <c r="AZ32" s="47"/>
      <c r="BA32" s="49"/>
      <c r="BB32" s="49"/>
      <c r="BC32" s="47"/>
      <c r="BD32" s="51"/>
      <c r="BE32" s="48"/>
      <c r="BF32" s="52"/>
      <c r="BG32" s="47"/>
      <c r="BH32" s="49"/>
    </row>
    <row r="33" spans="2:60" x14ac:dyDescent="0.25">
      <c r="B33" s="37">
        <v>45089</v>
      </c>
      <c r="C33" s="95"/>
      <c r="D33" s="95"/>
      <c r="E33" s="28"/>
      <c r="F33" s="95"/>
      <c r="G33" s="95"/>
      <c r="H33" s="28"/>
      <c r="I33" s="95"/>
      <c r="J33" s="95"/>
      <c r="K33" s="28"/>
      <c r="L33" s="95"/>
      <c r="M33" s="95"/>
      <c r="N33" s="28"/>
      <c r="O33" s="95"/>
      <c r="P33" s="95"/>
      <c r="Q33" s="28"/>
      <c r="R33" s="29"/>
      <c r="S33" s="95"/>
      <c r="T33" s="95"/>
      <c r="U33" s="28"/>
      <c r="V33" s="95"/>
      <c r="W33" s="95"/>
      <c r="X33" s="28"/>
      <c r="Y33" s="30"/>
      <c r="Z33" s="16"/>
      <c r="AA33" s="17"/>
      <c r="AB33" s="28"/>
      <c r="AC33" s="17"/>
      <c r="AD33" s="28"/>
      <c r="AE33" s="17"/>
      <c r="AF33" s="28"/>
      <c r="AG33" s="17"/>
      <c r="AH33" s="28"/>
      <c r="AI33" s="17"/>
      <c r="AJ33" s="28"/>
      <c r="AK33" s="17"/>
      <c r="AL33" s="28"/>
      <c r="AM33" s="17"/>
      <c r="AN33" s="28"/>
      <c r="AO33" s="17"/>
      <c r="AP33" s="28"/>
      <c r="AQ33" s="17"/>
      <c r="AR33" s="28"/>
      <c r="AS33" s="14"/>
      <c r="AT33" s="37">
        <f t="shared" si="24"/>
        <v>45089</v>
      </c>
      <c r="AU33" s="17"/>
      <c r="AV33" s="28"/>
      <c r="AW33" s="14"/>
      <c r="AX33" s="17"/>
      <c r="AY33" s="28"/>
      <c r="AZ33" s="17"/>
      <c r="BA33" s="31"/>
      <c r="BB33" s="28"/>
      <c r="BC33" s="17"/>
      <c r="BD33" s="80"/>
      <c r="BE33" s="44"/>
      <c r="BF33" s="45"/>
      <c r="BG33" s="17"/>
      <c r="BH33" s="28"/>
    </row>
    <row r="34" spans="2:60" x14ac:dyDescent="0.25">
      <c r="B34" s="37">
        <v>45096</v>
      </c>
      <c r="C34" s="96"/>
      <c r="D34" s="97"/>
      <c r="E34" s="28"/>
      <c r="F34" s="96"/>
      <c r="G34" s="97"/>
      <c r="H34" s="28"/>
      <c r="I34" s="96"/>
      <c r="J34" s="97"/>
      <c r="K34" s="28"/>
      <c r="L34" s="96"/>
      <c r="M34" s="97"/>
      <c r="N34" s="28"/>
      <c r="O34" s="96"/>
      <c r="P34" s="97"/>
      <c r="Q34" s="28"/>
      <c r="R34" s="29"/>
      <c r="S34" s="96"/>
      <c r="T34" s="97"/>
      <c r="U34" s="28"/>
      <c r="V34" s="96"/>
      <c r="W34" s="97"/>
      <c r="X34" s="28"/>
      <c r="Y34" s="30"/>
      <c r="Z34" s="16"/>
      <c r="AA34" s="47"/>
      <c r="AB34" s="49"/>
      <c r="AC34" s="47"/>
      <c r="AD34" s="49"/>
      <c r="AE34" s="47"/>
      <c r="AF34" s="49"/>
      <c r="AG34" s="47"/>
      <c r="AH34" s="49"/>
      <c r="AI34" s="47"/>
      <c r="AJ34" s="49"/>
      <c r="AK34" s="47"/>
      <c r="AL34" s="49"/>
      <c r="AM34" s="47"/>
      <c r="AN34" s="49"/>
      <c r="AO34" s="47"/>
      <c r="AP34" s="49"/>
      <c r="AQ34" s="47"/>
      <c r="AR34" s="49"/>
      <c r="AS34" s="14"/>
      <c r="AT34" s="37">
        <f t="shared" si="24"/>
        <v>45096</v>
      </c>
      <c r="AU34" s="47"/>
      <c r="AV34" s="49"/>
      <c r="AW34" s="50"/>
      <c r="AX34" s="47"/>
      <c r="AY34" s="49"/>
      <c r="AZ34" s="47"/>
      <c r="BA34" s="49"/>
      <c r="BB34" s="49"/>
      <c r="BC34" s="47"/>
      <c r="BD34" s="51"/>
      <c r="BE34" s="48"/>
      <c r="BF34" s="52"/>
      <c r="BG34" s="47"/>
      <c r="BH34" s="49"/>
    </row>
    <row r="35" spans="2:60" x14ac:dyDescent="0.25">
      <c r="B35" s="37">
        <v>45103</v>
      </c>
      <c r="C35" s="96"/>
      <c r="D35" s="97"/>
      <c r="E35" s="28"/>
      <c r="F35" s="96"/>
      <c r="G35" s="97"/>
      <c r="H35" s="28"/>
      <c r="I35" s="96"/>
      <c r="J35" s="97"/>
      <c r="K35" s="28"/>
      <c r="L35" s="96"/>
      <c r="M35" s="97"/>
      <c r="N35" s="28"/>
      <c r="O35" s="96"/>
      <c r="P35" s="97"/>
      <c r="Q35" s="28"/>
      <c r="R35" s="29"/>
      <c r="S35" s="96"/>
      <c r="T35" s="97"/>
      <c r="U35" s="28"/>
      <c r="V35" s="96"/>
      <c r="W35" s="97"/>
      <c r="X35" s="28"/>
      <c r="Y35" s="30"/>
      <c r="Z35" s="16"/>
      <c r="AA35" s="47"/>
      <c r="AB35" s="49"/>
      <c r="AC35" s="47"/>
      <c r="AD35" s="49"/>
      <c r="AE35" s="47"/>
      <c r="AF35" s="49"/>
      <c r="AG35" s="47"/>
      <c r="AH35" s="49"/>
      <c r="AI35" s="47"/>
      <c r="AJ35" s="49"/>
      <c r="AK35" s="47"/>
      <c r="AL35" s="49"/>
      <c r="AM35" s="47"/>
      <c r="AN35" s="49"/>
      <c r="AO35" s="47"/>
      <c r="AP35" s="49"/>
      <c r="AQ35" s="47"/>
      <c r="AR35" s="49"/>
      <c r="AS35" s="14"/>
      <c r="AT35" s="37">
        <f t="shared" si="24"/>
        <v>45103</v>
      </c>
      <c r="AU35" s="47"/>
      <c r="AV35" s="49"/>
      <c r="AW35" s="50"/>
      <c r="AX35" s="47"/>
      <c r="AY35" s="49"/>
      <c r="AZ35" s="47"/>
      <c r="BA35" s="49"/>
      <c r="BB35" s="49"/>
      <c r="BC35" s="47"/>
      <c r="BD35" s="51"/>
      <c r="BE35" s="48"/>
      <c r="BF35" s="52"/>
      <c r="BG35" s="47"/>
      <c r="BH35" s="49"/>
    </row>
    <row r="36" spans="2:60" x14ac:dyDescent="0.25">
      <c r="B36" s="37">
        <v>45107</v>
      </c>
      <c r="C36" s="96"/>
      <c r="D36" s="97"/>
      <c r="E36" s="28"/>
      <c r="F36" s="96"/>
      <c r="G36" s="97"/>
      <c r="H36" s="28"/>
      <c r="I36" s="96"/>
      <c r="J36" s="97"/>
      <c r="K36" s="28"/>
      <c r="L36" s="96"/>
      <c r="M36" s="97"/>
      <c r="N36" s="28"/>
      <c r="O36" s="96"/>
      <c r="P36" s="97"/>
      <c r="Q36" s="28"/>
      <c r="R36" s="29"/>
      <c r="S36" s="96"/>
      <c r="T36" s="97"/>
      <c r="U36" s="28"/>
      <c r="V36" s="96"/>
      <c r="W36" s="97"/>
      <c r="X36" s="28"/>
      <c r="Y36" s="30"/>
      <c r="Z36" s="16"/>
      <c r="AA36" s="47"/>
      <c r="AB36" s="49"/>
      <c r="AC36" s="47"/>
      <c r="AD36" s="49"/>
      <c r="AE36" s="47"/>
      <c r="AF36" s="49"/>
      <c r="AG36" s="47"/>
      <c r="AH36" s="49"/>
      <c r="AI36" s="47"/>
      <c r="AJ36" s="49"/>
      <c r="AK36" s="47"/>
      <c r="AL36" s="49"/>
      <c r="AM36" s="47"/>
      <c r="AN36" s="49"/>
      <c r="AO36" s="47"/>
      <c r="AP36" s="49"/>
      <c r="AQ36" s="47"/>
      <c r="AR36" s="49"/>
      <c r="AS36" s="14"/>
      <c r="AT36" s="37">
        <f t="shared" si="24"/>
        <v>45107</v>
      </c>
      <c r="AU36" s="47"/>
      <c r="AV36" s="49"/>
      <c r="AW36" s="50"/>
      <c r="AX36" s="47"/>
      <c r="AY36" s="49"/>
      <c r="AZ36" s="47"/>
      <c r="BA36" s="49"/>
      <c r="BB36" s="49"/>
      <c r="BC36" s="47"/>
      <c r="BD36" s="51"/>
      <c r="BE36" s="48"/>
      <c r="BF36" s="52"/>
      <c r="BG36" s="47"/>
      <c r="BH36" s="49"/>
    </row>
    <row r="37" spans="2:60" x14ac:dyDescent="0.25">
      <c r="B37" s="37">
        <v>45110</v>
      </c>
      <c r="C37" s="96"/>
      <c r="D37" s="97"/>
      <c r="E37" s="28"/>
      <c r="F37" s="96"/>
      <c r="G37" s="97"/>
      <c r="H37" s="28"/>
      <c r="I37" s="96"/>
      <c r="J37" s="97"/>
      <c r="K37" s="28"/>
      <c r="L37" s="96"/>
      <c r="M37" s="97"/>
      <c r="N37" s="28"/>
      <c r="O37" s="96"/>
      <c r="P37" s="97"/>
      <c r="Q37" s="28"/>
      <c r="R37" s="29"/>
      <c r="S37" s="96"/>
      <c r="T37" s="97"/>
      <c r="U37" s="28"/>
      <c r="V37" s="96"/>
      <c r="W37" s="97"/>
      <c r="X37" s="28"/>
      <c r="Y37" s="30"/>
      <c r="Z37" s="16"/>
      <c r="AA37" s="47"/>
      <c r="AB37" s="49"/>
      <c r="AC37" s="47"/>
      <c r="AD37" s="49"/>
      <c r="AE37" s="47"/>
      <c r="AF37" s="49"/>
      <c r="AG37" s="47"/>
      <c r="AH37" s="49"/>
      <c r="AI37" s="47"/>
      <c r="AJ37" s="49"/>
      <c r="AK37" s="47"/>
      <c r="AL37" s="49"/>
      <c r="AM37" s="47"/>
      <c r="AN37" s="49"/>
      <c r="AO37" s="47"/>
      <c r="AP37" s="49"/>
      <c r="AQ37" s="47"/>
      <c r="AR37" s="49"/>
      <c r="AS37" s="14"/>
      <c r="AT37" s="37">
        <f t="shared" si="24"/>
        <v>45110</v>
      </c>
      <c r="AU37" s="47"/>
      <c r="AV37" s="49"/>
      <c r="AW37" s="50"/>
      <c r="AX37" s="47"/>
      <c r="AY37" s="49"/>
      <c r="AZ37" s="47"/>
      <c r="BA37" s="49"/>
      <c r="BB37" s="49"/>
      <c r="BC37" s="47"/>
      <c r="BD37" s="51"/>
      <c r="BE37" s="48"/>
      <c r="BF37" s="52"/>
      <c r="BG37" s="47"/>
      <c r="BH37" s="49"/>
    </row>
    <row r="38" spans="2:60" x14ac:dyDescent="0.25">
      <c r="B38" s="37">
        <v>45117</v>
      </c>
      <c r="C38" s="96"/>
      <c r="D38" s="97"/>
      <c r="E38" s="28"/>
      <c r="F38" s="96"/>
      <c r="G38" s="97"/>
      <c r="H38" s="28"/>
      <c r="I38" s="96"/>
      <c r="J38" s="97"/>
      <c r="K38" s="28"/>
      <c r="L38" s="96"/>
      <c r="M38" s="97"/>
      <c r="N38" s="28"/>
      <c r="O38" s="96"/>
      <c r="P38" s="97"/>
      <c r="Q38" s="28"/>
      <c r="R38" s="29"/>
      <c r="S38" s="96"/>
      <c r="T38" s="97"/>
      <c r="U38" s="28"/>
      <c r="V38" s="96"/>
      <c r="W38" s="97"/>
      <c r="X38" s="28"/>
      <c r="Y38" s="30"/>
      <c r="Z38" s="16"/>
      <c r="AA38" s="47"/>
      <c r="AB38" s="49"/>
      <c r="AC38" s="47"/>
      <c r="AD38" s="49"/>
      <c r="AE38" s="47"/>
      <c r="AF38" s="49"/>
      <c r="AG38" s="47"/>
      <c r="AH38" s="49"/>
      <c r="AI38" s="47"/>
      <c r="AJ38" s="49"/>
      <c r="AK38" s="47"/>
      <c r="AL38" s="49"/>
      <c r="AM38" s="47"/>
      <c r="AN38" s="49"/>
      <c r="AO38" s="47"/>
      <c r="AP38" s="49"/>
      <c r="AQ38" s="47"/>
      <c r="AR38" s="49"/>
      <c r="AS38" s="14"/>
      <c r="AT38" s="37">
        <f t="shared" si="24"/>
        <v>45117</v>
      </c>
      <c r="AU38" s="47"/>
      <c r="AV38" s="49"/>
      <c r="AW38" s="50"/>
      <c r="AX38" s="47"/>
      <c r="AY38" s="49"/>
      <c r="AZ38" s="47"/>
      <c r="BA38" s="49"/>
      <c r="BB38" s="49"/>
      <c r="BC38" s="47"/>
      <c r="BD38" s="51"/>
      <c r="BE38" s="48"/>
      <c r="BF38" s="52"/>
      <c r="BG38" s="47"/>
      <c r="BH38" s="49"/>
    </row>
    <row r="39" spans="2:60" x14ac:dyDescent="0.25">
      <c r="B39" s="37">
        <v>45124</v>
      </c>
      <c r="C39" s="96"/>
      <c r="D39" s="97"/>
      <c r="E39" s="28"/>
      <c r="F39" s="96"/>
      <c r="G39" s="97"/>
      <c r="H39" s="28"/>
      <c r="I39" s="96"/>
      <c r="J39" s="97"/>
      <c r="K39" s="28"/>
      <c r="L39" s="96"/>
      <c r="M39" s="97"/>
      <c r="N39" s="28"/>
      <c r="O39" s="96"/>
      <c r="P39" s="97"/>
      <c r="Q39" s="28"/>
      <c r="R39" s="29"/>
      <c r="S39" s="96"/>
      <c r="T39" s="97"/>
      <c r="U39" s="28"/>
      <c r="V39" s="96"/>
      <c r="W39" s="97"/>
      <c r="X39" s="28"/>
      <c r="Y39" s="30"/>
      <c r="Z39" s="16"/>
      <c r="AA39" s="47"/>
      <c r="AB39" s="49"/>
      <c r="AC39" s="47"/>
      <c r="AD39" s="49"/>
      <c r="AE39" s="47"/>
      <c r="AF39" s="49"/>
      <c r="AG39" s="47"/>
      <c r="AH39" s="49"/>
      <c r="AI39" s="47"/>
      <c r="AJ39" s="49"/>
      <c r="AK39" s="47"/>
      <c r="AL39" s="49"/>
      <c r="AM39" s="47"/>
      <c r="AN39" s="49"/>
      <c r="AO39" s="47"/>
      <c r="AP39" s="49"/>
      <c r="AQ39" s="47"/>
      <c r="AR39" s="49"/>
      <c r="AS39" s="14"/>
      <c r="AT39" s="37">
        <f t="shared" si="24"/>
        <v>45124</v>
      </c>
      <c r="AU39" s="47"/>
      <c r="AV39" s="49"/>
      <c r="AW39" s="50"/>
      <c r="AX39" s="47"/>
      <c r="AY39" s="49"/>
      <c r="AZ39" s="47"/>
      <c r="BA39" s="49"/>
      <c r="BB39" s="49"/>
      <c r="BC39" s="47"/>
      <c r="BD39" s="51"/>
      <c r="BE39" s="48"/>
      <c r="BF39" s="52"/>
      <c r="BG39" s="47"/>
      <c r="BH39" s="49"/>
    </row>
    <row r="40" spans="2:60" x14ac:dyDescent="0.25">
      <c r="B40" s="37">
        <v>45131</v>
      </c>
      <c r="C40" s="96"/>
      <c r="D40" s="97"/>
      <c r="E40" s="28"/>
      <c r="F40" s="96"/>
      <c r="G40" s="97"/>
      <c r="H40" s="28"/>
      <c r="I40" s="96"/>
      <c r="J40" s="97"/>
      <c r="K40" s="28"/>
      <c r="L40" s="96"/>
      <c r="M40" s="97"/>
      <c r="N40" s="28"/>
      <c r="O40" s="96"/>
      <c r="P40" s="97"/>
      <c r="Q40" s="28"/>
      <c r="R40" s="29"/>
      <c r="S40" s="96"/>
      <c r="T40" s="97"/>
      <c r="U40" s="28"/>
      <c r="V40" s="96"/>
      <c r="W40" s="97"/>
      <c r="X40" s="28"/>
      <c r="Y40" s="30"/>
      <c r="Z40" s="16"/>
      <c r="AA40" s="47"/>
      <c r="AB40" s="49"/>
      <c r="AC40" s="47"/>
      <c r="AD40" s="49"/>
      <c r="AE40" s="47"/>
      <c r="AF40" s="49"/>
      <c r="AG40" s="47"/>
      <c r="AH40" s="49"/>
      <c r="AI40" s="47"/>
      <c r="AJ40" s="49"/>
      <c r="AK40" s="47"/>
      <c r="AL40" s="49"/>
      <c r="AM40" s="47"/>
      <c r="AN40" s="49"/>
      <c r="AO40" s="47"/>
      <c r="AP40" s="49"/>
      <c r="AQ40" s="47"/>
      <c r="AR40" s="49"/>
      <c r="AS40" s="14"/>
      <c r="AT40" s="37">
        <f t="shared" si="24"/>
        <v>45131</v>
      </c>
      <c r="AU40" s="47"/>
      <c r="AV40" s="49"/>
      <c r="AW40" s="50"/>
      <c r="AX40" s="47"/>
      <c r="AY40" s="49"/>
      <c r="AZ40" s="47"/>
      <c r="BA40" s="49"/>
      <c r="BB40" s="49"/>
      <c r="BC40" s="47"/>
      <c r="BD40" s="51"/>
      <c r="BE40" s="48"/>
      <c r="BF40" s="52"/>
      <c r="BG40" s="47"/>
      <c r="BH40" s="49"/>
    </row>
    <row r="41" spans="2:60" x14ac:dyDescent="0.25">
      <c r="B41" s="37">
        <v>45138</v>
      </c>
      <c r="C41" s="96"/>
      <c r="D41" s="97"/>
      <c r="E41" s="28"/>
      <c r="F41" s="96"/>
      <c r="G41" s="97"/>
      <c r="H41" s="28"/>
      <c r="I41" s="96"/>
      <c r="J41" s="97"/>
      <c r="K41" s="28"/>
      <c r="L41" s="96"/>
      <c r="M41" s="97"/>
      <c r="N41" s="28"/>
      <c r="O41" s="96"/>
      <c r="P41" s="97"/>
      <c r="Q41" s="28"/>
      <c r="R41" s="29"/>
      <c r="S41" s="96"/>
      <c r="T41" s="97"/>
      <c r="U41" s="28"/>
      <c r="V41" s="96"/>
      <c r="W41" s="97"/>
      <c r="X41" s="28"/>
      <c r="Y41" s="30"/>
      <c r="Z41" s="16"/>
      <c r="AA41" s="47"/>
      <c r="AB41" s="49"/>
      <c r="AC41" s="47"/>
      <c r="AD41" s="49"/>
      <c r="AE41" s="47"/>
      <c r="AF41" s="49"/>
      <c r="AG41" s="47"/>
      <c r="AH41" s="49"/>
      <c r="AI41" s="47"/>
      <c r="AJ41" s="49"/>
      <c r="AK41" s="47"/>
      <c r="AL41" s="49"/>
      <c r="AM41" s="47"/>
      <c r="AN41" s="49"/>
      <c r="AO41" s="47"/>
      <c r="AP41" s="49"/>
      <c r="AQ41" s="47"/>
      <c r="AR41" s="49"/>
      <c r="AS41" s="14"/>
      <c r="AT41" s="37">
        <f t="shared" si="24"/>
        <v>45138</v>
      </c>
      <c r="AU41" s="47"/>
      <c r="AV41" s="49"/>
      <c r="AW41" s="50"/>
      <c r="AX41" s="47"/>
      <c r="AY41" s="49"/>
      <c r="AZ41" s="47"/>
      <c r="BA41" s="49"/>
      <c r="BB41" s="49"/>
      <c r="BC41" s="47"/>
      <c r="BD41" s="51"/>
      <c r="BE41" s="48"/>
      <c r="BF41" s="52"/>
      <c r="BG41" s="47"/>
      <c r="BH41" s="49"/>
    </row>
    <row r="42" spans="2:60" x14ac:dyDescent="0.25">
      <c r="B42" s="37">
        <v>45145</v>
      </c>
      <c r="C42" s="96"/>
      <c r="D42" s="97"/>
      <c r="E42" s="28"/>
      <c r="F42" s="96"/>
      <c r="G42" s="97"/>
      <c r="H42" s="28"/>
      <c r="I42" s="96"/>
      <c r="J42" s="97"/>
      <c r="K42" s="28"/>
      <c r="L42" s="96"/>
      <c r="M42" s="97"/>
      <c r="N42" s="28"/>
      <c r="O42" s="96"/>
      <c r="P42" s="97"/>
      <c r="Q42" s="28"/>
      <c r="R42" s="29"/>
      <c r="S42" s="96"/>
      <c r="T42" s="97"/>
      <c r="U42" s="28"/>
      <c r="V42" s="96"/>
      <c r="W42" s="97"/>
      <c r="X42" s="28"/>
      <c r="Y42" s="30"/>
      <c r="Z42" s="16"/>
      <c r="AA42" s="47"/>
      <c r="AB42" s="49"/>
      <c r="AC42" s="47"/>
      <c r="AD42" s="49"/>
      <c r="AE42" s="47"/>
      <c r="AF42" s="49"/>
      <c r="AG42" s="47"/>
      <c r="AH42" s="49"/>
      <c r="AI42" s="47"/>
      <c r="AJ42" s="49"/>
      <c r="AK42" s="47"/>
      <c r="AL42" s="49"/>
      <c r="AM42" s="47"/>
      <c r="AN42" s="49"/>
      <c r="AO42" s="47"/>
      <c r="AP42" s="49"/>
      <c r="AQ42" s="47"/>
      <c r="AR42" s="49"/>
      <c r="AS42" s="14"/>
      <c r="AT42" s="37">
        <f t="shared" si="24"/>
        <v>45145</v>
      </c>
      <c r="AU42" s="47"/>
      <c r="AV42" s="49"/>
      <c r="AW42" s="50"/>
      <c r="AX42" s="47"/>
      <c r="AY42" s="49"/>
      <c r="AZ42" s="47"/>
      <c r="BA42" s="49"/>
      <c r="BB42" s="49"/>
      <c r="BC42" s="47"/>
      <c r="BD42" s="51"/>
      <c r="BE42" s="48"/>
      <c r="BF42" s="52"/>
      <c r="BG42" s="47"/>
      <c r="BH42" s="49"/>
    </row>
    <row r="43" spans="2:60" x14ac:dyDescent="0.25">
      <c r="B43" s="37">
        <v>45152</v>
      </c>
      <c r="C43" s="95"/>
      <c r="D43" s="95"/>
      <c r="E43" s="28"/>
      <c r="F43" s="95"/>
      <c r="G43" s="95"/>
      <c r="H43" s="28"/>
      <c r="I43" s="95"/>
      <c r="J43" s="95"/>
      <c r="K43" s="28"/>
      <c r="L43" s="95"/>
      <c r="M43" s="95"/>
      <c r="N43" s="28"/>
      <c r="O43" s="95"/>
      <c r="P43" s="95"/>
      <c r="Q43" s="28"/>
      <c r="R43" s="29"/>
      <c r="S43" s="95"/>
      <c r="T43" s="95"/>
      <c r="U43" s="28"/>
      <c r="V43" s="95"/>
      <c r="W43" s="95"/>
      <c r="X43" s="28"/>
      <c r="Y43" s="30"/>
      <c r="Z43" s="16"/>
      <c r="AA43" s="17"/>
      <c r="AB43" s="28"/>
      <c r="AC43" s="17"/>
      <c r="AD43" s="28"/>
      <c r="AE43" s="17"/>
      <c r="AF43" s="28"/>
      <c r="AG43" s="17"/>
      <c r="AH43" s="28"/>
      <c r="AI43" s="17"/>
      <c r="AJ43" s="28"/>
      <c r="AK43" s="17"/>
      <c r="AL43" s="28"/>
      <c r="AM43" s="17"/>
      <c r="AN43" s="28"/>
      <c r="AO43" s="17"/>
      <c r="AP43" s="28"/>
      <c r="AQ43" s="17"/>
      <c r="AR43" s="28"/>
      <c r="AS43" s="14"/>
      <c r="AT43" s="37">
        <f t="shared" si="24"/>
        <v>45152</v>
      </c>
      <c r="AU43" s="17"/>
      <c r="AV43" s="28"/>
      <c r="AW43" s="14"/>
      <c r="AX43" s="17"/>
      <c r="AY43" s="28"/>
      <c r="AZ43" s="17"/>
      <c r="BA43" s="31"/>
      <c r="BB43" s="28"/>
      <c r="BC43" s="17"/>
      <c r="BD43" s="80"/>
      <c r="BE43" s="44"/>
      <c r="BF43" s="45"/>
      <c r="BG43" s="17"/>
      <c r="BH43" s="28"/>
    </row>
    <row r="44" spans="2:60" x14ac:dyDescent="0.25">
      <c r="B44" s="37">
        <v>45159</v>
      </c>
      <c r="C44" s="95"/>
      <c r="D44" s="95"/>
      <c r="E44" s="28"/>
      <c r="F44" s="95"/>
      <c r="G44" s="95"/>
      <c r="H44" s="28"/>
      <c r="I44" s="95"/>
      <c r="J44" s="95"/>
      <c r="K44" s="28"/>
      <c r="L44" s="95"/>
      <c r="M44" s="95"/>
      <c r="N44" s="28"/>
      <c r="O44" s="95"/>
      <c r="P44" s="95"/>
      <c r="Q44" s="28"/>
      <c r="R44" s="29"/>
      <c r="S44" s="95"/>
      <c r="T44" s="95"/>
      <c r="U44" s="28"/>
      <c r="V44" s="95"/>
      <c r="W44" s="95"/>
      <c r="X44" s="28"/>
      <c r="Y44" s="30"/>
      <c r="Z44" s="16"/>
      <c r="AA44" s="17"/>
      <c r="AB44" s="28"/>
      <c r="AC44" s="17"/>
      <c r="AD44" s="28"/>
      <c r="AE44" s="17"/>
      <c r="AF44" s="28"/>
      <c r="AG44" s="17"/>
      <c r="AH44" s="28"/>
      <c r="AI44" s="17"/>
      <c r="AJ44" s="28"/>
      <c r="AK44" s="17"/>
      <c r="AL44" s="28"/>
      <c r="AM44" s="17"/>
      <c r="AN44" s="28"/>
      <c r="AO44" s="17"/>
      <c r="AP44" s="28"/>
      <c r="AQ44" s="17"/>
      <c r="AR44" s="28"/>
      <c r="AS44" s="14"/>
      <c r="AT44" s="37">
        <f t="shared" si="24"/>
        <v>45159</v>
      </c>
      <c r="AU44" s="17"/>
      <c r="AV44" s="28"/>
      <c r="AW44" s="14"/>
      <c r="AX44" s="17"/>
      <c r="AY44" s="28"/>
      <c r="AZ44" s="17"/>
      <c r="BA44" s="28"/>
      <c r="BB44" s="28"/>
      <c r="BC44" s="17"/>
      <c r="BD44" s="28"/>
      <c r="BE44" s="44"/>
      <c r="BF44" s="28"/>
      <c r="BG44" s="17"/>
      <c r="BH44" s="28"/>
    </row>
    <row r="45" spans="2:60" x14ac:dyDescent="0.25">
      <c r="B45" s="37">
        <v>45166</v>
      </c>
      <c r="C45" s="96"/>
      <c r="D45" s="97"/>
      <c r="E45" s="28"/>
      <c r="F45" s="96"/>
      <c r="G45" s="97"/>
      <c r="H45" s="28"/>
      <c r="I45" s="96"/>
      <c r="J45" s="97"/>
      <c r="K45" s="28"/>
      <c r="L45" s="96"/>
      <c r="M45" s="97"/>
      <c r="N45" s="28"/>
      <c r="O45" s="96"/>
      <c r="P45" s="97"/>
      <c r="Q45" s="28"/>
      <c r="R45" s="29"/>
      <c r="S45" s="96"/>
      <c r="T45" s="97"/>
      <c r="U45" s="28"/>
      <c r="V45" s="96"/>
      <c r="W45" s="97"/>
      <c r="X45" s="28"/>
      <c r="Y45" s="30"/>
      <c r="Z45" s="16"/>
      <c r="AA45" s="47"/>
      <c r="AB45" s="49"/>
      <c r="AC45" s="47"/>
      <c r="AD45" s="49"/>
      <c r="AE45" s="47"/>
      <c r="AF45" s="49"/>
      <c r="AG45" s="47"/>
      <c r="AH45" s="49"/>
      <c r="AI45" s="47"/>
      <c r="AJ45" s="49"/>
      <c r="AK45" s="47"/>
      <c r="AL45" s="49"/>
      <c r="AM45" s="47"/>
      <c r="AN45" s="49"/>
      <c r="AO45" s="47"/>
      <c r="AP45" s="49"/>
      <c r="AQ45" s="47"/>
      <c r="AR45" s="49"/>
      <c r="AS45" s="14"/>
      <c r="AT45" s="37">
        <f t="shared" si="24"/>
        <v>45166</v>
      </c>
      <c r="AU45" s="47"/>
      <c r="AV45" s="49"/>
      <c r="AW45" s="50"/>
      <c r="AX45" s="47"/>
      <c r="AY45" s="49"/>
      <c r="AZ45" s="47"/>
      <c r="BA45" s="49"/>
      <c r="BB45" s="49"/>
      <c r="BC45" s="47"/>
      <c r="BD45" s="51"/>
      <c r="BE45" s="48"/>
      <c r="BF45" s="52"/>
      <c r="BG45" s="47"/>
      <c r="BH45" s="49"/>
    </row>
    <row r="46" spans="2:60" x14ac:dyDescent="0.25">
      <c r="B46" s="37">
        <v>45169</v>
      </c>
      <c r="C46" s="95"/>
      <c r="D46" s="95"/>
      <c r="E46" s="28"/>
      <c r="F46" s="95"/>
      <c r="G46" s="95"/>
      <c r="H46" s="28"/>
      <c r="I46" s="95"/>
      <c r="J46" s="95"/>
      <c r="K46" s="28"/>
      <c r="L46" s="95"/>
      <c r="M46" s="95"/>
      <c r="N46" s="28"/>
      <c r="O46" s="95"/>
      <c r="P46" s="95"/>
      <c r="Q46" s="28"/>
      <c r="R46" s="29"/>
      <c r="S46" s="95"/>
      <c r="T46" s="95"/>
      <c r="U46" s="28"/>
      <c r="V46" s="95"/>
      <c r="W46" s="95"/>
      <c r="X46" s="28"/>
      <c r="Y46" s="30"/>
      <c r="Z46" s="16"/>
      <c r="AA46" s="17"/>
      <c r="AB46" s="28"/>
      <c r="AC46" s="17"/>
      <c r="AD46" s="28"/>
      <c r="AE46" s="17"/>
      <c r="AF46" s="28"/>
      <c r="AG46" s="17"/>
      <c r="AH46" s="28"/>
      <c r="AI46" s="17"/>
      <c r="AJ46" s="28"/>
      <c r="AK46" s="17"/>
      <c r="AL46" s="28"/>
      <c r="AM46" s="17"/>
      <c r="AN46" s="28"/>
      <c r="AO46" s="17"/>
      <c r="AP46" s="28"/>
      <c r="AQ46" s="17"/>
      <c r="AR46" s="28"/>
      <c r="AS46" s="14"/>
      <c r="AT46" s="37">
        <f t="shared" si="24"/>
        <v>45169</v>
      </c>
      <c r="AU46" s="17"/>
      <c r="AV46" s="28"/>
      <c r="AW46" s="14"/>
      <c r="AX46" s="17"/>
      <c r="AY46" s="28"/>
      <c r="AZ46" s="17"/>
      <c r="BA46" s="31"/>
      <c r="BB46" s="28"/>
      <c r="BC46" s="17"/>
      <c r="BD46" s="80"/>
      <c r="BE46" s="44"/>
      <c r="BF46" s="45"/>
      <c r="BG46" s="17"/>
      <c r="BH46" s="28"/>
    </row>
    <row r="47" spans="2:60" x14ac:dyDescent="0.25">
      <c r="B47" s="37">
        <v>45173</v>
      </c>
      <c r="C47" s="96"/>
      <c r="D47" s="97"/>
      <c r="E47" s="28"/>
      <c r="F47" s="96"/>
      <c r="G47" s="97"/>
      <c r="H47" s="28"/>
      <c r="I47" s="96"/>
      <c r="J47" s="97"/>
      <c r="K47" s="28"/>
      <c r="L47" s="96"/>
      <c r="M47" s="97"/>
      <c r="N47" s="28"/>
      <c r="O47" s="96"/>
      <c r="P47" s="97"/>
      <c r="Q47" s="28"/>
      <c r="R47" s="29"/>
      <c r="S47" s="96"/>
      <c r="T47" s="97"/>
      <c r="U47" s="28"/>
      <c r="V47" s="96"/>
      <c r="W47" s="97"/>
      <c r="X47" s="28"/>
      <c r="Y47" s="30"/>
      <c r="Z47" s="16"/>
      <c r="AA47" s="47"/>
      <c r="AB47" s="49"/>
      <c r="AC47" s="47"/>
      <c r="AD47" s="49"/>
      <c r="AE47" s="47"/>
      <c r="AF47" s="49"/>
      <c r="AG47" s="47"/>
      <c r="AH47" s="49"/>
      <c r="AI47" s="47"/>
      <c r="AJ47" s="49"/>
      <c r="AK47" s="47"/>
      <c r="AL47" s="49"/>
      <c r="AM47" s="47"/>
      <c r="AN47" s="49"/>
      <c r="AO47" s="47"/>
      <c r="AP47" s="49"/>
      <c r="AQ47" s="47"/>
      <c r="AR47" s="49"/>
      <c r="AS47" s="14"/>
      <c r="AT47" s="37">
        <f t="shared" si="24"/>
        <v>45173</v>
      </c>
      <c r="AU47" s="47"/>
      <c r="AV47" s="49"/>
      <c r="AW47" s="50"/>
      <c r="AX47" s="47"/>
      <c r="AY47" s="49"/>
      <c r="AZ47" s="47"/>
      <c r="BA47" s="49"/>
      <c r="BB47" s="49"/>
      <c r="BC47" s="47"/>
      <c r="BD47" s="51"/>
      <c r="BE47" s="48"/>
      <c r="BF47" s="52"/>
      <c r="BG47" s="47"/>
      <c r="BH47" s="49"/>
    </row>
    <row r="48" spans="2:60" x14ac:dyDescent="0.25">
      <c r="B48" s="37">
        <v>45180</v>
      </c>
      <c r="C48" s="96"/>
      <c r="D48" s="97"/>
      <c r="E48" s="28"/>
      <c r="F48" s="96"/>
      <c r="G48" s="97"/>
      <c r="H48" s="28"/>
      <c r="I48" s="96"/>
      <c r="J48" s="97"/>
      <c r="K48" s="28"/>
      <c r="L48" s="96"/>
      <c r="M48" s="97"/>
      <c r="N48" s="28"/>
      <c r="O48" s="96"/>
      <c r="P48" s="97"/>
      <c r="Q48" s="28"/>
      <c r="R48" s="29"/>
      <c r="S48" s="96"/>
      <c r="T48" s="97"/>
      <c r="U48" s="28"/>
      <c r="V48" s="96"/>
      <c r="W48" s="97"/>
      <c r="X48" s="28"/>
      <c r="Y48" s="30"/>
      <c r="Z48" s="16"/>
      <c r="AA48" s="47"/>
      <c r="AB48" s="49"/>
      <c r="AC48" s="47"/>
      <c r="AD48" s="49"/>
      <c r="AE48" s="47"/>
      <c r="AF48" s="49"/>
      <c r="AG48" s="47"/>
      <c r="AH48" s="49"/>
      <c r="AI48" s="47"/>
      <c r="AJ48" s="49"/>
      <c r="AK48" s="47"/>
      <c r="AL48" s="49"/>
      <c r="AM48" s="47"/>
      <c r="AN48" s="49"/>
      <c r="AO48" s="47"/>
      <c r="AP48" s="49"/>
      <c r="AQ48" s="47"/>
      <c r="AR48" s="49"/>
      <c r="AS48" s="14"/>
      <c r="AT48" s="37">
        <f t="shared" si="24"/>
        <v>45180</v>
      </c>
      <c r="AU48" s="47"/>
      <c r="AV48" s="49"/>
      <c r="AW48" s="50"/>
      <c r="AX48" s="47"/>
      <c r="AY48" s="49"/>
      <c r="AZ48" s="47"/>
      <c r="BA48" s="49"/>
      <c r="BB48" s="49"/>
      <c r="BC48" s="47"/>
      <c r="BD48" s="51"/>
      <c r="BE48" s="48"/>
      <c r="BF48" s="52"/>
      <c r="BG48" s="47"/>
      <c r="BH48" s="49"/>
    </row>
    <row r="49" spans="2:60" x14ac:dyDescent="0.25">
      <c r="B49" s="37">
        <v>45187</v>
      </c>
      <c r="C49" s="96"/>
      <c r="D49" s="97"/>
      <c r="E49" s="28"/>
      <c r="F49" s="96"/>
      <c r="G49" s="97"/>
      <c r="H49" s="28"/>
      <c r="I49" s="96"/>
      <c r="J49" s="97"/>
      <c r="K49" s="28"/>
      <c r="L49" s="96"/>
      <c r="M49" s="97"/>
      <c r="N49" s="28"/>
      <c r="O49" s="96"/>
      <c r="P49" s="97"/>
      <c r="Q49" s="28"/>
      <c r="R49" s="29"/>
      <c r="S49" s="96"/>
      <c r="T49" s="97"/>
      <c r="U49" s="28"/>
      <c r="V49" s="96"/>
      <c r="W49" s="97"/>
      <c r="X49" s="28"/>
      <c r="Y49" s="30"/>
      <c r="Z49" s="16"/>
      <c r="AA49" s="47"/>
      <c r="AB49" s="49"/>
      <c r="AC49" s="47"/>
      <c r="AD49" s="49"/>
      <c r="AE49" s="47"/>
      <c r="AF49" s="49"/>
      <c r="AG49" s="47"/>
      <c r="AH49" s="49"/>
      <c r="AI49" s="47"/>
      <c r="AJ49" s="49"/>
      <c r="AK49" s="47"/>
      <c r="AL49" s="49"/>
      <c r="AM49" s="47"/>
      <c r="AN49" s="49"/>
      <c r="AO49" s="47"/>
      <c r="AP49" s="49"/>
      <c r="AQ49" s="47"/>
      <c r="AR49" s="49"/>
      <c r="AS49" s="14"/>
      <c r="AT49" s="37">
        <f t="shared" si="24"/>
        <v>45187</v>
      </c>
      <c r="AU49" s="47"/>
      <c r="AV49" s="49"/>
      <c r="AW49" s="50"/>
      <c r="AX49" s="47"/>
      <c r="AY49" s="49"/>
      <c r="AZ49" s="47"/>
      <c r="BA49" s="49"/>
      <c r="BB49" s="49"/>
      <c r="BC49" s="47"/>
      <c r="BD49" s="51"/>
      <c r="BE49" s="48"/>
      <c r="BF49" s="52"/>
      <c r="BG49" s="47"/>
      <c r="BH49" s="49"/>
    </row>
    <row r="50" spans="2:60" x14ac:dyDescent="0.25">
      <c r="B50" s="37">
        <v>45194</v>
      </c>
      <c r="C50" s="95"/>
      <c r="D50" s="95"/>
      <c r="E50" s="28"/>
      <c r="F50" s="95"/>
      <c r="G50" s="95"/>
      <c r="H50" s="28"/>
      <c r="I50" s="95"/>
      <c r="J50" s="95"/>
      <c r="K50" s="28"/>
      <c r="L50" s="95"/>
      <c r="M50" s="95"/>
      <c r="N50" s="28"/>
      <c r="O50" s="95"/>
      <c r="P50" s="95"/>
      <c r="Q50" s="28"/>
      <c r="R50" s="29"/>
      <c r="S50" s="95"/>
      <c r="T50" s="95"/>
      <c r="U50" s="28"/>
      <c r="V50" s="95"/>
      <c r="W50" s="95"/>
      <c r="X50" s="28"/>
      <c r="Y50" s="30"/>
      <c r="Z50" s="16"/>
      <c r="AA50" s="17"/>
      <c r="AB50" s="28"/>
      <c r="AC50" s="17"/>
      <c r="AD50" s="28"/>
      <c r="AE50" s="17"/>
      <c r="AF50" s="28"/>
      <c r="AG50" s="17"/>
      <c r="AH50" s="28"/>
      <c r="AI50" s="17"/>
      <c r="AJ50" s="28"/>
      <c r="AK50" s="17"/>
      <c r="AL50" s="28"/>
      <c r="AM50" s="17"/>
      <c r="AN50" s="28"/>
      <c r="AO50" s="17"/>
      <c r="AP50" s="28"/>
      <c r="AQ50" s="17"/>
      <c r="AR50" s="28"/>
      <c r="AS50" s="14"/>
      <c r="AT50" s="37">
        <f t="shared" si="24"/>
        <v>45194</v>
      </c>
      <c r="AU50" s="17"/>
      <c r="AV50" s="28"/>
      <c r="AW50" s="14"/>
      <c r="AX50" s="17"/>
      <c r="AY50" s="28"/>
      <c r="AZ50" s="17"/>
      <c r="BA50" s="31"/>
      <c r="BB50" s="28"/>
      <c r="BC50" s="17"/>
      <c r="BD50" s="80"/>
      <c r="BE50" s="44"/>
      <c r="BF50" s="45"/>
      <c r="BG50" s="17"/>
      <c r="BH50" s="28"/>
    </row>
    <row r="51" spans="2:60" x14ac:dyDescent="0.25">
      <c r="B51" s="37">
        <v>45199</v>
      </c>
      <c r="C51" s="95"/>
      <c r="D51" s="95"/>
      <c r="E51" s="28"/>
      <c r="F51" s="95"/>
      <c r="G51" s="95"/>
      <c r="H51" s="28"/>
      <c r="I51" s="95"/>
      <c r="J51" s="95"/>
      <c r="K51" s="28"/>
      <c r="L51" s="95"/>
      <c r="M51" s="95"/>
      <c r="N51" s="28"/>
      <c r="O51" s="95"/>
      <c r="P51" s="95"/>
      <c r="Q51" s="28"/>
      <c r="R51" s="29"/>
      <c r="S51" s="95"/>
      <c r="T51" s="95"/>
      <c r="U51" s="28"/>
      <c r="V51" s="95"/>
      <c r="W51" s="95"/>
      <c r="X51" s="28"/>
      <c r="Y51" s="30"/>
      <c r="Z51" s="16"/>
      <c r="AA51" s="17"/>
      <c r="AB51" s="28"/>
      <c r="AC51" s="17"/>
      <c r="AD51" s="28"/>
      <c r="AE51" s="17"/>
      <c r="AF51" s="28"/>
      <c r="AG51" s="17"/>
      <c r="AH51" s="28"/>
      <c r="AI51" s="17"/>
      <c r="AJ51" s="28"/>
      <c r="AK51" s="17"/>
      <c r="AL51" s="28"/>
      <c r="AM51" s="17"/>
      <c r="AN51" s="28"/>
      <c r="AO51" s="17"/>
      <c r="AP51" s="28"/>
      <c r="AQ51" s="17"/>
      <c r="AR51" s="28"/>
      <c r="AS51" s="14"/>
      <c r="AT51" s="37">
        <f t="shared" si="24"/>
        <v>45199</v>
      </c>
      <c r="AU51" s="17"/>
      <c r="AV51" s="28"/>
      <c r="AW51" s="14"/>
      <c r="AX51" s="17"/>
      <c r="AY51" s="28"/>
      <c r="AZ51" s="17"/>
      <c r="BA51" s="31"/>
      <c r="BB51" s="28"/>
      <c r="BC51" s="17"/>
      <c r="BD51" s="80"/>
      <c r="BE51" s="44"/>
      <c r="BF51" s="45"/>
      <c r="BG51" s="17"/>
      <c r="BH51" s="28"/>
    </row>
    <row r="52" spans="2:60" x14ac:dyDescent="0.25">
      <c r="B52" s="37">
        <v>45201</v>
      </c>
      <c r="C52" s="95"/>
      <c r="D52" s="95"/>
      <c r="E52" s="28"/>
      <c r="F52" s="95"/>
      <c r="G52" s="95"/>
      <c r="H52" s="28"/>
      <c r="I52" s="95"/>
      <c r="J52" s="95"/>
      <c r="K52" s="28"/>
      <c r="L52" s="95"/>
      <c r="M52" s="95"/>
      <c r="N52" s="28"/>
      <c r="O52" s="95"/>
      <c r="P52" s="95"/>
      <c r="Q52" s="28"/>
      <c r="R52" s="29"/>
      <c r="S52" s="95"/>
      <c r="T52" s="95"/>
      <c r="U52" s="28"/>
      <c r="V52" s="95"/>
      <c r="W52" s="95"/>
      <c r="X52" s="28"/>
      <c r="Y52" s="30"/>
      <c r="Z52" s="16"/>
      <c r="AA52" s="17"/>
      <c r="AB52" s="28"/>
      <c r="AC52" s="17"/>
      <c r="AD52" s="28"/>
      <c r="AE52" s="17"/>
      <c r="AF52" s="28"/>
      <c r="AG52" s="17"/>
      <c r="AH52" s="28"/>
      <c r="AI52" s="17"/>
      <c r="AJ52" s="28"/>
      <c r="AK52" s="17"/>
      <c r="AL52" s="28"/>
      <c r="AM52" s="17"/>
      <c r="AN52" s="28"/>
      <c r="AO52" s="17"/>
      <c r="AP52" s="28"/>
      <c r="AQ52" s="17"/>
      <c r="AR52" s="28"/>
      <c r="AS52" s="14"/>
      <c r="AT52" s="37">
        <f t="shared" si="24"/>
        <v>45201</v>
      </c>
      <c r="AU52" s="17"/>
      <c r="AV52" s="28"/>
      <c r="AW52" s="14"/>
      <c r="AX52" s="17"/>
      <c r="AY52" s="28"/>
      <c r="AZ52" s="17"/>
      <c r="BA52" s="31"/>
      <c r="BB52" s="28"/>
      <c r="BC52" s="17"/>
      <c r="BD52" s="80"/>
      <c r="BE52" s="44"/>
      <c r="BF52" s="45"/>
      <c r="BG52" s="17"/>
      <c r="BH52" s="28"/>
    </row>
    <row r="53" spans="2:60" x14ac:dyDescent="0.25">
      <c r="B53" s="37">
        <v>45208</v>
      </c>
      <c r="C53" s="95"/>
      <c r="D53" s="95"/>
      <c r="E53" s="28"/>
      <c r="F53" s="95"/>
      <c r="G53" s="95"/>
      <c r="H53" s="28"/>
      <c r="I53" s="95"/>
      <c r="J53" s="95"/>
      <c r="K53" s="28"/>
      <c r="L53" s="95"/>
      <c r="M53" s="95"/>
      <c r="N53" s="28"/>
      <c r="O53" s="95"/>
      <c r="P53" s="95"/>
      <c r="Q53" s="28"/>
      <c r="R53" s="29"/>
      <c r="S53" s="95"/>
      <c r="T53" s="95"/>
      <c r="U53" s="28"/>
      <c r="V53" s="95"/>
      <c r="W53" s="95"/>
      <c r="X53" s="28"/>
      <c r="Y53" s="30"/>
      <c r="Z53" s="16"/>
      <c r="AA53" s="17"/>
      <c r="AB53" s="28"/>
      <c r="AC53" s="17"/>
      <c r="AD53" s="28"/>
      <c r="AE53" s="17"/>
      <c r="AF53" s="28"/>
      <c r="AG53" s="17"/>
      <c r="AH53" s="28"/>
      <c r="AI53" s="17"/>
      <c r="AJ53" s="28"/>
      <c r="AK53" s="17"/>
      <c r="AL53" s="28"/>
      <c r="AM53" s="17"/>
      <c r="AN53" s="28"/>
      <c r="AO53" s="17"/>
      <c r="AP53" s="28"/>
      <c r="AQ53" s="17"/>
      <c r="AR53" s="28"/>
      <c r="AS53" s="14"/>
      <c r="AT53" s="37">
        <f t="shared" si="24"/>
        <v>45208</v>
      </c>
      <c r="AU53" s="17"/>
      <c r="AV53" s="28"/>
      <c r="AW53" s="14"/>
      <c r="AX53" s="17"/>
      <c r="AY53" s="28"/>
      <c r="AZ53" s="17"/>
      <c r="BA53" s="31"/>
      <c r="BB53" s="28"/>
      <c r="BC53" s="17"/>
      <c r="BD53" s="80"/>
      <c r="BE53" s="44"/>
      <c r="BF53" s="45"/>
      <c r="BG53" s="17"/>
      <c r="BH53" s="28"/>
    </row>
    <row r="54" spans="2:60" x14ac:dyDescent="0.25">
      <c r="B54" s="37">
        <v>45215</v>
      </c>
      <c r="C54" s="95"/>
      <c r="D54" s="95"/>
      <c r="E54" s="28"/>
      <c r="F54" s="95"/>
      <c r="G54" s="95"/>
      <c r="H54" s="28"/>
      <c r="I54" s="95"/>
      <c r="J54" s="95"/>
      <c r="K54" s="28"/>
      <c r="L54" s="95"/>
      <c r="M54" s="95"/>
      <c r="N54" s="28"/>
      <c r="O54" s="95"/>
      <c r="P54" s="95"/>
      <c r="Q54" s="28"/>
      <c r="R54" s="29"/>
      <c r="S54" s="95"/>
      <c r="T54" s="95"/>
      <c r="U54" s="28"/>
      <c r="V54" s="95"/>
      <c r="W54" s="95"/>
      <c r="X54" s="28"/>
      <c r="Y54" s="30"/>
      <c r="Z54" s="16"/>
      <c r="AA54" s="17"/>
      <c r="AB54" s="28"/>
      <c r="AC54" s="17"/>
      <c r="AD54" s="28"/>
      <c r="AE54" s="17"/>
      <c r="AF54" s="28"/>
      <c r="AG54" s="17"/>
      <c r="AH54" s="28"/>
      <c r="AI54" s="17"/>
      <c r="AJ54" s="28"/>
      <c r="AK54" s="17"/>
      <c r="AL54" s="28"/>
      <c r="AM54" s="17"/>
      <c r="AN54" s="28"/>
      <c r="AO54" s="17"/>
      <c r="AP54" s="28"/>
      <c r="AQ54" s="17"/>
      <c r="AR54" s="28"/>
      <c r="AS54" s="14"/>
      <c r="AT54" s="37">
        <f t="shared" si="24"/>
        <v>45215</v>
      </c>
      <c r="AU54" s="17"/>
      <c r="AV54" s="28"/>
      <c r="AW54" s="14"/>
      <c r="AX54" s="17"/>
      <c r="AY54" s="28"/>
      <c r="AZ54" s="17"/>
      <c r="BA54" s="31"/>
      <c r="BB54" s="28"/>
      <c r="BC54" s="17"/>
      <c r="BD54" s="80"/>
      <c r="BE54" s="44"/>
      <c r="BF54" s="45"/>
      <c r="BG54" s="17"/>
      <c r="BH54" s="28"/>
    </row>
    <row r="55" spans="2:60" x14ac:dyDescent="0.25">
      <c r="B55" s="37">
        <v>45222</v>
      </c>
      <c r="C55" s="95"/>
      <c r="D55" s="95"/>
      <c r="E55" s="28"/>
      <c r="F55" s="95"/>
      <c r="G55" s="95"/>
      <c r="H55" s="28"/>
      <c r="I55" s="95"/>
      <c r="J55" s="95"/>
      <c r="K55" s="28"/>
      <c r="L55" s="95"/>
      <c r="M55" s="95"/>
      <c r="N55" s="28"/>
      <c r="O55" s="95"/>
      <c r="P55" s="95"/>
      <c r="Q55" s="28"/>
      <c r="R55" s="29"/>
      <c r="S55" s="93"/>
      <c r="T55" s="94"/>
      <c r="U55" s="28"/>
      <c r="V55" s="95"/>
      <c r="W55" s="95"/>
      <c r="X55" s="28"/>
      <c r="Y55" s="30"/>
      <c r="Z55" s="16"/>
      <c r="AA55" s="17"/>
      <c r="AB55" s="28"/>
      <c r="AC55" s="17"/>
      <c r="AD55" s="28"/>
      <c r="AE55" s="17"/>
      <c r="AF55" s="28"/>
      <c r="AG55" s="17"/>
      <c r="AH55" s="28"/>
      <c r="AI55" s="17"/>
      <c r="AJ55" s="28"/>
      <c r="AK55" s="17"/>
      <c r="AL55" s="28"/>
      <c r="AM55" s="17"/>
      <c r="AN55" s="28"/>
      <c r="AO55" s="17"/>
      <c r="AP55" s="28"/>
      <c r="AQ55" s="17"/>
      <c r="AR55" s="28"/>
      <c r="AS55" s="14"/>
      <c r="AT55" s="37">
        <f t="shared" si="24"/>
        <v>45222</v>
      </c>
      <c r="AU55" s="17"/>
      <c r="AV55" s="28"/>
      <c r="AW55" s="14"/>
      <c r="AX55" s="17"/>
      <c r="AY55" s="28"/>
      <c r="AZ55" s="17"/>
      <c r="BA55" s="31"/>
      <c r="BB55" s="28"/>
      <c r="BC55" s="17"/>
      <c r="BD55" s="80"/>
      <c r="BE55" s="44"/>
      <c r="BF55" s="45"/>
      <c r="BG55" s="17"/>
      <c r="BH55" s="28"/>
    </row>
    <row r="56" spans="2:60" x14ac:dyDescent="0.25">
      <c r="B56" s="37">
        <v>45229</v>
      </c>
      <c r="C56" s="95"/>
      <c r="D56" s="95"/>
      <c r="E56" s="28"/>
      <c r="F56" s="95"/>
      <c r="G56" s="95"/>
      <c r="H56" s="28"/>
      <c r="I56" s="95"/>
      <c r="J56" s="95"/>
      <c r="K56" s="28"/>
      <c r="L56" s="95"/>
      <c r="M56" s="95"/>
      <c r="N56" s="28"/>
      <c r="O56" s="95"/>
      <c r="P56" s="95"/>
      <c r="Q56" s="28"/>
      <c r="R56" s="29"/>
      <c r="S56" s="93"/>
      <c r="T56" s="94"/>
      <c r="U56" s="28"/>
      <c r="V56" s="95"/>
      <c r="W56" s="95"/>
      <c r="X56" s="28"/>
      <c r="Y56" s="30"/>
      <c r="Z56" s="16"/>
      <c r="AA56" s="17"/>
      <c r="AB56" s="28"/>
      <c r="AC56" s="17"/>
      <c r="AD56" s="28"/>
      <c r="AE56" s="17"/>
      <c r="AF56" s="28"/>
      <c r="AG56" s="17"/>
      <c r="AH56" s="28"/>
      <c r="AI56" s="17"/>
      <c r="AJ56" s="28"/>
      <c r="AK56" s="17"/>
      <c r="AL56" s="28"/>
      <c r="AM56" s="17"/>
      <c r="AN56" s="28"/>
      <c r="AO56" s="17"/>
      <c r="AP56" s="28"/>
      <c r="AQ56" s="17"/>
      <c r="AR56" s="28"/>
      <c r="AS56" s="14"/>
      <c r="AT56" s="37">
        <f t="shared" si="24"/>
        <v>45229</v>
      </c>
      <c r="AU56" s="17"/>
      <c r="AV56" s="28"/>
      <c r="AW56" s="14"/>
      <c r="AX56" s="17"/>
      <c r="AY56" s="28"/>
      <c r="AZ56" s="17"/>
      <c r="BA56" s="31"/>
      <c r="BB56" s="28"/>
      <c r="BC56" s="17"/>
      <c r="BD56" s="80"/>
      <c r="BE56" s="44"/>
      <c r="BF56" s="45"/>
      <c r="BG56" s="17"/>
      <c r="BH56" s="28"/>
    </row>
    <row r="57" spans="2:60" x14ac:dyDescent="0.25">
      <c r="B57" s="37">
        <v>45230</v>
      </c>
      <c r="C57" s="95"/>
      <c r="D57" s="95"/>
      <c r="E57" s="28"/>
      <c r="F57" s="95"/>
      <c r="G57" s="95"/>
      <c r="H57" s="28"/>
      <c r="I57" s="95"/>
      <c r="J57" s="95"/>
      <c r="K57" s="28"/>
      <c r="L57" s="95"/>
      <c r="M57" s="95"/>
      <c r="N57" s="28"/>
      <c r="O57" s="95"/>
      <c r="P57" s="95"/>
      <c r="Q57" s="28"/>
      <c r="R57" s="29"/>
      <c r="S57" s="93"/>
      <c r="T57" s="94"/>
      <c r="U57" s="28"/>
      <c r="V57" s="95"/>
      <c r="W57" s="95"/>
      <c r="X57" s="28"/>
      <c r="Y57" s="30"/>
      <c r="Z57" s="16"/>
      <c r="AA57" s="17"/>
      <c r="AB57" s="28"/>
      <c r="AC57" s="17"/>
      <c r="AD57" s="28"/>
      <c r="AE57" s="17"/>
      <c r="AF57" s="28"/>
      <c r="AG57" s="17"/>
      <c r="AH57" s="28"/>
      <c r="AI57" s="17"/>
      <c r="AJ57" s="28"/>
      <c r="AK57" s="17"/>
      <c r="AL57" s="28"/>
      <c r="AM57" s="17"/>
      <c r="AN57" s="28"/>
      <c r="AO57" s="17"/>
      <c r="AP57" s="28"/>
      <c r="AQ57" s="17"/>
      <c r="AR57" s="28"/>
      <c r="AS57" s="14"/>
      <c r="AT57" s="37">
        <f t="shared" si="24"/>
        <v>45230</v>
      </c>
      <c r="AU57" s="17"/>
      <c r="AV57" s="28"/>
      <c r="AW57" s="14"/>
      <c r="AX57" s="17"/>
      <c r="AY57" s="28"/>
      <c r="AZ57" s="17"/>
      <c r="BA57" s="31"/>
      <c r="BB57" s="28"/>
      <c r="BC57" s="17"/>
      <c r="BD57" s="80"/>
      <c r="BE57" s="44"/>
      <c r="BF57" s="45"/>
      <c r="BG57" s="17"/>
      <c r="BH57" s="28"/>
    </row>
    <row r="58" spans="2:60" x14ac:dyDescent="0.25">
      <c r="B58" s="37">
        <v>45236</v>
      </c>
      <c r="C58" s="95"/>
      <c r="D58" s="95"/>
      <c r="E58" s="28"/>
      <c r="F58" s="95"/>
      <c r="G58" s="95"/>
      <c r="H58" s="28"/>
      <c r="I58" s="95"/>
      <c r="J58" s="95"/>
      <c r="K58" s="28"/>
      <c r="L58" s="95"/>
      <c r="M58" s="95"/>
      <c r="N58" s="28"/>
      <c r="O58" s="95"/>
      <c r="P58" s="95"/>
      <c r="Q58" s="28"/>
      <c r="R58" s="29"/>
      <c r="S58" s="93"/>
      <c r="T58" s="94"/>
      <c r="U58" s="28"/>
      <c r="V58" s="95"/>
      <c r="W58" s="95"/>
      <c r="X58" s="28"/>
      <c r="Y58" s="30"/>
      <c r="Z58" s="16"/>
      <c r="AA58" s="17"/>
      <c r="AB58" s="28"/>
      <c r="AC58" s="17"/>
      <c r="AD58" s="28"/>
      <c r="AE58" s="17"/>
      <c r="AF58" s="28"/>
      <c r="AG58" s="17"/>
      <c r="AH58" s="28"/>
      <c r="AI58" s="17"/>
      <c r="AJ58" s="28"/>
      <c r="AK58" s="17"/>
      <c r="AL58" s="28"/>
      <c r="AM58" s="17"/>
      <c r="AN58" s="28"/>
      <c r="AO58" s="17"/>
      <c r="AP58" s="28"/>
      <c r="AQ58" s="17"/>
      <c r="AR58" s="28"/>
      <c r="AS58" s="14"/>
      <c r="AT58" s="37">
        <f t="shared" si="24"/>
        <v>45236</v>
      </c>
      <c r="AU58" s="17"/>
      <c r="AV58" s="28"/>
      <c r="AW58" s="14"/>
      <c r="AX58" s="17"/>
      <c r="AY58" s="28"/>
      <c r="AZ58" s="17"/>
      <c r="BA58" s="31"/>
      <c r="BB58" s="28"/>
      <c r="BC58" s="17"/>
      <c r="BD58" s="80"/>
      <c r="BE58" s="44"/>
      <c r="BF58" s="45"/>
      <c r="BG58" s="17"/>
      <c r="BH58" s="28"/>
    </row>
    <row r="59" spans="2:60" x14ac:dyDescent="0.25">
      <c r="B59" s="37">
        <v>45243</v>
      </c>
      <c r="C59" s="95"/>
      <c r="D59" s="95"/>
      <c r="E59" s="28"/>
      <c r="F59" s="95"/>
      <c r="G59" s="95"/>
      <c r="H59" s="28"/>
      <c r="I59" s="95"/>
      <c r="J59" s="95"/>
      <c r="K59" s="28"/>
      <c r="L59" s="95"/>
      <c r="M59" s="95"/>
      <c r="N59" s="28"/>
      <c r="O59" s="95"/>
      <c r="P59" s="95"/>
      <c r="Q59" s="28"/>
      <c r="R59" s="29"/>
      <c r="S59" s="93"/>
      <c r="T59" s="94"/>
      <c r="U59" s="28"/>
      <c r="V59" s="95"/>
      <c r="W59" s="95"/>
      <c r="X59" s="28"/>
      <c r="Y59" s="30"/>
      <c r="Z59" s="16"/>
      <c r="AA59" s="17"/>
      <c r="AB59" s="28"/>
      <c r="AC59" s="17"/>
      <c r="AD59" s="28"/>
      <c r="AE59" s="17"/>
      <c r="AF59" s="28"/>
      <c r="AG59" s="17"/>
      <c r="AH59" s="28"/>
      <c r="AI59" s="17"/>
      <c r="AJ59" s="28"/>
      <c r="AK59" s="17"/>
      <c r="AL59" s="28"/>
      <c r="AM59" s="17"/>
      <c r="AN59" s="28"/>
      <c r="AO59" s="17"/>
      <c r="AP59" s="28"/>
      <c r="AQ59" s="17"/>
      <c r="AR59" s="28"/>
      <c r="AS59" s="14"/>
      <c r="AT59" s="37">
        <f t="shared" si="24"/>
        <v>45243</v>
      </c>
      <c r="AU59" s="17"/>
      <c r="AV59" s="28"/>
      <c r="AW59" s="14"/>
      <c r="AX59" s="17"/>
      <c r="AY59" s="28"/>
      <c r="AZ59" s="17"/>
      <c r="BA59" s="31"/>
      <c r="BB59" s="28"/>
      <c r="BC59" s="17"/>
      <c r="BD59" s="80"/>
      <c r="BE59" s="44"/>
      <c r="BF59" s="45"/>
      <c r="BG59" s="17"/>
      <c r="BH59" s="28"/>
    </row>
    <row r="60" spans="2:60" x14ac:dyDescent="0.25">
      <c r="B60" s="37">
        <v>45250</v>
      </c>
      <c r="C60" s="95"/>
      <c r="D60" s="95"/>
      <c r="E60" s="28"/>
      <c r="F60" s="95"/>
      <c r="G60" s="95"/>
      <c r="H60" s="28"/>
      <c r="I60" s="95"/>
      <c r="J60" s="95"/>
      <c r="K60" s="28"/>
      <c r="L60" s="95"/>
      <c r="M60" s="95"/>
      <c r="N60" s="28"/>
      <c r="O60" s="95"/>
      <c r="P60" s="95"/>
      <c r="Q60" s="28"/>
      <c r="R60" s="29"/>
      <c r="S60" s="93"/>
      <c r="T60" s="94"/>
      <c r="U60" s="28"/>
      <c r="V60" s="95"/>
      <c r="W60" s="95"/>
      <c r="X60" s="28"/>
      <c r="Y60" s="30"/>
      <c r="Z60" s="16"/>
      <c r="AA60" s="17"/>
      <c r="AB60" s="28"/>
      <c r="AC60" s="17"/>
      <c r="AD60" s="28"/>
      <c r="AE60" s="17"/>
      <c r="AF60" s="28"/>
      <c r="AG60" s="17"/>
      <c r="AH60" s="28"/>
      <c r="AI60" s="17"/>
      <c r="AJ60" s="28"/>
      <c r="AK60" s="17"/>
      <c r="AL60" s="28"/>
      <c r="AM60" s="17"/>
      <c r="AN60" s="28"/>
      <c r="AO60" s="17"/>
      <c r="AP60" s="28"/>
      <c r="AQ60" s="17"/>
      <c r="AR60" s="28"/>
      <c r="AS60" s="14"/>
      <c r="AT60" s="37">
        <f t="shared" si="24"/>
        <v>45250</v>
      </c>
      <c r="AU60" s="17"/>
      <c r="AV60" s="28"/>
      <c r="AW60" s="14"/>
      <c r="AX60" s="17"/>
      <c r="AY60" s="28"/>
      <c r="AZ60" s="17"/>
      <c r="BA60" s="31"/>
      <c r="BB60" s="28"/>
      <c r="BC60" s="17"/>
      <c r="BD60" s="80"/>
      <c r="BE60" s="44"/>
      <c r="BF60" s="45"/>
      <c r="BG60" s="17"/>
      <c r="BH60" s="28"/>
    </row>
    <row r="61" spans="2:60" x14ac:dyDescent="0.25">
      <c r="B61" s="37">
        <v>45257</v>
      </c>
      <c r="C61" s="95"/>
      <c r="D61" s="95"/>
      <c r="E61" s="28"/>
      <c r="F61" s="95"/>
      <c r="G61" s="95"/>
      <c r="H61" s="28"/>
      <c r="I61" s="95"/>
      <c r="J61" s="95"/>
      <c r="K61" s="28"/>
      <c r="L61" s="95"/>
      <c r="M61" s="95"/>
      <c r="N61" s="28"/>
      <c r="O61" s="95"/>
      <c r="P61" s="95"/>
      <c r="Q61" s="28"/>
      <c r="R61" s="29"/>
      <c r="S61" s="93"/>
      <c r="T61" s="94"/>
      <c r="U61" s="28"/>
      <c r="V61" s="95"/>
      <c r="W61" s="95"/>
      <c r="X61" s="28"/>
      <c r="Y61" s="30"/>
      <c r="Z61" s="16"/>
      <c r="AA61" s="17"/>
      <c r="AB61" s="28"/>
      <c r="AC61" s="17"/>
      <c r="AD61" s="28"/>
      <c r="AE61" s="17"/>
      <c r="AF61" s="28"/>
      <c r="AG61" s="17"/>
      <c r="AH61" s="28"/>
      <c r="AI61" s="17"/>
      <c r="AJ61" s="28"/>
      <c r="AK61" s="17"/>
      <c r="AL61" s="28"/>
      <c r="AM61" s="17"/>
      <c r="AN61" s="28"/>
      <c r="AO61" s="17"/>
      <c r="AP61" s="28"/>
      <c r="AQ61" s="17"/>
      <c r="AR61" s="28"/>
      <c r="AS61" s="14"/>
      <c r="AT61" s="37">
        <f t="shared" si="24"/>
        <v>45257</v>
      </c>
      <c r="AU61" s="17"/>
      <c r="AV61" s="28"/>
      <c r="AW61" s="14"/>
      <c r="AX61" s="17"/>
      <c r="AY61" s="28"/>
      <c r="AZ61" s="17"/>
      <c r="BA61" s="31"/>
      <c r="BB61" s="28"/>
      <c r="BC61" s="17"/>
      <c r="BD61" s="80"/>
      <c r="BE61" s="44"/>
      <c r="BF61" s="45"/>
      <c r="BG61" s="17"/>
      <c r="BH61" s="28"/>
    </row>
    <row r="62" spans="2:60" x14ac:dyDescent="0.25">
      <c r="B62" s="37">
        <v>45260</v>
      </c>
      <c r="C62" s="95"/>
      <c r="D62" s="95"/>
      <c r="E62" s="28"/>
      <c r="F62" s="95"/>
      <c r="G62" s="95"/>
      <c r="H62" s="28"/>
      <c r="I62" s="95"/>
      <c r="J62" s="95"/>
      <c r="K62" s="28"/>
      <c r="L62" s="95"/>
      <c r="M62" s="95"/>
      <c r="N62" s="28"/>
      <c r="O62" s="95"/>
      <c r="P62" s="95"/>
      <c r="Q62" s="28"/>
      <c r="R62" s="29"/>
      <c r="S62" s="93"/>
      <c r="T62" s="94"/>
      <c r="U62" s="28"/>
      <c r="V62" s="95"/>
      <c r="W62" s="95"/>
      <c r="X62" s="28"/>
      <c r="Y62" s="30"/>
      <c r="Z62" s="16"/>
      <c r="AA62" s="17"/>
      <c r="AB62" s="28"/>
      <c r="AC62" s="17"/>
      <c r="AD62" s="28"/>
      <c r="AE62" s="17"/>
      <c r="AF62" s="28"/>
      <c r="AG62" s="17"/>
      <c r="AH62" s="28"/>
      <c r="AI62" s="17"/>
      <c r="AJ62" s="28"/>
      <c r="AK62" s="17"/>
      <c r="AL62" s="28"/>
      <c r="AM62" s="17"/>
      <c r="AN62" s="28"/>
      <c r="AO62" s="17"/>
      <c r="AP62" s="28"/>
      <c r="AQ62" s="17"/>
      <c r="AR62" s="28"/>
      <c r="AS62" s="14"/>
      <c r="AT62" s="37">
        <f t="shared" si="24"/>
        <v>45260</v>
      </c>
      <c r="AU62" s="17"/>
      <c r="AV62" s="28"/>
      <c r="AW62" s="14"/>
      <c r="AX62" s="17"/>
      <c r="AY62" s="28"/>
      <c r="AZ62" s="17"/>
      <c r="BA62" s="31"/>
      <c r="BB62" s="28"/>
      <c r="BC62" s="17"/>
      <c r="BD62" s="80"/>
      <c r="BE62" s="44"/>
      <c r="BF62" s="45"/>
      <c r="BG62" s="17"/>
      <c r="BH62" s="28"/>
    </row>
    <row r="63" spans="2:60" x14ac:dyDescent="0.25">
      <c r="B63" s="37">
        <v>45264</v>
      </c>
      <c r="C63" s="95"/>
      <c r="D63" s="95"/>
      <c r="E63" s="28"/>
      <c r="F63" s="95"/>
      <c r="G63" s="95"/>
      <c r="H63" s="28"/>
      <c r="I63" s="95"/>
      <c r="J63" s="95"/>
      <c r="K63" s="28"/>
      <c r="L63" s="95"/>
      <c r="M63" s="95"/>
      <c r="N63" s="28"/>
      <c r="O63" s="95"/>
      <c r="P63" s="95"/>
      <c r="Q63" s="28"/>
      <c r="R63" s="29"/>
      <c r="S63" s="93"/>
      <c r="T63" s="94"/>
      <c r="U63" s="28"/>
      <c r="V63" s="95"/>
      <c r="W63" s="95"/>
      <c r="X63" s="28"/>
      <c r="Y63" s="30"/>
      <c r="Z63" s="16"/>
      <c r="AA63" s="17"/>
      <c r="AB63" s="28"/>
      <c r="AC63" s="17"/>
      <c r="AD63" s="28"/>
      <c r="AE63" s="17"/>
      <c r="AF63" s="28"/>
      <c r="AG63" s="17"/>
      <c r="AH63" s="28"/>
      <c r="AI63" s="17"/>
      <c r="AJ63" s="28"/>
      <c r="AK63" s="17"/>
      <c r="AL63" s="28"/>
      <c r="AM63" s="17"/>
      <c r="AN63" s="28"/>
      <c r="AO63" s="17"/>
      <c r="AP63" s="28"/>
      <c r="AQ63" s="17"/>
      <c r="AR63" s="28"/>
      <c r="AS63" s="14"/>
      <c r="AT63" s="37">
        <f t="shared" si="24"/>
        <v>45264</v>
      </c>
      <c r="AU63" s="17"/>
      <c r="AV63" s="28"/>
      <c r="AW63" s="14"/>
      <c r="AX63" s="17"/>
      <c r="AY63" s="28"/>
      <c r="AZ63" s="17"/>
      <c r="BA63" s="31"/>
      <c r="BB63" s="28"/>
      <c r="BC63" s="17"/>
      <c r="BD63" s="80"/>
      <c r="BE63" s="44"/>
      <c r="BF63" s="45"/>
      <c r="BG63" s="17"/>
      <c r="BH63" s="28"/>
    </row>
    <row r="64" spans="2:60" x14ac:dyDescent="0.25">
      <c r="B64" s="37">
        <v>45271</v>
      </c>
      <c r="C64" s="95"/>
      <c r="D64" s="95"/>
      <c r="E64" s="28"/>
      <c r="F64" s="95"/>
      <c r="G64" s="95"/>
      <c r="H64" s="28"/>
      <c r="I64" s="95"/>
      <c r="J64" s="95"/>
      <c r="K64" s="28"/>
      <c r="L64" s="95"/>
      <c r="M64" s="95"/>
      <c r="N64" s="28"/>
      <c r="O64" s="95"/>
      <c r="P64" s="95"/>
      <c r="Q64" s="28"/>
      <c r="R64" s="29"/>
      <c r="S64" s="93"/>
      <c r="T64" s="94"/>
      <c r="U64" s="28"/>
      <c r="V64" s="95"/>
      <c r="W64" s="95"/>
      <c r="X64" s="28"/>
      <c r="Y64" s="30"/>
      <c r="Z64" s="16"/>
      <c r="AA64" s="17"/>
      <c r="AB64" s="28"/>
      <c r="AC64" s="17"/>
      <c r="AD64" s="28"/>
      <c r="AE64" s="17"/>
      <c r="AF64" s="28"/>
      <c r="AG64" s="17"/>
      <c r="AH64" s="28"/>
      <c r="AI64" s="17"/>
      <c r="AJ64" s="28"/>
      <c r="AK64" s="17"/>
      <c r="AL64" s="28"/>
      <c r="AM64" s="17"/>
      <c r="AN64" s="28"/>
      <c r="AO64" s="17"/>
      <c r="AP64" s="28"/>
      <c r="AQ64" s="17"/>
      <c r="AR64" s="28"/>
      <c r="AS64" s="14"/>
      <c r="AT64" s="37">
        <f t="shared" si="24"/>
        <v>45271</v>
      </c>
      <c r="AU64" s="17"/>
      <c r="AV64" s="28"/>
      <c r="AW64" s="14"/>
      <c r="AX64" s="17"/>
      <c r="AY64" s="28"/>
      <c r="AZ64" s="17"/>
      <c r="BA64" s="31"/>
      <c r="BB64" s="28"/>
      <c r="BC64" s="17"/>
      <c r="BD64" s="80"/>
      <c r="BE64" s="44"/>
      <c r="BF64" s="45"/>
      <c r="BG64" s="17"/>
      <c r="BH64" s="28"/>
    </row>
    <row r="65" spans="2:60" x14ac:dyDescent="0.25">
      <c r="B65" s="37">
        <v>45278</v>
      </c>
      <c r="C65" s="95"/>
      <c r="D65" s="95"/>
      <c r="E65" s="28"/>
      <c r="F65" s="95"/>
      <c r="G65" s="95"/>
      <c r="H65" s="28"/>
      <c r="I65" s="95"/>
      <c r="J65" s="95"/>
      <c r="K65" s="28"/>
      <c r="L65" s="95"/>
      <c r="M65" s="95"/>
      <c r="N65" s="28"/>
      <c r="O65" s="95"/>
      <c r="P65" s="95"/>
      <c r="Q65" s="28"/>
      <c r="R65" s="29"/>
      <c r="S65" s="93"/>
      <c r="T65" s="94"/>
      <c r="U65" s="28"/>
      <c r="V65" s="95"/>
      <c r="W65" s="95"/>
      <c r="X65" s="28"/>
      <c r="Y65" s="30"/>
      <c r="Z65" s="16"/>
      <c r="AA65" s="17"/>
      <c r="AB65" s="28"/>
      <c r="AC65" s="17"/>
      <c r="AD65" s="28"/>
      <c r="AE65" s="17"/>
      <c r="AF65" s="28"/>
      <c r="AG65" s="17"/>
      <c r="AH65" s="28"/>
      <c r="AI65" s="17"/>
      <c r="AJ65" s="28"/>
      <c r="AK65" s="17"/>
      <c r="AL65" s="28"/>
      <c r="AM65" s="17"/>
      <c r="AN65" s="28"/>
      <c r="AO65" s="17"/>
      <c r="AP65" s="28"/>
      <c r="AQ65" s="17"/>
      <c r="AR65" s="28"/>
      <c r="AS65" s="14"/>
      <c r="AT65" s="37">
        <f t="shared" ref="AT65:AT67" si="26">B65</f>
        <v>45278</v>
      </c>
      <c r="AU65" s="17"/>
      <c r="AV65" s="28"/>
      <c r="AW65" s="14"/>
      <c r="AX65" s="17"/>
      <c r="AY65" s="28"/>
      <c r="AZ65" s="17"/>
      <c r="BA65" s="31"/>
      <c r="BB65" s="28"/>
      <c r="BC65" s="17"/>
      <c r="BD65" s="80"/>
      <c r="BE65" s="44"/>
      <c r="BF65" s="45"/>
      <c r="BG65" s="17"/>
      <c r="BH65" s="28"/>
    </row>
    <row r="66" spans="2:60" x14ac:dyDescent="0.25">
      <c r="B66" s="37">
        <v>45285</v>
      </c>
      <c r="C66" s="95"/>
      <c r="D66" s="95"/>
      <c r="E66" s="28"/>
      <c r="F66" s="95"/>
      <c r="G66" s="95"/>
      <c r="H66" s="28"/>
      <c r="I66" s="95"/>
      <c r="J66" s="95"/>
      <c r="K66" s="28"/>
      <c r="L66" s="95"/>
      <c r="M66" s="95"/>
      <c r="N66" s="28"/>
      <c r="O66" s="95"/>
      <c r="P66" s="95"/>
      <c r="Q66" s="28"/>
      <c r="R66" s="29"/>
      <c r="S66" s="93"/>
      <c r="T66" s="94"/>
      <c r="U66" s="28"/>
      <c r="V66" s="95"/>
      <c r="W66" s="95"/>
      <c r="X66" s="28"/>
      <c r="Y66" s="30"/>
      <c r="Z66" s="16"/>
      <c r="AA66" s="17"/>
      <c r="AB66" s="28"/>
      <c r="AC66" s="17"/>
      <c r="AD66" s="28"/>
      <c r="AE66" s="17"/>
      <c r="AF66" s="28"/>
      <c r="AG66" s="17"/>
      <c r="AH66" s="28"/>
      <c r="AI66" s="17"/>
      <c r="AJ66" s="28"/>
      <c r="AK66" s="17"/>
      <c r="AL66" s="28"/>
      <c r="AM66" s="17"/>
      <c r="AN66" s="28"/>
      <c r="AO66" s="17"/>
      <c r="AP66" s="28"/>
      <c r="AQ66" s="17"/>
      <c r="AR66" s="28"/>
      <c r="AS66" s="14"/>
      <c r="AT66" s="37">
        <f t="shared" si="26"/>
        <v>45285</v>
      </c>
      <c r="AU66" s="17"/>
      <c r="AV66" s="28"/>
      <c r="AW66" s="14"/>
      <c r="AX66" s="17"/>
      <c r="AY66" s="28"/>
      <c r="AZ66" s="17"/>
      <c r="BA66" s="31"/>
      <c r="BB66" s="28"/>
      <c r="BC66" s="17"/>
      <c r="BD66" s="80"/>
      <c r="BE66" s="44"/>
      <c r="BF66" s="45"/>
      <c r="BG66" s="17"/>
      <c r="BH66" s="28"/>
    </row>
    <row r="67" spans="2:60" x14ac:dyDescent="0.25">
      <c r="B67" s="37">
        <v>45291</v>
      </c>
      <c r="C67" s="95"/>
      <c r="D67" s="95"/>
      <c r="E67" s="28"/>
      <c r="F67" s="95"/>
      <c r="G67" s="95"/>
      <c r="H67" s="28"/>
      <c r="I67" s="95"/>
      <c r="J67" s="95"/>
      <c r="K67" s="28"/>
      <c r="L67" s="95"/>
      <c r="M67" s="95"/>
      <c r="N67" s="28"/>
      <c r="O67" s="95"/>
      <c r="P67" s="95"/>
      <c r="Q67" s="28"/>
      <c r="R67" s="29"/>
      <c r="S67" s="93"/>
      <c r="T67" s="94"/>
      <c r="U67" s="28"/>
      <c r="V67" s="95"/>
      <c r="W67" s="95"/>
      <c r="X67" s="28"/>
      <c r="Y67" s="30"/>
      <c r="Z67" s="16"/>
      <c r="AA67" s="17"/>
      <c r="AB67" s="28"/>
      <c r="AC67" s="17"/>
      <c r="AD67" s="28"/>
      <c r="AE67" s="17"/>
      <c r="AF67" s="28"/>
      <c r="AG67" s="17"/>
      <c r="AH67" s="28"/>
      <c r="AI67" s="17"/>
      <c r="AJ67" s="28"/>
      <c r="AK67" s="17"/>
      <c r="AL67" s="28"/>
      <c r="AM67" s="17"/>
      <c r="AN67" s="28"/>
      <c r="AO67" s="17"/>
      <c r="AP67" s="28"/>
      <c r="AQ67" s="17"/>
      <c r="AR67" s="28"/>
      <c r="AS67" s="14"/>
      <c r="AT67" s="37">
        <f t="shared" si="26"/>
        <v>45291</v>
      </c>
      <c r="AU67" s="17"/>
      <c r="AV67" s="28"/>
      <c r="AW67" s="14"/>
      <c r="AX67" s="17"/>
      <c r="AY67" s="28"/>
      <c r="AZ67" s="17"/>
      <c r="BA67" s="31"/>
      <c r="BB67" s="28"/>
      <c r="BC67" s="17"/>
      <c r="BD67" s="80"/>
      <c r="BE67" s="44"/>
      <c r="BF67" s="45"/>
      <c r="BG67" s="17"/>
      <c r="BH67" s="28"/>
    </row>
  </sheetData>
  <mergeCells count="487">
    <mergeCell ref="C67:D67"/>
    <mergeCell ref="F67:G67"/>
    <mergeCell ref="I67:J67"/>
    <mergeCell ref="L67:M67"/>
    <mergeCell ref="O67:P67"/>
    <mergeCell ref="S67:T67"/>
    <mergeCell ref="V67:W67"/>
    <mergeCell ref="AE1:AF1"/>
    <mergeCell ref="AE2:AF2"/>
    <mergeCell ref="C65:D65"/>
    <mergeCell ref="F65:G65"/>
    <mergeCell ref="I65:J65"/>
    <mergeCell ref="L65:M65"/>
    <mergeCell ref="O65:P65"/>
    <mergeCell ref="S65:T65"/>
    <mergeCell ref="V65:W65"/>
    <mergeCell ref="C66:D66"/>
    <mergeCell ref="F66:G66"/>
    <mergeCell ref="I66:J66"/>
    <mergeCell ref="L66:M66"/>
    <mergeCell ref="O66:P66"/>
    <mergeCell ref="S66:T66"/>
    <mergeCell ref="V66:W66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47:J4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O17:P17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7" workbookViewId="0">
      <selection activeCell="K313" sqref="K313"/>
    </sheetView>
  </sheetViews>
  <sheetFormatPr defaultColWidth="13.28515625" defaultRowHeight="15" x14ac:dyDescent="0.25"/>
  <cols>
    <col min="1" max="1" width="18" style="54" bestFit="1" customWidth="1"/>
    <col min="2" max="2" width="3" style="54" bestFit="1" customWidth="1"/>
    <col min="3" max="3" width="17.42578125" style="54" hidden="1" customWidth="1"/>
    <col min="4" max="4" width="40.85546875" style="54" hidden="1" customWidth="1"/>
    <col min="5" max="10" width="14.28515625" style="54" hidden="1" customWidth="1"/>
    <col min="11" max="11" width="14.28515625" style="54" bestFit="1" customWidth="1"/>
    <col min="12" max="18" width="13.28515625" style="54"/>
    <col min="19" max="19" width="19" style="54" customWidth="1"/>
    <col min="20" max="16384" width="13.28515625" style="54"/>
  </cols>
  <sheetData>
    <row r="1" spans="1:11" x14ac:dyDescent="0.25">
      <c r="A1" s="87"/>
      <c r="B1" s="87"/>
      <c r="C1" s="87" t="s">
        <v>154</v>
      </c>
      <c r="D1" s="87" t="s">
        <v>155</v>
      </c>
      <c r="E1" s="87" t="s">
        <v>156</v>
      </c>
      <c r="F1" s="87" t="s">
        <v>157</v>
      </c>
      <c r="G1" s="87" t="s">
        <v>158</v>
      </c>
      <c r="H1" s="87"/>
      <c r="I1" s="87"/>
      <c r="J1" s="87"/>
      <c r="K1" s="87"/>
    </row>
    <row r="2" spans="1:11" x14ac:dyDescent="0.25">
      <c r="A2" s="87"/>
      <c r="B2" s="87"/>
      <c r="C2" s="87" t="s">
        <v>159</v>
      </c>
      <c r="D2" s="87" t="s">
        <v>159</v>
      </c>
      <c r="E2" s="87" t="s">
        <v>159</v>
      </c>
      <c r="F2" s="87" t="s">
        <v>159</v>
      </c>
      <c r="G2" s="87" t="s">
        <v>159</v>
      </c>
      <c r="H2" s="87" t="s">
        <v>159</v>
      </c>
      <c r="I2" s="87" t="s">
        <v>159</v>
      </c>
      <c r="J2" s="87" t="s">
        <v>159</v>
      </c>
      <c r="K2" s="87" t="s">
        <v>160</v>
      </c>
    </row>
    <row r="3" spans="1:11" x14ac:dyDescent="0.25">
      <c r="A3" s="87"/>
      <c r="B3" s="87"/>
      <c r="C3" s="87" t="s">
        <v>161</v>
      </c>
      <c r="D3" s="87" t="s">
        <v>161</v>
      </c>
      <c r="E3" s="87" t="s">
        <v>161</v>
      </c>
      <c r="F3" s="87" t="s">
        <v>161</v>
      </c>
      <c r="G3" s="87" t="s">
        <v>161</v>
      </c>
      <c r="H3" s="87" t="s">
        <v>161</v>
      </c>
      <c r="I3" s="87" t="s">
        <v>161</v>
      </c>
      <c r="J3" s="87" t="s">
        <v>162</v>
      </c>
      <c r="K3" s="87" t="s">
        <v>161</v>
      </c>
    </row>
    <row r="4" spans="1:11" x14ac:dyDescent="0.25">
      <c r="A4" s="87"/>
      <c r="B4" s="87"/>
      <c r="C4" s="88" t="s">
        <v>163</v>
      </c>
      <c r="D4" s="88" t="s">
        <v>164</v>
      </c>
      <c r="E4" s="88" t="s">
        <v>165</v>
      </c>
      <c r="F4" s="88" t="s">
        <v>166</v>
      </c>
      <c r="G4" s="88" t="s">
        <v>167</v>
      </c>
      <c r="H4" s="88" t="s">
        <v>168</v>
      </c>
      <c r="I4" s="88" t="s">
        <v>169</v>
      </c>
      <c r="J4" s="88" t="s">
        <v>170</v>
      </c>
      <c r="K4" s="88" t="s">
        <v>218</v>
      </c>
    </row>
    <row r="5" spans="1:11" x14ac:dyDescent="0.25">
      <c r="A5" s="87"/>
      <c r="B5" s="87"/>
      <c r="C5" s="87" t="s">
        <v>171</v>
      </c>
      <c r="D5" s="87" t="s">
        <v>171</v>
      </c>
      <c r="E5" s="87" t="s">
        <v>171</v>
      </c>
      <c r="F5" s="87" t="s">
        <v>171</v>
      </c>
      <c r="G5" s="87" t="s">
        <v>171</v>
      </c>
      <c r="H5" s="87" t="s">
        <v>171</v>
      </c>
      <c r="I5" s="87" t="s">
        <v>171</v>
      </c>
      <c r="J5" s="87" t="s">
        <v>171</v>
      </c>
      <c r="K5" s="87" t="s">
        <v>171</v>
      </c>
    </row>
    <row r="6" spans="1:11" x14ac:dyDescent="0.25">
      <c r="A6" s="87"/>
      <c r="B6" s="87"/>
      <c r="C6" s="87" t="s">
        <v>172</v>
      </c>
      <c r="D6" s="87" t="s">
        <v>172</v>
      </c>
      <c r="E6" s="87" t="s">
        <v>172</v>
      </c>
      <c r="F6" s="87" t="s">
        <v>172</v>
      </c>
      <c r="G6" s="87" t="s">
        <v>172</v>
      </c>
      <c r="H6" s="87" t="s">
        <v>172</v>
      </c>
      <c r="I6" s="87" t="s">
        <v>172</v>
      </c>
      <c r="J6" s="87" t="s">
        <v>172</v>
      </c>
      <c r="K6" s="87" t="s">
        <v>172</v>
      </c>
    </row>
    <row r="7" spans="1:11" x14ac:dyDescent="0.25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</row>
    <row r="8" spans="1:11" x14ac:dyDescent="0.25">
      <c r="A8" s="87" t="s">
        <v>173</v>
      </c>
      <c r="B8" s="88" t="s">
        <v>174</v>
      </c>
      <c r="C8" s="87">
        <v>0</v>
      </c>
      <c r="D8" s="87">
        <v>281</v>
      </c>
      <c r="E8" s="87">
        <v>359</v>
      </c>
      <c r="F8" s="87">
        <v>309</v>
      </c>
      <c r="G8" s="87">
        <v>368</v>
      </c>
      <c r="H8" s="87">
        <v>410</v>
      </c>
      <c r="I8" s="87">
        <v>377</v>
      </c>
      <c r="J8" s="87">
        <v>283</v>
      </c>
      <c r="K8" s="87">
        <v>377</v>
      </c>
    </row>
    <row r="9" spans="1:11" x14ac:dyDescent="0.25">
      <c r="A9" s="87" t="s">
        <v>173</v>
      </c>
      <c r="B9" s="88" t="s">
        <v>175</v>
      </c>
      <c r="C9" s="87">
        <v>0</v>
      </c>
      <c r="D9" s="87">
        <v>281</v>
      </c>
      <c r="E9" s="87">
        <v>261</v>
      </c>
      <c r="F9" s="87">
        <v>232</v>
      </c>
      <c r="G9" s="87">
        <v>316</v>
      </c>
      <c r="H9" s="87">
        <v>427</v>
      </c>
      <c r="I9" s="87">
        <v>379</v>
      </c>
      <c r="J9" s="87">
        <v>194</v>
      </c>
      <c r="K9" s="87">
        <v>330</v>
      </c>
    </row>
    <row r="10" spans="1:11" x14ac:dyDescent="0.25">
      <c r="A10" s="87" t="s">
        <v>173</v>
      </c>
      <c r="B10" s="88" t="s">
        <v>176</v>
      </c>
      <c r="C10" s="87">
        <v>0</v>
      </c>
      <c r="D10" s="87">
        <v>243</v>
      </c>
      <c r="E10" s="87">
        <v>237</v>
      </c>
      <c r="F10" s="87">
        <v>307</v>
      </c>
      <c r="G10" s="87">
        <v>382</v>
      </c>
      <c r="H10" s="87">
        <v>415</v>
      </c>
      <c r="I10" s="87">
        <v>314</v>
      </c>
      <c r="J10" s="87">
        <v>109</v>
      </c>
      <c r="K10" s="87">
        <v>313</v>
      </c>
    </row>
    <row r="11" spans="1:11" x14ac:dyDescent="0.25">
      <c r="A11" s="87" t="s">
        <v>173</v>
      </c>
      <c r="B11" s="88" t="s">
        <v>177</v>
      </c>
      <c r="C11" s="87">
        <v>0</v>
      </c>
      <c r="D11" s="87">
        <v>206</v>
      </c>
      <c r="E11" s="87">
        <v>341</v>
      </c>
      <c r="F11" s="87">
        <v>350</v>
      </c>
      <c r="G11" s="87">
        <v>421</v>
      </c>
      <c r="H11" s="87">
        <v>388</v>
      </c>
      <c r="I11" s="87">
        <v>210</v>
      </c>
      <c r="J11" s="87">
        <v>85</v>
      </c>
      <c r="K11" s="87">
        <v>291</v>
      </c>
    </row>
    <row r="12" spans="1:11" x14ac:dyDescent="0.25">
      <c r="A12" s="87" t="s">
        <v>173</v>
      </c>
      <c r="B12" s="88" t="s">
        <v>178</v>
      </c>
      <c r="C12" s="87">
        <v>0</v>
      </c>
      <c r="D12" s="87">
        <v>240</v>
      </c>
      <c r="E12" s="87">
        <v>414</v>
      </c>
      <c r="F12" s="87">
        <v>337</v>
      </c>
      <c r="G12" s="87">
        <v>400</v>
      </c>
      <c r="H12" s="87">
        <v>287</v>
      </c>
      <c r="I12" s="87">
        <v>157</v>
      </c>
      <c r="J12" s="87">
        <v>85</v>
      </c>
      <c r="K12" s="87">
        <v>277</v>
      </c>
    </row>
    <row r="13" spans="1:11" x14ac:dyDescent="0.25">
      <c r="A13" s="87" t="s">
        <v>173</v>
      </c>
      <c r="B13" s="88" t="s">
        <v>179</v>
      </c>
      <c r="C13" s="87">
        <v>0</v>
      </c>
      <c r="D13" s="87">
        <v>296</v>
      </c>
      <c r="E13" s="87">
        <v>408</v>
      </c>
      <c r="F13" s="87">
        <v>342</v>
      </c>
      <c r="G13" s="87">
        <v>341</v>
      </c>
      <c r="H13" s="87">
        <v>250</v>
      </c>
      <c r="I13" s="87">
        <v>146</v>
      </c>
      <c r="J13" s="87">
        <v>87</v>
      </c>
      <c r="K13" s="87">
        <v>306</v>
      </c>
    </row>
    <row r="14" spans="1:11" x14ac:dyDescent="0.25">
      <c r="A14" s="87" t="s">
        <v>173</v>
      </c>
      <c r="B14" s="88" t="s">
        <v>180</v>
      </c>
      <c r="C14" s="87">
        <v>0</v>
      </c>
      <c r="D14" s="87">
        <v>287</v>
      </c>
      <c r="E14" s="87">
        <v>428</v>
      </c>
      <c r="F14" s="87">
        <v>370</v>
      </c>
      <c r="G14" s="87">
        <v>337</v>
      </c>
      <c r="H14" s="87">
        <v>300</v>
      </c>
      <c r="I14" s="87">
        <v>174</v>
      </c>
      <c r="J14" s="87">
        <v>96</v>
      </c>
      <c r="K14" s="87">
        <v>422</v>
      </c>
    </row>
    <row r="15" spans="1:11" x14ac:dyDescent="0.25">
      <c r="A15" s="87" t="s">
        <v>173</v>
      </c>
      <c r="B15" s="88" t="s">
        <v>181</v>
      </c>
      <c r="C15" s="87">
        <v>0</v>
      </c>
      <c r="D15" s="87">
        <v>294</v>
      </c>
      <c r="E15" s="87">
        <v>349</v>
      </c>
      <c r="F15" s="87">
        <v>302</v>
      </c>
      <c r="G15" s="87">
        <v>398</v>
      </c>
      <c r="H15" s="87">
        <v>385</v>
      </c>
      <c r="I15" s="87">
        <v>219</v>
      </c>
      <c r="J15" s="87">
        <v>111</v>
      </c>
      <c r="K15" s="87">
        <v>418</v>
      </c>
    </row>
    <row r="16" spans="1:11" x14ac:dyDescent="0.25">
      <c r="A16" s="87" t="s">
        <v>173</v>
      </c>
      <c r="B16" s="88" t="s">
        <v>182</v>
      </c>
      <c r="C16" s="87">
        <v>0</v>
      </c>
      <c r="D16" s="87">
        <v>234</v>
      </c>
      <c r="E16" s="87">
        <v>377</v>
      </c>
      <c r="F16" s="87">
        <v>388</v>
      </c>
      <c r="G16" s="87">
        <v>413</v>
      </c>
      <c r="H16" s="87">
        <v>345</v>
      </c>
      <c r="I16" s="87">
        <v>190</v>
      </c>
      <c r="J16" s="87">
        <v>93</v>
      </c>
      <c r="K16" s="87">
        <v>391</v>
      </c>
    </row>
    <row r="17" spans="1:11" x14ac:dyDescent="0.25">
      <c r="A17" s="87" t="s">
        <v>173</v>
      </c>
      <c r="B17" s="88" t="s">
        <v>183</v>
      </c>
      <c r="C17" s="87">
        <v>0</v>
      </c>
      <c r="D17" s="87">
        <v>317</v>
      </c>
      <c r="E17" s="87">
        <v>392</v>
      </c>
      <c r="F17" s="87">
        <v>429</v>
      </c>
      <c r="G17" s="87">
        <v>397</v>
      </c>
      <c r="H17" s="87">
        <v>340</v>
      </c>
      <c r="I17" s="87">
        <v>217</v>
      </c>
      <c r="J17" s="87">
        <v>130</v>
      </c>
      <c r="K17" s="87">
        <v>355</v>
      </c>
    </row>
    <row r="18" spans="1:11" x14ac:dyDescent="0.25">
      <c r="A18" s="87" t="s">
        <v>173</v>
      </c>
      <c r="B18" s="88" t="s">
        <v>184</v>
      </c>
      <c r="C18" s="87">
        <v>0</v>
      </c>
      <c r="D18" s="87">
        <v>330</v>
      </c>
      <c r="E18" s="87">
        <v>379</v>
      </c>
      <c r="F18" s="87">
        <v>370</v>
      </c>
      <c r="G18" s="87">
        <v>324</v>
      </c>
      <c r="H18" s="87">
        <v>240</v>
      </c>
      <c r="I18" s="87">
        <v>232</v>
      </c>
      <c r="J18" s="87">
        <v>122</v>
      </c>
      <c r="K18" s="87">
        <v>195</v>
      </c>
    </row>
    <row r="19" spans="1:11" x14ac:dyDescent="0.25">
      <c r="A19" s="87" t="s">
        <v>173</v>
      </c>
      <c r="B19" s="88" t="s">
        <v>185</v>
      </c>
      <c r="C19" s="87">
        <v>0</v>
      </c>
      <c r="D19" s="87">
        <v>346</v>
      </c>
      <c r="E19" s="87">
        <v>332</v>
      </c>
      <c r="F19" s="87">
        <v>332</v>
      </c>
      <c r="G19" s="87">
        <v>427</v>
      </c>
      <c r="H19" s="87">
        <v>227</v>
      </c>
      <c r="I19" s="87">
        <v>192</v>
      </c>
      <c r="J19" s="87">
        <v>53</v>
      </c>
      <c r="K19" s="87">
        <v>210</v>
      </c>
    </row>
    <row r="20" spans="1:11" x14ac:dyDescent="0.25">
      <c r="A20" s="87" t="s">
        <v>173</v>
      </c>
      <c r="B20" s="88" t="s">
        <v>186</v>
      </c>
      <c r="C20" s="87">
        <v>0</v>
      </c>
      <c r="D20" s="87">
        <v>335</v>
      </c>
      <c r="E20" s="87">
        <v>244</v>
      </c>
      <c r="F20" s="87">
        <v>312</v>
      </c>
      <c r="G20" s="87">
        <v>357</v>
      </c>
      <c r="H20" s="87">
        <v>256</v>
      </c>
      <c r="I20" s="87">
        <v>369</v>
      </c>
      <c r="J20" s="87">
        <v>54</v>
      </c>
      <c r="K20" s="87">
        <v>307</v>
      </c>
    </row>
    <row r="21" spans="1:11" x14ac:dyDescent="0.25">
      <c r="A21" s="87" t="s">
        <v>173</v>
      </c>
      <c r="B21" s="88" t="s">
        <v>187</v>
      </c>
      <c r="C21" s="87">
        <v>0</v>
      </c>
      <c r="D21" s="87">
        <v>282</v>
      </c>
      <c r="E21" s="87">
        <v>324</v>
      </c>
      <c r="F21" s="87">
        <v>363</v>
      </c>
      <c r="G21" s="87">
        <v>348</v>
      </c>
      <c r="H21" s="87">
        <v>324</v>
      </c>
      <c r="I21" s="87">
        <v>369</v>
      </c>
      <c r="J21" s="87">
        <v>88</v>
      </c>
      <c r="K21" s="87">
        <v>313</v>
      </c>
    </row>
    <row r="22" spans="1:11" x14ac:dyDescent="0.25">
      <c r="A22" s="87" t="s">
        <v>173</v>
      </c>
      <c r="B22" s="88" t="s">
        <v>188</v>
      </c>
      <c r="C22" s="87">
        <v>0</v>
      </c>
      <c r="D22" s="87">
        <v>176</v>
      </c>
      <c r="E22" s="87">
        <v>319</v>
      </c>
      <c r="F22" s="87">
        <v>384</v>
      </c>
      <c r="G22" s="87">
        <v>382</v>
      </c>
      <c r="H22" s="87">
        <v>320</v>
      </c>
      <c r="I22" s="87">
        <v>407</v>
      </c>
      <c r="J22" s="87">
        <v>141</v>
      </c>
      <c r="K22" s="87">
        <v>291</v>
      </c>
    </row>
    <row r="23" spans="1:11" x14ac:dyDescent="0.25">
      <c r="A23" s="87" t="s">
        <v>173</v>
      </c>
      <c r="B23" s="88" t="s">
        <v>189</v>
      </c>
      <c r="C23" s="87">
        <v>0</v>
      </c>
      <c r="D23" s="87">
        <v>253</v>
      </c>
      <c r="E23" s="87">
        <v>371</v>
      </c>
      <c r="F23" s="87">
        <v>319</v>
      </c>
      <c r="G23" s="87">
        <v>391</v>
      </c>
      <c r="H23" s="87">
        <v>314</v>
      </c>
      <c r="I23" s="87">
        <v>407</v>
      </c>
      <c r="J23" s="87">
        <v>181</v>
      </c>
      <c r="K23" s="87">
        <v>324</v>
      </c>
    </row>
    <row r="24" spans="1:11" x14ac:dyDescent="0.25">
      <c r="A24" s="87" t="s">
        <v>173</v>
      </c>
      <c r="B24" s="88" t="s">
        <v>190</v>
      </c>
      <c r="C24" s="87">
        <v>0</v>
      </c>
      <c r="D24" s="87">
        <v>305</v>
      </c>
      <c r="E24" s="87">
        <v>337</v>
      </c>
      <c r="F24" s="87">
        <v>383</v>
      </c>
      <c r="G24" s="87">
        <v>275</v>
      </c>
      <c r="H24" s="87">
        <v>284</v>
      </c>
      <c r="I24" s="87">
        <v>388</v>
      </c>
      <c r="J24" s="87">
        <v>151</v>
      </c>
      <c r="K24" s="87">
        <v>285</v>
      </c>
    </row>
    <row r="25" spans="1:11" x14ac:dyDescent="0.25">
      <c r="A25" s="87" t="s">
        <v>173</v>
      </c>
      <c r="B25" s="88" t="s">
        <v>191</v>
      </c>
      <c r="C25" s="87">
        <v>0</v>
      </c>
      <c r="D25" s="87">
        <v>267</v>
      </c>
      <c r="E25" s="87">
        <v>226</v>
      </c>
      <c r="F25" s="87">
        <v>377</v>
      </c>
      <c r="G25" s="87">
        <v>247</v>
      </c>
      <c r="H25" s="87">
        <v>413</v>
      </c>
      <c r="I25" s="87">
        <v>394</v>
      </c>
      <c r="J25" s="87">
        <v>104</v>
      </c>
      <c r="K25" s="87">
        <v>341</v>
      </c>
    </row>
    <row r="26" spans="1:11" x14ac:dyDescent="0.25">
      <c r="A26" s="87" t="s">
        <v>173</v>
      </c>
      <c r="B26" s="88" t="s">
        <v>192</v>
      </c>
      <c r="C26" s="87">
        <v>0</v>
      </c>
      <c r="D26" s="87">
        <v>187</v>
      </c>
      <c r="E26" s="87">
        <v>346</v>
      </c>
      <c r="F26" s="87">
        <v>382</v>
      </c>
      <c r="G26" s="87">
        <v>219</v>
      </c>
      <c r="H26" s="87">
        <v>423</v>
      </c>
      <c r="I26" s="87">
        <v>377</v>
      </c>
      <c r="J26" s="87">
        <v>129</v>
      </c>
      <c r="K26" s="87">
        <v>293</v>
      </c>
    </row>
    <row r="27" spans="1:11" x14ac:dyDescent="0.25">
      <c r="A27" s="87" t="s">
        <v>173</v>
      </c>
      <c r="B27" s="88" t="s">
        <v>193</v>
      </c>
      <c r="C27" s="87">
        <v>0</v>
      </c>
      <c r="D27" s="87">
        <v>221</v>
      </c>
      <c r="E27" s="87">
        <v>412</v>
      </c>
      <c r="F27" s="87">
        <v>427</v>
      </c>
      <c r="G27" s="87">
        <v>253</v>
      </c>
      <c r="H27" s="87">
        <v>400</v>
      </c>
      <c r="I27" s="87">
        <v>387</v>
      </c>
      <c r="J27" s="87">
        <v>144</v>
      </c>
      <c r="K27" s="87">
        <v>339</v>
      </c>
    </row>
    <row r="28" spans="1:11" x14ac:dyDescent="0.25">
      <c r="A28" s="87" t="s">
        <v>173</v>
      </c>
      <c r="B28" s="88" t="s">
        <v>194</v>
      </c>
      <c r="C28" s="87">
        <v>0</v>
      </c>
      <c r="D28" s="87">
        <v>359</v>
      </c>
      <c r="E28" s="87">
        <v>409</v>
      </c>
      <c r="F28" s="87">
        <v>237</v>
      </c>
      <c r="G28" s="87">
        <v>225</v>
      </c>
      <c r="H28" s="87">
        <v>355</v>
      </c>
      <c r="I28" s="87">
        <v>344</v>
      </c>
      <c r="J28" s="87">
        <v>161</v>
      </c>
      <c r="K28" s="87">
        <v>381</v>
      </c>
    </row>
    <row r="29" spans="1:11" x14ac:dyDescent="0.25">
      <c r="A29" s="87" t="s">
        <v>173</v>
      </c>
      <c r="B29" s="88" t="s">
        <v>195</v>
      </c>
      <c r="C29" s="87">
        <v>0</v>
      </c>
      <c r="D29" s="87">
        <v>307</v>
      </c>
      <c r="E29" s="87">
        <v>320</v>
      </c>
      <c r="F29" s="87">
        <v>198</v>
      </c>
      <c r="G29" s="87">
        <v>285</v>
      </c>
      <c r="H29" s="87">
        <v>403</v>
      </c>
      <c r="I29" s="87">
        <v>401</v>
      </c>
      <c r="J29" s="87">
        <v>286</v>
      </c>
      <c r="K29" s="87">
        <v>339</v>
      </c>
    </row>
    <row r="30" spans="1:11" x14ac:dyDescent="0.25">
      <c r="A30" s="87" t="s">
        <v>173</v>
      </c>
      <c r="B30" s="88" t="s">
        <v>196</v>
      </c>
      <c r="C30" s="87">
        <v>0</v>
      </c>
      <c r="D30" s="87">
        <v>323</v>
      </c>
      <c r="E30" s="87">
        <v>313</v>
      </c>
      <c r="F30" s="87">
        <v>206</v>
      </c>
      <c r="G30" s="87">
        <v>323</v>
      </c>
      <c r="H30" s="87">
        <v>359</v>
      </c>
      <c r="I30" s="87">
        <v>392</v>
      </c>
      <c r="J30" s="87">
        <v>291</v>
      </c>
      <c r="K30" s="87">
        <v>346</v>
      </c>
    </row>
    <row r="31" spans="1:11" x14ac:dyDescent="0.25">
      <c r="A31" s="87" t="s">
        <v>173</v>
      </c>
      <c r="B31" s="88" t="s">
        <v>197</v>
      </c>
      <c r="C31" s="87">
        <v>0</v>
      </c>
      <c r="D31" s="87">
        <v>214</v>
      </c>
      <c r="E31" s="87">
        <v>197</v>
      </c>
      <c r="F31" s="87">
        <v>395</v>
      </c>
      <c r="G31" s="87">
        <v>322</v>
      </c>
      <c r="H31" s="87">
        <v>381</v>
      </c>
      <c r="I31" s="87">
        <v>416</v>
      </c>
      <c r="J31" s="87">
        <v>233</v>
      </c>
      <c r="K31" s="87">
        <v>388</v>
      </c>
    </row>
    <row r="32" spans="1:11" x14ac:dyDescent="0.25">
      <c r="A32" s="87" t="s">
        <v>173</v>
      </c>
      <c r="B32" s="88" t="s">
        <v>198</v>
      </c>
      <c r="C32" s="87">
        <v>0</v>
      </c>
      <c r="D32" s="87">
        <v>353</v>
      </c>
      <c r="E32" s="87">
        <v>253</v>
      </c>
      <c r="F32" s="87">
        <v>416</v>
      </c>
      <c r="G32" s="87">
        <v>264</v>
      </c>
      <c r="H32" s="87">
        <v>265</v>
      </c>
      <c r="I32" s="87">
        <v>237</v>
      </c>
      <c r="J32" s="87">
        <v>210</v>
      </c>
      <c r="K32" s="87">
        <v>390</v>
      </c>
    </row>
    <row r="33" spans="1:11" x14ac:dyDescent="0.25">
      <c r="A33" s="87" t="s">
        <v>173</v>
      </c>
      <c r="B33" s="88" t="s">
        <v>199</v>
      </c>
      <c r="C33" s="87">
        <v>0</v>
      </c>
      <c r="D33" s="87">
        <v>358</v>
      </c>
      <c r="E33" s="87">
        <v>295</v>
      </c>
      <c r="F33" s="87">
        <v>413</v>
      </c>
      <c r="G33" s="87">
        <v>249</v>
      </c>
      <c r="H33" s="87">
        <v>352</v>
      </c>
      <c r="I33" s="87">
        <v>374</v>
      </c>
      <c r="J33" s="87">
        <v>73</v>
      </c>
      <c r="K33" s="87">
        <v>384</v>
      </c>
    </row>
    <row r="34" spans="1:11" x14ac:dyDescent="0.25">
      <c r="A34" s="87" t="s">
        <v>173</v>
      </c>
      <c r="B34" s="88" t="s">
        <v>200</v>
      </c>
      <c r="C34" s="87">
        <v>0</v>
      </c>
      <c r="D34" s="87">
        <v>342</v>
      </c>
      <c r="E34" s="87">
        <v>331</v>
      </c>
      <c r="F34" s="87">
        <v>417</v>
      </c>
      <c r="G34" s="87">
        <v>345</v>
      </c>
      <c r="H34" s="87">
        <v>345</v>
      </c>
      <c r="I34" s="87">
        <v>383</v>
      </c>
      <c r="J34" s="87">
        <v>66</v>
      </c>
      <c r="K34" s="87">
        <v>399</v>
      </c>
    </row>
    <row r="35" spans="1:11" x14ac:dyDescent="0.25">
      <c r="A35" s="87" t="s">
        <v>173</v>
      </c>
      <c r="B35" s="88" t="s">
        <v>201</v>
      </c>
      <c r="C35" s="87">
        <v>0</v>
      </c>
      <c r="D35" s="87">
        <v>172</v>
      </c>
      <c r="E35" s="87">
        <v>369</v>
      </c>
      <c r="F35" s="87">
        <v>382</v>
      </c>
      <c r="G35" s="87">
        <v>411</v>
      </c>
      <c r="H35" s="87">
        <v>364</v>
      </c>
      <c r="I35" s="87">
        <v>352</v>
      </c>
      <c r="J35" s="87">
        <v>88</v>
      </c>
      <c r="K35" s="87">
        <v>422</v>
      </c>
    </row>
    <row r="36" spans="1:11" x14ac:dyDescent="0.25">
      <c r="A36" s="87" t="s">
        <v>173</v>
      </c>
      <c r="B36" s="88" t="s">
        <v>202</v>
      </c>
      <c r="C36" s="87">
        <v>0</v>
      </c>
      <c r="D36" s="87">
        <v>197</v>
      </c>
      <c r="E36" s="87">
        <v>383</v>
      </c>
      <c r="F36" s="87">
        <v>260</v>
      </c>
      <c r="G36" s="87">
        <v>383</v>
      </c>
      <c r="H36" s="87">
        <v>344</v>
      </c>
      <c r="I36" s="87">
        <v>407</v>
      </c>
      <c r="J36" s="87">
        <v>136</v>
      </c>
      <c r="K36" s="87">
        <v>250</v>
      </c>
    </row>
    <row r="37" spans="1:11" x14ac:dyDescent="0.25">
      <c r="A37" s="87" t="s">
        <v>173</v>
      </c>
      <c r="B37" s="88" t="s">
        <v>203</v>
      </c>
      <c r="C37" s="87">
        <v>0</v>
      </c>
      <c r="D37" s="87">
        <v>121</v>
      </c>
      <c r="E37" s="87">
        <v>412</v>
      </c>
      <c r="F37" s="87">
        <v>413</v>
      </c>
      <c r="G37" s="87">
        <v>372</v>
      </c>
      <c r="H37" s="87">
        <v>340</v>
      </c>
      <c r="I37" s="87">
        <v>364</v>
      </c>
      <c r="J37" s="87">
        <v>150</v>
      </c>
      <c r="K37" s="87">
        <v>400</v>
      </c>
    </row>
    <row r="38" spans="1:11" x14ac:dyDescent="0.25">
      <c r="A38" s="87" t="s">
        <v>173</v>
      </c>
      <c r="B38" s="88" t="s">
        <v>204</v>
      </c>
      <c r="C38" s="87">
        <v>0</v>
      </c>
      <c r="D38" s="87">
        <v>152</v>
      </c>
      <c r="E38" s="87">
        <v>256</v>
      </c>
      <c r="F38" s="87">
        <v>415</v>
      </c>
      <c r="G38" s="87">
        <v>274</v>
      </c>
      <c r="H38" s="87">
        <v>296</v>
      </c>
      <c r="I38" s="87">
        <v>246</v>
      </c>
      <c r="J38" s="87">
        <v>78</v>
      </c>
      <c r="K38" s="87">
        <v>398</v>
      </c>
    </row>
    <row r="39" spans="1:11" x14ac:dyDescent="0.25">
      <c r="A39" s="87" t="s">
        <v>205</v>
      </c>
      <c r="B39" s="88" t="s">
        <v>174</v>
      </c>
      <c r="C39" s="87">
        <v>0</v>
      </c>
      <c r="D39" s="87">
        <v>208</v>
      </c>
      <c r="E39" s="87">
        <v>386</v>
      </c>
      <c r="F39" s="87">
        <v>226</v>
      </c>
      <c r="G39" s="87">
        <v>311</v>
      </c>
      <c r="H39" s="87">
        <v>305</v>
      </c>
      <c r="I39" s="87">
        <v>264</v>
      </c>
      <c r="J39" s="87">
        <v>110</v>
      </c>
      <c r="K39" s="87">
        <v>144</v>
      </c>
    </row>
    <row r="40" spans="1:11" x14ac:dyDescent="0.25">
      <c r="A40" s="87" t="s">
        <v>205</v>
      </c>
      <c r="B40" s="88" t="s">
        <v>175</v>
      </c>
      <c r="C40" s="87">
        <v>0</v>
      </c>
      <c r="D40" s="87">
        <v>279</v>
      </c>
      <c r="E40" s="87">
        <v>398</v>
      </c>
      <c r="F40" s="87">
        <v>265</v>
      </c>
      <c r="G40" s="87">
        <v>239</v>
      </c>
      <c r="H40" s="87">
        <v>365</v>
      </c>
      <c r="I40" s="87">
        <v>271</v>
      </c>
      <c r="J40" s="87">
        <v>111</v>
      </c>
      <c r="K40" s="87">
        <v>294</v>
      </c>
    </row>
    <row r="41" spans="1:11" x14ac:dyDescent="0.25">
      <c r="A41" s="87" t="s">
        <v>205</v>
      </c>
      <c r="B41" s="88" t="s">
        <v>176</v>
      </c>
      <c r="C41" s="87">
        <v>0</v>
      </c>
      <c r="D41" s="87">
        <v>263</v>
      </c>
      <c r="E41" s="87">
        <v>355</v>
      </c>
      <c r="F41" s="87">
        <v>296</v>
      </c>
      <c r="G41" s="87">
        <v>218</v>
      </c>
      <c r="H41" s="87">
        <v>268</v>
      </c>
      <c r="I41" s="87">
        <v>418</v>
      </c>
      <c r="J41" s="87">
        <v>132</v>
      </c>
      <c r="K41" s="87">
        <v>288</v>
      </c>
    </row>
    <row r="42" spans="1:11" x14ac:dyDescent="0.25">
      <c r="A42" s="87" t="s">
        <v>205</v>
      </c>
      <c r="B42" s="88" t="s">
        <v>177</v>
      </c>
      <c r="C42" s="87">
        <v>0</v>
      </c>
      <c r="D42" s="87">
        <v>183</v>
      </c>
      <c r="E42" s="87">
        <v>206</v>
      </c>
      <c r="F42" s="87">
        <v>310</v>
      </c>
      <c r="G42" s="87">
        <v>212</v>
      </c>
      <c r="H42" s="87">
        <v>308</v>
      </c>
      <c r="I42" s="87">
        <v>417</v>
      </c>
      <c r="J42" s="87">
        <v>87</v>
      </c>
      <c r="K42" s="87">
        <v>319</v>
      </c>
    </row>
    <row r="43" spans="1:11" x14ac:dyDescent="0.25">
      <c r="A43" s="87" t="s">
        <v>205</v>
      </c>
      <c r="B43" s="88" t="s">
        <v>178</v>
      </c>
      <c r="C43" s="87">
        <v>0</v>
      </c>
      <c r="D43" s="87">
        <v>134</v>
      </c>
      <c r="E43" s="87">
        <v>278</v>
      </c>
      <c r="F43" s="87">
        <v>317</v>
      </c>
      <c r="G43" s="87">
        <v>365</v>
      </c>
      <c r="H43" s="87">
        <v>231</v>
      </c>
      <c r="I43" s="87">
        <v>349</v>
      </c>
      <c r="J43" s="87">
        <v>111</v>
      </c>
      <c r="K43" s="87">
        <v>303</v>
      </c>
    </row>
    <row r="44" spans="1:11" x14ac:dyDescent="0.25">
      <c r="A44" s="87" t="s">
        <v>205</v>
      </c>
      <c r="B44" s="88" t="s">
        <v>179</v>
      </c>
      <c r="C44" s="87">
        <v>0</v>
      </c>
      <c r="D44" s="87">
        <v>161</v>
      </c>
      <c r="E44" s="87">
        <v>285</v>
      </c>
      <c r="F44" s="87">
        <v>308</v>
      </c>
      <c r="G44" s="87">
        <v>393</v>
      </c>
      <c r="H44" s="87">
        <v>410</v>
      </c>
      <c r="I44" s="87">
        <v>354</v>
      </c>
      <c r="J44" s="87">
        <v>126</v>
      </c>
      <c r="K44" s="87">
        <v>298</v>
      </c>
    </row>
    <row r="45" spans="1:11" x14ac:dyDescent="0.25">
      <c r="A45" s="87" t="s">
        <v>205</v>
      </c>
      <c r="B45" s="88" t="s">
        <v>180</v>
      </c>
      <c r="C45" s="87">
        <v>0</v>
      </c>
      <c r="D45" s="87">
        <v>175</v>
      </c>
      <c r="E45" s="87">
        <v>345</v>
      </c>
      <c r="F45" s="87">
        <v>332</v>
      </c>
      <c r="G45" s="87">
        <v>345</v>
      </c>
      <c r="H45" s="87">
        <v>404</v>
      </c>
      <c r="I45" s="87">
        <v>404</v>
      </c>
      <c r="J45" s="87">
        <v>71</v>
      </c>
      <c r="K45" s="87">
        <v>261</v>
      </c>
    </row>
    <row r="46" spans="1:11" x14ac:dyDescent="0.25">
      <c r="A46" s="87" t="s">
        <v>205</v>
      </c>
      <c r="B46" s="88" t="s">
        <v>181</v>
      </c>
      <c r="C46" s="87">
        <v>0</v>
      </c>
      <c r="D46" s="87">
        <v>137</v>
      </c>
      <c r="E46" s="87">
        <v>419</v>
      </c>
      <c r="F46" s="87">
        <v>327</v>
      </c>
      <c r="G46" s="87">
        <v>364</v>
      </c>
      <c r="H46" s="87">
        <v>432</v>
      </c>
      <c r="I46" s="87">
        <v>349</v>
      </c>
      <c r="J46" s="87">
        <v>58</v>
      </c>
      <c r="K46" s="87">
        <v>224</v>
      </c>
    </row>
    <row r="47" spans="1:11" x14ac:dyDescent="0.25">
      <c r="A47" s="87" t="s">
        <v>205</v>
      </c>
      <c r="B47" s="88" t="s">
        <v>182</v>
      </c>
      <c r="C47" s="87">
        <v>0</v>
      </c>
      <c r="D47" s="87">
        <v>230</v>
      </c>
      <c r="E47" s="87">
        <v>390</v>
      </c>
      <c r="F47" s="87">
        <v>327</v>
      </c>
      <c r="G47" s="87">
        <v>330</v>
      </c>
      <c r="H47" s="87">
        <v>216</v>
      </c>
      <c r="I47" s="87">
        <v>296</v>
      </c>
      <c r="J47" s="87">
        <v>62</v>
      </c>
      <c r="K47" s="87">
        <v>350</v>
      </c>
    </row>
    <row r="48" spans="1:11" x14ac:dyDescent="0.25">
      <c r="A48" s="87" t="s">
        <v>205</v>
      </c>
      <c r="B48" s="88" t="s">
        <v>183</v>
      </c>
      <c r="C48" s="87">
        <v>0</v>
      </c>
      <c r="D48" s="87">
        <v>243</v>
      </c>
      <c r="E48" s="87">
        <v>395</v>
      </c>
      <c r="F48" s="87">
        <v>328</v>
      </c>
      <c r="G48" s="87">
        <v>332</v>
      </c>
      <c r="H48" s="87">
        <v>240</v>
      </c>
      <c r="I48" s="87">
        <v>290</v>
      </c>
      <c r="J48" s="87">
        <v>81</v>
      </c>
      <c r="K48" s="87">
        <v>360</v>
      </c>
    </row>
    <row r="49" spans="1:11" x14ac:dyDescent="0.25">
      <c r="A49" s="87" t="s">
        <v>205</v>
      </c>
      <c r="B49" s="88" t="s">
        <v>184</v>
      </c>
      <c r="C49" s="87">
        <v>0</v>
      </c>
      <c r="D49" s="87">
        <v>212</v>
      </c>
      <c r="E49" s="87">
        <v>347</v>
      </c>
      <c r="F49" s="87">
        <v>263</v>
      </c>
      <c r="G49" s="87">
        <v>326</v>
      </c>
      <c r="H49" s="87">
        <v>407</v>
      </c>
      <c r="I49" s="87">
        <v>232</v>
      </c>
      <c r="J49" s="87">
        <v>133</v>
      </c>
      <c r="K49" s="87">
        <v>386</v>
      </c>
    </row>
    <row r="50" spans="1:11" x14ac:dyDescent="0.25">
      <c r="A50" s="87" t="s">
        <v>205</v>
      </c>
      <c r="B50" s="88" t="s">
        <v>185</v>
      </c>
      <c r="C50" s="87">
        <v>0</v>
      </c>
      <c r="D50" s="87">
        <v>226</v>
      </c>
      <c r="E50" s="87">
        <v>331</v>
      </c>
      <c r="F50" s="87">
        <v>248</v>
      </c>
      <c r="G50" s="87">
        <v>340</v>
      </c>
      <c r="H50" s="87">
        <v>405</v>
      </c>
      <c r="I50" s="87">
        <v>267</v>
      </c>
      <c r="J50" s="87">
        <v>210</v>
      </c>
      <c r="K50" s="87">
        <v>242</v>
      </c>
    </row>
    <row r="51" spans="1:11" x14ac:dyDescent="0.25">
      <c r="A51" s="87" t="s">
        <v>205</v>
      </c>
      <c r="B51" s="88" t="s">
        <v>186</v>
      </c>
      <c r="C51" s="87">
        <v>0</v>
      </c>
      <c r="D51" s="87">
        <v>321</v>
      </c>
      <c r="E51" s="87">
        <v>406</v>
      </c>
      <c r="F51" s="87">
        <v>327</v>
      </c>
      <c r="G51" s="87">
        <v>389</v>
      </c>
      <c r="H51" s="87">
        <v>242</v>
      </c>
      <c r="I51" s="87">
        <v>329</v>
      </c>
      <c r="J51" s="87">
        <v>218</v>
      </c>
      <c r="K51" s="87">
        <v>285</v>
      </c>
    </row>
    <row r="52" spans="1:11" x14ac:dyDescent="0.25">
      <c r="A52" s="87" t="s">
        <v>205</v>
      </c>
      <c r="B52" s="88" t="s">
        <v>187</v>
      </c>
      <c r="C52" s="87">
        <v>0</v>
      </c>
      <c r="D52" s="87">
        <v>409</v>
      </c>
      <c r="E52" s="87">
        <v>428</v>
      </c>
      <c r="F52" s="87">
        <v>359</v>
      </c>
      <c r="G52" s="87">
        <v>317</v>
      </c>
      <c r="H52" s="87">
        <v>317</v>
      </c>
      <c r="I52" s="87">
        <v>377</v>
      </c>
      <c r="J52" s="87">
        <v>179</v>
      </c>
      <c r="K52" s="87">
        <v>428</v>
      </c>
    </row>
    <row r="53" spans="1:11" x14ac:dyDescent="0.25">
      <c r="A53" s="87" t="s">
        <v>205</v>
      </c>
      <c r="B53" s="88" t="s">
        <v>188</v>
      </c>
      <c r="C53" s="87">
        <v>0</v>
      </c>
      <c r="D53" s="87">
        <v>381</v>
      </c>
      <c r="E53" s="87">
        <v>410</v>
      </c>
      <c r="F53" s="87">
        <v>392</v>
      </c>
      <c r="G53" s="87">
        <v>384</v>
      </c>
      <c r="H53" s="87">
        <v>404</v>
      </c>
      <c r="I53" s="87">
        <v>435</v>
      </c>
      <c r="J53" s="87">
        <v>145</v>
      </c>
      <c r="K53" s="87">
        <v>427</v>
      </c>
    </row>
    <row r="54" spans="1:11" x14ac:dyDescent="0.25">
      <c r="A54" s="87" t="s">
        <v>205</v>
      </c>
      <c r="B54" s="88" t="s">
        <v>189</v>
      </c>
      <c r="C54" s="87">
        <v>0</v>
      </c>
      <c r="D54" s="87">
        <v>275</v>
      </c>
      <c r="E54" s="87">
        <v>386</v>
      </c>
      <c r="F54" s="87">
        <v>373</v>
      </c>
      <c r="G54" s="87">
        <v>433</v>
      </c>
      <c r="H54" s="87">
        <v>432</v>
      </c>
      <c r="I54" s="87">
        <v>425</v>
      </c>
      <c r="J54" s="87">
        <v>145</v>
      </c>
      <c r="K54" s="87">
        <v>402</v>
      </c>
    </row>
    <row r="55" spans="1:11" x14ac:dyDescent="0.25">
      <c r="A55" s="87" t="s">
        <v>205</v>
      </c>
      <c r="B55" s="88" t="s">
        <v>190</v>
      </c>
      <c r="C55" s="87">
        <v>0</v>
      </c>
      <c r="D55" s="87">
        <v>208</v>
      </c>
      <c r="E55" s="87">
        <v>395</v>
      </c>
      <c r="F55" s="87">
        <v>424</v>
      </c>
      <c r="G55" s="87">
        <v>435</v>
      </c>
      <c r="H55" s="87">
        <v>406</v>
      </c>
      <c r="I55" s="87">
        <v>317</v>
      </c>
      <c r="J55" s="87">
        <v>152</v>
      </c>
      <c r="K55" s="87">
        <v>425</v>
      </c>
    </row>
    <row r="56" spans="1:11" x14ac:dyDescent="0.25">
      <c r="A56" s="87" t="s">
        <v>205</v>
      </c>
      <c r="B56" s="88" t="s">
        <v>191</v>
      </c>
      <c r="C56" s="87">
        <v>0</v>
      </c>
      <c r="D56" s="87">
        <v>250</v>
      </c>
      <c r="E56" s="87">
        <v>373</v>
      </c>
      <c r="F56" s="87">
        <v>440</v>
      </c>
      <c r="G56" s="87">
        <v>433</v>
      </c>
      <c r="H56" s="87">
        <v>346</v>
      </c>
      <c r="I56" s="87">
        <v>317</v>
      </c>
      <c r="J56" s="87">
        <v>153</v>
      </c>
      <c r="K56" s="87">
        <v>427</v>
      </c>
    </row>
    <row r="57" spans="1:11" x14ac:dyDescent="0.25">
      <c r="A57" s="87" t="s">
        <v>205</v>
      </c>
      <c r="B57" s="88" t="s">
        <v>192</v>
      </c>
      <c r="C57" s="87">
        <v>0</v>
      </c>
      <c r="D57" s="87">
        <v>254</v>
      </c>
      <c r="E57" s="87">
        <v>409</v>
      </c>
      <c r="F57" s="87">
        <v>440</v>
      </c>
      <c r="G57" s="87">
        <v>392</v>
      </c>
      <c r="H57" s="87">
        <v>434</v>
      </c>
      <c r="I57" s="87">
        <v>436</v>
      </c>
      <c r="J57" s="87">
        <v>197</v>
      </c>
      <c r="K57" s="87">
        <v>421</v>
      </c>
    </row>
    <row r="58" spans="1:11" x14ac:dyDescent="0.25">
      <c r="A58" s="87" t="s">
        <v>205</v>
      </c>
      <c r="B58" s="88" t="s">
        <v>193</v>
      </c>
      <c r="C58" s="87">
        <v>0</v>
      </c>
      <c r="D58" s="87">
        <v>248</v>
      </c>
      <c r="E58" s="87">
        <v>399</v>
      </c>
      <c r="F58" s="87">
        <v>350</v>
      </c>
      <c r="G58" s="87">
        <v>415</v>
      </c>
      <c r="H58" s="87">
        <v>436</v>
      </c>
      <c r="I58" s="87">
        <v>432</v>
      </c>
      <c r="J58" s="87">
        <v>188</v>
      </c>
      <c r="K58" s="87">
        <v>304</v>
      </c>
    </row>
    <row r="59" spans="1:11" x14ac:dyDescent="0.25">
      <c r="A59" s="87" t="s">
        <v>205</v>
      </c>
      <c r="B59" s="88" t="s">
        <v>194</v>
      </c>
      <c r="C59" s="87">
        <v>0</v>
      </c>
      <c r="D59" s="87">
        <v>225</v>
      </c>
      <c r="E59" s="87">
        <v>360</v>
      </c>
      <c r="F59" s="87">
        <v>305</v>
      </c>
      <c r="G59" s="87">
        <v>420</v>
      </c>
      <c r="H59" s="87">
        <v>309</v>
      </c>
      <c r="I59" s="87">
        <v>369</v>
      </c>
      <c r="J59" s="87">
        <v>104</v>
      </c>
      <c r="K59" s="87">
        <v>281</v>
      </c>
    </row>
    <row r="60" spans="1:11" x14ac:dyDescent="0.25">
      <c r="A60" s="87" t="s">
        <v>205</v>
      </c>
      <c r="B60" s="88" t="s">
        <v>195</v>
      </c>
      <c r="C60" s="87">
        <v>0</v>
      </c>
      <c r="D60" s="87">
        <v>201</v>
      </c>
      <c r="E60" s="87">
        <v>219</v>
      </c>
      <c r="F60" s="87">
        <v>376</v>
      </c>
      <c r="G60" s="87">
        <v>342</v>
      </c>
      <c r="H60" s="87">
        <v>363</v>
      </c>
      <c r="I60" s="87">
        <v>388</v>
      </c>
      <c r="J60" s="87">
        <v>125</v>
      </c>
      <c r="K60" s="87">
        <v>319</v>
      </c>
    </row>
    <row r="61" spans="1:11" x14ac:dyDescent="0.25">
      <c r="A61" s="87" t="s">
        <v>205</v>
      </c>
      <c r="B61" s="88" t="s">
        <v>196</v>
      </c>
      <c r="C61" s="87">
        <v>0</v>
      </c>
      <c r="D61" s="87">
        <v>256</v>
      </c>
      <c r="E61" s="87">
        <v>219</v>
      </c>
      <c r="F61" s="87">
        <v>422</v>
      </c>
      <c r="G61" s="87">
        <v>355</v>
      </c>
      <c r="H61" s="87">
        <v>390</v>
      </c>
      <c r="I61" s="87">
        <v>364</v>
      </c>
      <c r="J61" s="87">
        <v>131</v>
      </c>
      <c r="K61" s="87">
        <v>322</v>
      </c>
    </row>
    <row r="62" spans="1:11" x14ac:dyDescent="0.25">
      <c r="A62" s="87" t="s">
        <v>205</v>
      </c>
      <c r="B62" s="88" t="s">
        <v>197</v>
      </c>
      <c r="C62" s="87">
        <v>0</v>
      </c>
      <c r="D62" s="87">
        <v>258</v>
      </c>
      <c r="E62" s="87">
        <v>352</v>
      </c>
      <c r="F62" s="87">
        <v>416</v>
      </c>
      <c r="G62" s="87">
        <v>390</v>
      </c>
      <c r="H62" s="87">
        <v>399</v>
      </c>
      <c r="I62" s="87">
        <v>382</v>
      </c>
      <c r="J62" s="87">
        <v>181</v>
      </c>
      <c r="K62" s="87">
        <v>307</v>
      </c>
    </row>
    <row r="63" spans="1:11" x14ac:dyDescent="0.25">
      <c r="A63" s="87" t="s">
        <v>205</v>
      </c>
      <c r="B63" s="88" t="s">
        <v>198</v>
      </c>
      <c r="C63" s="87">
        <v>0</v>
      </c>
      <c r="D63" s="87">
        <v>156</v>
      </c>
      <c r="E63" s="87">
        <v>336</v>
      </c>
      <c r="F63" s="87">
        <v>390</v>
      </c>
      <c r="G63" s="87">
        <v>320</v>
      </c>
      <c r="H63" s="87">
        <v>370</v>
      </c>
      <c r="I63" s="87">
        <v>334</v>
      </c>
      <c r="J63" s="87">
        <v>236</v>
      </c>
      <c r="K63" s="87">
        <v>353</v>
      </c>
    </row>
    <row r="64" spans="1:11" x14ac:dyDescent="0.25">
      <c r="A64" s="87" t="s">
        <v>205</v>
      </c>
      <c r="B64" s="88" t="s">
        <v>199</v>
      </c>
      <c r="C64" s="87">
        <v>0</v>
      </c>
      <c r="D64" s="87">
        <v>125</v>
      </c>
      <c r="E64" s="87">
        <v>227</v>
      </c>
      <c r="F64" s="87">
        <v>291</v>
      </c>
      <c r="G64" s="87">
        <v>309</v>
      </c>
      <c r="H64" s="87">
        <v>329</v>
      </c>
      <c r="I64" s="87">
        <v>389</v>
      </c>
      <c r="J64" s="87">
        <v>282</v>
      </c>
      <c r="K64" s="87">
        <v>312</v>
      </c>
    </row>
    <row r="65" spans="1:11" x14ac:dyDescent="0.25">
      <c r="A65" s="87" t="s">
        <v>205</v>
      </c>
      <c r="B65" s="88" t="s">
        <v>200</v>
      </c>
      <c r="C65" s="87">
        <v>0</v>
      </c>
      <c r="D65" s="87">
        <v>138</v>
      </c>
      <c r="E65" s="87">
        <v>267</v>
      </c>
      <c r="F65" s="87">
        <v>384</v>
      </c>
      <c r="G65" s="87">
        <v>206</v>
      </c>
      <c r="H65" s="87">
        <v>343</v>
      </c>
      <c r="I65" s="87">
        <v>355</v>
      </c>
      <c r="J65" s="87">
        <v>284</v>
      </c>
      <c r="K65" s="87">
        <v>420</v>
      </c>
    </row>
    <row r="66" spans="1:11" x14ac:dyDescent="0.25">
      <c r="A66" s="87" t="s">
        <v>205</v>
      </c>
      <c r="B66" s="88" t="s">
        <v>201</v>
      </c>
      <c r="C66" s="87">
        <v>0</v>
      </c>
      <c r="D66" s="87">
        <v>150</v>
      </c>
      <c r="E66" s="87">
        <v>293</v>
      </c>
      <c r="F66" s="87">
        <v>363</v>
      </c>
      <c r="G66" s="87">
        <v>408</v>
      </c>
      <c r="H66" s="87">
        <v>407</v>
      </c>
      <c r="I66" s="87">
        <v>274</v>
      </c>
      <c r="J66" s="87">
        <v>188</v>
      </c>
      <c r="K66" s="87">
        <v>413</v>
      </c>
    </row>
    <row r="67" spans="1:11" x14ac:dyDescent="0.25">
      <c r="A67" s="87" t="s">
        <v>205</v>
      </c>
      <c r="B67" s="88" t="s">
        <v>202</v>
      </c>
      <c r="C67" s="87">
        <v>0</v>
      </c>
      <c r="D67" s="87">
        <v>0</v>
      </c>
      <c r="E67" s="87">
        <v>311</v>
      </c>
      <c r="F67" s="87">
        <v>0</v>
      </c>
      <c r="G67" s="87">
        <v>0</v>
      </c>
      <c r="H67" s="87">
        <v>0</v>
      </c>
      <c r="I67" s="87">
        <v>284</v>
      </c>
      <c r="J67" s="87">
        <v>0</v>
      </c>
      <c r="K67" s="87">
        <v>0</v>
      </c>
    </row>
    <row r="68" spans="1:11" x14ac:dyDescent="0.25">
      <c r="A68" s="87" t="s">
        <v>206</v>
      </c>
      <c r="B68" s="88" t="s">
        <v>174</v>
      </c>
      <c r="C68" s="87">
        <v>0</v>
      </c>
      <c r="D68" s="87">
        <v>128</v>
      </c>
      <c r="E68" s="87">
        <v>325</v>
      </c>
      <c r="F68" s="87">
        <v>366</v>
      </c>
      <c r="G68" s="87">
        <v>414</v>
      </c>
      <c r="H68" s="87">
        <v>366</v>
      </c>
      <c r="I68" s="87">
        <v>260</v>
      </c>
      <c r="J68" s="87">
        <v>191</v>
      </c>
      <c r="K68" s="87">
        <v>421</v>
      </c>
    </row>
    <row r="69" spans="1:11" x14ac:dyDescent="0.25">
      <c r="A69" s="87" t="s">
        <v>206</v>
      </c>
      <c r="B69" s="88" t="s">
        <v>175</v>
      </c>
      <c r="C69" s="87">
        <v>0</v>
      </c>
      <c r="D69" s="87">
        <v>115</v>
      </c>
      <c r="E69" s="87">
        <v>343</v>
      </c>
      <c r="F69" s="87">
        <v>336</v>
      </c>
      <c r="G69" s="87">
        <v>416</v>
      </c>
      <c r="H69" s="87">
        <v>407</v>
      </c>
      <c r="I69" s="87">
        <v>311</v>
      </c>
      <c r="J69" s="87">
        <v>141</v>
      </c>
      <c r="K69" s="87">
        <v>267</v>
      </c>
    </row>
    <row r="70" spans="1:11" x14ac:dyDescent="0.25">
      <c r="A70" s="87" t="s">
        <v>206</v>
      </c>
      <c r="B70" s="88" t="s">
        <v>176</v>
      </c>
      <c r="C70" s="87">
        <v>0</v>
      </c>
      <c r="D70" s="87">
        <v>142</v>
      </c>
      <c r="E70" s="87">
        <v>372</v>
      </c>
      <c r="F70" s="87">
        <v>387</v>
      </c>
      <c r="G70" s="87">
        <v>277</v>
      </c>
      <c r="H70" s="87">
        <v>307</v>
      </c>
      <c r="I70" s="87">
        <v>314</v>
      </c>
      <c r="J70" s="87">
        <v>87</v>
      </c>
      <c r="K70" s="87">
        <v>262</v>
      </c>
    </row>
    <row r="71" spans="1:11" x14ac:dyDescent="0.25">
      <c r="A71" s="87" t="s">
        <v>206</v>
      </c>
      <c r="B71" s="88" t="s">
        <v>177</v>
      </c>
      <c r="C71" s="87">
        <v>0</v>
      </c>
      <c r="D71" s="87">
        <v>168</v>
      </c>
      <c r="E71" s="87">
        <v>371</v>
      </c>
      <c r="F71" s="87">
        <v>419</v>
      </c>
      <c r="G71" s="87">
        <v>348</v>
      </c>
      <c r="H71" s="87">
        <v>392</v>
      </c>
      <c r="I71" s="87">
        <v>368</v>
      </c>
      <c r="J71" s="87">
        <v>122</v>
      </c>
      <c r="K71" s="87">
        <v>265</v>
      </c>
    </row>
    <row r="72" spans="1:11" x14ac:dyDescent="0.25">
      <c r="A72" s="87" t="s">
        <v>206</v>
      </c>
      <c r="B72" s="88" t="s">
        <v>178</v>
      </c>
      <c r="C72" s="87">
        <v>0</v>
      </c>
      <c r="D72" s="87">
        <v>172</v>
      </c>
      <c r="E72" s="87">
        <v>396</v>
      </c>
      <c r="F72" s="87">
        <v>351</v>
      </c>
      <c r="G72" s="87">
        <v>408</v>
      </c>
      <c r="H72" s="87">
        <v>393</v>
      </c>
      <c r="I72" s="87">
        <v>332</v>
      </c>
      <c r="J72" s="87">
        <v>175</v>
      </c>
      <c r="K72" s="87">
        <v>390</v>
      </c>
    </row>
    <row r="73" spans="1:11" x14ac:dyDescent="0.25">
      <c r="A73" s="87" t="s">
        <v>206</v>
      </c>
      <c r="B73" s="88" t="s">
        <v>179</v>
      </c>
      <c r="C73" s="87">
        <v>0</v>
      </c>
      <c r="D73" s="87">
        <v>184</v>
      </c>
      <c r="E73" s="87">
        <v>250</v>
      </c>
      <c r="F73" s="87">
        <v>367</v>
      </c>
      <c r="G73" s="87">
        <v>290</v>
      </c>
      <c r="H73" s="87">
        <v>407</v>
      </c>
      <c r="I73" s="87">
        <v>291</v>
      </c>
      <c r="J73" s="87">
        <v>203</v>
      </c>
      <c r="K73" s="87">
        <v>392</v>
      </c>
    </row>
    <row r="74" spans="1:11" x14ac:dyDescent="0.25">
      <c r="A74" s="87" t="s">
        <v>206</v>
      </c>
      <c r="B74" s="88" t="s">
        <v>180</v>
      </c>
      <c r="C74" s="87">
        <v>0</v>
      </c>
      <c r="D74" s="87">
        <v>330</v>
      </c>
      <c r="E74" s="87">
        <v>248</v>
      </c>
      <c r="F74" s="87">
        <v>331</v>
      </c>
      <c r="G74" s="87">
        <v>356</v>
      </c>
      <c r="H74" s="87">
        <v>431</v>
      </c>
      <c r="I74" s="87">
        <v>220</v>
      </c>
      <c r="J74" s="87">
        <v>163</v>
      </c>
      <c r="K74" s="87">
        <v>387</v>
      </c>
    </row>
    <row r="75" spans="1:11" x14ac:dyDescent="0.25">
      <c r="A75" s="87" t="s">
        <v>206</v>
      </c>
      <c r="B75" s="88" t="s">
        <v>181</v>
      </c>
      <c r="C75" s="87">
        <v>0</v>
      </c>
      <c r="D75" s="87">
        <v>408</v>
      </c>
      <c r="E75" s="87">
        <v>247</v>
      </c>
      <c r="F75" s="87">
        <v>293</v>
      </c>
      <c r="G75" s="87">
        <v>361</v>
      </c>
      <c r="H75" s="87">
        <v>358</v>
      </c>
      <c r="I75" s="87">
        <v>204</v>
      </c>
      <c r="J75" s="87">
        <v>154</v>
      </c>
      <c r="K75" s="87">
        <v>364</v>
      </c>
    </row>
    <row r="76" spans="1:11" x14ac:dyDescent="0.25">
      <c r="A76" s="87" t="s">
        <v>206</v>
      </c>
      <c r="B76" s="88" t="s">
        <v>182</v>
      </c>
      <c r="C76" s="87">
        <v>0</v>
      </c>
      <c r="D76" s="87">
        <v>388</v>
      </c>
      <c r="E76" s="87">
        <v>261</v>
      </c>
      <c r="F76" s="87">
        <v>310</v>
      </c>
      <c r="G76" s="87">
        <v>331</v>
      </c>
      <c r="H76" s="87">
        <v>362</v>
      </c>
      <c r="I76" s="87">
        <v>229</v>
      </c>
      <c r="J76" s="87">
        <v>135</v>
      </c>
      <c r="K76" s="87">
        <v>195</v>
      </c>
    </row>
    <row r="77" spans="1:11" x14ac:dyDescent="0.25">
      <c r="A77" s="87" t="s">
        <v>206</v>
      </c>
      <c r="B77" s="88" t="s">
        <v>183</v>
      </c>
      <c r="C77" s="87">
        <v>0</v>
      </c>
      <c r="D77" s="87">
        <v>202</v>
      </c>
      <c r="E77" s="87">
        <v>289</v>
      </c>
      <c r="F77" s="87">
        <v>373</v>
      </c>
      <c r="G77" s="87">
        <v>345</v>
      </c>
      <c r="H77" s="87">
        <v>327</v>
      </c>
      <c r="I77" s="87">
        <v>210</v>
      </c>
      <c r="J77" s="87">
        <v>151</v>
      </c>
      <c r="K77" s="87">
        <v>318</v>
      </c>
    </row>
    <row r="78" spans="1:11" x14ac:dyDescent="0.25">
      <c r="A78" s="87" t="s">
        <v>206</v>
      </c>
      <c r="B78" s="88" t="s">
        <v>184</v>
      </c>
      <c r="C78" s="87">
        <v>0</v>
      </c>
      <c r="D78" s="87">
        <v>298</v>
      </c>
      <c r="E78" s="87">
        <v>315</v>
      </c>
      <c r="F78" s="87">
        <v>400</v>
      </c>
      <c r="G78" s="87">
        <v>322</v>
      </c>
      <c r="H78" s="87">
        <v>413</v>
      </c>
      <c r="I78" s="87">
        <v>198</v>
      </c>
      <c r="J78" s="87">
        <v>161</v>
      </c>
      <c r="K78" s="87">
        <v>379</v>
      </c>
    </row>
    <row r="79" spans="1:11" x14ac:dyDescent="0.25">
      <c r="A79" s="87" t="s">
        <v>206</v>
      </c>
      <c r="B79" s="88" t="s">
        <v>185</v>
      </c>
      <c r="C79" s="87">
        <v>0</v>
      </c>
      <c r="D79" s="87">
        <v>229</v>
      </c>
      <c r="E79" s="87">
        <v>334</v>
      </c>
      <c r="F79" s="87">
        <v>395</v>
      </c>
      <c r="G79" s="87">
        <v>393</v>
      </c>
      <c r="H79" s="87">
        <v>409</v>
      </c>
      <c r="I79" s="87">
        <v>207</v>
      </c>
      <c r="J79" s="87">
        <v>209</v>
      </c>
      <c r="K79" s="87">
        <v>403</v>
      </c>
    </row>
    <row r="80" spans="1:11" x14ac:dyDescent="0.25">
      <c r="A80" s="87" t="s">
        <v>206</v>
      </c>
      <c r="B80" s="88" t="s">
        <v>186</v>
      </c>
      <c r="C80" s="87">
        <v>0</v>
      </c>
      <c r="D80" s="87">
        <v>295</v>
      </c>
      <c r="E80" s="87">
        <v>317</v>
      </c>
      <c r="F80" s="87">
        <v>439</v>
      </c>
      <c r="G80" s="87">
        <v>399</v>
      </c>
      <c r="H80" s="87">
        <v>356</v>
      </c>
      <c r="I80" s="87">
        <v>234</v>
      </c>
      <c r="J80" s="87">
        <v>242</v>
      </c>
      <c r="K80" s="87">
        <v>417</v>
      </c>
    </row>
    <row r="81" spans="1:11" x14ac:dyDescent="0.25">
      <c r="A81" s="87" t="s">
        <v>206</v>
      </c>
      <c r="B81" s="88" t="s">
        <v>187</v>
      </c>
      <c r="C81" s="87">
        <v>0</v>
      </c>
      <c r="D81" s="87">
        <v>383</v>
      </c>
      <c r="E81" s="87">
        <v>423</v>
      </c>
      <c r="F81" s="87">
        <v>436</v>
      </c>
      <c r="G81" s="87">
        <v>378</v>
      </c>
      <c r="H81" s="87">
        <v>324</v>
      </c>
      <c r="I81" s="87">
        <v>180</v>
      </c>
      <c r="J81" s="87">
        <v>233</v>
      </c>
      <c r="K81" s="87">
        <v>398</v>
      </c>
    </row>
    <row r="82" spans="1:11" x14ac:dyDescent="0.25">
      <c r="A82" s="87" t="s">
        <v>206</v>
      </c>
      <c r="B82" s="88" t="s">
        <v>188</v>
      </c>
      <c r="C82" s="87">
        <v>0</v>
      </c>
      <c r="D82" s="87">
        <v>358</v>
      </c>
      <c r="E82" s="87">
        <v>433</v>
      </c>
      <c r="F82" s="87">
        <v>407</v>
      </c>
      <c r="G82" s="87">
        <v>372</v>
      </c>
      <c r="H82" s="87">
        <v>319</v>
      </c>
      <c r="I82" s="87">
        <v>96</v>
      </c>
      <c r="J82" s="87">
        <v>242</v>
      </c>
      <c r="K82" s="87">
        <v>401</v>
      </c>
    </row>
    <row r="83" spans="1:11" x14ac:dyDescent="0.25">
      <c r="A83" s="87" t="s">
        <v>206</v>
      </c>
      <c r="B83" s="88" t="s">
        <v>189</v>
      </c>
      <c r="C83" s="87">
        <v>0</v>
      </c>
      <c r="D83" s="87">
        <v>414</v>
      </c>
      <c r="E83" s="87">
        <v>375</v>
      </c>
      <c r="F83" s="87">
        <v>410</v>
      </c>
      <c r="G83" s="87">
        <v>373</v>
      </c>
      <c r="H83" s="87">
        <v>290</v>
      </c>
      <c r="I83" s="87">
        <v>61</v>
      </c>
      <c r="J83" s="87">
        <v>244</v>
      </c>
      <c r="K83" s="87">
        <v>407</v>
      </c>
    </row>
    <row r="84" spans="1:11" x14ac:dyDescent="0.25">
      <c r="A84" s="87" t="s">
        <v>206</v>
      </c>
      <c r="B84" s="88" t="s">
        <v>190</v>
      </c>
      <c r="C84" s="87">
        <v>0</v>
      </c>
      <c r="D84" s="87">
        <v>424</v>
      </c>
      <c r="E84" s="87">
        <v>286</v>
      </c>
      <c r="F84" s="87">
        <v>401</v>
      </c>
      <c r="G84" s="87">
        <v>394</v>
      </c>
      <c r="H84" s="87">
        <v>351</v>
      </c>
      <c r="I84" s="87">
        <v>58</v>
      </c>
      <c r="J84" s="87">
        <v>237</v>
      </c>
      <c r="K84" s="87">
        <v>410</v>
      </c>
    </row>
    <row r="85" spans="1:11" x14ac:dyDescent="0.25">
      <c r="A85" s="87" t="s">
        <v>206</v>
      </c>
      <c r="B85" s="88" t="s">
        <v>191</v>
      </c>
      <c r="C85" s="87">
        <v>0</v>
      </c>
      <c r="D85" s="87">
        <v>351</v>
      </c>
      <c r="E85" s="87">
        <v>339</v>
      </c>
      <c r="F85" s="87">
        <v>411</v>
      </c>
      <c r="G85" s="87">
        <v>379</v>
      </c>
      <c r="H85" s="87">
        <v>373</v>
      </c>
      <c r="I85" s="87">
        <v>49</v>
      </c>
      <c r="J85" s="87">
        <v>233</v>
      </c>
      <c r="K85" s="87">
        <v>405</v>
      </c>
    </row>
    <row r="86" spans="1:11" x14ac:dyDescent="0.25">
      <c r="A86" s="87" t="s">
        <v>206</v>
      </c>
      <c r="B86" s="88" t="s">
        <v>192</v>
      </c>
      <c r="C86" s="87">
        <v>0</v>
      </c>
      <c r="D86" s="87">
        <v>281</v>
      </c>
      <c r="E86" s="87">
        <v>417</v>
      </c>
      <c r="F86" s="87">
        <v>331</v>
      </c>
      <c r="G86" s="87">
        <v>408</v>
      </c>
      <c r="H86" s="87">
        <v>363</v>
      </c>
      <c r="I86" s="87">
        <v>32</v>
      </c>
      <c r="J86" s="87">
        <v>229</v>
      </c>
      <c r="K86" s="87">
        <v>290</v>
      </c>
    </row>
    <row r="87" spans="1:11" x14ac:dyDescent="0.25">
      <c r="A87" s="87" t="s">
        <v>206</v>
      </c>
      <c r="B87" s="88" t="s">
        <v>193</v>
      </c>
      <c r="C87" s="87">
        <v>0</v>
      </c>
      <c r="D87" s="87">
        <v>284</v>
      </c>
      <c r="E87" s="87">
        <v>405</v>
      </c>
      <c r="F87" s="87">
        <v>396</v>
      </c>
      <c r="G87" s="87">
        <v>405</v>
      </c>
      <c r="H87" s="87">
        <v>377</v>
      </c>
      <c r="I87" s="87">
        <v>23</v>
      </c>
      <c r="J87" s="87">
        <v>237</v>
      </c>
      <c r="K87" s="87">
        <v>301</v>
      </c>
    </row>
    <row r="88" spans="1:11" x14ac:dyDescent="0.25">
      <c r="A88" s="87" t="s">
        <v>206</v>
      </c>
      <c r="B88" s="88" t="s">
        <v>194</v>
      </c>
      <c r="C88" s="87">
        <v>0</v>
      </c>
      <c r="D88" s="87">
        <v>315</v>
      </c>
      <c r="E88" s="87">
        <v>426</v>
      </c>
      <c r="F88" s="87">
        <v>417</v>
      </c>
      <c r="G88" s="87">
        <v>406</v>
      </c>
      <c r="H88" s="87">
        <v>333</v>
      </c>
      <c r="I88" s="87">
        <v>14</v>
      </c>
      <c r="J88" s="87">
        <v>207</v>
      </c>
      <c r="K88" s="87">
        <v>299</v>
      </c>
    </row>
    <row r="89" spans="1:11" x14ac:dyDescent="0.25">
      <c r="A89" s="87" t="s">
        <v>206</v>
      </c>
      <c r="B89" s="88" t="s">
        <v>195</v>
      </c>
      <c r="C89" s="87">
        <v>0</v>
      </c>
      <c r="D89" s="87">
        <v>248</v>
      </c>
      <c r="E89" s="87">
        <v>418</v>
      </c>
      <c r="F89" s="87">
        <v>425</v>
      </c>
      <c r="G89" s="87">
        <v>347</v>
      </c>
      <c r="H89" s="87">
        <v>397</v>
      </c>
      <c r="I89" s="87">
        <v>5</v>
      </c>
      <c r="J89" s="87">
        <v>213</v>
      </c>
      <c r="K89" s="87">
        <v>313</v>
      </c>
    </row>
    <row r="90" spans="1:11" x14ac:dyDescent="0.25">
      <c r="A90" s="87" t="s">
        <v>206</v>
      </c>
      <c r="B90" s="88" t="s">
        <v>196</v>
      </c>
      <c r="C90" s="87">
        <v>0</v>
      </c>
      <c r="D90" s="87">
        <v>247</v>
      </c>
      <c r="E90" s="87">
        <v>411</v>
      </c>
      <c r="F90" s="87">
        <v>405</v>
      </c>
      <c r="G90" s="87">
        <v>354</v>
      </c>
      <c r="H90" s="87">
        <v>416</v>
      </c>
      <c r="I90" s="87">
        <v>0</v>
      </c>
      <c r="J90" s="87">
        <v>237</v>
      </c>
      <c r="K90" s="87">
        <v>365</v>
      </c>
    </row>
    <row r="91" spans="1:11" x14ac:dyDescent="0.25">
      <c r="A91" s="87" t="s">
        <v>206</v>
      </c>
      <c r="B91" s="88" t="s">
        <v>197</v>
      </c>
      <c r="C91" s="87">
        <v>0</v>
      </c>
      <c r="D91" s="87">
        <v>255</v>
      </c>
      <c r="E91" s="87">
        <v>418</v>
      </c>
      <c r="F91" s="87">
        <v>366</v>
      </c>
      <c r="G91" s="87">
        <v>398</v>
      </c>
      <c r="H91" s="87">
        <v>351</v>
      </c>
      <c r="I91" s="87">
        <v>0</v>
      </c>
      <c r="J91" s="87">
        <v>209</v>
      </c>
      <c r="K91" s="87">
        <v>377</v>
      </c>
    </row>
    <row r="92" spans="1:11" x14ac:dyDescent="0.25">
      <c r="A92" s="87" t="s">
        <v>206</v>
      </c>
      <c r="B92" s="88" t="s">
        <v>198</v>
      </c>
      <c r="C92" s="87">
        <v>0</v>
      </c>
      <c r="D92" s="87">
        <v>237</v>
      </c>
      <c r="E92" s="87">
        <v>414</v>
      </c>
      <c r="F92" s="87">
        <v>392</v>
      </c>
      <c r="G92" s="87">
        <v>373</v>
      </c>
      <c r="H92" s="87">
        <v>417</v>
      </c>
      <c r="I92" s="87">
        <v>0</v>
      </c>
      <c r="J92" s="87">
        <v>185</v>
      </c>
      <c r="K92" s="87">
        <v>380</v>
      </c>
    </row>
    <row r="93" spans="1:11" x14ac:dyDescent="0.25">
      <c r="A93" s="87" t="s">
        <v>206</v>
      </c>
      <c r="B93" s="88" t="s">
        <v>199</v>
      </c>
      <c r="C93" s="87">
        <v>0</v>
      </c>
      <c r="D93" s="87">
        <v>246</v>
      </c>
      <c r="E93" s="87">
        <v>398</v>
      </c>
      <c r="F93" s="87">
        <v>319</v>
      </c>
      <c r="G93" s="87">
        <v>426</v>
      </c>
      <c r="H93" s="87">
        <v>422</v>
      </c>
      <c r="I93" s="87">
        <v>0</v>
      </c>
      <c r="J93" s="87">
        <v>222</v>
      </c>
      <c r="K93" s="87">
        <v>255</v>
      </c>
    </row>
    <row r="94" spans="1:11" x14ac:dyDescent="0.25">
      <c r="A94" s="87" t="s">
        <v>206</v>
      </c>
      <c r="B94" s="88" t="s">
        <v>200</v>
      </c>
      <c r="C94" s="87">
        <v>0</v>
      </c>
      <c r="D94" s="87">
        <v>256</v>
      </c>
      <c r="E94" s="87">
        <v>345</v>
      </c>
      <c r="F94" s="87">
        <v>327</v>
      </c>
      <c r="G94" s="87">
        <v>434</v>
      </c>
      <c r="H94" s="87">
        <v>413</v>
      </c>
      <c r="I94" s="87">
        <v>0</v>
      </c>
      <c r="J94" s="87">
        <v>228</v>
      </c>
      <c r="K94" s="87">
        <v>276</v>
      </c>
    </row>
    <row r="95" spans="1:11" x14ac:dyDescent="0.25">
      <c r="A95" s="87" t="s">
        <v>206</v>
      </c>
      <c r="B95" s="88" t="s">
        <v>201</v>
      </c>
      <c r="C95" s="87">
        <v>0</v>
      </c>
      <c r="D95" s="87">
        <v>265</v>
      </c>
      <c r="E95" s="87">
        <v>403</v>
      </c>
      <c r="F95" s="87">
        <v>359</v>
      </c>
      <c r="G95" s="87">
        <v>398</v>
      </c>
      <c r="H95" s="87">
        <v>383</v>
      </c>
      <c r="I95" s="87">
        <v>0</v>
      </c>
      <c r="J95" s="87">
        <v>215</v>
      </c>
      <c r="K95" s="87">
        <v>282</v>
      </c>
    </row>
    <row r="96" spans="1:11" x14ac:dyDescent="0.25">
      <c r="A96" s="87" t="s">
        <v>206</v>
      </c>
      <c r="B96" s="88" t="s">
        <v>202</v>
      </c>
      <c r="C96" s="87">
        <v>0</v>
      </c>
      <c r="D96" s="87">
        <v>227</v>
      </c>
      <c r="E96" s="87">
        <v>409</v>
      </c>
      <c r="F96" s="87">
        <v>343</v>
      </c>
      <c r="G96" s="87">
        <v>429</v>
      </c>
      <c r="H96" s="87">
        <v>313</v>
      </c>
      <c r="I96" s="87">
        <v>0</v>
      </c>
      <c r="J96" s="87">
        <v>208</v>
      </c>
      <c r="K96" s="87">
        <v>290</v>
      </c>
    </row>
    <row r="97" spans="1:11" x14ac:dyDescent="0.25">
      <c r="A97" s="87" t="s">
        <v>206</v>
      </c>
      <c r="B97" s="88" t="s">
        <v>203</v>
      </c>
      <c r="C97" s="87">
        <v>0</v>
      </c>
      <c r="D97" s="87">
        <v>282</v>
      </c>
      <c r="E97" s="87">
        <v>411</v>
      </c>
      <c r="F97" s="87">
        <v>364</v>
      </c>
      <c r="G97" s="87">
        <v>425</v>
      </c>
      <c r="H97" s="87">
        <v>319</v>
      </c>
      <c r="I97" s="87">
        <v>0</v>
      </c>
      <c r="J97" s="87">
        <v>210</v>
      </c>
      <c r="K97" s="87">
        <v>307</v>
      </c>
    </row>
    <row r="98" spans="1:11" x14ac:dyDescent="0.25">
      <c r="A98" s="87" t="s">
        <v>206</v>
      </c>
      <c r="B98" s="88" t="s">
        <v>204</v>
      </c>
      <c r="C98" s="87">
        <v>0</v>
      </c>
      <c r="D98" s="87">
        <v>323</v>
      </c>
      <c r="E98" s="87">
        <v>400</v>
      </c>
      <c r="F98" s="87">
        <v>337</v>
      </c>
      <c r="G98" s="87">
        <v>424</v>
      </c>
      <c r="H98" s="87">
        <v>224</v>
      </c>
      <c r="I98" s="87">
        <v>0</v>
      </c>
      <c r="J98" s="87">
        <v>214</v>
      </c>
      <c r="K98" s="87">
        <v>332</v>
      </c>
    </row>
    <row r="99" spans="1:11" x14ac:dyDescent="0.25">
      <c r="A99" s="87" t="s">
        <v>207</v>
      </c>
      <c r="B99" s="88" t="s">
        <v>174</v>
      </c>
      <c r="C99" s="87">
        <v>0</v>
      </c>
      <c r="D99" s="87">
        <v>371</v>
      </c>
      <c r="E99" s="87">
        <v>332</v>
      </c>
      <c r="F99" s="87">
        <v>363</v>
      </c>
      <c r="G99" s="87">
        <v>410</v>
      </c>
      <c r="H99" s="87">
        <v>292</v>
      </c>
      <c r="I99" s="87">
        <v>0</v>
      </c>
      <c r="J99" s="87">
        <v>225</v>
      </c>
      <c r="K99" s="87">
        <v>315</v>
      </c>
    </row>
    <row r="100" spans="1:11" x14ac:dyDescent="0.25">
      <c r="A100" s="87" t="s">
        <v>207</v>
      </c>
      <c r="B100" s="88" t="s">
        <v>175</v>
      </c>
      <c r="C100" s="87">
        <v>0</v>
      </c>
      <c r="D100" s="87">
        <v>399</v>
      </c>
      <c r="E100" s="87">
        <v>402</v>
      </c>
      <c r="F100" s="87">
        <v>272</v>
      </c>
      <c r="G100" s="87">
        <v>431</v>
      </c>
      <c r="H100" s="87">
        <v>333</v>
      </c>
      <c r="I100" s="87">
        <v>0</v>
      </c>
      <c r="J100" s="87">
        <v>233</v>
      </c>
      <c r="K100" s="87">
        <v>326</v>
      </c>
    </row>
    <row r="101" spans="1:11" x14ac:dyDescent="0.25">
      <c r="A101" s="87" t="s">
        <v>207</v>
      </c>
      <c r="B101" s="88" t="s">
        <v>176</v>
      </c>
      <c r="C101" s="87">
        <v>0</v>
      </c>
      <c r="D101" s="87">
        <v>405</v>
      </c>
      <c r="E101" s="87">
        <v>416</v>
      </c>
      <c r="F101" s="87">
        <v>286</v>
      </c>
      <c r="G101" s="87">
        <v>431</v>
      </c>
      <c r="H101" s="87">
        <v>373</v>
      </c>
      <c r="I101" s="87">
        <v>0</v>
      </c>
      <c r="J101" s="87">
        <v>220</v>
      </c>
      <c r="K101" s="87">
        <v>339</v>
      </c>
    </row>
    <row r="102" spans="1:11" x14ac:dyDescent="0.25">
      <c r="A102" s="87" t="s">
        <v>207</v>
      </c>
      <c r="B102" s="88" t="s">
        <v>177</v>
      </c>
      <c r="C102" s="87">
        <v>0</v>
      </c>
      <c r="D102" s="87">
        <v>392</v>
      </c>
      <c r="E102" s="87">
        <v>394</v>
      </c>
      <c r="F102" s="87">
        <v>289</v>
      </c>
      <c r="G102" s="87">
        <v>431</v>
      </c>
      <c r="H102" s="87">
        <v>354</v>
      </c>
      <c r="I102" s="87">
        <v>0</v>
      </c>
      <c r="J102" s="87">
        <v>189</v>
      </c>
      <c r="K102" s="87">
        <v>354</v>
      </c>
    </row>
    <row r="103" spans="1:11" x14ac:dyDescent="0.25">
      <c r="A103" s="87" t="s">
        <v>207</v>
      </c>
      <c r="B103" s="88" t="s">
        <v>178</v>
      </c>
      <c r="C103" s="87">
        <v>0</v>
      </c>
      <c r="D103" s="87">
        <v>346</v>
      </c>
      <c r="E103" s="87">
        <v>231</v>
      </c>
      <c r="F103" s="87">
        <v>302</v>
      </c>
      <c r="G103" s="87">
        <v>418</v>
      </c>
      <c r="H103" s="87">
        <v>328</v>
      </c>
      <c r="I103" s="87">
        <v>0</v>
      </c>
      <c r="J103" s="87">
        <v>183</v>
      </c>
      <c r="K103" s="87">
        <v>357</v>
      </c>
    </row>
    <row r="104" spans="1:11" x14ac:dyDescent="0.25">
      <c r="A104" s="87" t="s">
        <v>207</v>
      </c>
      <c r="B104" s="88" t="s">
        <v>179</v>
      </c>
      <c r="C104" s="87">
        <v>0</v>
      </c>
      <c r="D104" s="87">
        <v>391</v>
      </c>
      <c r="E104" s="87">
        <v>266</v>
      </c>
      <c r="F104" s="87">
        <v>292</v>
      </c>
      <c r="G104" s="87">
        <v>366</v>
      </c>
      <c r="H104" s="87">
        <v>320</v>
      </c>
      <c r="I104" s="87">
        <v>0</v>
      </c>
      <c r="J104" s="87">
        <v>181</v>
      </c>
      <c r="K104" s="87">
        <v>359</v>
      </c>
    </row>
    <row r="105" spans="1:11" x14ac:dyDescent="0.25">
      <c r="A105" s="87" t="s">
        <v>207</v>
      </c>
      <c r="B105" s="88" t="s">
        <v>180</v>
      </c>
      <c r="C105" s="87">
        <v>0</v>
      </c>
      <c r="D105" s="87">
        <v>398</v>
      </c>
      <c r="E105" s="87">
        <v>362</v>
      </c>
      <c r="F105" s="87">
        <v>338</v>
      </c>
      <c r="G105" s="87">
        <v>412</v>
      </c>
      <c r="H105" s="87">
        <v>286</v>
      </c>
      <c r="I105" s="87">
        <v>0</v>
      </c>
      <c r="J105" s="87">
        <v>190</v>
      </c>
      <c r="K105" s="87">
        <v>395</v>
      </c>
    </row>
    <row r="106" spans="1:11" x14ac:dyDescent="0.25">
      <c r="A106" s="87" t="s">
        <v>207</v>
      </c>
      <c r="B106" s="88" t="s">
        <v>181</v>
      </c>
      <c r="C106" s="87">
        <v>0</v>
      </c>
      <c r="D106" s="87">
        <v>399</v>
      </c>
      <c r="E106" s="87">
        <v>377</v>
      </c>
      <c r="F106" s="87">
        <v>392</v>
      </c>
      <c r="G106" s="87">
        <v>425</v>
      </c>
      <c r="H106" s="87">
        <v>328</v>
      </c>
      <c r="I106" s="87">
        <v>0</v>
      </c>
      <c r="J106" s="87">
        <v>191</v>
      </c>
      <c r="K106" s="87">
        <v>421</v>
      </c>
    </row>
    <row r="107" spans="1:11" x14ac:dyDescent="0.25">
      <c r="A107" s="87" t="s">
        <v>207</v>
      </c>
      <c r="B107" s="88" t="s">
        <v>182</v>
      </c>
      <c r="C107" s="87">
        <v>0</v>
      </c>
      <c r="D107" s="87">
        <v>418</v>
      </c>
      <c r="E107" s="87">
        <v>365</v>
      </c>
      <c r="F107" s="87">
        <v>387</v>
      </c>
      <c r="G107" s="87">
        <v>414</v>
      </c>
      <c r="H107" s="87">
        <v>383</v>
      </c>
      <c r="I107" s="87">
        <v>0</v>
      </c>
      <c r="J107" s="87">
        <v>208</v>
      </c>
      <c r="K107" s="87">
        <v>301</v>
      </c>
    </row>
    <row r="108" spans="1:11" x14ac:dyDescent="0.25">
      <c r="A108" s="87" t="s">
        <v>207</v>
      </c>
      <c r="B108" s="88" t="s">
        <v>183</v>
      </c>
      <c r="C108" s="87">
        <v>0</v>
      </c>
      <c r="D108" s="87">
        <v>408</v>
      </c>
      <c r="E108" s="87">
        <v>250</v>
      </c>
      <c r="F108" s="87">
        <v>389</v>
      </c>
      <c r="G108" s="87">
        <v>205</v>
      </c>
      <c r="H108" s="87">
        <v>355</v>
      </c>
      <c r="I108" s="87">
        <v>0</v>
      </c>
      <c r="J108" s="87">
        <v>246</v>
      </c>
      <c r="K108" s="87">
        <v>299</v>
      </c>
    </row>
    <row r="109" spans="1:11" x14ac:dyDescent="0.25">
      <c r="A109" s="87" t="s">
        <v>207</v>
      </c>
      <c r="B109" s="88" t="s">
        <v>184</v>
      </c>
      <c r="C109" s="87">
        <v>0</v>
      </c>
      <c r="D109" s="87">
        <v>383</v>
      </c>
      <c r="E109" s="87">
        <v>409</v>
      </c>
      <c r="F109" s="87">
        <v>391</v>
      </c>
      <c r="G109" s="87">
        <v>361</v>
      </c>
      <c r="H109" s="87">
        <v>361</v>
      </c>
      <c r="I109" s="87">
        <v>0</v>
      </c>
      <c r="J109" s="87">
        <v>178</v>
      </c>
      <c r="K109" s="87">
        <v>306</v>
      </c>
    </row>
    <row r="110" spans="1:11" x14ac:dyDescent="0.25">
      <c r="A110" s="87" t="s">
        <v>207</v>
      </c>
      <c r="B110" s="88" t="s">
        <v>185</v>
      </c>
      <c r="C110" s="87">
        <v>0</v>
      </c>
      <c r="D110" s="87">
        <v>332</v>
      </c>
      <c r="E110" s="87">
        <v>416</v>
      </c>
      <c r="F110" s="87">
        <v>419</v>
      </c>
      <c r="G110" s="87">
        <v>419</v>
      </c>
      <c r="H110" s="87">
        <v>326</v>
      </c>
      <c r="I110" s="87">
        <v>0</v>
      </c>
      <c r="J110" s="87">
        <v>181</v>
      </c>
      <c r="K110" s="87">
        <v>341</v>
      </c>
    </row>
    <row r="111" spans="1:11" x14ac:dyDescent="0.25">
      <c r="A111" s="87" t="s">
        <v>207</v>
      </c>
      <c r="B111" s="88" t="s">
        <v>186</v>
      </c>
      <c r="C111" s="87">
        <v>0</v>
      </c>
      <c r="D111" s="87">
        <v>398</v>
      </c>
      <c r="E111" s="87">
        <v>370</v>
      </c>
      <c r="F111" s="87">
        <v>436</v>
      </c>
      <c r="G111" s="87">
        <v>401</v>
      </c>
      <c r="H111" s="87">
        <v>400</v>
      </c>
      <c r="I111" s="87">
        <v>0</v>
      </c>
      <c r="J111" s="87">
        <v>139</v>
      </c>
      <c r="K111" s="87">
        <v>355</v>
      </c>
    </row>
    <row r="112" spans="1:11" x14ac:dyDescent="0.25">
      <c r="A112" s="87" t="s">
        <v>207</v>
      </c>
      <c r="B112" s="88" t="s">
        <v>187</v>
      </c>
      <c r="C112" s="87">
        <v>0</v>
      </c>
      <c r="D112" s="87">
        <v>402</v>
      </c>
      <c r="E112" s="87">
        <v>374</v>
      </c>
      <c r="F112" s="87">
        <v>438</v>
      </c>
      <c r="G112" s="87">
        <v>407</v>
      </c>
      <c r="H112" s="87">
        <v>337</v>
      </c>
      <c r="I112" s="87">
        <v>0</v>
      </c>
      <c r="J112" s="87">
        <v>147</v>
      </c>
      <c r="K112" s="87">
        <v>409</v>
      </c>
    </row>
    <row r="113" spans="1:11" x14ac:dyDescent="0.25">
      <c r="A113" s="87" t="s">
        <v>207</v>
      </c>
      <c r="B113" s="88" t="s">
        <v>188</v>
      </c>
      <c r="C113" s="87">
        <v>0</v>
      </c>
      <c r="D113" s="87">
        <v>320</v>
      </c>
      <c r="E113" s="87">
        <v>416</v>
      </c>
      <c r="F113" s="87">
        <v>397</v>
      </c>
      <c r="G113" s="87">
        <v>269</v>
      </c>
      <c r="H113" s="87">
        <v>384</v>
      </c>
      <c r="I113" s="87">
        <v>0</v>
      </c>
      <c r="J113" s="87">
        <v>164</v>
      </c>
      <c r="K113" s="87">
        <v>411</v>
      </c>
    </row>
    <row r="114" spans="1:11" x14ac:dyDescent="0.25">
      <c r="A114" s="87" t="s">
        <v>207</v>
      </c>
      <c r="B114" s="88" t="s">
        <v>189</v>
      </c>
      <c r="C114" s="87">
        <v>0</v>
      </c>
      <c r="D114" s="87">
        <v>303</v>
      </c>
      <c r="E114" s="87">
        <v>382</v>
      </c>
      <c r="F114" s="87">
        <v>338</v>
      </c>
      <c r="G114" s="87">
        <v>260</v>
      </c>
      <c r="H114" s="87">
        <v>404</v>
      </c>
      <c r="I114" s="87">
        <v>0</v>
      </c>
      <c r="J114" s="87">
        <v>196</v>
      </c>
      <c r="K114" s="87">
        <v>232</v>
      </c>
    </row>
    <row r="115" spans="1:11" x14ac:dyDescent="0.25">
      <c r="A115" s="87" t="s">
        <v>207</v>
      </c>
      <c r="B115" s="88" t="s">
        <v>190</v>
      </c>
      <c r="C115" s="87">
        <v>0</v>
      </c>
      <c r="D115" s="87">
        <v>233</v>
      </c>
      <c r="E115" s="87">
        <v>215</v>
      </c>
      <c r="F115" s="87">
        <v>356</v>
      </c>
      <c r="G115" s="87">
        <v>303</v>
      </c>
      <c r="H115" s="87">
        <v>408</v>
      </c>
      <c r="I115" s="87">
        <v>0</v>
      </c>
      <c r="J115" s="87">
        <v>219</v>
      </c>
      <c r="K115" s="87">
        <v>413</v>
      </c>
    </row>
    <row r="116" spans="1:11" x14ac:dyDescent="0.25">
      <c r="A116" s="87" t="s">
        <v>207</v>
      </c>
      <c r="B116" s="88" t="s">
        <v>191</v>
      </c>
      <c r="C116" s="87">
        <v>0</v>
      </c>
      <c r="D116" s="87">
        <v>293</v>
      </c>
      <c r="E116" s="87">
        <v>313</v>
      </c>
      <c r="F116" s="87">
        <v>340</v>
      </c>
      <c r="G116" s="87">
        <v>315</v>
      </c>
      <c r="H116" s="87">
        <v>430</v>
      </c>
      <c r="I116" s="87">
        <v>0</v>
      </c>
      <c r="J116" s="87">
        <v>124</v>
      </c>
      <c r="K116" s="87">
        <v>424</v>
      </c>
    </row>
    <row r="117" spans="1:11" x14ac:dyDescent="0.25">
      <c r="A117" s="87" t="s">
        <v>207</v>
      </c>
      <c r="B117" s="88" t="s">
        <v>192</v>
      </c>
      <c r="C117" s="87">
        <v>0</v>
      </c>
      <c r="D117" s="87">
        <v>326</v>
      </c>
      <c r="E117" s="87">
        <v>336</v>
      </c>
      <c r="F117" s="87">
        <v>429</v>
      </c>
      <c r="G117" s="87">
        <v>366</v>
      </c>
      <c r="H117" s="87">
        <v>421</v>
      </c>
      <c r="I117" s="87">
        <v>0</v>
      </c>
      <c r="J117" s="87">
        <v>125</v>
      </c>
      <c r="K117" s="87">
        <v>424</v>
      </c>
    </row>
    <row r="118" spans="1:11" x14ac:dyDescent="0.25">
      <c r="A118" s="87" t="s">
        <v>207</v>
      </c>
      <c r="B118" s="88" t="s">
        <v>193</v>
      </c>
      <c r="C118" s="87">
        <v>0</v>
      </c>
      <c r="D118" s="87">
        <v>316</v>
      </c>
      <c r="E118" s="87">
        <v>327</v>
      </c>
      <c r="F118" s="87">
        <v>414</v>
      </c>
      <c r="G118" s="87">
        <v>400</v>
      </c>
      <c r="H118" s="87">
        <v>401</v>
      </c>
      <c r="I118" s="87">
        <v>0</v>
      </c>
      <c r="J118" s="87">
        <v>115</v>
      </c>
      <c r="K118" s="87">
        <v>188</v>
      </c>
    </row>
    <row r="119" spans="1:11" x14ac:dyDescent="0.25">
      <c r="A119" s="87" t="s">
        <v>207</v>
      </c>
      <c r="B119" s="88" t="s">
        <v>194</v>
      </c>
      <c r="C119" s="87">
        <v>0</v>
      </c>
      <c r="D119" s="87">
        <v>314</v>
      </c>
      <c r="E119" s="87">
        <v>344</v>
      </c>
      <c r="F119" s="87">
        <v>408</v>
      </c>
      <c r="G119" s="87">
        <v>402</v>
      </c>
      <c r="H119" s="87">
        <v>284</v>
      </c>
      <c r="I119" s="87">
        <v>0</v>
      </c>
      <c r="J119" s="87">
        <v>123</v>
      </c>
      <c r="K119" s="87">
        <v>370</v>
      </c>
    </row>
    <row r="120" spans="1:11" x14ac:dyDescent="0.25">
      <c r="A120" s="87" t="s">
        <v>207</v>
      </c>
      <c r="B120" s="88" t="s">
        <v>195</v>
      </c>
      <c r="C120" s="87">
        <v>0</v>
      </c>
      <c r="D120" s="87">
        <v>334</v>
      </c>
      <c r="E120" s="87">
        <v>282</v>
      </c>
      <c r="F120" s="87">
        <v>423</v>
      </c>
      <c r="G120" s="87">
        <v>199</v>
      </c>
      <c r="H120" s="87">
        <v>268</v>
      </c>
      <c r="I120" s="87">
        <v>0</v>
      </c>
      <c r="J120" s="87">
        <v>158</v>
      </c>
      <c r="K120" s="87">
        <v>424</v>
      </c>
    </row>
    <row r="121" spans="1:11" x14ac:dyDescent="0.25">
      <c r="A121" s="87" t="s">
        <v>207</v>
      </c>
      <c r="B121" s="88" t="s">
        <v>196</v>
      </c>
      <c r="C121" s="87">
        <v>0</v>
      </c>
      <c r="D121" s="87">
        <v>255</v>
      </c>
      <c r="E121" s="87">
        <v>315</v>
      </c>
      <c r="F121" s="87">
        <v>366</v>
      </c>
      <c r="G121" s="87">
        <v>328</v>
      </c>
      <c r="H121" s="87">
        <v>246</v>
      </c>
      <c r="I121" s="87">
        <v>0</v>
      </c>
      <c r="J121" s="87">
        <v>221</v>
      </c>
      <c r="K121" s="87">
        <v>358</v>
      </c>
    </row>
    <row r="122" spans="1:11" x14ac:dyDescent="0.25">
      <c r="A122" s="87" t="s">
        <v>207</v>
      </c>
      <c r="B122" s="88" t="s">
        <v>197</v>
      </c>
      <c r="C122" s="87">
        <v>0</v>
      </c>
      <c r="D122" s="87">
        <v>336</v>
      </c>
      <c r="E122" s="87">
        <v>293</v>
      </c>
      <c r="F122" s="87">
        <v>312</v>
      </c>
      <c r="G122" s="87">
        <v>347</v>
      </c>
      <c r="H122" s="87">
        <v>266</v>
      </c>
      <c r="I122" s="87">
        <v>0</v>
      </c>
      <c r="J122" s="87">
        <v>242</v>
      </c>
      <c r="K122" s="87">
        <v>143</v>
      </c>
    </row>
    <row r="123" spans="1:11" x14ac:dyDescent="0.25">
      <c r="A123" s="87" t="s">
        <v>207</v>
      </c>
      <c r="B123" s="88" t="s">
        <v>198</v>
      </c>
      <c r="C123" s="87">
        <v>0</v>
      </c>
      <c r="D123" s="87">
        <v>351</v>
      </c>
      <c r="E123" s="87">
        <v>352</v>
      </c>
      <c r="F123" s="87">
        <v>338</v>
      </c>
      <c r="G123" s="87">
        <v>404</v>
      </c>
      <c r="H123" s="87">
        <v>310</v>
      </c>
      <c r="I123" s="87">
        <v>0</v>
      </c>
      <c r="J123" s="87">
        <v>209</v>
      </c>
      <c r="K123" s="87">
        <v>172</v>
      </c>
    </row>
    <row r="124" spans="1:11" x14ac:dyDescent="0.25">
      <c r="A124" s="87" t="s">
        <v>207</v>
      </c>
      <c r="B124" s="88" t="s">
        <v>199</v>
      </c>
      <c r="C124" s="87">
        <v>0</v>
      </c>
      <c r="D124" s="87">
        <v>253</v>
      </c>
      <c r="E124" s="87">
        <v>357</v>
      </c>
      <c r="F124" s="87">
        <v>231</v>
      </c>
      <c r="G124" s="87">
        <v>379</v>
      </c>
      <c r="H124" s="87">
        <v>312</v>
      </c>
      <c r="I124" s="87">
        <v>0</v>
      </c>
      <c r="J124" s="87">
        <v>111</v>
      </c>
      <c r="K124" s="87">
        <v>226</v>
      </c>
    </row>
    <row r="125" spans="1:11" x14ac:dyDescent="0.25">
      <c r="A125" s="87" t="s">
        <v>207</v>
      </c>
      <c r="B125" s="88" t="s">
        <v>200</v>
      </c>
      <c r="C125" s="87">
        <v>0</v>
      </c>
      <c r="D125" s="87">
        <v>249</v>
      </c>
      <c r="E125" s="87">
        <v>340</v>
      </c>
      <c r="F125" s="87">
        <v>265</v>
      </c>
      <c r="G125" s="87">
        <v>418</v>
      </c>
      <c r="H125" s="87">
        <v>307</v>
      </c>
      <c r="I125" s="87">
        <v>0</v>
      </c>
      <c r="J125" s="87">
        <v>94</v>
      </c>
      <c r="K125" s="87">
        <v>322</v>
      </c>
    </row>
    <row r="126" spans="1:11" x14ac:dyDescent="0.25">
      <c r="A126" s="87" t="s">
        <v>207</v>
      </c>
      <c r="B126" s="88" t="s">
        <v>201</v>
      </c>
      <c r="C126" s="87">
        <v>0</v>
      </c>
      <c r="D126" s="87">
        <v>261</v>
      </c>
      <c r="E126" s="87">
        <v>397</v>
      </c>
      <c r="F126" s="87">
        <v>333</v>
      </c>
      <c r="G126" s="87">
        <v>416</v>
      </c>
      <c r="H126" s="87">
        <v>373</v>
      </c>
      <c r="I126" s="87">
        <v>0</v>
      </c>
      <c r="J126" s="87">
        <v>125</v>
      </c>
      <c r="K126" s="87">
        <v>380</v>
      </c>
    </row>
    <row r="127" spans="1:11" x14ac:dyDescent="0.25">
      <c r="A127" s="87" t="s">
        <v>207</v>
      </c>
      <c r="B127" s="88" t="s">
        <v>202</v>
      </c>
      <c r="C127" s="87">
        <v>0</v>
      </c>
      <c r="D127" s="87">
        <v>261</v>
      </c>
      <c r="E127" s="87">
        <v>405</v>
      </c>
      <c r="F127" s="87">
        <v>412</v>
      </c>
      <c r="G127" s="87">
        <v>392</v>
      </c>
      <c r="H127" s="87">
        <v>419</v>
      </c>
      <c r="I127" s="87">
        <v>0</v>
      </c>
      <c r="J127" s="87">
        <v>164</v>
      </c>
      <c r="K127" s="87">
        <v>379</v>
      </c>
    </row>
    <row r="128" spans="1:11" x14ac:dyDescent="0.25">
      <c r="A128" s="87" t="s">
        <v>207</v>
      </c>
      <c r="B128" s="88" t="s">
        <v>203</v>
      </c>
      <c r="C128" s="87">
        <v>0</v>
      </c>
      <c r="D128" s="87">
        <v>298</v>
      </c>
      <c r="E128" s="87">
        <v>383</v>
      </c>
      <c r="F128" s="87">
        <v>277</v>
      </c>
      <c r="G128" s="87">
        <v>419</v>
      </c>
      <c r="H128" s="87">
        <v>380</v>
      </c>
      <c r="I128" s="87">
        <v>0</v>
      </c>
      <c r="J128" s="87">
        <v>237</v>
      </c>
      <c r="K128" s="87">
        <v>163</v>
      </c>
    </row>
    <row r="129" spans="1:11" x14ac:dyDescent="0.25">
      <c r="A129" s="87" t="s">
        <v>208</v>
      </c>
      <c r="B129" s="88" t="s">
        <v>174</v>
      </c>
      <c r="C129" s="87">
        <v>0</v>
      </c>
      <c r="D129" s="87">
        <v>280</v>
      </c>
      <c r="E129" s="87">
        <v>236</v>
      </c>
      <c r="F129" s="87">
        <v>389</v>
      </c>
      <c r="G129" s="87">
        <v>363</v>
      </c>
      <c r="H129" s="87">
        <v>226</v>
      </c>
      <c r="I129" s="87">
        <v>0</v>
      </c>
      <c r="J129" s="87">
        <v>277</v>
      </c>
      <c r="K129" s="87">
        <v>411</v>
      </c>
    </row>
    <row r="130" spans="1:11" x14ac:dyDescent="0.25">
      <c r="A130" s="87" t="s">
        <v>208</v>
      </c>
      <c r="B130" s="88" t="s">
        <v>175</v>
      </c>
      <c r="C130" s="87">
        <v>0</v>
      </c>
      <c r="D130" s="87">
        <v>315</v>
      </c>
      <c r="E130" s="87">
        <v>220</v>
      </c>
      <c r="F130" s="87">
        <v>380</v>
      </c>
      <c r="G130" s="87">
        <v>248</v>
      </c>
      <c r="H130" s="87">
        <v>314</v>
      </c>
      <c r="I130" s="87">
        <v>0</v>
      </c>
      <c r="J130" s="87">
        <v>254</v>
      </c>
      <c r="K130" s="87">
        <v>440</v>
      </c>
    </row>
    <row r="131" spans="1:11" x14ac:dyDescent="0.25">
      <c r="A131" s="87" t="s">
        <v>208</v>
      </c>
      <c r="B131" s="88" t="s">
        <v>176</v>
      </c>
      <c r="C131" s="87">
        <v>0</v>
      </c>
      <c r="D131" s="87">
        <v>180</v>
      </c>
      <c r="E131" s="87">
        <v>231</v>
      </c>
      <c r="F131" s="87">
        <v>428</v>
      </c>
      <c r="G131" s="87">
        <v>371</v>
      </c>
      <c r="H131" s="87">
        <v>396</v>
      </c>
      <c r="I131" s="87">
        <v>0</v>
      </c>
      <c r="J131" s="87">
        <v>279</v>
      </c>
      <c r="K131" s="87">
        <v>436</v>
      </c>
    </row>
    <row r="132" spans="1:11" x14ac:dyDescent="0.25">
      <c r="A132" s="87" t="s">
        <v>208</v>
      </c>
      <c r="B132" s="88" t="s">
        <v>177</v>
      </c>
      <c r="C132" s="87">
        <v>0</v>
      </c>
      <c r="D132" s="87">
        <v>234</v>
      </c>
      <c r="E132" s="87">
        <v>364</v>
      </c>
      <c r="F132" s="87">
        <v>407</v>
      </c>
      <c r="G132" s="87">
        <v>397</v>
      </c>
      <c r="H132" s="87">
        <v>401</v>
      </c>
      <c r="I132" s="87">
        <v>0</v>
      </c>
      <c r="J132" s="87">
        <v>323</v>
      </c>
      <c r="K132" s="87">
        <v>335</v>
      </c>
    </row>
    <row r="133" spans="1:11" x14ac:dyDescent="0.25">
      <c r="A133" s="87" t="s">
        <v>208</v>
      </c>
      <c r="B133" s="88" t="s">
        <v>178</v>
      </c>
      <c r="C133" s="87">
        <v>0</v>
      </c>
      <c r="D133" s="87">
        <v>338</v>
      </c>
      <c r="E133" s="87">
        <v>318</v>
      </c>
      <c r="F133" s="87">
        <v>430</v>
      </c>
      <c r="G133" s="87">
        <v>408</v>
      </c>
      <c r="H133" s="87">
        <v>343</v>
      </c>
      <c r="I133" s="87">
        <v>0</v>
      </c>
      <c r="J133" s="87">
        <v>332</v>
      </c>
      <c r="K133" s="87">
        <v>378</v>
      </c>
    </row>
    <row r="134" spans="1:11" x14ac:dyDescent="0.25">
      <c r="A134" s="87" t="s">
        <v>208</v>
      </c>
      <c r="B134" s="88" t="s">
        <v>179</v>
      </c>
      <c r="C134" s="87">
        <v>0</v>
      </c>
      <c r="D134" s="87">
        <v>373</v>
      </c>
      <c r="E134" s="87">
        <v>309</v>
      </c>
      <c r="F134" s="87">
        <v>419</v>
      </c>
      <c r="G134" s="87">
        <v>301</v>
      </c>
      <c r="H134" s="87">
        <v>389</v>
      </c>
      <c r="I134" s="87">
        <v>0</v>
      </c>
      <c r="J134" s="87">
        <v>307</v>
      </c>
      <c r="K134" s="87">
        <v>392</v>
      </c>
    </row>
    <row r="135" spans="1:11" x14ac:dyDescent="0.25">
      <c r="A135" s="87" t="s">
        <v>208</v>
      </c>
      <c r="B135" s="88" t="s">
        <v>180</v>
      </c>
      <c r="C135" s="87">
        <v>0</v>
      </c>
      <c r="D135" s="87">
        <v>347</v>
      </c>
      <c r="E135" s="87">
        <v>370</v>
      </c>
      <c r="F135" s="87">
        <v>235</v>
      </c>
      <c r="G135" s="87">
        <v>333</v>
      </c>
      <c r="H135" s="87">
        <v>395</v>
      </c>
      <c r="I135" s="87">
        <v>0</v>
      </c>
      <c r="J135" s="87">
        <v>266</v>
      </c>
      <c r="K135" s="87">
        <v>401</v>
      </c>
    </row>
    <row r="136" spans="1:11" x14ac:dyDescent="0.25">
      <c r="A136" s="87" t="s">
        <v>208</v>
      </c>
      <c r="B136" s="88" t="s">
        <v>181</v>
      </c>
      <c r="C136" s="87">
        <v>0</v>
      </c>
      <c r="D136" s="87">
        <v>234</v>
      </c>
      <c r="E136" s="87">
        <v>255</v>
      </c>
      <c r="F136" s="87">
        <v>217</v>
      </c>
      <c r="G136" s="87">
        <v>289</v>
      </c>
      <c r="H136" s="87">
        <v>401</v>
      </c>
      <c r="I136" s="87">
        <v>0</v>
      </c>
      <c r="J136" s="87">
        <v>307</v>
      </c>
      <c r="K136" s="87">
        <v>406</v>
      </c>
    </row>
    <row r="137" spans="1:11" x14ac:dyDescent="0.25">
      <c r="A137" s="87" t="s">
        <v>208</v>
      </c>
      <c r="B137" s="88" t="s">
        <v>182</v>
      </c>
      <c r="C137" s="87">
        <v>0</v>
      </c>
      <c r="D137" s="87">
        <v>247</v>
      </c>
      <c r="E137" s="87">
        <v>391</v>
      </c>
      <c r="F137" s="87">
        <v>211</v>
      </c>
      <c r="G137" s="87">
        <v>375</v>
      </c>
      <c r="H137" s="87">
        <v>373</v>
      </c>
      <c r="I137" s="87">
        <v>0</v>
      </c>
      <c r="J137" s="87">
        <v>218</v>
      </c>
      <c r="K137" s="87">
        <v>390</v>
      </c>
    </row>
    <row r="138" spans="1:11" x14ac:dyDescent="0.25">
      <c r="A138" s="87" t="s">
        <v>208</v>
      </c>
      <c r="B138" s="88" t="s">
        <v>183</v>
      </c>
      <c r="C138" s="87">
        <v>0</v>
      </c>
      <c r="D138" s="87">
        <v>137</v>
      </c>
      <c r="E138" s="87">
        <v>395</v>
      </c>
      <c r="F138" s="87">
        <v>229</v>
      </c>
      <c r="G138" s="87">
        <v>398</v>
      </c>
      <c r="H138" s="87">
        <v>358</v>
      </c>
      <c r="I138" s="87">
        <v>0</v>
      </c>
      <c r="J138" s="87">
        <v>137</v>
      </c>
      <c r="K138" s="87">
        <v>262</v>
      </c>
    </row>
    <row r="139" spans="1:11" x14ac:dyDescent="0.25">
      <c r="A139" s="87" t="s">
        <v>208</v>
      </c>
      <c r="B139" s="88" t="s">
        <v>184</v>
      </c>
      <c r="C139" s="87">
        <v>0</v>
      </c>
      <c r="D139" s="87">
        <v>110</v>
      </c>
      <c r="E139" s="87">
        <v>321</v>
      </c>
      <c r="F139" s="87">
        <v>273</v>
      </c>
      <c r="G139" s="87">
        <v>384</v>
      </c>
      <c r="H139" s="87">
        <v>423</v>
      </c>
      <c r="I139" s="87">
        <v>0</v>
      </c>
      <c r="J139" s="87">
        <v>134</v>
      </c>
      <c r="K139" s="87">
        <v>318</v>
      </c>
    </row>
    <row r="140" spans="1:11" x14ac:dyDescent="0.25">
      <c r="A140" s="87" t="s">
        <v>208</v>
      </c>
      <c r="B140" s="88" t="s">
        <v>185</v>
      </c>
      <c r="C140" s="87">
        <v>0</v>
      </c>
      <c r="D140" s="87">
        <v>130</v>
      </c>
      <c r="E140" s="87">
        <v>368</v>
      </c>
      <c r="F140" s="87">
        <v>350</v>
      </c>
      <c r="G140" s="87">
        <v>357</v>
      </c>
      <c r="H140" s="87">
        <v>252</v>
      </c>
      <c r="I140" s="87">
        <v>0</v>
      </c>
      <c r="J140" s="87">
        <v>166</v>
      </c>
      <c r="K140" s="87">
        <v>328</v>
      </c>
    </row>
    <row r="141" spans="1:11" x14ac:dyDescent="0.25">
      <c r="A141" s="87" t="s">
        <v>208</v>
      </c>
      <c r="B141" s="88" t="s">
        <v>186</v>
      </c>
      <c r="C141" s="87">
        <v>0</v>
      </c>
      <c r="D141" s="87">
        <v>141</v>
      </c>
      <c r="E141" s="87">
        <v>377</v>
      </c>
      <c r="F141" s="87">
        <v>392</v>
      </c>
      <c r="G141" s="87">
        <v>193</v>
      </c>
      <c r="H141" s="87">
        <v>339</v>
      </c>
      <c r="I141" s="87">
        <v>0</v>
      </c>
      <c r="J141" s="87">
        <v>232</v>
      </c>
      <c r="K141" s="87">
        <v>389</v>
      </c>
    </row>
    <row r="142" spans="1:11" x14ac:dyDescent="0.25">
      <c r="A142" s="87" t="s">
        <v>208</v>
      </c>
      <c r="B142" s="88" t="s">
        <v>187</v>
      </c>
      <c r="C142" s="87">
        <v>0</v>
      </c>
      <c r="D142" s="87">
        <v>240</v>
      </c>
      <c r="E142" s="87">
        <v>364</v>
      </c>
      <c r="F142" s="87">
        <v>180</v>
      </c>
      <c r="G142" s="87">
        <v>307</v>
      </c>
      <c r="H142" s="87">
        <v>344</v>
      </c>
      <c r="I142" s="87">
        <v>0</v>
      </c>
      <c r="J142" s="87">
        <v>293</v>
      </c>
      <c r="K142" s="87">
        <v>396</v>
      </c>
    </row>
    <row r="143" spans="1:11" x14ac:dyDescent="0.25">
      <c r="A143" s="87" t="s">
        <v>208</v>
      </c>
      <c r="B143" s="88" t="s">
        <v>188</v>
      </c>
      <c r="C143" s="87">
        <v>0</v>
      </c>
      <c r="D143" s="87">
        <v>304</v>
      </c>
      <c r="E143" s="87">
        <v>234</v>
      </c>
      <c r="F143" s="87">
        <v>201</v>
      </c>
      <c r="G143" s="87">
        <v>373</v>
      </c>
      <c r="H143" s="87">
        <v>325</v>
      </c>
      <c r="I143" s="87">
        <v>0</v>
      </c>
      <c r="J143" s="87">
        <v>276</v>
      </c>
      <c r="K143" s="87">
        <v>382</v>
      </c>
    </row>
    <row r="144" spans="1:11" x14ac:dyDescent="0.25">
      <c r="A144" s="87" t="s">
        <v>208</v>
      </c>
      <c r="B144" s="88" t="s">
        <v>189</v>
      </c>
      <c r="C144" s="87">
        <v>0</v>
      </c>
      <c r="D144" s="87">
        <v>360</v>
      </c>
      <c r="E144" s="87">
        <v>280</v>
      </c>
      <c r="F144" s="87">
        <v>413</v>
      </c>
      <c r="G144" s="87">
        <v>382</v>
      </c>
      <c r="H144" s="87">
        <v>285</v>
      </c>
      <c r="I144" s="87">
        <v>0</v>
      </c>
      <c r="J144" s="87">
        <v>207</v>
      </c>
      <c r="K144" s="87">
        <v>357</v>
      </c>
    </row>
    <row r="145" spans="1:11" x14ac:dyDescent="0.25">
      <c r="A145" s="87" t="s">
        <v>208</v>
      </c>
      <c r="B145" s="88" t="s">
        <v>190</v>
      </c>
      <c r="C145" s="87">
        <v>0</v>
      </c>
      <c r="D145" s="87">
        <v>292</v>
      </c>
      <c r="E145" s="87">
        <v>313</v>
      </c>
      <c r="F145" s="87">
        <v>408</v>
      </c>
      <c r="G145" s="87">
        <v>273</v>
      </c>
      <c r="H145" s="87">
        <v>327</v>
      </c>
      <c r="I145" s="87">
        <v>0</v>
      </c>
      <c r="J145" s="87">
        <v>211</v>
      </c>
      <c r="K145" s="87">
        <v>349</v>
      </c>
    </row>
    <row r="146" spans="1:11" x14ac:dyDescent="0.25">
      <c r="A146" s="87" t="s">
        <v>208</v>
      </c>
      <c r="B146" s="88" t="s">
        <v>191</v>
      </c>
      <c r="C146" s="87">
        <v>0</v>
      </c>
      <c r="D146" s="87">
        <v>319</v>
      </c>
      <c r="E146" s="87">
        <v>303</v>
      </c>
      <c r="F146" s="87">
        <v>397</v>
      </c>
      <c r="G146" s="87">
        <v>336</v>
      </c>
      <c r="H146" s="87">
        <v>353</v>
      </c>
      <c r="I146" s="87">
        <v>0</v>
      </c>
      <c r="J146" s="87">
        <v>219</v>
      </c>
      <c r="K146" s="87">
        <v>335</v>
      </c>
    </row>
    <row r="147" spans="1:11" x14ac:dyDescent="0.25">
      <c r="A147" s="87" t="s">
        <v>208</v>
      </c>
      <c r="B147" s="88" t="s">
        <v>192</v>
      </c>
      <c r="C147" s="87">
        <v>0</v>
      </c>
      <c r="D147" s="87">
        <v>277</v>
      </c>
      <c r="E147" s="87">
        <v>371</v>
      </c>
      <c r="F147" s="87">
        <v>293</v>
      </c>
      <c r="G147" s="87">
        <v>365</v>
      </c>
      <c r="H147" s="87">
        <v>371</v>
      </c>
      <c r="I147" s="87">
        <v>0</v>
      </c>
      <c r="J147" s="87">
        <v>204</v>
      </c>
      <c r="K147" s="87">
        <v>390</v>
      </c>
    </row>
    <row r="148" spans="1:11" x14ac:dyDescent="0.25">
      <c r="A148" s="87" t="s">
        <v>208</v>
      </c>
      <c r="B148" s="88" t="s">
        <v>193</v>
      </c>
      <c r="C148" s="87">
        <v>0</v>
      </c>
      <c r="D148" s="87">
        <v>224</v>
      </c>
      <c r="E148" s="87">
        <v>351</v>
      </c>
      <c r="F148" s="87">
        <v>369</v>
      </c>
      <c r="G148" s="87">
        <v>303</v>
      </c>
      <c r="H148" s="87">
        <v>393</v>
      </c>
      <c r="I148" s="87">
        <v>0</v>
      </c>
      <c r="J148" s="87">
        <v>217</v>
      </c>
      <c r="K148" s="87">
        <v>407</v>
      </c>
    </row>
    <row r="149" spans="1:11" x14ac:dyDescent="0.25">
      <c r="A149" s="87" t="s">
        <v>208</v>
      </c>
      <c r="B149" s="88" t="s">
        <v>194</v>
      </c>
      <c r="C149" s="87">
        <v>0</v>
      </c>
      <c r="D149" s="87">
        <v>241</v>
      </c>
      <c r="E149" s="87">
        <v>321</v>
      </c>
      <c r="F149" s="87">
        <v>302</v>
      </c>
      <c r="G149" s="87">
        <v>284</v>
      </c>
      <c r="H149" s="87">
        <v>412</v>
      </c>
      <c r="I149" s="87">
        <v>0</v>
      </c>
      <c r="J149" s="87">
        <v>290</v>
      </c>
      <c r="K149" s="87">
        <v>274</v>
      </c>
    </row>
    <row r="150" spans="1:11" x14ac:dyDescent="0.25">
      <c r="A150" s="87" t="s">
        <v>208</v>
      </c>
      <c r="B150" s="88" t="s">
        <v>195</v>
      </c>
      <c r="C150" s="87">
        <v>0</v>
      </c>
      <c r="D150" s="87">
        <v>313</v>
      </c>
      <c r="E150" s="87">
        <v>262</v>
      </c>
      <c r="F150" s="87">
        <v>347</v>
      </c>
      <c r="G150" s="87">
        <v>286</v>
      </c>
      <c r="H150" s="87">
        <v>262</v>
      </c>
      <c r="I150" s="87">
        <v>0</v>
      </c>
      <c r="J150" s="87">
        <v>286</v>
      </c>
      <c r="K150" s="87">
        <v>345</v>
      </c>
    </row>
    <row r="151" spans="1:11" x14ac:dyDescent="0.25">
      <c r="A151" s="87" t="s">
        <v>208</v>
      </c>
      <c r="B151" s="88" t="s">
        <v>196</v>
      </c>
      <c r="C151" s="87">
        <v>0</v>
      </c>
      <c r="D151" s="87">
        <v>396</v>
      </c>
      <c r="E151" s="87">
        <v>379</v>
      </c>
      <c r="F151" s="87">
        <v>317</v>
      </c>
      <c r="G151" s="87">
        <v>268</v>
      </c>
      <c r="H151" s="87">
        <v>343</v>
      </c>
      <c r="I151" s="87">
        <v>0</v>
      </c>
      <c r="J151" s="87">
        <v>209</v>
      </c>
      <c r="K151" s="87">
        <v>339</v>
      </c>
    </row>
    <row r="152" spans="1:11" x14ac:dyDescent="0.25">
      <c r="A152" s="87" t="s">
        <v>208</v>
      </c>
      <c r="B152" s="88" t="s">
        <v>197</v>
      </c>
      <c r="C152" s="87">
        <v>0</v>
      </c>
      <c r="D152" s="87">
        <v>381</v>
      </c>
      <c r="E152" s="87">
        <v>366</v>
      </c>
      <c r="F152" s="87">
        <v>303</v>
      </c>
      <c r="G152" s="87">
        <v>246</v>
      </c>
      <c r="H152" s="87">
        <v>378</v>
      </c>
      <c r="I152" s="87">
        <v>0</v>
      </c>
      <c r="J152" s="87">
        <v>174</v>
      </c>
      <c r="K152" s="87">
        <v>324</v>
      </c>
    </row>
    <row r="153" spans="1:11" x14ac:dyDescent="0.25">
      <c r="A153" s="87" t="s">
        <v>208</v>
      </c>
      <c r="B153" s="88" t="s">
        <v>198</v>
      </c>
      <c r="C153" s="87">
        <v>0</v>
      </c>
      <c r="D153" s="87">
        <v>169</v>
      </c>
      <c r="E153" s="87">
        <v>365</v>
      </c>
      <c r="F153" s="87">
        <v>234</v>
      </c>
      <c r="G153" s="87">
        <v>378</v>
      </c>
      <c r="H153" s="87">
        <v>435</v>
      </c>
      <c r="I153" s="87">
        <v>0</v>
      </c>
      <c r="J153" s="87">
        <v>186</v>
      </c>
      <c r="K153" s="87">
        <v>196</v>
      </c>
    </row>
    <row r="154" spans="1:11" x14ac:dyDescent="0.25">
      <c r="A154" s="87" t="s">
        <v>208</v>
      </c>
      <c r="B154" s="88" t="s">
        <v>199</v>
      </c>
      <c r="C154" s="87">
        <v>0</v>
      </c>
      <c r="D154" s="87">
        <v>136</v>
      </c>
      <c r="E154" s="87">
        <v>373</v>
      </c>
      <c r="F154" s="87">
        <v>387</v>
      </c>
      <c r="G154" s="87">
        <v>408</v>
      </c>
      <c r="H154" s="87">
        <v>423</v>
      </c>
      <c r="I154" s="87">
        <v>0</v>
      </c>
      <c r="J154" s="87">
        <v>165</v>
      </c>
      <c r="K154" s="87">
        <v>336</v>
      </c>
    </row>
    <row r="155" spans="1:11" x14ac:dyDescent="0.25">
      <c r="A155" s="87" t="s">
        <v>208</v>
      </c>
      <c r="B155" s="88" t="s">
        <v>200</v>
      </c>
      <c r="C155" s="87">
        <v>0</v>
      </c>
      <c r="D155" s="87">
        <v>155</v>
      </c>
      <c r="E155" s="87">
        <v>367</v>
      </c>
      <c r="F155" s="87">
        <v>439</v>
      </c>
      <c r="G155" s="87">
        <v>381</v>
      </c>
      <c r="H155" s="87">
        <v>304</v>
      </c>
      <c r="I155" s="87">
        <v>0</v>
      </c>
      <c r="J155" s="87">
        <v>227</v>
      </c>
      <c r="K155" s="87">
        <v>422</v>
      </c>
    </row>
    <row r="156" spans="1:11" x14ac:dyDescent="0.25">
      <c r="A156" s="87" t="s">
        <v>208</v>
      </c>
      <c r="B156" s="88" t="s">
        <v>201</v>
      </c>
      <c r="C156" s="87">
        <v>0</v>
      </c>
      <c r="D156" s="87">
        <v>164</v>
      </c>
      <c r="E156" s="87">
        <v>421</v>
      </c>
      <c r="F156" s="87">
        <v>418</v>
      </c>
      <c r="G156" s="87">
        <v>272</v>
      </c>
      <c r="H156" s="87">
        <v>270</v>
      </c>
      <c r="I156" s="87">
        <v>0</v>
      </c>
      <c r="J156" s="87">
        <v>275</v>
      </c>
      <c r="K156" s="87">
        <v>420</v>
      </c>
    </row>
    <row r="157" spans="1:11" x14ac:dyDescent="0.25">
      <c r="A157" s="87" t="s">
        <v>208</v>
      </c>
      <c r="B157" s="88" t="s">
        <v>202</v>
      </c>
      <c r="C157" s="87">
        <v>0</v>
      </c>
      <c r="D157" s="87">
        <v>201</v>
      </c>
      <c r="E157" s="87">
        <v>411</v>
      </c>
      <c r="F157" s="87">
        <v>269</v>
      </c>
      <c r="G157" s="87">
        <v>366</v>
      </c>
      <c r="H157" s="87">
        <v>277</v>
      </c>
      <c r="I157" s="87">
        <v>0</v>
      </c>
      <c r="J157" s="87">
        <v>281</v>
      </c>
      <c r="K157" s="87">
        <v>422</v>
      </c>
    </row>
    <row r="158" spans="1:11" x14ac:dyDescent="0.25">
      <c r="A158" s="87" t="s">
        <v>208</v>
      </c>
      <c r="B158" s="88" t="s">
        <v>203</v>
      </c>
      <c r="C158" s="87">
        <v>0</v>
      </c>
      <c r="D158" s="87">
        <v>234</v>
      </c>
      <c r="E158" s="87">
        <v>217</v>
      </c>
      <c r="F158" s="87">
        <v>261</v>
      </c>
      <c r="G158" s="87">
        <v>405</v>
      </c>
      <c r="H158" s="87">
        <v>298</v>
      </c>
      <c r="I158" s="87">
        <v>0</v>
      </c>
      <c r="J158" s="87">
        <v>279</v>
      </c>
      <c r="K158" s="87">
        <v>305</v>
      </c>
    </row>
    <row r="159" spans="1:11" x14ac:dyDescent="0.25">
      <c r="A159" s="87" t="s">
        <v>208</v>
      </c>
      <c r="B159" s="88" t="s">
        <v>204</v>
      </c>
      <c r="C159" s="87">
        <v>0</v>
      </c>
      <c r="D159" s="87">
        <v>211</v>
      </c>
      <c r="E159" s="87">
        <v>223</v>
      </c>
      <c r="F159" s="87">
        <v>271</v>
      </c>
      <c r="G159" s="87">
        <v>396</v>
      </c>
      <c r="H159" s="87">
        <v>343</v>
      </c>
      <c r="I159" s="87">
        <v>0</v>
      </c>
      <c r="J159" s="87">
        <v>191</v>
      </c>
      <c r="K159" s="87">
        <v>272</v>
      </c>
    </row>
    <row r="160" spans="1:11" x14ac:dyDescent="0.25">
      <c r="A160" s="87" t="s">
        <v>209</v>
      </c>
      <c r="B160" s="88" t="s">
        <v>174</v>
      </c>
      <c r="C160" s="87">
        <v>0</v>
      </c>
      <c r="D160" s="87">
        <v>272</v>
      </c>
      <c r="E160" s="87">
        <v>242</v>
      </c>
      <c r="F160" s="87">
        <v>275</v>
      </c>
      <c r="G160" s="87">
        <v>347</v>
      </c>
      <c r="H160" s="87">
        <v>386</v>
      </c>
      <c r="I160" s="87">
        <v>0</v>
      </c>
      <c r="J160" s="87">
        <v>211</v>
      </c>
      <c r="K160" s="87">
        <v>254</v>
      </c>
    </row>
    <row r="161" spans="1:11" x14ac:dyDescent="0.25">
      <c r="A161" s="87" t="s">
        <v>209</v>
      </c>
      <c r="B161" s="88" t="s">
        <v>175</v>
      </c>
      <c r="C161" s="87">
        <v>0</v>
      </c>
      <c r="D161" s="87">
        <v>269</v>
      </c>
      <c r="E161" s="87">
        <v>279</v>
      </c>
      <c r="F161" s="87">
        <v>370</v>
      </c>
      <c r="G161" s="87">
        <v>344</v>
      </c>
      <c r="H161" s="87">
        <v>386</v>
      </c>
      <c r="I161" s="87">
        <v>0</v>
      </c>
      <c r="J161" s="87">
        <v>230</v>
      </c>
      <c r="K161" s="87">
        <v>283</v>
      </c>
    </row>
    <row r="162" spans="1:11" x14ac:dyDescent="0.25">
      <c r="A162" s="87" t="s">
        <v>209</v>
      </c>
      <c r="B162" s="88" t="s">
        <v>176</v>
      </c>
      <c r="C162" s="87">
        <v>0</v>
      </c>
      <c r="D162" s="87">
        <v>209</v>
      </c>
      <c r="E162" s="87">
        <v>333</v>
      </c>
      <c r="F162" s="87">
        <v>338</v>
      </c>
      <c r="G162" s="87">
        <v>226</v>
      </c>
      <c r="H162" s="87">
        <v>388</v>
      </c>
      <c r="I162" s="87">
        <v>0</v>
      </c>
      <c r="J162" s="87">
        <v>247</v>
      </c>
      <c r="K162" s="87">
        <v>333</v>
      </c>
    </row>
    <row r="163" spans="1:11" x14ac:dyDescent="0.25">
      <c r="A163" s="87" t="s">
        <v>209</v>
      </c>
      <c r="B163" s="88" t="s">
        <v>177</v>
      </c>
      <c r="C163" s="87">
        <v>0</v>
      </c>
      <c r="D163" s="87">
        <v>164</v>
      </c>
      <c r="E163" s="87">
        <v>342</v>
      </c>
      <c r="F163" s="87">
        <v>205</v>
      </c>
      <c r="G163" s="87">
        <v>263</v>
      </c>
      <c r="H163" s="87">
        <v>380</v>
      </c>
      <c r="I163" s="87">
        <v>0</v>
      </c>
      <c r="J163" s="87">
        <v>253</v>
      </c>
      <c r="K163" s="87">
        <v>312</v>
      </c>
    </row>
    <row r="164" spans="1:11" x14ac:dyDescent="0.25">
      <c r="A164" s="87" t="s">
        <v>209</v>
      </c>
      <c r="B164" s="88" t="s">
        <v>178</v>
      </c>
      <c r="C164" s="87">
        <v>0</v>
      </c>
      <c r="D164" s="87">
        <v>191</v>
      </c>
      <c r="E164" s="87">
        <v>213</v>
      </c>
      <c r="F164" s="87">
        <v>217</v>
      </c>
      <c r="G164" s="87">
        <v>272</v>
      </c>
      <c r="H164" s="87">
        <v>364</v>
      </c>
      <c r="I164" s="87">
        <v>0</v>
      </c>
      <c r="J164" s="87">
        <v>241</v>
      </c>
      <c r="K164" s="87">
        <v>339</v>
      </c>
    </row>
    <row r="165" spans="1:11" x14ac:dyDescent="0.25">
      <c r="A165" s="87" t="s">
        <v>209</v>
      </c>
      <c r="B165" s="88" t="s">
        <v>179</v>
      </c>
      <c r="C165" s="87">
        <v>0</v>
      </c>
      <c r="D165" s="87">
        <v>235</v>
      </c>
      <c r="E165" s="87">
        <v>191</v>
      </c>
      <c r="F165" s="87">
        <v>225</v>
      </c>
      <c r="G165" s="87">
        <v>362</v>
      </c>
      <c r="H165" s="87">
        <v>331</v>
      </c>
      <c r="I165" s="87">
        <v>0</v>
      </c>
      <c r="J165" s="87">
        <v>169</v>
      </c>
      <c r="K165" s="87">
        <v>380</v>
      </c>
    </row>
    <row r="166" spans="1:11" x14ac:dyDescent="0.25">
      <c r="A166" s="87" t="s">
        <v>209</v>
      </c>
      <c r="B166" s="88" t="s">
        <v>180</v>
      </c>
      <c r="C166" s="87">
        <v>0</v>
      </c>
      <c r="D166" s="87">
        <v>159</v>
      </c>
      <c r="E166" s="87">
        <v>252</v>
      </c>
      <c r="F166" s="87">
        <v>243</v>
      </c>
      <c r="G166" s="87">
        <v>370</v>
      </c>
      <c r="H166" s="87">
        <v>277</v>
      </c>
      <c r="I166" s="87">
        <v>0</v>
      </c>
      <c r="J166" s="87">
        <v>172</v>
      </c>
      <c r="K166" s="87">
        <v>405</v>
      </c>
    </row>
    <row r="167" spans="1:11" x14ac:dyDescent="0.25">
      <c r="A167" s="87" t="s">
        <v>209</v>
      </c>
      <c r="B167" s="88" t="s">
        <v>181</v>
      </c>
      <c r="C167" s="87">
        <v>0</v>
      </c>
      <c r="D167" s="87">
        <v>149</v>
      </c>
      <c r="E167" s="87">
        <v>325</v>
      </c>
      <c r="F167" s="87">
        <v>329</v>
      </c>
      <c r="G167" s="87">
        <v>329</v>
      </c>
      <c r="H167" s="87">
        <v>315</v>
      </c>
      <c r="I167" s="87">
        <v>0</v>
      </c>
      <c r="J167" s="87">
        <v>253</v>
      </c>
      <c r="K167" s="87">
        <v>405</v>
      </c>
    </row>
    <row r="168" spans="1:11" x14ac:dyDescent="0.25">
      <c r="A168" s="87" t="s">
        <v>209</v>
      </c>
      <c r="B168" s="88" t="s">
        <v>182</v>
      </c>
      <c r="C168" s="87">
        <v>0</v>
      </c>
      <c r="D168" s="87">
        <v>140</v>
      </c>
      <c r="E168" s="87">
        <v>325</v>
      </c>
      <c r="F168" s="87">
        <v>402</v>
      </c>
      <c r="G168" s="87">
        <v>327</v>
      </c>
      <c r="H168" s="87">
        <v>322</v>
      </c>
      <c r="I168" s="87">
        <v>0</v>
      </c>
      <c r="J168" s="87">
        <v>324</v>
      </c>
      <c r="K168" s="87">
        <v>394</v>
      </c>
    </row>
    <row r="169" spans="1:11" x14ac:dyDescent="0.25">
      <c r="A169" s="87" t="s">
        <v>209</v>
      </c>
      <c r="B169" s="88" t="s">
        <v>183</v>
      </c>
      <c r="C169" s="87">
        <v>0</v>
      </c>
      <c r="D169" s="87">
        <v>195</v>
      </c>
      <c r="E169" s="87">
        <v>291</v>
      </c>
      <c r="F169" s="87">
        <v>380</v>
      </c>
      <c r="G169" s="87">
        <v>335</v>
      </c>
      <c r="H169" s="87">
        <v>405</v>
      </c>
      <c r="I169" s="87">
        <v>0</v>
      </c>
      <c r="J169" s="87">
        <v>334</v>
      </c>
      <c r="K169" s="87">
        <v>336</v>
      </c>
    </row>
    <row r="170" spans="1:11" x14ac:dyDescent="0.25">
      <c r="A170" s="87" t="s">
        <v>209</v>
      </c>
      <c r="B170" s="88" t="s">
        <v>184</v>
      </c>
      <c r="C170" s="87">
        <v>0</v>
      </c>
      <c r="D170" s="87">
        <v>245</v>
      </c>
      <c r="E170" s="87">
        <v>378</v>
      </c>
      <c r="F170" s="87">
        <v>236</v>
      </c>
      <c r="G170" s="87">
        <v>341</v>
      </c>
      <c r="H170" s="87">
        <v>380</v>
      </c>
      <c r="I170" s="87">
        <v>0</v>
      </c>
      <c r="J170" s="87">
        <v>279</v>
      </c>
      <c r="K170" s="87">
        <v>260</v>
      </c>
    </row>
    <row r="171" spans="1:11" x14ac:dyDescent="0.25">
      <c r="A171" s="87" t="s">
        <v>209</v>
      </c>
      <c r="B171" s="88" t="s">
        <v>185</v>
      </c>
      <c r="C171" s="87">
        <v>0</v>
      </c>
      <c r="D171" s="87">
        <v>345</v>
      </c>
      <c r="E171" s="87">
        <v>370</v>
      </c>
      <c r="F171" s="87">
        <v>278</v>
      </c>
      <c r="G171" s="87">
        <v>330</v>
      </c>
      <c r="H171" s="87">
        <v>339</v>
      </c>
      <c r="I171" s="87">
        <v>0</v>
      </c>
      <c r="J171" s="87">
        <v>235</v>
      </c>
      <c r="K171" s="87">
        <v>265</v>
      </c>
    </row>
    <row r="172" spans="1:11" x14ac:dyDescent="0.25">
      <c r="A172" s="87" t="s">
        <v>209</v>
      </c>
      <c r="B172" s="88" t="s">
        <v>186</v>
      </c>
      <c r="C172" s="87">
        <v>0</v>
      </c>
      <c r="D172" s="87">
        <v>324</v>
      </c>
      <c r="E172" s="87">
        <v>365</v>
      </c>
      <c r="F172" s="87">
        <v>380</v>
      </c>
      <c r="G172" s="87">
        <v>336</v>
      </c>
      <c r="H172" s="87">
        <v>292</v>
      </c>
      <c r="I172" s="87">
        <v>0</v>
      </c>
      <c r="J172" s="87">
        <v>213</v>
      </c>
      <c r="K172" s="87">
        <v>267</v>
      </c>
    </row>
    <row r="173" spans="1:11" x14ac:dyDescent="0.25">
      <c r="A173" s="87" t="s">
        <v>209</v>
      </c>
      <c r="B173" s="88" t="s">
        <v>187</v>
      </c>
      <c r="C173" s="87">
        <v>0</v>
      </c>
      <c r="D173" s="87">
        <v>213</v>
      </c>
      <c r="E173" s="87">
        <v>376</v>
      </c>
      <c r="F173" s="87">
        <v>408</v>
      </c>
      <c r="G173" s="87">
        <v>351</v>
      </c>
      <c r="H173" s="87">
        <v>391</v>
      </c>
      <c r="I173" s="87">
        <v>0</v>
      </c>
      <c r="J173" s="87">
        <v>242</v>
      </c>
      <c r="K173" s="87">
        <v>399</v>
      </c>
    </row>
    <row r="174" spans="1:11" x14ac:dyDescent="0.25">
      <c r="A174" s="87" t="s">
        <v>209</v>
      </c>
      <c r="B174" s="88" t="s">
        <v>188</v>
      </c>
      <c r="C174" s="87">
        <v>0</v>
      </c>
      <c r="D174" s="87">
        <v>176</v>
      </c>
      <c r="E174" s="87">
        <v>369</v>
      </c>
      <c r="F174" s="87">
        <v>409</v>
      </c>
      <c r="G174" s="87">
        <v>338</v>
      </c>
      <c r="H174" s="87">
        <v>406</v>
      </c>
      <c r="I174" s="87">
        <v>0</v>
      </c>
      <c r="J174" s="87">
        <v>250</v>
      </c>
      <c r="K174" s="87">
        <v>421</v>
      </c>
    </row>
    <row r="175" spans="1:11" x14ac:dyDescent="0.25">
      <c r="A175" s="87" t="s">
        <v>209</v>
      </c>
      <c r="B175" s="88" t="s">
        <v>189</v>
      </c>
      <c r="C175" s="87">
        <v>0</v>
      </c>
      <c r="D175" s="87">
        <v>207</v>
      </c>
      <c r="E175" s="87">
        <v>288</v>
      </c>
      <c r="F175" s="87">
        <v>396</v>
      </c>
      <c r="G175" s="87">
        <v>366</v>
      </c>
      <c r="H175" s="87">
        <v>300</v>
      </c>
      <c r="I175" s="87">
        <v>0</v>
      </c>
      <c r="J175" s="87">
        <v>312</v>
      </c>
      <c r="K175" s="87">
        <v>326</v>
      </c>
    </row>
    <row r="176" spans="1:11" x14ac:dyDescent="0.25">
      <c r="A176" s="87" t="s">
        <v>209</v>
      </c>
      <c r="B176" s="88" t="s">
        <v>190</v>
      </c>
      <c r="C176" s="87">
        <v>0</v>
      </c>
      <c r="D176" s="87">
        <v>196</v>
      </c>
      <c r="E176" s="87">
        <v>282</v>
      </c>
      <c r="F176" s="87">
        <v>400</v>
      </c>
      <c r="G176" s="87">
        <v>261</v>
      </c>
      <c r="H176" s="87">
        <v>405</v>
      </c>
      <c r="I176" s="87">
        <v>0</v>
      </c>
      <c r="J176" s="87">
        <v>318</v>
      </c>
      <c r="K176" s="87">
        <v>394</v>
      </c>
    </row>
    <row r="177" spans="1:11" x14ac:dyDescent="0.25">
      <c r="A177" s="87" t="s">
        <v>209</v>
      </c>
      <c r="B177" s="88" t="s">
        <v>191</v>
      </c>
      <c r="C177" s="87">
        <v>0</v>
      </c>
      <c r="D177" s="87">
        <v>185</v>
      </c>
      <c r="E177" s="87">
        <v>288</v>
      </c>
      <c r="F177" s="87">
        <v>216</v>
      </c>
      <c r="G177" s="87">
        <v>253</v>
      </c>
      <c r="H177" s="87">
        <v>310</v>
      </c>
      <c r="I177" s="87">
        <v>0</v>
      </c>
      <c r="J177" s="87">
        <v>305</v>
      </c>
      <c r="K177" s="87">
        <v>417</v>
      </c>
    </row>
    <row r="178" spans="1:11" x14ac:dyDescent="0.25">
      <c r="A178" s="87" t="s">
        <v>209</v>
      </c>
      <c r="B178" s="88" t="s">
        <v>192</v>
      </c>
      <c r="C178" s="87">
        <v>0</v>
      </c>
      <c r="D178" s="87">
        <v>215</v>
      </c>
      <c r="E178" s="87">
        <v>237</v>
      </c>
      <c r="F178" s="87">
        <v>299</v>
      </c>
      <c r="G178" s="87">
        <v>274</v>
      </c>
      <c r="H178" s="87">
        <v>404</v>
      </c>
      <c r="I178" s="87">
        <v>0</v>
      </c>
      <c r="J178" s="87">
        <v>306</v>
      </c>
      <c r="K178" s="87">
        <v>384</v>
      </c>
    </row>
    <row r="179" spans="1:11" x14ac:dyDescent="0.25">
      <c r="A179" s="87" t="s">
        <v>209</v>
      </c>
      <c r="B179" s="88" t="s">
        <v>193</v>
      </c>
      <c r="C179" s="87">
        <v>0</v>
      </c>
      <c r="D179" s="87">
        <v>200</v>
      </c>
      <c r="E179" s="87">
        <v>298</v>
      </c>
      <c r="F179" s="87">
        <v>292</v>
      </c>
      <c r="G179" s="87">
        <v>361</v>
      </c>
      <c r="H179" s="87">
        <v>397</v>
      </c>
      <c r="I179" s="87">
        <v>0</v>
      </c>
      <c r="J179" s="87">
        <v>278</v>
      </c>
      <c r="K179" s="87">
        <v>388</v>
      </c>
    </row>
    <row r="180" spans="1:11" x14ac:dyDescent="0.25">
      <c r="A180" s="87" t="s">
        <v>209</v>
      </c>
      <c r="B180" s="88" t="s">
        <v>194</v>
      </c>
      <c r="C180" s="87">
        <v>0</v>
      </c>
      <c r="D180" s="87">
        <v>189</v>
      </c>
      <c r="E180" s="87">
        <v>324</v>
      </c>
      <c r="F180" s="87">
        <v>396</v>
      </c>
      <c r="G180" s="87">
        <v>340</v>
      </c>
      <c r="H180" s="87">
        <v>316</v>
      </c>
      <c r="I180" s="87">
        <v>0</v>
      </c>
      <c r="J180" s="87">
        <v>312</v>
      </c>
      <c r="K180" s="87">
        <v>403</v>
      </c>
    </row>
    <row r="181" spans="1:11" x14ac:dyDescent="0.25">
      <c r="A181" s="87" t="s">
        <v>209</v>
      </c>
      <c r="B181" s="88" t="s">
        <v>195</v>
      </c>
      <c r="C181" s="87">
        <v>0</v>
      </c>
      <c r="D181" s="87">
        <v>263</v>
      </c>
      <c r="E181" s="87">
        <v>295</v>
      </c>
      <c r="F181" s="87">
        <v>407</v>
      </c>
      <c r="G181" s="87">
        <v>391</v>
      </c>
      <c r="H181" s="87">
        <v>368</v>
      </c>
      <c r="I181" s="87">
        <v>0</v>
      </c>
      <c r="J181" s="87">
        <v>317</v>
      </c>
      <c r="K181" s="87">
        <v>292</v>
      </c>
    </row>
    <row r="182" spans="1:11" x14ac:dyDescent="0.25">
      <c r="A182" s="87" t="s">
        <v>209</v>
      </c>
      <c r="B182" s="88" t="s">
        <v>196</v>
      </c>
      <c r="C182" s="87">
        <v>0</v>
      </c>
      <c r="D182" s="87">
        <v>245</v>
      </c>
      <c r="E182" s="87">
        <v>307</v>
      </c>
      <c r="F182" s="87">
        <v>418</v>
      </c>
      <c r="G182" s="87">
        <v>401</v>
      </c>
      <c r="H182" s="87">
        <v>411</v>
      </c>
      <c r="I182" s="87">
        <v>0</v>
      </c>
      <c r="J182" s="87">
        <v>313</v>
      </c>
      <c r="K182" s="87">
        <v>346</v>
      </c>
    </row>
    <row r="183" spans="1:11" x14ac:dyDescent="0.25">
      <c r="A183" s="87" t="s">
        <v>209</v>
      </c>
      <c r="B183" s="88" t="s">
        <v>197</v>
      </c>
      <c r="C183" s="87">
        <v>0</v>
      </c>
      <c r="D183" s="87">
        <v>256</v>
      </c>
      <c r="E183" s="87">
        <v>338</v>
      </c>
      <c r="F183" s="87">
        <v>422</v>
      </c>
      <c r="G183" s="87">
        <v>279</v>
      </c>
      <c r="H183" s="87">
        <v>409</v>
      </c>
      <c r="I183" s="87">
        <v>0</v>
      </c>
      <c r="J183" s="87">
        <v>303</v>
      </c>
      <c r="K183" s="87">
        <v>363</v>
      </c>
    </row>
    <row r="184" spans="1:11" x14ac:dyDescent="0.25">
      <c r="A184" s="87" t="s">
        <v>209</v>
      </c>
      <c r="B184" s="88" t="s">
        <v>198</v>
      </c>
      <c r="C184" s="87">
        <v>0</v>
      </c>
      <c r="D184" s="87">
        <v>284</v>
      </c>
      <c r="E184" s="87">
        <v>340</v>
      </c>
      <c r="F184" s="87">
        <v>212</v>
      </c>
      <c r="G184" s="87">
        <v>392</v>
      </c>
      <c r="H184" s="87">
        <v>409</v>
      </c>
      <c r="I184" s="87">
        <v>0</v>
      </c>
      <c r="J184" s="87">
        <v>277</v>
      </c>
      <c r="K184" s="87">
        <v>386</v>
      </c>
    </row>
    <row r="185" spans="1:11" x14ac:dyDescent="0.25">
      <c r="A185" s="87" t="s">
        <v>209</v>
      </c>
      <c r="B185" s="88" t="s">
        <v>199</v>
      </c>
      <c r="C185" s="87">
        <v>0</v>
      </c>
      <c r="D185" s="87">
        <v>303</v>
      </c>
      <c r="E185" s="87">
        <v>399</v>
      </c>
      <c r="F185" s="87">
        <v>264</v>
      </c>
      <c r="G185" s="87">
        <v>399</v>
      </c>
      <c r="H185" s="87">
        <v>410</v>
      </c>
      <c r="I185" s="87">
        <v>0</v>
      </c>
      <c r="J185" s="87">
        <v>273</v>
      </c>
      <c r="K185" s="87">
        <v>332</v>
      </c>
    </row>
    <row r="186" spans="1:11" x14ac:dyDescent="0.25">
      <c r="A186" s="87" t="s">
        <v>209</v>
      </c>
      <c r="B186" s="88" t="s">
        <v>200</v>
      </c>
      <c r="C186" s="87">
        <v>0</v>
      </c>
      <c r="D186" s="87">
        <v>316</v>
      </c>
      <c r="E186" s="87">
        <v>408</v>
      </c>
      <c r="F186" s="87">
        <v>298</v>
      </c>
      <c r="G186" s="87">
        <v>403</v>
      </c>
      <c r="H186" s="87">
        <v>323</v>
      </c>
      <c r="I186" s="87">
        <v>0</v>
      </c>
      <c r="J186" s="87">
        <v>232</v>
      </c>
      <c r="K186" s="87">
        <v>327</v>
      </c>
    </row>
    <row r="187" spans="1:11" x14ac:dyDescent="0.25">
      <c r="A187" s="87" t="s">
        <v>209</v>
      </c>
      <c r="B187" s="88" t="s">
        <v>201</v>
      </c>
      <c r="C187" s="87">
        <v>0</v>
      </c>
      <c r="D187" s="87">
        <v>162</v>
      </c>
      <c r="E187" s="87">
        <v>421</v>
      </c>
      <c r="F187" s="87">
        <v>321</v>
      </c>
      <c r="G187" s="87">
        <v>281</v>
      </c>
      <c r="H187" s="87">
        <v>327</v>
      </c>
      <c r="I187" s="87">
        <v>0</v>
      </c>
      <c r="J187" s="87">
        <v>278</v>
      </c>
      <c r="K187" s="87">
        <v>208</v>
      </c>
    </row>
    <row r="188" spans="1:11" x14ac:dyDescent="0.25">
      <c r="A188" s="87" t="s">
        <v>209</v>
      </c>
      <c r="B188" s="88" t="s">
        <v>202</v>
      </c>
      <c r="C188" s="87">
        <v>0</v>
      </c>
      <c r="D188" s="87">
        <v>138</v>
      </c>
      <c r="E188" s="87">
        <v>231</v>
      </c>
      <c r="F188" s="87">
        <v>396</v>
      </c>
      <c r="G188" s="87">
        <v>333</v>
      </c>
      <c r="H188" s="87">
        <v>335</v>
      </c>
      <c r="I188" s="87">
        <v>0</v>
      </c>
      <c r="J188" s="87">
        <v>272</v>
      </c>
      <c r="K188" s="87">
        <v>230</v>
      </c>
    </row>
    <row r="189" spans="1:11" x14ac:dyDescent="0.25">
      <c r="A189" s="87" t="s">
        <v>209</v>
      </c>
      <c r="B189" s="88" t="s">
        <v>203</v>
      </c>
      <c r="C189" s="87">
        <v>0</v>
      </c>
      <c r="D189" s="87">
        <v>124</v>
      </c>
      <c r="E189" s="87">
        <v>248</v>
      </c>
      <c r="F189" s="87">
        <v>417</v>
      </c>
      <c r="G189" s="87">
        <v>320</v>
      </c>
      <c r="H189" s="87">
        <v>276</v>
      </c>
      <c r="I189" s="87">
        <v>0</v>
      </c>
      <c r="J189" s="87">
        <v>282</v>
      </c>
      <c r="K189" s="87">
        <v>276</v>
      </c>
    </row>
    <row r="190" spans="1:11" x14ac:dyDescent="0.25">
      <c r="A190" s="87" t="s">
        <v>210</v>
      </c>
      <c r="B190" s="88" t="s">
        <v>174</v>
      </c>
      <c r="C190" s="87">
        <v>0</v>
      </c>
      <c r="D190" s="87">
        <v>142</v>
      </c>
      <c r="E190" s="87">
        <v>313</v>
      </c>
      <c r="F190" s="87">
        <v>397</v>
      </c>
      <c r="G190" s="87">
        <v>285</v>
      </c>
      <c r="H190" s="87">
        <v>416</v>
      </c>
      <c r="I190" s="87">
        <v>79</v>
      </c>
      <c r="J190" s="87">
        <v>266</v>
      </c>
      <c r="K190" s="87">
        <v>275</v>
      </c>
    </row>
    <row r="191" spans="1:11" x14ac:dyDescent="0.25">
      <c r="A191" s="87" t="s">
        <v>210</v>
      </c>
      <c r="B191" s="88" t="s">
        <v>175</v>
      </c>
      <c r="C191" s="87">
        <v>0</v>
      </c>
      <c r="D191" s="87">
        <v>175</v>
      </c>
      <c r="E191" s="87">
        <v>382</v>
      </c>
      <c r="F191" s="87">
        <v>312</v>
      </c>
      <c r="G191" s="87">
        <v>298</v>
      </c>
      <c r="H191" s="87">
        <v>413</v>
      </c>
      <c r="I191" s="87">
        <v>124</v>
      </c>
      <c r="J191" s="87">
        <v>272</v>
      </c>
      <c r="K191" s="87">
        <v>286</v>
      </c>
    </row>
    <row r="192" spans="1:11" x14ac:dyDescent="0.25">
      <c r="A192" s="87" t="s">
        <v>210</v>
      </c>
      <c r="B192" s="88" t="s">
        <v>176</v>
      </c>
      <c r="C192" s="87">
        <v>0</v>
      </c>
      <c r="D192" s="87">
        <v>199</v>
      </c>
      <c r="E192" s="87">
        <v>402</v>
      </c>
      <c r="F192" s="87">
        <v>316</v>
      </c>
      <c r="G192" s="87">
        <v>327</v>
      </c>
      <c r="H192" s="87">
        <v>337</v>
      </c>
      <c r="I192" s="87">
        <v>208</v>
      </c>
      <c r="J192" s="87">
        <v>299</v>
      </c>
      <c r="K192" s="87">
        <v>260</v>
      </c>
    </row>
    <row r="193" spans="1:11" x14ac:dyDescent="0.25">
      <c r="A193" s="87" t="s">
        <v>210</v>
      </c>
      <c r="B193" s="88" t="s">
        <v>177</v>
      </c>
      <c r="C193" s="87">
        <v>0</v>
      </c>
      <c r="D193" s="87">
        <v>229</v>
      </c>
      <c r="E193" s="87">
        <v>348</v>
      </c>
      <c r="F193" s="87">
        <v>287</v>
      </c>
      <c r="G193" s="87">
        <v>350</v>
      </c>
      <c r="H193" s="87">
        <v>401</v>
      </c>
      <c r="I193" s="87">
        <v>218</v>
      </c>
      <c r="J193" s="87">
        <v>281</v>
      </c>
      <c r="K193" s="87">
        <v>228</v>
      </c>
    </row>
    <row r="194" spans="1:11" x14ac:dyDescent="0.25">
      <c r="A194" s="87" t="s">
        <v>210</v>
      </c>
      <c r="B194" s="88" t="s">
        <v>178</v>
      </c>
      <c r="C194" s="87">
        <v>0</v>
      </c>
      <c r="D194" s="87">
        <v>142</v>
      </c>
      <c r="E194" s="87">
        <v>389</v>
      </c>
      <c r="F194" s="87">
        <v>386</v>
      </c>
      <c r="G194" s="87">
        <v>325</v>
      </c>
      <c r="H194" s="87">
        <v>399</v>
      </c>
      <c r="I194" s="87">
        <v>88</v>
      </c>
      <c r="J194" s="87">
        <v>218</v>
      </c>
      <c r="K194" s="87">
        <v>274</v>
      </c>
    </row>
    <row r="195" spans="1:11" x14ac:dyDescent="0.25">
      <c r="A195" s="87" t="s">
        <v>210</v>
      </c>
      <c r="B195" s="88" t="s">
        <v>179</v>
      </c>
      <c r="C195" s="87">
        <v>0</v>
      </c>
      <c r="D195" s="87">
        <v>156</v>
      </c>
      <c r="E195" s="87">
        <v>387</v>
      </c>
      <c r="F195" s="87">
        <v>388</v>
      </c>
      <c r="G195" s="87">
        <v>329</v>
      </c>
      <c r="H195" s="87">
        <v>416</v>
      </c>
      <c r="I195" s="87">
        <v>69</v>
      </c>
      <c r="J195" s="87">
        <v>213</v>
      </c>
      <c r="K195" s="87">
        <v>279</v>
      </c>
    </row>
    <row r="196" spans="1:11" x14ac:dyDescent="0.25">
      <c r="A196" s="87" t="s">
        <v>210</v>
      </c>
      <c r="B196" s="88" t="s">
        <v>180</v>
      </c>
      <c r="C196" s="87">
        <v>0</v>
      </c>
      <c r="D196" s="87">
        <v>164</v>
      </c>
      <c r="E196" s="87">
        <v>256</v>
      </c>
      <c r="F196" s="87">
        <v>267</v>
      </c>
      <c r="G196" s="87">
        <v>305</v>
      </c>
      <c r="H196" s="87">
        <v>316</v>
      </c>
      <c r="I196" s="87">
        <v>55</v>
      </c>
      <c r="J196" s="87">
        <v>268</v>
      </c>
      <c r="K196" s="87">
        <v>314</v>
      </c>
    </row>
    <row r="197" spans="1:11" x14ac:dyDescent="0.25">
      <c r="A197" s="87" t="s">
        <v>210</v>
      </c>
      <c r="B197" s="88" t="s">
        <v>181</v>
      </c>
      <c r="C197" s="87">
        <v>0</v>
      </c>
      <c r="D197" s="87">
        <v>170</v>
      </c>
      <c r="E197" s="87">
        <v>346</v>
      </c>
      <c r="F197" s="87">
        <v>289</v>
      </c>
      <c r="G197" s="87">
        <v>242</v>
      </c>
      <c r="H197" s="87">
        <v>332</v>
      </c>
      <c r="I197" s="87">
        <v>48</v>
      </c>
      <c r="J197" s="87">
        <v>314</v>
      </c>
      <c r="K197" s="87">
        <v>312</v>
      </c>
    </row>
    <row r="198" spans="1:11" x14ac:dyDescent="0.25">
      <c r="A198" s="87" t="s">
        <v>210</v>
      </c>
      <c r="B198" s="88" t="s">
        <v>182</v>
      </c>
      <c r="C198" s="87">
        <v>0</v>
      </c>
      <c r="D198" s="87">
        <v>161</v>
      </c>
      <c r="E198" s="87">
        <v>356</v>
      </c>
      <c r="F198" s="87">
        <v>259</v>
      </c>
      <c r="G198" s="87">
        <v>318</v>
      </c>
      <c r="H198" s="87">
        <v>384</v>
      </c>
      <c r="I198" s="87">
        <v>67</v>
      </c>
      <c r="J198" s="87">
        <v>314</v>
      </c>
      <c r="K198" s="87">
        <v>264</v>
      </c>
    </row>
    <row r="199" spans="1:11" x14ac:dyDescent="0.25">
      <c r="A199" s="87" t="s">
        <v>210</v>
      </c>
      <c r="B199" s="88" t="s">
        <v>183</v>
      </c>
      <c r="C199" s="87">
        <v>0</v>
      </c>
      <c r="D199" s="87">
        <v>168</v>
      </c>
      <c r="E199" s="87">
        <v>310</v>
      </c>
      <c r="F199" s="87">
        <v>295</v>
      </c>
      <c r="G199" s="87">
        <v>316</v>
      </c>
      <c r="H199" s="87">
        <v>420</v>
      </c>
      <c r="I199" s="87">
        <v>100</v>
      </c>
      <c r="J199" s="87">
        <v>295</v>
      </c>
      <c r="K199" s="87">
        <v>262</v>
      </c>
    </row>
    <row r="200" spans="1:11" x14ac:dyDescent="0.25">
      <c r="A200" s="87" t="s">
        <v>210</v>
      </c>
      <c r="B200" s="88" t="s">
        <v>184</v>
      </c>
      <c r="C200" s="87">
        <v>0</v>
      </c>
      <c r="D200" s="87">
        <v>183</v>
      </c>
      <c r="E200" s="87">
        <v>354</v>
      </c>
      <c r="F200" s="87">
        <v>312</v>
      </c>
      <c r="G200" s="87">
        <v>388</v>
      </c>
      <c r="H200" s="87">
        <v>394</v>
      </c>
      <c r="I200" s="87">
        <v>111</v>
      </c>
      <c r="J200" s="87">
        <v>209</v>
      </c>
      <c r="K200" s="87">
        <v>272</v>
      </c>
    </row>
    <row r="201" spans="1:11" x14ac:dyDescent="0.25">
      <c r="A201" s="87" t="s">
        <v>210</v>
      </c>
      <c r="B201" s="88" t="s">
        <v>185</v>
      </c>
      <c r="C201" s="87">
        <v>0</v>
      </c>
      <c r="D201" s="87">
        <v>178</v>
      </c>
      <c r="E201" s="87">
        <v>409</v>
      </c>
      <c r="F201" s="87">
        <v>353</v>
      </c>
      <c r="G201" s="87">
        <v>388</v>
      </c>
      <c r="H201" s="87">
        <v>284</v>
      </c>
      <c r="I201" s="87">
        <v>59</v>
      </c>
      <c r="J201" s="87">
        <v>246</v>
      </c>
      <c r="K201" s="87">
        <v>269</v>
      </c>
    </row>
    <row r="202" spans="1:11" x14ac:dyDescent="0.25">
      <c r="A202" s="87" t="s">
        <v>210</v>
      </c>
      <c r="B202" s="88" t="s">
        <v>186</v>
      </c>
      <c r="C202" s="87">
        <v>0</v>
      </c>
      <c r="D202" s="87">
        <v>214</v>
      </c>
      <c r="E202" s="87">
        <v>391</v>
      </c>
      <c r="F202" s="87">
        <v>403</v>
      </c>
      <c r="G202" s="87">
        <v>274</v>
      </c>
      <c r="H202" s="87">
        <v>291</v>
      </c>
      <c r="I202" s="87">
        <v>39</v>
      </c>
      <c r="J202" s="87">
        <v>260</v>
      </c>
      <c r="K202" s="87">
        <v>277</v>
      </c>
    </row>
    <row r="203" spans="1:11" x14ac:dyDescent="0.25">
      <c r="A203" s="87" t="s">
        <v>210</v>
      </c>
      <c r="B203" s="88" t="s">
        <v>187</v>
      </c>
      <c r="C203" s="87">
        <v>0</v>
      </c>
      <c r="D203" s="87">
        <v>250</v>
      </c>
      <c r="E203" s="87">
        <v>383</v>
      </c>
      <c r="F203" s="87">
        <v>418</v>
      </c>
      <c r="G203" s="87">
        <v>333</v>
      </c>
      <c r="H203" s="87">
        <v>282</v>
      </c>
      <c r="I203" s="87">
        <v>42</v>
      </c>
      <c r="J203" s="87">
        <v>265</v>
      </c>
      <c r="K203" s="87">
        <v>291</v>
      </c>
    </row>
    <row r="204" spans="1:11" x14ac:dyDescent="0.25">
      <c r="A204" s="87" t="s">
        <v>210</v>
      </c>
      <c r="B204" s="88" t="s">
        <v>188</v>
      </c>
      <c r="C204" s="87">
        <v>0</v>
      </c>
      <c r="D204" s="87">
        <v>257</v>
      </c>
      <c r="E204" s="87">
        <v>362</v>
      </c>
      <c r="F204" s="87">
        <v>421</v>
      </c>
      <c r="G204" s="87">
        <v>286</v>
      </c>
      <c r="H204" s="87">
        <v>300</v>
      </c>
      <c r="I204" s="87">
        <v>55</v>
      </c>
      <c r="J204" s="87">
        <v>290</v>
      </c>
      <c r="K204" s="87">
        <v>291</v>
      </c>
    </row>
    <row r="205" spans="1:11" x14ac:dyDescent="0.25">
      <c r="A205" s="87" t="s">
        <v>210</v>
      </c>
      <c r="B205" s="88" t="s">
        <v>189</v>
      </c>
      <c r="C205" s="87">
        <v>0</v>
      </c>
      <c r="D205" s="87">
        <v>251</v>
      </c>
      <c r="E205" s="87">
        <v>378</v>
      </c>
      <c r="F205" s="87">
        <v>261</v>
      </c>
      <c r="G205" s="87">
        <v>287</v>
      </c>
      <c r="H205" s="87">
        <v>314</v>
      </c>
      <c r="I205" s="87">
        <v>84</v>
      </c>
      <c r="J205" s="87">
        <v>309</v>
      </c>
      <c r="K205" s="87">
        <v>388</v>
      </c>
    </row>
    <row r="206" spans="1:11" x14ac:dyDescent="0.25">
      <c r="A206" s="87" t="s">
        <v>210</v>
      </c>
      <c r="B206" s="88" t="s">
        <v>190</v>
      </c>
      <c r="C206" s="87">
        <v>0</v>
      </c>
      <c r="D206" s="87">
        <v>280</v>
      </c>
      <c r="E206" s="87">
        <v>333</v>
      </c>
      <c r="F206" s="87">
        <v>235</v>
      </c>
      <c r="G206" s="87">
        <v>286</v>
      </c>
      <c r="H206" s="87">
        <v>317</v>
      </c>
      <c r="I206" s="87">
        <v>123</v>
      </c>
      <c r="J206" s="87">
        <v>314</v>
      </c>
      <c r="K206" s="87">
        <v>393</v>
      </c>
    </row>
    <row r="207" spans="1:11" x14ac:dyDescent="0.25">
      <c r="A207" s="87" t="s">
        <v>210</v>
      </c>
      <c r="B207" s="88" t="s">
        <v>191</v>
      </c>
      <c r="C207" s="87">
        <v>0</v>
      </c>
      <c r="D207" s="87">
        <v>311</v>
      </c>
      <c r="E207" s="87">
        <v>340</v>
      </c>
      <c r="F207" s="87">
        <v>255</v>
      </c>
      <c r="G207" s="87">
        <v>278</v>
      </c>
      <c r="H207" s="87">
        <v>360</v>
      </c>
      <c r="I207" s="87">
        <v>152</v>
      </c>
      <c r="J207" s="87">
        <v>263</v>
      </c>
      <c r="K207" s="87">
        <v>393</v>
      </c>
    </row>
    <row r="208" spans="1:11" x14ac:dyDescent="0.25">
      <c r="A208" s="87" t="s">
        <v>210</v>
      </c>
      <c r="B208" s="88" t="s">
        <v>192</v>
      </c>
      <c r="C208" s="87">
        <v>0</v>
      </c>
      <c r="D208" s="87">
        <v>198</v>
      </c>
      <c r="E208" s="87">
        <v>323</v>
      </c>
      <c r="F208" s="87">
        <v>371</v>
      </c>
      <c r="G208" s="87">
        <v>275</v>
      </c>
      <c r="H208" s="87">
        <v>424</v>
      </c>
      <c r="I208" s="87">
        <v>92</v>
      </c>
      <c r="J208" s="87">
        <v>270</v>
      </c>
      <c r="K208" s="87">
        <v>398</v>
      </c>
    </row>
    <row r="209" spans="1:11" x14ac:dyDescent="0.25">
      <c r="A209" s="87" t="s">
        <v>210</v>
      </c>
      <c r="B209" s="88" t="s">
        <v>193</v>
      </c>
      <c r="C209" s="87">
        <v>0</v>
      </c>
      <c r="D209" s="87">
        <v>206</v>
      </c>
      <c r="E209" s="87">
        <v>373</v>
      </c>
      <c r="F209" s="87">
        <v>402</v>
      </c>
      <c r="G209" s="87">
        <v>274</v>
      </c>
      <c r="H209" s="87">
        <v>416</v>
      </c>
      <c r="I209" s="87">
        <v>63</v>
      </c>
      <c r="J209" s="87">
        <v>296</v>
      </c>
      <c r="K209" s="87">
        <v>395</v>
      </c>
    </row>
    <row r="210" spans="1:11" x14ac:dyDescent="0.25">
      <c r="A210" s="87" t="s">
        <v>210</v>
      </c>
      <c r="B210" s="88" t="s">
        <v>194</v>
      </c>
      <c r="C210" s="87">
        <v>0</v>
      </c>
      <c r="D210" s="87">
        <v>215</v>
      </c>
      <c r="E210" s="87">
        <v>368</v>
      </c>
      <c r="F210" s="87">
        <v>368</v>
      </c>
      <c r="G210" s="87">
        <v>324</v>
      </c>
      <c r="H210" s="87">
        <v>392</v>
      </c>
      <c r="I210" s="87">
        <v>50</v>
      </c>
      <c r="J210" s="87">
        <v>327</v>
      </c>
      <c r="K210" s="87">
        <v>323</v>
      </c>
    </row>
    <row r="211" spans="1:11" x14ac:dyDescent="0.25">
      <c r="A211" s="87" t="s">
        <v>210</v>
      </c>
      <c r="B211" s="88" t="s">
        <v>195</v>
      </c>
      <c r="C211" s="87">
        <v>0</v>
      </c>
      <c r="D211" s="87">
        <v>257</v>
      </c>
      <c r="E211" s="87">
        <v>351</v>
      </c>
      <c r="F211" s="87">
        <v>403</v>
      </c>
      <c r="G211" s="87">
        <v>377</v>
      </c>
      <c r="H211" s="87">
        <v>341</v>
      </c>
      <c r="I211" s="87">
        <v>66</v>
      </c>
      <c r="J211" s="87">
        <v>319</v>
      </c>
      <c r="K211" s="87">
        <v>332</v>
      </c>
    </row>
    <row r="212" spans="1:11" x14ac:dyDescent="0.25">
      <c r="A212" s="87" t="s">
        <v>210</v>
      </c>
      <c r="B212" s="88" t="s">
        <v>196</v>
      </c>
      <c r="C212" s="87">
        <v>0</v>
      </c>
      <c r="D212" s="87">
        <v>299</v>
      </c>
      <c r="E212" s="87">
        <v>362</v>
      </c>
      <c r="F212" s="87">
        <v>246</v>
      </c>
      <c r="G212" s="87">
        <v>400</v>
      </c>
      <c r="H212" s="87">
        <v>312</v>
      </c>
      <c r="I212" s="87">
        <v>72</v>
      </c>
      <c r="J212" s="87">
        <v>334</v>
      </c>
      <c r="K212" s="87">
        <v>421</v>
      </c>
    </row>
    <row r="213" spans="1:11" x14ac:dyDescent="0.25">
      <c r="A213" s="87" t="s">
        <v>210</v>
      </c>
      <c r="B213" s="88" t="s">
        <v>197</v>
      </c>
      <c r="C213" s="87">
        <v>0</v>
      </c>
      <c r="D213" s="87">
        <v>346</v>
      </c>
      <c r="E213" s="87">
        <v>305</v>
      </c>
      <c r="F213" s="87">
        <v>281</v>
      </c>
      <c r="G213" s="87">
        <v>368</v>
      </c>
      <c r="H213" s="87">
        <v>325</v>
      </c>
      <c r="I213" s="87">
        <v>125</v>
      </c>
      <c r="J213" s="87">
        <v>325</v>
      </c>
      <c r="K213" s="87">
        <v>414</v>
      </c>
    </row>
    <row r="214" spans="1:11" x14ac:dyDescent="0.25">
      <c r="A214" s="87" t="s">
        <v>210</v>
      </c>
      <c r="B214" s="88" t="s">
        <v>198</v>
      </c>
      <c r="C214" s="87">
        <v>74</v>
      </c>
      <c r="D214" s="87">
        <v>378</v>
      </c>
      <c r="E214" s="87">
        <v>240</v>
      </c>
      <c r="F214" s="87">
        <v>302</v>
      </c>
      <c r="G214" s="87">
        <v>269</v>
      </c>
      <c r="H214" s="87">
        <v>378</v>
      </c>
      <c r="I214" s="87">
        <v>138</v>
      </c>
      <c r="J214" s="87">
        <v>261</v>
      </c>
      <c r="K214" s="87">
        <v>410</v>
      </c>
    </row>
    <row r="215" spans="1:11" x14ac:dyDescent="0.25">
      <c r="A215" s="87" t="s">
        <v>210</v>
      </c>
      <c r="B215" s="88" t="s">
        <v>199</v>
      </c>
      <c r="C215" s="87">
        <v>101</v>
      </c>
      <c r="D215" s="87">
        <v>309</v>
      </c>
      <c r="E215" s="87">
        <v>251</v>
      </c>
      <c r="F215" s="87">
        <v>312</v>
      </c>
      <c r="G215" s="87">
        <v>270</v>
      </c>
      <c r="H215" s="87">
        <v>411</v>
      </c>
      <c r="I215" s="87">
        <v>78</v>
      </c>
      <c r="J215" s="87">
        <v>270</v>
      </c>
      <c r="K215" s="87">
        <v>338</v>
      </c>
    </row>
    <row r="216" spans="1:11" x14ac:dyDescent="0.25">
      <c r="A216" s="87" t="s">
        <v>210</v>
      </c>
      <c r="B216" s="88" t="s">
        <v>200</v>
      </c>
      <c r="C216" s="87">
        <v>96</v>
      </c>
      <c r="D216" s="87">
        <v>335</v>
      </c>
      <c r="E216" s="87">
        <v>268</v>
      </c>
      <c r="F216" s="87">
        <v>394</v>
      </c>
      <c r="G216" s="87">
        <v>287</v>
      </c>
      <c r="H216" s="87">
        <v>411</v>
      </c>
      <c r="I216" s="87">
        <v>68</v>
      </c>
      <c r="J216" s="87">
        <v>261</v>
      </c>
      <c r="K216" s="87">
        <v>313</v>
      </c>
    </row>
    <row r="217" spans="1:11" x14ac:dyDescent="0.25">
      <c r="A217" s="87" t="s">
        <v>210</v>
      </c>
      <c r="B217" s="88" t="s">
        <v>201</v>
      </c>
      <c r="C217" s="87">
        <v>93</v>
      </c>
      <c r="D217" s="87">
        <v>318</v>
      </c>
      <c r="E217" s="87">
        <v>286</v>
      </c>
      <c r="F217" s="87">
        <v>430</v>
      </c>
      <c r="G217" s="87">
        <v>310</v>
      </c>
      <c r="H217" s="87">
        <v>334</v>
      </c>
      <c r="I217" s="87">
        <v>71</v>
      </c>
      <c r="J217" s="87">
        <v>271</v>
      </c>
      <c r="K217" s="87">
        <v>259</v>
      </c>
    </row>
    <row r="218" spans="1:11" x14ac:dyDescent="0.25">
      <c r="A218" s="87" t="s">
        <v>210</v>
      </c>
      <c r="B218" s="88" t="s">
        <v>202</v>
      </c>
      <c r="C218" s="87">
        <v>72</v>
      </c>
      <c r="D218" s="87">
        <v>258</v>
      </c>
      <c r="E218" s="87">
        <v>397</v>
      </c>
      <c r="F218" s="87">
        <v>422</v>
      </c>
      <c r="G218" s="87">
        <v>287</v>
      </c>
      <c r="H218" s="87">
        <v>338</v>
      </c>
      <c r="I218" s="87">
        <v>68</v>
      </c>
      <c r="J218" s="87">
        <v>272</v>
      </c>
      <c r="K218" s="87">
        <v>266</v>
      </c>
    </row>
    <row r="219" spans="1:11" x14ac:dyDescent="0.25">
      <c r="A219" s="87" t="s">
        <v>210</v>
      </c>
      <c r="B219" s="88" t="s">
        <v>203</v>
      </c>
      <c r="C219" s="87">
        <v>73</v>
      </c>
      <c r="D219" s="87">
        <v>295</v>
      </c>
      <c r="E219" s="87">
        <v>363</v>
      </c>
      <c r="F219" s="87">
        <v>298</v>
      </c>
      <c r="G219" s="87">
        <v>352</v>
      </c>
      <c r="H219" s="87">
        <v>327</v>
      </c>
      <c r="I219" s="87">
        <v>84</v>
      </c>
      <c r="J219" s="87">
        <v>296</v>
      </c>
      <c r="K219" s="87">
        <v>212</v>
      </c>
    </row>
    <row r="220" spans="1:11" x14ac:dyDescent="0.25">
      <c r="A220" s="87" t="s">
        <v>210</v>
      </c>
      <c r="B220" s="88" t="s">
        <v>204</v>
      </c>
      <c r="C220" s="87">
        <v>86</v>
      </c>
      <c r="D220" s="87">
        <v>342</v>
      </c>
      <c r="E220" s="87">
        <v>253</v>
      </c>
      <c r="F220" s="87">
        <v>251</v>
      </c>
      <c r="G220" s="87">
        <v>339</v>
      </c>
      <c r="H220" s="87">
        <v>335</v>
      </c>
      <c r="I220" s="87">
        <v>120</v>
      </c>
      <c r="J220" s="87">
        <v>303</v>
      </c>
      <c r="K220" s="87">
        <v>216</v>
      </c>
    </row>
    <row r="221" spans="1:11" x14ac:dyDescent="0.25">
      <c r="A221" s="87" t="s">
        <v>211</v>
      </c>
      <c r="B221" s="88" t="s">
        <v>174</v>
      </c>
      <c r="C221" s="87">
        <v>81</v>
      </c>
      <c r="D221" s="87">
        <v>355</v>
      </c>
      <c r="E221" s="87">
        <v>238</v>
      </c>
      <c r="F221" s="87">
        <v>314</v>
      </c>
      <c r="G221" s="87">
        <v>379</v>
      </c>
      <c r="H221" s="87">
        <v>339</v>
      </c>
      <c r="I221" s="87">
        <v>124</v>
      </c>
      <c r="J221" s="87">
        <v>261</v>
      </c>
      <c r="K221" s="87">
        <v>288</v>
      </c>
    </row>
    <row r="222" spans="1:11" x14ac:dyDescent="0.25">
      <c r="A222" s="87" t="s">
        <v>211</v>
      </c>
      <c r="B222" s="88" t="s">
        <v>175</v>
      </c>
      <c r="C222" s="87">
        <v>28</v>
      </c>
      <c r="D222" s="87">
        <v>299</v>
      </c>
      <c r="E222" s="87">
        <v>251</v>
      </c>
      <c r="F222" s="87">
        <v>352</v>
      </c>
      <c r="G222" s="87">
        <v>342</v>
      </c>
      <c r="H222" s="87">
        <v>366</v>
      </c>
      <c r="I222" s="87">
        <v>67</v>
      </c>
      <c r="J222" s="87">
        <v>275</v>
      </c>
      <c r="K222" s="87">
        <v>294</v>
      </c>
    </row>
    <row r="223" spans="1:11" x14ac:dyDescent="0.25">
      <c r="A223" s="87" t="s">
        <v>211</v>
      </c>
      <c r="B223" s="88" t="s">
        <v>176</v>
      </c>
      <c r="C223" s="87">
        <v>86</v>
      </c>
      <c r="D223" s="87">
        <v>315</v>
      </c>
      <c r="E223" s="87">
        <v>281</v>
      </c>
      <c r="F223" s="87">
        <v>355</v>
      </c>
      <c r="G223" s="87">
        <v>339</v>
      </c>
      <c r="H223" s="87">
        <v>387</v>
      </c>
      <c r="I223" s="87">
        <v>69</v>
      </c>
      <c r="J223" s="87">
        <v>277</v>
      </c>
      <c r="K223" s="87">
        <v>274</v>
      </c>
    </row>
    <row r="224" spans="1:11" x14ac:dyDescent="0.25">
      <c r="A224" s="87" t="s">
        <v>211</v>
      </c>
      <c r="B224" s="88" t="s">
        <v>177</v>
      </c>
      <c r="C224" s="87">
        <v>113</v>
      </c>
      <c r="D224" s="87">
        <v>303</v>
      </c>
      <c r="E224" s="87">
        <v>306</v>
      </c>
      <c r="F224" s="87">
        <v>416</v>
      </c>
      <c r="G224" s="87">
        <v>362</v>
      </c>
      <c r="H224" s="87">
        <v>328</v>
      </c>
      <c r="I224" s="87">
        <v>92</v>
      </c>
      <c r="J224" s="87">
        <v>270</v>
      </c>
      <c r="K224" s="87">
        <v>357</v>
      </c>
    </row>
    <row r="225" spans="1:11" x14ac:dyDescent="0.25">
      <c r="A225" s="87" t="s">
        <v>211</v>
      </c>
      <c r="B225" s="88" t="s">
        <v>178</v>
      </c>
      <c r="C225" s="87">
        <v>143</v>
      </c>
      <c r="D225" s="87">
        <v>359</v>
      </c>
      <c r="E225" s="87">
        <v>346</v>
      </c>
      <c r="F225" s="87">
        <v>436</v>
      </c>
      <c r="G225" s="87">
        <v>368</v>
      </c>
      <c r="H225" s="87">
        <v>359</v>
      </c>
      <c r="I225" s="87">
        <v>122</v>
      </c>
      <c r="J225" s="87">
        <v>292</v>
      </c>
      <c r="K225" s="87">
        <v>362</v>
      </c>
    </row>
    <row r="226" spans="1:11" x14ac:dyDescent="0.25">
      <c r="A226" s="87" t="s">
        <v>211</v>
      </c>
      <c r="B226" s="88" t="s">
        <v>179</v>
      </c>
      <c r="C226" s="87">
        <v>131</v>
      </c>
      <c r="D226" s="87">
        <v>368</v>
      </c>
      <c r="E226" s="87">
        <v>348</v>
      </c>
      <c r="F226" s="87">
        <v>311</v>
      </c>
      <c r="G226" s="87">
        <v>332</v>
      </c>
      <c r="H226" s="87">
        <v>333</v>
      </c>
      <c r="I226" s="87">
        <v>141</v>
      </c>
      <c r="J226" s="87">
        <v>320</v>
      </c>
      <c r="K226" s="87">
        <v>284</v>
      </c>
    </row>
    <row r="227" spans="1:11" x14ac:dyDescent="0.25">
      <c r="A227" s="87" t="s">
        <v>211</v>
      </c>
      <c r="B227" s="88" t="s">
        <v>180</v>
      </c>
      <c r="C227" s="87">
        <v>136</v>
      </c>
      <c r="D227" s="87">
        <v>385</v>
      </c>
      <c r="E227" s="87">
        <v>303</v>
      </c>
      <c r="F227" s="87">
        <v>315</v>
      </c>
      <c r="G227" s="87">
        <v>271</v>
      </c>
      <c r="H227" s="87">
        <v>342</v>
      </c>
      <c r="I227" s="87">
        <v>194</v>
      </c>
      <c r="J227" s="87">
        <v>330</v>
      </c>
      <c r="K227" s="87">
        <v>291</v>
      </c>
    </row>
    <row r="228" spans="1:11" x14ac:dyDescent="0.25">
      <c r="A228" s="87" t="s">
        <v>211</v>
      </c>
      <c r="B228" s="88" t="s">
        <v>181</v>
      </c>
      <c r="C228" s="87">
        <v>135</v>
      </c>
      <c r="D228" s="87">
        <v>328</v>
      </c>
      <c r="E228" s="87">
        <v>314</v>
      </c>
      <c r="F228" s="87">
        <v>321</v>
      </c>
      <c r="G228" s="87">
        <v>257</v>
      </c>
      <c r="H228" s="87">
        <v>356</v>
      </c>
      <c r="I228" s="87">
        <v>183</v>
      </c>
      <c r="J228" s="87">
        <v>255</v>
      </c>
      <c r="K228" s="87">
        <v>302</v>
      </c>
    </row>
    <row r="229" spans="1:11" x14ac:dyDescent="0.25">
      <c r="A229" s="87" t="s">
        <v>211</v>
      </c>
      <c r="B229" s="88" t="s">
        <v>182</v>
      </c>
      <c r="C229" s="87">
        <v>137</v>
      </c>
      <c r="D229" s="87">
        <v>278</v>
      </c>
      <c r="E229" s="87">
        <v>364</v>
      </c>
      <c r="F229" s="87">
        <v>349</v>
      </c>
      <c r="G229" s="87">
        <v>287</v>
      </c>
      <c r="H229" s="87">
        <v>353</v>
      </c>
      <c r="I229" s="87">
        <v>106</v>
      </c>
      <c r="J229" s="87">
        <v>246</v>
      </c>
      <c r="K229" s="87">
        <v>290</v>
      </c>
    </row>
    <row r="230" spans="1:11" x14ac:dyDescent="0.25">
      <c r="A230" s="87" t="s">
        <v>211</v>
      </c>
      <c r="B230" s="88" t="s">
        <v>183</v>
      </c>
      <c r="C230" s="87">
        <v>140</v>
      </c>
      <c r="D230" s="87">
        <v>288</v>
      </c>
      <c r="E230" s="87">
        <v>402</v>
      </c>
      <c r="F230" s="87">
        <v>337</v>
      </c>
      <c r="G230" s="87">
        <v>334</v>
      </c>
      <c r="H230" s="87">
        <v>322</v>
      </c>
      <c r="I230" s="87">
        <v>102</v>
      </c>
      <c r="J230" s="87">
        <v>223</v>
      </c>
      <c r="K230" s="87">
        <v>275</v>
      </c>
    </row>
    <row r="231" spans="1:11" x14ac:dyDescent="0.25">
      <c r="A231" s="87" t="s">
        <v>211</v>
      </c>
      <c r="B231" s="88" t="s">
        <v>184</v>
      </c>
      <c r="C231" s="87">
        <v>144</v>
      </c>
      <c r="D231" s="87">
        <v>288</v>
      </c>
      <c r="E231" s="87">
        <v>422</v>
      </c>
      <c r="F231" s="87">
        <v>349</v>
      </c>
      <c r="G231" s="87">
        <v>364</v>
      </c>
      <c r="H231" s="87">
        <v>285</v>
      </c>
      <c r="I231" s="87">
        <v>95</v>
      </c>
      <c r="J231" s="87">
        <v>234</v>
      </c>
      <c r="K231" s="87">
        <v>331</v>
      </c>
    </row>
    <row r="232" spans="1:11" x14ac:dyDescent="0.25">
      <c r="A232" s="87" t="s">
        <v>211</v>
      </c>
      <c r="B232" s="88" t="s">
        <v>185</v>
      </c>
      <c r="C232" s="87">
        <v>146</v>
      </c>
      <c r="D232" s="87">
        <v>283</v>
      </c>
      <c r="E232" s="87">
        <v>424</v>
      </c>
      <c r="F232" s="87">
        <v>345</v>
      </c>
      <c r="G232" s="87">
        <v>346</v>
      </c>
      <c r="H232" s="87">
        <v>315</v>
      </c>
      <c r="I232" s="87">
        <v>95</v>
      </c>
      <c r="J232" s="87">
        <v>258</v>
      </c>
      <c r="K232" s="87">
        <v>340</v>
      </c>
    </row>
    <row r="233" spans="1:11" x14ac:dyDescent="0.25">
      <c r="A233" s="87" t="s">
        <v>211</v>
      </c>
      <c r="B233" s="88" t="s">
        <v>186</v>
      </c>
      <c r="C233" s="87">
        <v>160</v>
      </c>
      <c r="D233" s="87">
        <v>250</v>
      </c>
      <c r="E233" s="87">
        <v>410</v>
      </c>
      <c r="F233" s="87">
        <v>295</v>
      </c>
      <c r="G233" s="87">
        <v>367</v>
      </c>
      <c r="H233" s="87">
        <v>277</v>
      </c>
      <c r="I233" s="87">
        <v>125</v>
      </c>
      <c r="J233" s="87">
        <v>270</v>
      </c>
      <c r="K233" s="87">
        <v>235</v>
      </c>
    </row>
    <row r="234" spans="1:11" x14ac:dyDescent="0.25">
      <c r="A234" s="87" t="s">
        <v>211</v>
      </c>
      <c r="B234" s="88" t="s">
        <v>187</v>
      </c>
      <c r="C234" s="87">
        <v>151</v>
      </c>
      <c r="D234" s="87">
        <v>273</v>
      </c>
      <c r="E234" s="87">
        <v>222</v>
      </c>
      <c r="F234" s="87">
        <v>305</v>
      </c>
      <c r="G234" s="87">
        <v>332</v>
      </c>
      <c r="H234" s="87">
        <v>262</v>
      </c>
      <c r="I234" s="87">
        <v>195</v>
      </c>
      <c r="J234" s="87">
        <v>278</v>
      </c>
      <c r="K234" s="87">
        <v>231</v>
      </c>
    </row>
    <row r="235" spans="1:11" x14ac:dyDescent="0.25">
      <c r="A235" s="87" t="s">
        <v>211</v>
      </c>
      <c r="B235" s="88" t="s">
        <v>188</v>
      </c>
      <c r="C235" s="87">
        <v>161</v>
      </c>
      <c r="D235" s="87">
        <v>293</v>
      </c>
      <c r="E235" s="87">
        <v>279</v>
      </c>
      <c r="F235" s="87">
        <v>302</v>
      </c>
      <c r="G235" s="87">
        <v>346</v>
      </c>
      <c r="H235" s="87">
        <v>307</v>
      </c>
      <c r="I235" s="87">
        <v>209</v>
      </c>
      <c r="J235" s="87">
        <v>191</v>
      </c>
      <c r="K235" s="87">
        <v>230</v>
      </c>
    </row>
    <row r="236" spans="1:11" x14ac:dyDescent="0.25">
      <c r="A236" s="87" t="s">
        <v>211</v>
      </c>
      <c r="B236" s="88" t="s">
        <v>189</v>
      </c>
      <c r="C236" s="87">
        <v>147</v>
      </c>
      <c r="D236" s="87">
        <v>255</v>
      </c>
      <c r="E236" s="87">
        <v>288</v>
      </c>
      <c r="F236" s="87">
        <v>270</v>
      </c>
      <c r="G236" s="87">
        <v>329</v>
      </c>
      <c r="H236" s="87">
        <v>319</v>
      </c>
      <c r="I236" s="87">
        <v>77</v>
      </c>
      <c r="J236" s="87">
        <v>170</v>
      </c>
      <c r="K236" s="87">
        <v>222</v>
      </c>
    </row>
    <row r="237" spans="1:11" x14ac:dyDescent="0.25">
      <c r="A237" s="87" t="s">
        <v>211</v>
      </c>
      <c r="B237" s="88" t="s">
        <v>190</v>
      </c>
      <c r="C237" s="87">
        <v>132</v>
      </c>
      <c r="D237" s="87">
        <v>241</v>
      </c>
      <c r="E237" s="87">
        <v>264</v>
      </c>
      <c r="F237" s="87">
        <v>308</v>
      </c>
      <c r="G237" s="87">
        <v>357</v>
      </c>
      <c r="H237" s="87">
        <v>367</v>
      </c>
      <c r="I237" s="87">
        <v>60</v>
      </c>
      <c r="J237" s="87">
        <v>142</v>
      </c>
      <c r="K237" s="87">
        <v>226</v>
      </c>
    </row>
    <row r="238" spans="1:11" x14ac:dyDescent="0.25">
      <c r="A238" s="87" t="s">
        <v>211</v>
      </c>
      <c r="B238" s="88" t="s">
        <v>191</v>
      </c>
      <c r="C238" s="87">
        <v>121</v>
      </c>
      <c r="D238" s="87">
        <v>233</v>
      </c>
      <c r="E238" s="87">
        <v>267</v>
      </c>
      <c r="F238" s="87">
        <v>365</v>
      </c>
      <c r="G238" s="87">
        <v>390</v>
      </c>
      <c r="H238" s="87">
        <v>265</v>
      </c>
      <c r="I238" s="87">
        <v>75</v>
      </c>
      <c r="J238" s="87">
        <v>151</v>
      </c>
      <c r="K238" s="87">
        <v>279</v>
      </c>
    </row>
    <row r="239" spans="1:11" x14ac:dyDescent="0.25">
      <c r="A239" s="87" t="s">
        <v>211</v>
      </c>
      <c r="B239" s="88" t="s">
        <v>192</v>
      </c>
      <c r="C239" s="87">
        <v>133</v>
      </c>
      <c r="D239" s="87">
        <v>227</v>
      </c>
      <c r="E239" s="87">
        <v>332</v>
      </c>
      <c r="F239" s="87">
        <v>402</v>
      </c>
      <c r="G239" s="87">
        <v>238</v>
      </c>
      <c r="H239" s="87">
        <v>250</v>
      </c>
      <c r="I239" s="87">
        <v>68</v>
      </c>
      <c r="J239" s="87">
        <v>178</v>
      </c>
      <c r="K239" s="87">
        <v>289</v>
      </c>
    </row>
    <row r="240" spans="1:11" x14ac:dyDescent="0.25">
      <c r="A240" s="87" t="s">
        <v>211</v>
      </c>
      <c r="B240" s="88" t="s">
        <v>193</v>
      </c>
      <c r="C240" s="87">
        <v>134</v>
      </c>
      <c r="D240" s="87">
        <v>235</v>
      </c>
      <c r="E240" s="87">
        <v>344</v>
      </c>
      <c r="F240" s="87">
        <v>253</v>
      </c>
      <c r="G240" s="87">
        <v>257</v>
      </c>
      <c r="H240" s="87">
        <v>300</v>
      </c>
      <c r="I240" s="87">
        <v>90</v>
      </c>
      <c r="J240" s="87">
        <v>205</v>
      </c>
      <c r="K240" s="87">
        <v>253</v>
      </c>
    </row>
    <row r="241" spans="1:11" x14ac:dyDescent="0.25">
      <c r="A241" s="87" t="s">
        <v>211</v>
      </c>
      <c r="B241" s="88" t="s">
        <v>194</v>
      </c>
      <c r="C241" s="87">
        <v>143</v>
      </c>
      <c r="D241" s="87">
        <v>285</v>
      </c>
      <c r="E241" s="87">
        <v>268</v>
      </c>
      <c r="F241" s="87">
        <v>274</v>
      </c>
      <c r="G241" s="87">
        <v>249</v>
      </c>
      <c r="H241" s="87">
        <v>281</v>
      </c>
      <c r="I241" s="87">
        <v>180</v>
      </c>
      <c r="J241" s="87">
        <v>203</v>
      </c>
      <c r="K241" s="87">
        <v>247</v>
      </c>
    </row>
    <row r="242" spans="1:11" x14ac:dyDescent="0.25">
      <c r="A242" s="87" t="s">
        <v>211</v>
      </c>
      <c r="B242" s="88" t="s">
        <v>195</v>
      </c>
      <c r="C242" s="87">
        <v>159</v>
      </c>
      <c r="D242" s="87">
        <v>318</v>
      </c>
      <c r="E242" s="87">
        <v>279</v>
      </c>
      <c r="F242" s="87">
        <v>290</v>
      </c>
      <c r="G242" s="87">
        <v>258</v>
      </c>
      <c r="H242" s="87">
        <v>264</v>
      </c>
      <c r="I242" s="87">
        <v>223</v>
      </c>
      <c r="J242" s="87">
        <v>75</v>
      </c>
      <c r="K242" s="87">
        <v>267</v>
      </c>
    </row>
    <row r="243" spans="1:11" x14ac:dyDescent="0.25">
      <c r="A243" s="87" t="s">
        <v>211</v>
      </c>
      <c r="B243" s="88" t="s">
        <v>196</v>
      </c>
      <c r="C243" s="87">
        <v>156</v>
      </c>
      <c r="D243" s="87">
        <v>189</v>
      </c>
      <c r="E243" s="87">
        <v>246</v>
      </c>
      <c r="F243" s="87">
        <v>429</v>
      </c>
      <c r="G243" s="87">
        <v>282</v>
      </c>
      <c r="H243" s="87">
        <v>356</v>
      </c>
      <c r="I243" s="87">
        <v>99</v>
      </c>
      <c r="J243" s="87">
        <v>73</v>
      </c>
      <c r="K243" s="87">
        <v>265</v>
      </c>
    </row>
    <row r="244" spans="1:11" x14ac:dyDescent="0.25">
      <c r="A244" s="87" t="s">
        <v>211</v>
      </c>
      <c r="B244" s="88" t="s">
        <v>197</v>
      </c>
      <c r="C244" s="87">
        <v>102</v>
      </c>
      <c r="D244" s="87">
        <v>199</v>
      </c>
      <c r="E244" s="87">
        <v>250</v>
      </c>
      <c r="F244" s="87">
        <v>296</v>
      </c>
      <c r="G244" s="87">
        <v>341</v>
      </c>
      <c r="H244" s="87">
        <v>390</v>
      </c>
      <c r="I244" s="87">
        <v>60</v>
      </c>
      <c r="J244" s="87">
        <v>84</v>
      </c>
      <c r="K244" s="87">
        <v>206</v>
      </c>
    </row>
    <row r="245" spans="1:11" x14ac:dyDescent="0.25">
      <c r="A245" s="87" t="s">
        <v>211</v>
      </c>
      <c r="B245" s="88" t="s">
        <v>198</v>
      </c>
      <c r="C245" s="87">
        <v>98</v>
      </c>
      <c r="D245" s="87">
        <v>193</v>
      </c>
      <c r="E245" s="87">
        <v>274</v>
      </c>
      <c r="F245" s="87">
        <v>338</v>
      </c>
      <c r="G245" s="87">
        <v>366</v>
      </c>
      <c r="H245" s="87">
        <v>242</v>
      </c>
      <c r="I245" s="87">
        <v>56</v>
      </c>
      <c r="J245" s="87">
        <v>99</v>
      </c>
      <c r="K245" s="87">
        <v>275</v>
      </c>
    </row>
    <row r="246" spans="1:11" x14ac:dyDescent="0.25">
      <c r="A246" s="87" t="s">
        <v>211</v>
      </c>
      <c r="B246" s="88" t="s">
        <v>199</v>
      </c>
      <c r="C246" s="87">
        <v>88</v>
      </c>
      <c r="D246" s="87">
        <v>184</v>
      </c>
      <c r="E246" s="87">
        <v>300</v>
      </c>
      <c r="F246" s="87">
        <v>386</v>
      </c>
      <c r="G246" s="87">
        <v>250</v>
      </c>
      <c r="H246" s="87">
        <v>223</v>
      </c>
      <c r="I246" s="87">
        <v>67</v>
      </c>
      <c r="J246" s="87">
        <v>99</v>
      </c>
      <c r="K246" s="87">
        <v>283</v>
      </c>
    </row>
    <row r="247" spans="1:11" x14ac:dyDescent="0.25">
      <c r="A247" s="87" t="s">
        <v>211</v>
      </c>
      <c r="B247" s="88" t="s">
        <v>200</v>
      </c>
      <c r="C247" s="87">
        <v>89</v>
      </c>
      <c r="D247" s="87">
        <v>185</v>
      </c>
      <c r="E247" s="87">
        <v>316</v>
      </c>
      <c r="F247" s="87">
        <v>270</v>
      </c>
      <c r="G247" s="87">
        <v>327</v>
      </c>
      <c r="H247" s="87">
        <v>215</v>
      </c>
      <c r="I247" s="87">
        <v>82</v>
      </c>
      <c r="J247" s="87">
        <v>152</v>
      </c>
      <c r="K247" s="87">
        <v>250</v>
      </c>
    </row>
    <row r="248" spans="1:11" x14ac:dyDescent="0.25">
      <c r="A248" s="87" t="s">
        <v>211</v>
      </c>
      <c r="B248" s="88" t="s">
        <v>201</v>
      </c>
      <c r="C248" s="87">
        <v>113</v>
      </c>
      <c r="D248" s="87">
        <v>218</v>
      </c>
      <c r="E248" s="87">
        <v>256</v>
      </c>
      <c r="F248" s="87">
        <v>294</v>
      </c>
      <c r="G248" s="87">
        <v>306</v>
      </c>
      <c r="H248" s="87">
        <v>201</v>
      </c>
      <c r="I248" s="87">
        <v>145</v>
      </c>
      <c r="J248" s="87">
        <v>163</v>
      </c>
      <c r="K248" s="87">
        <v>250</v>
      </c>
    </row>
    <row r="249" spans="1:11" x14ac:dyDescent="0.25">
      <c r="A249" s="87" t="s">
        <v>211</v>
      </c>
      <c r="B249" s="88" t="s">
        <v>202</v>
      </c>
      <c r="C249" s="87">
        <v>144</v>
      </c>
      <c r="D249" s="87">
        <v>200</v>
      </c>
      <c r="E249" s="87">
        <v>207</v>
      </c>
      <c r="F249" s="87">
        <v>289</v>
      </c>
      <c r="G249" s="87">
        <v>307</v>
      </c>
      <c r="H249" s="87">
        <v>194</v>
      </c>
      <c r="I249" s="87">
        <v>185</v>
      </c>
      <c r="J249" s="87">
        <v>119</v>
      </c>
      <c r="K249" s="87">
        <v>252</v>
      </c>
    </row>
    <row r="250" spans="1:11" x14ac:dyDescent="0.25">
      <c r="A250" s="87" t="s">
        <v>211</v>
      </c>
      <c r="B250" s="88" t="s">
        <v>203</v>
      </c>
      <c r="C250" s="87">
        <v>163</v>
      </c>
      <c r="D250" s="87">
        <v>141</v>
      </c>
      <c r="E250" s="87">
        <v>220</v>
      </c>
      <c r="F250" s="87">
        <v>325</v>
      </c>
      <c r="G250" s="87">
        <v>256</v>
      </c>
      <c r="H250" s="87">
        <v>211</v>
      </c>
      <c r="I250" s="87">
        <v>68</v>
      </c>
      <c r="J250" s="87">
        <v>86</v>
      </c>
      <c r="K250" s="87">
        <v>260</v>
      </c>
    </row>
    <row r="251" spans="1:11" x14ac:dyDescent="0.25">
      <c r="A251" s="87" t="s">
        <v>211</v>
      </c>
      <c r="B251" s="88" t="s">
        <v>204</v>
      </c>
      <c r="C251" s="87">
        <v>156</v>
      </c>
      <c r="D251" s="87">
        <v>125</v>
      </c>
      <c r="E251" s="87">
        <v>218</v>
      </c>
      <c r="F251" s="87">
        <v>286</v>
      </c>
      <c r="G251" s="87">
        <v>349</v>
      </c>
      <c r="H251" s="87">
        <v>206</v>
      </c>
      <c r="I251" s="87">
        <v>56</v>
      </c>
      <c r="J251" s="87">
        <v>83</v>
      </c>
      <c r="K251" s="87">
        <v>242</v>
      </c>
    </row>
    <row r="252" spans="1:11" x14ac:dyDescent="0.25">
      <c r="A252" s="87" t="s">
        <v>212</v>
      </c>
      <c r="B252" s="88" t="s">
        <v>174</v>
      </c>
      <c r="C252" s="87">
        <v>68</v>
      </c>
      <c r="D252" s="87">
        <v>120</v>
      </c>
      <c r="E252" s="87">
        <v>248</v>
      </c>
      <c r="F252" s="87">
        <v>374</v>
      </c>
      <c r="G252" s="87">
        <v>419</v>
      </c>
      <c r="H252" s="87">
        <v>195</v>
      </c>
      <c r="I252" s="87">
        <v>45</v>
      </c>
      <c r="J252" s="87">
        <v>99</v>
      </c>
      <c r="K252" s="87">
        <v>299</v>
      </c>
    </row>
    <row r="253" spans="1:11" x14ac:dyDescent="0.25">
      <c r="A253" s="87" t="s">
        <v>212</v>
      </c>
      <c r="B253" s="88" t="s">
        <v>175</v>
      </c>
      <c r="C253" s="87">
        <v>63</v>
      </c>
      <c r="D253" s="87">
        <v>152</v>
      </c>
      <c r="E253" s="87">
        <v>313</v>
      </c>
      <c r="F253" s="87">
        <v>439</v>
      </c>
      <c r="G253" s="87">
        <v>375</v>
      </c>
      <c r="H253" s="87">
        <v>151</v>
      </c>
      <c r="I253" s="87">
        <v>53</v>
      </c>
      <c r="J253" s="87">
        <v>129</v>
      </c>
      <c r="K253" s="87">
        <v>318</v>
      </c>
    </row>
    <row r="254" spans="1:11" x14ac:dyDescent="0.25">
      <c r="A254" s="87" t="s">
        <v>212</v>
      </c>
      <c r="B254" s="88" t="s">
        <v>176</v>
      </c>
      <c r="C254" s="87">
        <v>74</v>
      </c>
      <c r="D254" s="87">
        <v>145</v>
      </c>
      <c r="E254" s="87">
        <v>390</v>
      </c>
      <c r="F254" s="87">
        <v>401</v>
      </c>
      <c r="G254" s="87">
        <v>90</v>
      </c>
      <c r="H254" s="87">
        <v>121</v>
      </c>
      <c r="I254" s="87">
        <v>69</v>
      </c>
      <c r="J254" s="87">
        <v>246</v>
      </c>
      <c r="K254" s="87">
        <v>305</v>
      </c>
    </row>
    <row r="255" spans="1:11" x14ac:dyDescent="0.25">
      <c r="A255" s="87" t="s">
        <v>212</v>
      </c>
      <c r="B255" s="88" t="s">
        <v>177</v>
      </c>
      <c r="C255" s="87">
        <v>89</v>
      </c>
      <c r="D255" s="87">
        <v>220</v>
      </c>
      <c r="E255" s="87">
        <v>365</v>
      </c>
      <c r="F255" s="87">
        <v>138</v>
      </c>
      <c r="G255" s="87">
        <v>93</v>
      </c>
      <c r="H255" s="87">
        <v>95</v>
      </c>
      <c r="I255" s="87">
        <v>177</v>
      </c>
      <c r="J255" s="87">
        <v>325</v>
      </c>
      <c r="K255" s="87">
        <v>137</v>
      </c>
    </row>
    <row r="256" spans="1:11" x14ac:dyDescent="0.25">
      <c r="A256" s="87" t="s">
        <v>212</v>
      </c>
      <c r="B256" s="88" t="s">
        <v>178</v>
      </c>
      <c r="C256" s="87">
        <v>114</v>
      </c>
      <c r="D256" s="87">
        <v>327</v>
      </c>
      <c r="E256" s="87">
        <v>172</v>
      </c>
      <c r="F256" s="87">
        <v>114</v>
      </c>
      <c r="G256" s="87">
        <v>145</v>
      </c>
      <c r="H256" s="87">
        <v>104</v>
      </c>
      <c r="I256" s="87">
        <v>244</v>
      </c>
      <c r="J256" s="87">
        <v>314</v>
      </c>
      <c r="K256" s="87">
        <v>140</v>
      </c>
    </row>
    <row r="257" spans="1:11" x14ac:dyDescent="0.25">
      <c r="A257" s="87" t="s">
        <v>212</v>
      </c>
      <c r="B257" s="88" t="s">
        <v>179</v>
      </c>
      <c r="C257" s="87">
        <v>123</v>
      </c>
      <c r="D257" s="87">
        <v>287</v>
      </c>
      <c r="E257" s="87">
        <v>152</v>
      </c>
      <c r="F257" s="87">
        <v>216</v>
      </c>
      <c r="G257" s="87">
        <v>182</v>
      </c>
      <c r="H257" s="87">
        <v>196</v>
      </c>
      <c r="I257" s="87">
        <v>235</v>
      </c>
      <c r="J257" s="87">
        <v>124</v>
      </c>
      <c r="K257" s="87">
        <v>216</v>
      </c>
    </row>
    <row r="258" spans="1:11" x14ac:dyDescent="0.25">
      <c r="A258" s="87" t="s">
        <v>212</v>
      </c>
      <c r="B258" s="88" t="s">
        <v>180</v>
      </c>
      <c r="C258" s="87">
        <v>100</v>
      </c>
      <c r="D258" s="87">
        <v>90</v>
      </c>
      <c r="E258" s="87">
        <v>165</v>
      </c>
      <c r="F258" s="87">
        <v>233</v>
      </c>
      <c r="G258" s="87">
        <v>228</v>
      </c>
      <c r="H258" s="87">
        <v>243</v>
      </c>
      <c r="I258" s="87">
        <v>59</v>
      </c>
      <c r="J258" s="87">
        <v>78</v>
      </c>
      <c r="K258" s="87">
        <v>107</v>
      </c>
    </row>
    <row r="259" spans="1:11" x14ac:dyDescent="0.25">
      <c r="A259" s="87" t="s">
        <v>212</v>
      </c>
      <c r="B259" s="88" t="s">
        <v>181</v>
      </c>
      <c r="C259" s="87">
        <v>165</v>
      </c>
      <c r="D259" s="87">
        <v>81</v>
      </c>
      <c r="E259" s="87">
        <v>183</v>
      </c>
      <c r="F259" s="87">
        <v>204</v>
      </c>
      <c r="G259" s="87">
        <v>301</v>
      </c>
      <c r="H259" s="87">
        <v>153</v>
      </c>
      <c r="I259" s="87">
        <v>65</v>
      </c>
      <c r="J259" s="87">
        <v>76</v>
      </c>
      <c r="K259" s="87">
        <v>245</v>
      </c>
    </row>
    <row r="260" spans="1:11" x14ac:dyDescent="0.25">
      <c r="A260" s="87" t="s">
        <v>212</v>
      </c>
      <c r="B260" s="88" t="s">
        <v>182</v>
      </c>
      <c r="C260" s="87">
        <v>161</v>
      </c>
      <c r="D260" s="87">
        <v>98</v>
      </c>
      <c r="E260" s="87">
        <v>204</v>
      </c>
      <c r="F260" s="87">
        <v>202</v>
      </c>
      <c r="G260" s="87">
        <v>164</v>
      </c>
      <c r="H260" s="87">
        <v>192</v>
      </c>
      <c r="I260" s="87">
        <v>77</v>
      </c>
      <c r="J260" s="87">
        <v>94</v>
      </c>
      <c r="K260" s="87">
        <v>241</v>
      </c>
    </row>
    <row r="261" spans="1:11" x14ac:dyDescent="0.25">
      <c r="A261" s="87" t="s">
        <v>212</v>
      </c>
      <c r="B261" s="88" t="s">
        <v>183</v>
      </c>
      <c r="C261" s="87">
        <v>99</v>
      </c>
      <c r="D261" s="87">
        <v>128</v>
      </c>
      <c r="E261" s="87">
        <v>211</v>
      </c>
      <c r="F261" s="87">
        <v>197</v>
      </c>
      <c r="G261" s="87">
        <v>220</v>
      </c>
      <c r="H261" s="87">
        <v>378</v>
      </c>
      <c r="I261" s="87">
        <v>90</v>
      </c>
      <c r="J261" s="87">
        <v>141</v>
      </c>
      <c r="K261" s="87">
        <v>212</v>
      </c>
    </row>
    <row r="262" spans="1:11" x14ac:dyDescent="0.25">
      <c r="A262" s="87" t="s">
        <v>212</v>
      </c>
      <c r="B262" s="88" t="s">
        <v>184</v>
      </c>
      <c r="C262" s="87">
        <v>70</v>
      </c>
      <c r="D262" s="87">
        <v>213</v>
      </c>
      <c r="E262" s="87">
        <v>215</v>
      </c>
      <c r="F262" s="87">
        <v>176</v>
      </c>
      <c r="G262" s="87">
        <v>250</v>
      </c>
      <c r="H262" s="87">
        <v>360</v>
      </c>
      <c r="I262" s="87">
        <v>165</v>
      </c>
      <c r="J262" s="87">
        <v>148</v>
      </c>
      <c r="K262" s="87">
        <v>386</v>
      </c>
    </row>
    <row r="263" spans="1:11" x14ac:dyDescent="0.25">
      <c r="A263" s="87" t="s">
        <v>212</v>
      </c>
      <c r="B263" s="88" t="s">
        <v>185</v>
      </c>
      <c r="C263" s="87">
        <v>118</v>
      </c>
      <c r="D263" s="87">
        <v>287</v>
      </c>
      <c r="E263" s="87">
        <v>277</v>
      </c>
      <c r="F263" s="87">
        <v>103</v>
      </c>
      <c r="G263" s="87">
        <v>394</v>
      </c>
      <c r="H263" s="87">
        <v>334</v>
      </c>
      <c r="I263" s="87">
        <v>199</v>
      </c>
      <c r="J263" s="87">
        <v>84</v>
      </c>
      <c r="K263" s="87">
        <v>324</v>
      </c>
    </row>
    <row r="264" spans="1:11" x14ac:dyDescent="0.25">
      <c r="A264" s="87" t="s">
        <v>212</v>
      </c>
      <c r="B264" s="88" t="s">
        <v>186</v>
      </c>
      <c r="C264" s="87">
        <v>153</v>
      </c>
      <c r="D264" s="87">
        <v>235</v>
      </c>
      <c r="E264" s="87">
        <v>298</v>
      </c>
      <c r="F264" s="87">
        <v>90</v>
      </c>
      <c r="G264" s="87">
        <v>396</v>
      </c>
      <c r="H264" s="87">
        <v>195</v>
      </c>
      <c r="I264" s="87">
        <v>64</v>
      </c>
      <c r="J264" s="87">
        <v>92</v>
      </c>
      <c r="K264" s="87">
        <v>337</v>
      </c>
    </row>
    <row r="265" spans="1:11" x14ac:dyDescent="0.25">
      <c r="A265" s="87" t="s">
        <v>212</v>
      </c>
      <c r="B265" s="88" t="s">
        <v>187</v>
      </c>
      <c r="C265" s="87">
        <v>153</v>
      </c>
      <c r="D265" s="87">
        <v>238</v>
      </c>
      <c r="E265" s="87">
        <v>300</v>
      </c>
      <c r="F265" s="87">
        <v>159</v>
      </c>
      <c r="G265" s="87">
        <v>250</v>
      </c>
      <c r="H265" s="87">
        <v>227</v>
      </c>
      <c r="I265" s="87">
        <v>40</v>
      </c>
      <c r="J265" s="87">
        <v>126</v>
      </c>
      <c r="K265" s="87">
        <v>147</v>
      </c>
    </row>
    <row r="266" spans="1:11" x14ac:dyDescent="0.25">
      <c r="A266" s="87" t="s">
        <v>212</v>
      </c>
      <c r="B266" s="88" t="s">
        <v>188</v>
      </c>
      <c r="C266" s="87">
        <v>206</v>
      </c>
      <c r="D266" s="87">
        <v>205</v>
      </c>
      <c r="E266" s="87">
        <v>256</v>
      </c>
      <c r="F266" s="87">
        <v>329</v>
      </c>
      <c r="G266" s="87">
        <v>285</v>
      </c>
      <c r="H266" s="87">
        <v>280</v>
      </c>
      <c r="I266" s="87">
        <v>41</v>
      </c>
      <c r="J266" s="87">
        <v>175</v>
      </c>
      <c r="K266" s="87">
        <v>170</v>
      </c>
    </row>
    <row r="267" spans="1:11" x14ac:dyDescent="0.25">
      <c r="A267" s="87" t="s">
        <v>212</v>
      </c>
      <c r="B267" s="88" t="s">
        <v>189</v>
      </c>
      <c r="C267" s="87">
        <v>190</v>
      </c>
      <c r="D267" s="87">
        <v>177</v>
      </c>
      <c r="E267" s="87">
        <v>251</v>
      </c>
      <c r="F267" s="87">
        <v>285</v>
      </c>
      <c r="G267" s="87">
        <v>155</v>
      </c>
      <c r="H267" s="87">
        <v>385</v>
      </c>
      <c r="I267" s="87">
        <v>36</v>
      </c>
      <c r="J267" s="87">
        <v>165</v>
      </c>
      <c r="K267" s="87">
        <v>178</v>
      </c>
    </row>
    <row r="268" spans="1:11" x14ac:dyDescent="0.25">
      <c r="A268" s="87" t="s">
        <v>212</v>
      </c>
      <c r="B268" s="88" t="s">
        <v>190</v>
      </c>
      <c r="C268" s="87">
        <v>192</v>
      </c>
      <c r="D268" s="87">
        <v>223</v>
      </c>
      <c r="E268" s="87">
        <v>295</v>
      </c>
      <c r="F268" s="87">
        <v>256</v>
      </c>
      <c r="G268" s="87">
        <v>153</v>
      </c>
      <c r="H268" s="87">
        <v>382</v>
      </c>
      <c r="I268" s="87">
        <v>57</v>
      </c>
      <c r="J268" s="87">
        <v>235</v>
      </c>
      <c r="K268" s="87">
        <v>225</v>
      </c>
    </row>
    <row r="269" spans="1:11" x14ac:dyDescent="0.25">
      <c r="A269" s="87" t="s">
        <v>212</v>
      </c>
      <c r="B269" s="88" t="s">
        <v>191</v>
      </c>
      <c r="C269" s="87">
        <v>109</v>
      </c>
      <c r="D269" s="87">
        <v>236</v>
      </c>
      <c r="E269" s="87">
        <v>199</v>
      </c>
      <c r="F269" s="87">
        <v>274</v>
      </c>
      <c r="G269" s="87">
        <v>147</v>
      </c>
      <c r="H269" s="87">
        <v>391</v>
      </c>
      <c r="I269" s="87">
        <v>157</v>
      </c>
      <c r="J269" s="87">
        <v>247</v>
      </c>
      <c r="K269" s="87">
        <v>230</v>
      </c>
    </row>
    <row r="270" spans="1:11" x14ac:dyDescent="0.25">
      <c r="A270" s="87" t="s">
        <v>212</v>
      </c>
      <c r="B270" s="88" t="s">
        <v>192</v>
      </c>
      <c r="C270" s="87">
        <v>146</v>
      </c>
      <c r="D270" s="87">
        <v>374</v>
      </c>
      <c r="E270" s="87">
        <v>266</v>
      </c>
      <c r="F270" s="87">
        <v>287</v>
      </c>
      <c r="G270" s="87">
        <v>170</v>
      </c>
      <c r="H270" s="87">
        <v>118</v>
      </c>
      <c r="I270" s="87">
        <v>196</v>
      </c>
      <c r="J270" s="87">
        <v>131</v>
      </c>
      <c r="K270" s="87">
        <v>240</v>
      </c>
    </row>
    <row r="271" spans="1:11" x14ac:dyDescent="0.25">
      <c r="A271" s="87" t="s">
        <v>212</v>
      </c>
      <c r="B271" s="88" t="s">
        <v>193</v>
      </c>
      <c r="C271" s="87">
        <v>157</v>
      </c>
      <c r="D271" s="87">
        <v>287</v>
      </c>
      <c r="E271" s="87">
        <v>266</v>
      </c>
      <c r="F271" s="87">
        <v>372</v>
      </c>
      <c r="G271" s="87">
        <v>191</v>
      </c>
      <c r="H271" s="87">
        <v>231</v>
      </c>
      <c r="I271" s="87">
        <v>69</v>
      </c>
      <c r="J271" s="87">
        <v>154</v>
      </c>
      <c r="K271" s="87">
        <v>147</v>
      </c>
    </row>
    <row r="272" spans="1:11" x14ac:dyDescent="0.25">
      <c r="A272" s="87" t="s">
        <v>212</v>
      </c>
      <c r="B272" s="88" t="s">
        <v>194</v>
      </c>
      <c r="C272" s="87">
        <v>208</v>
      </c>
      <c r="D272" s="87">
        <v>283</v>
      </c>
      <c r="E272" s="87">
        <v>291</v>
      </c>
      <c r="F272" s="87">
        <v>360</v>
      </c>
      <c r="G272" s="87">
        <v>261</v>
      </c>
      <c r="H272" s="87">
        <v>275</v>
      </c>
      <c r="I272" s="87">
        <v>69</v>
      </c>
      <c r="J272" s="87">
        <v>258</v>
      </c>
      <c r="K272" s="87">
        <v>168</v>
      </c>
    </row>
    <row r="273" spans="1:11" x14ac:dyDescent="0.25">
      <c r="A273" s="87" t="s">
        <v>212</v>
      </c>
      <c r="B273" s="88" t="s">
        <v>195</v>
      </c>
      <c r="C273" s="87">
        <v>200</v>
      </c>
      <c r="D273" s="87">
        <v>244</v>
      </c>
      <c r="E273" s="87">
        <v>202</v>
      </c>
      <c r="F273" s="87">
        <v>356</v>
      </c>
      <c r="G273" s="87">
        <v>306</v>
      </c>
      <c r="H273" s="87">
        <v>174</v>
      </c>
      <c r="I273" s="87">
        <v>65</v>
      </c>
      <c r="J273" s="87">
        <v>270</v>
      </c>
      <c r="K273" s="87">
        <v>260</v>
      </c>
    </row>
    <row r="274" spans="1:11" x14ac:dyDescent="0.25">
      <c r="A274" s="87" t="s">
        <v>212</v>
      </c>
      <c r="B274" s="88" t="s">
        <v>196</v>
      </c>
      <c r="C274" s="87">
        <v>204</v>
      </c>
      <c r="D274" s="87">
        <v>263</v>
      </c>
      <c r="E274" s="87">
        <v>243</v>
      </c>
      <c r="F274" s="87">
        <v>369</v>
      </c>
      <c r="G274" s="87">
        <v>290</v>
      </c>
      <c r="H274" s="87">
        <v>171</v>
      </c>
      <c r="I274" s="87">
        <v>79</v>
      </c>
      <c r="J274" s="87">
        <v>229</v>
      </c>
      <c r="K274" s="87">
        <v>278</v>
      </c>
    </row>
    <row r="275" spans="1:11" x14ac:dyDescent="0.25">
      <c r="A275" s="87" t="s">
        <v>212</v>
      </c>
      <c r="B275" s="88" t="s">
        <v>197</v>
      </c>
      <c r="C275" s="87">
        <v>105</v>
      </c>
      <c r="D275" s="87">
        <v>338</v>
      </c>
      <c r="E275" s="87">
        <v>375</v>
      </c>
      <c r="F275" s="87">
        <v>306</v>
      </c>
      <c r="G275" s="87">
        <v>347</v>
      </c>
      <c r="H275" s="87">
        <v>232</v>
      </c>
      <c r="I275" s="87">
        <v>142</v>
      </c>
      <c r="J275" s="87">
        <v>225</v>
      </c>
      <c r="K275" s="87">
        <v>401</v>
      </c>
    </row>
    <row r="276" spans="1:11" x14ac:dyDescent="0.25">
      <c r="A276" s="87" t="s">
        <v>212</v>
      </c>
      <c r="B276" s="88" t="s">
        <v>198</v>
      </c>
      <c r="C276" s="87">
        <v>151</v>
      </c>
      <c r="D276" s="87">
        <v>293</v>
      </c>
      <c r="E276" s="87">
        <v>341</v>
      </c>
      <c r="F276" s="87">
        <v>331</v>
      </c>
      <c r="G276" s="87">
        <v>381</v>
      </c>
      <c r="H276" s="87">
        <v>318</v>
      </c>
      <c r="I276" s="87">
        <v>226</v>
      </c>
      <c r="J276" s="87">
        <v>246</v>
      </c>
      <c r="K276" s="87">
        <v>382</v>
      </c>
    </row>
    <row r="277" spans="1:11" x14ac:dyDescent="0.25">
      <c r="A277" s="87" t="s">
        <v>212</v>
      </c>
      <c r="B277" s="88" t="s">
        <v>199</v>
      </c>
      <c r="C277" s="87">
        <v>178</v>
      </c>
      <c r="D277" s="87">
        <v>326</v>
      </c>
      <c r="E277" s="87">
        <v>364</v>
      </c>
      <c r="F277" s="87">
        <v>321</v>
      </c>
      <c r="G277" s="87">
        <v>354</v>
      </c>
      <c r="H277" s="87">
        <v>379</v>
      </c>
      <c r="I277" s="87">
        <v>239</v>
      </c>
      <c r="J277" s="87">
        <v>128</v>
      </c>
      <c r="K277" s="87">
        <v>373</v>
      </c>
    </row>
    <row r="278" spans="1:11" x14ac:dyDescent="0.25">
      <c r="A278" s="87" t="s">
        <v>212</v>
      </c>
      <c r="B278" s="88" t="s">
        <v>200</v>
      </c>
      <c r="C278" s="87">
        <v>182</v>
      </c>
      <c r="D278" s="87">
        <v>305</v>
      </c>
      <c r="E278" s="87">
        <v>345</v>
      </c>
      <c r="F278" s="87">
        <v>237</v>
      </c>
      <c r="G278" s="87">
        <v>332</v>
      </c>
      <c r="H278" s="87">
        <v>414</v>
      </c>
      <c r="I278" s="87">
        <v>136</v>
      </c>
      <c r="J278" s="87">
        <v>100</v>
      </c>
      <c r="K278" s="87">
        <v>407</v>
      </c>
    </row>
    <row r="279" spans="1:11" x14ac:dyDescent="0.25">
      <c r="A279" s="87" t="s">
        <v>212</v>
      </c>
      <c r="B279" s="88" t="s">
        <v>201</v>
      </c>
      <c r="C279" s="87">
        <v>140</v>
      </c>
      <c r="D279" s="87">
        <v>410</v>
      </c>
      <c r="E279" s="87">
        <v>379</v>
      </c>
      <c r="F279" s="87">
        <v>237</v>
      </c>
      <c r="G279" s="87">
        <v>395</v>
      </c>
      <c r="H279" s="87">
        <v>427</v>
      </c>
      <c r="I279" s="87">
        <v>93</v>
      </c>
      <c r="J279" s="87">
        <v>85</v>
      </c>
      <c r="K279" s="87">
        <v>148</v>
      </c>
    </row>
    <row r="280" spans="1:11" x14ac:dyDescent="0.25">
      <c r="A280" s="87" t="s">
        <v>212</v>
      </c>
      <c r="B280" s="88" t="s">
        <v>202</v>
      </c>
      <c r="C280" s="87">
        <v>164</v>
      </c>
      <c r="D280" s="87">
        <v>404</v>
      </c>
      <c r="E280" s="87">
        <v>371</v>
      </c>
      <c r="F280" s="87">
        <v>312</v>
      </c>
      <c r="G280" s="87">
        <v>364</v>
      </c>
      <c r="H280" s="87">
        <v>425</v>
      </c>
      <c r="I280" s="87">
        <v>67</v>
      </c>
      <c r="J280" s="87">
        <v>84</v>
      </c>
      <c r="K280" s="87">
        <v>235</v>
      </c>
    </row>
    <row r="281" spans="1:11" x14ac:dyDescent="0.25">
      <c r="A281" s="87" t="s">
        <v>212</v>
      </c>
      <c r="B281" s="88" t="s">
        <v>203</v>
      </c>
      <c r="C281" s="87">
        <v>178</v>
      </c>
      <c r="D281" s="87">
        <v>404</v>
      </c>
      <c r="E281" s="87">
        <v>289</v>
      </c>
      <c r="F281" s="87">
        <v>374</v>
      </c>
      <c r="G281" s="87">
        <v>227</v>
      </c>
      <c r="H281" s="87">
        <v>283</v>
      </c>
      <c r="I281" s="87">
        <v>68</v>
      </c>
      <c r="J281" s="87">
        <v>174</v>
      </c>
      <c r="K281" s="87">
        <v>259</v>
      </c>
    </row>
    <row r="282" spans="1:11" x14ac:dyDescent="0.25">
      <c r="A282" s="87" t="s">
        <v>213</v>
      </c>
      <c r="B282" s="88" t="s">
        <v>174</v>
      </c>
      <c r="C282" s="87">
        <v>175</v>
      </c>
      <c r="D282" s="87">
        <v>316</v>
      </c>
      <c r="E282" s="87">
        <v>367</v>
      </c>
      <c r="F282" s="87">
        <v>221</v>
      </c>
      <c r="G282" s="87">
        <v>351</v>
      </c>
      <c r="H282" s="87">
        <v>245</v>
      </c>
      <c r="I282" s="87">
        <v>74</v>
      </c>
      <c r="J282" s="87">
        <v>240</v>
      </c>
      <c r="K282" s="87">
        <v>381</v>
      </c>
    </row>
    <row r="283" spans="1:11" x14ac:dyDescent="0.25">
      <c r="A283" s="87" t="s">
        <v>213</v>
      </c>
      <c r="B283" s="88" t="s">
        <v>175</v>
      </c>
      <c r="C283" s="87">
        <v>227</v>
      </c>
      <c r="D283" s="87">
        <v>310</v>
      </c>
      <c r="E283" s="87">
        <v>232</v>
      </c>
      <c r="F283" s="87">
        <v>371</v>
      </c>
      <c r="G283" s="87">
        <v>367</v>
      </c>
      <c r="H283" s="87">
        <v>276</v>
      </c>
      <c r="I283" s="87">
        <v>122</v>
      </c>
      <c r="J283" s="87">
        <v>232</v>
      </c>
      <c r="K283" s="87">
        <v>373</v>
      </c>
    </row>
    <row r="284" spans="1:11" x14ac:dyDescent="0.25">
      <c r="A284" s="87" t="s">
        <v>213</v>
      </c>
      <c r="B284" s="88" t="s">
        <v>176</v>
      </c>
      <c r="C284" s="87">
        <v>281</v>
      </c>
      <c r="D284" s="87">
        <v>389</v>
      </c>
      <c r="E284" s="87">
        <v>122</v>
      </c>
      <c r="F284" s="87">
        <v>382</v>
      </c>
      <c r="G284" s="87">
        <v>386</v>
      </c>
      <c r="H284" s="87">
        <v>271</v>
      </c>
      <c r="I284" s="87">
        <v>131</v>
      </c>
      <c r="J284" s="87">
        <v>109</v>
      </c>
      <c r="K284" s="87">
        <v>375</v>
      </c>
    </row>
    <row r="285" spans="1:11" x14ac:dyDescent="0.25">
      <c r="A285" s="87" t="s">
        <v>213</v>
      </c>
      <c r="B285" s="88" t="s">
        <v>177</v>
      </c>
      <c r="C285" s="87">
        <v>300</v>
      </c>
      <c r="D285" s="87">
        <v>244</v>
      </c>
      <c r="E285" s="87">
        <v>85</v>
      </c>
      <c r="F285" s="87">
        <v>199</v>
      </c>
      <c r="G285" s="87">
        <v>389</v>
      </c>
      <c r="H285" s="87">
        <v>343</v>
      </c>
      <c r="I285" s="87">
        <v>65</v>
      </c>
      <c r="J285" s="87">
        <v>91</v>
      </c>
      <c r="K285" s="87">
        <v>254</v>
      </c>
    </row>
    <row r="286" spans="1:11" x14ac:dyDescent="0.25">
      <c r="A286" s="87" t="s">
        <v>213</v>
      </c>
      <c r="B286" s="88" t="s">
        <v>178</v>
      </c>
      <c r="C286" s="87">
        <v>188</v>
      </c>
      <c r="D286" s="87">
        <v>390</v>
      </c>
      <c r="E286" s="87">
        <v>170</v>
      </c>
      <c r="F286" s="87">
        <v>249</v>
      </c>
      <c r="G286" s="87">
        <v>329</v>
      </c>
      <c r="H286" s="87">
        <v>315</v>
      </c>
      <c r="I286" s="87">
        <v>70</v>
      </c>
      <c r="J286" s="87">
        <v>97</v>
      </c>
      <c r="K286" s="87">
        <v>293</v>
      </c>
    </row>
    <row r="287" spans="1:11" x14ac:dyDescent="0.25">
      <c r="A287" s="87" t="s">
        <v>213</v>
      </c>
      <c r="B287" s="88" t="s">
        <v>179</v>
      </c>
      <c r="C287" s="87">
        <v>201</v>
      </c>
      <c r="D287" s="87">
        <v>354</v>
      </c>
      <c r="E287" s="87">
        <v>223</v>
      </c>
      <c r="F287" s="87">
        <v>393</v>
      </c>
      <c r="G287" s="87">
        <v>385</v>
      </c>
      <c r="H287" s="87">
        <v>180</v>
      </c>
      <c r="I287" s="87">
        <v>67</v>
      </c>
      <c r="J287" s="87">
        <v>131</v>
      </c>
      <c r="K287" s="87">
        <v>358</v>
      </c>
    </row>
    <row r="288" spans="1:11" x14ac:dyDescent="0.25">
      <c r="A288" s="87" t="s">
        <v>213</v>
      </c>
      <c r="B288" s="88" t="s">
        <v>180</v>
      </c>
      <c r="C288" s="87">
        <v>217</v>
      </c>
      <c r="D288" s="87">
        <v>345</v>
      </c>
      <c r="E288" s="87">
        <v>232</v>
      </c>
      <c r="F288" s="87">
        <v>418</v>
      </c>
      <c r="G288" s="87">
        <v>302</v>
      </c>
      <c r="H288" s="87">
        <v>151</v>
      </c>
      <c r="I288" s="87">
        <v>81</v>
      </c>
      <c r="J288" s="87">
        <v>220</v>
      </c>
      <c r="K288" s="87">
        <v>396</v>
      </c>
    </row>
    <row r="289" spans="1:11" x14ac:dyDescent="0.25">
      <c r="A289" s="87" t="s">
        <v>213</v>
      </c>
      <c r="B289" s="88" t="s">
        <v>181</v>
      </c>
      <c r="C289" s="87">
        <v>258</v>
      </c>
      <c r="D289" s="87">
        <v>378</v>
      </c>
      <c r="E289" s="87">
        <v>254</v>
      </c>
      <c r="F289" s="87">
        <v>365</v>
      </c>
      <c r="G289" s="87">
        <v>204</v>
      </c>
      <c r="H289" s="87">
        <v>216</v>
      </c>
      <c r="I289" s="87">
        <v>125</v>
      </c>
      <c r="J289" s="87">
        <v>307</v>
      </c>
      <c r="K289" s="87">
        <v>390</v>
      </c>
    </row>
    <row r="290" spans="1:11" x14ac:dyDescent="0.25">
      <c r="A290" s="87" t="s">
        <v>213</v>
      </c>
      <c r="B290" s="88" t="s">
        <v>182</v>
      </c>
      <c r="C290" s="87">
        <v>307</v>
      </c>
      <c r="D290" s="87">
        <v>337</v>
      </c>
      <c r="E290" s="87">
        <v>238</v>
      </c>
      <c r="F290" s="87">
        <v>256</v>
      </c>
      <c r="G290" s="87">
        <v>171</v>
      </c>
      <c r="H290" s="87">
        <v>270</v>
      </c>
      <c r="I290" s="87">
        <v>200</v>
      </c>
      <c r="J290" s="87">
        <v>329</v>
      </c>
      <c r="K290" s="87">
        <v>258</v>
      </c>
    </row>
    <row r="291" spans="1:11" x14ac:dyDescent="0.25">
      <c r="A291" s="87" t="s">
        <v>213</v>
      </c>
      <c r="B291" s="88" t="s">
        <v>183</v>
      </c>
      <c r="C291" s="87">
        <v>294</v>
      </c>
      <c r="D291" s="87">
        <v>376</v>
      </c>
      <c r="E291" s="87">
        <v>255</v>
      </c>
      <c r="F291" s="87">
        <v>235</v>
      </c>
      <c r="G291" s="87">
        <v>223</v>
      </c>
      <c r="H291" s="87">
        <v>348</v>
      </c>
      <c r="I291" s="87">
        <v>205</v>
      </c>
      <c r="J291" s="87">
        <v>254</v>
      </c>
      <c r="K291" s="87">
        <v>325</v>
      </c>
    </row>
    <row r="292" spans="1:11" x14ac:dyDescent="0.25">
      <c r="A292" s="87" t="s">
        <v>213</v>
      </c>
      <c r="B292" s="88" t="s">
        <v>184</v>
      </c>
      <c r="C292" s="87">
        <v>306</v>
      </c>
      <c r="D292" s="87">
        <v>359</v>
      </c>
      <c r="E292" s="87">
        <v>265</v>
      </c>
      <c r="F292" s="87">
        <v>253</v>
      </c>
      <c r="G292" s="87">
        <v>276</v>
      </c>
      <c r="H292" s="87">
        <v>394</v>
      </c>
      <c r="I292" s="87">
        <v>124</v>
      </c>
      <c r="J292" s="87">
        <v>230</v>
      </c>
      <c r="K292" s="87">
        <v>426</v>
      </c>
    </row>
    <row r="293" spans="1:11" x14ac:dyDescent="0.25">
      <c r="A293" s="87" t="s">
        <v>213</v>
      </c>
      <c r="B293" s="88" t="s">
        <v>185</v>
      </c>
      <c r="C293" s="87">
        <v>307</v>
      </c>
      <c r="D293" s="87">
        <v>317</v>
      </c>
      <c r="E293" s="87">
        <v>251</v>
      </c>
      <c r="F293" s="87">
        <v>340</v>
      </c>
      <c r="G293" s="87">
        <v>335</v>
      </c>
      <c r="H293" s="87">
        <v>405</v>
      </c>
      <c r="I293" s="87">
        <v>82</v>
      </c>
      <c r="J293" s="87">
        <v>269</v>
      </c>
      <c r="K293" s="87">
        <v>425</v>
      </c>
    </row>
    <row r="294" spans="1:11" x14ac:dyDescent="0.25">
      <c r="A294" s="87" t="s">
        <v>213</v>
      </c>
      <c r="B294" s="88" t="s">
        <v>186</v>
      </c>
      <c r="C294" s="87">
        <v>220</v>
      </c>
      <c r="D294" s="87">
        <v>333</v>
      </c>
      <c r="E294" s="87">
        <v>307</v>
      </c>
      <c r="F294" s="87">
        <v>405</v>
      </c>
      <c r="G294" s="87">
        <v>352</v>
      </c>
      <c r="H294" s="87">
        <v>354</v>
      </c>
      <c r="I294" s="87">
        <v>51</v>
      </c>
      <c r="J294" s="87">
        <v>314</v>
      </c>
      <c r="K294" s="87">
        <v>274</v>
      </c>
    </row>
    <row r="295" spans="1:11" x14ac:dyDescent="0.25">
      <c r="A295" s="87" t="s">
        <v>213</v>
      </c>
      <c r="B295" s="88" t="s">
        <v>187</v>
      </c>
      <c r="C295" s="87">
        <v>262</v>
      </c>
      <c r="D295" s="87">
        <v>368</v>
      </c>
      <c r="E295" s="87">
        <v>356</v>
      </c>
      <c r="F295" s="87">
        <v>426</v>
      </c>
      <c r="G295" s="87">
        <v>282</v>
      </c>
      <c r="H295" s="87">
        <v>249</v>
      </c>
      <c r="I295" s="87">
        <v>90</v>
      </c>
      <c r="J295" s="87">
        <v>349</v>
      </c>
      <c r="K295" s="87">
        <v>254</v>
      </c>
    </row>
    <row r="296" spans="1:11" x14ac:dyDescent="0.25">
      <c r="A296" s="87" t="s">
        <v>213</v>
      </c>
      <c r="B296" s="88" t="s">
        <v>188</v>
      </c>
      <c r="C296" s="87">
        <v>302</v>
      </c>
      <c r="D296" s="87">
        <v>316</v>
      </c>
      <c r="E296" s="87">
        <v>348</v>
      </c>
      <c r="F296" s="87">
        <v>200</v>
      </c>
      <c r="G296" s="87">
        <v>264</v>
      </c>
      <c r="H296" s="87">
        <v>268</v>
      </c>
      <c r="I296" s="87">
        <v>111</v>
      </c>
      <c r="J296" s="87">
        <v>237</v>
      </c>
      <c r="K296" s="87">
        <v>325</v>
      </c>
    </row>
    <row r="297" spans="1:11" x14ac:dyDescent="0.25">
      <c r="A297" s="87" t="s">
        <v>213</v>
      </c>
      <c r="B297" s="88" t="s">
        <v>189</v>
      </c>
      <c r="C297" s="87">
        <v>340</v>
      </c>
      <c r="D297" s="87">
        <v>334</v>
      </c>
      <c r="E297" s="87">
        <v>262</v>
      </c>
      <c r="F297" s="87">
        <v>149</v>
      </c>
      <c r="G297" s="87">
        <v>277</v>
      </c>
      <c r="H297" s="87">
        <v>404</v>
      </c>
      <c r="I297" s="87">
        <v>149</v>
      </c>
      <c r="J297" s="87">
        <v>263</v>
      </c>
      <c r="K297" s="87">
        <v>326</v>
      </c>
    </row>
    <row r="298" spans="1:11" x14ac:dyDescent="0.25">
      <c r="A298" s="87" t="s">
        <v>213</v>
      </c>
      <c r="B298" s="88" t="s">
        <v>190</v>
      </c>
      <c r="C298" s="87">
        <v>349</v>
      </c>
      <c r="D298" s="87">
        <v>386</v>
      </c>
      <c r="E298" s="87">
        <v>415</v>
      </c>
      <c r="F298" s="87">
        <v>151</v>
      </c>
      <c r="G298" s="87">
        <v>284</v>
      </c>
      <c r="H298" s="87">
        <v>433</v>
      </c>
      <c r="I298" s="87">
        <v>165</v>
      </c>
      <c r="J298" s="87">
        <v>309</v>
      </c>
      <c r="K298" s="87">
        <v>315</v>
      </c>
    </row>
    <row r="299" spans="1:11" x14ac:dyDescent="0.25">
      <c r="A299" s="87" t="s">
        <v>213</v>
      </c>
      <c r="B299" s="88" t="s">
        <v>191</v>
      </c>
      <c r="C299" s="87">
        <v>374</v>
      </c>
      <c r="D299" s="87">
        <v>353</v>
      </c>
      <c r="E299" s="87">
        <v>402</v>
      </c>
      <c r="F299" s="87">
        <v>194</v>
      </c>
      <c r="G299" s="87">
        <v>277</v>
      </c>
      <c r="H299" s="87">
        <v>355</v>
      </c>
      <c r="I299" s="87">
        <v>95</v>
      </c>
      <c r="J299" s="87">
        <v>267</v>
      </c>
      <c r="K299" s="87">
        <v>239</v>
      </c>
    </row>
    <row r="300" spans="1:11" x14ac:dyDescent="0.25">
      <c r="A300" s="87" t="s">
        <v>213</v>
      </c>
      <c r="B300" s="88" t="s">
        <v>192</v>
      </c>
      <c r="C300" s="87">
        <v>184</v>
      </c>
      <c r="D300" s="87">
        <v>329</v>
      </c>
      <c r="E300" s="87">
        <v>296</v>
      </c>
      <c r="F300" s="87">
        <v>274</v>
      </c>
      <c r="G300" s="87">
        <v>344</v>
      </c>
      <c r="H300" s="87">
        <v>430</v>
      </c>
      <c r="I300" s="87">
        <v>70</v>
      </c>
      <c r="J300" s="87">
        <v>277</v>
      </c>
      <c r="K300" s="87">
        <v>278</v>
      </c>
    </row>
    <row r="301" spans="1:11" x14ac:dyDescent="0.25">
      <c r="A301" s="87" t="s">
        <v>213</v>
      </c>
      <c r="B301" s="88" t="s">
        <v>193</v>
      </c>
      <c r="C301" s="87">
        <v>275</v>
      </c>
      <c r="D301" s="87">
        <v>348</v>
      </c>
      <c r="E301" s="87">
        <v>382</v>
      </c>
      <c r="F301" s="87">
        <v>377</v>
      </c>
      <c r="G301" s="87">
        <v>379</v>
      </c>
      <c r="H301" s="87">
        <v>337</v>
      </c>
      <c r="I301" s="87">
        <v>68</v>
      </c>
      <c r="J301" s="87">
        <v>298</v>
      </c>
      <c r="K301" s="87">
        <v>404</v>
      </c>
    </row>
    <row r="302" spans="1:11" x14ac:dyDescent="0.25">
      <c r="A302" s="87" t="s">
        <v>213</v>
      </c>
      <c r="B302" s="88" t="s">
        <v>194</v>
      </c>
      <c r="C302" s="87">
        <v>287</v>
      </c>
      <c r="D302" s="87">
        <v>382</v>
      </c>
      <c r="E302" s="87">
        <v>398</v>
      </c>
      <c r="F302" s="87">
        <v>399</v>
      </c>
      <c r="G302" s="87">
        <v>387</v>
      </c>
      <c r="H302" s="87">
        <v>389</v>
      </c>
      <c r="I302" s="87">
        <v>58</v>
      </c>
      <c r="J302" s="87">
        <v>170</v>
      </c>
      <c r="K302" s="87">
        <v>420</v>
      </c>
    </row>
    <row r="303" spans="1:11" x14ac:dyDescent="0.25">
      <c r="A303" s="87" t="s">
        <v>213</v>
      </c>
      <c r="B303" s="88" t="s">
        <v>195</v>
      </c>
      <c r="C303" s="87">
        <v>235</v>
      </c>
      <c r="D303" s="87">
        <v>309</v>
      </c>
      <c r="E303" s="87">
        <v>431</v>
      </c>
      <c r="F303" s="87">
        <v>426</v>
      </c>
      <c r="G303" s="87">
        <v>388</v>
      </c>
      <c r="H303" s="87">
        <v>399</v>
      </c>
      <c r="I303" s="87">
        <v>83</v>
      </c>
      <c r="J303" s="87">
        <v>192</v>
      </c>
      <c r="K303" s="87">
        <v>346</v>
      </c>
    </row>
    <row r="304" spans="1:11" x14ac:dyDescent="0.25">
      <c r="A304" s="87" t="s">
        <v>213</v>
      </c>
      <c r="B304" s="88" t="s">
        <v>196</v>
      </c>
      <c r="C304" s="87">
        <v>246</v>
      </c>
      <c r="D304" s="87">
        <v>357</v>
      </c>
      <c r="E304" s="87">
        <v>331</v>
      </c>
      <c r="F304" s="87">
        <v>390</v>
      </c>
      <c r="G304" s="87">
        <v>253</v>
      </c>
      <c r="H304" s="87">
        <v>362</v>
      </c>
      <c r="I304" s="87">
        <v>131</v>
      </c>
      <c r="J304" s="87">
        <v>240</v>
      </c>
      <c r="K304" s="87">
        <v>328</v>
      </c>
    </row>
    <row r="305" spans="1:11" x14ac:dyDescent="0.25">
      <c r="A305" s="87" t="s">
        <v>213</v>
      </c>
      <c r="B305" s="88" t="s">
        <v>197</v>
      </c>
      <c r="C305" s="87">
        <v>228</v>
      </c>
      <c r="D305" s="87">
        <v>369</v>
      </c>
      <c r="E305" s="87">
        <v>346</v>
      </c>
      <c r="F305" s="87">
        <v>407</v>
      </c>
      <c r="G305" s="87">
        <v>264</v>
      </c>
      <c r="H305" s="87">
        <v>345</v>
      </c>
      <c r="I305" s="87">
        <v>151</v>
      </c>
      <c r="J305" s="87">
        <v>208</v>
      </c>
      <c r="K305" s="87">
        <v>327</v>
      </c>
    </row>
    <row r="306" spans="1:11" x14ac:dyDescent="0.25">
      <c r="A306" s="87" t="s">
        <v>213</v>
      </c>
      <c r="B306" s="88" t="s">
        <v>198</v>
      </c>
      <c r="C306" s="87">
        <v>204</v>
      </c>
      <c r="D306" s="87">
        <v>309</v>
      </c>
      <c r="E306" s="87">
        <v>266</v>
      </c>
      <c r="F306" s="87">
        <v>296</v>
      </c>
      <c r="G306" s="87">
        <v>340</v>
      </c>
      <c r="H306" s="87">
        <v>407</v>
      </c>
      <c r="I306" s="87">
        <v>62</v>
      </c>
      <c r="J306" s="87">
        <v>277</v>
      </c>
      <c r="K306" s="87">
        <v>289</v>
      </c>
    </row>
    <row r="307" spans="1:11" x14ac:dyDescent="0.25">
      <c r="A307" s="87" t="s">
        <v>213</v>
      </c>
      <c r="B307" s="88" t="s">
        <v>199</v>
      </c>
      <c r="C307" s="87">
        <v>214</v>
      </c>
      <c r="D307" s="87">
        <v>313</v>
      </c>
      <c r="E307" s="87">
        <v>241</v>
      </c>
      <c r="F307" s="87">
        <v>373</v>
      </c>
      <c r="G307" s="87">
        <v>391</v>
      </c>
      <c r="H307" s="87">
        <v>421</v>
      </c>
      <c r="I307" s="87">
        <v>59</v>
      </c>
      <c r="J307" s="87">
        <v>307</v>
      </c>
      <c r="K307" s="87">
        <v>200</v>
      </c>
    </row>
    <row r="308" spans="1:11" x14ac:dyDescent="0.25">
      <c r="A308" s="87" t="s">
        <v>213</v>
      </c>
      <c r="B308" s="88" t="s">
        <v>200</v>
      </c>
      <c r="C308" s="87">
        <v>197</v>
      </c>
      <c r="D308" s="87">
        <v>379</v>
      </c>
      <c r="E308" s="87">
        <v>266</v>
      </c>
      <c r="F308" s="87">
        <v>418</v>
      </c>
      <c r="G308" s="87">
        <v>398</v>
      </c>
      <c r="H308" s="87">
        <v>313</v>
      </c>
      <c r="I308" s="87">
        <v>56</v>
      </c>
      <c r="J308" s="87">
        <v>340</v>
      </c>
      <c r="K308" s="87">
        <v>231</v>
      </c>
    </row>
    <row r="309" spans="1:11" x14ac:dyDescent="0.25">
      <c r="A309" s="87" t="s">
        <v>213</v>
      </c>
      <c r="B309" s="88" t="s">
        <v>201</v>
      </c>
      <c r="C309" s="87">
        <v>202</v>
      </c>
      <c r="D309" s="87">
        <v>325</v>
      </c>
      <c r="E309" s="87">
        <v>354</v>
      </c>
      <c r="F309" s="87">
        <v>361</v>
      </c>
      <c r="G309" s="87">
        <v>296</v>
      </c>
      <c r="H309" s="87">
        <v>266</v>
      </c>
      <c r="I309" s="87">
        <v>57</v>
      </c>
      <c r="J309" s="87">
        <v>370</v>
      </c>
      <c r="K309" s="87">
        <v>251</v>
      </c>
    </row>
    <row r="310" spans="1:11" x14ac:dyDescent="0.25">
      <c r="A310" s="87" t="s">
        <v>213</v>
      </c>
      <c r="B310" s="88" t="s">
        <v>202</v>
      </c>
      <c r="C310" s="87">
        <v>174</v>
      </c>
      <c r="D310" s="87">
        <v>365</v>
      </c>
      <c r="E310" s="87">
        <v>371</v>
      </c>
      <c r="F310" s="87">
        <v>229</v>
      </c>
      <c r="G310" s="87">
        <v>273</v>
      </c>
      <c r="H310" s="87">
        <v>262</v>
      </c>
      <c r="I310" s="87">
        <v>66</v>
      </c>
      <c r="J310" s="87">
        <v>260</v>
      </c>
      <c r="K310" s="87">
        <v>214</v>
      </c>
    </row>
    <row r="311" spans="1:11" x14ac:dyDescent="0.25">
      <c r="A311" s="87" t="s">
        <v>213</v>
      </c>
      <c r="B311" s="88" t="s">
        <v>203</v>
      </c>
      <c r="C311" s="87">
        <v>149</v>
      </c>
      <c r="D311" s="87">
        <v>262</v>
      </c>
      <c r="E311" s="87">
        <v>280</v>
      </c>
      <c r="F311" s="87">
        <v>207</v>
      </c>
      <c r="G311" s="87">
        <v>252</v>
      </c>
      <c r="H311" s="87">
        <v>326</v>
      </c>
      <c r="I311" s="87">
        <v>110</v>
      </c>
      <c r="J311" s="87">
        <v>243</v>
      </c>
      <c r="K311" s="87">
        <v>204</v>
      </c>
    </row>
    <row r="312" spans="1:11" x14ac:dyDescent="0.25">
      <c r="A312" s="87" t="s">
        <v>213</v>
      </c>
      <c r="B312" s="88" t="s">
        <v>204</v>
      </c>
      <c r="C312" s="87">
        <v>154</v>
      </c>
      <c r="D312" s="87">
        <v>266</v>
      </c>
      <c r="E312" s="87">
        <v>288</v>
      </c>
      <c r="F312" s="87">
        <v>261</v>
      </c>
      <c r="G312" s="87">
        <v>254</v>
      </c>
      <c r="H312" s="87">
        <v>331</v>
      </c>
      <c r="I312" s="87">
        <v>125</v>
      </c>
      <c r="J312" s="87">
        <v>167</v>
      </c>
      <c r="K312" s="87">
        <v>156</v>
      </c>
    </row>
    <row r="313" spans="1:11" x14ac:dyDescent="0.25">
      <c r="A313" s="87" t="s">
        <v>214</v>
      </c>
      <c r="B313" s="88" t="s">
        <v>174</v>
      </c>
      <c r="C313" s="87">
        <v>178</v>
      </c>
      <c r="D313" s="87">
        <v>272</v>
      </c>
      <c r="E313" s="87">
        <v>325</v>
      </c>
      <c r="F313" s="87">
        <v>352</v>
      </c>
      <c r="G313" s="87">
        <v>285</v>
      </c>
      <c r="H313" s="87">
        <v>333</v>
      </c>
      <c r="I313" s="87">
        <v>78</v>
      </c>
      <c r="J313" s="87">
        <v>289</v>
      </c>
      <c r="K313" s="87">
        <v>225</v>
      </c>
    </row>
    <row r="314" spans="1:11" x14ac:dyDescent="0.25">
      <c r="A314" s="87" t="s">
        <v>214</v>
      </c>
      <c r="B314" s="88" t="s">
        <v>175</v>
      </c>
      <c r="C314" s="87">
        <v>221</v>
      </c>
      <c r="D314" s="87">
        <v>267</v>
      </c>
      <c r="E314" s="87">
        <v>417</v>
      </c>
      <c r="F314" s="87">
        <v>341</v>
      </c>
      <c r="G314" s="87">
        <v>327</v>
      </c>
      <c r="H314" s="87">
        <v>331</v>
      </c>
      <c r="I314" s="87">
        <v>56</v>
      </c>
      <c r="J314" s="87">
        <v>304</v>
      </c>
      <c r="K314" s="87">
        <v>238</v>
      </c>
    </row>
    <row r="315" spans="1:11" x14ac:dyDescent="0.25">
      <c r="A315" s="87" t="s">
        <v>214</v>
      </c>
      <c r="B315" s="88" t="s">
        <v>176</v>
      </c>
      <c r="C315" s="87">
        <v>376</v>
      </c>
      <c r="D315" s="87">
        <v>255</v>
      </c>
      <c r="E315" s="87">
        <v>426</v>
      </c>
      <c r="F315" s="87">
        <v>417</v>
      </c>
      <c r="G315" s="87">
        <v>341</v>
      </c>
      <c r="H315" s="87">
        <v>181</v>
      </c>
      <c r="I315" s="87">
        <v>58</v>
      </c>
      <c r="J315" s="87">
        <v>309</v>
      </c>
      <c r="K315" s="87">
        <v>239</v>
      </c>
    </row>
    <row r="316" spans="1:11" x14ac:dyDescent="0.25">
      <c r="A316" s="87" t="s">
        <v>214</v>
      </c>
      <c r="B316" s="88" t="s">
        <v>177</v>
      </c>
      <c r="C316" s="87">
        <v>379</v>
      </c>
      <c r="D316" s="87">
        <v>296</v>
      </c>
      <c r="E316" s="87">
        <v>356</v>
      </c>
      <c r="F316" s="87">
        <v>417</v>
      </c>
      <c r="G316" s="87">
        <v>279</v>
      </c>
      <c r="H316" s="87">
        <v>199</v>
      </c>
      <c r="I316" s="87">
        <v>75</v>
      </c>
      <c r="J316" s="87">
        <v>285</v>
      </c>
      <c r="K316" s="87">
        <v>247</v>
      </c>
    </row>
    <row r="317" spans="1:11" x14ac:dyDescent="0.25">
      <c r="A317" s="87" t="s">
        <v>214</v>
      </c>
      <c r="B317" s="88" t="s">
        <v>178</v>
      </c>
      <c r="C317" s="87">
        <v>233</v>
      </c>
      <c r="D317" s="87">
        <v>394</v>
      </c>
      <c r="E317" s="87">
        <v>304</v>
      </c>
      <c r="F317" s="87">
        <v>258</v>
      </c>
      <c r="G317" s="87">
        <v>289</v>
      </c>
      <c r="H317" s="87">
        <v>256</v>
      </c>
      <c r="I317" s="87">
        <v>98</v>
      </c>
      <c r="J317" s="87">
        <v>321</v>
      </c>
      <c r="K317" s="87">
        <v>258</v>
      </c>
    </row>
    <row r="318" spans="1:11" x14ac:dyDescent="0.25">
      <c r="A318" s="87" t="s">
        <v>214</v>
      </c>
      <c r="B318" s="88" t="s">
        <v>179</v>
      </c>
      <c r="C318" s="87">
        <v>252</v>
      </c>
      <c r="D318" s="87">
        <v>336</v>
      </c>
      <c r="E318" s="87">
        <v>344</v>
      </c>
      <c r="F318" s="87">
        <v>245</v>
      </c>
      <c r="G318" s="87">
        <v>284</v>
      </c>
      <c r="H318" s="87">
        <v>352</v>
      </c>
      <c r="I318" s="87">
        <v>162</v>
      </c>
      <c r="J318" s="87">
        <v>293</v>
      </c>
      <c r="K318" s="87">
        <v>252</v>
      </c>
    </row>
    <row r="319" spans="1:11" x14ac:dyDescent="0.25">
      <c r="A319" s="87" t="s">
        <v>214</v>
      </c>
      <c r="B319" s="88" t="s">
        <v>180</v>
      </c>
      <c r="C319" s="87">
        <v>320</v>
      </c>
      <c r="D319" s="87">
        <v>373</v>
      </c>
      <c r="E319" s="87">
        <v>356</v>
      </c>
      <c r="F319" s="87">
        <v>231</v>
      </c>
      <c r="G319" s="87">
        <v>333</v>
      </c>
      <c r="H319" s="87">
        <v>408</v>
      </c>
      <c r="I319" s="87">
        <v>165</v>
      </c>
      <c r="J319" s="87">
        <v>170</v>
      </c>
      <c r="K319" s="87">
        <v>260</v>
      </c>
    </row>
    <row r="320" spans="1:11" x14ac:dyDescent="0.25">
      <c r="A320" s="87" t="s">
        <v>214</v>
      </c>
      <c r="B320" s="88" t="s">
        <v>181</v>
      </c>
      <c r="C320" s="87">
        <v>351</v>
      </c>
      <c r="D320" s="87">
        <v>382</v>
      </c>
      <c r="E320" s="87">
        <v>352</v>
      </c>
      <c r="F320" s="87">
        <v>352</v>
      </c>
      <c r="G320" s="87">
        <v>364</v>
      </c>
      <c r="H320" s="87">
        <v>434</v>
      </c>
      <c r="I320" s="87">
        <v>76</v>
      </c>
      <c r="J320" s="87">
        <v>116</v>
      </c>
      <c r="K320" s="87">
        <v>278</v>
      </c>
    </row>
    <row r="321" spans="1:11" x14ac:dyDescent="0.25">
      <c r="A321" s="87" t="s">
        <v>214</v>
      </c>
      <c r="B321" s="88" t="s">
        <v>182</v>
      </c>
      <c r="C321" s="87">
        <v>232</v>
      </c>
      <c r="D321" s="87">
        <v>395</v>
      </c>
      <c r="E321" s="87">
        <v>277</v>
      </c>
      <c r="F321" s="87">
        <v>418</v>
      </c>
      <c r="G321" s="87">
        <v>326</v>
      </c>
      <c r="H321" s="87">
        <v>430</v>
      </c>
      <c r="I321" s="87">
        <v>51</v>
      </c>
      <c r="J321" s="87">
        <v>101</v>
      </c>
      <c r="K321" s="87">
        <v>421</v>
      </c>
    </row>
    <row r="322" spans="1:11" x14ac:dyDescent="0.25">
      <c r="A322" s="87" t="s">
        <v>214</v>
      </c>
      <c r="B322" s="88" t="s">
        <v>183</v>
      </c>
      <c r="C322" s="87">
        <v>208</v>
      </c>
      <c r="D322" s="87">
        <v>385</v>
      </c>
      <c r="E322" s="87">
        <v>357</v>
      </c>
      <c r="F322" s="87">
        <v>425</v>
      </c>
      <c r="G322" s="87">
        <v>369</v>
      </c>
      <c r="H322" s="87">
        <v>263</v>
      </c>
      <c r="I322" s="87">
        <v>45</v>
      </c>
      <c r="J322" s="87">
        <v>181</v>
      </c>
      <c r="K322" s="87">
        <v>430</v>
      </c>
    </row>
    <row r="323" spans="1:11" x14ac:dyDescent="0.25">
      <c r="A323" s="87" t="s">
        <v>214</v>
      </c>
      <c r="B323" s="88" t="s">
        <v>184</v>
      </c>
      <c r="C323" s="87">
        <v>224</v>
      </c>
      <c r="D323" s="87">
        <v>408</v>
      </c>
      <c r="E323" s="87">
        <v>363</v>
      </c>
      <c r="F323" s="87">
        <v>423</v>
      </c>
      <c r="G323" s="87">
        <v>270</v>
      </c>
      <c r="H323" s="87">
        <v>359</v>
      </c>
      <c r="I323" s="87">
        <v>46</v>
      </c>
      <c r="J323" s="87">
        <v>213</v>
      </c>
      <c r="K323" s="87">
        <v>309</v>
      </c>
    </row>
    <row r="324" spans="1:11" x14ac:dyDescent="0.25">
      <c r="A324" s="87" t="s">
        <v>214</v>
      </c>
      <c r="B324" s="88" t="s">
        <v>185</v>
      </c>
      <c r="C324" s="87">
        <v>309</v>
      </c>
      <c r="D324" s="87">
        <v>299</v>
      </c>
      <c r="E324" s="87">
        <v>385</v>
      </c>
      <c r="F324" s="87">
        <v>217</v>
      </c>
      <c r="G324" s="87">
        <v>346</v>
      </c>
      <c r="H324" s="87">
        <v>324</v>
      </c>
      <c r="I324" s="87">
        <v>87</v>
      </c>
      <c r="J324" s="87">
        <v>178</v>
      </c>
      <c r="K324" s="87">
        <v>337</v>
      </c>
    </row>
    <row r="325" spans="1:11" x14ac:dyDescent="0.25">
      <c r="A325" s="87" t="s">
        <v>214</v>
      </c>
      <c r="B325" s="88" t="s">
        <v>186</v>
      </c>
      <c r="C325" s="87">
        <v>252</v>
      </c>
      <c r="D325" s="87">
        <v>368</v>
      </c>
      <c r="E325" s="87">
        <v>338</v>
      </c>
      <c r="F325" s="87">
        <v>397</v>
      </c>
      <c r="G325" s="87">
        <v>350</v>
      </c>
      <c r="H325" s="87">
        <v>349</v>
      </c>
      <c r="I325" s="87">
        <v>134</v>
      </c>
      <c r="J325" s="87">
        <v>210</v>
      </c>
      <c r="K325" s="87">
        <v>338</v>
      </c>
    </row>
    <row r="326" spans="1:11" x14ac:dyDescent="0.25">
      <c r="A326" s="87" t="s">
        <v>214</v>
      </c>
      <c r="B326" s="88" t="s">
        <v>187</v>
      </c>
      <c r="C326" s="87">
        <v>273</v>
      </c>
      <c r="D326" s="87">
        <v>386</v>
      </c>
      <c r="E326" s="87">
        <v>373</v>
      </c>
      <c r="F326" s="87">
        <v>414</v>
      </c>
      <c r="G326" s="87">
        <v>403</v>
      </c>
      <c r="H326" s="87">
        <v>395</v>
      </c>
      <c r="I326" s="87">
        <v>154</v>
      </c>
      <c r="J326" s="87">
        <v>192</v>
      </c>
      <c r="K326" s="87">
        <v>333</v>
      </c>
    </row>
    <row r="327" spans="1:11" x14ac:dyDescent="0.25">
      <c r="A327" s="87" t="s">
        <v>214</v>
      </c>
      <c r="B327" s="88" t="s">
        <v>188</v>
      </c>
      <c r="C327" s="87">
        <v>258</v>
      </c>
      <c r="D327" s="87">
        <v>216</v>
      </c>
      <c r="E327" s="87">
        <v>396</v>
      </c>
      <c r="F327" s="87">
        <v>327</v>
      </c>
      <c r="G327" s="87">
        <v>347</v>
      </c>
      <c r="H327" s="87">
        <v>330</v>
      </c>
      <c r="I327" s="87">
        <v>66</v>
      </c>
      <c r="J327" s="87">
        <v>180</v>
      </c>
      <c r="K327" s="87">
        <v>229</v>
      </c>
    </row>
    <row r="328" spans="1:11" x14ac:dyDescent="0.25">
      <c r="A328" s="87" t="s">
        <v>214</v>
      </c>
      <c r="B328" s="88" t="s">
        <v>189</v>
      </c>
      <c r="C328" s="87">
        <v>184</v>
      </c>
      <c r="D328" s="87">
        <v>300</v>
      </c>
      <c r="E328" s="87">
        <v>202</v>
      </c>
      <c r="F328" s="87">
        <v>287</v>
      </c>
      <c r="G328" s="87">
        <v>334</v>
      </c>
      <c r="H328" s="87">
        <v>383</v>
      </c>
      <c r="I328" s="87">
        <v>54</v>
      </c>
      <c r="J328" s="87">
        <v>171</v>
      </c>
      <c r="K328" s="87">
        <v>270</v>
      </c>
    </row>
    <row r="329" spans="1:11" x14ac:dyDescent="0.25">
      <c r="A329" s="87" t="s">
        <v>214</v>
      </c>
      <c r="B329" s="88" t="s">
        <v>190</v>
      </c>
      <c r="C329" s="87">
        <v>227</v>
      </c>
      <c r="D329" s="87">
        <v>396</v>
      </c>
      <c r="E329" s="87">
        <v>205</v>
      </c>
      <c r="F329" s="87">
        <v>348</v>
      </c>
      <c r="G329" s="87">
        <v>374</v>
      </c>
      <c r="H329" s="87">
        <v>330</v>
      </c>
      <c r="I329" s="87">
        <v>60</v>
      </c>
      <c r="J329" s="87">
        <v>186</v>
      </c>
      <c r="K329" s="87">
        <v>336</v>
      </c>
    </row>
    <row r="330" spans="1:11" x14ac:dyDescent="0.25">
      <c r="A330" s="87" t="s">
        <v>214</v>
      </c>
      <c r="B330" s="88" t="s">
        <v>191</v>
      </c>
      <c r="C330" s="87">
        <v>234</v>
      </c>
      <c r="D330" s="87">
        <v>385</v>
      </c>
      <c r="E330" s="87">
        <v>291</v>
      </c>
      <c r="F330" s="87">
        <v>414</v>
      </c>
      <c r="G330" s="87">
        <v>364</v>
      </c>
      <c r="H330" s="87">
        <v>332</v>
      </c>
      <c r="I330" s="87">
        <v>70</v>
      </c>
      <c r="J330" s="87">
        <v>228</v>
      </c>
      <c r="K330" s="87">
        <v>326</v>
      </c>
    </row>
    <row r="331" spans="1:11" x14ac:dyDescent="0.25">
      <c r="A331" s="87" t="s">
        <v>214</v>
      </c>
      <c r="B331" s="88" t="s">
        <v>192</v>
      </c>
      <c r="C331" s="87">
        <v>232</v>
      </c>
      <c r="D331" s="87">
        <v>401</v>
      </c>
      <c r="E331" s="87">
        <v>348</v>
      </c>
      <c r="F331" s="87">
        <v>363</v>
      </c>
      <c r="G331" s="87">
        <v>348</v>
      </c>
      <c r="H331" s="87">
        <v>324</v>
      </c>
      <c r="I331" s="87">
        <v>72</v>
      </c>
      <c r="J331" s="87">
        <v>265</v>
      </c>
      <c r="K331" s="87">
        <v>406</v>
      </c>
    </row>
    <row r="332" spans="1:11" x14ac:dyDescent="0.25">
      <c r="A332" s="87" t="s">
        <v>214</v>
      </c>
      <c r="B332" s="88" t="s">
        <v>193</v>
      </c>
      <c r="C332" s="87">
        <v>291</v>
      </c>
      <c r="D332" s="87">
        <v>364</v>
      </c>
      <c r="E332" s="87">
        <v>237</v>
      </c>
      <c r="F332" s="87">
        <v>332</v>
      </c>
      <c r="G332" s="87">
        <v>350</v>
      </c>
      <c r="H332" s="87">
        <v>299</v>
      </c>
      <c r="I332" s="87">
        <v>194</v>
      </c>
      <c r="J332" s="87">
        <v>266</v>
      </c>
      <c r="K332" s="87">
        <v>413</v>
      </c>
    </row>
    <row r="333" spans="1:11" x14ac:dyDescent="0.25">
      <c r="A333" s="87" t="s">
        <v>214</v>
      </c>
      <c r="B333" s="88" t="s">
        <v>194</v>
      </c>
      <c r="C333" s="87">
        <v>250</v>
      </c>
      <c r="D333" s="87">
        <v>353</v>
      </c>
      <c r="E333" s="87">
        <v>221</v>
      </c>
      <c r="F333" s="87">
        <v>332</v>
      </c>
      <c r="G333" s="87">
        <v>387</v>
      </c>
      <c r="H333" s="87">
        <v>172</v>
      </c>
      <c r="I333" s="87">
        <v>246</v>
      </c>
      <c r="J333" s="87">
        <v>267</v>
      </c>
      <c r="K333" s="87">
        <v>413</v>
      </c>
    </row>
    <row r="334" spans="1:11" x14ac:dyDescent="0.25">
      <c r="A334" s="87" t="s">
        <v>214</v>
      </c>
      <c r="B334" s="88" t="s">
        <v>195</v>
      </c>
      <c r="C334" s="87">
        <v>290</v>
      </c>
      <c r="D334" s="87">
        <v>335</v>
      </c>
      <c r="E334" s="87">
        <v>277</v>
      </c>
      <c r="F334" s="87">
        <v>376</v>
      </c>
      <c r="G334" s="87">
        <v>383</v>
      </c>
      <c r="H334" s="87">
        <v>323</v>
      </c>
      <c r="I334" s="87">
        <v>156</v>
      </c>
      <c r="J334" s="87">
        <v>265</v>
      </c>
      <c r="K334" s="87">
        <v>399</v>
      </c>
    </row>
    <row r="335" spans="1:11" x14ac:dyDescent="0.25">
      <c r="A335" s="87" t="s">
        <v>214</v>
      </c>
      <c r="B335" s="88" t="s">
        <v>196</v>
      </c>
      <c r="C335" s="87">
        <v>205</v>
      </c>
      <c r="D335" s="87">
        <v>357</v>
      </c>
      <c r="E335" s="87">
        <v>302</v>
      </c>
      <c r="F335" s="87">
        <v>415</v>
      </c>
      <c r="G335" s="87">
        <v>390</v>
      </c>
      <c r="H335" s="87">
        <v>381</v>
      </c>
      <c r="I335" s="87">
        <v>144</v>
      </c>
      <c r="J335" s="87">
        <v>258</v>
      </c>
      <c r="K335" s="87">
        <v>403</v>
      </c>
    </row>
    <row r="336" spans="1:11" x14ac:dyDescent="0.25">
      <c r="A336" s="87" t="s">
        <v>214</v>
      </c>
      <c r="B336" s="88" t="s">
        <v>197</v>
      </c>
      <c r="C336" s="87">
        <v>203</v>
      </c>
      <c r="D336" s="87">
        <v>324</v>
      </c>
      <c r="E336" s="87">
        <v>321</v>
      </c>
      <c r="F336" s="87">
        <v>429</v>
      </c>
      <c r="G336" s="87">
        <v>346</v>
      </c>
      <c r="H336" s="87">
        <v>294</v>
      </c>
      <c r="I336" s="87">
        <v>161</v>
      </c>
      <c r="J336" s="87">
        <v>282</v>
      </c>
      <c r="K336" s="87">
        <v>338</v>
      </c>
    </row>
    <row r="337" spans="1:11" x14ac:dyDescent="0.25">
      <c r="A337" s="87" t="s">
        <v>214</v>
      </c>
      <c r="B337" s="88" t="s">
        <v>198</v>
      </c>
      <c r="C337" s="87">
        <v>247</v>
      </c>
      <c r="D337" s="87">
        <v>329</v>
      </c>
      <c r="E337" s="87">
        <v>340</v>
      </c>
      <c r="F337" s="87">
        <v>349</v>
      </c>
      <c r="G337" s="87">
        <v>195</v>
      </c>
      <c r="H337" s="87">
        <v>281</v>
      </c>
      <c r="I337" s="87">
        <v>181</v>
      </c>
      <c r="J337" s="87">
        <v>289</v>
      </c>
      <c r="K337" s="87">
        <v>258</v>
      </c>
    </row>
    <row r="338" spans="1:11" x14ac:dyDescent="0.25">
      <c r="A338" s="87" t="s">
        <v>214</v>
      </c>
      <c r="B338" s="88" t="s">
        <v>199</v>
      </c>
      <c r="C338" s="87">
        <v>293</v>
      </c>
      <c r="D338" s="87">
        <v>361</v>
      </c>
      <c r="E338" s="87">
        <v>255</v>
      </c>
      <c r="F338" s="87">
        <v>113</v>
      </c>
      <c r="G338" s="87">
        <v>190</v>
      </c>
      <c r="H338" s="87">
        <v>297</v>
      </c>
      <c r="I338" s="87">
        <v>195</v>
      </c>
      <c r="J338" s="87">
        <v>298</v>
      </c>
      <c r="K338" s="87">
        <v>219</v>
      </c>
    </row>
    <row r="339" spans="1:11" x14ac:dyDescent="0.25">
      <c r="A339" s="87" t="s">
        <v>214</v>
      </c>
      <c r="B339" s="88" t="s">
        <v>200</v>
      </c>
      <c r="C339" s="87">
        <v>329</v>
      </c>
      <c r="D339" s="87">
        <v>376</v>
      </c>
      <c r="E339" s="87">
        <v>100</v>
      </c>
      <c r="F339" s="87">
        <v>128</v>
      </c>
      <c r="G339" s="87">
        <v>417</v>
      </c>
      <c r="H339" s="87">
        <v>330</v>
      </c>
      <c r="I339" s="87">
        <v>222</v>
      </c>
      <c r="J339" s="87">
        <v>262</v>
      </c>
      <c r="K339" s="87">
        <v>313</v>
      </c>
    </row>
    <row r="340" spans="1:11" x14ac:dyDescent="0.25">
      <c r="A340" s="87" t="s">
        <v>214</v>
      </c>
      <c r="B340" s="88" t="s">
        <v>201</v>
      </c>
      <c r="C340" s="87">
        <v>332</v>
      </c>
      <c r="D340" s="87">
        <v>311</v>
      </c>
      <c r="E340" s="87">
        <v>121</v>
      </c>
      <c r="F340" s="87">
        <v>410</v>
      </c>
      <c r="G340" s="87">
        <v>401</v>
      </c>
      <c r="H340" s="87">
        <v>370</v>
      </c>
      <c r="I340" s="87">
        <v>188</v>
      </c>
      <c r="J340" s="87">
        <v>157</v>
      </c>
      <c r="K340" s="87">
        <v>318</v>
      </c>
    </row>
    <row r="341" spans="1:11" x14ac:dyDescent="0.25">
      <c r="A341" s="87" t="s">
        <v>214</v>
      </c>
      <c r="B341" s="88" t="s">
        <v>202</v>
      </c>
      <c r="C341" s="87">
        <v>268</v>
      </c>
      <c r="D341" s="87">
        <v>171</v>
      </c>
      <c r="E341" s="87">
        <v>393</v>
      </c>
      <c r="F341" s="87">
        <v>419</v>
      </c>
      <c r="G341" s="87">
        <v>256</v>
      </c>
      <c r="H341" s="87">
        <v>384</v>
      </c>
      <c r="I341" s="87">
        <v>87</v>
      </c>
      <c r="J341" s="87">
        <v>135</v>
      </c>
      <c r="K341" s="87">
        <v>294</v>
      </c>
    </row>
    <row r="342" spans="1:11" x14ac:dyDescent="0.25">
      <c r="A342" s="87" t="s">
        <v>214</v>
      </c>
      <c r="B342" s="88" t="s">
        <v>203</v>
      </c>
      <c r="C342" s="87">
        <v>209</v>
      </c>
      <c r="D342" s="87">
        <v>141</v>
      </c>
      <c r="E342" s="87">
        <v>406</v>
      </c>
      <c r="F342" s="87">
        <v>207</v>
      </c>
      <c r="G342" s="87">
        <v>273</v>
      </c>
      <c r="H342" s="87">
        <v>312</v>
      </c>
      <c r="I342" s="87">
        <v>97</v>
      </c>
      <c r="J342" s="87">
        <v>186</v>
      </c>
      <c r="K342" s="87">
        <v>200</v>
      </c>
    </row>
    <row r="343" spans="1:11" x14ac:dyDescent="0.25">
      <c r="A343" s="87" t="s">
        <v>215</v>
      </c>
      <c r="B343" s="88" t="s">
        <v>174</v>
      </c>
      <c r="C343" s="87">
        <v>240</v>
      </c>
      <c r="D343" s="87">
        <v>304</v>
      </c>
      <c r="E343" s="87">
        <v>265</v>
      </c>
      <c r="F343" s="87">
        <v>296</v>
      </c>
      <c r="G343" s="87">
        <v>276</v>
      </c>
      <c r="H343" s="87">
        <v>208</v>
      </c>
      <c r="I343" s="87">
        <v>58</v>
      </c>
      <c r="J343" s="87">
        <v>217</v>
      </c>
      <c r="K343" s="87">
        <v>160</v>
      </c>
    </row>
    <row r="344" spans="1:11" x14ac:dyDescent="0.25">
      <c r="A344" s="87" t="s">
        <v>215</v>
      </c>
      <c r="B344" s="88" t="s">
        <v>175</v>
      </c>
      <c r="C344" s="87">
        <v>286</v>
      </c>
      <c r="D344" s="87">
        <v>339</v>
      </c>
      <c r="E344" s="87">
        <v>356</v>
      </c>
      <c r="F344" s="87">
        <v>301</v>
      </c>
      <c r="G344" s="87">
        <v>151</v>
      </c>
      <c r="H344" s="87">
        <v>229</v>
      </c>
      <c r="I344" s="87">
        <v>67</v>
      </c>
      <c r="J344" s="87">
        <v>224</v>
      </c>
      <c r="K344" s="87">
        <v>167</v>
      </c>
    </row>
    <row r="345" spans="1:11" x14ac:dyDescent="0.25">
      <c r="A345" s="87" t="s">
        <v>215</v>
      </c>
      <c r="B345" s="88" t="s">
        <v>176</v>
      </c>
      <c r="C345" s="87">
        <v>310</v>
      </c>
      <c r="D345" s="87">
        <v>394</v>
      </c>
      <c r="E345" s="87">
        <v>346</v>
      </c>
      <c r="F345" s="87">
        <v>236</v>
      </c>
      <c r="G345" s="87">
        <v>194</v>
      </c>
      <c r="H345" s="87">
        <v>230</v>
      </c>
      <c r="I345" s="87">
        <v>89</v>
      </c>
      <c r="J345" s="87">
        <v>306</v>
      </c>
      <c r="K345" s="87">
        <v>352</v>
      </c>
    </row>
    <row r="346" spans="1:11" x14ac:dyDescent="0.25">
      <c r="A346" s="87" t="s">
        <v>215</v>
      </c>
      <c r="B346" s="88" t="s">
        <v>177</v>
      </c>
      <c r="C346" s="87">
        <v>357</v>
      </c>
      <c r="D346" s="87">
        <v>376</v>
      </c>
      <c r="E346" s="87">
        <v>172</v>
      </c>
      <c r="F346" s="87">
        <v>248</v>
      </c>
      <c r="G346" s="87">
        <v>243</v>
      </c>
      <c r="H346" s="87">
        <v>302</v>
      </c>
      <c r="I346" s="87">
        <v>157</v>
      </c>
      <c r="J346" s="87">
        <v>312</v>
      </c>
      <c r="K346" s="87">
        <v>345</v>
      </c>
    </row>
    <row r="347" spans="1:11" x14ac:dyDescent="0.25">
      <c r="A347" s="87" t="s">
        <v>215</v>
      </c>
      <c r="B347" s="88" t="s">
        <v>178</v>
      </c>
      <c r="C347" s="87">
        <v>306</v>
      </c>
      <c r="D347" s="87">
        <v>390</v>
      </c>
      <c r="E347" s="87">
        <v>291</v>
      </c>
      <c r="F347" s="87">
        <v>277</v>
      </c>
      <c r="G347" s="87">
        <v>299</v>
      </c>
      <c r="H347" s="87">
        <v>358</v>
      </c>
      <c r="I347" s="87">
        <v>192</v>
      </c>
      <c r="J347" s="87">
        <v>207</v>
      </c>
      <c r="K347" s="87">
        <v>347</v>
      </c>
    </row>
    <row r="348" spans="1:11" x14ac:dyDescent="0.25">
      <c r="A348" s="87" t="s">
        <v>215</v>
      </c>
      <c r="B348" s="88" t="s">
        <v>179</v>
      </c>
      <c r="C348" s="87">
        <v>353</v>
      </c>
      <c r="D348" s="87">
        <v>386</v>
      </c>
      <c r="E348" s="87">
        <v>289</v>
      </c>
      <c r="F348" s="87">
        <v>261</v>
      </c>
      <c r="G348" s="87">
        <v>370</v>
      </c>
      <c r="H348" s="87">
        <v>383</v>
      </c>
      <c r="I348" s="87">
        <v>81</v>
      </c>
      <c r="J348" s="87">
        <v>173</v>
      </c>
      <c r="K348" s="87">
        <v>343</v>
      </c>
    </row>
    <row r="349" spans="1:11" x14ac:dyDescent="0.25">
      <c r="A349" s="87" t="s">
        <v>215</v>
      </c>
      <c r="B349" s="88" t="s">
        <v>180</v>
      </c>
      <c r="C349" s="87">
        <v>256</v>
      </c>
      <c r="D349" s="87">
        <v>235</v>
      </c>
      <c r="E349" s="87">
        <v>180</v>
      </c>
      <c r="F349" s="87">
        <v>383</v>
      </c>
      <c r="G349" s="87">
        <v>392</v>
      </c>
      <c r="H349" s="87">
        <v>408</v>
      </c>
      <c r="I349" s="87">
        <v>59</v>
      </c>
      <c r="J349" s="87">
        <v>207</v>
      </c>
      <c r="K349" s="87">
        <v>268</v>
      </c>
    </row>
    <row r="350" spans="1:11" x14ac:dyDescent="0.25">
      <c r="A350" s="87" t="s">
        <v>215</v>
      </c>
      <c r="B350" s="88" t="s">
        <v>181</v>
      </c>
      <c r="C350" s="87">
        <v>256</v>
      </c>
      <c r="D350" s="87">
        <v>165</v>
      </c>
      <c r="E350" s="87">
        <v>216</v>
      </c>
      <c r="F350" s="87">
        <v>344</v>
      </c>
      <c r="G350" s="87">
        <v>257</v>
      </c>
      <c r="H350" s="87">
        <v>254</v>
      </c>
      <c r="I350" s="87">
        <v>45</v>
      </c>
      <c r="J350" s="87">
        <v>240</v>
      </c>
      <c r="K350" s="87">
        <v>236</v>
      </c>
    </row>
    <row r="351" spans="1:11" x14ac:dyDescent="0.25">
      <c r="A351" s="87" t="s">
        <v>215</v>
      </c>
      <c r="B351" s="88" t="s">
        <v>182</v>
      </c>
      <c r="C351" s="87">
        <v>258</v>
      </c>
      <c r="D351" s="87">
        <v>162</v>
      </c>
      <c r="E351" s="87">
        <v>261</v>
      </c>
      <c r="F351" s="87">
        <v>389</v>
      </c>
      <c r="G351" s="87">
        <v>158</v>
      </c>
      <c r="H351" s="87">
        <v>222</v>
      </c>
      <c r="I351" s="87">
        <v>43</v>
      </c>
      <c r="J351" s="87">
        <v>266</v>
      </c>
      <c r="K351" s="87">
        <v>222</v>
      </c>
    </row>
    <row r="352" spans="1:11" x14ac:dyDescent="0.25">
      <c r="A352" s="87" t="s">
        <v>215</v>
      </c>
      <c r="B352" s="88" t="s">
        <v>183</v>
      </c>
      <c r="C352" s="87">
        <v>172</v>
      </c>
      <c r="D352" s="87">
        <v>206</v>
      </c>
      <c r="E352" s="87">
        <v>322</v>
      </c>
      <c r="F352" s="87">
        <v>198</v>
      </c>
      <c r="G352" s="87">
        <v>147</v>
      </c>
      <c r="H352" s="87">
        <v>195</v>
      </c>
      <c r="I352" s="87">
        <v>66</v>
      </c>
      <c r="J352" s="87">
        <v>271</v>
      </c>
      <c r="K352" s="87">
        <v>206</v>
      </c>
    </row>
    <row r="353" spans="1:11" x14ac:dyDescent="0.25">
      <c r="A353" s="87" t="s">
        <v>215</v>
      </c>
      <c r="B353" s="88" t="s">
        <v>184</v>
      </c>
      <c r="C353" s="87">
        <v>190</v>
      </c>
      <c r="D353" s="87">
        <v>281</v>
      </c>
      <c r="E353" s="87">
        <v>193</v>
      </c>
      <c r="F353" s="87">
        <v>170</v>
      </c>
      <c r="G353" s="87">
        <v>151</v>
      </c>
      <c r="H353" s="87">
        <v>181</v>
      </c>
      <c r="I353" s="87">
        <v>112</v>
      </c>
      <c r="J353" s="87">
        <v>262</v>
      </c>
      <c r="K353" s="87">
        <v>198</v>
      </c>
    </row>
    <row r="354" spans="1:11" x14ac:dyDescent="0.25">
      <c r="A354" s="87" t="s">
        <v>215</v>
      </c>
      <c r="B354" s="88" t="s">
        <v>185</v>
      </c>
      <c r="C354" s="87">
        <v>267</v>
      </c>
      <c r="D354" s="87">
        <v>327</v>
      </c>
      <c r="E354" s="87">
        <v>309</v>
      </c>
      <c r="F354" s="87">
        <v>170</v>
      </c>
      <c r="G354" s="87">
        <v>178</v>
      </c>
      <c r="H354" s="87">
        <v>234</v>
      </c>
      <c r="I354" s="87">
        <v>112</v>
      </c>
      <c r="J354" s="87">
        <v>256</v>
      </c>
      <c r="K354" s="87">
        <v>243</v>
      </c>
    </row>
    <row r="355" spans="1:11" x14ac:dyDescent="0.25">
      <c r="A355" s="87" t="s">
        <v>215</v>
      </c>
      <c r="B355" s="88" t="s">
        <v>186</v>
      </c>
      <c r="C355" s="87">
        <v>345</v>
      </c>
      <c r="D355" s="87">
        <v>138</v>
      </c>
      <c r="E355" s="87">
        <v>331</v>
      </c>
      <c r="F355" s="87">
        <v>236</v>
      </c>
      <c r="G355" s="87">
        <v>219</v>
      </c>
      <c r="H355" s="87">
        <v>310</v>
      </c>
      <c r="I355" s="87">
        <v>65</v>
      </c>
      <c r="J355" s="87">
        <v>238</v>
      </c>
      <c r="K355" s="87">
        <v>238</v>
      </c>
    </row>
    <row r="356" spans="1:11" x14ac:dyDescent="0.25">
      <c r="A356" s="87" t="s">
        <v>215</v>
      </c>
      <c r="B356" s="88" t="s">
        <v>187</v>
      </c>
      <c r="C356" s="87">
        <v>207</v>
      </c>
      <c r="D356" s="87">
        <v>132</v>
      </c>
      <c r="E356" s="87">
        <v>299</v>
      </c>
      <c r="F356" s="87">
        <v>307</v>
      </c>
      <c r="G356" s="87">
        <v>330</v>
      </c>
      <c r="H356" s="87">
        <v>331</v>
      </c>
      <c r="I356" s="87">
        <v>56</v>
      </c>
      <c r="J356" s="87">
        <v>255</v>
      </c>
      <c r="K356" s="87">
        <v>208</v>
      </c>
    </row>
    <row r="357" spans="1:11" x14ac:dyDescent="0.25">
      <c r="A357" s="87" t="s">
        <v>215</v>
      </c>
      <c r="B357" s="88" t="s">
        <v>188</v>
      </c>
      <c r="C357" s="87">
        <v>124</v>
      </c>
      <c r="D357" s="87">
        <v>156</v>
      </c>
      <c r="E357" s="87">
        <v>186</v>
      </c>
      <c r="F357" s="87">
        <v>351</v>
      </c>
      <c r="G357" s="87">
        <v>363</v>
      </c>
      <c r="H357" s="87">
        <v>202</v>
      </c>
      <c r="I357" s="87">
        <v>52</v>
      </c>
      <c r="J357" s="87">
        <v>255</v>
      </c>
      <c r="K357" s="87">
        <v>306</v>
      </c>
    </row>
    <row r="358" spans="1:11" x14ac:dyDescent="0.25">
      <c r="A358" s="87" t="s">
        <v>215</v>
      </c>
      <c r="B358" s="88" t="s">
        <v>189</v>
      </c>
      <c r="C358" s="87">
        <v>103</v>
      </c>
      <c r="D358" s="87">
        <v>173</v>
      </c>
      <c r="E358" s="87">
        <v>234</v>
      </c>
      <c r="F358" s="87">
        <v>364</v>
      </c>
      <c r="G358" s="87">
        <v>238</v>
      </c>
      <c r="H358" s="87">
        <v>212</v>
      </c>
      <c r="I358" s="87">
        <v>47</v>
      </c>
      <c r="J358" s="87">
        <v>243</v>
      </c>
      <c r="K358" s="87">
        <v>309</v>
      </c>
    </row>
    <row r="359" spans="1:11" x14ac:dyDescent="0.25">
      <c r="A359" s="87" t="s">
        <v>215</v>
      </c>
      <c r="B359" s="88" t="s">
        <v>190</v>
      </c>
      <c r="C359" s="87">
        <v>87</v>
      </c>
      <c r="D359" s="87">
        <v>207</v>
      </c>
      <c r="E359" s="87">
        <v>302</v>
      </c>
      <c r="F359" s="87">
        <v>267</v>
      </c>
      <c r="G359" s="87">
        <v>203</v>
      </c>
      <c r="H359" s="87">
        <v>141</v>
      </c>
      <c r="I359" s="87">
        <v>66</v>
      </c>
      <c r="J359" s="87">
        <v>271</v>
      </c>
      <c r="K359" s="87">
        <v>255</v>
      </c>
    </row>
    <row r="360" spans="1:11" x14ac:dyDescent="0.25">
      <c r="A360" s="87" t="s">
        <v>215</v>
      </c>
      <c r="B360" s="88" t="s">
        <v>191</v>
      </c>
      <c r="C360" s="87">
        <v>118</v>
      </c>
      <c r="D360" s="87">
        <v>281</v>
      </c>
      <c r="E360" s="87">
        <v>247</v>
      </c>
      <c r="F360" s="87">
        <v>263</v>
      </c>
      <c r="G360" s="87">
        <v>195</v>
      </c>
      <c r="H360" s="87">
        <v>154</v>
      </c>
      <c r="I360" s="87">
        <v>122</v>
      </c>
      <c r="J360" s="87">
        <v>258</v>
      </c>
      <c r="K360" s="87">
        <v>244</v>
      </c>
    </row>
    <row r="361" spans="1:11" x14ac:dyDescent="0.25">
      <c r="A361" s="87" t="s">
        <v>215</v>
      </c>
      <c r="B361" s="88" t="s">
        <v>192</v>
      </c>
      <c r="C361" s="87">
        <v>157</v>
      </c>
      <c r="D361" s="87">
        <v>335</v>
      </c>
      <c r="E361" s="87">
        <v>239</v>
      </c>
      <c r="F361" s="87">
        <v>284</v>
      </c>
      <c r="G361" s="87">
        <v>206</v>
      </c>
      <c r="H361" s="87">
        <v>239</v>
      </c>
      <c r="I361" s="87">
        <v>173</v>
      </c>
      <c r="J361" s="87">
        <v>245</v>
      </c>
      <c r="K361" s="87">
        <v>245</v>
      </c>
    </row>
    <row r="362" spans="1:11" x14ac:dyDescent="0.25">
      <c r="A362" s="87" t="s">
        <v>215</v>
      </c>
      <c r="B362" s="88" t="s">
        <v>193</v>
      </c>
      <c r="C362" s="87">
        <v>172</v>
      </c>
      <c r="D362" s="87">
        <v>310</v>
      </c>
      <c r="E362" s="87">
        <v>257</v>
      </c>
      <c r="F362" s="87">
        <v>290</v>
      </c>
      <c r="G362" s="87">
        <v>251</v>
      </c>
      <c r="H362" s="87">
        <v>352</v>
      </c>
      <c r="I362" s="87">
        <v>166</v>
      </c>
      <c r="J362" s="87">
        <v>271</v>
      </c>
      <c r="K362" s="87">
        <v>197</v>
      </c>
    </row>
    <row r="363" spans="1:11" x14ac:dyDescent="0.25">
      <c r="A363" s="87" t="s">
        <v>215</v>
      </c>
      <c r="B363" s="88" t="s">
        <v>194</v>
      </c>
      <c r="C363" s="87">
        <v>177</v>
      </c>
      <c r="D363" s="87">
        <v>263</v>
      </c>
      <c r="E363" s="87">
        <v>258</v>
      </c>
      <c r="F363" s="87">
        <v>324</v>
      </c>
      <c r="G363" s="87">
        <v>266</v>
      </c>
      <c r="H363" s="87">
        <v>370</v>
      </c>
      <c r="I363" s="87">
        <v>168</v>
      </c>
      <c r="J363" s="87">
        <v>295</v>
      </c>
      <c r="K363" s="87">
        <v>208</v>
      </c>
    </row>
    <row r="364" spans="1:11" x14ac:dyDescent="0.25">
      <c r="A364" s="87" t="s">
        <v>215</v>
      </c>
      <c r="B364" s="88" t="s">
        <v>195</v>
      </c>
      <c r="C364" s="87">
        <v>177</v>
      </c>
      <c r="D364" s="87">
        <v>234</v>
      </c>
      <c r="E364" s="87">
        <v>216</v>
      </c>
      <c r="F364" s="87">
        <v>342</v>
      </c>
      <c r="G364" s="87">
        <v>279</v>
      </c>
      <c r="H364" s="87">
        <v>343</v>
      </c>
      <c r="I364" s="87">
        <v>160</v>
      </c>
      <c r="J364" s="87">
        <v>289</v>
      </c>
      <c r="K364" s="87">
        <v>208</v>
      </c>
    </row>
    <row r="365" spans="1:11" x14ac:dyDescent="0.25">
      <c r="A365" s="87" t="s">
        <v>215</v>
      </c>
      <c r="B365" s="88" t="s">
        <v>196</v>
      </c>
      <c r="C365" s="87">
        <v>152</v>
      </c>
      <c r="D365" s="87">
        <v>216</v>
      </c>
      <c r="E365" s="87">
        <v>224</v>
      </c>
      <c r="F365" s="87">
        <v>334</v>
      </c>
      <c r="G365" s="87">
        <v>292</v>
      </c>
      <c r="H365" s="87">
        <v>309</v>
      </c>
      <c r="I365" s="87">
        <v>166</v>
      </c>
      <c r="J365" s="87">
        <v>269</v>
      </c>
      <c r="K365" s="87">
        <v>318</v>
      </c>
    </row>
    <row r="366" spans="1:11" x14ac:dyDescent="0.25">
      <c r="A366" s="87" t="s">
        <v>215</v>
      </c>
      <c r="B366" s="88" t="s">
        <v>197</v>
      </c>
      <c r="C366" s="87">
        <v>146</v>
      </c>
      <c r="D366" s="87">
        <v>200</v>
      </c>
      <c r="E366" s="87">
        <v>226</v>
      </c>
      <c r="F366" s="87">
        <v>333</v>
      </c>
      <c r="G366" s="87">
        <v>291</v>
      </c>
      <c r="H366" s="87">
        <v>290</v>
      </c>
      <c r="I366" s="87">
        <v>172</v>
      </c>
      <c r="J366" s="87">
        <v>265</v>
      </c>
      <c r="K366" s="87">
        <v>339</v>
      </c>
    </row>
    <row r="367" spans="1:11" x14ac:dyDescent="0.25">
      <c r="A367" s="87" t="s">
        <v>215</v>
      </c>
      <c r="B367" s="88" t="s">
        <v>198</v>
      </c>
      <c r="C367" s="87">
        <v>152</v>
      </c>
      <c r="D367" s="87">
        <v>207</v>
      </c>
      <c r="E367" s="87">
        <v>213</v>
      </c>
      <c r="F367" s="87">
        <v>335</v>
      </c>
      <c r="G367" s="87">
        <v>288</v>
      </c>
      <c r="H367" s="87">
        <v>294</v>
      </c>
      <c r="I367" s="87">
        <v>194</v>
      </c>
      <c r="J367" s="87">
        <v>299</v>
      </c>
      <c r="K367" s="87">
        <v>319</v>
      </c>
    </row>
    <row r="368" spans="1:11" x14ac:dyDescent="0.25">
      <c r="A368" s="87" t="s">
        <v>215</v>
      </c>
      <c r="B368" s="88" t="s">
        <v>199</v>
      </c>
      <c r="C368" s="87">
        <v>183</v>
      </c>
      <c r="D368" s="87">
        <v>256</v>
      </c>
      <c r="E368" s="87">
        <v>247</v>
      </c>
      <c r="F368" s="87">
        <v>372</v>
      </c>
      <c r="G368" s="87">
        <v>390</v>
      </c>
      <c r="H368" s="87">
        <v>327</v>
      </c>
      <c r="I368" s="87">
        <v>203</v>
      </c>
      <c r="J368" s="87">
        <v>289</v>
      </c>
      <c r="K368" s="87">
        <v>389</v>
      </c>
    </row>
    <row r="369" spans="1:11" x14ac:dyDescent="0.25">
      <c r="A369" s="87" t="s">
        <v>215</v>
      </c>
      <c r="B369" s="88" t="s">
        <v>200</v>
      </c>
      <c r="C369" s="87">
        <v>220</v>
      </c>
      <c r="D369" s="87">
        <v>308</v>
      </c>
      <c r="E369" s="87">
        <v>289</v>
      </c>
      <c r="F369" s="87">
        <v>415</v>
      </c>
      <c r="G369" s="87">
        <v>427</v>
      </c>
      <c r="H369" s="87">
        <v>394</v>
      </c>
      <c r="I369" s="87">
        <v>213</v>
      </c>
      <c r="J369" s="87">
        <v>312</v>
      </c>
      <c r="K369" s="87">
        <v>402</v>
      </c>
    </row>
    <row r="370" spans="1:11" x14ac:dyDescent="0.25">
      <c r="A370" s="87" t="s">
        <v>215</v>
      </c>
      <c r="B370" s="88" t="s">
        <v>201</v>
      </c>
      <c r="C370" s="87">
        <v>257</v>
      </c>
      <c r="D370" s="87">
        <v>353</v>
      </c>
      <c r="E370" s="87">
        <v>360</v>
      </c>
      <c r="F370" s="87">
        <v>430</v>
      </c>
      <c r="G370" s="87">
        <v>430</v>
      </c>
      <c r="H370" s="87">
        <v>412</v>
      </c>
      <c r="I370" s="87">
        <v>263</v>
      </c>
      <c r="J370" s="87">
        <v>331</v>
      </c>
      <c r="K370" s="87">
        <v>402</v>
      </c>
    </row>
    <row r="371" spans="1:11" x14ac:dyDescent="0.25">
      <c r="A371" s="87" t="s">
        <v>215</v>
      </c>
      <c r="B371" s="88" t="s">
        <v>202</v>
      </c>
      <c r="C371" s="87">
        <v>284</v>
      </c>
      <c r="D371" s="87">
        <v>365</v>
      </c>
      <c r="E371" s="87">
        <v>413</v>
      </c>
      <c r="F371" s="87">
        <v>439</v>
      </c>
      <c r="G371" s="87">
        <v>442</v>
      </c>
      <c r="H371" s="87">
        <v>397</v>
      </c>
      <c r="I371" s="87">
        <v>267</v>
      </c>
      <c r="J371" s="87">
        <v>330</v>
      </c>
      <c r="K371" s="87">
        <v>405</v>
      </c>
    </row>
    <row r="372" spans="1:11" x14ac:dyDescent="0.25">
      <c r="A372" s="87" t="s">
        <v>215</v>
      </c>
      <c r="B372" s="88" t="s">
        <v>203</v>
      </c>
      <c r="C372" s="87">
        <v>286</v>
      </c>
      <c r="D372" s="87">
        <v>386</v>
      </c>
      <c r="E372" s="87">
        <v>394</v>
      </c>
      <c r="F372" s="87">
        <v>440</v>
      </c>
      <c r="G372" s="87">
        <v>433</v>
      </c>
      <c r="H372" s="87">
        <v>378</v>
      </c>
      <c r="I372" s="87">
        <v>293</v>
      </c>
      <c r="J372" s="87">
        <v>328</v>
      </c>
      <c r="K372" s="87">
        <v>413</v>
      </c>
    </row>
    <row r="373" spans="1:11" x14ac:dyDescent="0.25">
      <c r="A373" s="87" t="s">
        <v>215</v>
      </c>
      <c r="B373" s="88" t="s">
        <v>204</v>
      </c>
      <c r="C373" s="87">
        <v>271</v>
      </c>
      <c r="D373" s="87">
        <v>414</v>
      </c>
      <c r="E373" s="87">
        <v>398</v>
      </c>
      <c r="F373" s="87">
        <v>441</v>
      </c>
      <c r="G373" s="87">
        <v>441</v>
      </c>
      <c r="H373" s="87">
        <v>402</v>
      </c>
      <c r="I373" s="87">
        <v>309</v>
      </c>
      <c r="J373" s="87">
        <v>320</v>
      </c>
      <c r="K373" s="87">
        <v>413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disablePrompts="1"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Thomas Wuebben</cp:lastModifiedBy>
  <cp:revision/>
  <dcterms:created xsi:type="dcterms:W3CDTF">2017-05-03T09:23:30Z</dcterms:created>
  <dcterms:modified xsi:type="dcterms:W3CDTF">2023-02-20T15:14:58Z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