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0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30" l="1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  <comment ref="S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7lts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<sst xmlns="http://schemas.openxmlformats.org/spreadsheetml/2006/main" count="550" uniqueCount="330">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</sst>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2895</c:v>
                </c:pt>
                <c:pt idx="15">
                  <c:v>2779</c:v>
                </c:pt>
                <c:pt idx="16">
                  <c:v>2842</c:v>
                </c:pt>
                <c:pt idx="17">
                  <c:v>2704</c:v>
                </c:pt>
                <c:pt idx="18">
                  <c:v>3041</c:v>
                </c:pt>
                <c:pt idx="19">
                  <c:v>2985</c:v>
                </c:pt>
                <c:pt idx="20">
                  <c:v>2884</c:v>
                </c:pt>
                <c:pt idx="21">
                  <c:v>2922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1385600"/>
        <c:axId val="904478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0449408"/>
        <c:axId val="90450944"/>
      </c:lineChart>
      <c:catAx>
        <c:axId val="13138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7872"/>
        <c:crosses val="autoZero"/>
        <c:auto val="1"/>
        <c:lblAlgn val="ctr"/>
        <c:lblOffset val="100"/>
      </c:catAx>
      <c:valAx>
        <c:axId val="904478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85600"/>
        <c:crosses val="autoZero"/>
        <c:crossBetween val="between"/>
        <c:majorUnit val="200"/>
      </c:valAx>
      <c:catAx>
        <c:axId val="90449408"/>
        <c:scaling>
          <c:orientation val="minMax"/>
        </c:scaling>
        <c:delete val="1"/>
        <c:axPos val="b"/>
        <c:tickLblPos val="none"/>
        <c:crossAx val="90450944"/>
        <c:crosses val="autoZero"/>
        <c:auto val="1"/>
        <c:lblAlgn val="ctr"/>
        <c:lblOffset val="100"/>
      </c:catAx>
      <c:valAx>
        <c:axId val="90450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49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0485120"/>
        <c:axId val="904866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0488192"/>
        <c:axId val="90494080"/>
      </c:lineChart>
      <c:catAx>
        <c:axId val="9048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6656"/>
        <c:crosses val="autoZero"/>
        <c:auto val="1"/>
        <c:lblAlgn val="ctr"/>
        <c:lblOffset val="100"/>
      </c:catAx>
      <c:valAx>
        <c:axId val="9048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5120"/>
        <c:crosses val="autoZero"/>
        <c:crossBetween val="between"/>
        <c:majorUnit val="200"/>
      </c:valAx>
      <c:catAx>
        <c:axId val="90488192"/>
        <c:scaling>
          <c:orientation val="minMax"/>
        </c:scaling>
        <c:delete val="1"/>
        <c:axPos val="b"/>
        <c:tickLblPos val="none"/>
        <c:crossAx val="90494080"/>
        <c:crosses val="autoZero"/>
        <c:auto val="1"/>
        <c:lblAlgn val="ctr"/>
        <c:lblOffset val="100"/>
      </c:catAx>
      <c:valAx>
        <c:axId val="90494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8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2091904"/>
        <c:axId val="92093440"/>
      </c:lineChart>
      <c:catAx>
        <c:axId val="9209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3440"/>
        <c:crosses val="autoZero"/>
        <c:auto val="1"/>
        <c:lblAlgn val="ctr"/>
        <c:lblOffset val="200"/>
        <c:tickLblSkip val="1"/>
      </c:catAx>
      <c:valAx>
        <c:axId val="92093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2122112"/>
        <c:axId val="92422912"/>
      </c:lineChart>
      <c:catAx>
        <c:axId val="9212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22912"/>
        <c:crosses val="autoZero"/>
        <c:auto val="1"/>
        <c:lblAlgn val="ctr"/>
        <c:lblOffset val="100"/>
      </c:catAx>
      <c:valAx>
        <c:axId val="924229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2459776"/>
        <c:axId val="92461696"/>
      </c:lineChart>
      <c:catAx>
        <c:axId val="92459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1696"/>
        <c:crosses val="autoZero"/>
        <c:auto val="1"/>
        <c:lblAlgn val="ctr"/>
        <c:lblOffset val="100"/>
      </c:catAx>
      <c:valAx>
        <c:axId val="92461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59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1991040"/>
        <c:axId val="92001408"/>
      </c:lineChart>
      <c:catAx>
        <c:axId val="91991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01408"/>
        <c:crosses val="autoZero"/>
        <c:auto val="1"/>
        <c:lblAlgn val="ctr"/>
        <c:lblOffset val="100"/>
      </c:catAx>
      <c:valAx>
        <c:axId val="920014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1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-332803.72400000005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3464064"/>
        <c:axId val="93465600"/>
      </c:lineChart>
      <c:catAx>
        <c:axId val="9346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5600"/>
        <c:crosses val="autoZero"/>
        <c:auto val="1"/>
        <c:lblAlgn val="ctr"/>
        <c:lblOffset val="100"/>
      </c:catAx>
      <c:valAx>
        <c:axId val="93465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3507584"/>
        <c:axId val="93509120"/>
      </c:lineChart>
      <c:catAx>
        <c:axId val="9350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9120"/>
        <c:crosses val="autoZero"/>
        <c:auto val="1"/>
        <c:lblAlgn val="ctr"/>
        <c:lblOffset val="100"/>
      </c:catAx>
      <c:valAx>
        <c:axId val="9350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3021312"/>
        <c:axId val="93022848"/>
      </c:lineChart>
      <c:catAx>
        <c:axId val="9302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2848"/>
        <c:crosses val="autoZero"/>
        <c:auto val="1"/>
        <c:lblAlgn val="ctr"/>
        <c:lblOffset val="100"/>
      </c:catAx>
      <c:valAx>
        <c:axId val="9302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513"/>
          <c:y val="7.471324705112024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3047424"/>
        <c:axId val="94044544"/>
      </c:lineChart>
      <c:catAx>
        <c:axId val="930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44544"/>
        <c:crosses val="autoZero"/>
        <c:auto val="1"/>
        <c:lblAlgn val="ctr"/>
        <c:lblOffset val="200"/>
        <c:tickLblSkip val="1"/>
      </c:catAx>
      <c:valAx>
        <c:axId val="94044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4081792"/>
        <c:axId val="94083328"/>
      </c:lineChart>
      <c:catAx>
        <c:axId val="9408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3328"/>
        <c:crosses val="autoZero"/>
        <c:auto val="1"/>
        <c:lblAlgn val="ctr"/>
        <c:lblOffset val="100"/>
      </c:catAx>
      <c:valAx>
        <c:axId val="9408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4103808"/>
        <c:axId val="94605696"/>
      </c:lineChart>
      <c:catAx>
        <c:axId val="94103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05696"/>
        <c:crosses val="autoZero"/>
        <c:auto val="1"/>
        <c:lblAlgn val="ctr"/>
        <c:lblOffset val="100"/>
      </c:catAx>
      <c:valAx>
        <c:axId val="946056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038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4851840"/>
        <c:axId val="94853760"/>
      </c:lineChart>
      <c:catAx>
        <c:axId val="94851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53760"/>
        <c:crosses val="autoZero"/>
        <c:auto val="1"/>
        <c:lblAlgn val="ctr"/>
        <c:lblOffset val="100"/>
      </c:catAx>
      <c:valAx>
        <c:axId val="94853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51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4882816"/>
        <c:axId val="94765824"/>
      </c:lineChart>
      <c:catAx>
        <c:axId val="9488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65824"/>
        <c:crosses val="autoZero"/>
        <c:auto val="1"/>
        <c:lblAlgn val="ctr"/>
        <c:lblOffset val="100"/>
      </c:catAx>
      <c:valAx>
        <c:axId val="9476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8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4807552"/>
        <c:axId val="94809088"/>
      </c:lineChart>
      <c:catAx>
        <c:axId val="9480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09088"/>
        <c:crosses val="autoZero"/>
        <c:auto val="1"/>
        <c:lblAlgn val="ctr"/>
        <c:lblOffset val="100"/>
      </c:catAx>
      <c:valAx>
        <c:axId val="9480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0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5369856"/>
        <c:axId val="95379840"/>
      </c:lineChart>
      <c:catAx>
        <c:axId val="953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9840"/>
        <c:crosses val="autoZero"/>
        <c:auto val="1"/>
        <c:lblAlgn val="ctr"/>
        <c:lblOffset val="100"/>
      </c:catAx>
      <c:valAx>
        <c:axId val="9537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6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89"/>
          <c:y val="7.471324705112064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5737344"/>
        <c:axId val="9573888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5752960"/>
        <c:axId val="95754496"/>
      </c:lineChart>
      <c:catAx>
        <c:axId val="957373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8880"/>
        <c:crosses val="autoZero"/>
        <c:lblAlgn val="ctr"/>
        <c:lblOffset val="100"/>
        <c:tickMarkSkip val="1"/>
      </c:catAx>
      <c:valAx>
        <c:axId val="95738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7344"/>
        <c:crosses val="autoZero"/>
        <c:crossBetween val="between"/>
      </c:valAx>
      <c:catAx>
        <c:axId val="95752960"/>
        <c:scaling>
          <c:orientation val="minMax"/>
        </c:scaling>
        <c:delete val="1"/>
        <c:axPos val="b"/>
        <c:numFmt formatCode="[$-409]d\-mmm\-yy;@" sourceLinked="1"/>
        <c:tickLblPos val="none"/>
        <c:crossAx val="95754496"/>
        <c:crosses val="autoZero"/>
        <c:lblAlgn val="ctr"/>
        <c:lblOffset val="100"/>
      </c:catAx>
      <c:valAx>
        <c:axId val="9575449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52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5791360"/>
        <c:axId val="95805440"/>
      </c:lineChart>
      <c:catAx>
        <c:axId val="9579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5440"/>
        <c:crosses val="autoZero"/>
        <c:auto val="1"/>
        <c:lblAlgn val="ctr"/>
        <c:lblOffset val="100"/>
      </c:catAx>
      <c:valAx>
        <c:axId val="958054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7021952"/>
        <c:axId val="97023488"/>
      </c:lineChart>
      <c:catAx>
        <c:axId val="9702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3488"/>
        <c:crosses val="autoZero"/>
        <c:auto val="1"/>
        <c:lblAlgn val="ctr"/>
        <c:lblOffset val="100"/>
      </c:catAx>
      <c:valAx>
        <c:axId val="970234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7460224"/>
        <c:axId val="974617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7463296"/>
        <c:axId val="97477376"/>
      </c:lineChart>
      <c:catAx>
        <c:axId val="974602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61760"/>
        <c:crosses val="autoZero"/>
        <c:lblAlgn val="ctr"/>
        <c:lblOffset val="100"/>
        <c:tickMarkSkip val="1"/>
      </c:catAx>
      <c:valAx>
        <c:axId val="9746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60224"/>
        <c:crosses val="autoZero"/>
        <c:crossBetween val="between"/>
      </c:valAx>
      <c:catAx>
        <c:axId val="97463296"/>
        <c:scaling>
          <c:orientation val="minMax"/>
        </c:scaling>
        <c:delete val="1"/>
        <c:axPos val="b"/>
        <c:numFmt formatCode="General" sourceLinked="1"/>
        <c:tickLblPos val="none"/>
        <c:crossAx val="97477376"/>
        <c:crosses val="autoZero"/>
        <c:lblAlgn val="ctr"/>
        <c:lblOffset val="100"/>
      </c:catAx>
      <c:valAx>
        <c:axId val="97477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63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8042624"/>
        <c:axId val="98044160"/>
      </c:lineChart>
      <c:catAx>
        <c:axId val="980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4160"/>
        <c:crosses val="autoZero"/>
        <c:auto val="1"/>
        <c:lblAlgn val="ctr"/>
        <c:lblOffset val="100"/>
      </c:catAx>
      <c:valAx>
        <c:axId val="98044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8064640"/>
        <c:axId val="98086912"/>
      </c:lineChart>
      <c:catAx>
        <c:axId val="9806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86912"/>
        <c:crosses val="autoZero"/>
        <c:auto val="1"/>
        <c:lblAlgn val="ctr"/>
        <c:lblOffset val="100"/>
      </c:catAx>
      <c:valAx>
        <c:axId val="9808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1448832"/>
        <c:axId val="9145036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1460352"/>
        <c:axId val="91461888"/>
      </c:lineChart>
      <c:catAx>
        <c:axId val="91448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50368"/>
        <c:crosses val="autoZero"/>
        <c:lblAlgn val="ctr"/>
        <c:lblOffset val="100"/>
        <c:tickMarkSkip val="1"/>
      </c:catAx>
      <c:valAx>
        <c:axId val="91450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48832"/>
        <c:crosses val="autoZero"/>
        <c:crossBetween val="between"/>
      </c:valAx>
      <c:catAx>
        <c:axId val="91460352"/>
        <c:scaling>
          <c:orientation val="minMax"/>
        </c:scaling>
        <c:delete val="1"/>
        <c:axPos val="b"/>
        <c:numFmt formatCode="[$-409]d\-mmm\-yy;@" sourceLinked="1"/>
        <c:tickLblPos val="none"/>
        <c:crossAx val="91461888"/>
        <c:crosses val="autoZero"/>
        <c:lblAlgn val="ctr"/>
        <c:lblOffset val="100"/>
      </c:catAx>
      <c:valAx>
        <c:axId val="914618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60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2263936"/>
        <c:axId val="1322654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2267008"/>
        <c:axId val="132281088"/>
      </c:lineChart>
      <c:catAx>
        <c:axId val="1322639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5472"/>
        <c:crosses val="autoZero"/>
        <c:lblAlgn val="ctr"/>
        <c:lblOffset val="100"/>
        <c:tickMarkSkip val="1"/>
      </c:catAx>
      <c:valAx>
        <c:axId val="132265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3936"/>
        <c:crosses val="autoZero"/>
        <c:crossBetween val="between"/>
      </c:valAx>
      <c:catAx>
        <c:axId val="132267008"/>
        <c:scaling>
          <c:orientation val="minMax"/>
        </c:scaling>
        <c:delete val="1"/>
        <c:axPos val="b"/>
        <c:numFmt formatCode="General" sourceLinked="1"/>
        <c:tickLblPos val="none"/>
        <c:crossAx val="132281088"/>
        <c:crosses val="autoZero"/>
        <c:lblAlgn val="ctr"/>
        <c:lblOffset val="100"/>
      </c:catAx>
      <c:valAx>
        <c:axId val="1322810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7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2697088"/>
        <c:axId val="13269888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2700416"/>
        <c:axId val="133824512"/>
      </c:lineChart>
      <c:catAx>
        <c:axId val="132697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98880"/>
        <c:crosses val="autoZero"/>
        <c:lblAlgn val="ctr"/>
        <c:lblOffset val="100"/>
        <c:tickMarkSkip val="1"/>
      </c:catAx>
      <c:valAx>
        <c:axId val="132698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97088"/>
        <c:crosses val="autoZero"/>
        <c:crossBetween val="between"/>
      </c:valAx>
      <c:catAx>
        <c:axId val="132700416"/>
        <c:scaling>
          <c:orientation val="minMax"/>
        </c:scaling>
        <c:delete val="1"/>
        <c:axPos val="b"/>
        <c:numFmt formatCode="[$-409]d\-mmm\-yy;@" sourceLinked="1"/>
        <c:tickLblPos val="none"/>
        <c:crossAx val="133824512"/>
        <c:crosses val="autoZero"/>
        <c:lblAlgn val="ctr"/>
        <c:lblOffset val="100"/>
      </c:catAx>
      <c:valAx>
        <c:axId val="1338245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00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3867008"/>
        <c:axId val="1338685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3870336"/>
        <c:axId val="133871872"/>
      </c:lineChart>
      <c:catAx>
        <c:axId val="133867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8544"/>
        <c:crosses val="autoZero"/>
        <c:lblAlgn val="ctr"/>
        <c:lblOffset val="100"/>
        <c:tickMarkSkip val="1"/>
      </c:catAx>
      <c:valAx>
        <c:axId val="13386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67008"/>
        <c:crosses val="autoZero"/>
        <c:crossBetween val="between"/>
      </c:valAx>
      <c:catAx>
        <c:axId val="133870336"/>
        <c:scaling>
          <c:orientation val="minMax"/>
        </c:scaling>
        <c:delete val="1"/>
        <c:axPos val="b"/>
        <c:numFmt formatCode="General" sourceLinked="1"/>
        <c:tickLblPos val="none"/>
        <c:crossAx val="133871872"/>
        <c:crosses val="autoZero"/>
        <c:lblAlgn val="ctr"/>
        <c:lblOffset val="100"/>
      </c:catAx>
      <c:valAx>
        <c:axId val="133871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70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4568576"/>
        <c:axId val="134587136"/>
      </c:lineChart>
      <c:catAx>
        <c:axId val="134568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87136"/>
        <c:crosses val="autoZero"/>
        <c:auto val="1"/>
        <c:lblAlgn val="ctr"/>
        <c:lblOffset val="100"/>
      </c:catAx>
      <c:valAx>
        <c:axId val="1345871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68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4603904"/>
        <c:axId val="134605824"/>
      </c:lineChart>
      <c:catAx>
        <c:axId val="134603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05824"/>
        <c:crosses val="autoZero"/>
        <c:auto val="1"/>
        <c:lblAlgn val="ctr"/>
        <c:lblOffset val="100"/>
      </c:catAx>
      <c:valAx>
        <c:axId val="134605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03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4057344"/>
        <c:axId val="134071424"/>
      </c:lineChart>
      <c:catAx>
        <c:axId val="13405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71424"/>
        <c:crosses val="autoZero"/>
        <c:auto val="1"/>
        <c:lblAlgn val="ctr"/>
        <c:lblOffset val="200"/>
        <c:tickLblSkip val="1"/>
      </c:catAx>
      <c:valAx>
        <c:axId val="134071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5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2014336"/>
        <c:axId val="162015872"/>
      </c:lineChart>
      <c:catAx>
        <c:axId val="16201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5872"/>
        <c:crosses val="autoZero"/>
        <c:auto val="1"/>
        <c:lblAlgn val="ctr"/>
        <c:lblOffset val="100"/>
      </c:catAx>
      <c:valAx>
        <c:axId val="162015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-332803.72400000005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048640"/>
        <c:axId val="161812864"/>
      </c:lineChart>
      <c:catAx>
        <c:axId val="1620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2864"/>
        <c:crosses val="autoZero"/>
        <c:auto val="1"/>
        <c:lblAlgn val="ctr"/>
        <c:lblOffset val="100"/>
      </c:catAx>
      <c:valAx>
        <c:axId val="161812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0.41297325826882481</c:v>
                </c:pt>
                <c:pt idx="18">
                  <c:v>0.42228180473372778</c:v>
                </c:pt>
                <c:pt idx="19">
                  <c:v>0.40914830647813222</c:v>
                </c:pt>
                <c:pt idx="20">
                  <c:v>0.41326633165829141</c:v>
                </c:pt>
                <c:pt idx="21">
                  <c:v>0.42231622746185854</c:v>
                </c:pt>
                <c:pt idx="22">
                  <c:v>0.41951745379876793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862016"/>
        <c:axId val="161863936"/>
      </c:lineChart>
      <c:catAx>
        <c:axId val="161862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63936"/>
        <c:crosses val="autoZero"/>
        <c:auto val="1"/>
        <c:lblAlgn val="ctr"/>
        <c:lblOffset val="100"/>
      </c:catAx>
      <c:valAx>
        <c:axId val="161863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62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73</c:v>
                </c:pt>
                <c:pt idx="18">
                  <c:v>67</c:v>
                </c:pt>
                <c:pt idx="19">
                  <c:v>62</c:v>
                </c:pt>
                <c:pt idx="20">
                  <c:v>42</c:v>
                </c:pt>
                <c:pt idx="21">
                  <c:v>42</c:v>
                </c:pt>
                <c:pt idx="22">
                  <c:v>57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2867840"/>
        <c:axId val="162902784"/>
      </c:lineChart>
      <c:catAx>
        <c:axId val="16286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2784"/>
        <c:crosses val="autoZero"/>
        <c:auto val="1"/>
        <c:lblAlgn val="ctr"/>
        <c:lblOffset val="100"/>
      </c:catAx>
      <c:valAx>
        <c:axId val="162902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2842</c:v>
                </c:pt>
                <c:pt idx="20">
                  <c:v>2704</c:v>
                </c:pt>
                <c:pt idx="21">
                  <c:v>3041</c:v>
                </c:pt>
                <c:pt idx="22">
                  <c:v>2985</c:v>
                </c:pt>
                <c:pt idx="23">
                  <c:v>2884</c:v>
                </c:pt>
                <c:pt idx="24">
                  <c:v>2922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517568"/>
        <c:axId val="163519104"/>
      </c:lineChart>
      <c:catAx>
        <c:axId val="1635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9104"/>
        <c:crosses val="autoZero"/>
        <c:auto val="1"/>
        <c:lblAlgn val="ctr"/>
        <c:lblOffset val="200"/>
        <c:tickLblSkip val="1"/>
      </c:catAx>
      <c:valAx>
        <c:axId val="163519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551872"/>
        <c:axId val="163565952"/>
      </c:lineChart>
      <c:catAx>
        <c:axId val="16355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5952"/>
        <c:crosses val="autoZero"/>
        <c:auto val="1"/>
        <c:lblAlgn val="ctr"/>
        <c:lblOffset val="100"/>
      </c:catAx>
      <c:valAx>
        <c:axId val="1635659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5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147.09200000003329</c:v>
                </c:pt>
                <c:pt idx="19">
                  <c:v>74.315999999997445</c:v>
                </c:pt>
                <c:pt idx="20">
                  <c:v>100.36399999998976</c:v>
                </c:pt>
                <c:pt idx="21">
                  <c:v>90.595999999984642</c:v>
                </c:pt>
                <c:pt idx="22">
                  <c:v>95.260000000038431</c:v>
                </c:pt>
                <c:pt idx="23">
                  <c:v>-332803.72400000005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4188544"/>
        <c:axId val="164190080"/>
      </c:lineChart>
      <c:catAx>
        <c:axId val="16418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90080"/>
        <c:crosses val="autoZero"/>
        <c:auto val="1"/>
        <c:lblAlgn val="ctr"/>
        <c:lblOffset val="100"/>
      </c:catAx>
      <c:valAx>
        <c:axId val="164190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8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3063680"/>
        <c:axId val="163078144"/>
      </c:lineChart>
      <c:catAx>
        <c:axId val="163063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78144"/>
        <c:crosses val="autoZero"/>
        <c:auto val="1"/>
        <c:lblAlgn val="ctr"/>
        <c:lblOffset val="100"/>
      </c:catAx>
      <c:valAx>
        <c:axId val="163078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63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3115392"/>
        <c:axId val="163117312"/>
      </c:lineChart>
      <c:catAx>
        <c:axId val="163115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17312"/>
        <c:crosses val="autoZero"/>
        <c:auto val="1"/>
        <c:lblAlgn val="ctr"/>
        <c:lblOffset val="100"/>
      </c:catAx>
      <c:valAx>
        <c:axId val="163117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153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4784768"/>
        <c:axId val="164794752"/>
      </c:lineChart>
      <c:catAx>
        <c:axId val="16478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94752"/>
        <c:crosses val="autoZero"/>
        <c:auto val="1"/>
        <c:lblAlgn val="ctr"/>
        <c:lblOffset val="200"/>
        <c:tickLblSkip val="1"/>
      </c:catAx>
      <c:valAx>
        <c:axId val="164794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4819328"/>
        <c:axId val="164820864"/>
      </c:lineChart>
      <c:catAx>
        <c:axId val="16481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20864"/>
        <c:crosses val="autoZero"/>
        <c:auto val="1"/>
        <c:lblAlgn val="ctr"/>
        <c:lblOffset val="100"/>
      </c:catAx>
      <c:valAx>
        <c:axId val="16482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5042048"/>
        <c:axId val="165043584"/>
      </c:lineChart>
      <c:catAx>
        <c:axId val="16504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43584"/>
        <c:crosses val="autoZero"/>
        <c:auto val="1"/>
        <c:lblAlgn val="ctr"/>
        <c:lblOffset val="100"/>
      </c:catAx>
      <c:valAx>
        <c:axId val="16504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4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5547392"/>
        <c:axId val="165565952"/>
      </c:lineChart>
      <c:catAx>
        <c:axId val="165547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5952"/>
        <c:crosses val="autoZero"/>
        <c:auto val="1"/>
        <c:lblAlgn val="ctr"/>
        <c:lblOffset val="100"/>
      </c:catAx>
      <c:valAx>
        <c:axId val="165565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473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5357440"/>
        <c:axId val="165376000"/>
      </c:lineChart>
      <c:catAx>
        <c:axId val="165357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76000"/>
        <c:crosses val="autoZero"/>
        <c:auto val="1"/>
        <c:lblAlgn val="ctr"/>
        <c:lblOffset val="100"/>
      </c:catAx>
      <c:valAx>
        <c:axId val="1653760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57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5400960"/>
        <c:axId val="165402496"/>
      </c:lineChart>
      <c:catAx>
        <c:axId val="16540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02496"/>
        <c:crosses val="autoZero"/>
        <c:auto val="1"/>
        <c:lblAlgn val="ctr"/>
        <c:lblOffset val="200"/>
        <c:tickLblSkip val="1"/>
      </c:catAx>
      <c:valAx>
        <c:axId val="1654024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0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5894016"/>
        <c:axId val="165895552"/>
      </c:lineChart>
      <c:catAx>
        <c:axId val="16589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95552"/>
        <c:crosses val="autoZero"/>
        <c:auto val="1"/>
        <c:lblAlgn val="ctr"/>
        <c:lblOffset val="100"/>
      </c:catAx>
      <c:valAx>
        <c:axId val="16589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9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6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5911936"/>
        <c:axId val="165930112"/>
      </c:lineChart>
      <c:catAx>
        <c:axId val="16591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30112"/>
        <c:crosses val="autoZero"/>
        <c:auto val="1"/>
        <c:lblAlgn val="ctr"/>
        <c:lblOffset val="100"/>
      </c:catAx>
      <c:valAx>
        <c:axId val="16593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1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2895</v>
      </c>
      <c r="F17" s="418">
        <f>('UTILITY REPORT 1'!E18*'UTILITY REPORT 1'!D18)/'UTILITY REPORT 1'!F18</f>
        <v>0.41088773747841106</v>
      </c>
      <c r="G17" s="418">
        <f>IF('Utility summery'!M21&lt;0,"0",'Utility summery'!M21)</f>
        <v>64.371999999956472</v>
      </c>
      <c r="H17" s="423">
        <v>0</v>
      </c>
      <c r="I17" s="418">
        <f>IF('UTILITY REPORT 1'!G18&lt;0,"0",'UTILITY REPORT 1'!G18)</f>
        <v>60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2779</v>
      </c>
      <c r="F18" s="418">
        <f>('UTILITY REPORT 1'!E19*'UTILITY REPORT 1'!D19)/'UTILITY REPORT 1'!F19</f>
        <v>0.37978409499820082</v>
      </c>
      <c r="G18" s="418">
        <f>IF('Utility summery'!M22&lt;0,"0",'Utility summery'!M22)</f>
        <v>81.620000000012809</v>
      </c>
      <c r="H18" s="423">
        <v>0</v>
      </c>
      <c r="I18" s="418">
        <f>IF('UTILITY REPORT 1'!G19&lt;0,"0",'UTILITY REPORT 1'!G19)</f>
        <v>64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2842</v>
      </c>
      <c r="F19" s="418">
        <f>('UTILITY REPORT 1'!E20*'UTILITY REPORT 1'!D20)/'UTILITY REPORT 1'!F20</f>
        <v>0.41297325826882481</v>
      </c>
      <c r="G19" s="418">
        <f>IF('Utility summery'!M23&lt;0,"0",'Utility summery'!M23)</f>
        <v>66.395999999984639</v>
      </c>
      <c r="H19" s="423">
        <v>0</v>
      </c>
      <c r="I19" s="418">
        <f>IF('UTILITY REPORT 1'!G20&lt;0,"0",'UTILITY REPORT 1'!G20)</f>
        <v>73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2704</v>
      </c>
      <c r="F20" s="418">
        <f>('UTILITY REPORT 1'!E21*'UTILITY REPORT 1'!D21)/'UTILITY REPORT 1'!F21</f>
        <v>0.42228180473372778</v>
      </c>
      <c r="G20" s="418">
        <f>IF('Utility summery'!M24&lt;0,"0",'Utility summery'!M24)</f>
        <v>147.09200000003329</v>
      </c>
      <c r="H20" s="423">
        <v>0</v>
      </c>
      <c r="I20" s="418">
        <f>IF('UTILITY REPORT 1'!G21&lt;0,"0",'UTILITY REPORT 1'!G21)</f>
        <v>67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3041</v>
      </c>
      <c r="F21" s="418">
        <f>('UTILITY REPORT 1'!E22*'UTILITY REPORT 1'!D22)/'UTILITY REPORT 1'!F22</f>
        <v>0.40914830647813222</v>
      </c>
      <c r="G21" s="418">
        <f>IF('Utility summery'!M25&lt;0,"0",'Utility summery'!M25)</f>
        <v>74.315999999997445</v>
      </c>
      <c r="H21" s="423">
        <v>0</v>
      </c>
      <c r="I21" s="418">
        <f>IF('UTILITY REPORT 1'!G22&lt;0,"0",'UTILITY REPORT 1'!G22)</f>
        <v>62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2985</v>
      </c>
      <c r="F22" s="418">
        <f>('UTILITY REPORT 1'!E23*'UTILITY REPORT 1'!D23)/'UTILITY REPORT 1'!F23</f>
        <v>0.41326633165829141</v>
      </c>
      <c r="G22" s="418">
        <f>IF('Utility summery'!M26&lt;0,"0",'Utility summery'!M26)</f>
        <v>100.36399999998976</v>
      </c>
      <c r="H22" s="423">
        <v>0</v>
      </c>
      <c r="I22" s="418">
        <f>IF('UTILITY REPORT 1'!G23&lt;0,"0",'UTILITY REPORT 1'!G23)</f>
        <v>42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2884</v>
      </c>
      <c r="F23" s="418">
        <f>('UTILITY REPORT 1'!E24*'UTILITY REPORT 1'!D24)/'UTILITY REPORT 1'!F24</f>
        <v>0.42231622746185854</v>
      </c>
      <c r="G23" s="418">
        <f>IF('Utility summery'!M27&lt;0,"0",'Utility summery'!M27)</f>
        <v>90.595999999984642</v>
      </c>
      <c r="H23" s="423">
        <v>0</v>
      </c>
      <c r="I23" s="418">
        <f>IF('UTILITY REPORT 1'!G24&lt;0,"0",'UTILITY REPORT 1'!G24)</f>
        <v>42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2922</v>
      </c>
      <c r="F24" s="418">
        <f>('UTILITY REPORT 1'!E25*'UTILITY REPORT 1'!D25)/'UTILITY REPORT 1'!F25</f>
        <v>0.41951745379876793</v>
      </c>
      <c r="G24" s="418">
        <f>IF('Utility summery'!M28&lt;0,"0",'Utility summery'!M28)</f>
        <v>95.260000000038431</v>
      </c>
      <c r="H24" s="423">
        <v>0</v>
      </c>
      <c r="I24" s="418">
        <f>IF('UTILITY REPORT 1'!G25&lt;0,"0",'UTILITY REPORT 1'!G25)</f>
        <v>57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 t="str">
        <f>IF('Utility summery'!M29&lt;0,"0",'Utility summery'!M29)</f>
        <v>0</v>
      </c>
      <c r="H25" s="423">
        <v>0</v>
      </c>
      <c r="I25" s="418" t="str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>
        <f>IF('UTILITY REPORT 1'!H17&lt;0,"0",'UTILITY REPORT 1'!H17)</f>
        <v>0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1189.52</v>
      </c>
      <c r="G17" s="457">
        <f>'UTILITY REPORT 1'!F18</f>
        <v>2895</v>
      </c>
      <c r="H17" s="456">
        <f>IF('Kit report'!F19&lt;0,"0",'Kit report'!F19)</f>
        <v>227.99999999995634</v>
      </c>
      <c r="I17" s="456">
        <f>IF('Kit report'!X19&lt;0,"0",'Kit report'!X19)</f>
        <v>379.99999999992724</v>
      </c>
      <c r="J17" s="456">
        <f>IF('Utility summery'!H21&lt;0,"0",'Utility summery'!H21)</f>
        <v>62</v>
      </c>
      <c r="K17" s="457">
        <f>IF('UTILITY REPORT 1'!H18&lt;0,"0",'UTILITY REPORT 1'!H18)</f>
        <v>0</v>
      </c>
      <c r="L17" s="456">
        <f>'Water-Meter'!K21</f>
        <v>3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60</v>
      </c>
      <c r="Q17" s="242">
        <f>IF('Water-Meter'!U21&lt;0,"0",'Water-Meter'!U21)</f>
        <v>58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16</v>
      </c>
      <c r="U17" s="242">
        <f>IF('Water-Meter'!AG21&lt;0,"0",'Water-Meter'!AG21)</f>
        <v>0</v>
      </c>
      <c r="V17" s="242">
        <f>IF('Water-Meter'!AJ21&lt;0,"0",'Water-Meter'!AJ21)</f>
        <v>27</v>
      </c>
      <c r="W17" s="30">
        <f>'Water-Meter'!AN21</f>
        <v>101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39.379999999999995</v>
      </c>
      <c r="F18" s="456">
        <f>'UTILITY REPORT 1'!E19</f>
        <v>1055.42</v>
      </c>
      <c r="G18" s="457">
        <f>'UTILITY REPORT 1'!F19</f>
        <v>2779</v>
      </c>
      <c r="H18" s="456">
        <f>IF('Kit report'!F20&lt;0,"0",'Kit report'!F20)</f>
        <v>240</v>
      </c>
      <c r="I18" s="456">
        <f>IF('Kit report'!X20&lt;0,"0",'Kit report'!X20)</f>
        <v>260.00000000003638</v>
      </c>
      <c r="J18" s="456">
        <f>IF('Utility summery'!H22&lt;0,"0",'Utility summery'!H22)</f>
        <v>65</v>
      </c>
      <c r="K18" s="457">
        <f>IF('UTILITY REPORT 1'!H19&lt;0,"0",'UTILITY REPORT 1'!H19)</f>
        <v>0</v>
      </c>
      <c r="L18" s="456">
        <f>'Water-Meter'!K22</f>
        <v>4</v>
      </c>
      <c r="M18" s="457">
        <f>'Water-Meter'!H22</f>
        <v>0</v>
      </c>
      <c r="N18" s="457">
        <f>'Water-Meter'!Q22</f>
        <v>3</v>
      </c>
      <c r="O18" s="456" t="e">
        <f>K18*E18+H18*I18+#REF!*#REF!+J18*L18</f>
        <v>#REF!</v>
      </c>
      <c r="P18" s="462">
        <f>'Water-Meter'!E22</f>
        <v>64</v>
      </c>
      <c r="Q18" s="242">
        <f>IF('Water-Meter'!U22&lt;0,"0",'Water-Meter'!U22)</f>
        <v>84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18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130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200.72</v>
      </c>
      <c r="F19" s="456">
        <f>'UTILITY REPORT 1'!E20</f>
        <v>1173.67</v>
      </c>
      <c r="G19" s="457">
        <f>'UTILITY REPORT 1'!F20</f>
        <v>2842</v>
      </c>
      <c r="H19" s="456">
        <f>IF('Kit report'!F21&lt;0,"0",'Kit report'!F21)</f>
        <v>252.00000000004366</v>
      </c>
      <c r="I19" s="456">
        <f>IF('Kit report'!X21&lt;0,"0",'Kit report'!X21)</f>
        <v>420.00000000007276</v>
      </c>
      <c r="J19" s="456">
        <f>IF('Utility summery'!H23&lt;0,"0",'Utility summery'!H23)</f>
        <v>53</v>
      </c>
      <c r="K19" s="457">
        <f>IF('UTILITY REPORT 1'!H20&lt;0,"0",'UTILITY REPORT 1'!H20)</f>
        <v>0</v>
      </c>
      <c r="L19" s="456">
        <f>'Water-Meter'!K23</f>
        <v>2</v>
      </c>
      <c r="M19" s="457">
        <f>'Water-Meter'!H23</f>
        <v>0</v>
      </c>
      <c r="N19" s="457">
        <f>'Water-Meter'!Q23</f>
        <v>6</v>
      </c>
      <c r="O19" s="456" t="e">
        <f>K19*E19+H19*I19+#REF!*#REF!+J19*L19</f>
        <v>#REF!</v>
      </c>
      <c r="P19" s="462">
        <f>'Water-Meter'!E23</f>
        <v>73</v>
      </c>
      <c r="Q19" s="242">
        <f>IF('Water-Meter'!U23&lt;0,"0",'Water-Meter'!U23)</f>
        <v>85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15</v>
      </c>
      <c r="U19" s="242">
        <f>IF('Water-Meter'!AG23&lt;0,"0",'Water-Meter'!AG23)</f>
        <v>0</v>
      </c>
      <c r="V19" s="242">
        <f>IF('Water-Meter'!AJ23&lt;0,"0",'Water-Meter'!AJ23)</f>
        <v>25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24.2</v>
      </c>
      <c r="F20" s="456">
        <f>'UTILITY REPORT 1'!E21</f>
        <v>1141.8499999999999</v>
      </c>
      <c r="G20" s="457">
        <f>'UTILITY REPORT 1'!F21</f>
        <v>2704</v>
      </c>
      <c r="H20" s="456">
        <f>IF('Kit report'!F22&lt;0,"0",'Kit report'!F22)</f>
        <v>240</v>
      </c>
      <c r="I20" s="456">
        <f>IF('Kit report'!X22&lt;0,"0",'Kit report'!X22)</f>
        <v>400</v>
      </c>
      <c r="J20" s="456">
        <f>IF('Utility summery'!H24&lt;0,"0",'Utility summery'!H24)</f>
        <v>55</v>
      </c>
      <c r="K20" s="457">
        <f>IF('UTILITY REPORT 1'!H21&lt;0,"0",'UTILITY REPORT 1'!H21)</f>
        <v>0</v>
      </c>
      <c r="L20" s="456">
        <f>'Water-Meter'!K24</f>
        <v>2</v>
      </c>
      <c r="M20" s="457">
        <f>'Water-Meter'!H24</f>
        <v>0</v>
      </c>
      <c r="N20" s="457">
        <f>'Water-Meter'!Q24</f>
        <v>2</v>
      </c>
      <c r="O20" s="456" t="e">
        <f>K20*E20+H20*I20+#REF!*#REF!+J20*L20</f>
        <v>#REF!</v>
      </c>
      <c r="P20" s="462">
        <f>'Water-Meter'!E24</f>
        <v>67</v>
      </c>
      <c r="Q20" s="242">
        <f>IF('Water-Meter'!U24&lt;0,"0",'Water-Meter'!U24)</f>
        <v>84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17</v>
      </c>
      <c r="U20" s="242">
        <f>IF('Water-Meter'!AG24&lt;0,"0",'Water-Meter'!AG24)</f>
        <v>0</v>
      </c>
      <c r="V20" s="242">
        <f>IF('Water-Meter'!AJ24&lt;0,"0",'Water-Meter'!AJ24)</f>
        <v>27</v>
      </c>
      <c r="W20" s="30">
        <f>'Water-Meter'!AN24</f>
        <v>128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1244.22</v>
      </c>
      <c r="G21" s="457">
        <f>'UTILITY REPORT 1'!F22</f>
        <v>3041</v>
      </c>
      <c r="H21" s="456">
        <f>IF('Kit report'!F23&lt;0,"0",'Kit report'!F23)</f>
        <v>275.99999999991269</v>
      </c>
      <c r="I21" s="456">
        <f>IF('Kit report'!X23&lt;0,"0",'Kit report'!X23)</f>
        <v>259.99999999985448</v>
      </c>
      <c r="J21" s="456">
        <f>IF('Utility summery'!H25&lt;0,"0",'Utility summery'!H25)</f>
        <v>56</v>
      </c>
      <c r="K21" s="457">
        <f>IF('UTILITY REPORT 1'!H22&lt;0,"0",'UTILITY REPORT 1'!H22)</f>
        <v>0</v>
      </c>
      <c r="L21" s="456">
        <f>'Water-Meter'!K25</f>
        <v>2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62</v>
      </c>
      <c r="Q21" s="242">
        <f>IF('Water-Meter'!U25&lt;0,"0",'Water-Meter'!U25)</f>
        <v>58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15</v>
      </c>
      <c r="U21" s="242">
        <f>IF('Water-Meter'!AG25&lt;0,"0",'Water-Meter'!AG25)</f>
        <v>0</v>
      </c>
      <c r="V21" s="242">
        <f>IF('Water-Meter'!AJ25&lt;0,"0",'Water-Meter'!AJ25)</f>
        <v>25</v>
      </c>
      <c r="W21" s="30">
        <f>'Water-Meter'!AN25</f>
        <v>98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31.27</v>
      </c>
      <c r="F22" s="456">
        <f>'UTILITY REPORT 1'!E23</f>
        <v>1233.5999999999999</v>
      </c>
      <c r="G22" s="457">
        <f>'UTILITY REPORT 1'!F23</f>
        <v>2985</v>
      </c>
      <c r="H22" s="456">
        <f>IF('Kit report'!F24&lt;0,"0",'Kit report'!F24)</f>
        <v>324.00000000008731</v>
      </c>
      <c r="I22" s="456">
        <f>IF('Kit report'!X24&lt;0,"0",'Kit report'!X24)</f>
        <v>320.00000000007276</v>
      </c>
      <c r="J22" s="456">
        <f>IF('Utility summery'!H26&lt;0,"0",'Utility summery'!H26)</f>
        <v>64</v>
      </c>
      <c r="K22" s="457">
        <f>IF('UTILITY REPORT 1'!H23&lt;0,"0",'UTILITY REPORT 1'!H23)</f>
        <v>0</v>
      </c>
      <c r="L22" s="456">
        <f>'Water-Meter'!K26</f>
        <v>1</v>
      </c>
      <c r="M22" s="457">
        <f>'Water-Meter'!H26</f>
        <v>0</v>
      </c>
      <c r="N22" s="457">
        <f>'Water-Meter'!Q26</f>
        <v>4</v>
      </c>
      <c r="O22" s="456" t="e">
        <f>K22*E22+H22*I22+#REF!*#REF!+J22*L22</f>
        <v>#REF!</v>
      </c>
      <c r="P22" s="462">
        <f>'Water-Meter'!E26</f>
        <v>42</v>
      </c>
      <c r="Q22" s="242">
        <f>IF('Water-Meter'!U26&lt;0,"0",'Water-Meter'!U26)</f>
        <v>7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53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52.86</v>
      </c>
      <c r="F23" s="456">
        <f>'UTILITY REPORT 1'!E24</f>
        <v>1217.96</v>
      </c>
      <c r="G23" s="457">
        <f>'UTILITY REPORT 1'!F24</f>
        <v>2884</v>
      </c>
      <c r="H23" s="456">
        <f>IF('Kit report'!F25&lt;0,"0",'Kit report'!F25)</f>
        <v>275.99999999991269</v>
      </c>
      <c r="I23" s="456">
        <f>IF('Kit report'!X25&lt;0,"0",'Kit report'!X25)</f>
        <v>220.00000000007276</v>
      </c>
      <c r="J23" s="456">
        <f>IF('Utility summery'!H27&lt;0,"0",'Utility summery'!H27)</f>
        <v>50</v>
      </c>
      <c r="K23" s="457">
        <f>IF('UTILITY REPORT 1'!H24&lt;0,"0",'UTILITY REPORT 1'!H24)</f>
        <v>0</v>
      </c>
      <c r="L23" s="456">
        <f>'Water-Meter'!K27</f>
        <v>2</v>
      </c>
      <c r="M23" s="457">
        <f>'Water-Meter'!H27</f>
        <v>0</v>
      </c>
      <c r="N23" s="457">
        <f>'Water-Meter'!Q27</f>
        <v>5</v>
      </c>
      <c r="O23" s="456" t="e">
        <f>K23*E23+H23*I23+#REF!*#REF!+J23*L23</f>
        <v>#REF!</v>
      </c>
      <c r="P23" s="462">
        <f>'Water-Meter'!E27</f>
        <v>42</v>
      </c>
      <c r="Q23" s="242">
        <f>IF('Water-Meter'!U27&lt;0,"0",'Water-Meter'!U27)</f>
        <v>82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25</v>
      </c>
      <c r="W23" s="30">
        <f>'Water-Meter'!AN27</f>
        <v>123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1225.83</v>
      </c>
      <c r="G24" s="457">
        <f>'UTILITY REPORT 1'!F25</f>
        <v>2922</v>
      </c>
      <c r="H24" s="456">
        <f>IF('Kit report'!F26&lt;0,"0",'Kit report'!F26)</f>
        <v>276.00000000013097</v>
      </c>
      <c r="I24" s="456">
        <f>IF('Kit report'!X26&lt;0,"0",'Kit report'!X26)</f>
        <v>319.99999999989086</v>
      </c>
      <c r="J24" s="456">
        <f>IF('Utility summery'!H28&lt;0,"0",'Utility summery'!H28)</f>
        <v>61</v>
      </c>
      <c r="K24" s="457">
        <f>IF('UTILITY REPORT 1'!H25&lt;0,"0",'UTILITY REPORT 1'!H25)</f>
        <v>0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57</v>
      </c>
      <c r="Q24" s="242">
        <f>IF('Water-Meter'!U28&lt;0,"0",'Water-Meter'!U28)</f>
        <v>85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17</v>
      </c>
      <c r="U24" s="242">
        <f>IF('Water-Meter'!AG28&lt;0,"0",'Water-Meter'!AG28)</f>
        <v>0</v>
      </c>
      <c r="V24" s="242">
        <f>IF('Water-Meter'!AJ28&lt;0,"0",'Water-Meter'!AJ28)</f>
        <v>18</v>
      </c>
      <c r="W24" s="30">
        <f>'Water-Meter'!AN28</f>
        <v>120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 t="str">
        <f>IF('Kit report'!F27&lt;0,"0",'Kit report'!F27)</f>
        <v>0</v>
      </c>
      <c r="I25" s="456" t="str">
        <f>IF('Kit report'!X27&lt;0,"0",'Kit report'!X27)</f>
        <v>0</v>
      </c>
      <c r="J25" s="456" t="str">
        <f>IF('Utility summery'!H29&lt;0,"0",'Utility summery'!H29)</f>
        <v>0</v>
      </c>
      <c r="K25" s="457" t="str">
        <f>IF('UTILITY REPORT 1'!H26&lt;0,"0",'UTILITY REPORT 1'!H26)</f>
        <v>0</v>
      </c>
      <c r="L25" s="456" t="str">
        <f>'Water-Meter'!K29</f>
        <v>0</v>
      </c>
      <c r="M25" s="457">
        <f>'Water-Meter'!H29</f>
        <v>0</v>
      </c>
      <c r="N25" s="457" t="str">
        <f>'Water-Meter'!Q29</f>
        <v>0</v>
      </c>
      <c r="O25" s="456" t="e">
        <f>K25*E25+H25*I25+#REF!*#REF!+J25*L25</f>
        <v>#REF!</v>
      </c>
      <c r="P25" s="462" t="str">
        <f>'Water-Meter'!E29</f>
        <v>0</v>
      </c>
      <c r="Q25" s="242" t="str">
        <f>IF('Water-Meter'!U29&lt;0,"0",'Water-Meter'!U29)</f>
        <v>0</v>
      </c>
      <c r="R25" s="242" t="str">
        <f>IF('Water-Meter'!X29&lt;0,"0",'Water-Meter'!X29)</f>
        <v>0</v>
      </c>
      <c r="S25" s="242" t="str">
        <f>IF('Water-Meter'!AA29&lt;0,"0",'Water-Meter'!AA29)</f>
        <v>0</v>
      </c>
      <c r="T25" s="242" t="str">
        <f>IF('Water-Meter'!AD29&lt;0,"0",'Water-Meter'!AD29)</f>
        <v>0</v>
      </c>
      <c r="U25" s="242" t="str">
        <f>IF('Water-Meter'!AG29&lt;0,"0",'Water-Meter'!AG29)</f>
        <v>0</v>
      </c>
      <c r="V25" s="242" t="str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3" t="s">
        <v>314</v>
      </c>
      <c r="B1" s="853"/>
      <c r="C1" s="853"/>
      <c r="D1" s="853"/>
      <c r="E1" s="853"/>
      <c r="F1" s="853"/>
      <c r="G1" s="853"/>
      <c r="H1" s="85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1.3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2.5999999999999999E-2</v>
      </c>
      <c r="C4" s="405">
        <f>'Summery Report'!E6</f>
        <v>2.6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2.5999999999999999E-2</v>
      </c>
      <c r="C5" s="405">
        <f>'Summery Report'!E7</f>
        <v>2.6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5.1900000000000002E-2</v>
      </c>
      <c r="C6" s="405">
        <f>'Summery Report'!E8</f>
        <v>5.19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7.79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5.19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0.1169</v>
      </c>
      <c r="C9" s="405">
        <f>'Summery Report'!E11</f>
        <v>11.69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0.12989999999999999</v>
      </c>
      <c r="C10" s="405">
        <f>'Summery Report'!E12</f>
        <v>12.99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0.15579999999999999</v>
      </c>
      <c r="C11" s="405">
        <f>'Summery Report'!E13</f>
        <v>15.58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0.15579999999999999</v>
      </c>
      <c r="C12" s="405">
        <f>'Summery Report'!E14</f>
        <v>15.58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0.1169</v>
      </c>
      <c r="C13" s="405">
        <f>'Summery Report'!E15</f>
        <v>11.69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0.12989999999999999</v>
      </c>
      <c r="C14" s="405">
        <f>'Summery Report'!E16</f>
        <v>12.99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0.1429</v>
      </c>
      <c r="C15" s="405">
        <f>'Summery Report'!E17</f>
        <v>14.29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14.29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9.0899999999999995E-2</v>
      </c>
      <c r="C17" s="405">
        <f>'Summery Report'!E19</f>
        <v>9.09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0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7.7899999999999997E-2</v>
      </c>
      <c r="C18" s="405">
        <f>'Summery Report'!E20</f>
        <v>7.79</v>
      </c>
      <c r="D18" s="406">
        <v>1</v>
      </c>
      <c r="E18" s="405">
        <f>Gen!S26</f>
        <v>1189.52</v>
      </c>
      <c r="F18" s="405">
        <f>Gen!T26</f>
        <v>2895</v>
      </c>
      <c r="G18" s="405">
        <f>'Water-Meter'!E21</f>
        <v>60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6.4899999999999999E-2</v>
      </c>
      <c r="C19" s="405">
        <f>'Summery Report'!E21</f>
        <v>6.49</v>
      </c>
      <c r="D19" s="406">
        <v>1</v>
      </c>
      <c r="E19" s="405">
        <f>Gen!S27</f>
        <v>1055.42</v>
      </c>
      <c r="F19" s="405">
        <f>Gen!T27</f>
        <v>2779</v>
      </c>
      <c r="G19" s="405">
        <f>'Water-Meter'!E22</f>
        <v>64</v>
      </c>
      <c r="H19" s="405">
        <f>'Utility report '!AC22</f>
        <v>0</v>
      </c>
      <c r="I19" s="405">
        <f>Gen!AJ27</f>
        <v>39.379999999999995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1173.67</v>
      </c>
      <c r="F20" s="405">
        <f>Gen!T28</f>
        <v>2842</v>
      </c>
      <c r="G20" s="405">
        <f>'Water-Meter'!E23</f>
        <v>73</v>
      </c>
      <c r="H20" s="405">
        <f>'Utility report '!AC23</f>
        <v>0</v>
      </c>
      <c r="I20" s="405">
        <f>Gen!AJ28</f>
        <v>200.72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1141.8499999999999</v>
      </c>
      <c r="F21" s="405">
        <f>Gen!T29</f>
        <v>2704</v>
      </c>
      <c r="G21" s="405">
        <f>'Water-Meter'!E24</f>
        <v>67</v>
      </c>
      <c r="H21" s="405">
        <f>'Utility report '!AC24</f>
        <v>0</v>
      </c>
      <c r="I21" s="405">
        <f>Gen!AJ29</f>
        <v>24.2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1244.22</v>
      </c>
      <c r="F22" s="405">
        <f>Gen!T30</f>
        <v>3041</v>
      </c>
      <c r="G22" s="405">
        <f>'Water-Meter'!E25</f>
        <v>62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1233.5999999999999</v>
      </c>
      <c r="F23" s="405">
        <f>Gen!T31</f>
        <v>2985</v>
      </c>
      <c r="G23" s="405">
        <f>'Water-Meter'!E26</f>
        <v>42</v>
      </c>
      <c r="H23" s="405">
        <f>'Utility report '!AC26</f>
        <v>0</v>
      </c>
      <c r="I23" s="405">
        <f>Gen!AJ31</f>
        <v>31.27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1217.96</v>
      </c>
      <c r="F24" s="405">
        <f>Gen!T32</f>
        <v>2884</v>
      </c>
      <c r="G24" s="405">
        <f>'Water-Meter'!E27</f>
        <v>42</v>
      </c>
      <c r="H24" s="405">
        <f>'Utility report '!AC27</f>
        <v>0</v>
      </c>
      <c r="I24" s="405">
        <f>Gen!AJ32</f>
        <v>52.86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1225.83</v>
      </c>
      <c r="F25" s="405">
        <f>Gen!T33</f>
        <v>2922</v>
      </c>
      <c r="G25" s="405">
        <f>'Water-Meter'!E28</f>
        <v>57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 t="str">
        <f>'Water-Meter'!E29</f>
        <v>0</v>
      </c>
      <c r="H26" s="405">
        <f>'Utility report '!AC29</f>
        <v>-48088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4" t="s">
        <v>135</v>
      </c>
      <c r="E4" s="854"/>
      <c r="F4" s="854"/>
      <c r="G4" s="855" t="s">
        <v>20</v>
      </c>
      <c r="H4" s="855"/>
      <c r="I4" s="855"/>
      <c r="J4" s="856" t="s">
        <v>54</v>
      </c>
      <c r="K4" s="856"/>
      <c r="L4" s="856"/>
      <c r="M4" s="856"/>
      <c r="N4" s="857" t="s">
        <v>143</v>
      </c>
      <c r="O4" s="857"/>
      <c r="P4" s="857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1.3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2.6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1564.2307692307691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2.6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1343.4615384615383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5.19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772.83236994219635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7.79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467.44544287548132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5.19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731.83044315992288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11.69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338.08383233532936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12.99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274.61123941493457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15.58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262.83697047496787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15.58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243.69704749679073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11.69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385.6287425149701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12.99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350.05388760585066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14.29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308.99930020993702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14.29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328.7893631910427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9.09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500.70407040704066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7.79</v>
      </c>
      <c r="C21" s="6">
        <f>Gen!U26</f>
        <v>0.41088773747841106</v>
      </c>
      <c r="D21" s="152">
        <f>Gen!T26</f>
        <v>2895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62</v>
      </c>
      <c r="I21" s="296">
        <f>'Water-Meter'!E21</f>
        <v>60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4052.9999999999995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520.28241335044925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6.49</v>
      </c>
      <c r="C22" s="6">
        <f>Gen!U27</f>
        <v>0.37978409499820082</v>
      </c>
      <c r="D22" s="152">
        <f>Gen!T27</f>
        <v>2779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65</v>
      </c>
      <c r="I22" s="296">
        <f>'Water-Meter'!E22</f>
        <v>64</v>
      </c>
      <c r="J22" s="154">
        <f>'Lpg (2)'!B26</f>
        <v>1</v>
      </c>
      <c r="K22" s="154">
        <f>'Lpg (2)'!C26</f>
        <v>85</v>
      </c>
      <c r="L22" s="154">
        <f>'Lpg (2)'!D26</f>
        <v>85</v>
      </c>
      <c r="M22" s="449">
        <f>'Lpg (2)'!G26</f>
        <v>81.620000000012809</v>
      </c>
      <c r="N22" s="151">
        <f t="shared" si="2"/>
        <v>3890.6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599.47611710323577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>
        <f>Gen!U28</f>
        <v>0.41297325826882481</v>
      </c>
      <c r="D23" s="152">
        <f>Gen!T28</f>
        <v>2842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53</v>
      </c>
      <c r="I23" s="296">
        <f>'Water-Meter'!E23</f>
        <v>73</v>
      </c>
      <c r="J23" s="154">
        <f>'Lpg (2)'!B27</f>
        <v>1</v>
      </c>
      <c r="K23" s="154">
        <f>'Lpg (2)'!C27</f>
        <v>85</v>
      </c>
      <c r="L23" s="154">
        <f>'Lpg (2)'!D27</f>
        <v>85</v>
      </c>
      <c r="M23" s="449">
        <f>'Lpg (2)'!G27</f>
        <v>66.395999999984639</v>
      </c>
      <c r="N23" s="151">
        <f t="shared" si="2"/>
        <v>3978.7999999999997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>
        <f>Gen!U29</f>
        <v>0.42228180473372778</v>
      </c>
      <c r="D24" s="152">
        <f>Gen!T29</f>
        <v>2704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55</v>
      </c>
      <c r="I24" s="296">
        <f>'Water-Meter'!E24</f>
        <v>67</v>
      </c>
      <c r="J24" s="154">
        <f>'Lpg (2)'!B28</f>
        <v>0</v>
      </c>
      <c r="K24" s="154">
        <f>'Lpg (2)'!C28</f>
        <v>72</v>
      </c>
      <c r="L24" s="154">
        <f>'Lpg (2)'!D28</f>
        <v>85</v>
      </c>
      <c r="M24" s="449">
        <f>'Lpg (2)'!G28</f>
        <v>147.09200000003329</v>
      </c>
      <c r="N24" s="151">
        <f t="shared" si="2"/>
        <v>3785.6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>
        <f>Gen!U30</f>
        <v>0.40914830647813222</v>
      </c>
      <c r="D25" s="152">
        <f>Gen!T30</f>
        <v>3041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56</v>
      </c>
      <c r="I25" s="296">
        <f>'Water-Meter'!E25</f>
        <v>62</v>
      </c>
      <c r="J25" s="154">
        <f>'Lpg (2)'!B29</f>
        <v>0</v>
      </c>
      <c r="K25" s="154">
        <f>'Lpg (2)'!C29</f>
        <v>69</v>
      </c>
      <c r="L25" s="154">
        <f>'Lpg (2)'!D29</f>
        <v>85</v>
      </c>
      <c r="M25" s="449">
        <f>'Lpg (2)'!G29</f>
        <v>74.315999999997445</v>
      </c>
      <c r="N25" s="151">
        <f t="shared" si="2"/>
        <v>4257.3999999999996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>
        <f>Gen!U31</f>
        <v>0.41326633165829141</v>
      </c>
      <c r="D26" s="152">
        <f>Gen!T31</f>
        <v>2985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64</v>
      </c>
      <c r="I26" s="296">
        <f>'Water-Meter'!E26</f>
        <v>42</v>
      </c>
      <c r="J26" s="154">
        <f>'Lpg (2)'!B30</f>
        <v>0</v>
      </c>
      <c r="K26" s="154">
        <f>'Lpg (2)'!C30</f>
        <v>60</v>
      </c>
      <c r="L26" s="154">
        <f>'Lpg (2)'!D30</f>
        <v>85</v>
      </c>
      <c r="M26" s="449">
        <f>'Lpg (2)'!G30</f>
        <v>100.36399999998976</v>
      </c>
      <c r="N26" s="151">
        <f t="shared" si="2"/>
        <v>4179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>
        <f>Gen!U32</f>
        <v>0.42231622746185854</v>
      </c>
      <c r="D27" s="152">
        <f>Gen!T32</f>
        <v>2884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50</v>
      </c>
      <c r="I27" s="296">
        <f>'Water-Meter'!E27</f>
        <v>42</v>
      </c>
      <c r="J27" s="154">
        <f>'Lpg (2)'!B31</f>
        <v>0</v>
      </c>
      <c r="K27" s="154">
        <f>'Lpg (2)'!C31</f>
        <v>55</v>
      </c>
      <c r="L27" s="154">
        <f>'Lpg (2)'!D31</f>
        <v>85</v>
      </c>
      <c r="M27" s="449">
        <f>'Lpg (2)'!G31</f>
        <v>90.595999999984642</v>
      </c>
      <c r="N27" s="151">
        <f t="shared" si="2"/>
        <v>4037.6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>
        <f>Gen!U33</f>
        <v>0.41951745379876793</v>
      </c>
      <c r="D28" s="152">
        <f>Gen!T33</f>
        <v>2922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61</v>
      </c>
      <c r="I28" s="296">
        <f>'Water-Meter'!E28</f>
        <v>57</v>
      </c>
      <c r="J28" s="154">
        <f>'Lpg (2)'!B32</f>
        <v>0</v>
      </c>
      <c r="K28" s="154">
        <f>'Lpg (2)'!C32</f>
        <v>50</v>
      </c>
      <c r="L28" s="154">
        <f>'Lpg (2)'!D32</f>
        <v>85</v>
      </c>
      <c r="M28" s="449">
        <f>'Lpg (2)'!G32</f>
        <v>95.260000000038431</v>
      </c>
      <c r="N28" s="151">
        <f t="shared" si="2"/>
        <v>4090.7999999999997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-48088</v>
      </c>
      <c r="H29" s="153">
        <f>'Utility report '!AE29</f>
        <v>-213447</v>
      </c>
      <c r="I29" s="296" t="str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-332803.72400000005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63868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1279</v>
      </c>
      <c r="J39" s="453">
        <f t="shared" si="3"/>
        <v>232</v>
      </c>
      <c r="K39" s="453">
        <f t="shared" si="3"/>
        <v>1751</v>
      </c>
      <c r="L39" s="453">
        <f t="shared" si="3"/>
        <v>1870</v>
      </c>
      <c r="M39" s="453">
        <f t="shared" si="3"/>
        <v>-331007.60000000003</v>
      </c>
      <c r="N39" s="453">
        <f t="shared" si="3"/>
        <v>89415.200000000012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3" zoomScalePageLayoutView="85" workbookViewId="0">
      <pane xSplit="1" topLeftCell="M1" activePane="topRight" state="frozen"/>
      <selection pane="topRight" activeCell="AD30" sqref="AD3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44256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37" t="s">
        <v>98</v>
      </c>
      <c r="B2" s="868" t="s">
        <v>99</v>
      </c>
      <c r="C2" s="869"/>
      <c r="D2" s="870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8" t="s">
        <v>103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84" t="s">
        <v>104</v>
      </c>
      <c r="AB2" s="868" t="s">
        <v>164</v>
      </c>
      <c r="AC2" s="87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1">
        <f>SUM(D3/B3)</f>
        <v>1.3262195121951219</v>
      </c>
      <c r="G3" s="872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8" t="s">
        <v>112</v>
      </c>
      <c r="P3" s="858"/>
      <c r="Q3" s="858"/>
      <c r="R3" s="858"/>
      <c r="S3" s="859" t="s">
        <v>113</v>
      </c>
      <c r="T3" s="860"/>
      <c r="U3" s="860"/>
      <c r="V3" s="861"/>
      <c r="W3" s="862" t="s">
        <v>114</v>
      </c>
      <c r="X3" s="863"/>
      <c r="Y3" s="863"/>
      <c r="Z3" s="864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1.3</v>
      </c>
      <c r="C6" s="763">
        <f>Gen!B11</f>
        <v>0.01</v>
      </c>
      <c r="D6" s="725">
        <f>'Summery Report'!E5</f>
        <v>1.3</v>
      </c>
      <c r="E6" s="725">
        <f>SUM(F3)</f>
        <v>1.3262195121951219</v>
      </c>
      <c r="F6" s="438">
        <f>SUM(J6*E6)/D6</f>
        <v>2665.7012195121952</v>
      </c>
      <c r="G6" s="438">
        <f t="shared" ref="G6:G36" si="0">SUM(L6*E6)/D6</f>
        <v>2665.7012195121952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2.6</v>
      </c>
      <c r="C7" s="763">
        <f>Gen!B12</f>
        <v>2.5999999999999999E-2</v>
      </c>
      <c r="D7" s="725">
        <f>'Summery Report'!E6</f>
        <v>2.6</v>
      </c>
      <c r="E7" s="725">
        <f>SUM(E6)</f>
        <v>1.3262195121951219</v>
      </c>
      <c r="F7" s="438">
        <f>SUM(J7*E7)/D7</f>
        <v>1481.795262664165</v>
      </c>
      <c r="G7" s="438">
        <f t="shared" si="0"/>
        <v>1481.795262664165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2.6</v>
      </c>
      <c r="C8" s="763">
        <f>Gen!B13</f>
        <v>2.5999999999999999E-2</v>
      </c>
      <c r="D8" s="725">
        <f>'Summery Report'!E7</f>
        <v>2.6</v>
      </c>
      <c r="E8" s="725">
        <f t="shared" ref="E8:E36" si="13">SUM(E7)</f>
        <v>1.3262195121951219</v>
      </c>
      <c r="F8" s="438">
        <f t="shared" ref="F8:F36" si="14">SUM(J8*E8)/D8</f>
        <v>1272.6606472795495</v>
      </c>
      <c r="G8" s="438">
        <f t="shared" si="0"/>
        <v>1272.6606472795495</v>
      </c>
      <c r="H8" s="725">
        <f>Gen!C13</f>
        <v>42443.15</v>
      </c>
      <c r="I8" s="725">
        <f>Gen!E13</f>
        <v>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5.19</v>
      </c>
      <c r="C9" s="763">
        <f>Gen!B14</f>
        <v>5.1900000000000002E-2</v>
      </c>
      <c r="D9" s="725">
        <f>'Summery Report'!E8</f>
        <v>5.19</v>
      </c>
      <c r="E9" s="725">
        <f t="shared" si="13"/>
        <v>1.3262195121951219</v>
      </c>
      <c r="F9" s="438">
        <f t="shared" si="14"/>
        <v>732.1038347666713</v>
      </c>
      <c r="G9" s="438">
        <f t="shared" si="0"/>
        <v>732.1038347666713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7.79</v>
      </c>
      <c r="C10" s="763">
        <f>Gen!B15</f>
        <v>6.5000000000000002E-2</v>
      </c>
      <c r="D10" s="725">
        <f>'Summery Report'!E9</f>
        <v>7.79</v>
      </c>
      <c r="E10" s="725">
        <f t="shared" si="13"/>
        <v>1.3262195121951219</v>
      </c>
      <c r="F10" s="438">
        <f t="shared" si="14"/>
        <v>442.81090516296689</v>
      </c>
      <c r="G10" s="438">
        <f t="shared" si="0"/>
        <v>442.81090516296689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5.19</v>
      </c>
      <c r="C11" s="763">
        <f>Gen!B16</f>
        <v>5.1999999999999998E-2</v>
      </c>
      <c r="D11" s="725">
        <f>'Summery Report'!E10</f>
        <v>5.19</v>
      </c>
      <c r="E11" s="725">
        <f t="shared" si="13"/>
        <v>1.3262195121951219</v>
      </c>
      <c r="F11" s="438">
        <f t="shared" si="14"/>
        <v>693.26272381220917</v>
      </c>
      <c r="G11" s="438">
        <f t="shared" si="0"/>
        <v>693.26272381220917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11.69</v>
      </c>
      <c r="C12" s="763">
        <f>Gen!B17</f>
        <v>0.1169</v>
      </c>
      <c r="D12" s="725">
        <f>'Summery Report'!E11</f>
        <v>11.69</v>
      </c>
      <c r="E12" s="725">
        <f t="shared" si="13"/>
        <v>1.3262195121951219</v>
      </c>
      <c r="F12" s="438">
        <f t="shared" si="14"/>
        <v>320.26669657201273</v>
      </c>
      <c r="G12" s="438">
        <f t="shared" si="0"/>
        <v>320.26669657201273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12.99</v>
      </c>
      <c r="C13" s="763">
        <f>Gen!B18</f>
        <v>0.12989999999999999</v>
      </c>
      <c r="D13" s="725">
        <f>'Summery Report'!E12</f>
        <v>12.99</v>
      </c>
      <c r="E13" s="725">
        <f t="shared" si="13"/>
        <v>1.3262195121951219</v>
      </c>
      <c r="F13" s="438">
        <f t="shared" si="14"/>
        <v>260.13913141440884</v>
      </c>
      <c r="G13" s="438">
        <f t="shared" si="0"/>
        <v>260.13913141440884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15.58</v>
      </c>
      <c r="C14" s="763">
        <f>Gen!B19</f>
        <v>0.15579999999999999</v>
      </c>
      <c r="D14" s="725">
        <f>'Summery Report'!E13</f>
        <v>15.58</v>
      </c>
      <c r="E14" s="725">
        <f t="shared" si="13"/>
        <v>1.3262195121951219</v>
      </c>
      <c r="F14" s="438">
        <f t="shared" si="14"/>
        <v>248.98537055011113</v>
      </c>
      <c r="G14" s="438">
        <f t="shared" si="0"/>
        <v>248.98537055011113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15.58</v>
      </c>
      <c r="C15" s="763">
        <f>Gen!B20</f>
        <v>0.15579999999999999</v>
      </c>
      <c r="D15" s="725">
        <f>'Summery Report'!E14</f>
        <v>15.58</v>
      </c>
      <c r="E15" s="725">
        <f t="shared" si="13"/>
        <v>1.3262195121951219</v>
      </c>
      <c r="F15" s="438">
        <f t="shared" si="14"/>
        <v>230.85412818184662</v>
      </c>
      <c r="G15" s="438">
        <f t="shared" si="0"/>
        <v>230.85412818184662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11.69</v>
      </c>
      <c r="C16" s="763">
        <f>Gen!B21</f>
        <v>0.1169</v>
      </c>
      <c r="D16" s="725">
        <f>'Summery Report'!E15</f>
        <v>11.69</v>
      </c>
      <c r="E16" s="725">
        <f t="shared" si="13"/>
        <v>1.3262195121951219</v>
      </c>
      <c r="F16" s="438">
        <f t="shared" si="14"/>
        <v>365.30597341901563</v>
      </c>
      <c r="G16" s="438">
        <f t="shared" si="0"/>
        <v>365.30597341901563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12.99</v>
      </c>
      <c r="C17" s="763">
        <f>Gen!B22</f>
        <v>0.12989999999999999</v>
      </c>
      <c r="D17" s="725">
        <f>'Summery Report'!E16</f>
        <v>12.99</v>
      </c>
      <c r="E17" s="725">
        <f t="shared" si="13"/>
        <v>1.3262195121951219</v>
      </c>
      <c r="F17" s="438">
        <f t="shared" si="14"/>
        <v>331.6059257590266</v>
      </c>
      <c r="G17" s="438">
        <f t="shared" si="0"/>
        <v>331.6059257590266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14.29</v>
      </c>
      <c r="C18" s="763">
        <f>Gen!B23</f>
        <v>0.1429</v>
      </c>
      <c r="D18" s="725">
        <f>'Summery Report'!E17</f>
        <v>14.29</v>
      </c>
      <c r="E18" s="725">
        <f t="shared" si="13"/>
        <v>1.3262195121951219</v>
      </c>
      <c r="F18" s="438">
        <f t="shared" si="14"/>
        <v>292.71492942361198</v>
      </c>
      <c r="G18" s="438">
        <f t="shared" si="0"/>
        <v>292.71492942361198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14.29</v>
      </c>
      <c r="C19" s="763">
        <f>Gen!B24</f>
        <v>0.14000000000000001</v>
      </c>
      <c r="D19" s="725">
        <f>'Summery Report'!E18</f>
        <v>14.29</v>
      </c>
      <c r="E19" s="725">
        <f t="shared" si="13"/>
        <v>1.3262195121951219</v>
      </c>
      <c r="F19" s="438">
        <f t="shared" si="14"/>
        <v>311.46204919012104</v>
      </c>
      <c r="G19" s="438">
        <f t="shared" si="0"/>
        <v>311.46204919012104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551144.75598005054</v>
      </c>
      <c r="AB19" s="714">
        <v>48088</v>
      </c>
      <c r="AC19" s="695">
        <f t="shared" si="11"/>
        <v>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9.09</v>
      </c>
      <c r="C20" s="763">
        <f>Gen!B25</f>
        <v>9.0899999999999995E-2</v>
      </c>
      <c r="D20" s="725">
        <f>'Summery Report'!E19</f>
        <v>9.09</v>
      </c>
      <c r="E20" s="725">
        <f t="shared" si="13"/>
        <v>1.3262195121951219</v>
      </c>
      <c r="F20" s="438">
        <f t="shared" si="14"/>
        <v>474.31679143524104</v>
      </c>
      <c r="G20" s="438">
        <f t="shared" si="0"/>
        <v>474.31679143524104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/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>
        <v>48088</v>
      </c>
      <c r="AC20" s="695">
        <f t="shared" si="11"/>
        <v>0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7.79</v>
      </c>
      <c r="C21" s="763">
        <f>Gen!B26</f>
        <v>7.7899999999999997E-2</v>
      </c>
      <c r="D21" s="725">
        <f>'Summery Report'!E20</f>
        <v>7.79</v>
      </c>
      <c r="E21" s="725">
        <f t="shared" si="13"/>
        <v>1.3262195121951219</v>
      </c>
      <c r="F21" s="438">
        <f t="shared" si="14"/>
        <v>492.86334888380975</v>
      </c>
      <c r="G21" s="438">
        <f t="shared" si="0"/>
        <v>492.86334888380975</v>
      </c>
      <c r="H21" s="725">
        <f>Gen!C26</f>
        <v>40033.94</v>
      </c>
      <c r="I21" s="725">
        <f>Gen!E26</f>
        <v>0</v>
      </c>
      <c r="J21" s="764">
        <f>Gen!T26</f>
        <v>2895</v>
      </c>
      <c r="K21" s="769">
        <f>Gen!AK26</f>
        <v>0</v>
      </c>
      <c r="L21" s="760">
        <f t="shared" si="17"/>
        <v>2895</v>
      </c>
      <c r="M21" s="448">
        <f>'Water-Meter'!K61</f>
        <v>354.39996628590768</v>
      </c>
      <c r="N21" s="720">
        <f>'Water-Meter'!E21</f>
        <v>60</v>
      </c>
      <c r="O21" s="711"/>
      <c r="P21" s="718">
        <v>19032</v>
      </c>
      <c r="Q21" s="730">
        <f t="shared" si="2"/>
        <v>0</v>
      </c>
      <c r="R21" s="426">
        <f t="shared" si="5"/>
        <v>0</v>
      </c>
      <c r="S21" s="706"/>
      <c r="T21" s="707">
        <v>17799</v>
      </c>
      <c r="U21" s="730">
        <f>T22-T20</f>
        <v>0</v>
      </c>
      <c r="V21" s="427">
        <f t="shared" si="19"/>
        <v>0</v>
      </c>
      <c r="W21" s="706"/>
      <c r="X21" s="712">
        <v>27510.47</v>
      </c>
      <c r="Y21" s="730">
        <f t="shared" si="8"/>
        <v>20.470000000001164</v>
      </c>
      <c r="Z21" s="710">
        <f t="shared" si="9"/>
        <v>0</v>
      </c>
      <c r="AA21" s="717">
        <f t="shared" si="10"/>
        <v>0</v>
      </c>
      <c r="AB21" s="714">
        <v>48088</v>
      </c>
      <c r="AC21" s="695">
        <f t="shared" si="11"/>
        <v>0</v>
      </c>
      <c r="AD21" s="697">
        <v>213043</v>
      </c>
      <c r="AE21" s="178">
        <f t="shared" si="15"/>
        <v>62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6.49</v>
      </c>
      <c r="C22" s="763">
        <f>Gen!B27</f>
        <v>6.4899999999999999E-2</v>
      </c>
      <c r="D22" s="725">
        <f>'Summery Report'!E21</f>
        <v>6.49</v>
      </c>
      <c r="E22" s="725">
        <f t="shared" si="13"/>
        <v>1.3262195121951219</v>
      </c>
      <c r="F22" s="438">
        <f t="shared" si="14"/>
        <v>567.88351685519933</v>
      </c>
      <c r="G22" s="438">
        <f t="shared" si="0"/>
        <v>567.88351685519933</v>
      </c>
      <c r="H22" s="725">
        <f>Gen!C27</f>
        <v>38844.420000000006</v>
      </c>
      <c r="I22" s="725">
        <f>Gen!E27</f>
        <v>0</v>
      </c>
      <c r="J22" s="764">
        <f>Gen!T27</f>
        <v>2779</v>
      </c>
      <c r="K22" s="769">
        <f>Gen!AK27</f>
        <v>0</v>
      </c>
      <c r="L22" s="760">
        <f t="shared" si="17"/>
        <v>2779</v>
      </c>
      <c r="M22" s="448">
        <f>'Water-Meter'!K62</f>
        <v>401.43372199502187</v>
      </c>
      <c r="N22" s="720">
        <f>'Water-Meter'!E22</f>
        <v>64</v>
      </c>
      <c r="O22" s="711"/>
      <c r="P22" s="718">
        <v>19032</v>
      </c>
      <c r="Q22" s="730">
        <f t="shared" si="2"/>
        <v>0</v>
      </c>
      <c r="R22" s="426">
        <f t="shared" si="5"/>
        <v>0</v>
      </c>
      <c r="S22" s="706"/>
      <c r="T22" s="707">
        <v>17799</v>
      </c>
      <c r="U22" s="730">
        <f t="shared" ref="U22:U23" si="20">T23-T21</f>
        <v>0</v>
      </c>
      <c r="V22" s="427">
        <f t="shared" si="19"/>
        <v>0</v>
      </c>
      <c r="W22" s="706"/>
      <c r="X22" s="712">
        <v>27534.6</v>
      </c>
      <c r="Y22" s="730">
        <f t="shared" si="8"/>
        <v>24.129999999997381</v>
      </c>
      <c r="Z22" s="710">
        <f t="shared" si="9"/>
        <v>0</v>
      </c>
      <c r="AA22" s="717">
        <f t="shared" si="10"/>
        <v>0</v>
      </c>
      <c r="AB22" s="714">
        <v>48088</v>
      </c>
      <c r="AC22" s="695">
        <f t="shared" si="11"/>
        <v>0</v>
      </c>
      <c r="AD22" s="697">
        <v>213108</v>
      </c>
      <c r="AE22" s="178">
        <f t="shared" si="15"/>
        <v>65</v>
      </c>
      <c r="AF22" s="724">
        <f>'Lpg (2)'!B26*2000/85</f>
        <v>23.529411764705884</v>
      </c>
      <c r="AG22" s="266">
        <f>'Lpg (2)'!C26*1000/85</f>
        <v>1000</v>
      </c>
      <c r="AH22" s="737">
        <f>'Lpg (2)'!D26*1000/85</f>
        <v>1000</v>
      </c>
      <c r="AI22" s="727">
        <f t="shared" si="18"/>
        <v>2047058.8235294118</v>
      </c>
      <c r="AJ22" s="428">
        <f t="shared" si="4"/>
        <v>47058.823529411806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37749.620000000003</v>
      </c>
      <c r="I23" s="725">
        <f>Gen!E28</f>
        <v>0</v>
      </c>
      <c r="J23" s="764">
        <f>Gen!T28</f>
        <v>2842</v>
      </c>
      <c r="K23" s="769">
        <f>Gen!AK28</f>
        <v>0</v>
      </c>
      <c r="L23" s="760">
        <f t="shared" si="17"/>
        <v>2842</v>
      </c>
      <c r="M23" s="448">
        <f>'Water-Meter'!K63</f>
        <v>433.84997350307668</v>
      </c>
      <c r="N23" s="720">
        <f>'Water-Meter'!E23</f>
        <v>73</v>
      </c>
      <c r="O23" s="711"/>
      <c r="P23" s="718">
        <v>19032</v>
      </c>
      <c r="Q23" s="730">
        <f t="shared" si="2"/>
        <v>0</v>
      </c>
      <c r="R23" s="426">
        <f t="shared" si="5"/>
        <v>0</v>
      </c>
      <c r="S23" s="706"/>
      <c r="T23" s="707">
        <v>17799</v>
      </c>
      <c r="U23" s="730">
        <f t="shared" si="20"/>
        <v>0</v>
      </c>
      <c r="V23" s="427">
        <f t="shared" si="19"/>
        <v>0</v>
      </c>
      <c r="W23" s="706"/>
      <c r="X23" s="712">
        <v>27582.54</v>
      </c>
      <c r="Y23" s="730">
        <f t="shared" si="8"/>
        <v>47.940000000002328</v>
      </c>
      <c r="Z23" s="710">
        <f t="shared" si="9"/>
        <v>0</v>
      </c>
      <c r="AA23" s="717">
        <f t="shared" si="10"/>
        <v>0</v>
      </c>
      <c r="AB23" s="714">
        <v>48088</v>
      </c>
      <c r="AC23" s="695">
        <f t="shared" si="11"/>
        <v>0</v>
      </c>
      <c r="AD23" s="697">
        <v>213161</v>
      </c>
      <c r="AE23" s="178">
        <f t="shared" si="15"/>
        <v>53</v>
      </c>
      <c r="AF23" s="724">
        <f>'Lpg (2)'!B27*2000/85</f>
        <v>23.529411764705884</v>
      </c>
      <c r="AG23" s="266">
        <f>'Lpg (2)'!C27*1000/85</f>
        <v>1000</v>
      </c>
      <c r="AH23" s="737">
        <f>'Lpg (2)'!D27*1000/85</f>
        <v>1000</v>
      </c>
      <c r="AI23" s="727">
        <f t="shared" si="18"/>
        <v>2047058.8235294118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36375.230000000003</v>
      </c>
      <c r="I24" s="725">
        <f>Gen!E29</f>
        <v>0</v>
      </c>
      <c r="J24" s="764">
        <f>Gen!T29</f>
        <v>2704</v>
      </c>
      <c r="K24" s="769">
        <f>Gen!AK29</f>
        <v>0</v>
      </c>
      <c r="L24" s="760">
        <f t="shared" si="17"/>
        <v>2704</v>
      </c>
      <c r="M24" s="448">
        <f>'Water-Meter'!K64</f>
        <v>467.75335985619768</v>
      </c>
      <c r="N24" s="720">
        <f>'Water-Meter'!E24</f>
        <v>67</v>
      </c>
      <c r="O24" s="711"/>
      <c r="P24" s="718">
        <v>19032</v>
      </c>
      <c r="Q24" s="730">
        <f t="shared" si="2"/>
        <v>0</v>
      </c>
      <c r="R24" s="426">
        <f t="shared" si="5"/>
        <v>0</v>
      </c>
      <c r="S24" s="706"/>
      <c r="T24" s="707">
        <v>17799</v>
      </c>
      <c r="U24" s="730">
        <f t="shared" si="6"/>
        <v>0</v>
      </c>
      <c r="V24" s="427">
        <f t="shared" si="19"/>
        <v>0</v>
      </c>
      <c r="W24" s="706"/>
      <c r="X24" s="712">
        <v>27607.56</v>
      </c>
      <c r="Y24" s="730">
        <f t="shared" si="8"/>
        <v>25.020000000000437</v>
      </c>
      <c r="Z24" s="710">
        <f t="shared" si="9"/>
        <v>0</v>
      </c>
      <c r="AA24" s="717">
        <f t="shared" si="10"/>
        <v>0</v>
      </c>
      <c r="AB24" s="714">
        <v>48088</v>
      </c>
      <c r="AC24" s="695">
        <f t="shared" si="11"/>
        <v>0</v>
      </c>
      <c r="AD24" s="697">
        <v>213216</v>
      </c>
      <c r="AE24" s="178">
        <f t="shared" si="15"/>
        <v>55</v>
      </c>
      <c r="AF24" s="724">
        <f>'Lpg (2)'!B28*2000/85</f>
        <v>0</v>
      </c>
      <c r="AG24" s="266">
        <f>'Lpg (2)'!C28*1000/85</f>
        <v>847.05882352941171</v>
      </c>
      <c r="AH24" s="737">
        <f>'Lpg (2)'!D28*1000/85</f>
        <v>1000</v>
      </c>
      <c r="AI24" s="727">
        <f t="shared" si="18"/>
        <v>1847058.8235294116</v>
      </c>
      <c r="AJ24" s="428">
        <f t="shared" si="4"/>
        <v>200000.00000000023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35209.18</v>
      </c>
      <c r="I25" s="725">
        <f>Gen!E30</f>
        <v>0</v>
      </c>
      <c r="J25" s="764">
        <f>Gen!T30</f>
        <v>3041</v>
      </c>
      <c r="K25" s="769">
        <f>Gen!AK30</f>
        <v>0</v>
      </c>
      <c r="L25" s="760">
        <f t="shared" si="17"/>
        <v>3041</v>
      </c>
      <c r="M25" s="448">
        <f>'Water-Meter'!K65</f>
        <v>506.1336028607783</v>
      </c>
      <c r="N25" s="720">
        <f>'Water-Meter'!E25</f>
        <v>62</v>
      </c>
      <c r="O25" s="711"/>
      <c r="P25" s="718">
        <v>19032</v>
      </c>
      <c r="Q25" s="730">
        <f t="shared" si="2"/>
        <v>0</v>
      </c>
      <c r="R25" s="426">
        <f t="shared" si="5"/>
        <v>0</v>
      </c>
      <c r="S25" s="706"/>
      <c r="T25" s="707">
        <v>17799</v>
      </c>
      <c r="U25" s="730">
        <f t="shared" si="6"/>
        <v>0</v>
      </c>
      <c r="V25" s="427">
        <f t="shared" si="19"/>
        <v>0</v>
      </c>
      <c r="W25" s="706"/>
      <c r="X25" s="712">
        <v>27607.56</v>
      </c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>
        <v>48088</v>
      </c>
      <c r="AC25" s="695">
        <f t="shared" si="11"/>
        <v>0</v>
      </c>
      <c r="AD25" s="698">
        <v>213272</v>
      </c>
      <c r="AE25" s="178">
        <f t="shared" si="15"/>
        <v>56</v>
      </c>
      <c r="AF25" s="724">
        <f>'Lpg (2)'!B29*2000/85</f>
        <v>0</v>
      </c>
      <c r="AG25" s="266">
        <f>'Lpg (2)'!C29*1000/85</f>
        <v>811.76470588235293</v>
      </c>
      <c r="AH25" s="737">
        <f>'Lpg (2)'!D29*1000/85</f>
        <v>1000</v>
      </c>
      <c r="AI25" s="727">
        <f t="shared" si="18"/>
        <v>1811764.7058823528</v>
      </c>
      <c r="AJ25" s="428">
        <f t="shared" si="4"/>
        <v>35294.117647058796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33964.959999999999</v>
      </c>
      <c r="I26" s="725">
        <f>Gen!E31</f>
        <v>0</v>
      </c>
      <c r="J26" s="764">
        <f>Gen!T31</f>
        <v>2985</v>
      </c>
      <c r="K26" s="769">
        <f>Gen!AK31</f>
        <v>0</v>
      </c>
      <c r="L26" s="760">
        <f t="shared" si="17"/>
        <v>2985</v>
      </c>
      <c r="M26" s="448">
        <f>'Water-Meter'!K66</f>
        <v>509.59139506857048</v>
      </c>
      <c r="N26" s="720">
        <f>'Water-Meter'!E26</f>
        <v>42</v>
      </c>
      <c r="O26" s="711"/>
      <c r="P26" s="718">
        <v>19032</v>
      </c>
      <c r="Q26" s="730">
        <f t="shared" si="2"/>
        <v>0</v>
      </c>
      <c r="R26" s="426">
        <f t="shared" si="5"/>
        <v>0</v>
      </c>
      <c r="S26" s="706"/>
      <c r="T26" s="707">
        <v>17799</v>
      </c>
      <c r="U26" s="730">
        <f t="shared" si="6"/>
        <v>0</v>
      </c>
      <c r="V26" s="427">
        <f t="shared" si="19"/>
        <v>0</v>
      </c>
      <c r="W26" s="706"/>
      <c r="X26" s="712">
        <v>27607.56</v>
      </c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>
        <v>48088</v>
      </c>
      <c r="AC26" s="695">
        <f t="shared" si="11"/>
        <v>0</v>
      </c>
      <c r="AD26" s="698">
        <v>213336</v>
      </c>
      <c r="AE26" s="178">
        <f t="shared" si="15"/>
        <v>64</v>
      </c>
      <c r="AF26" s="724">
        <f>'Lpg (2)'!B30*2000/85</f>
        <v>0</v>
      </c>
      <c r="AG26" s="266">
        <f>'Lpg (2)'!C30*1000/85</f>
        <v>705.88235294117646</v>
      </c>
      <c r="AH26" s="737">
        <f>'Lpg (2)'!D30*1000/85</f>
        <v>1000</v>
      </c>
      <c r="AI26" s="727">
        <f t="shared" si="18"/>
        <v>1705882.3529411764</v>
      </c>
      <c r="AJ26" s="428">
        <f t="shared" si="4"/>
        <v>105882.35294117639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47700.09</v>
      </c>
      <c r="I27" s="725">
        <f>Gen!E32</f>
        <v>0</v>
      </c>
      <c r="J27" s="764">
        <f>Gen!T32</f>
        <v>2884</v>
      </c>
      <c r="K27" s="769">
        <f>Gen!AK32</f>
        <v>0</v>
      </c>
      <c r="L27" s="760">
        <f t="shared" si="17"/>
        <v>2884</v>
      </c>
      <c r="M27" s="448">
        <f>'Water-Meter'!K67</f>
        <v>461.60396491251475</v>
      </c>
      <c r="N27" s="720">
        <f>'Water-Meter'!E27</f>
        <v>42</v>
      </c>
      <c r="O27" s="711"/>
      <c r="P27" s="718">
        <v>19032</v>
      </c>
      <c r="Q27" s="730">
        <f t="shared" si="2"/>
        <v>0</v>
      </c>
      <c r="R27" s="426">
        <f t="shared" si="5"/>
        <v>0</v>
      </c>
      <c r="S27" s="706"/>
      <c r="T27" s="707">
        <v>17799</v>
      </c>
      <c r="U27" s="730">
        <f t="shared" si="6"/>
        <v>0</v>
      </c>
      <c r="V27" s="427">
        <f t="shared" si="19"/>
        <v>0</v>
      </c>
      <c r="W27" s="706"/>
      <c r="X27" s="712">
        <v>27630</v>
      </c>
      <c r="Y27" s="730">
        <f t="shared" si="8"/>
        <v>22.43999999999869</v>
      </c>
      <c r="Z27" s="710">
        <f t="shared" si="9"/>
        <v>0</v>
      </c>
      <c r="AA27" s="717">
        <f t="shared" si="10"/>
        <v>0</v>
      </c>
      <c r="AB27" s="714">
        <v>48088</v>
      </c>
      <c r="AC27" s="695">
        <f t="shared" si="11"/>
        <v>0</v>
      </c>
      <c r="AD27" s="698">
        <v>213386</v>
      </c>
      <c r="AE27" s="178">
        <f t="shared" si="15"/>
        <v>50</v>
      </c>
      <c r="AF27" s="724">
        <f>'Lpg (2)'!B31*2000/85</f>
        <v>0</v>
      </c>
      <c r="AG27" s="266">
        <f>'Lpg (2)'!C31*1000/85</f>
        <v>647.05882352941171</v>
      </c>
      <c r="AH27" s="737">
        <f>'Lpg (2)'!D31*1000/85</f>
        <v>1000</v>
      </c>
      <c r="AI27" s="727">
        <f t="shared" si="18"/>
        <v>1647058.8235294116</v>
      </c>
      <c r="AJ27" s="428">
        <f t="shared" si="4"/>
        <v>58823.529411764815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46429.27</v>
      </c>
      <c r="I28" s="725">
        <f>Gen!E33</f>
        <v>0</v>
      </c>
      <c r="J28" s="764">
        <f>Gen!T33</f>
        <v>2922</v>
      </c>
      <c r="K28" s="769">
        <f>Gen!AK33</f>
        <v>0</v>
      </c>
      <c r="L28" s="760">
        <f t="shared" si="17"/>
        <v>2922</v>
      </c>
      <c r="M28" s="448">
        <f>'Water-Meter'!K68</f>
        <v>459.75226548694218</v>
      </c>
      <c r="N28" s="720">
        <f>'Water-Meter'!E28</f>
        <v>57</v>
      </c>
      <c r="O28" s="711"/>
      <c r="P28" s="718">
        <v>19032</v>
      </c>
      <c r="Q28" s="730">
        <f t="shared" si="2"/>
        <v>0</v>
      </c>
      <c r="R28" s="426">
        <f t="shared" si="5"/>
        <v>0</v>
      </c>
      <c r="S28" s="706"/>
      <c r="T28" s="707">
        <v>17799</v>
      </c>
      <c r="U28" s="730">
        <f t="shared" si="6"/>
        <v>0</v>
      </c>
      <c r="V28" s="427">
        <f t="shared" si="19"/>
        <v>0</v>
      </c>
      <c r="W28" s="706"/>
      <c r="X28" s="712">
        <v>27650</v>
      </c>
      <c r="Y28" s="730">
        <f t="shared" si="8"/>
        <v>20</v>
      </c>
      <c r="Z28" s="710">
        <f t="shared" si="9"/>
        <v>0</v>
      </c>
      <c r="AA28" s="717">
        <f t="shared" si="10"/>
        <v>0</v>
      </c>
      <c r="AB28" s="714">
        <v>48088</v>
      </c>
      <c r="AC28" s="695">
        <f t="shared" ref="AC28:AC37" si="21">SUM(AB28-AB27)</f>
        <v>0</v>
      </c>
      <c r="AD28" s="698">
        <v>213447</v>
      </c>
      <c r="AE28" s="178">
        <f t="shared" si="15"/>
        <v>61</v>
      </c>
      <c r="AF28" s="724">
        <f>'Lpg (2)'!B32*2000/85</f>
        <v>0</v>
      </c>
      <c r="AG28" s="266">
        <f>'Lpg (2)'!C32*1000/85</f>
        <v>588.23529411764707</v>
      </c>
      <c r="AH28" s="737">
        <f>'Lpg (2)'!D32*1000/85</f>
        <v>1000</v>
      </c>
      <c r="AI28" s="727">
        <f t="shared" si="18"/>
        <v>1588235.2941176472</v>
      </c>
      <c r="AJ28" s="428">
        <f t="shared" si="4"/>
        <v>58823.52941176435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45203.439999999995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469.98904522691276</v>
      </c>
      <c r="N29" s="720" t="str">
        <f>'Water-Meter'!E29</f>
        <v>0</v>
      </c>
      <c r="O29" s="711"/>
      <c r="P29" s="718">
        <v>19032</v>
      </c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-17799</v>
      </c>
      <c r="V29" s="427">
        <f t="shared" si="19"/>
        <v>0</v>
      </c>
      <c r="W29" s="706"/>
      <c r="X29" s="712"/>
      <c r="Y29" s="730">
        <f t="shared" si="8"/>
        <v>-27650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-48088</v>
      </c>
      <c r="AD29" s="698"/>
      <c r="AE29" s="178">
        <f t="shared" si="15"/>
        <v>-213447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1588235.2941176472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45203.439999999995</v>
      </c>
      <c r="I30" s="725">
        <f>Gen!E35</f>
        <v>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>
        <v>19032</v>
      </c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45203.439999999995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>
        <v>19032</v>
      </c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45203.439999999995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>
        <v>19032</v>
      </c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45203.439999999995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>
        <v>19032</v>
      </c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45203.439999999995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>
        <v>19032</v>
      </c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45203.439999999995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>
        <v>19032</v>
      </c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45203.439999999995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>
        <v>19032</v>
      </c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66481</v>
      </c>
      <c r="K37" s="775"/>
      <c r="L37" s="761">
        <f t="shared" si="17"/>
        <v>66481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-19032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8" sqref="W2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3" t="s">
        <v>150</v>
      </c>
      <c r="C1" s="874"/>
      <c r="D1" s="874"/>
      <c r="E1" s="874"/>
      <c r="F1" s="875"/>
      <c r="G1" s="157"/>
      <c r="H1" s="873" t="s">
        <v>151</v>
      </c>
      <c r="I1" s="874"/>
      <c r="J1" s="874"/>
      <c r="K1" s="874"/>
      <c r="L1" s="875"/>
      <c r="M1" s="873" t="s">
        <v>170</v>
      </c>
      <c r="N1" s="874"/>
      <c r="O1" s="874"/>
      <c r="P1" s="874"/>
      <c r="Q1" s="875"/>
      <c r="R1" s="157"/>
      <c r="T1" s="873" t="s">
        <v>166</v>
      </c>
      <c r="U1" s="874"/>
      <c r="V1" s="874"/>
      <c r="W1" s="874"/>
      <c r="X1" s="875"/>
      <c r="Y1" s="873" t="s">
        <v>169</v>
      </c>
      <c r="Z1" s="874"/>
      <c r="AA1" s="874"/>
      <c r="AB1" s="874"/>
      <c r="AC1" s="875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6" t="s">
        <v>156</v>
      </c>
      <c r="C3" s="877"/>
      <c r="D3" s="166"/>
      <c r="E3" s="578">
        <v>9136.6</v>
      </c>
      <c r="F3" s="585" t="s">
        <v>157</v>
      </c>
      <c r="G3" s="586"/>
      <c r="H3" s="876" t="s">
        <v>156</v>
      </c>
      <c r="I3" s="877"/>
      <c r="J3" s="612">
        <f>'Water-Meter'!G5</f>
        <v>0</v>
      </c>
      <c r="K3" s="587">
        <f>'Water-Meter'!G5</f>
        <v>0</v>
      </c>
      <c r="L3" s="241"/>
      <c r="M3" s="876" t="s">
        <v>156</v>
      </c>
      <c r="N3" s="877"/>
      <c r="O3" s="166"/>
      <c r="P3" s="588">
        <f>'Water-Meter'!J5</f>
        <v>8294</v>
      </c>
      <c r="Q3" s="165"/>
      <c r="R3" s="241"/>
      <c r="S3" s="641"/>
      <c r="T3" s="876" t="s">
        <v>156</v>
      </c>
      <c r="U3" s="877"/>
      <c r="V3" s="166"/>
      <c r="W3" s="579">
        <v>8028.6</v>
      </c>
      <c r="X3" s="589">
        <f t="shared" ref="X3:X35" si="0">(W3-V3)*200</f>
        <v>1605720</v>
      </c>
      <c r="Y3" s="876" t="s">
        <v>156</v>
      </c>
      <c r="Z3" s="877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2.5999999999999999E-2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2.5999999999999999E-2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5.1900000000000002E-2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0.1169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0.12989999999999999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0.15579999999999999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0.15579999999999999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0.1169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0.12989999999999999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0.1429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9.0899999999999995E-2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7.7899999999999997E-2</v>
      </c>
      <c r="B19" s="593">
        <f>Gen!A26</f>
        <v>44271</v>
      </c>
      <c r="C19" s="580"/>
      <c r="D19" s="582">
        <f t="shared" si="1"/>
        <v>9168.5</v>
      </c>
      <c r="E19" s="578">
        <v>9170.4</v>
      </c>
      <c r="F19" s="582">
        <f t="shared" si="12"/>
        <v>227.99999999995634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8331</v>
      </c>
      <c r="P19" s="581">
        <f>'Water-Meter'!J21</f>
        <v>8331</v>
      </c>
      <c r="Q19" s="577">
        <f t="shared" si="8"/>
        <v>-8328</v>
      </c>
      <c r="R19" s="627">
        <f t="shared" si="4"/>
        <v>-5.1566563467492257</v>
      </c>
      <c r="S19" s="628">
        <f>Gen!T26</f>
        <v>2895</v>
      </c>
      <c r="T19" s="629">
        <f t="shared" si="9"/>
        <v>44271</v>
      </c>
      <c r="U19" s="580"/>
      <c r="V19" s="582">
        <f t="shared" si="5"/>
        <v>8049.3</v>
      </c>
      <c r="W19" s="579">
        <v>8051.2</v>
      </c>
      <c r="X19" s="582">
        <f t="shared" si="0"/>
        <v>379.99999999992724</v>
      </c>
      <c r="Y19" s="624">
        <f t="shared" si="10"/>
        <v>44271</v>
      </c>
      <c r="Z19" s="580"/>
      <c r="AA19" s="577"/>
      <c r="AB19" s="581">
        <f>'Water-Meter'!P21</f>
        <v>21057</v>
      </c>
      <c r="AC19" s="634">
        <f t="shared" si="11"/>
        <v>-21055</v>
      </c>
    </row>
    <row r="20" spans="1:29" ht="19.5" thickBot="1">
      <c r="A20" s="643">
        <f>Gen!B27</f>
        <v>6.4899999999999999E-2</v>
      </c>
      <c r="B20" s="593">
        <f>Gen!A27</f>
        <v>44272</v>
      </c>
      <c r="C20" s="580"/>
      <c r="D20" s="582">
        <f t="shared" si="1"/>
        <v>9170.4</v>
      </c>
      <c r="E20" s="578">
        <v>9172.4</v>
      </c>
      <c r="F20" s="582">
        <f t="shared" si="12"/>
        <v>240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8335</v>
      </c>
      <c r="P20" s="581">
        <f>'Water-Meter'!J22</f>
        <v>8335</v>
      </c>
      <c r="Q20" s="577">
        <f t="shared" si="8"/>
        <v>-8331</v>
      </c>
      <c r="R20" s="627">
        <f t="shared" si="4"/>
        <v>-5.1585139318885451</v>
      </c>
      <c r="S20" s="628">
        <f>Gen!T27</f>
        <v>2779</v>
      </c>
      <c r="T20" s="629">
        <f t="shared" si="9"/>
        <v>44272</v>
      </c>
      <c r="U20" s="580"/>
      <c r="V20" s="582">
        <f t="shared" si="5"/>
        <v>8051.2</v>
      </c>
      <c r="W20" s="579">
        <v>8052.5</v>
      </c>
      <c r="X20" s="582">
        <f t="shared" si="0"/>
        <v>260.00000000003638</v>
      </c>
      <c r="Y20" s="624">
        <f t="shared" si="10"/>
        <v>44272</v>
      </c>
      <c r="Z20" s="580"/>
      <c r="AA20" s="577"/>
      <c r="AB20" s="581">
        <f>'Water-Meter'!P22</f>
        <v>21060</v>
      </c>
      <c r="AC20" s="634">
        <f t="shared" si="11"/>
        <v>-21057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9172.4</v>
      </c>
      <c r="E21" s="578">
        <v>9174.5</v>
      </c>
      <c r="F21" s="582">
        <f t="shared" si="12"/>
        <v>252.00000000004366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8337</v>
      </c>
      <c r="P21" s="581">
        <f>'Water-Meter'!J23</f>
        <v>8337</v>
      </c>
      <c r="Q21" s="577">
        <f t="shared" ref="Q21:Q35" si="13">N21-O20</f>
        <v>-8335</v>
      </c>
      <c r="R21" s="627">
        <f t="shared" ref="R21:R35" si="14">SUM(Q21/1615)</f>
        <v>-5.1609907120743035</v>
      </c>
      <c r="S21" s="628">
        <f>Gen!T28</f>
        <v>2842</v>
      </c>
      <c r="T21" s="629">
        <f t="shared" si="9"/>
        <v>44273</v>
      </c>
      <c r="U21" s="580"/>
      <c r="V21" s="582">
        <f t="shared" si="5"/>
        <v>8052.5</v>
      </c>
      <c r="W21" s="579">
        <v>8054.6</v>
      </c>
      <c r="X21" s="582">
        <f t="shared" si="0"/>
        <v>420.00000000007276</v>
      </c>
      <c r="Y21" s="624">
        <f t="shared" si="10"/>
        <v>44273</v>
      </c>
      <c r="Z21" s="580"/>
      <c r="AA21" s="577"/>
      <c r="AB21" s="581">
        <f>'Water-Meter'!P23</f>
        <v>21066</v>
      </c>
      <c r="AC21" s="634">
        <f t="shared" si="11"/>
        <v>-21060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9174.5</v>
      </c>
      <c r="E22" s="578">
        <v>9176.5</v>
      </c>
      <c r="F22" s="582">
        <f t="shared" si="12"/>
        <v>240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8339</v>
      </c>
      <c r="P22" s="581">
        <f>'Water-Meter'!J24</f>
        <v>8339</v>
      </c>
      <c r="Q22" s="577">
        <f t="shared" si="13"/>
        <v>-8337</v>
      </c>
      <c r="R22" s="627">
        <f t="shared" si="14"/>
        <v>-5.1622291021671822</v>
      </c>
      <c r="S22" s="628">
        <f>Gen!T29</f>
        <v>2704</v>
      </c>
      <c r="T22" s="629">
        <f t="shared" si="9"/>
        <v>44274</v>
      </c>
      <c r="U22" s="577"/>
      <c r="V22" s="582">
        <f t="shared" si="5"/>
        <v>8054.6</v>
      </c>
      <c r="W22" s="579">
        <v>8056.6</v>
      </c>
      <c r="X22" s="582">
        <f t="shared" si="0"/>
        <v>400</v>
      </c>
      <c r="Y22" s="624">
        <f t="shared" si="10"/>
        <v>44274</v>
      </c>
      <c r="Z22" s="577"/>
      <c r="AA22" s="577"/>
      <c r="AB22" s="581">
        <f>'Water-Meter'!P24</f>
        <v>21068</v>
      </c>
      <c r="AC22" s="634">
        <f t="shared" si="11"/>
        <v>-21066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9176.5</v>
      </c>
      <c r="E23" s="578">
        <v>9178.7999999999993</v>
      </c>
      <c r="F23" s="582">
        <f t="shared" ref="F23:F34" si="15">SUM(E23-D23)*120</f>
        <v>275.99999999991269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8341</v>
      </c>
      <c r="P23" s="581">
        <f>'Water-Meter'!J25</f>
        <v>8341</v>
      </c>
      <c r="Q23" s="577">
        <f t="shared" si="13"/>
        <v>-8339</v>
      </c>
      <c r="R23" s="627">
        <f t="shared" si="14"/>
        <v>-5.1634674922600619</v>
      </c>
      <c r="S23" s="628">
        <f>Gen!T30</f>
        <v>3041</v>
      </c>
      <c r="T23" s="629">
        <f t="shared" si="9"/>
        <v>44275</v>
      </c>
      <c r="U23" s="580"/>
      <c r="V23" s="582">
        <f t="shared" si="5"/>
        <v>8056.6</v>
      </c>
      <c r="W23" s="579">
        <v>8057.9</v>
      </c>
      <c r="X23" s="582">
        <f t="shared" si="0"/>
        <v>259.99999999985448</v>
      </c>
      <c r="Y23" s="624">
        <f t="shared" si="10"/>
        <v>44275</v>
      </c>
      <c r="Z23" s="580"/>
      <c r="AA23" s="577"/>
      <c r="AB23" s="581">
        <f>'Water-Meter'!P25</f>
        <v>21071</v>
      </c>
      <c r="AC23" s="634">
        <f t="shared" si="11"/>
        <v>-21068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9178.7999999999993</v>
      </c>
      <c r="E24" s="578">
        <v>9181.5</v>
      </c>
      <c r="F24" s="582">
        <f t="shared" si="15"/>
        <v>324.00000000008731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8342</v>
      </c>
      <c r="P24" s="581">
        <f>'Water-Meter'!J26</f>
        <v>8342</v>
      </c>
      <c r="Q24" s="577">
        <f t="shared" si="13"/>
        <v>-8341</v>
      </c>
      <c r="R24" s="627">
        <f t="shared" si="14"/>
        <v>-5.1647058823529415</v>
      </c>
      <c r="S24" s="628">
        <f>Gen!T31</f>
        <v>2985</v>
      </c>
      <c r="T24" s="629">
        <f t="shared" si="9"/>
        <v>44276</v>
      </c>
      <c r="U24" s="580"/>
      <c r="V24" s="582">
        <f t="shared" si="5"/>
        <v>8057.9</v>
      </c>
      <c r="W24" s="579">
        <v>8059.5</v>
      </c>
      <c r="X24" s="582">
        <f t="shared" si="0"/>
        <v>320.00000000007276</v>
      </c>
      <c r="Y24" s="624">
        <f t="shared" si="10"/>
        <v>44276</v>
      </c>
      <c r="Z24" s="580"/>
      <c r="AA24" s="577"/>
      <c r="AB24" s="581">
        <f>'Water-Meter'!P26</f>
        <v>21075</v>
      </c>
      <c r="AC24" s="634">
        <f t="shared" si="11"/>
        <v>-21071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9181.5</v>
      </c>
      <c r="E25" s="578">
        <v>9183.7999999999993</v>
      </c>
      <c r="F25" s="582">
        <f t="shared" si="15"/>
        <v>275.99999999991269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8344</v>
      </c>
      <c r="P25" s="581">
        <f>'Water-Meter'!J27</f>
        <v>8344</v>
      </c>
      <c r="Q25" s="577">
        <f t="shared" si="13"/>
        <v>-8342</v>
      </c>
      <c r="R25" s="627">
        <f t="shared" si="14"/>
        <v>-5.1653250773993804</v>
      </c>
      <c r="S25" s="628">
        <f>Gen!T32</f>
        <v>2884</v>
      </c>
      <c r="T25" s="629">
        <f t="shared" si="9"/>
        <v>44277</v>
      </c>
      <c r="U25" s="580"/>
      <c r="V25" s="582">
        <f t="shared" si="5"/>
        <v>8059.5</v>
      </c>
      <c r="W25" s="579">
        <v>8060.6</v>
      </c>
      <c r="X25" s="582">
        <f t="shared" si="0"/>
        <v>220.00000000007276</v>
      </c>
      <c r="Y25" s="624">
        <f t="shared" si="10"/>
        <v>44277</v>
      </c>
      <c r="Z25" s="580"/>
      <c r="AA25" s="577"/>
      <c r="AB25" s="581">
        <f>'Water-Meter'!P27</f>
        <v>21080</v>
      </c>
      <c r="AC25" s="634">
        <f t="shared" si="11"/>
        <v>-21075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9183.7999999999993</v>
      </c>
      <c r="E26" s="578">
        <v>9186.1</v>
      </c>
      <c r="F26" s="582">
        <f t="shared" si="15"/>
        <v>276.00000000013097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8345</v>
      </c>
      <c r="P26" s="581">
        <f>'Water-Meter'!J28</f>
        <v>8345</v>
      </c>
      <c r="Q26" s="577">
        <f t="shared" si="13"/>
        <v>-8344</v>
      </c>
      <c r="R26" s="627">
        <f t="shared" si="14"/>
        <v>-5.16656346749226</v>
      </c>
      <c r="S26" s="628">
        <f>Gen!T33</f>
        <v>2922</v>
      </c>
      <c r="T26" s="629">
        <f t="shared" si="9"/>
        <v>44278</v>
      </c>
      <c r="U26" s="580"/>
      <c r="V26" s="582">
        <f t="shared" si="5"/>
        <v>8060.6</v>
      </c>
      <c r="W26" s="579">
        <v>8062.2</v>
      </c>
      <c r="X26" s="582">
        <f t="shared" si="0"/>
        <v>319.99999999989086</v>
      </c>
      <c r="Y26" s="624">
        <f t="shared" si="10"/>
        <v>44278</v>
      </c>
      <c r="Z26" s="580"/>
      <c r="AA26" s="577"/>
      <c r="AB26" s="581">
        <f>'Water-Meter'!P28</f>
        <v>21082</v>
      </c>
      <c r="AC26" s="634">
        <f t="shared" si="11"/>
        <v>-21080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9186.1</v>
      </c>
      <c r="E27" s="578"/>
      <c r="F27" s="582">
        <f t="shared" si="15"/>
        <v>-1102332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-8345</v>
      </c>
      <c r="R27" s="627">
        <f t="shared" si="14"/>
        <v>-5.1671826625386998</v>
      </c>
      <c r="S27" s="628">
        <f>Gen!T34</f>
        <v>0</v>
      </c>
      <c r="T27" s="629">
        <f t="shared" si="9"/>
        <v>44279</v>
      </c>
      <c r="U27" s="580"/>
      <c r="V27" s="582">
        <f t="shared" si="5"/>
        <v>8062.2</v>
      </c>
      <c r="W27" s="579"/>
      <c r="X27" s="582">
        <f t="shared" si="0"/>
        <v>-1612440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-21082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8">
        <f>A5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3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1.3</v>
      </c>
      <c r="E5" s="648">
        <v>1.3</v>
      </c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2.5999999999999999E-2</v>
      </c>
      <c r="D6" s="434">
        <f t="shared" si="0"/>
        <v>2.6</v>
      </c>
      <c r="E6" s="74">
        <v>2.6</v>
      </c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2.5999999999999999E-2</v>
      </c>
      <c r="D7" s="434">
        <f t="shared" si="0"/>
        <v>2.6</v>
      </c>
      <c r="E7" s="74">
        <v>2.6</v>
      </c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5.1900000000000002E-2</v>
      </c>
      <c r="D8" s="434">
        <f>E8</f>
        <v>5.19</v>
      </c>
      <c r="E8" s="74">
        <v>5.19</v>
      </c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7.79</v>
      </c>
      <c r="E9" s="74">
        <v>7.79</v>
      </c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5.19</v>
      </c>
      <c r="E10" s="74">
        <v>5.19</v>
      </c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0.1169</v>
      </c>
      <c r="D11" s="434">
        <f t="shared" si="0"/>
        <v>11.69</v>
      </c>
      <c r="E11" s="74">
        <v>11.69</v>
      </c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0.12989999999999999</v>
      </c>
      <c r="D12" s="434">
        <f t="shared" si="0"/>
        <v>12.99</v>
      </c>
      <c r="E12" s="74">
        <v>12.99</v>
      </c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0.15579999999999999</v>
      </c>
      <c r="D13" s="434">
        <f t="shared" si="0"/>
        <v>15.58</v>
      </c>
      <c r="E13" s="74">
        <v>15.58</v>
      </c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0.15579999999999999</v>
      </c>
      <c r="D14" s="434">
        <f t="shared" si="0"/>
        <v>15.58</v>
      </c>
      <c r="E14" s="74">
        <v>15.58</v>
      </c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0.1169</v>
      </c>
      <c r="D15" s="434">
        <f t="shared" si="0"/>
        <v>11.69</v>
      </c>
      <c r="E15" s="74">
        <v>11.69</v>
      </c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0.12989999999999999</v>
      </c>
      <c r="D16" s="434">
        <f t="shared" si="0"/>
        <v>12.99</v>
      </c>
      <c r="E16" s="74">
        <v>12.99</v>
      </c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0.1429</v>
      </c>
      <c r="D17" s="434">
        <f t="shared" si="0"/>
        <v>14.29</v>
      </c>
      <c r="E17" s="74">
        <v>14.29</v>
      </c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14.29</v>
      </c>
      <c r="E18" s="74">
        <v>14.29</v>
      </c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9.0899999999999995E-2</v>
      </c>
      <c r="D19" s="434">
        <f t="shared" si="0"/>
        <v>9.09</v>
      </c>
      <c r="E19" s="74">
        <v>9.09</v>
      </c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24</v>
      </c>
      <c r="C20" s="87">
        <f>Gen!B26</f>
        <v>7.7899999999999997E-2</v>
      </c>
      <c r="D20" s="434">
        <f t="shared" si="0"/>
        <v>7.79</v>
      </c>
      <c r="E20" s="74">
        <v>7.79</v>
      </c>
      <c r="F20" s="70">
        <f>Gen!U26</f>
        <v>0.41088773747841106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>
        <f>'Water-Meter'!E21</f>
        <v>60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24</v>
      </c>
      <c r="C21" s="87">
        <f>Gen!B27</f>
        <v>6.4899999999999999E-2</v>
      </c>
      <c r="D21" s="434">
        <f t="shared" si="0"/>
        <v>6.49</v>
      </c>
      <c r="E21" s="74">
        <v>6.49</v>
      </c>
      <c r="F21" s="70">
        <f>Gen!U27</f>
        <v>0.37978409499820082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38844.420000000006</v>
      </c>
      <c r="K21" s="295">
        <f>'Water-Meter'!E22</f>
        <v>64</v>
      </c>
      <c r="L21" s="654">
        <f>'Lpg (2)'!G26</f>
        <v>81.620000000012809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25</v>
      </c>
      <c r="C22" s="87">
        <f>Gen!B28</f>
        <v>0</v>
      </c>
      <c r="D22" s="434">
        <f t="shared" si="0"/>
        <v>0</v>
      </c>
      <c r="E22" s="74"/>
      <c r="F22" s="70">
        <f>Gen!U28</f>
        <v>0.41297325826882481</v>
      </c>
      <c r="G22" s="85">
        <f>Gen!T26</f>
        <v>2895</v>
      </c>
      <c r="H22" s="85">
        <f>Gen!AK28</f>
        <v>0</v>
      </c>
      <c r="I22" s="85">
        <f t="shared" si="1"/>
        <v>2895</v>
      </c>
      <c r="J22" s="446">
        <f>Gen!C28</f>
        <v>37749.620000000003</v>
      </c>
      <c r="K22" s="295">
        <f>'Water-Meter'!E23</f>
        <v>73</v>
      </c>
      <c r="L22" s="654">
        <f>'Lpg (2)'!G27</f>
        <v>66.395999999984639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24</v>
      </c>
      <c r="C23" s="87">
        <f>Gen!B29</f>
        <v>0</v>
      </c>
      <c r="D23" s="434">
        <f t="shared" si="0"/>
        <v>0</v>
      </c>
      <c r="E23" s="74"/>
      <c r="F23" s="70">
        <f>Gen!U29</f>
        <v>0.42228180473372778</v>
      </c>
      <c r="G23" s="85">
        <f>Gen!T27</f>
        <v>2779</v>
      </c>
      <c r="H23" s="85">
        <f>Gen!AK29</f>
        <v>0</v>
      </c>
      <c r="I23" s="85">
        <f t="shared" si="1"/>
        <v>2779</v>
      </c>
      <c r="J23" s="446">
        <f>Gen!C29</f>
        <v>36375.230000000003</v>
      </c>
      <c r="K23" s="295">
        <f>'Water-Meter'!E24</f>
        <v>67</v>
      </c>
      <c r="L23" s="654">
        <f>'Lpg (2)'!G28</f>
        <v>147.09200000003329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25</v>
      </c>
      <c r="C24" s="87">
        <f>Gen!B30</f>
        <v>0</v>
      </c>
      <c r="D24" s="434">
        <f t="shared" si="0"/>
        <v>0</v>
      </c>
      <c r="E24" s="74"/>
      <c r="F24" s="70">
        <f>Gen!U30</f>
        <v>0.40914830647813222</v>
      </c>
      <c r="G24" s="85">
        <f>Gen!T28</f>
        <v>2842</v>
      </c>
      <c r="H24" s="85">
        <f>Gen!AK30</f>
        <v>0</v>
      </c>
      <c r="I24" s="85">
        <f t="shared" si="1"/>
        <v>2842</v>
      </c>
      <c r="J24" s="446">
        <f>Gen!C30</f>
        <v>35209.18</v>
      </c>
      <c r="K24" s="295">
        <f>'Water-Meter'!E25</f>
        <v>62</v>
      </c>
      <c r="L24" s="654">
        <f>'Lpg (2)'!G29</f>
        <v>74.315999999997445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25</v>
      </c>
      <c r="C25" s="87">
        <f>Gen!B31</f>
        <v>0</v>
      </c>
      <c r="D25" s="434">
        <f t="shared" si="0"/>
        <v>0</v>
      </c>
      <c r="E25" s="74"/>
      <c r="F25" s="70">
        <f>Gen!U31</f>
        <v>0.41326633165829141</v>
      </c>
      <c r="G25" s="85">
        <f>Gen!T29</f>
        <v>2704</v>
      </c>
      <c r="H25" s="85">
        <f>Gen!AK31</f>
        <v>0</v>
      </c>
      <c r="I25" s="85">
        <f t="shared" si="1"/>
        <v>2704</v>
      </c>
      <c r="J25" s="446">
        <f>Gen!C31</f>
        <v>33964.959999999999</v>
      </c>
      <c r="K25" s="295">
        <f>'Water-Meter'!E26</f>
        <v>42</v>
      </c>
      <c r="L25" s="654">
        <f>'Lpg (2)'!G30</f>
        <v>100.36399999998976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0.42231622746185854</v>
      </c>
      <c r="G26" s="85">
        <f>Gen!T30</f>
        <v>3041</v>
      </c>
      <c r="H26" s="85">
        <f>Gen!AK32</f>
        <v>0</v>
      </c>
      <c r="I26" s="85">
        <f t="shared" si="1"/>
        <v>3041</v>
      </c>
      <c r="J26" s="446">
        <f>Gen!C32</f>
        <v>47700.09</v>
      </c>
      <c r="K26" s="295">
        <f>'Water-Meter'!E27</f>
        <v>42</v>
      </c>
      <c r="L26" s="654">
        <f>'Lpg (2)'!G31</f>
        <v>90.595999999984642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23</v>
      </c>
      <c r="C27" s="87">
        <f>Gen!B33</f>
        <v>0</v>
      </c>
      <c r="D27" s="434">
        <f t="shared" si="0"/>
        <v>0</v>
      </c>
      <c r="E27" s="74"/>
      <c r="F27" s="70">
        <f>Gen!U33</f>
        <v>0.41951745379876793</v>
      </c>
      <c r="G27" s="85">
        <f>Gen!T31</f>
        <v>2985</v>
      </c>
      <c r="H27" s="85">
        <f>Gen!AK33</f>
        <v>0</v>
      </c>
      <c r="I27" s="85">
        <f t="shared" si="1"/>
        <v>2985</v>
      </c>
      <c r="J27" s="446">
        <f>Gen!C33</f>
        <v>46429.27</v>
      </c>
      <c r="K27" s="295">
        <f>'Water-Meter'!E28</f>
        <v>57</v>
      </c>
      <c r="L27" s="654">
        <f>'Lpg (2)'!G32</f>
        <v>95.260000000038431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-158719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2884</v>
      </c>
      <c r="H28" s="85">
        <f>Gen!AK34</f>
        <v>0</v>
      </c>
      <c r="I28" s="85">
        <f t="shared" si="1"/>
        <v>2884</v>
      </c>
      <c r="J28" s="446">
        <f>Gen!C34</f>
        <v>45203.439999999995</v>
      </c>
      <c r="K28" s="295" t="str">
        <f>'Water-Meter'!E29</f>
        <v>0</v>
      </c>
      <c r="L28" s="654">
        <f>'Lpg (2)'!G33</f>
        <v>-332803.72400000005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2922</v>
      </c>
      <c r="H29" s="85">
        <f>Gen!AK35</f>
        <v>0</v>
      </c>
      <c r="I29" s="85">
        <f t="shared" si="1"/>
        <v>2922</v>
      </c>
      <c r="J29" s="446">
        <f>Gen!C35</f>
        <v>45203.439999999995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45203.439999999995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45203.439999999995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45203.439999999995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45203.439999999995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45203.439999999995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45203.439999999995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45203.439999999995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7" workbookViewId="0">
      <pane xSplit="1" topLeftCell="B1" activePane="topRight" state="frozen"/>
      <selection pane="topRight" activeCell="AA31" sqref="AA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44256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19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7" t="s">
        <v>191</v>
      </c>
      <c r="R4" s="339" t="s">
        <v>192</v>
      </c>
      <c r="S4" s="828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6">
        <v>30832</v>
      </c>
      <c r="P5" s="686"/>
      <c r="Q5" s="675"/>
      <c r="R5" s="305">
        <v>36102</v>
      </c>
      <c r="S5" s="686"/>
      <c r="T5" s="675"/>
      <c r="U5" s="826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6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6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6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 thickBo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>
        <v>35996</v>
      </c>
      <c r="M21" s="304">
        <f t="shared" si="1"/>
        <v>0</v>
      </c>
      <c r="N21" s="306">
        <f t="shared" si="2"/>
        <v>30905</v>
      </c>
      <c r="O21" s="125">
        <v>30905</v>
      </c>
      <c r="P21" s="304">
        <f t="shared" si="3"/>
        <v>0</v>
      </c>
      <c r="Q21" s="304">
        <f t="shared" si="4"/>
        <v>36174</v>
      </c>
      <c r="R21" s="125">
        <v>36198</v>
      </c>
      <c r="S21" s="304">
        <f t="shared" si="5"/>
        <v>24</v>
      </c>
      <c r="T21" s="304">
        <f t="shared" si="6"/>
        <v>33416</v>
      </c>
      <c r="U21" s="305">
        <v>33416</v>
      </c>
      <c r="V21" s="304">
        <f t="shared" si="7"/>
        <v>0</v>
      </c>
      <c r="W21" s="306">
        <f t="shared" si="8"/>
        <v>22034</v>
      </c>
      <c r="X21" s="305">
        <v>22034</v>
      </c>
      <c r="Y21" s="304">
        <f t="shared" si="9"/>
        <v>0</v>
      </c>
      <c r="Z21" s="307">
        <f t="shared" si="10"/>
        <v>24</v>
      </c>
      <c r="AA21" s="125">
        <v>235</v>
      </c>
      <c r="AB21" s="125">
        <v>125</v>
      </c>
      <c r="AC21" s="689">
        <f>Gen!AR26</f>
        <v>1189.52</v>
      </c>
    </row>
    <row r="22" spans="1:29" ht="18.75" customHeight="1" thickBot="1">
      <c r="A22" s="682">
        <f>Gen!A27</f>
        <v>44272</v>
      </c>
      <c r="B22" s="677"/>
      <c r="C22" s="793">
        <v>16571.419999999998</v>
      </c>
      <c r="D22" s="675">
        <v>22273</v>
      </c>
      <c r="E22" s="305"/>
      <c r="F22" s="305"/>
      <c r="G22" s="305"/>
      <c r="H22" s="305"/>
      <c r="I22" s="305">
        <v>31772.9</v>
      </c>
      <c r="J22" s="678">
        <v>21173.8</v>
      </c>
      <c r="K22" s="688">
        <f t="shared" si="0"/>
        <v>35996</v>
      </c>
      <c r="L22" s="305">
        <v>35996</v>
      </c>
      <c r="M22" s="304">
        <f t="shared" si="1"/>
        <v>0</v>
      </c>
      <c r="N22" s="306">
        <f t="shared" si="2"/>
        <v>30905</v>
      </c>
      <c r="O22" s="125">
        <v>30929</v>
      </c>
      <c r="P22" s="304">
        <f t="shared" si="3"/>
        <v>24</v>
      </c>
      <c r="Q22" s="304">
        <f t="shared" si="4"/>
        <v>36198</v>
      </c>
      <c r="R22" s="125">
        <v>36198</v>
      </c>
      <c r="S22" s="304">
        <f t="shared" si="5"/>
        <v>0</v>
      </c>
      <c r="T22" s="304">
        <f t="shared" si="6"/>
        <v>33416</v>
      </c>
      <c r="U22" s="305">
        <v>33416</v>
      </c>
      <c r="V22" s="304">
        <f t="shared" si="7"/>
        <v>0</v>
      </c>
      <c r="W22" s="306">
        <f t="shared" si="8"/>
        <v>22034</v>
      </c>
      <c r="X22" s="305">
        <v>22034</v>
      </c>
      <c r="Y22" s="304">
        <f t="shared" si="9"/>
        <v>0</v>
      </c>
      <c r="Z22" s="307">
        <f t="shared" si="10"/>
        <v>24</v>
      </c>
      <c r="AA22" s="125">
        <v>240</v>
      </c>
      <c r="AB22" s="125">
        <v>100</v>
      </c>
      <c r="AC22" s="689">
        <f>Gen!AR27</f>
        <v>1094.8000000000002</v>
      </c>
    </row>
    <row r="23" spans="1:29" ht="20.100000000000001" customHeight="1" thickBot="1">
      <c r="A23" s="682">
        <f>Gen!A28</f>
        <v>44273</v>
      </c>
      <c r="B23" s="677"/>
      <c r="C23" s="793">
        <v>15476.62</v>
      </c>
      <c r="D23" s="675">
        <v>22273</v>
      </c>
      <c r="E23" s="491"/>
      <c r="F23" s="305"/>
      <c r="G23" s="305"/>
      <c r="H23" s="305"/>
      <c r="I23" s="305">
        <v>31777.4</v>
      </c>
      <c r="J23" s="678">
        <v>21177.200000000001</v>
      </c>
      <c r="K23" s="688">
        <f t="shared" si="0"/>
        <v>35996</v>
      </c>
      <c r="L23" s="305">
        <v>35996</v>
      </c>
      <c r="M23" s="304">
        <f t="shared" si="1"/>
        <v>0</v>
      </c>
      <c r="N23" s="306">
        <f t="shared" si="2"/>
        <v>30929</v>
      </c>
      <c r="O23" s="125">
        <v>30929</v>
      </c>
      <c r="P23" s="304">
        <f t="shared" si="3"/>
        <v>0</v>
      </c>
      <c r="Q23" s="304">
        <f t="shared" si="4"/>
        <v>36198</v>
      </c>
      <c r="R23" s="125">
        <v>36198</v>
      </c>
      <c r="S23" s="304">
        <f t="shared" si="5"/>
        <v>0</v>
      </c>
      <c r="T23" s="304">
        <f t="shared" si="6"/>
        <v>33416</v>
      </c>
      <c r="U23" s="305">
        <v>33441</v>
      </c>
      <c r="V23" s="304">
        <f t="shared" si="7"/>
        <v>25</v>
      </c>
      <c r="W23" s="306">
        <f t="shared" si="8"/>
        <v>22034</v>
      </c>
      <c r="X23" s="305">
        <v>22034</v>
      </c>
      <c r="Y23" s="304">
        <f t="shared" si="9"/>
        <v>0</v>
      </c>
      <c r="Z23" s="307">
        <f t="shared" si="10"/>
        <v>25</v>
      </c>
      <c r="AA23" s="125">
        <v>220</v>
      </c>
      <c r="AB23" s="125">
        <v>100</v>
      </c>
      <c r="AC23" s="689">
        <f>Gen!AR28</f>
        <v>1374.39</v>
      </c>
    </row>
    <row r="24" spans="1:29" ht="20.100000000000001" customHeight="1" thickBot="1">
      <c r="A24" s="682">
        <f>Gen!A29</f>
        <v>44274</v>
      </c>
      <c r="B24" s="677"/>
      <c r="C24" s="793">
        <v>14102.23</v>
      </c>
      <c r="D24" s="675">
        <v>22273</v>
      </c>
      <c r="E24" s="305"/>
      <c r="F24" s="305"/>
      <c r="G24" s="305"/>
      <c r="H24" s="305"/>
      <c r="I24" s="305">
        <v>31782.400000000001</v>
      </c>
      <c r="J24" s="678">
        <v>21180.5</v>
      </c>
      <c r="K24" s="688">
        <f t="shared" si="0"/>
        <v>35996</v>
      </c>
      <c r="L24" s="305">
        <v>36020</v>
      </c>
      <c r="M24" s="304">
        <f t="shared" si="1"/>
        <v>24</v>
      </c>
      <c r="N24" s="306">
        <f t="shared" si="2"/>
        <v>30929</v>
      </c>
      <c r="O24" s="125">
        <v>30929</v>
      </c>
      <c r="P24" s="304">
        <f t="shared" si="3"/>
        <v>0</v>
      </c>
      <c r="Q24" s="304">
        <f t="shared" si="4"/>
        <v>36198</v>
      </c>
      <c r="R24" s="125">
        <v>36198</v>
      </c>
      <c r="S24" s="304">
        <f t="shared" si="5"/>
        <v>0</v>
      </c>
      <c r="T24" s="304">
        <f t="shared" si="6"/>
        <v>33441</v>
      </c>
      <c r="U24" s="305">
        <v>33441</v>
      </c>
      <c r="V24" s="304">
        <f t="shared" si="7"/>
        <v>0</v>
      </c>
      <c r="W24" s="306">
        <f t="shared" si="8"/>
        <v>22034</v>
      </c>
      <c r="X24" s="305">
        <v>22034</v>
      </c>
      <c r="Y24" s="304">
        <f t="shared" si="9"/>
        <v>0</v>
      </c>
      <c r="Z24" s="307">
        <f t="shared" si="10"/>
        <v>24</v>
      </c>
      <c r="AA24" s="125">
        <v>250</v>
      </c>
      <c r="AB24" s="125">
        <v>115</v>
      </c>
      <c r="AC24" s="689">
        <f>Gen!AR29</f>
        <v>1166.05</v>
      </c>
    </row>
    <row r="25" spans="1:29" ht="18.75" customHeight="1" thickBot="1">
      <c r="A25" s="682">
        <f>Gen!A30</f>
        <v>44275</v>
      </c>
      <c r="B25" s="677"/>
      <c r="C25" s="793">
        <v>12936.18</v>
      </c>
      <c r="D25" s="675">
        <v>22273</v>
      </c>
      <c r="E25" s="305"/>
      <c r="F25" s="305"/>
      <c r="G25" s="305"/>
      <c r="H25" s="305"/>
      <c r="I25" s="305">
        <v>31787.1</v>
      </c>
      <c r="J25" s="678">
        <v>21183.599999999999</v>
      </c>
      <c r="K25" s="688">
        <f t="shared" si="0"/>
        <v>36020</v>
      </c>
      <c r="L25" s="305">
        <v>36020</v>
      </c>
      <c r="M25" s="304">
        <f t="shared" si="1"/>
        <v>0</v>
      </c>
      <c r="N25" s="306">
        <f t="shared" si="2"/>
        <v>30929</v>
      </c>
      <c r="O25" s="125">
        <v>30929</v>
      </c>
      <c r="P25" s="304">
        <f t="shared" si="3"/>
        <v>0</v>
      </c>
      <c r="Q25" s="304">
        <f t="shared" si="4"/>
        <v>36198</v>
      </c>
      <c r="R25" s="305">
        <v>36223</v>
      </c>
      <c r="S25" s="304">
        <f t="shared" si="5"/>
        <v>25</v>
      </c>
      <c r="T25" s="304">
        <f t="shared" si="6"/>
        <v>33441</v>
      </c>
      <c r="U25" s="305">
        <v>33441</v>
      </c>
      <c r="V25" s="304">
        <f t="shared" si="7"/>
        <v>0</v>
      </c>
      <c r="W25" s="306">
        <f t="shared" si="8"/>
        <v>22034</v>
      </c>
      <c r="X25" s="305">
        <v>22034</v>
      </c>
      <c r="Y25" s="304">
        <f t="shared" si="9"/>
        <v>0</v>
      </c>
      <c r="Z25" s="307">
        <f t="shared" si="10"/>
        <v>25</v>
      </c>
      <c r="AA25" s="125">
        <v>200</v>
      </c>
      <c r="AB25" s="125">
        <v>100</v>
      </c>
      <c r="AC25" s="689">
        <f>Gen!AR30</f>
        <v>1244.22</v>
      </c>
    </row>
    <row r="26" spans="1:29" ht="20.100000000000001" customHeight="1" thickBot="1">
      <c r="A26" s="682">
        <f>Gen!A31</f>
        <v>44276</v>
      </c>
      <c r="B26" s="677"/>
      <c r="C26" s="793">
        <v>11691.96</v>
      </c>
      <c r="D26" s="675">
        <v>22273</v>
      </c>
      <c r="E26" s="305"/>
      <c r="F26" s="305"/>
      <c r="G26" s="305"/>
      <c r="H26" s="305"/>
      <c r="I26" s="305">
        <v>31792.1</v>
      </c>
      <c r="J26" s="678">
        <v>21187.3</v>
      </c>
      <c r="K26" s="688">
        <f t="shared" si="0"/>
        <v>36020</v>
      </c>
      <c r="L26" s="305">
        <v>36020</v>
      </c>
      <c r="M26" s="304">
        <f t="shared" si="1"/>
        <v>0</v>
      </c>
      <c r="N26" s="306">
        <f t="shared" si="2"/>
        <v>30929</v>
      </c>
      <c r="O26" s="125">
        <v>30954</v>
      </c>
      <c r="P26" s="304">
        <f t="shared" si="3"/>
        <v>25</v>
      </c>
      <c r="Q26" s="304">
        <f t="shared" si="4"/>
        <v>36223</v>
      </c>
      <c r="R26" s="305">
        <v>36223</v>
      </c>
      <c r="S26" s="304">
        <f t="shared" si="5"/>
        <v>0</v>
      </c>
      <c r="T26" s="304">
        <f t="shared" si="6"/>
        <v>33441</v>
      </c>
      <c r="U26" s="305">
        <v>33441</v>
      </c>
      <c r="V26" s="304">
        <f t="shared" si="7"/>
        <v>0</v>
      </c>
      <c r="W26" s="306">
        <f t="shared" si="8"/>
        <v>22034</v>
      </c>
      <c r="X26" s="305">
        <v>22034</v>
      </c>
      <c r="Y26" s="304">
        <f t="shared" si="9"/>
        <v>0</v>
      </c>
      <c r="Z26" s="307">
        <f t="shared" ref="Z26:Z37" si="12">Y26+V26+S26+P26+M26</f>
        <v>25</v>
      </c>
      <c r="AA26" s="125">
        <v>240</v>
      </c>
      <c r="AB26" s="125">
        <v>120</v>
      </c>
      <c r="AC26" s="689">
        <f>Gen!AR31</f>
        <v>1264.8699999999999</v>
      </c>
    </row>
    <row r="27" spans="1:29" ht="20.100000000000001" customHeight="1" thickBot="1">
      <c r="A27" s="682">
        <f>Gen!A32</f>
        <v>44277</v>
      </c>
      <c r="B27" s="677"/>
      <c r="C27" s="793">
        <v>10427.09</v>
      </c>
      <c r="D27" s="675">
        <v>22273</v>
      </c>
      <c r="E27" s="305"/>
      <c r="F27" s="305"/>
      <c r="G27" s="305"/>
      <c r="H27" s="305"/>
      <c r="I27" s="305">
        <v>31797.5</v>
      </c>
      <c r="J27" s="678">
        <v>21190.5</v>
      </c>
      <c r="K27" s="688">
        <f t="shared" si="0"/>
        <v>36020</v>
      </c>
      <c r="L27" s="305">
        <v>36020</v>
      </c>
      <c r="M27" s="304">
        <f t="shared" si="1"/>
        <v>0</v>
      </c>
      <c r="N27" s="306">
        <f t="shared" si="2"/>
        <v>30954</v>
      </c>
      <c r="O27" s="125">
        <v>30954</v>
      </c>
      <c r="P27" s="304">
        <f t="shared" si="3"/>
        <v>0</v>
      </c>
      <c r="Q27" s="304">
        <f t="shared" si="4"/>
        <v>36223</v>
      </c>
      <c r="R27" s="305">
        <v>36247</v>
      </c>
      <c r="S27" s="304">
        <f t="shared" si="5"/>
        <v>24</v>
      </c>
      <c r="T27" s="304">
        <f t="shared" si="6"/>
        <v>33441</v>
      </c>
      <c r="U27" s="305">
        <v>33441</v>
      </c>
      <c r="V27" s="304">
        <f t="shared" si="7"/>
        <v>0</v>
      </c>
      <c r="W27" s="306">
        <f t="shared" si="8"/>
        <v>22034</v>
      </c>
      <c r="X27" s="305">
        <v>22034</v>
      </c>
      <c r="Y27" s="304">
        <f t="shared" si="9"/>
        <v>0</v>
      </c>
      <c r="Z27" s="307">
        <f t="shared" si="12"/>
        <v>24</v>
      </c>
      <c r="AA27" s="125">
        <v>230</v>
      </c>
      <c r="AB27" s="125">
        <v>135</v>
      </c>
      <c r="AC27" s="689">
        <f>Gen!AR32</f>
        <v>1270.82</v>
      </c>
    </row>
    <row r="28" spans="1:29" ht="20.100000000000001" customHeight="1" thickBot="1">
      <c r="A28" s="682">
        <f>Gen!A33</f>
        <v>44278</v>
      </c>
      <c r="B28" s="677"/>
      <c r="C28" s="793">
        <v>9128.5400000000009</v>
      </c>
      <c r="D28" s="675">
        <v>22273</v>
      </c>
      <c r="E28" s="305"/>
      <c r="F28" s="305"/>
      <c r="G28" s="305"/>
      <c r="H28" s="305"/>
      <c r="I28" s="305">
        <v>31802.6</v>
      </c>
      <c r="J28" s="678">
        <v>21193.8</v>
      </c>
      <c r="K28" s="688">
        <f t="shared" si="0"/>
        <v>36020</v>
      </c>
      <c r="L28" s="305">
        <v>36043</v>
      </c>
      <c r="M28" s="304">
        <f t="shared" si="1"/>
        <v>23</v>
      </c>
      <c r="N28" s="306">
        <f t="shared" si="2"/>
        <v>30954</v>
      </c>
      <c r="O28" s="125">
        <v>30954</v>
      </c>
      <c r="P28" s="304">
        <f t="shared" si="3"/>
        <v>0</v>
      </c>
      <c r="Q28" s="304">
        <f t="shared" si="4"/>
        <v>36247</v>
      </c>
      <c r="R28" s="305">
        <v>36247</v>
      </c>
      <c r="S28" s="304">
        <f t="shared" si="5"/>
        <v>0</v>
      </c>
      <c r="T28" s="304">
        <f t="shared" si="6"/>
        <v>33441</v>
      </c>
      <c r="U28" s="305">
        <v>33441</v>
      </c>
      <c r="V28" s="304">
        <f t="shared" si="7"/>
        <v>0</v>
      </c>
      <c r="W28" s="306">
        <f t="shared" si="8"/>
        <v>22034</v>
      </c>
      <c r="X28" s="305">
        <v>22034</v>
      </c>
      <c r="Y28" s="304">
        <f t="shared" si="9"/>
        <v>0</v>
      </c>
      <c r="Z28" s="307">
        <f t="shared" si="12"/>
        <v>23</v>
      </c>
      <c r="AA28" s="125">
        <v>260</v>
      </c>
      <c r="AB28" s="125">
        <v>250</v>
      </c>
      <c r="AC28" s="689">
        <f>Gen!AR33</f>
        <v>1225.83</v>
      </c>
    </row>
    <row r="29" spans="1:29" ht="20.100000000000001" customHeight="1">
      <c r="A29" s="682">
        <f>Gen!A34</f>
        <v>44279</v>
      </c>
      <c r="B29" s="677"/>
      <c r="C29" s="793">
        <v>22930.44</v>
      </c>
      <c r="D29" s="675">
        <v>22273</v>
      </c>
      <c r="E29" s="305"/>
      <c r="F29" s="305"/>
      <c r="G29" s="305"/>
      <c r="H29" s="305"/>
      <c r="I29" s="305">
        <v>31807.8</v>
      </c>
      <c r="J29" s="678">
        <v>21197.1</v>
      </c>
      <c r="K29" s="688">
        <f t="shared" si="0"/>
        <v>36043</v>
      </c>
      <c r="L29" s="305"/>
      <c r="M29" s="304">
        <f t="shared" si="1"/>
        <v>-36043</v>
      </c>
      <c r="N29" s="306">
        <f t="shared" si="2"/>
        <v>30954</v>
      </c>
      <c r="O29" s="305"/>
      <c r="P29" s="304">
        <f t="shared" si="3"/>
        <v>-30954</v>
      </c>
      <c r="Q29" s="304">
        <f t="shared" si="4"/>
        <v>36247</v>
      </c>
      <c r="R29" s="305"/>
      <c r="S29" s="304">
        <f t="shared" si="5"/>
        <v>-36247</v>
      </c>
      <c r="T29" s="304">
        <f t="shared" si="6"/>
        <v>33441</v>
      </c>
      <c r="U29" s="305"/>
      <c r="V29" s="304">
        <f t="shared" si="7"/>
        <v>-33441</v>
      </c>
      <c r="W29" s="306">
        <f t="shared" si="8"/>
        <v>22034</v>
      </c>
      <c r="X29" s="305"/>
      <c r="Y29" s="304">
        <f t="shared" si="9"/>
        <v>-22034</v>
      </c>
      <c r="Z29" s="307">
        <f t="shared" si="12"/>
        <v>-158719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M35" sqref="M35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4"/>
      <c r="B1" s="894"/>
    </row>
    <row r="2" spans="1:46" ht="26.25">
      <c r="A2" s="894"/>
      <c r="B2" s="894"/>
      <c r="D2" s="895">
        <f>A11</f>
        <v>44256</v>
      </c>
      <c r="E2" s="895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</row>
    <row r="3" spans="1:46" ht="12.75" customHeight="1">
      <c r="A3" s="894"/>
      <c r="B3" s="894"/>
      <c r="H3" s="897"/>
      <c r="I3" s="897"/>
      <c r="J3" s="897"/>
      <c r="K3" s="181"/>
      <c r="Q3" s="181"/>
    </row>
    <row r="4" spans="1:46" ht="11.25" customHeight="1">
      <c r="A4" s="894"/>
      <c r="B4" s="894"/>
      <c r="H4" s="897"/>
      <c r="I4" s="897"/>
      <c r="J4" s="897"/>
      <c r="K4" s="181"/>
      <c r="Q4" s="181"/>
    </row>
    <row r="5" spans="1:46" ht="12" thickBot="1">
      <c r="A5" s="894"/>
      <c r="B5" s="89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4"/>
      <c r="B6" s="894"/>
      <c r="C6" s="186"/>
      <c r="F6" s="898" t="s">
        <v>57</v>
      </c>
      <c r="G6" s="899"/>
      <c r="H6" s="899"/>
      <c r="I6" s="899"/>
      <c r="J6" s="899"/>
      <c r="K6" s="899"/>
      <c r="L6" s="90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5"/>
      <c r="AT6" s="846"/>
    </row>
    <row r="7" spans="1:46" ht="21" thickBot="1">
      <c r="C7" s="188"/>
      <c r="D7" s="188"/>
      <c r="E7" s="188"/>
      <c r="F7" s="901" t="s">
        <v>201</v>
      </c>
      <c r="G7" s="902"/>
      <c r="H7" s="902"/>
      <c r="I7" s="902"/>
      <c r="J7" s="902"/>
      <c r="K7" s="902"/>
      <c r="L7" s="903"/>
      <c r="M7" s="904" t="s">
        <v>40</v>
      </c>
      <c r="N7" s="905"/>
      <c r="O7" s="905"/>
      <c r="P7" s="905"/>
      <c r="Q7" s="905"/>
      <c r="R7" s="90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7"/>
      <c r="AT7" s="848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9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0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1">
        <v>2.5999999999999999E-2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2">
        <v>2.5999999999999999E-2</v>
      </c>
      <c r="C13" s="807">
        <f t="shared" si="6"/>
        <v>42443.15</v>
      </c>
      <c r="D13" s="808"/>
      <c r="E13" s="805"/>
      <c r="F13" s="526"/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2">
        <v>5.1900000000000002E-2</v>
      </c>
      <c r="C14" s="807">
        <f t="shared" si="6"/>
        <v>41374.35</v>
      </c>
      <c r="D14" s="808"/>
      <c r="E14" s="805"/>
      <c r="F14" s="526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2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2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2">
        <v>0.1169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2">
        <v>0.12989999999999999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2">
        <v>0.15579999999999999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2">
        <v>0.15579999999999999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2">
        <v>0.1169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2">
        <v>0.12989999999999999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2">
        <v>0.1429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2">
        <v>0.14000000000000001</v>
      </c>
      <c r="C24" s="807">
        <f t="shared" si="6"/>
        <v>42952.210000000006</v>
      </c>
      <c r="D24" s="811"/>
      <c r="E24" s="805">
        <v>15000</v>
      </c>
      <c r="F24" s="825" t="s">
        <v>317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2">
        <v>9.0899999999999995E-2</v>
      </c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2">
        <v>7.7899999999999997E-2</v>
      </c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>
        <v>1189.52</v>
      </c>
      <c r="K26" s="204"/>
      <c r="L26" s="526"/>
      <c r="M26" s="298"/>
      <c r="N26" s="206"/>
      <c r="O26" s="206"/>
      <c r="P26" s="206">
        <v>2895</v>
      </c>
      <c r="Q26" s="206"/>
      <c r="R26" s="563"/>
      <c r="S26" s="571">
        <f t="shared" si="0"/>
        <v>1189.52</v>
      </c>
      <c r="T26" s="218">
        <f t="shared" si="1"/>
        <v>2895</v>
      </c>
      <c r="U26" s="572">
        <f t="shared" si="4"/>
        <v>0.41088773747841106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1189.52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2">
        <v>6.4899999999999999E-2</v>
      </c>
      <c r="C27" s="807">
        <f t="shared" si="6"/>
        <v>38844.420000000006</v>
      </c>
      <c r="D27" s="808"/>
      <c r="E27" s="805"/>
      <c r="F27" s="809"/>
      <c r="G27" s="806"/>
      <c r="H27" s="219">
        <v>1055.42</v>
      </c>
      <c r="I27" s="223"/>
      <c r="J27" s="204"/>
      <c r="K27" s="204"/>
      <c r="L27" s="526"/>
      <c r="M27" s="298"/>
      <c r="N27" s="206">
        <v>2779</v>
      </c>
      <c r="O27" s="206"/>
      <c r="P27" s="206"/>
      <c r="Q27" s="206"/>
      <c r="R27" s="563"/>
      <c r="S27" s="571">
        <f t="shared" si="0"/>
        <v>1055.42</v>
      </c>
      <c r="T27" s="218">
        <f t="shared" si="1"/>
        <v>2779</v>
      </c>
      <c r="U27" s="572">
        <f t="shared" si="4"/>
        <v>0.37978409499820082</v>
      </c>
      <c r="V27" s="211"/>
      <c r="W27" s="219"/>
      <c r="X27" s="197"/>
      <c r="Y27" s="219"/>
      <c r="Z27" s="204">
        <v>21.97</v>
      </c>
      <c r="AA27" s="273"/>
      <c r="AB27" s="219"/>
      <c r="AC27" s="219">
        <v>17.41</v>
      </c>
      <c r="AD27" s="219"/>
      <c r="AE27" s="219"/>
      <c r="AF27" s="219"/>
      <c r="AG27" s="219"/>
      <c r="AH27" s="219"/>
      <c r="AI27" s="386"/>
      <c r="AJ27" s="271">
        <f t="shared" si="3"/>
        <v>39.379999999999995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1094.8000000000002</v>
      </c>
      <c r="AS27" s="221">
        <f t="shared" si="7"/>
        <v>0</v>
      </c>
      <c r="AT27" s="283">
        <f t="shared" si="5"/>
        <v>38844.420000000006</v>
      </c>
    </row>
    <row r="28" spans="1:46" ht="15.75">
      <c r="A28" s="576">
        <v>44273</v>
      </c>
      <c r="B28" s="832"/>
      <c r="C28" s="807">
        <f t="shared" si="6"/>
        <v>37749.620000000003</v>
      </c>
      <c r="D28" s="808"/>
      <c r="E28" s="805"/>
      <c r="F28" s="809"/>
      <c r="G28" s="806"/>
      <c r="H28" s="219"/>
      <c r="I28" s="205"/>
      <c r="J28" s="204"/>
      <c r="K28" s="204">
        <v>1173.67</v>
      </c>
      <c r="L28" s="526"/>
      <c r="M28" s="298"/>
      <c r="N28" s="206"/>
      <c r="O28" s="206"/>
      <c r="P28" s="206"/>
      <c r="Q28" s="206">
        <v>2842</v>
      </c>
      <c r="R28" s="563"/>
      <c r="S28" s="571">
        <f t="shared" si="0"/>
        <v>1173.67</v>
      </c>
      <c r="T28" s="218">
        <f t="shared" si="1"/>
        <v>2842</v>
      </c>
      <c r="U28" s="572">
        <f t="shared" si="4"/>
        <v>0.41297325826882481</v>
      </c>
      <c r="V28" s="211"/>
      <c r="W28" s="219"/>
      <c r="X28" s="197"/>
      <c r="Y28" s="219"/>
      <c r="Z28" s="204">
        <v>10.38</v>
      </c>
      <c r="AA28" s="273"/>
      <c r="AB28" s="219"/>
      <c r="AC28" s="219"/>
      <c r="AD28" s="219">
        <v>190.34</v>
      </c>
      <c r="AE28" s="219"/>
      <c r="AF28" s="219"/>
      <c r="AG28" s="219"/>
      <c r="AH28" s="219"/>
      <c r="AI28" s="386"/>
      <c r="AJ28" s="271">
        <f>SUM(V28:AI28)</f>
        <v>200.72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1374.39</v>
      </c>
      <c r="AS28" s="221">
        <f t="shared" si="7"/>
        <v>0</v>
      </c>
      <c r="AT28" s="283">
        <f>C28</f>
        <v>37749.620000000003</v>
      </c>
    </row>
    <row r="29" spans="1:46" ht="15.75">
      <c r="A29" s="576">
        <v>44274</v>
      </c>
      <c r="B29" s="832"/>
      <c r="C29" s="807">
        <f t="shared" si="6"/>
        <v>36375.230000000003</v>
      </c>
      <c r="D29" s="808"/>
      <c r="E29" s="805"/>
      <c r="F29" s="809"/>
      <c r="G29" s="806">
        <v>1141.8499999999999</v>
      </c>
      <c r="H29" s="219"/>
      <c r="I29" s="205"/>
      <c r="J29" s="204"/>
      <c r="K29" s="204"/>
      <c r="L29" s="526"/>
      <c r="M29" s="298">
        <v>2704</v>
      </c>
      <c r="N29" s="206"/>
      <c r="O29" s="206"/>
      <c r="P29" s="206"/>
      <c r="Q29" s="206"/>
      <c r="R29" s="563"/>
      <c r="S29" s="571">
        <f t="shared" si="0"/>
        <v>1141.8499999999999</v>
      </c>
      <c r="T29" s="218">
        <f t="shared" si="1"/>
        <v>2704</v>
      </c>
      <c r="U29" s="572">
        <f t="shared" si="4"/>
        <v>0.42228180473372778</v>
      </c>
      <c r="V29" s="211"/>
      <c r="W29" s="219"/>
      <c r="X29" s="197">
        <v>24.2</v>
      </c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24.2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1166.05</v>
      </c>
      <c r="AS29" s="221">
        <f t="shared" si="7"/>
        <v>0</v>
      </c>
      <c r="AT29" s="283">
        <f t="shared" si="5"/>
        <v>36375.230000000003</v>
      </c>
    </row>
    <row r="30" spans="1:46" ht="15.75">
      <c r="A30" s="576">
        <v>44275</v>
      </c>
      <c r="B30" s="832"/>
      <c r="C30" s="807">
        <f t="shared" si="6"/>
        <v>35209.18</v>
      </c>
      <c r="D30" s="808"/>
      <c r="E30" s="805"/>
      <c r="F30" s="809"/>
      <c r="G30" s="806"/>
      <c r="H30" s="219"/>
      <c r="I30" s="205"/>
      <c r="J30" s="204">
        <v>1244.22</v>
      </c>
      <c r="K30" s="204"/>
      <c r="L30" s="526"/>
      <c r="M30" s="298"/>
      <c r="N30" s="206"/>
      <c r="O30" s="206"/>
      <c r="P30" s="206">
        <v>3041</v>
      </c>
      <c r="Q30" s="206"/>
      <c r="R30" s="563"/>
      <c r="S30" s="571">
        <f t="shared" si="0"/>
        <v>1244.22</v>
      </c>
      <c r="T30" s="218">
        <f t="shared" si="1"/>
        <v>3041</v>
      </c>
      <c r="U30" s="572">
        <f t="shared" si="4"/>
        <v>0.40914830647813222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1244.22</v>
      </c>
      <c r="AS30" s="221">
        <f t="shared" si="7"/>
        <v>0</v>
      </c>
      <c r="AT30" s="283">
        <f t="shared" si="5"/>
        <v>35209.18</v>
      </c>
    </row>
    <row r="31" spans="1:46" ht="15.75">
      <c r="A31" s="576">
        <v>44276</v>
      </c>
      <c r="B31" s="832"/>
      <c r="C31" s="807">
        <f t="shared" si="6"/>
        <v>33964.959999999999</v>
      </c>
      <c r="D31" s="808"/>
      <c r="E31" s="805"/>
      <c r="F31" s="809"/>
      <c r="G31" s="806"/>
      <c r="H31" s="219">
        <v>1233.5999999999999</v>
      </c>
      <c r="I31" s="205"/>
      <c r="J31" s="204"/>
      <c r="K31" s="204"/>
      <c r="L31" s="526"/>
      <c r="M31" s="298"/>
      <c r="N31" s="206">
        <v>2985</v>
      </c>
      <c r="O31" s="206"/>
      <c r="P31" s="206"/>
      <c r="Q31" s="206"/>
      <c r="R31" s="563"/>
      <c r="S31" s="571">
        <f t="shared" si="0"/>
        <v>1233.5999999999999</v>
      </c>
      <c r="T31" s="218">
        <f t="shared" si="1"/>
        <v>2985</v>
      </c>
      <c r="U31" s="572">
        <f t="shared" si="4"/>
        <v>0.41326633165829141</v>
      </c>
      <c r="V31" s="211"/>
      <c r="W31" s="219">
        <v>31.27</v>
      </c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31.27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1264.8699999999999</v>
      </c>
      <c r="AS31" s="221">
        <f t="shared" si="7"/>
        <v>0</v>
      </c>
      <c r="AT31" s="283">
        <f t="shared" si="5"/>
        <v>33964.959999999999</v>
      </c>
    </row>
    <row r="32" spans="1:46" ht="15.75">
      <c r="A32" s="576">
        <v>44277</v>
      </c>
      <c r="B32" s="832"/>
      <c r="C32" s="807">
        <f t="shared" si="6"/>
        <v>47700.09</v>
      </c>
      <c r="D32" s="808">
        <v>15000</v>
      </c>
      <c r="E32" s="805"/>
      <c r="F32" s="809"/>
      <c r="G32" s="806"/>
      <c r="H32" s="219"/>
      <c r="I32" s="205"/>
      <c r="J32" s="204">
        <v>1217.96</v>
      </c>
      <c r="K32" s="204"/>
      <c r="L32" s="526"/>
      <c r="M32" s="298"/>
      <c r="N32" s="206"/>
      <c r="O32" s="206"/>
      <c r="P32" s="206">
        <v>2884</v>
      </c>
      <c r="Q32" s="206"/>
      <c r="R32" s="563"/>
      <c r="S32" s="571">
        <f t="shared" si="0"/>
        <v>1217.96</v>
      </c>
      <c r="T32" s="218">
        <f t="shared" si="1"/>
        <v>2884</v>
      </c>
      <c r="U32" s="572">
        <f t="shared" si="4"/>
        <v>0.42231622746185854</v>
      </c>
      <c r="V32" s="211"/>
      <c r="W32" s="219"/>
      <c r="X32" s="197">
        <v>25.13</v>
      </c>
      <c r="Y32" s="219"/>
      <c r="Z32" s="204"/>
      <c r="AA32" s="273"/>
      <c r="AB32" s="219">
        <v>27.73</v>
      </c>
      <c r="AC32" s="219"/>
      <c r="AD32" s="219"/>
      <c r="AE32" s="219"/>
      <c r="AF32" s="219"/>
      <c r="AG32" s="219"/>
      <c r="AH32" s="219"/>
      <c r="AI32" s="386"/>
      <c r="AJ32" s="271">
        <f t="shared" si="3"/>
        <v>52.86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1270.82</v>
      </c>
      <c r="AS32" s="221">
        <f t="shared" si="7"/>
        <v>0</v>
      </c>
      <c r="AT32" s="283">
        <f t="shared" si="5"/>
        <v>47700.09</v>
      </c>
    </row>
    <row r="33" spans="1:46" ht="15.75">
      <c r="A33" s="576">
        <v>44278</v>
      </c>
      <c r="B33" s="832"/>
      <c r="C33" s="807">
        <f t="shared" si="6"/>
        <v>46429.27</v>
      </c>
      <c r="D33" s="808"/>
      <c r="E33" s="805"/>
      <c r="F33" s="809"/>
      <c r="G33" s="806">
        <v>1225.83</v>
      </c>
      <c r="H33" s="219"/>
      <c r="I33" s="205"/>
      <c r="J33" s="204"/>
      <c r="K33" s="204"/>
      <c r="L33" s="526"/>
      <c r="M33" s="298">
        <v>2922</v>
      </c>
      <c r="N33" s="206"/>
      <c r="O33" s="206"/>
      <c r="P33" s="206"/>
      <c r="Q33" s="206"/>
      <c r="R33" s="563"/>
      <c r="S33" s="571">
        <f t="shared" si="0"/>
        <v>1225.83</v>
      </c>
      <c r="T33" s="218">
        <f t="shared" si="1"/>
        <v>2922</v>
      </c>
      <c r="U33" s="572">
        <f t="shared" si="4"/>
        <v>0.41951745379876793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1225.83</v>
      </c>
      <c r="AS33" s="221">
        <f t="shared" si="7"/>
        <v>0</v>
      </c>
      <c r="AT33" s="283">
        <f t="shared" si="5"/>
        <v>46429.27</v>
      </c>
    </row>
    <row r="34" spans="1:46" ht="15.75">
      <c r="A34" s="576">
        <v>44279</v>
      </c>
      <c r="B34" s="832"/>
      <c r="C34" s="807">
        <f t="shared" si="6"/>
        <v>45203.439999999995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45203.439999999995</v>
      </c>
    </row>
    <row r="35" spans="1:46" ht="15.75">
      <c r="A35" s="576">
        <v>44280</v>
      </c>
      <c r="B35" s="832"/>
      <c r="C35" s="807">
        <f t="shared" si="6"/>
        <v>45203.439999999995</v>
      </c>
      <c r="D35" s="808"/>
      <c r="E35" s="805"/>
      <c r="F35" s="809"/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45203.439999999995</v>
      </c>
    </row>
    <row r="36" spans="1:46" ht="15.75">
      <c r="A36" s="576">
        <v>44281</v>
      </c>
      <c r="B36" s="832"/>
      <c r="C36" s="807">
        <f t="shared" si="6"/>
        <v>45203.439999999995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45203.439999999995</v>
      </c>
    </row>
    <row r="37" spans="1:46" ht="15.75">
      <c r="A37" s="576">
        <v>44282</v>
      </c>
      <c r="B37" s="832"/>
      <c r="C37" s="807">
        <f t="shared" si="6"/>
        <v>45203.439999999995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45203.439999999995</v>
      </c>
    </row>
    <row r="38" spans="1:46" ht="15.75">
      <c r="A38" s="576">
        <v>44283</v>
      </c>
      <c r="B38" s="832"/>
      <c r="C38" s="807">
        <f t="shared" si="6"/>
        <v>45203.439999999995</v>
      </c>
      <c r="D38" s="808"/>
      <c r="E38" s="805">
        <v>15000</v>
      </c>
      <c r="F38" s="825" t="s">
        <v>317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45203.439999999995</v>
      </c>
    </row>
    <row r="39" spans="1:46" ht="15.75">
      <c r="A39" s="576">
        <v>44284</v>
      </c>
      <c r="B39" s="832"/>
      <c r="C39" s="807">
        <f t="shared" si="6"/>
        <v>45203.439999999995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45203.439999999995</v>
      </c>
    </row>
    <row r="40" spans="1:46" ht="15.75">
      <c r="A40" s="576">
        <v>44285</v>
      </c>
      <c r="B40" s="832"/>
      <c r="C40" s="807">
        <f t="shared" si="6"/>
        <v>45203.439999999995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45203.439999999995</v>
      </c>
    </row>
    <row r="41" spans="1:46" ht="15.75">
      <c r="A41" s="576">
        <v>44286</v>
      </c>
      <c r="B41" s="832"/>
      <c r="C41" s="807">
        <f t="shared" si="6"/>
        <v>45203.439999999995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45203.439999999995</v>
      </c>
    </row>
    <row r="42" spans="1:46" ht="14.25">
      <c r="A42" s="576"/>
      <c r="B42" s="575"/>
      <c r="C42" s="807">
        <f t="shared" si="6"/>
        <v>45203.439999999995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45203.439999999995</v>
      </c>
    </row>
    <row r="43" spans="1:46" ht="14.25">
      <c r="A43" s="496" t="s">
        <v>25</v>
      </c>
      <c r="B43" s="469">
        <f>AVERAGE(B11:B42)</f>
        <v>9.1335294117647056E-2</v>
      </c>
      <c r="C43" s="803">
        <f t="shared" si="6"/>
        <v>45203.439999999995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45203.439999999995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30000</v>
      </c>
      <c r="E45" s="313">
        <f>SUM(E11:E42)</f>
        <v>30000</v>
      </c>
      <c r="F45" s="819">
        <f t="shared" ref="F45:O45" si="8">SUM(F11:F44)</f>
        <v>0</v>
      </c>
      <c r="G45" s="313">
        <f t="shared" si="8"/>
        <v>6964.65</v>
      </c>
      <c r="H45" s="308">
        <f t="shared" si="8"/>
        <v>6018.65</v>
      </c>
      <c r="I45" s="313">
        <f t="shared" si="8"/>
        <v>0</v>
      </c>
      <c r="J45" s="308">
        <f t="shared" si="8"/>
        <v>7074.0400000000009</v>
      </c>
      <c r="K45" s="313">
        <f t="shared" si="8"/>
        <v>4693.6299999999992</v>
      </c>
      <c r="L45" s="308">
        <f t="shared" si="8"/>
        <v>2346.5299999999997</v>
      </c>
      <c r="M45" s="313">
        <f t="shared" si="8"/>
        <v>20069</v>
      </c>
      <c r="N45" s="554">
        <f t="shared" si="8"/>
        <v>11889</v>
      </c>
      <c r="O45" s="313">
        <f t="shared" si="8"/>
        <v>0</v>
      </c>
      <c r="P45" s="308">
        <f>SUM(P11:P43)</f>
        <v>17217</v>
      </c>
      <c r="Q45" s="313">
        <f>SUM(Q11:Q44)</f>
        <v>11516</v>
      </c>
      <c r="R45" s="308">
        <f>SUM(R11:R44)</f>
        <v>5790</v>
      </c>
      <c r="S45" s="552">
        <f>SUM(G45:L45)</f>
        <v>27097.5</v>
      </c>
      <c r="T45" s="308">
        <f>SUM(M45:R45)</f>
        <v>66481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115.74</v>
      </c>
      <c r="X45" s="547">
        <f t="shared" si="9"/>
        <v>331.51</v>
      </c>
      <c r="Y45" s="234">
        <f t="shared" si="9"/>
        <v>124</v>
      </c>
      <c r="Z45" s="547">
        <f t="shared" si="9"/>
        <v>282.91999999999996</v>
      </c>
      <c r="AA45" s="234">
        <f t="shared" si="9"/>
        <v>0</v>
      </c>
      <c r="AB45" s="547">
        <f t="shared" si="9"/>
        <v>147.14999999999998</v>
      </c>
      <c r="AC45" s="234">
        <f>SUM(AC10:AC44)</f>
        <v>151.16</v>
      </c>
      <c r="AD45" s="547">
        <f>SUM(AD10:AD44)</f>
        <v>327.20000000000005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507</v>
      </c>
      <c r="AI45" s="234">
        <f>SUM(AI9:AI39)</f>
        <v>0</v>
      </c>
      <c r="AJ45" s="547">
        <f>SUM(AJ9:AJ44)</f>
        <v>2588.5700000000002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29686.07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874.11290322580624</v>
      </c>
      <c r="T47" s="316">
        <f>S45*2315</f>
        <v>62730712.5</v>
      </c>
      <c r="U47" s="317" t="s">
        <v>244</v>
      </c>
      <c r="AR47" s="523">
        <f>AR45*2143</f>
        <v>63617248.009999998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27405.291612057666</v>
      </c>
      <c r="U48" s="317" t="s">
        <v>245</v>
      </c>
      <c r="W48" s="191"/>
      <c r="X48" s="191"/>
      <c r="Y48" s="191"/>
      <c r="Z48" s="191"/>
      <c r="AA48" s="191"/>
      <c r="AR48" s="316">
        <f>AR47/2289</f>
        <v>27792.594150283967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7" t="s">
        <v>241</v>
      </c>
      <c r="C50" s="908"/>
      <c r="D50" s="908"/>
      <c r="E50" s="908"/>
      <c r="F50" s="909"/>
      <c r="H50" s="885" t="s">
        <v>213</v>
      </c>
      <c r="I50" s="886"/>
      <c r="J50" s="886"/>
      <c r="K50" s="886"/>
      <c r="L50" s="887"/>
      <c r="N50" s="888" t="s">
        <v>309</v>
      </c>
      <c r="O50" s="889"/>
      <c r="P50" s="889"/>
      <c r="Q50" s="889"/>
      <c r="R50" s="890"/>
      <c r="T50" s="891" t="s">
        <v>226</v>
      </c>
      <c r="U50" s="892"/>
      <c r="V50" s="892"/>
      <c r="W50" s="892"/>
      <c r="X50" s="892"/>
      <c r="Y50" s="893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320</v>
      </c>
      <c r="D52" s="501">
        <v>66</v>
      </c>
      <c r="E52" s="500" t="s">
        <v>321</v>
      </c>
      <c r="F52" s="527" t="s">
        <v>322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>
        <v>44267</v>
      </c>
      <c r="C53" s="499" t="s">
        <v>323</v>
      </c>
      <c r="D53" s="501">
        <v>51</v>
      </c>
      <c r="E53" s="500" t="s">
        <v>324</v>
      </c>
      <c r="F53" s="527" t="s">
        <v>322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>
        <v>44267</v>
      </c>
      <c r="C54" s="499" t="s">
        <v>325</v>
      </c>
      <c r="D54" s="501">
        <v>69</v>
      </c>
      <c r="E54" s="500" t="s">
        <v>324</v>
      </c>
      <c r="F54" s="527" t="s">
        <v>322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326</v>
      </c>
      <c r="D55" s="382">
        <v>122</v>
      </c>
      <c r="E55" s="302" t="s">
        <v>327</v>
      </c>
      <c r="F55" s="527" t="s">
        <v>322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320</v>
      </c>
      <c r="D56" s="382">
        <v>75</v>
      </c>
      <c r="E56" s="302" t="s">
        <v>321</v>
      </c>
      <c r="F56" s="527" t="s">
        <v>322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328</v>
      </c>
      <c r="D57" s="382">
        <v>124</v>
      </c>
      <c r="E57" s="302" t="s">
        <v>329</v>
      </c>
      <c r="F57" s="527" t="s">
        <v>322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tabSelected="1" zoomScale="70" zoomScaleNormal="70" workbookViewId="0">
      <selection activeCell="F34" sqref="F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2"/>
      <c r="D6" s="913"/>
      <c r="E6" s="914"/>
      <c r="F6" s="914"/>
      <c r="G6" s="48" t="s">
        <v>4</v>
      </c>
      <c r="H6" s="46" t="s">
        <v>14</v>
      </c>
      <c r="I6" s="41"/>
      <c r="J6" s="113"/>
    </row>
    <row r="7" spans="1:15" ht="18" customHeight="1">
      <c r="A7" s="91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49">
        <f>SUM(F10/H10)</f>
        <v>977000</v>
      </c>
      <c r="J10" s="850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49">
        <f t="shared" ref="I11:I41" si="2">SUM(F11/H11)</f>
        <v>826854.17582417582</v>
      </c>
      <c r="J11" s="850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49">
        <f t="shared" si="2"/>
        <v>5789131.538461539</v>
      </c>
      <c r="J12" s="850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49">
        <f t="shared" si="2"/>
        <v>5790208.461538462</v>
      </c>
      <c r="J13" s="850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49">
        <f t="shared" si="2"/>
        <v>7528838</v>
      </c>
      <c r="J14" s="850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49">
        <f t="shared" si="2"/>
        <v>7530328</v>
      </c>
      <c r="J15" s="850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49">
        <f t="shared" si="2"/>
        <v>7531732.0000000009</v>
      </c>
      <c r="J16" s="850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49">
        <f t="shared" si="2"/>
        <v>7533436</v>
      </c>
      <c r="J17" s="850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49">
        <f t="shared" si="2"/>
        <v>7535306</v>
      </c>
      <c r="J18" s="850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49">
        <f t="shared" si="2"/>
        <v>7537441</v>
      </c>
      <c r="J19" s="850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49">
        <f t="shared" si="2"/>
        <v>7539817.9999999991</v>
      </c>
      <c r="J20" s="850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49">
        <f t="shared" si="2"/>
        <v>2513913.333333333</v>
      </c>
      <c r="J21" s="850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49">
        <f t="shared" si="2"/>
        <v>342888.45454545459</v>
      </c>
      <c r="J22" s="850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49">
        <f t="shared" si="2"/>
        <v>328058.34782608692</v>
      </c>
      <c r="J23" s="850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49">
        <f t="shared" si="2"/>
        <v>359397.95238095243</v>
      </c>
      <c r="J24" s="850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49">
        <f t="shared" si="2"/>
        <v>2516273.3333333335</v>
      </c>
      <c r="J25" s="850">
        <f t="shared" si="1"/>
        <v>2.558227643524013E-5</v>
      </c>
    </row>
    <row r="26" spans="1:14" ht="18.75">
      <c r="A26" s="94">
        <f>Gen!A27</f>
        <v>44272</v>
      </c>
      <c r="B26" s="268">
        <v>1</v>
      </c>
      <c r="C26" s="268">
        <v>85</v>
      </c>
      <c r="D26" s="268">
        <v>85</v>
      </c>
      <c r="E26" s="268"/>
      <c r="F26" s="268">
        <v>75506.75</v>
      </c>
      <c r="G26" s="268">
        <f t="shared" si="0"/>
        <v>81.620000000012809</v>
      </c>
      <c r="H26" s="111">
        <f>[4]Gen!B27</f>
        <v>0.06</v>
      </c>
      <c r="I26" s="849">
        <f t="shared" si="2"/>
        <v>1258445.8333333335</v>
      </c>
      <c r="J26" s="850">
        <f t="shared" si="1"/>
        <v>6.4857777615918684E-5</v>
      </c>
    </row>
    <row r="27" spans="1:14" ht="18.75">
      <c r="A27" s="94">
        <f>Gen!A28</f>
        <v>44273</v>
      </c>
      <c r="B27" s="268">
        <v>1</v>
      </c>
      <c r="C27" s="268">
        <v>85</v>
      </c>
      <c r="D27" s="268">
        <v>85</v>
      </c>
      <c r="E27" s="268"/>
      <c r="F27" s="268">
        <v>75521.84</v>
      </c>
      <c r="G27" s="268">
        <f t="shared" si="0"/>
        <v>66.395999999984639</v>
      </c>
      <c r="H27" s="111">
        <f>[4]Gen!B28</f>
        <v>0.05</v>
      </c>
      <c r="I27" s="849">
        <f t="shared" si="2"/>
        <v>1510436.7999999998</v>
      </c>
      <c r="J27" s="850">
        <f t="shared" si="1"/>
        <v>4.3958145087556561E-5</v>
      </c>
    </row>
    <row r="28" spans="1:14" ht="18.75">
      <c r="A28" s="94">
        <f>Gen!A29</f>
        <v>44274</v>
      </c>
      <c r="B28" s="268">
        <v>0</v>
      </c>
      <c r="C28" s="268">
        <v>72</v>
      </c>
      <c r="D28" s="268">
        <v>85</v>
      </c>
      <c r="E28" s="268"/>
      <c r="F28" s="268">
        <v>75555.27</v>
      </c>
      <c r="G28" s="268">
        <f t="shared" si="0"/>
        <v>147.09200000003329</v>
      </c>
      <c r="H28" s="111">
        <f>[4]Gen!B29</f>
        <v>7.7899999999999997E-2</v>
      </c>
      <c r="I28" s="849">
        <f t="shared" si="2"/>
        <v>969900.77021822857</v>
      </c>
      <c r="J28" s="850">
        <f t="shared" si="1"/>
        <v>1.5165675140863891E-4</v>
      </c>
    </row>
    <row r="29" spans="1:14" ht="18.75">
      <c r="A29" s="94">
        <f>Gen!A30</f>
        <v>44275</v>
      </c>
      <c r="B29" s="268">
        <v>0</v>
      </c>
      <c r="C29" s="268">
        <v>69</v>
      </c>
      <c r="D29" s="268">
        <v>85</v>
      </c>
      <c r="E29" s="268"/>
      <c r="F29" s="268">
        <v>75572.160000000003</v>
      </c>
      <c r="G29" s="268">
        <f t="shared" si="0"/>
        <v>74.315999999997445</v>
      </c>
      <c r="H29" s="111">
        <f>[4]Gen!B30</f>
        <v>0.12989999999999999</v>
      </c>
      <c r="I29" s="849">
        <f t="shared" si="2"/>
        <v>581771.82448036957</v>
      </c>
      <c r="J29" s="850">
        <f t="shared" si="1"/>
        <v>1.2774080296235635E-4</v>
      </c>
    </row>
    <row r="30" spans="1:14" ht="18.75">
      <c r="A30" s="94">
        <f>Gen!A31</f>
        <v>44276</v>
      </c>
      <c r="B30" s="268">
        <v>0</v>
      </c>
      <c r="C30" s="268">
        <v>60</v>
      </c>
      <c r="D30" s="268">
        <v>85</v>
      </c>
      <c r="E30" s="268"/>
      <c r="F30" s="268">
        <v>75594.97</v>
      </c>
      <c r="G30" s="268">
        <f t="shared" si="0"/>
        <v>100.36399999998976</v>
      </c>
      <c r="H30" s="111">
        <f>[4]Gen!B31</f>
        <v>0.18179999999999999</v>
      </c>
      <c r="I30" s="849">
        <f t="shared" si="2"/>
        <v>415813.91639163921</v>
      </c>
      <c r="J30" s="850">
        <f t="shared" si="1"/>
        <v>2.4136758305477382E-4</v>
      </c>
    </row>
    <row r="31" spans="1:14" ht="18.75">
      <c r="A31" s="94">
        <f>Gen!A32</f>
        <v>44277</v>
      </c>
      <c r="B31" s="268">
        <v>0</v>
      </c>
      <c r="C31" s="268">
        <v>55</v>
      </c>
      <c r="D31" s="268">
        <v>85</v>
      </c>
      <c r="E31" s="268"/>
      <c r="F31" s="268">
        <v>75615.56</v>
      </c>
      <c r="G31" s="268">
        <f t="shared" si="0"/>
        <v>90.595999999984642</v>
      </c>
      <c r="H31" s="111">
        <f>[4]Gen!B32</f>
        <v>0.31169999999999998</v>
      </c>
      <c r="I31" s="849">
        <f t="shared" si="2"/>
        <v>242590.82451074754</v>
      </c>
      <c r="J31" s="850">
        <f t="shared" si="1"/>
        <v>3.7345188212578481E-4</v>
      </c>
    </row>
    <row r="32" spans="1:14" ht="18.75">
      <c r="A32" s="94">
        <f>Gen!A33</f>
        <v>44278</v>
      </c>
      <c r="B32" s="268">
        <v>0</v>
      </c>
      <c r="C32" s="268">
        <v>50</v>
      </c>
      <c r="D32" s="268">
        <v>85</v>
      </c>
      <c r="E32" s="268"/>
      <c r="F32" s="268">
        <v>75637.210000000006</v>
      </c>
      <c r="G32" s="268">
        <f t="shared" si="0"/>
        <v>95.260000000038431</v>
      </c>
      <c r="H32" s="111">
        <f>[4]Gen!B33</f>
        <v>0.41560000000000002</v>
      </c>
      <c r="I32" s="849">
        <f t="shared" si="2"/>
        <v>181995.21174205968</v>
      </c>
      <c r="J32" s="850">
        <f t="shared" si="1"/>
        <v>5.2342036413051158E-4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-332803.72400000005</v>
      </c>
      <c r="H33" s="111">
        <f>[4]Gen!B34</f>
        <v>0.37659999999999999</v>
      </c>
      <c r="I33" s="849">
        <f t="shared" si="2"/>
        <v>0</v>
      </c>
      <c r="J33" s="850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9">
        <f t="shared" si="2"/>
        <v>0</v>
      </c>
      <c r="J34" s="850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9">
        <f t="shared" si="2"/>
        <v>0</v>
      </c>
      <c r="J35" s="850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9">
        <f t="shared" si="2"/>
        <v>0</v>
      </c>
      <c r="J36" s="850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9">
        <f t="shared" si="2"/>
        <v>0</v>
      </c>
      <c r="J37" s="850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9">
        <f t="shared" si="2"/>
        <v>0</v>
      </c>
      <c r="J38" s="850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9">
        <f t="shared" si="2"/>
        <v>0</v>
      </c>
      <c r="J39" s="850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9">
        <f t="shared" si="2"/>
        <v>0</v>
      </c>
      <c r="J40" s="850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9" t="e">
        <f t="shared" si="2"/>
        <v>#DIV/0!</v>
      </c>
      <c r="J41" s="851"/>
    </row>
    <row r="42" spans="1:10" ht="17.25">
      <c r="A42" s="94"/>
      <c r="B42" s="5"/>
      <c r="C42" s="911" t="s">
        <v>6</v>
      </c>
      <c r="D42" s="911"/>
      <c r="E42" s="2">
        <f t="shared" ref="E42" si="4">SUM(E10:E40)</f>
        <v>0</v>
      </c>
      <c r="F42" s="2">
        <f>SUM(F10:F41)</f>
        <v>1734644.9500000002</v>
      </c>
      <c r="G42" s="101">
        <f>SUM(G10:G40)</f>
        <v>-330941.60000000003</v>
      </c>
      <c r="H42" s="111">
        <f>[4]Gen!B43</f>
        <v>0.18598064516129031</v>
      </c>
      <c r="I42" s="849"/>
      <c r="J42" s="850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0"/>
      <c r="C45" s="910"/>
      <c r="D45" s="910"/>
      <c r="E45" s="910"/>
      <c r="F45" s="910"/>
      <c r="G45" s="910"/>
      <c r="H45" s="910"/>
      <c r="I45" s="837"/>
      <c r="J45" s="844"/>
    </row>
    <row r="46" spans="1:10">
      <c r="A46" s="19"/>
      <c r="B46" s="910"/>
      <c r="C46" s="910"/>
      <c r="D46" s="910"/>
      <c r="E46" s="910"/>
      <c r="F46" s="910"/>
      <c r="G46" s="910"/>
      <c r="H46" s="910"/>
      <c r="I46" s="837"/>
      <c r="J46" s="844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4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4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4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4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4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4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4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4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3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9" zoomScale="94" zoomScaleNormal="94" workbookViewId="0">
      <pane xSplit="1" topLeftCell="S1" activePane="topRight" state="frozen"/>
      <selection pane="topRight" activeCell="AI30" sqref="AI3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18" t="s">
        <v>52</v>
      </c>
      <c r="D2" s="918"/>
      <c r="E2" s="918"/>
      <c r="F2" s="918" t="s">
        <v>17</v>
      </c>
      <c r="G2" s="918"/>
      <c r="H2" s="918"/>
      <c r="I2" s="918" t="s">
        <v>131</v>
      </c>
      <c r="J2" s="918"/>
      <c r="K2" s="918"/>
      <c r="L2" s="918" t="s">
        <v>134</v>
      </c>
      <c r="M2" s="918"/>
      <c r="N2" s="918"/>
      <c r="O2" s="918" t="s">
        <v>132</v>
      </c>
      <c r="P2" s="918"/>
      <c r="Q2" s="918"/>
      <c r="R2" s="252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9" t="s">
        <v>7</v>
      </c>
      <c r="B3" s="29"/>
      <c r="C3" s="918" t="s">
        <v>133</v>
      </c>
      <c r="D3" s="918" t="s">
        <v>15</v>
      </c>
      <c r="E3" s="918" t="s">
        <v>16</v>
      </c>
      <c r="F3" s="918" t="s">
        <v>133</v>
      </c>
      <c r="G3" s="918" t="s">
        <v>15</v>
      </c>
      <c r="H3" s="918" t="s">
        <v>16</v>
      </c>
      <c r="I3" s="918" t="s">
        <v>133</v>
      </c>
      <c r="J3" s="918" t="s">
        <v>15</v>
      </c>
      <c r="K3" s="918" t="s">
        <v>16</v>
      </c>
      <c r="L3" s="918" t="s">
        <v>133</v>
      </c>
      <c r="M3" s="918" t="s">
        <v>15</v>
      </c>
      <c r="N3" s="918" t="s">
        <v>16</v>
      </c>
      <c r="O3" s="918" t="s">
        <v>133</v>
      </c>
      <c r="P3" s="918" t="s">
        <v>15</v>
      </c>
      <c r="Q3" s="918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20"/>
      <c r="B4" s="244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3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89838</v>
      </c>
      <c r="Z20" s="384">
        <v>89838</v>
      </c>
      <c r="AA20" s="475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>
        <v>251764</v>
      </c>
      <c r="E21" s="474">
        <f t="shared" si="29"/>
        <v>60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>
        <v>8331</v>
      </c>
      <c r="K21" s="474">
        <f t="shared" si="28"/>
        <v>3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>
        <v>21057</v>
      </c>
      <c r="Q21" s="474">
        <f t="shared" si="7"/>
        <v>2</v>
      </c>
      <c r="R21" s="250"/>
      <c r="S21" s="245">
        <f t="shared" si="15"/>
        <v>66353</v>
      </c>
      <c r="T21" s="384">
        <v>66411</v>
      </c>
      <c r="U21" s="475">
        <f t="shared" si="16"/>
        <v>58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89838</v>
      </c>
      <c r="Z21" s="384">
        <v>89838</v>
      </c>
      <c r="AA21" s="475">
        <f t="shared" si="18"/>
        <v>0</v>
      </c>
      <c r="AB21" s="607">
        <f t="shared" si="22"/>
        <v>18515</v>
      </c>
      <c r="AC21" s="611">
        <v>18531</v>
      </c>
      <c r="AD21" s="610">
        <f t="shared" si="23"/>
        <v>16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29879</v>
      </c>
      <c r="AI21" s="385">
        <v>29906</v>
      </c>
      <c r="AJ21" s="475">
        <f t="shared" si="20"/>
        <v>27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101</v>
      </c>
    </row>
    <row r="22" spans="1:40" ht="23.1" customHeight="1">
      <c r="A22" s="57">
        <f>Gen!A27</f>
        <v>44272</v>
      </c>
      <c r="B22" s="4"/>
      <c r="C22" s="95">
        <f t="shared" si="0"/>
        <v>251764</v>
      </c>
      <c r="D22" s="1">
        <v>251828</v>
      </c>
      <c r="E22" s="474">
        <f t="shared" si="29"/>
        <v>64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8331</v>
      </c>
      <c r="J22" s="1">
        <v>8335</v>
      </c>
      <c r="K22" s="474">
        <f t="shared" si="28"/>
        <v>4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21057</v>
      </c>
      <c r="P22" s="383">
        <v>21060</v>
      </c>
      <c r="Q22" s="474">
        <f t="shared" si="7"/>
        <v>3</v>
      </c>
      <c r="R22" s="250"/>
      <c r="S22" s="245">
        <f t="shared" si="15"/>
        <v>66411</v>
      </c>
      <c r="T22" s="384">
        <v>66495</v>
      </c>
      <c r="U22" s="475">
        <f t="shared" si="16"/>
        <v>84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89838</v>
      </c>
      <c r="Z22" s="384">
        <v>89838</v>
      </c>
      <c r="AA22" s="475">
        <f t="shared" si="18"/>
        <v>0</v>
      </c>
      <c r="AB22" s="607">
        <f t="shared" si="22"/>
        <v>18531</v>
      </c>
      <c r="AC22" s="611">
        <v>18549</v>
      </c>
      <c r="AD22" s="610">
        <f t="shared" si="23"/>
        <v>18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29906</v>
      </c>
      <c r="AI22" s="385">
        <v>29934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130</v>
      </c>
    </row>
    <row r="23" spans="1:40" ht="23.1" customHeight="1">
      <c r="A23" s="57">
        <f>Gen!A28</f>
        <v>44273</v>
      </c>
      <c r="B23" s="4"/>
      <c r="C23" s="95">
        <f t="shared" si="0"/>
        <v>251828</v>
      </c>
      <c r="D23" s="1">
        <v>251901</v>
      </c>
      <c r="E23" s="474">
        <f t="shared" si="29"/>
        <v>73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8335</v>
      </c>
      <c r="J23" s="1">
        <v>8337</v>
      </c>
      <c r="K23" s="474">
        <f t="shared" si="28"/>
        <v>2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21060</v>
      </c>
      <c r="P23" s="383">
        <v>21066</v>
      </c>
      <c r="Q23" s="474">
        <f t="shared" si="7"/>
        <v>6</v>
      </c>
      <c r="R23" s="250"/>
      <c r="S23" s="245">
        <f t="shared" si="15"/>
        <v>66495</v>
      </c>
      <c r="T23" s="384">
        <v>66580</v>
      </c>
      <c r="U23" s="475">
        <f t="shared" si="16"/>
        <v>85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89838</v>
      </c>
      <c r="Z23" s="384">
        <v>89838</v>
      </c>
      <c r="AA23" s="475">
        <f t="shared" si="18"/>
        <v>0</v>
      </c>
      <c r="AB23" s="607">
        <f t="shared" si="22"/>
        <v>18549</v>
      </c>
      <c r="AC23" s="608">
        <v>18564</v>
      </c>
      <c r="AD23" s="610">
        <f t="shared" si="23"/>
        <v>15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29934</v>
      </c>
      <c r="AI23" s="385">
        <v>29959</v>
      </c>
      <c r="AJ23" s="475">
        <f t="shared" si="20"/>
        <v>25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44274</v>
      </c>
      <c r="B24" s="4"/>
      <c r="C24" s="95">
        <f t="shared" si="0"/>
        <v>251901</v>
      </c>
      <c r="D24" s="1">
        <v>251968</v>
      </c>
      <c r="E24" s="474">
        <f t="shared" si="29"/>
        <v>67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8337</v>
      </c>
      <c r="J24" s="1">
        <v>8339</v>
      </c>
      <c r="K24" s="474">
        <f t="shared" si="28"/>
        <v>2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21066</v>
      </c>
      <c r="P24" s="383">
        <v>21068</v>
      </c>
      <c r="Q24" s="474">
        <f t="shared" si="7"/>
        <v>2</v>
      </c>
      <c r="R24" s="250"/>
      <c r="S24" s="245">
        <f t="shared" si="15"/>
        <v>66580</v>
      </c>
      <c r="T24" s="384">
        <v>66664</v>
      </c>
      <c r="U24" s="475">
        <f t="shared" si="16"/>
        <v>84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89838</v>
      </c>
      <c r="Z24" s="384">
        <v>89838</v>
      </c>
      <c r="AA24" s="475">
        <f t="shared" si="18"/>
        <v>0</v>
      </c>
      <c r="AB24" s="607">
        <f t="shared" si="22"/>
        <v>18564</v>
      </c>
      <c r="AC24" s="608">
        <v>18581</v>
      </c>
      <c r="AD24" s="610">
        <f t="shared" si="23"/>
        <v>17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29959</v>
      </c>
      <c r="AI24" s="385">
        <v>29986</v>
      </c>
      <c r="AJ24" s="475">
        <f t="shared" si="20"/>
        <v>27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128</v>
      </c>
    </row>
    <row r="25" spans="1:40" ht="23.1" customHeight="1">
      <c r="A25" s="57">
        <f>Gen!A30</f>
        <v>44275</v>
      </c>
      <c r="B25" s="4"/>
      <c r="C25" s="95">
        <f>D24</f>
        <v>251968</v>
      </c>
      <c r="D25" s="1">
        <v>252030</v>
      </c>
      <c r="E25" s="474">
        <f t="shared" si="29"/>
        <v>62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8339</v>
      </c>
      <c r="J25" s="1">
        <v>8341</v>
      </c>
      <c r="K25" s="474">
        <f t="shared" si="28"/>
        <v>2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21068</v>
      </c>
      <c r="P25" s="383">
        <v>21071</v>
      </c>
      <c r="Q25" s="474">
        <f t="shared" si="7"/>
        <v>3</v>
      </c>
      <c r="R25" s="250"/>
      <c r="S25" s="245">
        <f t="shared" ref="S25:S37" si="35">T24</f>
        <v>66664</v>
      </c>
      <c r="T25" s="384">
        <v>66722</v>
      </c>
      <c r="U25" s="475">
        <f t="shared" ref="U25:U37" si="36">IF((T25-T24)&lt;0,"0",(T25-T24))</f>
        <v>58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89838</v>
      </c>
      <c r="Z25" s="384">
        <v>89838</v>
      </c>
      <c r="AA25" s="475">
        <f t="shared" si="18"/>
        <v>0</v>
      </c>
      <c r="AB25" s="607">
        <f t="shared" si="22"/>
        <v>18581</v>
      </c>
      <c r="AC25" s="608">
        <v>18596</v>
      </c>
      <c r="AD25" s="610">
        <f t="shared" si="23"/>
        <v>15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29986</v>
      </c>
      <c r="AI25" s="385">
        <v>30011</v>
      </c>
      <c r="AJ25" s="475">
        <f t="shared" si="20"/>
        <v>25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98</v>
      </c>
    </row>
    <row r="26" spans="1:40" ht="23.1" customHeight="1">
      <c r="A26" s="57">
        <f>Gen!A31</f>
        <v>44276</v>
      </c>
      <c r="B26" s="4"/>
      <c r="C26" s="95">
        <f>D25</f>
        <v>252030</v>
      </c>
      <c r="D26" s="1">
        <v>252072</v>
      </c>
      <c r="E26" s="474">
        <f t="shared" si="29"/>
        <v>42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8341</v>
      </c>
      <c r="J26" s="1">
        <v>8342</v>
      </c>
      <c r="K26" s="474">
        <f t="shared" si="28"/>
        <v>1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21071</v>
      </c>
      <c r="P26" s="383">
        <v>21075</v>
      </c>
      <c r="Q26" s="474">
        <f t="shared" si="7"/>
        <v>4</v>
      </c>
      <c r="R26" s="250"/>
      <c r="S26" s="245">
        <f t="shared" si="35"/>
        <v>66722</v>
      </c>
      <c r="T26" s="384">
        <v>66729</v>
      </c>
      <c r="U26" s="475">
        <f t="shared" si="36"/>
        <v>7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89838</v>
      </c>
      <c r="Z26" s="384">
        <v>89838</v>
      </c>
      <c r="AA26" s="475">
        <f t="shared" si="18"/>
        <v>0</v>
      </c>
      <c r="AB26" s="607">
        <f t="shared" si="22"/>
        <v>18596</v>
      </c>
      <c r="AC26" s="608">
        <v>18613</v>
      </c>
      <c r="AD26" s="610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30011</v>
      </c>
      <c r="AI26" s="385">
        <v>30040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53</v>
      </c>
    </row>
    <row r="27" spans="1:40" ht="23.1" customHeight="1">
      <c r="A27" s="57">
        <f>Gen!A32</f>
        <v>44277</v>
      </c>
      <c r="B27" s="4"/>
      <c r="C27" s="95">
        <f>D26</f>
        <v>252072</v>
      </c>
      <c r="D27" s="1">
        <v>252114</v>
      </c>
      <c r="E27" s="474">
        <f t="shared" si="29"/>
        <v>42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8342</v>
      </c>
      <c r="J27" s="1">
        <v>8344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21075</v>
      </c>
      <c r="P27" s="383">
        <v>21080</v>
      </c>
      <c r="Q27" s="474">
        <f t="shared" si="7"/>
        <v>5</v>
      </c>
      <c r="R27" s="250"/>
      <c r="S27" s="245">
        <f t="shared" si="35"/>
        <v>66729</v>
      </c>
      <c r="T27" s="384">
        <v>66811</v>
      </c>
      <c r="U27" s="475">
        <f t="shared" si="36"/>
        <v>82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89838</v>
      </c>
      <c r="Z27" s="384">
        <v>89838</v>
      </c>
      <c r="AA27" s="475">
        <f t="shared" si="18"/>
        <v>0</v>
      </c>
      <c r="AB27" s="607">
        <f t="shared" si="22"/>
        <v>18613</v>
      </c>
      <c r="AC27" s="608">
        <v>18629</v>
      </c>
      <c r="AD27" s="610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30040</v>
      </c>
      <c r="AI27" s="385">
        <v>30065</v>
      </c>
      <c r="AJ27" s="475">
        <f t="shared" si="20"/>
        <v>25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123</v>
      </c>
    </row>
    <row r="28" spans="1:40" ht="23.1" customHeight="1">
      <c r="A28" s="57">
        <f>Gen!A33</f>
        <v>44278</v>
      </c>
      <c r="B28" s="4"/>
      <c r="C28" s="95">
        <f t="shared" ref="C28:C37" si="40">D27</f>
        <v>252114</v>
      </c>
      <c r="D28" s="1">
        <v>252171</v>
      </c>
      <c r="E28" s="474">
        <f t="shared" si="29"/>
        <v>57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8344</v>
      </c>
      <c r="J28" s="1">
        <v>8345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21080</v>
      </c>
      <c r="P28" s="383">
        <v>21082</v>
      </c>
      <c r="Q28" s="474">
        <f t="shared" ref="Q28:Q37" si="42">IF((P28-P27)&lt;0,"0",(P28-P27))</f>
        <v>2</v>
      </c>
      <c r="R28" s="250"/>
      <c r="S28" s="245">
        <f t="shared" si="35"/>
        <v>66811</v>
      </c>
      <c r="T28" s="384">
        <v>66896</v>
      </c>
      <c r="U28" s="475">
        <f t="shared" si="36"/>
        <v>85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89838</v>
      </c>
      <c r="Z28" s="384">
        <v>89838</v>
      </c>
      <c r="AA28" s="475">
        <f t="shared" si="18"/>
        <v>0</v>
      </c>
      <c r="AB28" s="607">
        <f t="shared" si="22"/>
        <v>18629</v>
      </c>
      <c r="AC28" s="608">
        <v>18646</v>
      </c>
      <c r="AD28" s="610">
        <f t="shared" si="23"/>
        <v>17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30065</v>
      </c>
      <c r="AI28" s="385">
        <v>30083</v>
      </c>
      <c r="AJ28" s="475">
        <f t="shared" si="20"/>
        <v>18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120</v>
      </c>
    </row>
    <row r="29" spans="1:40" ht="23.1" customHeight="1">
      <c r="A29" s="57">
        <f>Gen!A34</f>
        <v>44279</v>
      </c>
      <c r="B29" s="4"/>
      <c r="C29" s="95">
        <f t="shared" si="40"/>
        <v>252171</v>
      </c>
      <c r="D29" s="1"/>
      <c r="E29" s="474" t="str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8345</v>
      </c>
      <c r="J29" s="1"/>
      <c r="K29" s="474" t="str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21082</v>
      </c>
      <c r="P29" s="383"/>
      <c r="Q29" s="474" t="str">
        <f t="shared" si="42"/>
        <v>0</v>
      </c>
      <c r="R29" s="250"/>
      <c r="S29" s="245">
        <f t="shared" si="35"/>
        <v>66896</v>
      </c>
      <c r="T29" s="384"/>
      <c r="U29" s="475" t="str">
        <f t="shared" si="36"/>
        <v>0</v>
      </c>
      <c r="V29" s="245">
        <f t="shared" si="31"/>
        <v>73031</v>
      </c>
      <c r="W29" s="384"/>
      <c r="X29" s="475" t="str">
        <f t="shared" si="17"/>
        <v>0</v>
      </c>
      <c r="Y29" s="245">
        <f t="shared" si="9"/>
        <v>89838</v>
      </c>
      <c r="Z29" s="384"/>
      <c r="AA29" s="475" t="str">
        <f t="shared" si="18"/>
        <v>0</v>
      </c>
      <c r="AB29" s="607">
        <f t="shared" si="22"/>
        <v>18646</v>
      </c>
      <c r="AC29" s="608"/>
      <c r="AD29" s="610" t="str">
        <f t="shared" si="23"/>
        <v>0</v>
      </c>
      <c r="AE29" s="245">
        <f t="shared" si="10"/>
        <v>18300</v>
      </c>
      <c r="AF29" s="385"/>
      <c r="AG29" s="475" t="str">
        <f t="shared" si="19"/>
        <v>0</v>
      </c>
      <c r="AH29" s="245">
        <f t="shared" si="11"/>
        <v>30083</v>
      </c>
      <c r="AI29" s="385"/>
      <c r="AJ29" s="475" t="str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1584</v>
      </c>
    </row>
    <row r="38" spans="1:41" ht="18.75">
      <c r="A38" s="57"/>
      <c r="B38" s="21"/>
      <c r="C38" s="917" t="s">
        <v>6</v>
      </c>
      <c r="D38" s="917"/>
      <c r="E38" s="22">
        <f>SUM(E6:E36)</f>
        <v>1343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51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1343</v>
      </c>
      <c r="S38" s="247"/>
      <c r="T38" s="247"/>
      <c r="U38" s="257">
        <f>SUM(U6:U37)</f>
        <v>1584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1584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3"/>
      <c r="B42" s="277"/>
      <c r="C42" s="940" t="s">
        <v>222</v>
      </c>
      <c r="D42" s="941"/>
      <c r="E42" s="941"/>
      <c r="F42" s="941"/>
      <c r="G42" s="941"/>
      <c r="H42" s="941"/>
      <c r="I42" s="941"/>
      <c r="J42" s="941"/>
      <c r="K42" s="942"/>
      <c r="R42" s="19"/>
    </row>
    <row r="43" spans="1:41" ht="24.75" customHeight="1">
      <c r="A43" s="944"/>
      <c r="B43" s="19"/>
      <c r="C43" s="946" t="s">
        <v>216</v>
      </c>
      <c r="D43" s="947"/>
      <c r="E43" s="948" t="s">
        <v>237</v>
      </c>
      <c r="F43" s="949"/>
      <c r="G43" s="950" t="s">
        <v>217</v>
      </c>
      <c r="H43" s="951"/>
      <c r="I43" s="950" t="s">
        <v>238</v>
      </c>
      <c r="J43" s="951"/>
      <c r="K43" s="93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4"/>
      <c r="B44" s="19"/>
      <c r="C44" s="952" t="s">
        <v>218</v>
      </c>
      <c r="D44" s="953"/>
      <c r="E44" s="952" t="s">
        <v>219</v>
      </c>
      <c r="F44" s="953"/>
      <c r="G44" s="952" t="s">
        <v>220</v>
      </c>
      <c r="H44" s="953"/>
      <c r="I44" s="952" t="s">
        <v>221</v>
      </c>
      <c r="J44" s="953"/>
      <c r="K44" s="93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>
        <v>155</v>
      </c>
      <c r="D62" s="325">
        <f t="shared" si="49"/>
        <v>112.11666666666666</v>
      </c>
      <c r="E62" s="6">
        <v>115</v>
      </c>
      <c r="F62" s="325">
        <f t="shared" si="50"/>
        <v>34.688524590163937</v>
      </c>
      <c r="G62" s="477">
        <v>160</v>
      </c>
      <c r="H62" s="325">
        <f t="shared" si="51"/>
        <v>60.992167101827675</v>
      </c>
      <c r="I62" s="6">
        <v>280</v>
      </c>
      <c r="J62" s="325">
        <f t="shared" si="52"/>
        <v>193.63636363636363</v>
      </c>
      <c r="K62" s="331">
        <f t="shared" si="53"/>
        <v>401.43372199502187</v>
      </c>
    </row>
    <row r="63" spans="1:15" ht="13.5">
      <c r="A63" s="293">
        <f>Gen!A28</f>
        <v>44273</v>
      </c>
      <c r="B63" s="19"/>
      <c r="C63" s="62">
        <v>190</v>
      </c>
      <c r="D63" s="325">
        <f t="shared" si="49"/>
        <v>137.43333333333334</v>
      </c>
      <c r="E63" s="6">
        <v>150</v>
      </c>
      <c r="F63" s="325">
        <f t="shared" si="50"/>
        <v>45.245901639344261</v>
      </c>
      <c r="G63" s="477">
        <v>160</v>
      </c>
      <c r="H63" s="325">
        <f t="shared" si="51"/>
        <v>60.992167101827675</v>
      </c>
      <c r="I63" s="6">
        <v>275</v>
      </c>
      <c r="J63" s="325">
        <f t="shared" si="52"/>
        <v>190.17857142857142</v>
      </c>
      <c r="K63" s="331">
        <f t="shared" si="53"/>
        <v>433.84997350307668</v>
      </c>
    </row>
    <row r="64" spans="1:15" ht="13.5">
      <c r="A64" s="293">
        <f>Gen!A29</f>
        <v>44274</v>
      </c>
      <c r="B64" s="19"/>
      <c r="C64" s="62">
        <v>245</v>
      </c>
      <c r="D64" s="325">
        <f t="shared" si="49"/>
        <v>177.21666666666667</v>
      </c>
      <c r="E64" s="6">
        <v>215</v>
      </c>
      <c r="F64" s="325">
        <f t="shared" si="50"/>
        <v>64.852459016393439</v>
      </c>
      <c r="G64" s="477">
        <v>75</v>
      </c>
      <c r="H64" s="325">
        <f t="shared" si="51"/>
        <v>28.590078328981722</v>
      </c>
      <c r="I64" s="6">
        <v>285</v>
      </c>
      <c r="J64" s="325">
        <f t="shared" si="52"/>
        <v>197.09415584415584</v>
      </c>
      <c r="K64" s="331">
        <f t="shared" si="53"/>
        <v>467.75335985619768</v>
      </c>
    </row>
    <row r="65" spans="1:11" ht="13.5">
      <c r="A65" s="293">
        <f>Gen!A30</f>
        <v>44275</v>
      </c>
      <c r="B65" s="19"/>
      <c r="C65" s="62">
        <v>300</v>
      </c>
      <c r="D65" s="325">
        <f t="shared" si="49"/>
        <v>217</v>
      </c>
      <c r="E65" s="6">
        <v>285</v>
      </c>
      <c r="F65" s="325">
        <f t="shared" si="50"/>
        <v>85.967213114754102</v>
      </c>
      <c r="G65" s="477">
        <v>25</v>
      </c>
      <c r="H65" s="325">
        <f t="shared" si="51"/>
        <v>9.5300261096605752</v>
      </c>
      <c r="I65" s="6">
        <v>280</v>
      </c>
      <c r="J65" s="325">
        <f t="shared" si="52"/>
        <v>193.63636363636363</v>
      </c>
      <c r="K65" s="331">
        <f t="shared" si="53"/>
        <v>506.1336028607783</v>
      </c>
    </row>
    <row r="66" spans="1:11" ht="13.5">
      <c r="A66" s="293">
        <f>Gen!A31</f>
        <v>44276</v>
      </c>
      <c r="B66" s="19"/>
      <c r="C66" s="62">
        <v>300</v>
      </c>
      <c r="D66" s="325">
        <f t="shared" si="49"/>
        <v>217</v>
      </c>
      <c r="E66" s="6">
        <v>285</v>
      </c>
      <c r="F66" s="325">
        <f t="shared" si="50"/>
        <v>85.967213114754102</v>
      </c>
      <c r="G66" s="477">
        <v>25</v>
      </c>
      <c r="H66" s="325">
        <f t="shared" si="51"/>
        <v>9.5300261096605752</v>
      </c>
      <c r="I66" s="6">
        <v>285</v>
      </c>
      <c r="J66" s="325">
        <f t="shared" si="52"/>
        <v>197.09415584415584</v>
      </c>
      <c r="K66" s="331">
        <f t="shared" si="53"/>
        <v>509.59139506857048</v>
      </c>
    </row>
    <row r="67" spans="1:11" ht="13.5">
      <c r="A67" s="293">
        <f>Gen!A32</f>
        <v>44277</v>
      </c>
      <c r="B67" s="19"/>
      <c r="C67" s="62">
        <v>280</v>
      </c>
      <c r="D67" s="325">
        <f t="shared" si="49"/>
        <v>202.53333333333333</v>
      </c>
      <c r="E67" s="6">
        <v>245</v>
      </c>
      <c r="F67" s="325">
        <f t="shared" si="50"/>
        <v>73.901639344262293</v>
      </c>
      <c r="G67" s="477">
        <v>5</v>
      </c>
      <c r="H67" s="325">
        <f t="shared" si="51"/>
        <v>1.9060052219321149</v>
      </c>
      <c r="I67" s="6">
        <v>265</v>
      </c>
      <c r="J67" s="325">
        <f t="shared" si="52"/>
        <v>183.26298701298703</v>
      </c>
      <c r="K67" s="331">
        <f t="shared" si="53"/>
        <v>461.60396491251475</v>
      </c>
    </row>
    <row r="68" spans="1:11" ht="13.5">
      <c r="A68" s="293">
        <f>Gen!A33</f>
        <v>44278</v>
      </c>
      <c r="B68" s="19"/>
      <c r="C68" s="62">
        <v>300</v>
      </c>
      <c r="D68" s="325">
        <f t="shared" si="49"/>
        <v>217</v>
      </c>
      <c r="E68" s="6">
        <v>290</v>
      </c>
      <c r="F68" s="325">
        <f t="shared" si="50"/>
        <v>87.47540983606558</v>
      </c>
      <c r="G68" s="477">
        <v>108</v>
      </c>
      <c r="H68" s="325">
        <f t="shared" si="51"/>
        <v>41.16971279373368</v>
      </c>
      <c r="I68" s="6">
        <v>165</v>
      </c>
      <c r="J68" s="325">
        <f t="shared" si="52"/>
        <v>114.10714285714286</v>
      </c>
      <c r="K68" s="331">
        <f t="shared" si="53"/>
        <v>459.75226548694218</v>
      </c>
    </row>
    <row r="69" spans="1:11" ht="13.5">
      <c r="A69" s="293">
        <f>Gen!A34</f>
        <v>44279</v>
      </c>
      <c r="B69" s="19"/>
      <c r="C69" s="62">
        <v>210</v>
      </c>
      <c r="D69" s="325">
        <f t="shared" si="49"/>
        <v>151.9</v>
      </c>
      <c r="E69" s="6">
        <v>175</v>
      </c>
      <c r="F69" s="325">
        <f t="shared" si="50"/>
        <v>52.786885245901637</v>
      </c>
      <c r="G69" s="477">
        <v>188</v>
      </c>
      <c r="H69" s="325">
        <f t="shared" si="51"/>
        <v>71.665796344647518</v>
      </c>
      <c r="I69" s="6">
        <v>280</v>
      </c>
      <c r="J69" s="325">
        <f t="shared" si="52"/>
        <v>193.63636363636363</v>
      </c>
      <c r="K69" s="331">
        <f t="shared" si="53"/>
        <v>469.98904522691276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4" t="s">
        <v>316</v>
      </c>
      <c r="B2" s="955"/>
      <c r="C2" s="955"/>
      <c r="D2" s="955"/>
      <c r="E2" s="95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2.5999999999999999E-2</v>
      </c>
      <c r="D6" s="434">
        <f t="shared" ref="D6:D35" si="2">SUM(77*C6)</f>
        <v>2.0019999999999998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2.5999999999999999E-2</v>
      </c>
      <c r="D7" s="434">
        <f t="shared" si="2"/>
        <v>2.0019999999999998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5.1900000000000002E-2</v>
      </c>
      <c r="D8" s="434">
        <f t="shared" si="2"/>
        <v>3.9963000000000002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0.1169</v>
      </c>
      <c r="D11" s="434">
        <f t="shared" si="2"/>
        <v>9.0013000000000005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450.02142128852984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0.12989999999999999</v>
      </c>
      <c r="D12" s="434">
        <f t="shared" si="2"/>
        <v>10.002299999999998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0.15579999999999999</v>
      </c>
      <c r="D13" s="434">
        <f t="shared" si="2"/>
        <v>11.996599999999999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0.15579999999999999</v>
      </c>
      <c r="D14" s="434">
        <f t="shared" si="2"/>
        <v>11.996599999999999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0.1169</v>
      </c>
      <c r="D15" s="434">
        <f t="shared" si="2"/>
        <v>9.0013000000000005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0.12989999999999999</v>
      </c>
      <c r="D16" s="434">
        <f t="shared" si="2"/>
        <v>10.002299999999998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0.1429</v>
      </c>
      <c r="D17" s="434">
        <f t="shared" si="2"/>
        <v>11.003299999999999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9.0899999999999995E-2</v>
      </c>
      <c r="D19" s="434">
        <f t="shared" si="2"/>
        <v>6.9992999999999999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>
        <f t="shared" si="3"/>
        <v>693.38386675067215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7.7899999999999997E-2</v>
      </c>
      <c r="D20" s="434">
        <f t="shared" si="2"/>
        <v>5.9982999999999995</v>
      </c>
      <c r="E20" s="74"/>
      <c r="F20" s="70">
        <f>Gen!U26</f>
        <v>0.41088773747841106</v>
      </c>
      <c r="G20" s="85">
        <f>Gen!T26</f>
        <v>2895</v>
      </c>
      <c r="H20" s="85">
        <f>[1]Gen!AJ29</f>
        <v>88.289999999999992</v>
      </c>
      <c r="I20" s="85">
        <f t="shared" si="0"/>
        <v>2983.29</v>
      </c>
      <c r="J20" s="85">
        <f>[1]Gen!AT26</f>
        <v>39497.370000000032</v>
      </c>
      <c r="K20" s="69">
        <f>'Water-Meter'!E21</f>
        <v>60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6592623.4064999996</v>
      </c>
      <c r="R20" s="76">
        <f t="shared" si="3"/>
        <v>693.86488277107799</v>
      </c>
      <c r="S20" s="438" t="e">
        <f t="shared" si="4"/>
        <v>#DIV/0!</v>
      </c>
      <c r="T20" s="76">
        <f t="shared" si="5"/>
        <v>3.8636363636363638</v>
      </c>
      <c r="U20" s="122">
        <f t="shared" si="6"/>
        <v>79.774138888834941</v>
      </c>
      <c r="V20" s="17">
        <f t="shared" si="7"/>
        <v>6592707.0442752521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6.4899999999999999E-2</v>
      </c>
      <c r="D21" s="434">
        <f t="shared" si="2"/>
        <v>4.9973000000000001</v>
      </c>
      <c r="E21" s="74"/>
      <c r="F21" s="70">
        <f>Gen!U27</f>
        <v>0.37978409499820082</v>
      </c>
      <c r="G21" s="85">
        <f>Gen!T27</f>
        <v>2779</v>
      </c>
      <c r="H21" s="85">
        <f>[1]Gen!AJ30</f>
        <v>783.92</v>
      </c>
      <c r="I21" s="85">
        <f t="shared" si="0"/>
        <v>3562.92</v>
      </c>
      <c r="J21" s="85">
        <f>[1]Gen!AT27</f>
        <v>36688.350000000035</v>
      </c>
      <c r="K21" s="69">
        <f>'Water-Meter'!E22</f>
        <v>64</v>
      </c>
      <c r="L21" s="447">
        <f>'Lpg (2)'!G26</f>
        <v>81.620000000012809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7873518.7620000001</v>
      </c>
      <c r="R21" s="76">
        <f t="shared" si="3"/>
        <v>994.66827768813334</v>
      </c>
      <c r="S21" s="438" t="e">
        <f t="shared" si="4"/>
        <v>#DIV/0!</v>
      </c>
      <c r="T21" s="76">
        <f t="shared" si="5"/>
        <v>4.1212121212121211</v>
      </c>
      <c r="U21" s="122">
        <f t="shared" si="6"/>
        <v>101.14902777779365</v>
      </c>
      <c r="V21" s="17">
        <f t="shared" si="7"/>
        <v>7873624.032239899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>
        <f>Gen!U28</f>
        <v>0.41297325826882481</v>
      </c>
      <c r="G22" s="85">
        <f>Gen!T28</f>
        <v>2842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73</v>
      </c>
      <c r="L22" s="447">
        <f>'Lpg (2)'!G27</f>
        <v>66.395999999984639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4.7007575757575761</v>
      </c>
      <c r="U22" s="122">
        <f t="shared" si="6"/>
        <v>82.282416666647634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>
        <f>Gen!U29</f>
        <v>0.42228180473372778</v>
      </c>
      <c r="G23" s="85">
        <f>Gen!T29</f>
        <v>2704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67</v>
      </c>
      <c r="L23" s="447">
        <f>'Lpg (2)'!G28</f>
        <v>147.09200000003329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4.3143939393939394</v>
      </c>
      <c r="U23" s="122">
        <f t="shared" si="6"/>
        <v>182.28636111115236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>
        <f>Gen!U30</f>
        <v>0.40914830647813222</v>
      </c>
      <c r="G24" s="85">
        <f>Gen!T30</f>
        <v>3041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62</v>
      </c>
      <c r="L24" s="447">
        <f>'Lpg (2)'!G29</f>
        <v>74.315999999997445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3.9924242424242422</v>
      </c>
      <c r="U24" s="122">
        <f t="shared" si="6"/>
        <v>92.097416666663506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>
        <f>Gen!U31</f>
        <v>0.41326633165829141</v>
      </c>
      <c r="G25" s="85">
        <f>Gen!T31</f>
        <v>2985</v>
      </c>
      <c r="H25" s="85">
        <f>[1]Gen!AJ31</f>
        <v>172.05</v>
      </c>
      <c r="I25" s="85">
        <f t="shared" si="0"/>
        <v>3157.05</v>
      </c>
      <c r="J25" s="85">
        <f>[1]Gen!AT31</f>
        <v>41422.370000000032</v>
      </c>
      <c r="K25" s="69">
        <f>'Water-Meter'!E26</f>
        <v>42</v>
      </c>
      <c r="L25" s="447">
        <f>'Lpg (2)'!G30</f>
        <v>100.36399999998976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6976606.9424999999</v>
      </c>
      <c r="R25" s="76" t="e">
        <f t="shared" si="3"/>
        <v>#DIV/0!</v>
      </c>
      <c r="S25" s="438" t="e">
        <f t="shared" si="4"/>
        <v>#DIV/0!</v>
      </c>
      <c r="T25" s="76">
        <f t="shared" si="5"/>
        <v>2.7045454545454546</v>
      </c>
      <c r="U25" s="122">
        <f t="shared" si="6"/>
        <v>124.37786111109843</v>
      </c>
      <c r="V25" s="17">
        <f t="shared" si="7"/>
        <v>6976734.0249065654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0.42231622746185854</v>
      </c>
      <c r="G26" s="85">
        <f>Gen!T32</f>
        <v>2884</v>
      </c>
      <c r="H26" s="85">
        <f>[1]Gen!AJ32</f>
        <v>18.63</v>
      </c>
      <c r="I26" s="85">
        <f t="shared" si="0"/>
        <v>2902.63</v>
      </c>
      <c r="J26" s="85">
        <f>[1]Gen!AT32</f>
        <v>38988.160000000033</v>
      </c>
      <c r="K26" s="69">
        <f>'Water-Meter'!E27</f>
        <v>42</v>
      </c>
      <c r="L26" s="447">
        <f>'Lpg (2)'!G31</f>
        <v>90.595999999984642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6414376.9055000003</v>
      </c>
      <c r="R26" s="76" t="e">
        <f t="shared" si="3"/>
        <v>#DIV/0!</v>
      </c>
      <c r="S26" s="438" t="e">
        <f t="shared" si="4"/>
        <v>#DIV/0!</v>
      </c>
      <c r="T26" s="76">
        <f t="shared" si="5"/>
        <v>2.7045454545454546</v>
      </c>
      <c r="U26" s="122">
        <f t="shared" si="6"/>
        <v>112.27269444442541</v>
      </c>
      <c r="V26" s="17">
        <f t="shared" si="7"/>
        <v>6414491.8827398987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>
        <f>Gen!U33</f>
        <v>0.41951745379876793</v>
      </c>
      <c r="G27" s="85">
        <f>Gen!T33</f>
        <v>2922</v>
      </c>
      <c r="H27" s="85">
        <f>[1]Gen!AJ33</f>
        <v>311.34000000000003</v>
      </c>
      <c r="I27" s="85">
        <f t="shared" si="0"/>
        <v>3233.34</v>
      </c>
      <c r="J27" s="85">
        <f>[1]Gen!AT33</f>
        <v>36682.670000000035</v>
      </c>
      <c r="K27" s="69">
        <f>'Water-Meter'!E28</f>
        <v>57</v>
      </c>
      <c r="L27" s="447">
        <f>'Lpg (2)'!G32</f>
        <v>95.260000000038431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7145196.3990000002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3.6704545454545454</v>
      </c>
      <c r="U27" s="122">
        <f t="shared" si="6"/>
        <v>118.05263888893651</v>
      </c>
      <c r="V27" s="17">
        <f t="shared" si="7"/>
        <v>7145318.1220934354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 t="str">
        <f>'Water-Meter'!E29</f>
        <v>0</v>
      </c>
      <c r="L28" s="447">
        <f>'Lpg (2)'!G33</f>
        <v>-332803.72400000005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-412432.89786111121</v>
      </c>
      <c r="V28" s="17">
        <f t="shared" si="7"/>
        <v>428856.99713888869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1343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7" t="s">
        <v>180</v>
      </c>
      <c r="B1" s="958"/>
      <c r="C1" s="958"/>
      <c r="D1" s="958"/>
      <c r="E1" s="958"/>
      <c r="F1" s="958"/>
      <c r="G1" s="959"/>
    </row>
    <row r="2" spans="1:7" ht="13.5" thickBot="1">
      <c r="A2" s="300"/>
      <c r="B2" s="960" t="s">
        <v>175</v>
      </c>
      <c r="C2" s="961"/>
      <c r="D2" s="962"/>
      <c r="E2" s="960" t="s">
        <v>176</v>
      </c>
      <c r="F2" s="961"/>
      <c r="G2" s="96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8"/>
      <c r="C77" s="277"/>
      <c r="D77" s="839"/>
      <c r="E77" s="277"/>
      <c r="F77" s="277"/>
      <c r="G77" s="839"/>
    </row>
    <row r="78" spans="1:7">
      <c r="A78" s="19"/>
      <c r="B78" s="833"/>
      <c r="C78" s="19"/>
      <c r="D78" s="834"/>
      <c r="E78" s="19"/>
      <c r="F78" s="19"/>
      <c r="G78" s="834"/>
    </row>
    <row r="79" spans="1:7">
      <c r="A79" s="19"/>
      <c r="B79" s="833"/>
      <c r="C79" s="19"/>
      <c r="D79" s="834"/>
      <c r="E79" s="19"/>
      <c r="F79" s="19"/>
      <c r="G79" s="834"/>
    </row>
    <row r="80" spans="1:7">
      <c r="A80" s="19"/>
      <c r="B80" s="833"/>
      <c r="C80" s="19"/>
      <c r="D80" s="834"/>
      <c r="E80" s="19"/>
      <c r="F80" s="19"/>
      <c r="G80" s="834"/>
    </row>
    <row r="81" spans="1:7">
      <c r="A81" s="19"/>
      <c r="B81" s="833"/>
      <c r="C81" s="19"/>
      <c r="D81" s="834"/>
      <c r="E81" s="19"/>
      <c r="F81" s="19"/>
      <c r="G81" s="834"/>
    </row>
    <row r="82" spans="1:7">
      <c r="A82" s="19"/>
      <c r="B82" s="833"/>
      <c r="C82" s="19"/>
      <c r="D82" s="834"/>
      <c r="E82" s="19"/>
      <c r="F82" s="19"/>
      <c r="G82" s="834"/>
    </row>
    <row r="83" spans="1:7">
      <c r="A83" s="19"/>
      <c r="B83" s="833"/>
      <c r="C83" s="19"/>
      <c r="D83" s="834"/>
      <c r="E83" s="19"/>
      <c r="F83" s="19"/>
      <c r="G83" s="834"/>
    </row>
    <row r="84" spans="1:7">
      <c r="A84" s="19"/>
      <c r="B84" s="833"/>
      <c r="C84" s="19"/>
      <c r="D84" s="834"/>
      <c r="E84" s="19"/>
      <c r="F84" s="19"/>
      <c r="G84" s="834"/>
    </row>
    <row r="85" spans="1:7">
      <c r="A85" s="19"/>
      <c r="B85" s="833"/>
      <c r="C85" s="19"/>
      <c r="D85" s="834"/>
      <c r="E85" s="19"/>
      <c r="F85" s="19"/>
      <c r="G85" s="834"/>
    </row>
    <row r="86" spans="1:7">
      <c r="A86" s="19"/>
      <c r="B86" s="833"/>
      <c r="C86" s="19"/>
      <c r="D86" s="834"/>
      <c r="E86" s="19"/>
      <c r="F86" s="19"/>
      <c r="G86" s="834"/>
    </row>
    <row r="87" spans="1:7">
      <c r="A87" s="19"/>
      <c r="B87" s="833"/>
      <c r="C87" s="19"/>
      <c r="D87" s="834"/>
      <c r="E87" s="19"/>
      <c r="F87" s="19"/>
      <c r="G87" s="834"/>
    </row>
    <row r="88" spans="1:7" ht="13.5" thickBot="1">
      <c r="B88" s="835"/>
      <c r="C88" s="251"/>
      <c r="D88" s="836"/>
      <c r="E88" s="251"/>
      <c r="F88" s="251"/>
      <c r="G88" s="836"/>
    </row>
    <row r="89" spans="1:7" ht="13.5" thickBot="1">
      <c r="B89" s="840" t="s">
        <v>318</v>
      </c>
      <c r="C89" s="841"/>
      <c r="D89" s="842"/>
      <c r="E89" s="840" t="s">
        <v>319</v>
      </c>
      <c r="F89" s="841"/>
      <c r="G89" s="842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7" t="s">
        <v>230</v>
      </c>
      <c r="B1" s="958"/>
      <c r="C1" s="958"/>
      <c r="D1" s="95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3"/>
      <c r="C76" s="964"/>
      <c r="D76" s="964"/>
      <c r="E76" s="965"/>
      <c r="H76" s="963"/>
      <c r="I76" s="964"/>
      <c r="J76" s="964"/>
      <c r="K76" s="964"/>
      <c r="L76" s="965"/>
    </row>
    <row r="77" spans="1:12">
      <c r="B77" s="966"/>
      <c r="C77" s="967"/>
      <c r="D77" s="967"/>
      <c r="E77" s="968"/>
      <c r="H77" s="966"/>
      <c r="I77" s="967"/>
      <c r="J77" s="967"/>
      <c r="K77" s="967"/>
      <c r="L77" s="968"/>
    </row>
    <row r="78" spans="1:12">
      <c r="B78" s="966"/>
      <c r="C78" s="967"/>
      <c r="D78" s="967"/>
      <c r="E78" s="968"/>
      <c r="H78" s="966"/>
      <c r="I78" s="967"/>
      <c r="J78" s="967"/>
      <c r="K78" s="967"/>
      <c r="L78" s="968"/>
    </row>
    <row r="79" spans="1:12">
      <c r="B79" s="966"/>
      <c r="C79" s="967"/>
      <c r="D79" s="967"/>
      <c r="E79" s="968"/>
      <c r="H79" s="966"/>
      <c r="I79" s="967"/>
      <c r="J79" s="967"/>
      <c r="K79" s="967"/>
      <c r="L79" s="968"/>
    </row>
    <row r="80" spans="1:12">
      <c r="B80" s="966"/>
      <c r="C80" s="967"/>
      <c r="D80" s="967"/>
      <c r="E80" s="968"/>
      <c r="H80" s="966"/>
      <c r="I80" s="967"/>
      <c r="J80" s="967"/>
      <c r="K80" s="967"/>
      <c r="L80" s="968"/>
    </row>
    <row r="81" spans="2:12">
      <c r="B81" s="966"/>
      <c r="C81" s="967"/>
      <c r="D81" s="967"/>
      <c r="E81" s="968"/>
      <c r="H81" s="966"/>
      <c r="I81" s="967"/>
      <c r="J81" s="967"/>
      <c r="K81" s="967"/>
      <c r="L81" s="968"/>
    </row>
    <row r="82" spans="2:12">
      <c r="B82" s="966"/>
      <c r="C82" s="967"/>
      <c r="D82" s="967"/>
      <c r="E82" s="968"/>
      <c r="H82" s="966"/>
      <c r="I82" s="967"/>
      <c r="J82" s="967"/>
      <c r="K82" s="967"/>
      <c r="L82" s="968"/>
    </row>
    <row r="83" spans="2:12">
      <c r="B83" s="966"/>
      <c r="C83" s="967"/>
      <c r="D83" s="967"/>
      <c r="E83" s="968"/>
      <c r="H83" s="966"/>
      <c r="I83" s="967"/>
      <c r="J83" s="967"/>
      <c r="K83" s="967"/>
      <c r="L83" s="968"/>
    </row>
    <row r="84" spans="2:12">
      <c r="B84" s="966"/>
      <c r="C84" s="967"/>
      <c r="D84" s="967"/>
      <c r="E84" s="968"/>
      <c r="H84" s="966"/>
      <c r="I84" s="967"/>
      <c r="J84" s="967"/>
      <c r="K84" s="967"/>
      <c r="L84" s="968"/>
    </row>
    <row r="85" spans="2:12">
      <c r="B85" s="966"/>
      <c r="C85" s="967"/>
      <c r="D85" s="967"/>
      <c r="E85" s="968"/>
      <c r="H85" s="966"/>
      <c r="I85" s="967"/>
      <c r="J85" s="967"/>
      <c r="K85" s="967"/>
      <c r="L85" s="968"/>
    </row>
    <row r="86" spans="2:12">
      <c r="B86" s="966"/>
      <c r="C86" s="967"/>
      <c r="D86" s="967"/>
      <c r="E86" s="968"/>
      <c r="H86" s="966"/>
      <c r="I86" s="967"/>
      <c r="J86" s="967"/>
      <c r="K86" s="967"/>
      <c r="L86" s="968"/>
    </row>
    <row r="87" spans="2:12">
      <c r="B87" s="966"/>
      <c r="C87" s="967"/>
      <c r="D87" s="967"/>
      <c r="E87" s="968"/>
      <c r="H87" s="966"/>
      <c r="I87" s="967"/>
      <c r="J87" s="967"/>
      <c r="K87" s="967"/>
      <c r="L87" s="968"/>
    </row>
    <row r="88" spans="2:12">
      <c r="B88" s="966"/>
      <c r="C88" s="967"/>
      <c r="D88" s="967"/>
      <c r="E88" s="968"/>
      <c r="H88" s="966"/>
      <c r="I88" s="967"/>
      <c r="J88" s="967"/>
      <c r="K88" s="967"/>
      <c r="L88" s="968"/>
    </row>
    <row r="89" spans="2:12">
      <c r="B89" s="966"/>
      <c r="C89" s="967"/>
      <c r="D89" s="967"/>
      <c r="E89" s="968"/>
      <c r="H89" s="966"/>
      <c r="I89" s="967"/>
      <c r="J89" s="967"/>
      <c r="K89" s="967"/>
      <c r="L89" s="968"/>
    </row>
    <row r="90" spans="2:12" ht="13.5" thickBot="1">
      <c r="B90" s="969"/>
      <c r="C90" s="970"/>
      <c r="D90" s="970"/>
      <c r="E90" s="971"/>
      <c r="H90" s="969"/>
      <c r="I90" s="970"/>
      <c r="J90" s="970"/>
      <c r="K90" s="970"/>
      <c r="L90" s="971"/>
    </row>
    <row r="91" spans="2:12">
      <c r="B91" s="972" t="s">
        <v>312</v>
      </c>
      <c r="C91" s="973"/>
      <c r="D91" s="973"/>
      <c r="E91" s="974"/>
      <c r="H91" s="972" t="s">
        <v>313</v>
      </c>
      <c r="I91" s="973"/>
      <c r="J91" s="973"/>
      <c r="K91" s="973"/>
      <c r="L91" s="974"/>
    </row>
    <row r="92" spans="2:12">
      <c r="B92" s="975"/>
      <c r="C92" s="976"/>
      <c r="D92" s="976"/>
      <c r="E92" s="977"/>
      <c r="H92" s="975"/>
      <c r="I92" s="976"/>
      <c r="J92" s="976"/>
      <c r="K92" s="976"/>
      <c r="L92" s="977"/>
    </row>
    <row r="93" spans="2:12" ht="13.5" thickBot="1">
      <c r="B93" s="978"/>
      <c r="C93" s="979"/>
      <c r="D93" s="979"/>
      <c r="E93" s="980"/>
      <c r="H93" s="978"/>
      <c r="I93" s="979"/>
      <c r="J93" s="979"/>
      <c r="K93" s="979"/>
      <c r="L93" s="98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1" t="s">
        <v>254</v>
      </c>
      <c r="B1" s="981"/>
      <c r="C1" s="981"/>
      <c r="D1" s="981"/>
      <c r="E1" s="981"/>
      <c r="F1" s="981"/>
      <c r="G1" s="981"/>
      <c r="H1" s="981"/>
      <c r="I1" s="981"/>
      <c r="J1" s="981"/>
    </row>
    <row r="2" spans="1:10" ht="19.5" thickBot="1">
      <c r="A2" s="990">
        <f>A5</f>
        <v>44256</v>
      </c>
      <c r="B2" s="991"/>
      <c r="C2" s="991"/>
      <c r="D2" s="991"/>
      <c r="E2" s="991"/>
      <c r="F2" s="991"/>
      <c r="G2" s="991"/>
      <c r="H2" s="991"/>
      <c r="I2" s="991"/>
      <c r="J2" s="991"/>
    </row>
    <row r="3" spans="1:10" ht="15.75" thickBot="1">
      <c r="A3" s="982" t="s">
        <v>7</v>
      </c>
      <c r="B3" s="984" t="s">
        <v>255</v>
      </c>
      <c r="C3" s="440"/>
      <c r="D3" s="986" t="s">
        <v>256</v>
      </c>
      <c r="E3" s="987"/>
      <c r="F3" s="988" t="s">
        <v>257</v>
      </c>
      <c r="G3" s="989"/>
      <c r="H3" s="987"/>
      <c r="I3" s="988" t="s">
        <v>258</v>
      </c>
      <c r="J3" s="987"/>
    </row>
    <row r="4" spans="1:10" ht="30.75" thickBot="1">
      <c r="A4" s="983"/>
      <c r="B4" s="98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2.5999999999999999E-2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2.5999999999999999E-2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5.1900000000000002E-2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0.1169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0.12989999999999999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0.15579999999999999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0.15579999999999999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0.1169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0.12989999999999999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0.1429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9.0899999999999995E-2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0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7.7899999999999997E-2</v>
      </c>
      <c r="C20" s="443">
        <f>Gen!AJ26</f>
        <v>0</v>
      </c>
      <c r="D20" s="444">
        <f>Gen!S26</f>
        <v>1189.52</v>
      </c>
      <c r="E20" s="395">
        <f>Gen!C26</f>
        <v>40033.94</v>
      </c>
      <c r="F20" s="396">
        <f>'Water-Meter'!E21</f>
        <v>60</v>
      </c>
      <c r="G20" s="397">
        <f>'Water-Meter'!AN21</f>
        <v>101</v>
      </c>
      <c r="H20" s="395">
        <f>'Utility report '!AC21</f>
        <v>0</v>
      </c>
      <c r="I20" s="394">
        <f>'Kit report'!F19</f>
        <v>227.99999999995634</v>
      </c>
      <c r="J20" s="395">
        <f>'Kit report'!X19</f>
        <v>379.99999999992724</v>
      </c>
    </row>
    <row r="21" spans="1:10" ht="15.75" thickBot="1">
      <c r="A21" s="217">
        <f>Gen!A27</f>
        <v>44272</v>
      </c>
      <c r="B21" s="399">
        <f>Gen!B27</f>
        <v>6.4899999999999999E-2</v>
      </c>
      <c r="C21" s="443">
        <f>Gen!AJ27</f>
        <v>39.379999999999995</v>
      </c>
      <c r="D21" s="444">
        <f>Gen!S27</f>
        <v>1055.42</v>
      </c>
      <c r="E21" s="395">
        <f>Gen!C27</f>
        <v>38844.420000000006</v>
      </c>
      <c r="F21" s="396">
        <f>'Water-Meter'!E22</f>
        <v>64</v>
      </c>
      <c r="G21" s="397">
        <f>'Water-Meter'!AN22</f>
        <v>130</v>
      </c>
      <c r="H21" s="395">
        <f>'Utility report '!AC22</f>
        <v>0</v>
      </c>
      <c r="I21" s="394">
        <f>'Kit report'!F20</f>
        <v>240</v>
      </c>
      <c r="J21" s="395">
        <f>'Kit report'!X20</f>
        <v>260.00000000003638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200.72</v>
      </c>
      <c r="D22" s="444">
        <f>Gen!S28</f>
        <v>1173.67</v>
      </c>
      <c r="E22" s="395">
        <f>Gen!C28</f>
        <v>37749.620000000003</v>
      </c>
      <c r="F22" s="396">
        <f>'Water-Meter'!E23</f>
        <v>73</v>
      </c>
      <c r="G22" s="397">
        <f>'Water-Meter'!AN23</f>
        <v>125</v>
      </c>
      <c r="H22" s="395">
        <f>'Utility report '!AC23</f>
        <v>0</v>
      </c>
      <c r="I22" s="394">
        <f>'Kit report'!F21</f>
        <v>252.00000000004366</v>
      </c>
      <c r="J22" s="395">
        <f>'Kit report'!X21</f>
        <v>420.00000000007276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24.2</v>
      </c>
      <c r="D23" s="444">
        <f>Gen!S29</f>
        <v>1141.8499999999999</v>
      </c>
      <c r="E23" s="395">
        <f>Gen!C29</f>
        <v>36375.230000000003</v>
      </c>
      <c r="F23" s="396">
        <f>'Water-Meter'!E24</f>
        <v>67</v>
      </c>
      <c r="G23" s="397">
        <f>'Water-Meter'!AN24</f>
        <v>128</v>
      </c>
      <c r="H23" s="395">
        <f>'Utility report '!AC24</f>
        <v>0</v>
      </c>
      <c r="I23" s="394">
        <f>'Kit report'!F22</f>
        <v>240</v>
      </c>
      <c r="J23" s="395">
        <f>'Kit report'!X22</f>
        <v>400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1244.22</v>
      </c>
      <c r="E24" s="395">
        <f>Gen!C30</f>
        <v>35209.18</v>
      </c>
      <c r="F24" s="396">
        <f>'Water-Meter'!E25</f>
        <v>62</v>
      </c>
      <c r="G24" s="397">
        <f>'Water-Meter'!AN25</f>
        <v>98</v>
      </c>
      <c r="H24" s="395">
        <f>'Utility report '!AC25</f>
        <v>0</v>
      </c>
      <c r="I24" s="394">
        <f>'Kit report'!F23</f>
        <v>275.99999999991269</v>
      </c>
      <c r="J24" s="395">
        <f>'Kit report'!X23</f>
        <v>259.99999999985448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31.27</v>
      </c>
      <c r="D25" s="444">
        <f>Gen!S31</f>
        <v>1233.5999999999999</v>
      </c>
      <c r="E25" s="395">
        <f>Gen!C31</f>
        <v>33964.959999999999</v>
      </c>
      <c r="F25" s="396">
        <f>'Water-Meter'!E26</f>
        <v>42</v>
      </c>
      <c r="G25" s="397">
        <f>'Water-Meter'!AN26</f>
        <v>53</v>
      </c>
      <c r="H25" s="395">
        <f>'Utility report '!AC26</f>
        <v>0</v>
      </c>
      <c r="I25" s="394">
        <f>'Kit report'!F24</f>
        <v>324.00000000008731</v>
      </c>
      <c r="J25" s="395">
        <f>'Kit report'!X24</f>
        <v>320.00000000007276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52.86</v>
      </c>
      <c r="D26" s="444">
        <f>Gen!S32</f>
        <v>1217.96</v>
      </c>
      <c r="E26" s="395">
        <f>Gen!C32</f>
        <v>47700.09</v>
      </c>
      <c r="F26" s="396">
        <f>'Water-Meter'!E27</f>
        <v>42</v>
      </c>
      <c r="G26" s="397">
        <f>'Water-Meter'!AN27</f>
        <v>123</v>
      </c>
      <c r="H26" s="395">
        <f>'Utility report '!AC27</f>
        <v>0</v>
      </c>
      <c r="I26" s="394">
        <f>'Kit report'!F25</f>
        <v>275.99999999991269</v>
      </c>
      <c r="J26" s="395">
        <f>'Kit report'!X25</f>
        <v>220.00000000007276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1225.83</v>
      </c>
      <c r="E27" s="395">
        <f>Gen!C33</f>
        <v>46429.27</v>
      </c>
      <c r="F27" s="396">
        <f>'Water-Meter'!E28</f>
        <v>57</v>
      </c>
      <c r="G27" s="397">
        <f>'Water-Meter'!AN28</f>
        <v>120</v>
      </c>
      <c r="H27" s="395">
        <f>'Utility report '!AC28</f>
        <v>0</v>
      </c>
      <c r="I27" s="394">
        <f>'Kit report'!F26</f>
        <v>276.00000000013097</v>
      </c>
      <c r="J27" s="395">
        <f>'Kit report'!X26</f>
        <v>319.99999999989086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45203.439999999995</v>
      </c>
      <c r="F28" s="396" t="str">
        <f>'Water-Meter'!E29</f>
        <v>0</v>
      </c>
      <c r="G28" s="397">
        <f>'Water-Meter'!AN29</f>
        <v>0</v>
      </c>
      <c r="H28" s="395">
        <f>'Utility report '!AC29</f>
        <v>-48088</v>
      </c>
      <c r="I28" s="394">
        <f>'Kit report'!F27</f>
        <v>-1102332</v>
      </c>
      <c r="J28" s="395">
        <f>'Kit report'!X27</f>
        <v>-1612440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45203.439999999995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45203.439999999995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45203.439999999995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45203.439999999995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45203.439999999995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45203.439999999995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45203.439999999995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45203.439999999995</v>
      </c>
      <c r="F36" s="396">
        <f>'Water-Meter'!E37</f>
        <v>0</v>
      </c>
      <c r="G36" s="397">
        <f>'Water-Meter'!AN37</f>
        <v>1584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2021-03-24T05:30:04Z</dcterms:modified>
</cp:coreProperties>
</file>